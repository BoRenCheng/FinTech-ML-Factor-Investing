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0作業\"/>
    </mc:Choice>
  </mc:AlternateContent>
  <xr:revisionPtr revIDLastSave="0" documentId="13_ncr:1_{1C8B897E-850C-4A57-B15A-9A6CDC6B4C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預測IC" sheetId="1" r:id="rId1"/>
    <sheet name="夏普比率" sheetId="2" r:id="rId2"/>
    <sheet name="NN3再投資累積報酬" sheetId="7" r:id="rId3"/>
    <sheet name="勝率" sheetId="3" r:id="rId4"/>
    <sheet name="累積報酬" sheetId="4" r:id="rId5"/>
    <sheet name="畫圖" sheetId="5" r:id="rId6"/>
    <sheet name="樣本外R2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7" l="1" a="1"/>
  <c r="EF24" i="7" s="1"/>
  <c r="EE24" i="7" a="1"/>
  <c r="EE24" i="7" s="1"/>
  <c r="ED24" i="7" a="1"/>
  <c r="ED24" i="7" s="1"/>
  <c r="EC24" i="7" a="1"/>
  <c r="EC24" i="7" s="1"/>
  <c r="EB24" i="7" a="1"/>
  <c r="EB24" i="7" s="1"/>
  <c r="EA24" i="7" a="1"/>
  <c r="EA24" i="7" s="1"/>
  <c r="DZ24" i="7" a="1"/>
  <c r="DZ24" i="7" s="1"/>
  <c r="DY24" i="7"/>
  <c r="DY24" i="7" a="1"/>
  <c r="DX24" i="7" a="1"/>
  <c r="DX24" i="7" s="1"/>
  <c r="DW24" i="7" a="1"/>
  <c r="DW24" i="7" s="1"/>
  <c r="DV24" i="7" a="1"/>
  <c r="DV24" i="7" s="1"/>
  <c r="DU24" i="7" a="1"/>
  <c r="DU24" i="7" s="1"/>
  <c r="DT24" i="7"/>
  <c r="DT24" i="7" a="1"/>
  <c r="DS24" i="7" a="1"/>
  <c r="DS24" i="7" s="1"/>
  <c r="DR24" i="7" a="1"/>
  <c r="DR24" i="7" s="1"/>
  <c r="DQ24" i="7" a="1"/>
  <c r="DQ24" i="7" s="1"/>
  <c r="DP24" i="7" a="1"/>
  <c r="DP24" i="7" s="1"/>
  <c r="DO24" i="7" a="1"/>
  <c r="DO24" i="7" s="1"/>
  <c r="DN24" i="7" a="1"/>
  <c r="DN24" i="7" s="1"/>
  <c r="DM24" i="7" a="1"/>
  <c r="DM24" i="7" s="1"/>
  <c r="DL24" i="7" a="1"/>
  <c r="DL24" i="7" s="1"/>
  <c r="DK24" i="7" a="1"/>
  <c r="DK24" i="7" s="1"/>
  <c r="DJ24" i="7"/>
  <c r="DJ24" i="7" a="1"/>
  <c r="DI24" i="7" a="1"/>
  <c r="DI24" i="7" s="1"/>
  <c r="DH24" i="7" a="1"/>
  <c r="DH24" i="7" s="1"/>
  <c r="DG24" i="7" a="1"/>
  <c r="DG24" i="7" s="1"/>
  <c r="DF24" i="7" a="1"/>
  <c r="DF24" i="7" s="1"/>
  <c r="DE24" i="7" a="1"/>
  <c r="DE24" i="7" s="1"/>
  <c r="DD24" i="7" a="1"/>
  <c r="DD24" i="7" s="1"/>
  <c r="DC24" i="7" a="1"/>
  <c r="DC24" i="7" s="1"/>
  <c r="DB24" i="7" a="1"/>
  <c r="DB24" i="7" s="1"/>
  <c r="DA24" i="7" a="1"/>
  <c r="DA24" i="7" s="1"/>
  <c r="CZ24" i="7" a="1"/>
  <c r="CZ24" i="7" s="1"/>
  <c r="CY24" i="7" a="1"/>
  <c r="CY24" i="7" s="1"/>
  <c r="CX24" i="7" a="1"/>
  <c r="CX24" i="7" s="1"/>
  <c r="CW24" i="7" a="1"/>
  <c r="CW24" i="7" s="1"/>
  <c r="CV24" i="7" a="1"/>
  <c r="CV24" i="7" s="1"/>
  <c r="CU24" i="7" a="1"/>
  <c r="CU24" i="7" s="1"/>
  <c r="CT24" i="7" a="1"/>
  <c r="CT24" i="7" s="1"/>
  <c r="CS24" i="7"/>
  <c r="CS24" i="7" a="1"/>
  <c r="CR24" i="7" a="1"/>
  <c r="CR24" i="7" s="1"/>
  <c r="CQ24" i="7" a="1"/>
  <c r="CQ24" i="7" s="1"/>
  <c r="CP24" i="7" a="1"/>
  <c r="CP24" i="7" s="1"/>
  <c r="CO24" i="7" a="1"/>
  <c r="CO24" i="7" s="1"/>
  <c r="CN24" i="7"/>
  <c r="CN24" i="7" a="1"/>
  <c r="CM24" i="7" a="1"/>
  <c r="CM24" i="7" s="1"/>
  <c r="CL24" i="7" a="1"/>
  <c r="CL24" i="7" s="1"/>
  <c r="CK24" i="7" a="1"/>
  <c r="CK24" i="7" s="1"/>
  <c r="CJ24" i="7" a="1"/>
  <c r="CJ24" i="7" s="1"/>
  <c r="CI24" i="7" a="1"/>
  <c r="CI24" i="7" s="1"/>
  <c r="CH24" i="7" a="1"/>
  <c r="CH24" i="7" s="1"/>
  <c r="CG24" i="7" a="1"/>
  <c r="CG24" i="7" s="1"/>
  <c r="CF24" i="7" a="1"/>
  <c r="CF24" i="7" s="1"/>
  <c r="CE24" i="7"/>
  <c r="CE24" i="7" a="1"/>
  <c r="CD24" i="7"/>
  <c r="CD24" i="7" a="1"/>
  <c r="CC24" i="7" a="1"/>
  <c r="CC24" i="7" s="1"/>
  <c r="CB24" i="7" a="1"/>
  <c r="CB24" i="7" s="1"/>
  <c r="CA24" i="7" a="1"/>
  <c r="CA24" i="7" s="1"/>
  <c r="BZ24" i="7" a="1"/>
  <c r="BZ24" i="7" s="1"/>
  <c r="BY24" i="7" a="1"/>
  <c r="BY24" i="7" s="1"/>
  <c r="BX24" i="7" a="1"/>
  <c r="BX24" i="7" s="1"/>
  <c r="BW24" i="7" a="1"/>
  <c r="BW24" i="7" s="1"/>
  <c r="BV24" i="7"/>
  <c r="BV24" i="7" a="1"/>
  <c r="BU24" i="7" a="1"/>
  <c r="BU24" i="7" s="1"/>
  <c r="BT24" i="7" a="1"/>
  <c r="BT24" i="7" s="1"/>
  <c r="BS24" i="7" a="1"/>
  <c r="BS24" i="7" s="1"/>
  <c r="BR24" i="7" a="1"/>
  <c r="BR24" i="7" s="1"/>
  <c r="BQ24" i="7" a="1"/>
  <c r="BQ24" i="7" s="1"/>
  <c r="BP24" i="7" a="1"/>
  <c r="BP24" i="7" s="1"/>
  <c r="BO24" i="7" a="1"/>
  <c r="BO24" i="7" s="1"/>
  <c r="BN24" i="7" a="1"/>
  <c r="BN24" i="7" s="1"/>
  <c r="BM24" i="7"/>
  <c r="BM24" i="7" a="1"/>
  <c r="BL24" i="7" a="1"/>
  <c r="BL24" i="7" s="1"/>
  <c r="BK24" i="7" a="1"/>
  <c r="BK24" i="7" s="1"/>
  <c r="BJ24" i="7" a="1"/>
  <c r="BJ24" i="7" s="1"/>
  <c r="BI24" i="7" a="1"/>
  <c r="BI24" i="7" s="1"/>
  <c r="BH24" i="7"/>
  <c r="BH24" i="7" a="1"/>
  <c r="BG24" i="7" a="1"/>
  <c r="BG24" i="7" s="1"/>
  <c r="BF24" i="7" a="1"/>
  <c r="BF24" i="7" s="1"/>
  <c r="BE24" i="7" a="1"/>
  <c r="BE24" i="7" s="1"/>
  <c r="BD24" i="7" a="1"/>
  <c r="BD24" i="7" s="1"/>
  <c r="BC24" i="7" a="1"/>
  <c r="BC24" i="7" s="1"/>
  <c r="BB24" i="7" a="1"/>
  <c r="BB24" i="7" s="1"/>
  <c r="BA24" i="7" a="1"/>
  <c r="BA24" i="7" s="1"/>
  <c r="AZ24" i="7" a="1"/>
  <c r="AZ24" i="7" s="1"/>
  <c r="AY24" i="7" a="1"/>
  <c r="AY24" i="7" s="1"/>
  <c r="AX24" i="7" a="1"/>
  <c r="AX24" i="7" s="1"/>
  <c r="AW24" i="7" a="1"/>
  <c r="AW24" i="7" s="1"/>
  <c r="AV24" i="7" a="1"/>
  <c r="AV24" i="7" s="1"/>
  <c r="AU24" i="7" a="1"/>
  <c r="AU24" i="7" s="1"/>
  <c r="AT24" i="7" a="1"/>
  <c r="AT24" i="7" s="1"/>
  <c r="AS24" i="7" a="1"/>
  <c r="AS24" i="7" s="1"/>
  <c r="AR24" i="7" a="1"/>
  <c r="AR24" i="7" s="1"/>
  <c r="AQ24" i="7" a="1"/>
  <c r="AQ24" i="7" s="1"/>
  <c r="AP24" i="7"/>
  <c r="AP24" i="7" a="1"/>
  <c r="AO24" i="7" a="1"/>
  <c r="AO24" i="7" s="1"/>
  <c r="AN24" i="7" a="1"/>
  <c r="AN24" i="7" s="1"/>
  <c r="AM24" i="7" a="1"/>
  <c r="AM24" i="7" s="1"/>
  <c r="AL24" i="7" a="1"/>
  <c r="AL24" i="7" s="1"/>
  <c r="AK24" i="7" a="1"/>
  <c r="AK24" i="7" s="1"/>
  <c r="AJ24" i="7" a="1"/>
  <c r="AJ24" i="7" s="1"/>
  <c r="AI24" i="7" a="1"/>
  <c r="AI24" i="7" s="1"/>
  <c r="AH24" i="7" a="1"/>
  <c r="AH24" i="7" s="1"/>
  <c r="AG24" i="7" a="1"/>
  <c r="AG24" i="7" s="1"/>
  <c r="AF24" i="7" a="1"/>
  <c r="AF24" i="7" s="1"/>
  <c r="AE24" i="7" a="1"/>
  <c r="AE24" i="7" s="1"/>
  <c r="AD24" i="7" a="1"/>
  <c r="AD24" i="7" s="1"/>
  <c r="AC24" i="7" a="1"/>
  <c r="AC24" i="7" s="1"/>
  <c r="AB24" i="7" a="1"/>
  <c r="AB24" i="7" s="1"/>
  <c r="AA24" i="7" a="1"/>
  <c r="AA24" i="7" s="1"/>
  <c r="Z24" i="7" a="1"/>
  <c r="Z24" i="7" s="1"/>
  <c r="Y24" i="7" a="1"/>
  <c r="Y24" i="7" s="1"/>
  <c r="X24" i="7" a="1"/>
  <c r="X24" i="7" s="1"/>
  <c r="W24" i="7" a="1"/>
  <c r="W24" i="7" s="1"/>
  <c r="V24" i="7" a="1"/>
  <c r="V24" i="7" s="1"/>
  <c r="U24" i="7" a="1"/>
  <c r="U24" i="7" s="1"/>
  <c r="T24" i="7"/>
  <c r="T24" i="7" a="1"/>
  <c r="S24" i="7" a="1"/>
  <c r="S24" i="7" s="1"/>
  <c r="R24" i="7" a="1"/>
  <c r="R24" i="7" s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/>
  <c r="K24" i="7" a="1"/>
  <c r="J24" i="7" a="1"/>
  <c r="J24" i="7" s="1"/>
  <c r="I24" i="7"/>
  <c r="I24" i="7" a="1"/>
  <c r="H24" i="7" a="1"/>
  <c r="H24" i="7" s="1"/>
  <c r="G24" i="7" a="1"/>
  <c r="G24" i="7" s="1"/>
  <c r="F24" i="7" a="1"/>
  <c r="F24" i="7" s="1"/>
  <c r="E24" i="7" a="1"/>
  <c r="E24" i="7" s="1"/>
  <c r="D24" i="7" a="1"/>
  <c r="D24" i="7" s="1"/>
  <c r="C24" i="7" a="1"/>
  <c r="C24" i="7" s="1"/>
  <c r="EF23" i="7" a="1"/>
  <c r="EF23" i="7" s="1"/>
  <c r="EE23" i="7" a="1"/>
  <c r="EE23" i="7" s="1"/>
  <c r="ED23" i="7" a="1"/>
  <c r="ED23" i="7" s="1"/>
  <c r="EC23" i="7" a="1"/>
  <c r="EC23" i="7" s="1"/>
  <c r="EB23" i="7" a="1"/>
  <c r="EB23" i="7" s="1"/>
  <c r="EA23" i="7" a="1"/>
  <c r="EA23" i="7" s="1"/>
  <c r="DZ23" i="7" a="1"/>
  <c r="DZ23" i="7" s="1"/>
  <c r="DY23" i="7" a="1"/>
  <c r="DY23" i="7" s="1"/>
  <c r="DX23" i="7" a="1"/>
  <c r="DX23" i="7" s="1"/>
  <c r="DW23" i="7" a="1"/>
  <c r="DW23" i="7" s="1"/>
  <c r="DV23" i="7" a="1"/>
  <c r="DV23" i="7" s="1"/>
  <c r="DU23" i="7" a="1"/>
  <c r="DU23" i="7" s="1"/>
  <c r="DT23" i="7" a="1"/>
  <c r="DT23" i="7" s="1"/>
  <c r="DS23" i="7" a="1"/>
  <c r="DS23" i="7" s="1"/>
  <c r="DR23" i="7" a="1"/>
  <c r="DR23" i="7" s="1"/>
  <c r="DQ23" i="7" a="1"/>
  <c r="DQ23" i="7" s="1"/>
  <c r="DP23" i="7" a="1"/>
  <c r="DP23" i="7" s="1"/>
  <c r="DO23" i="7" a="1"/>
  <c r="DO23" i="7" s="1"/>
  <c r="DN23" i="7" a="1"/>
  <c r="DN23" i="7" s="1"/>
  <c r="DM23" i="7" a="1"/>
  <c r="DM23" i="7" s="1"/>
  <c r="DL23" i="7" a="1"/>
  <c r="DL23" i="7" s="1"/>
  <c r="DK23" i="7" a="1"/>
  <c r="DK23" i="7" s="1"/>
  <c r="DJ23" i="7" a="1"/>
  <c r="DJ23" i="7" s="1"/>
  <c r="DI23" i="7"/>
  <c r="DI23" i="7" a="1"/>
  <c r="DH23" i="7"/>
  <c r="DH23" i="7" a="1"/>
  <c r="DG23" i="7" a="1"/>
  <c r="DG23" i="7" s="1"/>
  <c r="DF23" i="7" a="1"/>
  <c r="DF23" i="7" s="1"/>
  <c r="DE23" i="7" a="1"/>
  <c r="DE23" i="7" s="1"/>
  <c r="DD23" i="7" a="1"/>
  <c r="DD23" i="7" s="1"/>
  <c r="DC23" i="7" a="1"/>
  <c r="DC23" i="7" s="1"/>
  <c r="DB23" i="7" a="1"/>
  <c r="DB23" i="7" s="1"/>
  <c r="DA23" i="7" a="1"/>
  <c r="DA23" i="7" s="1"/>
  <c r="CZ23" i="7" a="1"/>
  <c r="CZ23" i="7" s="1"/>
  <c r="CY23" i="7" a="1"/>
  <c r="CY23" i="7" s="1"/>
  <c r="CX23" i="7" a="1"/>
  <c r="CX23" i="7" s="1"/>
  <c r="CW23" i="7" a="1"/>
  <c r="CW23" i="7" s="1"/>
  <c r="CV23" i="7" a="1"/>
  <c r="CV23" i="7" s="1"/>
  <c r="CU23" i="7" a="1"/>
  <c r="CU23" i="7" s="1"/>
  <c r="CT23" i="7" a="1"/>
  <c r="CT23" i="7" s="1"/>
  <c r="CS23" i="7" a="1"/>
  <c r="CS23" i="7" s="1"/>
  <c r="CR23" i="7" a="1"/>
  <c r="CR23" i="7" s="1"/>
  <c r="CQ23" i="7" a="1"/>
  <c r="CQ23" i="7" s="1"/>
  <c r="CP23" i="7" a="1"/>
  <c r="CP23" i="7" s="1"/>
  <c r="CO23" i="7" a="1"/>
  <c r="CO23" i="7" s="1"/>
  <c r="CN23" i="7" a="1"/>
  <c r="CN23" i="7" s="1"/>
  <c r="CM23" i="7" a="1"/>
  <c r="CM23" i="7" s="1"/>
  <c r="CL23" i="7" a="1"/>
  <c r="CL23" i="7" s="1"/>
  <c r="CK23" i="7"/>
  <c r="CK23" i="7" a="1"/>
  <c r="CJ23" i="7" a="1"/>
  <c r="CJ23" i="7" s="1"/>
  <c r="CI23" i="7" a="1"/>
  <c r="CI23" i="7" s="1"/>
  <c r="CH23" i="7" a="1"/>
  <c r="CH23" i="7" s="1"/>
  <c r="CG23" i="7" a="1"/>
  <c r="CG23" i="7" s="1"/>
  <c r="CF23" i="7" a="1"/>
  <c r="CF23" i="7" s="1"/>
  <c r="CE23" i="7" a="1"/>
  <c r="CE23" i="7" s="1"/>
  <c r="CD23" i="7" a="1"/>
  <c r="CD23" i="7" s="1"/>
  <c r="CC23" i="7"/>
  <c r="CC23" i="7" a="1"/>
  <c r="CB23" i="7" a="1"/>
  <c r="CB23" i="7" s="1"/>
  <c r="CA23" i="7"/>
  <c r="CA23" i="7" a="1"/>
  <c r="BZ23" i="7" a="1"/>
  <c r="BZ23" i="7" s="1"/>
  <c r="BY23" i="7" a="1"/>
  <c r="BY23" i="7" s="1"/>
  <c r="BX23" i="7" a="1"/>
  <c r="BX23" i="7" s="1"/>
  <c r="BW23" i="7" a="1"/>
  <c r="BW23" i="7" s="1"/>
  <c r="BV23" i="7" a="1"/>
  <c r="BV23" i="7" s="1"/>
  <c r="BU23" i="7" a="1"/>
  <c r="BU23" i="7" s="1"/>
  <c r="BT23" i="7" a="1"/>
  <c r="BT23" i="7" s="1"/>
  <c r="BS23" i="7"/>
  <c r="BS23" i="7" a="1"/>
  <c r="BR23" i="7" a="1"/>
  <c r="BR23" i="7" s="1"/>
  <c r="BQ23" i="7" a="1"/>
  <c r="BQ23" i="7" s="1"/>
  <c r="BP23" i="7" a="1"/>
  <c r="BP23" i="7" s="1"/>
  <c r="BO23" i="7" a="1"/>
  <c r="BO23" i="7" s="1"/>
  <c r="BN23" i="7" a="1"/>
  <c r="BN23" i="7" s="1"/>
  <c r="BM23" i="7" a="1"/>
  <c r="BM23" i="7" s="1"/>
  <c r="BL23" i="7" a="1"/>
  <c r="BL23" i="7" s="1"/>
  <c r="BK23" i="7" a="1"/>
  <c r="BK23" i="7" s="1"/>
  <c r="BJ23" i="7" a="1"/>
  <c r="BJ23" i="7" s="1"/>
  <c r="BI23" i="7" a="1"/>
  <c r="BI23" i="7" s="1"/>
  <c r="BH23" i="7" a="1"/>
  <c r="BH23" i="7" s="1"/>
  <c r="BG23" i="7" a="1"/>
  <c r="BG23" i="7" s="1"/>
  <c r="BF23" i="7" a="1"/>
  <c r="BF23" i="7" s="1"/>
  <c r="BE23" i="7"/>
  <c r="BE23" i="7" a="1"/>
  <c r="BD23" i="7" a="1"/>
  <c r="BD23" i="7" s="1"/>
  <c r="BC23" i="7" a="1"/>
  <c r="BC23" i="7" s="1"/>
  <c r="BB23" i="7" a="1"/>
  <c r="BB23" i="7" s="1"/>
  <c r="BA23" i="7" a="1"/>
  <c r="BA23" i="7" s="1"/>
  <c r="AZ23" i="7" a="1"/>
  <c r="AZ23" i="7" s="1"/>
  <c r="AY23" i="7" a="1"/>
  <c r="AY23" i="7" s="1"/>
  <c r="AX23" i="7" a="1"/>
  <c r="AX23" i="7" s="1"/>
  <c r="AW23" i="7" a="1"/>
  <c r="AW23" i="7" s="1"/>
  <c r="AV23" i="7" a="1"/>
  <c r="AV23" i="7" s="1"/>
  <c r="AU23" i="7"/>
  <c r="AU23" i="7" a="1"/>
  <c r="AT23" i="7" a="1"/>
  <c r="AT23" i="7" s="1"/>
  <c r="AS23" i="7" a="1"/>
  <c r="AS23" i="7" s="1"/>
  <c r="AR23" i="7" a="1"/>
  <c r="AR23" i="7" s="1"/>
  <c r="AQ23" i="7" a="1"/>
  <c r="AQ23" i="7" s="1"/>
  <c r="AP23" i="7" a="1"/>
  <c r="AP23" i="7" s="1"/>
  <c r="AO23" i="7" a="1"/>
  <c r="AO23" i="7" s="1"/>
  <c r="AN23" i="7" a="1"/>
  <c r="AN23" i="7" s="1"/>
  <c r="AM23" i="7" a="1"/>
  <c r="AM23" i="7" s="1"/>
  <c r="AL23" i="7" a="1"/>
  <c r="AL23" i="7" s="1"/>
  <c r="AK23" i="7" a="1"/>
  <c r="AK23" i="7" s="1"/>
  <c r="AJ23" i="7" a="1"/>
  <c r="AJ23" i="7" s="1"/>
  <c r="AI23" i="7" a="1"/>
  <c r="AI23" i="7" s="1"/>
  <c r="AH23" i="7" a="1"/>
  <c r="AH23" i="7" s="1"/>
  <c r="AG23" i="7" a="1"/>
  <c r="AG23" i="7" s="1"/>
  <c r="AF23" i="7" a="1"/>
  <c r="AF23" i="7" s="1"/>
  <c r="AE23" i="7" a="1"/>
  <c r="AE23" i="7" s="1"/>
  <c r="AD23" i="7" a="1"/>
  <c r="AD23" i="7" s="1"/>
  <c r="AC23" i="7" a="1"/>
  <c r="AC23" i="7" s="1"/>
  <c r="AB23" i="7" a="1"/>
  <c r="AB23" i="7" s="1"/>
  <c r="AA23" i="7" a="1"/>
  <c r="AA23" i="7" s="1"/>
  <c r="Z23" i="7" a="1"/>
  <c r="Z23" i="7" s="1"/>
  <c r="Y23" i="7" a="1"/>
  <c r="Y23" i="7" s="1"/>
  <c r="X23" i="7" a="1"/>
  <c r="X23" i="7" s="1"/>
  <c r="W23" i="7" a="1"/>
  <c r="W23" i="7" s="1"/>
  <c r="V23" i="7" a="1"/>
  <c r="V23" i="7" s="1"/>
  <c r="U23" i="7" a="1"/>
  <c r="U23" i="7" s="1"/>
  <c r="T23" i="7" a="1"/>
  <c r="T23" i="7" s="1"/>
  <c r="S23" i="7" a="1"/>
  <c r="S23" i="7" s="1"/>
  <c r="R23" i="7" a="1"/>
  <c r="R23" i="7" s="1"/>
  <c r="Q23" i="7"/>
  <c r="Q23" i="7" a="1"/>
  <c r="P23" i="7" a="1"/>
  <c r="P23" i="7" s="1"/>
  <c r="O23" i="7"/>
  <c r="O23" i="7" a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 a="1"/>
  <c r="I23" i="7" s="1"/>
  <c r="H23" i="7" a="1"/>
  <c r="H23" i="7" s="1"/>
  <c r="G23" i="7"/>
  <c r="G23" i="7" a="1"/>
  <c r="F23" i="7" a="1"/>
  <c r="F23" i="7" s="1"/>
  <c r="E23" i="7" a="1"/>
  <c r="E23" i="7" s="1"/>
  <c r="D23" i="7" a="1"/>
  <c r="D23" i="7" s="1"/>
  <c r="C23" i="7" a="1"/>
  <c r="C23" i="7" s="1"/>
  <c r="EF22" i="7" a="1"/>
  <c r="EF22" i="7" s="1"/>
  <c r="EE22" i="7" a="1"/>
  <c r="EE22" i="7" s="1"/>
  <c r="ED22" i="7" a="1"/>
  <c r="ED22" i="7" s="1"/>
  <c r="EC22" i="7" a="1"/>
  <c r="EC22" i="7" s="1"/>
  <c r="EB22" i="7" a="1"/>
  <c r="EB22" i="7" s="1"/>
  <c r="EA22" i="7" a="1"/>
  <c r="EA22" i="7" s="1"/>
  <c r="DZ22" i="7" a="1"/>
  <c r="DZ22" i="7" s="1"/>
  <c r="DY22" i="7" a="1"/>
  <c r="DY22" i="7" s="1"/>
  <c r="DX22" i="7" a="1"/>
  <c r="DX22" i="7" s="1"/>
  <c r="DW22" i="7"/>
  <c r="DW22" i="7" a="1"/>
  <c r="DV22" i="7" a="1"/>
  <c r="DV22" i="7" s="1"/>
  <c r="DU22" i="7" a="1"/>
  <c r="DU22" i="7" s="1"/>
  <c r="DT22" i="7" a="1"/>
  <c r="DT22" i="7" s="1"/>
  <c r="DS22" i="7" a="1"/>
  <c r="DS22" i="7" s="1"/>
  <c r="DR22" i="7" a="1"/>
  <c r="DR22" i="7" s="1"/>
  <c r="DQ22" i="7" a="1"/>
  <c r="DQ22" i="7" s="1"/>
  <c r="DP22" i="7" a="1"/>
  <c r="DP22" i="7" s="1"/>
  <c r="DO22" i="7" a="1"/>
  <c r="DO22" i="7" s="1"/>
  <c r="DN22" i="7"/>
  <c r="DN22" i="7" a="1"/>
  <c r="DM22" i="7" a="1"/>
  <c r="DM22" i="7" s="1"/>
  <c r="DL22" i="7" a="1"/>
  <c r="DL22" i="7" s="1"/>
  <c r="DK22" i="7" a="1"/>
  <c r="DK22" i="7" s="1"/>
  <c r="DJ22" i="7" a="1"/>
  <c r="DJ22" i="7" s="1"/>
  <c r="DI22" i="7" a="1"/>
  <c r="DI22" i="7" s="1"/>
  <c r="DH22" i="7" a="1"/>
  <c r="DH22" i="7" s="1"/>
  <c r="DG22" i="7" a="1"/>
  <c r="DG22" i="7" s="1"/>
  <c r="DF22" i="7" a="1"/>
  <c r="DF22" i="7" s="1"/>
  <c r="DE22" i="7" a="1"/>
  <c r="DE22" i="7" s="1"/>
  <c r="DD22" i="7" a="1"/>
  <c r="DD22" i="7" s="1"/>
  <c r="DC22" i="7" a="1"/>
  <c r="DC22" i="7" s="1"/>
  <c r="DB22" i="7" a="1"/>
  <c r="DB22" i="7" s="1"/>
  <c r="DA22" i="7" a="1"/>
  <c r="DA22" i="7" s="1"/>
  <c r="CZ22" i="7" a="1"/>
  <c r="CZ22" i="7" s="1"/>
  <c r="CY22" i="7" a="1"/>
  <c r="CY22" i="7" s="1"/>
  <c r="CX22" i="7" a="1"/>
  <c r="CX22" i="7" s="1"/>
  <c r="CW22" i="7" a="1"/>
  <c r="CW22" i="7" s="1"/>
  <c r="CV22" i="7" a="1"/>
  <c r="CV22" i="7" s="1"/>
  <c r="CU22" i="7" a="1"/>
  <c r="CU22" i="7" s="1"/>
  <c r="CT22" i="7" a="1"/>
  <c r="CT22" i="7" s="1"/>
  <c r="CS22" i="7" a="1"/>
  <c r="CS22" i="7" s="1"/>
  <c r="CR22" i="7"/>
  <c r="CR22" i="7" a="1"/>
  <c r="CQ22" i="7" a="1"/>
  <c r="CQ22" i="7" s="1"/>
  <c r="CP22" i="7" a="1"/>
  <c r="CP22" i="7" s="1"/>
  <c r="CO22" i="7" a="1"/>
  <c r="CO22" i="7" s="1"/>
  <c r="CN22" i="7" a="1"/>
  <c r="CN22" i="7" s="1"/>
  <c r="CM22" i="7" a="1"/>
  <c r="CM22" i="7" s="1"/>
  <c r="CL22" i="7" a="1"/>
  <c r="CL22" i="7" s="1"/>
  <c r="CK22" i="7" a="1"/>
  <c r="CK22" i="7" s="1"/>
  <c r="CJ22" i="7" a="1"/>
  <c r="CJ22" i="7" s="1"/>
  <c r="CI22" i="7"/>
  <c r="CI22" i="7" a="1"/>
  <c r="CH22" i="7"/>
  <c r="CH22" i="7" a="1"/>
  <c r="CG22" i="7"/>
  <c r="CG22" i="7" a="1"/>
  <c r="CF22" i="7" a="1"/>
  <c r="CF22" i="7" s="1"/>
  <c r="CE22" i="7" a="1"/>
  <c r="CE22" i="7" s="1"/>
  <c r="CD22" i="7" a="1"/>
  <c r="CD22" i="7" s="1"/>
  <c r="CC22" i="7" a="1"/>
  <c r="CC22" i="7" s="1"/>
  <c r="CB22" i="7" a="1"/>
  <c r="CB22" i="7" s="1"/>
  <c r="CA22" i="7" a="1"/>
  <c r="CA22" i="7" s="1"/>
  <c r="BZ22" i="7" a="1"/>
  <c r="BZ22" i="7" s="1"/>
  <c r="BY22" i="7" a="1"/>
  <c r="BY22" i="7" s="1"/>
  <c r="BX22" i="7" a="1"/>
  <c r="BX22" i="7" s="1"/>
  <c r="BW22" i="7" a="1"/>
  <c r="BW22" i="7" s="1"/>
  <c r="BV22" i="7" a="1"/>
  <c r="BV22" i="7" s="1"/>
  <c r="BU22" i="7" a="1"/>
  <c r="BU22" i="7" s="1"/>
  <c r="BT22" i="7" a="1"/>
  <c r="BT22" i="7" s="1"/>
  <c r="BS22" i="7" a="1"/>
  <c r="BS22" i="7" s="1"/>
  <c r="BR22" i="7" a="1"/>
  <c r="BR22" i="7" s="1"/>
  <c r="BQ22" i="7" a="1"/>
  <c r="BQ22" i="7" s="1"/>
  <c r="BP22" i="7" a="1"/>
  <c r="BP22" i="7" s="1"/>
  <c r="BO22" i="7" a="1"/>
  <c r="BO22" i="7" s="1"/>
  <c r="BN22" i="7" a="1"/>
  <c r="BN22" i="7" s="1"/>
  <c r="BM22" i="7" a="1"/>
  <c r="BM22" i="7" s="1"/>
  <c r="BL22" i="7" a="1"/>
  <c r="BL22" i="7" s="1"/>
  <c r="BK22" i="7" a="1"/>
  <c r="BK22" i="7" s="1"/>
  <c r="BJ22" i="7" a="1"/>
  <c r="BJ22" i="7" s="1"/>
  <c r="BI22" i="7" a="1"/>
  <c r="BI22" i="7" s="1"/>
  <c r="BH22" i="7" a="1"/>
  <c r="BH22" i="7" s="1"/>
  <c r="BG22" i="7" a="1"/>
  <c r="BG22" i="7" s="1"/>
  <c r="BF22" i="7" a="1"/>
  <c r="BF22" i="7" s="1"/>
  <c r="BE22" i="7" a="1"/>
  <c r="BE22" i="7" s="1"/>
  <c r="BD22" i="7"/>
  <c r="BD22" i="7" a="1"/>
  <c r="BC22" i="7" a="1"/>
  <c r="BC22" i="7" s="1"/>
  <c r="BB22" i="7" a="1"/>
  <c r="BB22" i="7" s="1"/>
  <c r="BA22" i="7" a="1"/>
  <c r="BA22" i="7" s="1"/>
  <c r="AZ22" i="7" a="1"/>
  <c r="AZ22" i="7" s="1"/>
  <c r="AY22" i="7" a="1"/>
  <c r="AY22" i="7" s="1"/>
  <c r="AX22" i="7" a="1"/>
  <c r="AX22" i="7" s="1"/>
  <c r="AW22" i="7" a="1"/>
  <c r="AW22" i="7" s="1"/>
  <c r="AV22" i="7" a="1"/>
  <c r="AV22" i="7" s="1"/>
  <c r="AU22" i="7" a="1"/>
  <c r="AU22" i="7" s="1"/>
  <c r="AT22" i="7" a="1"/>
  <c r="AT22" i="7" s="1"/>
  <c r="AS22" i="7"/>
  <c r="AS22" i="7" a="1"/>
  <c r="AR22" i="7" a="1"/>
  <c r="AR22" i="7" s="1"/>
  <c r="AQ22" i="7" a="1"/>
  <c r="AQ22" i="7" s="1"/>
  <c r="AP22" i="7" a="1"/>
  <c r="AP22" i="7" s="1"/>
  <c r="AO22" i="7" a="1"/>
  <c r="AO22" i="7" s="1"/>
  <c r="AN22" i="7" a="1"/>
  <c r="AN22" i="7" s="1"/>
  <c r="AM22" i="7" a="1"/>
  <c r="AM22" i="7" s="1"/>
  <c r="AL22" i="7" a="1"/>
  <c r="AL22" i="7" s="1"/>
  <c r="AK22" i="7" a="1"/>
  <c r="AK22" i="7" s="1"/>
  <c r="AJ22" i="7" a="1"/>
  <c r="AJ22" i="7" s="1"/>
  <c r="AI22" i="7" a="1"/>
  <c r="AI22" i="7" s="1"/>
  <c r="AH22" i="7" a="1"/>
  <c r="AH22" i="7" s="1"/>
  <c r="AG22" i="7" a="1"/>
  <c r="AG22" i="7" s="1"/>
  <c r="AF22" i="7" a="1"/>
  <c r="AF22" i="7" s="1"/>
  <c r="AE22" i="7"/>
  <c r="AE22" i="7" a="1"/>
  <c r="AD22" i="7" a="1"/>
  <c r="AD22" i="7" s="1"/>
  <c r="AC22" i="7" a="1"/>
  <c r="AC22" i="7" s="1"/>
  <c r="AB22" i="7" a="1"/>
  <c r="AB22" i="7" s="1"/>
  <c r="AA22" i="7" a="1"/>
  <c r="AA22" i="7" s="1"/>
  <c r="Z22" i="7" a="1"/>
  <c r="Z22" i="7" s="1"/>
  <c r="Y22" i="7" a="1"/>
  <c r="Y22" i="7" s="1"/>
  <c r="X22" i="7" a="1"/>
  <c r="X22" i="7" s="1"/>
  <c r="W22" i="7" a="1"/>
  <c r="W22" i="7" s="1"/>
  <c r="V22" i="7"/>
  <c r="V22" i="7" a="1"/>
  <c r="U22" i="7" a="1"/>
  <c r="U22" i="7" s="1"/>
  <c r="T22" i="7" a="1"/>
  <c r="T22" i="7" s="1"/>
  <c r="S22" i="7" a="1"/>
  <c r="S22" i="7" s="1"/>
  <c r="R22" i="7" a="1"/>
  <c r="R22" i="7" s="1"/>
  <c r="Q22" i="7" a="1"/>
  <c r="Q22" i="7" s="1"/>
  <c r="P22" i="7" a="1"/>
  <c r="P22" i="7" s="1"/>
  <c r="O22" i="7" a="1"/>
  <c r="O22" i="7" s="1"/>
  <c r="N22" i="7" a="1"/>
  <c r="N22" i="7" s="1"/>
  <c r="M22" i="7" a="1"/>
  <c r="M22" i="7" s="1"/>
  <c r="L22" i="7" a="1"/>
  <c r="L22" i="7" s="1"/>
  <c r="K22" i="7" a="1"/>
  <c r="K22" i="7" s="1"/>
  <c r="J22" i="7" a="1"/>
  <c r="J22" i="7" s="1"/>
  <c r="I22" i="7" a="1"/>
  <c r="I22" i="7" s="1"/>
  <c r="H22" i="7" a="1"/>
  <c r="H22" i="7" s="1"/>
  <c r="G22" i="7" a="1"/>
  <c r="G22" i="7" s="1"/>
  <c r="F22" i="7" a="1"/>
  <c r="F22" i="7" s="1"/>
  <c r="E22" i="7" a="1"/>
  <c r="E22" i="7" s="1"/>
  <c r="D22" i="7" a="1"/>
  <c r="D22" i="7" s="1"/>
  <c r="C22" i="7" a="1"/>
  <c r="C22" i="7" s="1"/>
  <c r="EF21" i="7" a="1"/>
  <c r="EF21" i="7" s="1"/>
  <c r="EE21" i="7" a="1"/>
  <c r="EE21" i="7" s="1"/>
  <c r="ED21" i="7" a="1"/>
  <c r="ED21" i="7" s="1"/>
  <c r="EC21" i="7" a="1"/>
  <c r="EC21" i="7" s="1"/>
  <c r="EB21" i="7" a="1"/>
  <c r="EB21" i="7" s="1"/>
  <c r="EA21" i="7" a="1"/>
  <c r="EA21" i="7" s="1"/>
  <c r="DZ21" i="7" a="1"/>
  <c r="DZ21" i="7" s="1"/>
  <c r="DY21" i="7" a="1"/>
  <c r="DY21" i="7" s="1"/>
  <c r="DX21" i="7" a="1"/>
  <c r="DX21" i="7" s="1"/>
  <c r="DW21" i="7" a="1"/>
  <c r="DW21" i="7" s="1"/>
  <c r="DV21" i="7"/>
  <c r="DV21" i="7" a="1"/>
  <c r="DU21" i="7" a="1"/>
  <c r="DU21" i="7" s="1"/>
  <c r="DT21" i="7" a="1"/>
  <c r="DT21" i="7" s="1"/>
  <c r="DS21" i="7" a="1"/>
  <c r="DS21" i="7" s="1"/>
  <c r="DR21" i="7" a="1"/>
  <c r="DR21" i="7" s="1"/>
  <c r="DQ21" i="7" a="1"/>
  <c r="DQ21" i="7" s="1"/>
  <c r="DP21" i="7" a="1"/>
  <c r="DP21" i="7" s="1"/>
  <c r="DO21" i="7" a="1"/>
  <c r="DO21" i="7" s="1"/>
  <c r="DN21" i="7" a="1"/>
  <c r="DN21" i="7" s="1"/>
  <c r="DM21" i="7" a="1"/>
  <c r="DM21" i="7" s="1"/>
  <c r="DL21" i="7" a="1"/>
  <c r="DL21" i="7" s="1"/>
  <c r="DK21" i="7" a="1"/>
  <c r="DK21" i="7" s="1"/>
  <c r="DJ21" i="7" a="1"/>
  <c r="DJ21" i="7" s="1"/>
  <c r="DI21" i="7" a="1"/>
  <c r="DI21" i="7" s="1"/>
  <c r="DH21" i="7" a="1"/>
  <c r="DH21" i="7" s="1"/>
  <c r="DG21" i="7" a="1"/>
  <c r="DG21" i="7" s="1"/>
  <c r="DF21" i="7" a="1"/>
  <c r="DF21" i="7" s="1"/>
  <c r="DE21" i="7" a="1"/>
  <c r="DE21" i="7" s="1"/>
  <c r="DD21" i="7" a="1"/>
  <c r="DD21" i="7" s="1"/>
  <c r="DC21" i="7" a="1"/>
  <c r="DC21" i="7" s="1"/>
  <c r="DB21" i="7" a="1"/>
  <c r="DB21" i="7" s="1"/>
  <c r="DA21" i="7" a="1"/>
  <c r="DA21" i="7" s="1"/>
  <c r="CZ21" i="7" a="1"/>
  <c r="CZ21" i="7" s="1"/>
  <c r="CY21" i="7" a="1"/>
  <c r="CY21" i="7" s="1"/>
  <c r="CX21" i="7" a="1"/>
  <c r="CX21" i="7" s="1"/>
  <c r="CW21" i="7" a="1"/>
  <c r="CW21" i="7" s="1"/>
  <c r="CV21" i="7" a="1"/>
  <c r="CV21" i="7" s="1"/>
  <c r="CU21" i="7" a="1"/>
  <c r="CU21" i="7" s="1"/>
  <c r="CT21" i="7" a="1"/>
  <c r="CT21" i="7" s="1"/>
  <c r="CS21" i="7" a="1"/>
  <c r="CS21" i="7" s="1"/>
  <c r="CR21" i="7" a="1"/>
  <c r="CR21" i="7" s="1"/>
  <c r="CQ21" i="7" a="1"/>
  <c r="CQ21" i="7" s="1"/>
  <c r="CP21" i="7" a="1"/>
  <c r="CP21" i="7" s="1"/>
  <c r="CO21" i="7" a="1"/>
  <c r="CO21" i="7" s="1"/>
  <c r="CN21" i="7"/>
  <c r="CN21" i="7" a="1"/>
  <c r="CM21" i="7" a="1"/>
  <c r="CM21" i="7" s="1"/>
  <c r="CL21" i="7" a="1"/>
  <c r="CL21" i="7" s="1"/>
  <c r="CK21" i="7" a="1"/>
  <c r="CK21" i="7" s="1"/>
  <c r="CJ21" i="7" a="1"/>
  <c r="CJ21" i="7" s="1"/>
  <c r="CI21" i="7" a="1"/>
  <c r="CI21" i="7" s="1"/>
  <c r="CH21" i="7" a="1"/>
  <c r="CH21" i="7" s="1"/>
  <c r="CG21" i="7" a="1"/>
  <c r="CG21" i="7" s="1"/>
  <c r="CF21" i="7" a="1"/>
  <c r="CF21" i="7" s="1"/>
  <c r="CE21" i="7" a="1"/>
  <c r="CE21" i="7" s="1"/>
  <c r="CD21" i="7" a="1"/>
  <c r="CD21" i="7" s="1"/>
  <c r="CC21" i="7" a="1"/>
  <c r="CC21" i="7" s="1"/>
  <c r="CB21" i="7" a="1"/>
  <c r="CB21" i="7" s="1"/>
  <c r="CA21" i="7" a="1"/>
  <c r="CA21" i="7" s="1"/>
  <c r="BZ21" i="7" a="1"/>
  <c r="BZ21" i="7" s="1"/>
  <c r="BY21" i="7" a="1"/>
  <c r="BY21" i="7" s="1"/>
  <c r="BX21" i="7" a="1"/>
  <c r="BX21" i="7" s="1"/>
  <c r="BW21" i="7" a="1"/>
  <c r="BW21" i="7" s="1"/>
  <c r="BV21" i="7" a="1"/>
  <c r="BV21" i="7" s="1"/>
  <c r="BU21" i="7" a="1"/>
  <c r="BU21" i="7" s="1"/>
  <c r="BT21" i="7" a="1"/>
  <c r="BT21" i="7" s="1"/>
  <c r="BS21" i="7" a="1"/>
  <c r="BS21" i="7" s="1"/>
  <c r="BR21" i="7" a="1"/>
  <c r="BR21" i="7" s="1"/>
  <c r="BQ21" i="7" a="1"/>
  <c r="BQ21" i="7" s="1"/>
  <c r="BP21" i="7" a="1"/>
  <c r="BP21" i="7" s="1"/>
  <c r="BO21" i="7" a="1"/>
  <c r="BO21" i="7" s="1"/>
  <c r="BN21" i="7" a="1"/>
  <c r="BN21" i="7" s="1"/>
  <c r="BM21" i="7" a="1"/>
  <c r="BM21" i="7" s="1"/>
  <c r="BL21" i="7" a="1"/>
  <c r="BL21" i="7" s="1"/>
  <c r="BK21" i="7" a="1"/>
  <c r="BK21" i="7" s="1"/>
  <c r="BJ21" i="7" a="1"/>
  <c r="BJ21" i="7" s="1"/>
  <c r="BI21" i="7" a="1"/>
  <c r="BI21" i="7" s="1"/>
  <c r="BH21" i="7" a="1"/>
  <c r="BH21" i="7" s="1"/>
  <c r="BG21" i="7" a="1"/>
  <c r="BG21" i="7" s="1"/>
  <c r="BF21" i="7" a="1"/>
  <c r="BF21" i="7" s="1"/>
  <c r="BE21" i="7" a="1"/>
  <c r="BE21" i="7" s="1"/>
  <c r="BD21" i="7" a="1"/>
  <c r="BD21" i="7" s="1"/>
  <c r="BC21" i="7" a="1"/>
  <c r="BC21" i="7" s="1"/>
  <c r="BB21" i="7" a="1"/>
  <c r="BB21" i="7" s="1"/>
  <c r="BA21" i="7" a="1"/>
  <c r="BA21" i="7" s="1"/>
  <c r="AZ21" i="7" a="1"/>
  <c r="AZ21" i="7" s="1"/>
  <c r="AY21" i="7" a="1"/>
  <c r="AY21" i="7" s="1"/>
  <c r="AX21" i="7" a="1"/>
  <c r="AX21" i="7" s="1"/>
  <c r="AW21" i="7" a="1"/>
  <c r="AW21" i="7" s="1"/>
  <c r="AV21" i="7" a="1"/>
  <c r="AV21" i="7" s="1"/>
  <c r="AU21" i="7" a="1"/>
  <c r="AU21" i="7" s="1"/>
  <c r="AT21" i="7" a="1"/>
  <c r="AT21" i="7" s="1"/>
  <c r="AS21" i="7" a="1"/>
  <c r="AS21" i="7" s="1"/>
  <c r="AR21" i="7" a="1"/>
  <c r="AR21" i="7" s="1"/>
  <c r="AQ21" i="7" a="1"/>
  <c r="AQ21" i="7" s="1"/>
  <c r="AP21" i="7" a="1"/>
  <c r="AP21" i="7" s="1"/>
  <c r="AO21" i="7" a="1"/>
  <c r="AO21" i="7" s="1"/>
  <c r="AN21" i="7" a="1"/>
  <c r="AN21" i="7" s="1"/>
  <c r="AM21" i="7" a="1"/>
  <c r="AM21" i="7" s="1"/>
  <c r="AL21" i="7" a="1"/>
  <c r="AL21" i="7" s="1"/>
  <c r="AK21" i="7" a="1"/>
  <c r="AK21" i="7" s="1"/>
  <c r="AJ21" i="7" a="1"/>
  <c r="AJ21" i="7" s="1"/>
  <c r="AI21" i="7" a="1"/>
  <c r="AI21" i="7" s="1"/>
  <c r="AH21" i="7" a="1"/>
  <c r="AH21" i="7" s="1"/>
  <c r="AG21" i="7" a="1"/>
  <c r="AG21" i="7" s="1"/>
  <c r="AF21" i="7" a="1"/>
  <c r="AF21" i="7" s="1"/>
  <c r="AE21" i="7" a="1"/>
  <c r="AE21" i="7" s="1"/>
  <c r="AD21" i="7" a="1"/>
  <c r="AD21" i="7" s="1"/>
  <c r="AC21" i="7" a="1"/>
  <c r="AC21" i="7" s="1"/>
  <c r="AB21" i="7"/>
  <c r="AB21" i="7" a="1"/>
  <c r="AA21" i="7" a="1"/>
  <c r="AA21" i="7" s="1"/>
  <c r="Z21" i="7" a="1"/>
  <c r="Z21" i="7" s="1"/>
  <c r="Y21" i="7" a="1"/>
  <c r="Y21" i="7" s="1"/>
  <c r="X21" i="7" a="1"/>
  <c r="X21" i="7" s="1"/>
  <c r="W21" i="7" a="1"/>
  <c r="W21" i="7" s="1"/>
  <c r="V21" i="7" a="1"/>
  <c r="V21" i="7" s="1"/>
  <c r="U21" i="7" a="1"/>
  <c r="U21" i="7" s="1"/>
  <c r="T21" i="7" a="1"/>
  <c r="T21" i="7" s="1"/>
  <c r="S21" i="7" a="1"/>
  <c r="S21" i="7" s="1"/>
  <c r="R21" i="7" a="1"/>
  <c r="R21" i="7" s="1"/>
  <c r="Q21" i="7" a="1"/>
  <c r="Q21" i="7" s="1"/>
  <c r="P21" i="7" a="1"/>
  <c r="P21" i="7" s="1"/>
  <c r="O21" i="7" a="1"/>
  <c r="O21" i="7" s="1"/>
  <c r="N21" i="7" a="1"/>
  <c r="N21" i="7" s="1"/>
  <c r="M21" i="7" a="1"/>
  <c r="M21" i="7" s="1"/>
  <c r="L21" i="7" a="1"/>
  <c r="L21" i="7" s="1"/>
  <c r="K21" i="7" a="1"/>
  <c r="K21" i="7" s="1"/>
  <c r="J21" i="7" a="1"/>
  <c r="J21" i="7" s="1"/>
  <c r="I21" i="7" a="1"/>
  <c r="I21" i="7" s="1"/>
  <c r="H21" i="7" a="1"/>
  <c r="H21" i="7" s="1"/>
  <c r="G21" i="7" a="1"/>
  <c r="G21" i="7" s="1"/>
  <c r="F21" i="7" a="1"/>
  <c r="F21" i="7" s="1"/>
  <c r="E21" i="7" a="1"/>
  <c r="E21" i="7" s="1"/>
  <c r="D21" i="7" a="1"/>
  <c r="D21" i="7" s="1"/>
  <c r="C21" i="7" a="1"/>
  <c r="C21" i="7" s="1"/>
  <c r="EF20" i="7" a="1"/>
  <c r="EF20" i="7" s="1"/>
  <c r="EE20" i="7" a="1"/>
  <c r="EE20" i="7" s="1"/>
  <c r="ED20" i="7" a="1"/>
  <c r="ED20" i="7" s="1"/>
  <c r="EC20" i="7" a="1"/>
  <c r="EC20" i="7" s="1"/>
  <c r="EB20" i="7" a="1"/>
  <c r="EB20" i="7" s="1"/>
  <c r="EA20" i="7" a="1"/>
  <c r="EA20" i="7" s="1"/>
  <c r="DZ20" i="7" a="1"/>
  <c r="DZ20" i="7" s="1"/>
  <c r="DY20" i="7" a="1"/>
  <c r="DY20" i="7" s="1"/>
  <c r="DX20" i="7" a="1"/>
  <c r="DX20" i="7" s="1"/>
  <c r="DW20" i="7" a="1"/>
  <c r="DW20" i="7" s="1"/>
  <c r="DV20" i="7" a="1"/>
  <c r="DV20" i="7" s="1"/>
  <c r="DU20" i="7" a="1"/>
  <c r="DU20" i="7" s="1"/>
  <c r="DT20" i="7" a="1"/>
  <c r="DT20" i="7" s="1"/>
  <c r="DS20" i="7" a="1"/>
  <c r="DS20" i="7" s="1"/>
  <c r="DR20" i="7" a="1"/>
  <c r="DR20" i="7" s="1"/>
  <c r="DQ20" i="7" a="1"/>
  <c r="DQ20" i="7" s="1"/>
  <c r="DP20" i="7" a="1"/>
  <c r="DP20" i="7" s="1"/>
  <c r="DO20" i="7" a="1"/>
  <c r="DO20" i="7" s="1"/>
  <c r="DN20" i="7" a="1"/>
  <c r="DN20" i="7" s="1"/>
  <c r="DM20" i="7" a="1"/>
  <c r="DM20" i="7" s="1"/>
  <c r="DL20" i="7" a="1"/>
  <c r="DL20" i="7" s="1"/>
  <c r="DK20" i="7" a="1"/>
  <c r="DK20" i="7" s="1"/>
  <c r="DJ20" i="7" a="1"/>
  <c r="DJ20" i="7" s="1"/>
  <c r="DI20" i="7" a="1"/>
  <c r="DI20" i="7" s="1"/>
  <c r="DH20" i="7" a="1"/>
  <c r="DH20" i="7" s="1"/>
  <c r="DG20" i="7" a="1"/>
  <c r="DG20" i="7" s="1"/>
  <c r="DF20" i="7" a="1"/>
  <c r="DF20" i="7" s="1"/>
  <c r="DE20" i="7" a="1"/>
  <c r="DE20" i="7" s="1"/>
  <c r="DD20" i="7" a="1"/>
  <c r="DD20" i="7" s="1"/>
  <c r="DC20" i="7" a="1"/>
  <c r="DC20" i="7" s="1"/>
  <c r="DB20" i="7" a="1"/>
  <c r="DB20" i="7" s="1"/>
  <c r="DA20" i="7" a="1"/>
  <c r="DA20" i="7" s="1"/>
  <c r="CZ20" i="7" a="1"/>
  <c r="CZ20" i="7" s="1"/>
  <c r="CY20" i="7" a="1"/>
  <c r="CY20" i="7" s="1"/>
  <c r="CX20" i="7" a="1"/>
  <c r="CX20" i="7" s="1"/>
  <c r="CW20" i="7" a="1"/>
  <c r="CW20" i="7" s="1"/>
  <c r="CV20" i="7" a="1"/>
  <c r="CV20" i="7" s="1"/>
  <c r="CU20" i="7" a="1"/>
  <c r="CU20" i="7" s="1"/>
  <c r="CT20" i="7"/>
  <c r="CT20" i="7" a="1"/>
  <c r="CS20" i="7" a="1"/>
  <c r="CS20" i="7" s="1"/>
  <c r="CR20" i="7" a="1"/>
  <c r="CR20" i="7" s="1"/>
  <c r="CQ20" i="7" a="1"/>
  <c r="CQ20" i="7" s="1"/>
  <c r="CP20" i="7" a="1"/>
  <c r="CP20" i="7" s="1"/>
  <c r="CO20" i="7" a="1"/>
  <c r="CO20" i="7" s="1"/>
  <c r="CN20" i="7" a="1"/>
  <c r="CN20" i="7" s="1"/>
  <c r="CM20" i="7" a="1"/>
  <c r="CM20" i="7" s="1"/>
  <c r="CL20" i="7" a="1"/>
  <c r="CL20" i="7" s="1"/>
  <c r="CK20" i="7" a="1"/>
  <c r="CK20" i="7" s="1"/>
  <c r="CJ20" i="7" a="1"/>
  <c r="CJ20" i="7" s="1"/>
  <c r="CI20" i="7" a="1"/>
  <c r="CI20" i="7" s="1"/>
  <c r="CH20" i="7" a="1"/>
  <c r="CH20" i="7" s="1"/>
  <c r="CG20" i="7" a="1"/>
  <c r="CG20" i="7" s="1"/>
  <c r="CF20" i="7" a="1"/>
  <c r="CF20" i="7" s="1"/>
  <c r="CE20" i="7" a="1"/>
  <c r="CE20" i="7" s="1"/>
  <c r="CD20" i="7" a="1"/>
  <c r="CD20" i="7" s="1"/>
  <c r="CC20" i="7" a="1"/>
  <c r="CC20" i="7" s="1"/>
  <c r="CB20" i="7" a="1"/>
  <c r="CB20" i="7" s="1"/>
  <c r="CA20" i="7" a="1"/>
  <c r="CA20" i="7" s="1"/>
  <c r="BZ20" i="7" a="1"/>
  <c r="BZ20" i="7" s="1"/>
  <c r="BY20" i="7" a="1"/>
  <c r="BY20" i="7" s="1"/>
  <c r="BX20" i="7" a="1"/>
  <c r="BX20" i="7" s="1"/>
  <c r="BW20" i="7" a="1"/>
  <c r="BW20" i="7" s="1"/>
  <c r="BV20" i="7" a="1"/>
  <c r="BV20" i="7" s="1"/>
  <c r="BU20" i="7" a="1"/>
  <c r="BU20" i="7" s="1"/>
  <c r="BT20" i="7" a="1"/>
  <c r="BT20" i="7" s="1"/>
  <c r="BS20" i="7" a="1"/>
  <c r="BS20" i="7" s="1"/>
  <c r="BR20" i="7" a="1"/>
  <c r="BR20" i="7" s="1"/>
  <c r="BQ20" i="7" a="1"/>
  <c r="BQ20" i="7" s="1"/>
  <c r="BP20" i="7" a="1"/>
  <c r="BP20" i="7" s="1"/>
  <c r="BO20" i="7" a="1"/>
  <c r="BO20" i="7" s="1"/>
  <c r="BN20" i="7" a="1"/>
  <c r="BN20" i="7" s="1"/>
  <c r="BM20" i="7" a="1"/>
  <c r="BM20" i="7" s="1"/>
  <c r="BL20" i="7" a="1"/>
  <c r="BL20" i="7" s="1"/>
  <c r="BK20" i="7" a="1"/>
  <c r="BK20" i="7" s="1"/>
  <c r="BJ20" i="7" a="1"/>
  <c r="BJ20" i="7" s="1"/>
  <c r="BI20" i="7" a="1"/>
  <c r="BI20" i="7" s="1"/>
  <c r="BH20" i="7" a="1"/>
  <c r="BH20" i="7" s="1"/>
  <c r="BG20" i="7" a="1"/>
  <c r="BG20" i="7" s="1"/>
  <c r="BF20" i="7" a="1"/>
  <c r="BF20" i="7" s="1"/>
  <c r="BE20" i="7" a="1"/>
  <c r="BE20" i="7" s="1"/>
  <c r="BD20" i="7" a="1"/>
  <c r="BD20" i="7" s="1"/>
  <c r="BC20" i="7" a="1"/>
  <c r="BC20" i="7" s="1"/>
  <c r="BB20" i="7" a="1"/>
  <c r="BB20" i="7" s="1"/>
  <c r="BA20" i="7" a="1"/>
  <c r="BA20" i="7" s="1"/>
  <c r="AZ20" i="7" a="1"/>
  <c r="AZ20" i="7" s="1"/>
  <c r="AY20" i="7" a="1"/>
  <c r="AY20" i="7" s="1"/>
  <c r="AX20" i="7" a="1"/>
  <c r="AX20" i="7" s="1"/>
  <c r="AW20" i="7" a="1"/>
  <c r="AW20" i="7" s="1"/>
  <c r="AV20" i="7" a="1"/>
  <c r="AV20" i="7" s="1"/>
  <c r="AU20" i="7" a="1"/>
  <c r="AU20" i="7" s="1"/>
  <c r="AT20" i="7" a="1"/>
  <c r="AT20" i="7" s="1"/>
  <c r="AS20" i="7" a="1"/>
  <c r="AS20" i="7" s="1"/>
  <c r="AR20" i="7" a="1"/>
  <c r="AR20" i="7" s="1"/>
  <c r="AQ20" i="7" a="1"/>
  <c r="AQ20" i="7" s="1"/>
  <c r="AP20" i="7" a="1"/>
  <c r="AP20" i="7" s="1"/>
  <c r="AO20" i="7" a="1"/>
  <c r="AO20" i="7" s="1"/>
  <c r="AN20" i="7" a="1"/>
  <c r="AN20" i="7" s="1"/>
  <c r="AM20" i="7" a="1"/>
  <c r="AM20" i="7" s="1"/>
  <c r="AL20" i="7" a="1"/>
  <c r="AL20" i="7" s="1"/>
  <c r="AK20" i="7" a="1"/>
  <c r="AK20" i="7" s="1"/>
  <c r="AJ20" i="7" a="1"/>
  <c r="AJ20" i="7" s="1"/>
  <c r="AI20" i="7"/>
  <c r="AI20" i="7" a="1"/>
  <c r="AH20" i="7"/>
  <c r="AH20" i="7" a="1"/>
  <c r="AG20" i="7" a="1"/>
  <c r="AG20" i="7" s="1"/>
  <c r="AF20" i="7" a="1"/>
  <c r="AF20" i="7" s="1"/>
  <c r="AE20" i="7" a="1"/>
  <c r="AE20" i="7" s="1"/>
  <c r="AD20" i="7" a="1"/>
  <c r="AD20" i="7" s="1"/>
  <c r="AC20" i="7" a="1"/>
  <c r="AC20" i="7" s="1"/>
  <c r="AB20" i="7" a="1"/>
  <c r="AB20" i="7" s="1"/>
  <c r="AA20" i="7" a="1"/>
  <c r="AA20" i="7" s="1"/>
  <c r="Z20" i="7" a="1"/>
  <c r="Z20" i="7" s="1"/>
  <c r="Y20" i="7" a="1"/>
  <c r="Y20" i="7" s="1"/>
  <c r="X20" i="7" a="1"/>
  <c r="X20" i="7" s="1"/>
  <c r="W20" i="7" a="1"/>
  <c r="W20" i="7" s="1"/>
  <c r="V20" i="7" a="1"/>
  <c r="V20" i="7" s="1"/>
  <c r="U20" i="7" a="1"/>
  <c r="U20" i="7" s="1"/>
  <c r="T20" i="7" a="1"/>
  <c r="T20" i="7" s="1"/>
  <c r="S20" i="7" a="1"/>
  <c r="S20" i="7" s="1"/>
  <c r="R20" i="7" a="1"/>
  <c r="R20" i="7" s="1"/>
  <c r="Q20" i="7" a="1"/>
  <c r="Q20" i="7" s="1"/>
  <c r="P20" i="7" a="1"/>
  <c r="P20" i="7" s="1"/>
  <c r="O20" i="7" a="1"/>
  <c r="O20" i="7" s="1"/>
  <c r="N20" i="7" a="1"/>
  <c r="N20" i="7" s="1"/>
  <c r="M20" i="7" a="1"/>
  <c r="M20" i="7" s="1"/>
  <c r="L20" i="7" a="1"/>
  <c r="L20" i="7" s="1"/>
  <c r="K20" i="7" a="1"/>
  <c r="K20" i="7" s="1"/>
  <c r="J20" i="7" a="1"/>
  <c r="J20" i="7" s="1"/>
  <c r="I20" i="7" a="1"/>
  <c r="I20" i="7" s="1"/>
  <c r="H20" i="7" a="1"/>
  <c r="H20" i="7" s="1"/>
  <c r="G20" i="7" a="1"/>
  <c r="G20" i="7" s="1"/>
  <c r="F20" i="7" a="1"/>
  <c r="F20" i="7" s="1"/>
  <c r="E20" i="7" a="1"/>
  <c r="E20" i="7" s="1"/>
  <c r="D20" i="7" a="1"/>
  <c r="D20" i="7" s="1"/>
  <c r="C20" i="7" a="1"/>
  <c r="C20" i="7" s="1"/>
  <c r="EF19" i="7" a="1"/>
  <c r="EF19" i="7" s="1"/>
  <c r="EE19" i="7" a="1"/>
  <c r="EE19" i="7" s="1"/>
  <c r="ED19" i="7" a="1"/>
  <c r="ED19" i="7" s="1"/>
  <c r="EC19" i="7" a="1"/>
  <c r="EC19" i="7" s="1"/>
  <c r="EB19" i="7" a="1"/>
  <c r="EB19" i="7" s="1"/>
  <c r="EA19" i="7" a="1"/>
  <c r="EA19" i="7" s="1"/>
  <c r="DZ19" i="7" a="1"/>
  <c r="DZ19" i="7" s="1"/>
  <c r="DY19" i="7" a="1"/>
  <c r="DY19" i="7" s="1"/>
  <c r="DX19" i="7" a="1"/>
  <c r="DX19" i="7" s="1"/>
  <c r="DW19" i="7" a="1"/>
  <c r="DW19" i="7" s="1"/>
  <c r="DV19" i="7" a="1"/>
  <c r="DV19" i="7" s="1"/>
  <c r="DU19" i="7" a="1"/>
  <c r="DU19" i="7" s="1"/>
  <c r="DT19" i="7" a="1"/>
  <c r="DT19" i="7" s="1"/>
  <c r="DS19" i="7" a="1"/>
  <c r="DS19" i="7" s="1"/>
  <c r="DR19" i="7" a="1"/>
  <c r="DR19" i="7" s="1"/>
  <c r="DQ19" i="7" a="1"/>
  <c r="DQ19" i="7" s="1"/>
  <c r="DP19" i="7"/>
  <c r="DP19" i="7" a="1"/>
  <c r="DO19" i="7"/>
  <c r="DO19" i="7" a="1"/>
  <c r="DN19" i="7" a="1"/>
  <c r="DN19" i="7" s="1"/>
  <c r="DM19" i="7" a="1"/>
  <c r="DM19" i="7" s="1"/>
  <c r="DL19" i="7" a="1"/>
  <c r="DL19" i="7" s="1"/>
  <c r="DK19" i="7" a="1"/>
  <c r="DK19" i="7" s="1"/>
  <c r="DJ19" i="7" a="1"/>
  <c r="DJ19" i="7" s="1"/>
  <c r="DI19" i="7" a="1"/>
  <c r="DI19" i="7" s="1"/>
  <c r="DH19" i="7" a="1"/>
  <c r="DH19" i="7" s="1"/>
  <c r="DG19" i="7" a="1"/>
  <c r="DG19" i="7" s="1"/>
  <c r="DF19" i="7" a="1"/>
  <c r="DF19" i="7" s="1"/>
  <c r="DE19" i="7"/>
  <c r="DE19" i="7" a="1"/>
  <c r="DD19" i="7" a="1"/>
  <c r="DD19" i="7" s="1"/>
  <c r="DC19" i="7" a="1"/>
  <c r="DC19" i="7" s="1"/>
  <c r="DB19" i="7" a="1"/>
  <c r="DB19" i="7" s="1"/>
  <c r="DA19" i="7" a="1"/>
  <c r="DA19" i="7" s="1"/>
  <c r="CZ19" i="7" a="1"/>
  <c r="CZ19" i="7" s="1"/>
  <c r="CY19" i="7" a="1"/>
  <c r="CY19" i="7" s="1"/>
  <c r="CX19" i="7" a="1"/>
  <c r="CX19" i="7" s="1"/>
  <c r="CW19" i="7" a="1"/>
  <c r="CW19" i="7" s="1"/>
  <c r="CV19" i="7" a="1"/>
  <c r="CV19" i="7" s="1"/>
  <c r="CU19" i="7" a="1"/>
  <c r="CU19" i="7" s="1"/>
  <c r="CT19" i="7" a="1"/>
  <c r="CT19" i="7" s="1"/>
  <c r="CS19" i="7" a="1"/>
  <c r="CS19" i="7" s="1"/>
  <c r="CR19" i="7" a="1"/>
  <c r="CR19" i="7" s="1"/>
  <c r="CQ19" i="7" a="1"/>
  <c r="CQ19" i="7" s="1"/>
  <c r="CP19" i="7" a="1"/>
  <c r="CP19" i="7" s="1"/>
  <c r="CO19" i="7" a="1"/>
  <c r="CO19" i="7" s="1"/>
  <c r="CN19" i="7" a="1"/>
  <c r="CN19" i="7" s="1"/>
  <c r="CM19" i="7" a="1"/>
  <c r="CM19" i="7" s="1"/>
  <c r="CL19" i="7" a="1"/>
  <c r="CL19" i="7" s="1"/>
  <c r="CK19" i="7" a="1"/>
  <c r="CK19" i="7" s="1"/>
  <c r="CJ19" i="7" a="1"/>
  <c r="CJ19" i="7" s="1"/>
  <c r="CI19" i="7"/>
  <c r="CI19" i="7" a="1"/>
  <c r="CH19" i="7" a="1"/>
  <c r="CH19" i="7" s="1"/>
  <c r="CG19" i="7" a="1"/>
  <c r="CG19" i="7" s="1"/>
  <c r="CF19" i="7" a="1"/>
  <c r="CF19" i="7" s="1"/>
  <c r="CE19" i="7" a="1"/>
  <c r="CE19" i="7" s="1"/>
  <c r="CD19" i="7" a="1"/>
  <c r="CD19" i="7" s="1"/>
  <c r="CC19" i="7" a="1"/>
  <c r="CC19" i="7" s="1"/>
  <c r="CB19" i="7" a="1"/>
  <c r="CB19" i="7" s="1"/>
  <c r="CA19" i="7" a="1"/>
  <c r="CA19" i="7" s="1"/>
  <c r="BZ19" i="7"/>
  <c r="BZ19" i="7" a="1"/>
  <c r="BY19" i="7"/>
  <c r="BY19" i="7" a="1"/>
  <c r="BX19" i="7" a="1"/>
  <c r="BX19" i="7" s="1"/>
  <c r="BW19" i="7" a="1"/>
  <c r="BW19" i="7" s="1"/>
  <c r="BV19" i="7" a="1"/>
  <c r="BV19" i="7" s="1"/>
  <c r="BU19" i="7" a="1"/>
  <c r="BU19" i="7" s="1"/>
  <c r="BT19" i="7" a="1"/>
  <c r="BT19" i="7" s="1"/>
  <c r="BS19" i="7" a="1"/>
  <c r="BS19" i="7" s="1"/>
  <c r="BR19" i="7" a="1"/>
  <c r="BR19" i="7" s="1"/>
  <c r="BQ19" i="7" a="1"/>
  <c r="BQ19" i="7" s="1"/>
  <c r="BP19" i="7" a="1"/>
  <c r="BP19" i="7" s="1"/>
  <c r="BO19" i="7" a="1"/>
  <c r="BO19" i="7" s="1"/>
  <c r="BN19" i="7" a="1"/>
  <c r="BN19" i="7" s="1"/>
  <c r="BM19" i="7" a="1"/>
  <c r="BM19" i="7" s="1"/>
  <c r="BL19" i="7" a="1"/>
  <c r="BL19" i="7" s="1"/>
  <c r="BK19" i="7" a="1"/>
  <c r="BK19" i="7" s="1"/>
  <c r="BJ19" i="7" a="1"/>
  <c r="BJ19" i="7" s="1"/>
  <c r="BI19" i="7" a="1"/>
  <c r="BI19" i="7" s="1"/>
  <c r="BH19" i="7" a="1"/>
  <c r="BH19" i="7" s="1"/>
  <c r="BG19" i="7" a="1"/>
  <c r="BG19" i="7" s="1"/>
  <c r="BF19" i="7" a="1"/>
  <c r="BF19" i="7" s="1"/>
  <c r="BE19" i="7" a="1"/>
  <c r="BE19" i="7" s="1"/>
  <c r="BD19" i="7"/>
  <c r="BD19" i="7" a="1"/>
  <c r="BC19" i="7"/>
  <c r="BC19" i="7" a="1"/>
  <c r="BB19" i="7" a="1"/>
  <c r="BB19" i="7" s="1"/>
  <c r="BA19" i="7" a="1"/>
  <c r="BA19" i="7" s="1"/>
  <c r="AZ19" i="7" a="1"/>
  <c r="AZ19" i="7" s="1"/>
  <c r="AY19" i="7" a="1"/>
  <c r="AY19" i="7" s="1"/>
  <c r="AX19" i="7" a="1"/>
  <c r="AX19" i="7" s="1"/>
  <c r="AW19" i="7" a="1"/>
  <c r="AW19" i="7" s="1"/>
  <c r="AV19" i="7" a="1"/>
  <c r="AV19" i="7" s="1"/>
  <c r="AU19" i="7" a="1"/>
  <c r="AU19" i="7" s="1"/>
  <c r="AT19" i="7" a="1"/>
  <c r="AT19" i="7" s="1"/>
  <c r="AS19" i="7"/>
  <c r="AS19" i="7" a="1"/>
  <c r="AR19" i="7" a="1"/>
  <c r="AR19" i="7" s="1"/>
  <c r="AQ19" i="7" a="1"/>
  <c r="AQ19" i="7" s="1"/>
  <c r="AP19" i="7" a="1"/>
  <c r="AP19" i="7" s="1"/>
  <c r="AO19" i="7" a="1"/>
  <c r="AO19" i="7" s="1"/>
  <c r="AN19" i="7" a="1"/>
  <c r="AN19" i="7" s="1"/>
  <c r="AM19" i="7" a="1"/>
  <c r="AM19" i="7" s="1"/>
  <c r="AL19" i="7" a="1"/>
  <c r="AL19" i="7" s="1"/>
  <c r="AK19" i="7" a="1"/>
  <c r="AK19" i="7" s="1"/>
  <c r="AJ19" i="7" a="1"/>
  <c r="AJ19" i="7" s="1"/>
  <c r="AI19" i="7" a="1"/>
  <c r="AI19" i="7" s="1"/>
  <c r="AH19" i="7" a="1"/>
  <c r="AH19" i="7" s="1"/>
  <c r="AG19" i="7" a="1"/>
  <c r="AG19" i="7" s="1"/>
  <c r="AF19" i="7" a="1"/>
  <c r="AF19" i="7" s="1"/>
  <c r="AE19" i="7" a="1"/>
  <c r="AE19" i="7" s="1"/>
  <c r="AD19" i="7" a="1"/>
  <c r="AD19" i="7" s="1"/>
  <c r="AC19" i="7" a="1"/>
  <c r="AC19" i="7" s="1"/>
  <c r="AB19" i="7" a="1"/>
  <c r="AB19" i="7" s="1"/>
  <c r="AA19" i="7" a="1"/>
  <c r="AA19" i="7" s="1"/>
  <c r="Z19" i="7" a="1"/>
  <c r="Z19" i="7" s="1"/>
  <c r="Y19" i="7" a="1"/>
  <c r="Y19" i="7" s="1"/>
  <c r="X19" i="7" a="1"/>
  <c r="X19" i="7" s="1"/>
  <c r="W19" i="7"/>
  <c r="W19" i="7" a="1"/>
  <c r="V19" i="7" a="1"/>
  <c r="V19" i="7" s="1"/>
  <c r="U19" i="7" a="1"/>
  <c r="U19" i="7" s="1"/>
  <c r="T19" i="7" a="1"/>
  <c r="T19" i="7" s="1"/>
  <c r="S19" i="7" a="1"/>
  <c r="S19" i="7" s="1"/>
  <c r="R19" i="7" a="1"/>
  <c r="R19" i="7" s="1"/>
  <c r="Q19" i="7" a="1"/>
  <c r="Q19" i="7" s="1"/>
  <c r="P19" i="7" a="1"/>
  <c r="P19" i="7" s="1"/>
  <c r="O19" i="7" a="1"/>
  <c r="O19" i="7" s="1"/>
  <c r="N19" i="7"/>
  <c r="N19" i="7" a="1"/>
  <c r="M19" i="7"/>
  <c r="M19" i="7" a="1"/>
  <c r="L19" i="7" a="1"/>
  <c r="L19" i="7" s="1"/>
  <c r="K19" i="7" a="1"/>
  <c r="K19" i="7" s="1"/>
  <c r="J19" i="7" a="1"/>
  <c r="J19" i="7" s="1"/>
  <c r="I19" i="7" a="1"/>
  <c r="I19" i="7" s="1"/>
  <c r="H19" i="7" a="1"/>
  <c r="H19" i="7" s="1"/>
  <c r="G19" i="7" a="1"/>
  <c r="G19" i="7" s="1"/>
  <c r="F19" i="7" a="1"/>
  <c r="F19" i="7" s="1"/>
  <c r="E19" i="7" a="1"/>
  <c r="E19" i="7" s="1"/>
  <c r="D19" i="7" a="1"/>
  <c r="D19" i="7" s="1"/>
  <c r="C19" i="7" a="1"/>
  <c r="C19" i="7" s="1"/>
  <c r="EF18" i="7" a="1"/>
  <c r="EF18" i="7" s="1"/>
  <c r="EE18" i="7" a="1"/>
  <c r="EE18" i="7" s="1"/>
  <c r="ED18" i="7" a="1"/>
  <c r="ED18" i="7" s="1"/>
  <c r="EC18" i="7" a="1"/>
  <c r="EC18" i="7" s="1"/>
  <c r="EB18" i="7" a="1"/>
  <c r="EB18" i="7" s="1"/>
  <c r="EA18" i="7" a="1"/>
  <c r="EA18" i="7" s="1"/>
  <c r="DZ18" i="7" a="1"/>
  <c r="DZ18" i="7" s="1"/>
  <c r="DY18" i="7" a="1"/>
  <c r="DY18" i="7" s="1"/>
  <c r="DX18" i="7" a="1"/>
  <c r="DX18" i="7" s="1"/>
  <c r="DW18" i="7" a="1"/>
  <c r="DW18" i="7" s="1"/>
  <c r="DV18" i="7"/>
  <c r="DV18" i="7" a="1"/>
  <c r="DU18" i="7"/>
  <c r="DU18" i="7" a="1"/>
  <c r="DT18" i="7" a="1"/>
  <c r="DT18" i="7" s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 a="1"/>
  <c r="DN18" i="7" s="1"/>
  <c r="DM18" i="7" a="1"/>
  <c r="DM18" i="7" s="1"/>
  <c r="DL18" i="7" a="1"/>
  <c r="DL18" i="7" s="1"/>
  <c r="DK18" i="7"/>
  <c r="DK18" i="7" a="1"/>
  <c r="DJ18" i="7" a="1"/>
  <c r="DJ18" i="7" s="1"/>
  <c r="DI18" i="7" a="1"/>
  <c r="DI18" i="7" s="1"/>
  <c r="DH18" i="7" a="1"/>
  <c r="DH18" i="7" s="1"/>
  <c r="DG18" i="7" a="1"/>
  <c r="DG18" i="7" s="1"/>
  <c r="DF18" i="7" a="1"/>
  <c r="DF18" i="7" s="1"/>
  <c r="DE18" i="7" a="1"/>
  <c r="DE18" i="7" s="1"/>
  <c r="DD18" i="7" a="1"/>
  <c r="DD18" i="7" s="1"/>
  <c r="DC18" i="7" a="1"/>
  <c r="DC18" i="7" s="1"/>
  <c r="DB18" i="7" a="1"/>
  <c r="DB18" i="7" s="1"/>
  <c r="DA18" i="7" a="1"/>
  <c r="DA18" i="7" s="1"/>
  <c r="CZ18" i="7" a="1"/>
  <c r="CZ18" i="7" s="1"/>
  <c r="CY18" i="7" a="1"/>
  <c r="CY18" i="7" s="1"/>
  <c r="CX18" i="7" a="1"/>
  <c r="CX18" i="7" s="1"/>
  <c r="CW18" i="7" a="1"/>
  <c r="CW18" i="7" s="1"/>
  <c r="CV18" i="7" a="1"/>
  <c r="CV18" i="7" s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 a="1"/>
  <c r="CP18" i="7" s="1"/>
  <c r="CO18" i="7"/>
  <c r="CO18" i="7" a="1"/>
  <c r="CN18" i="7" a="1"/>
  <c r="CN18" i="7" s="1"/>
  <c r="CM18" i="7" a="1"/>
  <c r="CM18" i="7" s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/>
  <c r="CF18" i="7" a="1"/>
  <c r="CE18" i="7"/>
  <c r="CE18" i="7" a="1"/>
  <c r="CD18" i="7" a="1"/>
  <c r="CD18" i="7" s="1"/>
  <c r="CC18" i="7" a="1"/>
  <c r="CC18" i="7" s="1"/>
  <c r="CB18" i="7" a="1"/>
  <c r="CB18" i="7" s="1"/>
  <c r="CA18" i="7" a="1"/>
  <c r="CA18" i="7" s="1"/>
  <c r="BZ18" i="7" a="1"/>
  <c r="BZ18" i="7" s="1"/>
  <c r="BY18" i="7" a="1"/>
  <c r="BY18" i="7" s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 a="1"/>
  <c r="BR18" i="7" s="1"/>
  <c r="BQ18" i="7" a="1"/>
  <c r="BQ18" i="7" s="1"/>
  <c r="BP18" i="7" a="1"/>
  <c r="BP18" i="7" s="1"/>
  <c r="BO18" i="7" a="1"/>
  <c r="BO18" i="7" s="1"/>
  <c r="BN18" i="7" a="1"/>
  <c r="BN18" i="7" s="1"/>
  <c r="BM18" i="7" a="1"/>
  <c r="BM18" i="7" s="1"/>
  <c r="BL18" i="7" a="1"/>
  <c r="BL18" i="7" s="1"/>
  <c r="BK18" i="7" a="1"/>
  <c r="BK18" i="7" s="1"/>
  <c r="BJ18" i="7"/>
  <c r="BJ18" i="7" a="1"/>
  <c r="BI18" i="7"/>
  <c r="BI18" i="7" a="1"/>
  <c r="BH18" i="7" a="1"/>
  <c r="BH18" i="7" s="1"/>
  <c r="BG18" i="7" a="1"/>
  <c r="BG18" i="7" s="1"/>
  <c r="BF18" i="7" a="1"/>
  <c r="BF18" i="7" s="1"/>
  <c r="BE18" i="7" a="1"/>
  <c r="BE18" i="7" s="1"/>
  <c r="BD18" i="7" a="1"/>
  <c r="BD18" i="7" s="1"/>
  <c r="BC18" i="7" a="1"/>
  <c r="BC18" i="7" s="1"/>
  <c r="BB18" i="7" a="1"/>
  <c r="BB18" i="7" s="1"/>
  <c r="BA18" i="7" a="1"/>
  <c r="BA18" i="7" s="1"/>
  <c r="AZ18" i="7" a="1"/>
  <c r="AZ18" i="7" s="1"/>
  <c r="AY18" i="7"/>
  <c r="AY18" i="7" a="1"/>
  <c r="AX18" i="7" a="1"/>
  <c r="AX18" i="7" s="1"/>
  <c r="AW18" i="7" a="1"/>
  <c r="AW18" i="7" s="1"/>
  <c r="AV18" i="7" a="1"/>
  <c r="AV18" i="7" s="1"/>
  <c r="AU18" i="7" a="1"/>
  <c r="AU18" i="7" s="1"/>
  <c r="AT18" i="7" a="1"/>
  <c r="AT18" i="7" s="1"/>
  <c r="AS18" i="7" a="1"/>
  <c r="AS18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L18" i="7" a="1"/>
  <c r="AL18" i="7" s="1"/>
  <c r="AK18" i="7" a="1"/>
  <c r="AK18" i="7" s="1"/>
  <c r="AJ18" i="7" a="1"/>
  <c r="AJ18" i="7" s="1"/>
  <c r="AI18" i="7" a="1"/>
  <c r="AI18" i="7" s="1"/>
  <c r="AH18" i="7" a="1"/>
  <c r="AH18" i="7" s="1"/>
  <c r="AG18" i="7" a="1"/>
  <c r="AG18" i="7" s="1"/>
  <c r="AF18" i="7" a="1"/>
  <c r="AF18" i="7" s="1"/>
  <c r="AE18" i="7" a="1"/>
  <c r="AE18" i="7" s="1"/>
  <c r="AD18" i="7" a="1"/>
  <c r="AD18" i="7" s="1"/>
  <c r="AC18" i="7"/>
  <c r="AC18" i="7" a="1"/>
  <c r="AB18" i="7" a="1"/>
  <c r="AB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U18" i="7" a="1"/>
  <c r="U18" i="7" s="1"/>
  <c r="T18" i="7"/>
  <c r="T18" i="7" a="1"/>
  <c r="S18" i="7"/>
  <c r="S18" i="7" a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 a="1"/>
  <c r="E18" i="7" s="1"/>
  <c r="D18" i="7" a="1"/>
  <c r="D18" i="7" s="1"/>
  <c r="C18" i="7" a="1"/>
  <c r="C18" i="7" s="1"/>
  <c r="EF17" i="7" a="1"/>
  <c r="EF17" i="7" s="1"/>
  <c r="EE17" i="7" a="1"/>
  <c r="EE17" i="7" s="1"/>
  <c r="ED17" i="7" a="1"/>
  <c r="ED17" i="7" s="1"/>
  <c r="EC17" i="7" a="1"/>
  <c r="EC17" i="7" s="1"/>
  <c r="EB17" i="7"/>
  <c r="EB17" i="7" a="1"/>
  <c r="EA17" i="7"/>
  <c r="EA17" i="7" a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/>
  <c r="DQ17" i="7" a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 a="1"/>
  <c r="DC17" i="7" s="1"/>
  <c r="DB17" i="7" a="1"/>
  <c r="DB17" i="7" s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/>
  <c r="CU17" i="7" a="1"/>
  <c r="CT17" i="7" a="1"/>
  <c r="CT17" i="7" s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/>
  <c r="CL17" i="7" a="1"/>
  <c r="CK17" i="7"/>
  <c r="CK17" i="7" a="1"/>
  <c r="CJ17" i="7" a="1"/>
  <c r="CJ17" i="7" s="1"/>
  <c r="CI17" i="7" a="1"/>
  <c r="CI17" i="7" s="1"/>
  <c r="CH17" i="7" a="1"/>
  <c r="CH17" i="7" s="1"/>
  <c r="CG17" i="7" a="1"/>
  <c r="CG17" i="7" s="1"/>
  <c r="CF17" i="7" a="1"/>
  <c r="CF17" i="7" s="1"/>
  <c r="CE17" i="7" a="1"/>
  <c r="CE17" i="7" s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 a="1"/>
  <c r="BU17" i="7" s="1"/>
  <c r="BT17" i="7" a="1"/>
  <c r="BT17" i="7" s="1"/>
  <c r="BS17" i="7" a="1"/>
  <c r="BS17" i="7" s="1"/>
  <c r="BR17" i="7" a="1"/>
  <c r="BR17" i="7" s="1"/>
  <c r="BQ17" i="7" a="1"/>
  <c r="BQ17" i="7" s="1"/>
  <c r="BP17" i="7"/>
  <c r="BP17" i="7" a="1"/>
  <c r="BO17" i="7"/>
  <c r="BO17" i="7" a="1"/>
  <c r="BN17" i="7" a="1"/>
  <c r="BN17" i="7" s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/>
  <c r="BH17" i="7" a="1"/>
  <c r="BG17" i="7" a="1"/>
  <c r="BG17" i="7" s="1"/>
  <c r="BF17" i="7" a="1"/>
  <c r="BF17" i="7" s="1"/>
  <c r="BE17" i="7"/>
  <c r="BE17" i="7" a="1"/>
  <c r="BD17" i="7" a="1"/>
  <c r="BD17" i="7" s="1"/>
  <c r="BC17" i="7" a="1"/>
  <c r="BC17" i="7" s="1"/>
  <c r="BB17" i="7" a="1"/>
  <c r="BB17" i="7" s="1"/>
  <c r="BA17" i="7" a="1"/>
  <c r="BA17" i="7" s="1"/>
  <c r="AZ17" i="7" a="1"/>
  <c r="AZ17" i="7" s="1"/>
  <c r="AY17" i="7" a="1"/>
  <c r="AY17" i="7" s="1"/>
  <c r="AX17" i="7" a="1"/>
  <c r="AX17" i="7" s="1"/>
  <c r="AW17" i="7"/>
  <c r="AW17" i="7" a="1"/>
  <c r="AV17" i="7" a="1"/>
  <c r="AV17" i="7" s="1"/>
  <c r="AU17" i="7" a="1"/>
  <c r="AU17" i="7" s="1"/>
  <c r="AT17" i="7" a="1"/>
  <c r="AT17" i="7" s="1"/>
  <c r="AS17" i="7"/>
  <c r="AS17" i="7" a="1"/>
  <c r="AR17" i="7"/>
  <c r="AR17" i="7" a="1"/>
  <c r="AQ17" i="7"/>
  <c r="AQ17" i="7" a="1"/>
  <c r="AP17" i="7" a="1"/>
  <c r="AP17" i="7" s="1"/>
  <c r="AO17" i="7"/>
  <c r="AO17" i="7" a="1"/>
  <c r="AN17" i="7" a="1"/>
  <c r="AN17" i="7" s="1"/>
  <c r="AM17" i="7" a="1"/>
  <c r="AM17" i="7" s="1"/>
  <c r="AL17" i="7" a="1"/>
  <c r="AL17" i="7" s="1"/>
  <c r="AK17" i="7"/>
  <c r="AK17" i="7" a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AD17" i="7" a="1"/>
  <c r="AD17" i="7" s="1"/>
  <c r="AC17" i="7" a="1"/>
  <c r="AC17" i="7" s="1"/>
  <c r="AB17" i="7" a="1"/>
  <c r="AB17" i="7" s="1"/>
  <c r="AA17" i="7"/>
  <c r="AA17" i="7" a="1"/>
  <c r="Z17" i="7"/>
  <c r="Z17" i="7" a="1"/>
  <c r="Y17" i="7"/>
  <c r="Y17" i="7" a="1"/>
  <c r="X17" i="7" a="1"/>
  <c r="X17" i="7" s="1"/>
  <c r="W17" i="7" a="1"/>
  <c r="W17" i="7" s="1"/>
  <c r="V17" i="7" a="1"/>
  <c r="V17" i="7" s="1"/>
  <c r="U17" i="7" a="1"/>
  <c r="U17" i="7" s="1"/>
  <c r="T17" i="7" a="1"/>
  <c r="T17" i="7" s="1"/>
  <c r="S17" i="7"/>
  <c r="S17" i="7" a="1"/>
  <c r="R17" i="7"/>
  <c r="R17" i="7" a="1"/>
  <c r="Q17" i="7" a="1"/>
  <c r="Q17" i="7" s="1"/>
  <c r="P17" i="7" a="1"/>
  <c r="P17" i="7" s="1"/>
  <c r="O17" i="7" a="1"/>
  <c r="O17" i="7" s="1"/>
  <c r="N17" i="7" a="1"/>
  <c r="N17" i="7" s="1"/>
  <c r="M17" i="7"/>
  <c r="M17" i="7" a="1"/>
  <c r="L17" i="7" a="1"/>
  <c r="L17" i="7" s="1"/>
  <c r="K17" i="7"/>
  <c r="K17" i="7" a="1"/>
  <c r="J17" i="7" a="1"/>
  <c r="J17" i="7" s="1"/>
  <c r="I17" i="7" a="1"/>
  <c r="I17" i="7" s="1"/>
  <c r="H17" i="7" a="1"/>
  <c r="H17" i="7" s="1"/>
  <c r="G17" i="7" a="1"/>
  <c r="G17" i="7" s="1"/>
  <c r="F17" i="7" a="1"/>
  <c r="F17" i="7" s="1"/>
  <c r="E17" i="7" a="1"/>
  <c r="E17" i="7" s="1"/>
  <c r="D17" i="7" a="1"/>
  <c r="D17" i="7" s="1"/>
  <c r="C17" i="7" a="1"/>
  <c r="C17" i="7" s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/>
  <c r="EA16" i="7" a="1"/>
  <c r="DZ16" i="7"/>
  <c r="DZ16" i="7" a="1"/>
  <c r="DY16" i="7"/>
  <c r="DY16" i="7" a="1"/>
  <c r="DX16" i="7"/>
  <c r="DX16" i="7" a="1"/>
  <c r="DW16" i="7" a="1"/>
  <c r="DW16" i="7" s="1"/>
  <c r="DV16" i="7" a="1"/>
  <c r="DV16" i="7" s="1"/>
  <c r="DU16" i="7" a="1"/>
  <c r="DU16" i="7" s="1"/>
  <c r="DT16" i="7" a="1"/>
  <c r="DT16" i="7" s="1"/>
  <c r="DS16" i="7" a="1"/>
  <c r="DS16" i="7" s="1"/>
  <c r="DR16" i="7"/>
  <c r="DR16" i="7" a="1"/>
  <c r="DQ16" i="7" a="1"/>
  <c r="DQ16" i="7" s="1"/>
  <c r="DP16" i="7" a="1"/>
  <c r="DP16" i="7" s="1"/>
  <c r="DO16" i="7" a="1"/>
  <c r="DO16" i="7" s="1"/>
  <c r="DN16" i="7" a="1"/>
  <c r="DN16" i="7" s="1"/>
  <c r="DM16" i="7" a="1"/>
  <c r="DM16" i="7" s="1"/>
  <c r="DL16" i="7" a="1"/>
  <c r="DL16" i="7" s="1"/>
  <c r="DK16" i="7"/>
  <c r="DK16" i="7" a="1"/>
  <c r="DJ16" i="7" a="1"/>
  <c r="DJ16" i="7" s="1"/>
  <c r="DI16" i="7" a="1"/>
  <c r="DI16" i="7" s="1"/>
  <c r="DH16" i="7"/>
  <c r="DH16" i="7" a="1"/>
  <c r="DG16" i="7"/>
  <c r="DG16" i="7" a="1"/>
  <c r="DF16" i="7" a="1"/>
  <c r="DF16" i="7" s="1"/>
  <c r="DE16" i="7" a="1"/>
  <c r="DE16" i="7" s="1"/>
  <c r="DD16" i="7" a="1"/>
  <c r="DD16" i="7" s="1"/>
  <c r="DC16" i="7" a="1"/>
  <c r="DC16" i="7" s="1"/>
  <c r="DB16" i="7" a="1"/>
  <c r="DB16" i="7" s="1"/>
  <c r="DA16" i="7" a="1"/>
  <c r="DA16" i="7" s="1"/>
  <c r="CZ16" i="7"/>
  <c r="CZ16" i="7" a="1"/>
  <c r="CY16" i="7"/>
  <c r="CY16" i="7" a="1"/>
  <c r="CX16" i="7" a="1"/>
  <c r="CX16" i="7" s="1"/>
  <c r="CW16" i="7" a="1"/>
  <c r="CW16" i="7" s="1"/>
  <c r="CV16" i="7" a="1"/>
  <c r="CV16" i="7" s="1"/>
  <c r="CU16" i="7"/>
  <c r="CU16" i="7" a="1"/>
  <c r="CT16" i="7"/>
  <c r="CT16" i="7" a="1"/>
  <c r="CS16" i="7" a="1"/>
  <c r="CS16" i="7" s="1"/>
  <c r="CR16" i="7"/>
  <c r="CR16" i="7" a="1"/>
  <c r="CQ16" i="7" a="1"/>
  <c r="CQ16" i="7" s="1"/>
  <c r="CP16" i="7" a="1"/>
  <c r="CP16" i="7" s="1"/>
  <c r="CO16" i="7" a="1"/>
  <c r="CO16" i="7" s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 a="1"/>
  <c r="CI16" i="7" s="1"/>
  <c r="CH16" i="7" a="1"/>
  <c r="CH16" i="7" s="1"/>
  <c r="CG16" i="7" a="1"/>
  <c r="CG16" i="7" s="1"/>
  <c r="CF16" i="7" a="1"/>
  <c r="CF16" i="7" s="1"/>
  <c r="CE16" i="7"/>
  <c r="CE16" i="7" a="1"/>
  <c r="CD16" i="7"/>
  <c r="CD16" i="7" a="1"/>
  <c r="CC16" i="7"/>
  <c r="CC16" i="7" a="1"/>
  <c r="CB16" i="7"/>
  <c r="CB16" i="7" a="1"/>
  <c r="CA16" i="7"/>
  <c r="CA16" i="7" a="1"/>
  <c r="BZ16" i="7" a="1"/>
  <c r="BZ16" i="7" s="1"/>
  <c r="BY16" i="7" a="1"/>
  <c r="BY16" i="7" s="1"/>
  <c r="BX16" i="7" a="1"/>
  <c r="BX16" i="7" s="1"/>
  <c r="BW16" i="7" a="1"/>
  <c r="BW16" i="7" s="1"/>
  <c r="BV16" i="7"/>
  <c r="BV16" i="7" a="1"/>
  <c r="BU16" i="7"/>
  <c r="BU16" i="7" a="1"/>
  <c r="BT16" i="7" a="1"/>
  <c r="BT16" i="7" s="1"/>
  <c r="BS16" i="7" a="1"/>
  <c r="BS16" i="7" s="1"/>
  <c r="BR16" i="7" a="1"/>
  <c r="BR16" i="7" s="1"/>
  <c r="BQ16" i="7" a="1"/>
  <c r="BQ16" i="7" s="1"/>
  <c r="BP16" i="7" a="1"/>
  <c r="BP16" i="7" s="1"/>
  <c r="BO16" i="7" a="1"/>
  <c r="BO16" i="7" s="1"/>
  <c r="BN16" i="7"/>
  <c r="BN16" i="7" a="1"/>
  <c r="BM16" i="7" a="1"/>
  <c r="BM16" i="7" s="1"/>
  <c r="BL16" i="7"/>
  <c r="BL16" i="7" a="1"/>
  <c r="BK16" i="7"/>
  <c r="BK16" i="7" a="1"/>
  <c r="BJ16" i="7" a="1"/>
  <c r="BJ16" i="7" s="1"/>
  <c r="BI16" i="7" a="1"/>
  <c r="BI16" i="7" s="1"/>
  <c r="BH16" i="7" a="1"/>
  <c r="BH16" i="7" s="1"/>
  <c r="BG16" i="7" a="1"/>
  <c r="BG16" i="7" s="1"/>
  <c r="BF16" i="7" a="1"/>
  <c r="BF16" i="7" s="1"/>
  <c r="BE16" i="7" a="1"/>
  <c r="BE16" i="7" s="1"/>
  <c r="BD16" i="7" a="1"/>
  <c r="BD16" i="7" s="1"/>
  <c r="BC16" i="7"/>
  <c r="BC16" i="7" a="1"/>
  <c r="BB16" i="7" a="1"/>
  <c r="BB16" i="7" s="1"/>
  <c r="BA16" i="7" a="1"/>
  <c r="BA16" i="7" s="1"/>
  <c r="AZ16" i="7" a="1"/>
  <c r="AZ16" i="7" s="1"/>
  <c r="AY16" i="7"/>
  <c r="AY16" i="7" a="1"/>
  <c r="AX16" i="7"/>
  <c r="AX16" i="7" a="1"/>
  <c r="AW16" i="7"/>
  <c r="AW16" i="7" a="1"/>
  <c r="AV16" i="7" a="1"/>
  <c r="AV16" i="7" s="1"/>
  <c r="AU16" i="7"/>
  <c r="AU16" i="7" a="1"/>
  <c r="AT16" i="7" a="1"/>
  <c r="AT16" i="7" s="1"/>
  <c r="AS16" i="7" a="1"/>
  <c r="AS16" i="7" s="1"/>
  <c r="AR16" i="7" a="1"/>
  <c r="AR16" i="7" s="1"/>
  <c r="AQ16" i="7"/>
  <c r="AQ16" i="7" a="1"/>
  <c r="AP16" i="7" a="1"/>
  <c r="AP16" i="7" s="1"/>
  <c r="AO16" i="7" a="1"/>
  <c r="AO16" i="7" s="1"/>
  <c r="AN16" i="7" a="1"/>
  <c r="AN16" i="7" s="1"/>
  <c r="AM16" i="7" a="1"/>
  <c r="AM16" i="7" s="1"/>
  <c r="AL16" i="7" a="1"/>
  <c r="AL16" i="7" s="1"/>
  <c r="AK16" i="7" a="1"/>
  <c r="AK16" i="7" s="1"/>
  <c r="AJ16" i="7" a="1"/>
  <c r="AJ16" i="7" s="1"/>
  <c r="AI16" i="7" a="1"/>
  <c r="AI16" i="7" s="1"/>
  <c r="AH16" i="7"/>
  <c r="AH16" i="7" a="1"/>
  <c r="AG16" i="7"/>
  <c r="AG16" i="7" a="1"/>
  <c r="AF16" i="7"/>
  <c r="AF16" i="7" a="1"/>
  <c r="AE16" i="7"/>
  <c r="AE16" i="7" a="1"/>
  <c r="AD16" i="7" a="1"/>
  <c r="AD16" i="7" s="1"/>
  <c r="AC16" i="7" a="1"/>
  <c r="AC16" i="7" s="1"/>
  <c r="AB16" i="7" a="1"/>
  <c r="AB16" i="7" s="1"/>
  <c r="AA16" i="7" a="1"/>
  <c r="AA16" i="7" s="1"/>
  <c r="Z16" i="7" a="1"/>
  <c r="Z16" i="7" s="1"/>
  <c r="Y16" i="7"/>
  <c r="Y16" i="7" a="1"/>
  <c r="X16" i="7"/>
  <c r="X16" i="7" a="1"/>
  <c r="W16" i="7" a="1"/>
  <c r="W16" i="7" s="1"/>
  <c r="V16" i="7" a="1"/>
  <c r="V16" i="7" s="1"/>
  <c r="U16" i="7" a="1"/>
  <c r="U16" i="7" s="1"/>
  <c r="T16" i="7" a="1"/>
  <c r="T16" i="7" s="1"/>
  <c r="S16" i="7"/>
  <c r="S16" i="7" a="1"/>
  <c r="R16" i="7" a="1"/>
  <c r="R16" i="7" s="1"/>
  <c r="Q16" i="7"/>
  <c r="Q16" i="7" a="1"/>
  <c r="P16" i="7" a="1"/>
  <c r="P16" i="7" s="1"/>
  <c r="O16" i="7"/>
  <c r="O16" i="7" a="1"/>
  <c r="N16" i="7" a="1"/>
  <c r="N16" i="7" s="1"/>
  <c r="M16" i="7" a="1"/>
  <c r="M16" i="7" s="1"/>
  <c r="L16" i="7" a="1"/>
  <c r="L16" i="7" s="1"/>
  <c r="K16" i="7" a="1"/>
  <c r="K16" i="7" s="1"/>
  <c r="J16" i="7" a="1"/>
  <c r="J16" i="7" s="1"/>
  <c r="I16" i="7" a="1"/>
  <c r="I16" i="7" s="1"/>
  <c r="H16" i="7" a="1"/>
  <c r="H16" i="7" s="1"/>
  <c r="G16" i="7" a="1"/>
  <c r="G16" i="7" s="1"/>
  <c r="F16" i="7" a="1"/>
  <c r="F16" i="7" s="1"/>
  <c r="E16" i="7" a="1"/>
  <c r="E16" i="7" s="1"/>
  <c r="D16" i="7" a="1"/>
  <c r="D16" i="7" s="1"/>
  <c r="C16" i="7"/>
  <c r="C16" i="7" a="1"/>
  <c r="EF15" i="7"/>
  <c r="EF15" i="7" a="1"/>
  <c r="EE15" i="7"/>
  <c r="EE15" i="7" a="1"/>
  <c r="ED15" i="7"/>
  <c r="ED15" i="7" a="1"/>
  <c r="EC15" i="7" a="1"/>
  <c r="EC15" i="7" s="1"/>
  <c r="EB15" i="7" a="1"/>
  <c r="EB15" i="7" s="1"/>
  <c r="EA15" i="7" a="1"/>
  <c r="EA15" i="7" s="1"/>
  <c r="DZ15" i="7" a="1"/>
  <c r="DZ15" i="7" s="1"/>
  <c r="DY15" i="7" a="1"/>
  <c r="DY15" i="7" s="1"/>
  <c r="DX15" i="7"/>
  <c r="DX15" i="7" a="1"/>
  <c r="DW15" i="7" a="1"/>
  <c r="DW15" i="7" s="1"/>
  <c r="DV15" i="7" a="1"/>
  <c r="DV15" i="7" s="1"/>
  <c r="DU15" i="7" a="1"/>
  <c r="DU15" i="7" s="1"/>
  <c r="DT15" i="7" a="1"/>
  <c r="DT15" i="7" s="1"/>
  <c r="DS15" i="7" a="1"/>
  <c r="DS15" i="7" s="1"/>
  <c r="DR15" i="7" a="1"/>
  <c r="DR15" i="7" s="1"/>
  <c r="DQ15" i="7"/>
  <c r="DQ15" i="7" a="1"/>
  <c r="DP15" i="7" a="1"/>
  <c r="DP15" i="7" s="1"/>
  <c r="DO15" i="7" a="1"/>
  <c r="DO15" i="7" s="1"/>
  <c r="DN15" i="7"/>
  <c r="DN15" i="7" a="1"/>
  <c r="DM15" i="7"/>
  <c r="DM15" i="7" a="1"/>
  <c r="DL15" i="7" a="1"/>
  <c r="DL15" i="7" s="1"/>
  <c r="DK15" i="7" a="1"/>
  <c r="DK15" i="7" s="1"/>
  <c r="DJ15" i="7" a="1"/>
  <c r="DJ15" i="7" s="1"/>
  <c r="DI15" i="7" a="1"/>
  <c r="DI15" i="7" s="1"/>
  <c r="DH15" i="7" a="1"/>
  <c r="DH15" i="7" s="1"/>
  <c r="DG15" i="7" a="1"/>
  <c r="DG15" i="7" s="1"/>
  <c r="DF15" i="7"/>
  <c r="DF15" i="7" a="1"/>
  <c r="DE15" i="7"/>
  <c r="DE15" i="7" a="1"/>
  <c r="DD15" i="7" a="1"/>
  <c r="DD15" i="7" s="1"/>
  <c r="DC15" i="7" a="1"/>
  <c r="DC15" i="7" s="1"/>
  <c r="DB15" i="7" a="1"/>
  <c r="DB15" i="7" s="1"/>
  <c r="DA15" i="7"/>
  <c r="DA15" i="7" a="1"/>
  <c r="CZ15" i="7"/>
  <c r="CZ15" i="7" a="1"/>
  <c r="CY15" i="7" a="1"/>
  <c r="CY15" i="7" s="1"/>
  <c r="CX15" i="7"/>
  <c r="CX15" i="7" a="1"/>
  <c r="CW15" i="7" a="1"/>
  <c r="CW15" i="7" s="1"/>
  <c r="CV15" i="7" a="1"/>
  <c r="CV15" i="7" s="1"/>
  <c r="CU15" i="7" a="1"/>
  <c r="CU15" i="7" s="1"/>
  <c r="CT15" i="7" a="1"/>
  <c r="CT15" i="7" s="1"/>
  <c r="CS15" i="7" a="1"/>
  <c r="CS15" i="7" s="1"/>
  <c r="CR15" i="7" a="1"/>
  <c r="CR15" i="7" s="1"/>
  <c r="CQ15" i="7" a="1"/>
  <c r="CQ15" i="7" s="1"/>
  <c r="CP15" i="7" a="1"/>
  <c r="CP15" i="7" s="1"/>
  <c r="CO15" i="7" a="1"/>
  <c r="CO15" i="7" s="1"/>
  <c r="CN15" i="7" a="1"/>
  <c r="CN15" i="7" s="1"/>
  <c r="CM15" i="7" a="1"/>
  <c r="CM15" i="7" s="1"/>
  <c r="CL15" i="7" a="1"/>
  <c r="CL15" i="7" s="1"/>
  <c r="CK15" i="7" a="1"/>
  <c r="CK15" i="7" s="1"/>
  <c r="CJ15" i="7"/>
  <c r="CJ15" i="7" a="1"/>
  <c r="CI15" i="7"/>
  <c r="CI15" i="7" a="1"/>
  <c r="CH15" i="7"/>
  <c r="CH15" i="7" a="1"/>
  <c r="CG15" i="7"/>
  <c r="CG15" i="7" a="1"/>
  <c r="CF15" i="7" a="1"/>
  <c r="CF15" i="7" s="1"/>
  <c r="CE15" i="7" a="1"/>
  <c r="CE15" i="7" s="1"/>
  <c r="CD15" i="7" a="1"/>
  <c r="CD15" i="7" s="1"/>
  <c r="CC15" i="7" a="1"/>
  <c r="CC15" i="7" s="1"/>
  <c r="CB15" i="7"/>
  <c r="CB15" i="7" a="1"/>
  <c r="CA15" i="7"/>
  <c r="CA15" i="7" a="1"/>
  <c r="BZ15" i="7" a="1"/>
  <c r="BZ15" i="7" s="1"/>
  <c r="BY15" i="7" a="1"/>
  <c r="BY15" i="7" s="1"/>
  <c r="BX15" i="7" a="1"/>
  <c r="BX15" i="7" s="1"/>
  <c r="BW15" i="7" a="1"/>
  <c r="BW15" i="7" s="1"/>
  <c r="BV15" i="7" a="1"/>
  <c r="BV15" i="7" s="1"/>
  <c r="BU15" i="7" a="1"/>
  <c r="BU15" i="7" s="1"/>
  <c r="BT15" i="7"/>
  <c r="BT15" i="7" a="1"/>
  <c r="BS15" i="7" a="1"/>
  <c r="BS15" i="7" s="1"/>
  <c r="BR15" i="7" a="1"/>
  <c r="BR15" i="7" s="1"/>
  <c r="BQ15" i="7"/>
  <c r="BQ15" i="7" a="1"/>
  <c r="BP15" i="7" a="1"/>
  <c r="BP15" i="7" s="1"/>
  <c r="BO15" i="7" a="1"/>
  <c r="BO15" i="7" s="1"/>
  <c r="BN15" i="7" a="1"/>
  <c r="BN15" i="7" s="1"/>
  <c r="BM15" i="7" a="1"/>
  <c r="BM15" i="7" s="1"/>
  <c r="BL15" i="7" a="1"/>
  <c r="BL15" i="7" s="1"/>
  <c r="BK15" i="7" a="1"/>
  <c r="BK15" i="7" s="1"/>
  <c r="BJ15" i="7" a="1"/>
  <c r="BJ15" i="7" s="1"/>
  <c r="BI15" i="7" a="1"/>
  <c r="BI15" i="7" s="1"/>
  <c r="BH15" i="7" a="1"/>
  <c r="BH15" i="7" s="1"/>
  <c r="BG15" i="7" a="1"/>
  <c r="BG15" i="7" s="1"/>
  <c r="BF15" i="7" a="1"/>
  <c r="BF15" i="7" s="1"/>
  <c r="BE15" i="7"/>
  <c r="BE15" i="7" a="1"/>
  <c r="BD15" i="7"/>
  <c r="BD15" i="7" a="1"/>
  <c r="BC15" i="7"/>
  <c r="BC15" i="7" a="1"/>
  <c r="BB15" i="7" a="1"/>
  <c r="BB15" i="7" s="1"/>
  <c r="BA15" i="7"/>
  <c r="BA15" i="7" a="1"/>
  <c r="AZ15" i="7" a="1"/>
  <c r="AZ15" i="7" s="1"/>
  <c r="AY15" i="7" a="1"/>
  <c r="AY15" i="7" s="1"/>
  <c r="AX15" i="7" a="1"/>
  <c r="AX15" i="7" s="1"/>
  <c r="AW15" i="7"/>
  <c r="AW15" i="7" a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 a="1"/>
  <c r="AQ15" i="7" s="1"/>
  <c r="AP15" i="7" a="1"/>
  <c r="AP15" i="7" s="1"/>
  <c r="AO15" i="7" a="1"/>
  <c r="AO15" i="7" s="1"/>
  <c r="AN15" i="7"/>
  <c r="AN15" i="7" a="1"/>
  <c r="AM15" i="7"/>
  <c r="AM15" i="7" a="1"/>
  <c r="AL15" i="7"/>
  <c r="AL15" i="7" a="1"/>
  <c r="AK15" i="7"/>
  <c r="AK15" i="7" a="1"/>
  <c r="AJ15" i="7" a="1"/>
  <c r="AJ15" i="7" s="1"/>
  <c r="AI15" i="7" a="1"/>
  <c r="AI15" i="7" s="1"/>
  <c r="AH15" i="7" a="1"/>
  <c r="AH15" i="7" s="1"/>
  <c r="AG15" i="7" a="1"/>
  <c r="AG15" i="7" s="1"/>
  <c r="AF15" i="7" a="1"/>
  <c r="AF15" i="7" s="1"/>
  <c r="AE15" i="7" a="1"/>
  <c r="AE15" i="7" s="1"/>
  <c r="AD15" i="7"/>
  <c r="AD15" i="7" a="1"/>
  <c r="AC15" i="7" a="1"/>
  <c r="AC15" i="7" s="1"/>
  <c r="AB15" i="7" a="1"/>
  <c r="AB15" i="7" s="1"/>
  <c r="AA15" i="7" a="1"/>
  <c r="AA15" i="7" s="1"/>
  <c r="Z15" i="7" a="1"/>
  <c r="Z15" i="7" s="1"/>
  <c r="Y15" i="7"/>
  <c r="Y15" i="7" a="1"/>
  <c r="X15" i="7" a="1"/>
  <c r="X15" i="7" s="1"/>
  <c r="W15" i="7"/>
  <c r="W15" i="7" a="1"/>
  <c r="V15" i="7" a="1"/>
  <c r="V15" i="7" s="1"/>
  <c r="U15" i="7" a="1"/>
  <c r="U15" i="7" s="1"/>
  <c r="T15" i="7" a="1"/>
  <c r="T15" i="7" s="1"/>
  <c r="S15" i="7" a="1"/>
  <c r="S15" i="7" s="1"/>
  <c r="R15" i="7" a="1"/>
  <c r="R15" i="7" s="1"/>
  <c r="Q15" i="7" a="1"/>
  <c r="Q15" i="7" s="1"/>
  <c r="P15" i="7" a="1"/>
  <c r="P15" i="7" s="1"/>
  <c r="O15" i="7" a="1"/>
  <c r="O15" i="7" s="1"/>
  <c r="N15" i="7" a="1"/>
  <c r="N15" i="7" s="1"/>
  <c r="M15" i="7" a="1"/>
  <c r="M15" i="7" s="1"/>
  <c r="L15" i="7" a="1"/>
  <c r="L15" i="7" s="1"/>
  <c r="K15" i="7" a="1"/>
  <c r="K15" i="7" s="1"/>
  <c r="J15" i="7" a="1"/>
  <c r="J15" i="7" s="1"/>
  <c r="I15" i="7"/>
  <c r="I15" i="7" a="1"/>
  <c r="H15" i="7"/>
  <c r="H15" i="7" a="1"/>
  <c r="G15" i="7"/>
  <c r="G15" i="7" a="1"/>
  <c r="F15" i="7"/>
  <c r="F15" i="7" a="1"/>
  <c r="E15" i="7" a="1"/>
  <c r="E15" i="7" s="1"/>
  <c r="D15" i="7" a="1"/>
  <c r="D15" i="7" s="1"/>
  <c r="C15" i="7" a="1"/>
  <c r="C15" i="7" s="1"/>
  <c r="EF14" i="7" a="1"/>
  <c r="EF14" i="7" s="1"/>
  <c r="EE14" i="7"/>
  <c r="EE14" i="7" a="1"/>
  <c r="ED14" i="7"/>
  <c r="ED14" i="7" a="1"/>
  <c r="EC14" i="7" a="1"/>
  <c r="EC14" i="7" s="1"/>
  <c r="EB14" i="7" a="1"/>
  <c r="EB14" i="7" s="1"/>
  <c r="EA14" i="7" a="1"/>
  <c r="EA14" i="7" s="1"/>
  <c r="DZ14" i="7" a="1"/>
  <c r="DZ14" i="7" s="1"/>
  <c r="DY14" i="7" a="1"/>
  <c r="DY14" i="7" s="1"/>
  <c r="DX14" i="7" a="1"/>
  <c r="DX14" i="7" s="1"/>
  <c r="DW14" i="7"/>
  <c r="DW14" i="7" a="1"/>
  <c r="DV14" i="7"/>
  <c r="DV14" i="7" a="1"/>
  <c r="DU14" i="7"/>
  <c r="DU14" i="7" a="1"/>
  <c r="DT14" i="7"/>
  <c r="DT14" i="7" a="1"/>
  <c r="DS14" i="7"/>
  <c r="DS14" i="7" a="1"/>
  <c r="DR14" i="7" a="1"/>
  <c r="DR14" i="7" s="1"/>
  <c r="DQ14" i="7" a="1"/>
  <c r="DQ14" i="7" s="1"/>
  <c r="DP14" i="7" a="1"/>
  <c r="DP14" i="7" s="1"/>
  <c r="DO14" i="7" a="1"/>
  <c r="DO14" i="7" s="1"/>
  <c r="DN14" i="7" a="1"/>
  <c r="DN14" i="7" s="1"/>
  <c r="DM14" i="7" a="1"/>
  <c r="DM14" i="7" s="1"/>
  <c r="DL14" i="7" a="1"/>
  <c r="DL14" i="7" s="1"/>
  <c r="DK14" i="7"/>
  <c r="DK14" i="7" a="1"/>
  <c r="DJ14" i="7" a="1"/>
  <c r="DJ14" i="7" s="1"/>
  <c r="DI14" i="7" a="1"/>
  <c r="DI14" i="7" s="1"/>
  <c r="DH14" i="7" a="1"/>
  <c r="DH14" i="7" s="1"/>
  <c r="DG14" i="7"/>
  <c r="DG14" i="7" a="1"/>
  <c r="DF14" i="7"/>
  <c r="DF14" i="7" a="1"/>
  <c r="DE14" i="7" a="1"/>
  <c r="DE14" i="7" s="1"/>
  <c r="DD14" i="7"/>
  <c r="DD14" i="7" a="1"/>
  <c r="DC14" i="7" a="1"/>
  <c r="DC14" i="7" s="1"/>
  <c r="DB14" i="7" a="1"/>
  <c r="DB14" i="7" s="1"/>
  <c r="DA14" i="7" a="1"/>
  <c r="DA14" i="7" s="1"/>
  <c r="CZ14" i="7" a="1"/>
  <c r="CZ14" i="7" s="1"/>
  <c r="CY14" i="7" a="1"/>
  <c r="CY14" i="7" s="1"/>
  <c r="CX14" i="7" a="1"/>
  <c r="CX14" i="7" s="1"/>
  <c r="CW14" i="7" a="1"/>
  <c r="CW14" i="7" s="1"/>
  <c r="CV14" i="7" a="1"/>
  <c r="CV14" i="7" s="1"/>
  <c r="CU14" i="7" a="1"/>
  <c r="CU14" i="7" s="1"/>
  <c r="CT14" i="7" a="1"/>
  <c r="CT14" i="7" s="1"/>
  <c r="CS14" i="7" a="1"/>
  <c r="CS14" i="7" s="1"/>
  <c r="CR14" i="7" a="1"/>
  <c r="CR14" i="7" s="1"/>
  <c r="CQ14" i="7" a="1"/>
  <c r="CQ14" i="7" s="1"/>
  <c r="CP14" i="7"/>
  <c r="CP14" i="7" a="1"/>
  <c r="CO14" i="7"/>
  <c r="CO14" i="7" a="1"/>
  <c r="CN14" i="7"/>
  <c r="CN14" i="7" a="1"/>
  <c r="CM14" i="7"/>
  <c r="CM14" i="7" a="1"/>
  <c r="CL14" i="7" a="1"/>
  <c r="CL14" i="7" s="1"/>
  <c r="CK14" i="7" a="1"/>
  <c r="CK14" i="7" s="1"/>
  <c r="CJ14" i="7" a="1"/>
  <c r="CJ14" i="7" s="1"/>
  <c r="CI14" i="7" a="1"/>
  <c r="CI14" i="7" s="1"/>
  <c r="CH14" i="7" a="1"/>
  <c r="CH14" i="7" s="1"/>
  <c r="CG14" i="7"/>
  <c r="CG14" i="7" a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 a="1"/>
  <c r="CA14" i="7" s="1"/>
  <c r="BZ14" i="7"/>
  <c r="BZ14" i="7" a="1"/>
  <c r="BY14" i="7"/>
  <c r="BY14" i="7" a="1"/>
  <c r="BX14" i="7"/>
  <c r="BX14" i="7" a="1"/>
  <c r="BW14" i="7"/>
  <c r="BW14" i="7" a="1"/>
  <c r="BV14" i="7" a="1"/>
  <c r="BV14" i="7" s="1"/>
  <c r="BU14" i="7" a="1"/>
  <c r="BU14" i="7" s="1"/>
  <c r="BT14" i="7" a="1"/>
  <c r="BT14" i="7" s="1"/>
  <c r="BS14" i="7" a="1"/>
  <c r="BS14" i="7" s="1"/>
  <c r="BR14" i="7" a="1"/>
  <c r="BR14" i="7" s="1"/>
  <c r="BQ14" i="7" a="1"/>
  <c r="BQ14" i="7" s="1"/>
  <c r="BP14" i="7" a="1"/>
  <c r="BP14" i="7" s="1"/>
  <c r="BO14" i="7"/>
  <c r="BO14" i="7" a="1"/>
  <c r="BN14" i="7" a="1"/>
  <c r="BN14" i="7" s="1"/>
  <c r="BM14" i="7" a="1"/>
  <c r="BM14" i="7" s="1"/>
  <c r="BL14" i="7" a="1"/>
  <c r="BL14" i="7" s="1"/>
  <c r="BK14" i="7"/>
  <c r="BK14" i="7" a="1"/>
  <c r="BJ14" i="7"/>
  <c r="BJ14" i="7" a="1"/>
  <c r="BI14" i="7"/>
  <c r="BI14" i="7" a="1"/>
  <c r="BH14" i="7" a="1"/>
  <c r="BH14" i="7" s="1"/>
  <c r="BG14" i="7"/>
  <c r="BG14" i="7" a="1"/>
  <c r="BF14" i="7" a="1"/>
  <c r="BF14" i="7" s="1"/>
  <c r="BE14" i="7" a="1"/>
  <c r="BE14" i="7" s="1"/>
  <c r="BD14" i="7" a="1"/>
  <c r="BD14" i="7" s="1"/>
  <c r="BC14" i="7"/>
  <c r="BC14" i="7" a="1"/>
  <c r="BB14" i="7" a="1"/>
  <c r="BB14" i="7" s="1"/>
  <c r="BA14" i="7" a="1"/>
  <c r="BA14" i="7" s="1"/>
  <c r="AZ14" i="7" a="1"/>
  <c r="AZ14" i="7" s="1"/>
  <c r="AY14" i="7" a="1"/>
  <c r="AY14" i="7" s="1"/>
  <c r="AX14" i="7" a="1"/>
  <c r="AX14" i="7" s="1"/>
  <c r="AW14" i="7" a="1"/>
  <c r="AW14" i="7" s="1"/>
  <c r="AV14" i="7" a="1"/>
  <c r="AV14" i="7" s="1"/>
  <c r="AU14" i="7"/>
  <c r="AU14" i="7" a="1"/>
  <c r="AT14" i="7" a="1"/>
  <c r="AT14" i="7" s="1"/>
  <c r="AS14" i="7"/>
  <c r="AS14" i="7" a="1"/>
  <c r="AR14" i="7"/>
  <c r="AR14" i="7" a="1"/>
  <c r="AQ14" i="7"/>
  <c r="AQ14" i="7" a="1"/>
  <c r="AP14" i="7" a="1"/>
  <c r="AP14" i="7" s="1"/>
  <c r="AO14" i="7" a="1"/>
  <c r="AO14" i="7" s="1"/>
  <c r="AN14" i="7" a="1"/>
  <c r="AN14" i="7" s="1"/>
  <c r="AM14" i="7" a="1"/>
  <c r="AM14" i="7" s="1"/>
  <c r="AL14" i="7" a="1"/>
  <c r="AL14" i="7" s="1"/>
  <c r="AK14" i="7" a="1"/>
  <c r="AK14" i="7" s="1"/>
  <c r="AJ14" i="7"/>
  <c r="AJ14" i="7" a="1"/>
  <c r="AI14" i="7" a="1"/>
  <c r="AI14" i="7" s="1"/>
  <c r="AH14" i="7" a="1"/>
  <c r="AH14" i="7" s="1"/>
  <c r="AG14" i="7" a="1"/>
  <c r="AG14" i="7" s="1"/>
  <c r="AF14" i="7" a="1"/>
  <c r="AF14" i="7" s="1"/>
  <c r="AE14" i="7"/>
  <c r="AE14" i="7" a="1"/>
  <c r="AD14" i="7" a="1"/>
  <c r="AD14" i="7" s="1"/>
  <c r="AC14" i="7"/>
  <c r="AC14" i="7" a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 a="1"/>
  <c r="V14" i="7" s="1"/>
  <c r="U14" i="7" a="1"/>
  <c r="U14" i="7" s="1"/>
  <c r="T14" i="7" a="1"/>
  <c r="T14" i="7" s="1"/>
  <c r="S14" i="7" a="1"/>
  <c r="S14" i="7" s="1"/>
  <c r="R14" i="7" a="1"/>
  <c r="R14" i="7" s="1"/>
  <c r="Q14" i="7" a="1"/>
  <c r="Q14" i="7" s="1"/>
  <c r="P14" i="7" a="1"/>
  <c r="P14" i="7" s="1"/>
  <c r="O14" i="7"/>
  <c r="O14" i="7" a="1"/>
  <c r="N14" i="7"/>
  <c r="N14" i="7" a="1"/>
  <c r="M14" i="7"/>
  <c r="M14" i="7" a="1"/>
  <c r="L14" i="7"/>
  <c r="L14" i="7" a="1"/>
  <c r="K14" i="7" a="1"/>
  <c r="K14" i="7" s="1"/>
  <c r="J14" i="7" a="1"/>
  <c r="J14" i="7" s="1"/>
  <c r="I14" i="7" a="1"/>
  <c r="I14" i="7" s="1"/>
  <c r="H14" i="7" a="1"/>
  <c r="H14" i="7" s="1"/>
  <c r="G14" i="7" a="1"/>
  <c r="G14" i="7" s="1"/>
  <c r="F14" i="7"/>
  <c r="F14" i="7" a="1"/>
  <c r="E14" i="7" a="1"/>
  <c r="E14" i="7" s="1"/>
  <c r="D14" i="7" a="1"/>
  <c r="D14" i="7" s="1"/>
  <c r="C14" i="7" a="1"/>
  <c r="C14" i="7" s="1"/>
  <c r="EF13" i="7" a="1"/>
  <c r="EF13" i="7" s="1"/>
  <c r="EE13" i="7" a="1"/>
  <c r="EE13" i="7" s="1"/>
  <c r="ED13" i="7" a="1"/>
  <c r="ED13" i="7" s="1"/>
  <c r="EC13" i="7"/>
  <c r="EC13" i="7" a="1"/>
  <c r="EB13" i="7" a="1"/>
  <c r="EB13" i="7" s="1"/>
  <c r="EA13" i="7"/>
  <c r="EA13" i="7" a="1"/>
  <c r="DZ13" i="7"/>
  <c r="DZ13" i="7" a="1"/>
  <c r="DY13" i="7"/>
  <c r="DY13" i="7" a="1"/>
  <c r="DX13" i="7" a="1"/>
  <c r="DX13" i="7" s="1"/>
  <c r="DW13" i="7" a="1"/>
  <c r="DW13" i="7" s="1"/>
  <c r="DV13" i="7" a="1"/>
  <c r="DV13" i="7" s="1"/>
  <c r="DU13" i="7" a="1"/>
  <c r="DU13" i="7" s="1"/>
  <c r="DT13" i="7" a="1"/>
  <c r="DT13" i="7" s="1"/>
  <c r="DS13" i="7" a="1"/>
  <c r="DS13" i="7" s="1"/>
  <c r="DR13" i="7" a="1"/>
  <c r="DR13" i="7" s="1"/>
  <c r="DQ13" i="7"/>
  <c r="DQ13" i="7" a="1"/>
  <c r="DP13" i="7" a="1"/>
  <c r="DP13" i="7" s="1"/>
  <c r="DO13" i="7" a="1"/>
  <c r="DO13" i="7" s="1"/>
  <c r="DN13" i="7" a="1"/>
  <c r="DN13" i="7" s="1"/>
  <c r="DM13" i="7"/>
  <c r="DM13" i="7" a="1"/>
  <c r="DL13" i="7"/>
  <c r="DL13" i="7" a="1"/>
  <c r="DK13" i="7" a="1"/>
  <c r="DK13" i="7" s="1"/>
  <c r="DJ13" i="7"/>
  <c r="DJ13" i="7" a="1"/>
  <c r="DI13" i="7" a="1"/>
  <c r="DI13" i="7" s="1"/>
  <c r="DH13" i="7" a="1"/>
  <c r="DH13" i="7" s="1"/>
  <c r="DG13" i="7" a="1"/>
  <c r="DG13" i="7" s="1"/>
  <c r="DF13" i="7" a="1"/>
  <c r="DF13" i="7" s="1"/>
  <c r="DE13" i="7" a="1"/>
  <c r="DE13" i="7" s="1"/>
  <c r="DD13" i="7" a="1"/>
  <c r="DD13" i="7" s="1"/>
  <c r="DC13" i="7" a="1"/>
  <c r="DC13" i="7" s="1"/>
  <c r="DB13" i="7" a="1"/>
  <c r="DB13" i="7" s="1"/>
  <c r="DA13" i="7" a="1"/>
  <c r="DA13" i="7" s="1"/>
  <c r="CZ13" i="7" a="1"/>
  <c r="CZ13" i="7" s="1"/>
  <c r="CY13" i="7" a="1"/>
  <c r="CY13" i="7" s="1"/>
  <c r="CX13" i="7" a="1"/>
  <c r="CX13" i="7" s="1"/>
  <c r="CW13" i="7" a="1"/>
  <c r="CW13" i="7" s="1"/>
  <c r="CV13" i="7"/>
  <c r="CV13" i="7" a="1"/>
  <c r="CU13" i="7"/>
  <c r="CU13" i="7" a="1"/>
  <c r="CT13" i="7"/>
  <c r="CT13" i="7" a="1"/>
  <c r="CS13" i="7"/>
  <c r="CS13" i="7" a="1"/>
  <c r="CR13" i="7" a="1"/>
  <c r="CR13" i="7" s="1"/>
  <c r="CQ13" i="7" a="1"/>
  <c r="CQ13" i="7" s="1"/>
  <c r="CP13" i="7" a="1"/>
  <c r="CP13" i="7" s="1"/>
  <c r="CO13" i="7" a="1"/>
  <c r="CO13" i="7" s="1"/>
  <c r="CN13" i="7"/>
  <c r="CN13" i="7" a="1"/>
  <c r="CM13" i="7"/>
  <c r="CM13" i="7" a="1"/>
  <c r="CL13" i="7" a="1"/>
  <c r="CL13" i="7" s="1"/>
  <c r="CK13" i="7" a="1"/>
  <c r="CK13" i="7" s="1"/>
  <c r="CJ13" i="7" a="1"/>
  <c r="CJ13" i="7" s="1"/>
  <c r="CI13" i="7" a="1"/>
  <c r="CI13" i="7" s="1"/>
  <c r="CH13" i="7" a="1"/>
  <c r="CH13" i="7" s="1"/>
  <c r="CG13" i="7" a="1"/>
  <c r="CG13" i="7" s="1"/>
  <c r="CF13" i="7"/>
  <c r="CF13" i="7" a="1"/>
  <c r="CE13" i="7"/>
  <c r="CE13" i="7" a="1"/>
  <c r="CD13" i="7"/>
  <c r="CD13" i="7" a="1"/>
  <c r="CC13" i="7"/>
  <c r="CC13" i="7" a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 a="1"/>
  <c r="BW13" i="7" s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/>
  <c r="BQ13" i="7" a="1"/>
  <c r="BP13" i="7"/>
  <c r="BP13" i="7" a="1"/>
  <c r="BO13" i="7"/>
  <c r="BO13" i="7" a="1"/>
  <c r="BN13" i="7" a="1"/>
  <c r="BN13" i="7" s="1"/>
  <c r="BM13" i="7"/>
  <c r="BM13" i="7" a="1"/>
  <c r="BL13" i="7" a="1"/>
  <c r="BL13" i="7" s="1"/>
  <c r="BK13" i="7" a="1"/>
  <c r="BK13" i="7" s="1"/>
  <c r="BJ13" i="7" a="1"/>
  <c r="BJ13" i="7" s="1"/>
  <c r="BI13" i="7"/>
  <c r="BI13" i="7" a="1"/>
  <c r="BH13" i="7" a="1"/>
  <c r="BH13" i="7" s="1"/>
  <c r="BG13" i="7" a="1"/>
  <c r="BG13" i="7" s="1"/>
  <c r="BF13" i="7" a="1"/>
  <c r="BF13" i="7" s="1"/>
  <c r="BE13" i="7" a="1"/>
  <c r="BE13" i="7" s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/>
  <c r="AY13" i="7" a="1"/>
  <c r="AX13" i="7"/>
  <c r="AX13" i="7" a="1"/>
  <c r="AW13" i="7"/>
  <c r="AW13" i="7" a="1"/>
  <c r="AV13" i="7" a="1"/>
  <c r="AV13" i="7" s="1"/>
  <c r="AU13" i="7" a="1"/>
  <c r="AU13" i="7" s="1"/>
  <c r="AT13" i="7" a="1"/>
  <c r="AT13" i="7" s="1"/>
  <c r="AS13" i="7" a="1"/>
  <c r="AS13" i="7" s="1"/>
  <c r="AR13" i="7" a="1"/>
  <c r="AR13" i="7" s="1"/>
  <c r="AQ13" i="7" a="1"/>
  <c r="AQ13" i="7" s="1"/>
  <c r="AP13" i="7"/>
  <c r="AP13" i="7" a="1"/>
  <c r="AO13" i="7" a="1"/>
  <c r="AO13" i="7" s="1"/>
  <c r="AN13" i="7" a="1"/>
  <c r="AN13" i="7" s="1"/>
  <c r="AM13" i="7" a="1"/>
  <c r="AM13" i="7" s="1"/>
  <c r="AL13" i="7" a="1"/>
  <c r="AL13" i="7" s="1"/>
  <c r="AK13" i="7"/>
  <c r="AK13" i="7" a="1"/>
  <c r="AJ13" i="7" a="1"/>
  <c r="AJ13" i="7" s="1"/>
  <c r="AI13" i="7"/>
  <c r="AI13" i="7" a="1"/>
  <c r="AH13" i="7"/>
  <c r="AH13" i="7" a="1"/>
  <c r="AG13" i="7"/>
  <c r="AG13" i="7" a="1"/>
  <c r="AF13" i="7" a="1"/>
  <c r="AF13" i="7" s="1"/>
  <c r="AE13" i="7" a="1"/>
  <c r="AE13" i="7" s="1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 a="1"/>
  <c r="V13" i="7" s="1"/>
  <c r="U13" i="7"/>
  <c r="U13" i="7" a="1"/>
  <c r="T13" i="7"/>
  <c r="T13" i="7" a="1"/>
  <c r="S13" i="7"/>
  <c r="S13" i="7" a="1"/>
  <c r="R13" i="7"/>
  <c r="R13" i="7" a="1"/>
  <c r="Q13" i="7" a="1"/>
  <c r="Q13" i="7" s="1"/>
  <c r="P13" i="7" a="1"/>
  <c r="P13" i="7" s="1"/>
  <c r="O13" i="7" a="1"/>
  <c r="O13" i="7" s="1"/>
  <c r="N13" i="7" a="1"/>
  <c r="N13" i="7" s="1"/>
  <c r="M13" i="7" a="1"/>
  <c r="M13" i="7" s="1"/>
  <c r="L13" i="7"/>
  <c r="L13" i="7" a="1"/>
  <c r="K13" i="7" a="1"/>
  <c r="K13" i="7" s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13" i="7"/>
  <c r="E13" i="7" a="1"/>
  <c r="D13" i="7"/>
  <c r="D13" i="7" a="1"/>
  <c r="C13" i="7" a="1"/>
  <c r="C13" i="7" s="1"/>
  <c r="EF12" i="7"/>
  <c r="EF12" i="7" a="1"/>
  <c r="EE12" i="7"/>
  <c r="EE12" i="7" a="1"/>
  <c r="ED12" i="7" a="1"/>
  <c r="ED12" i="7" s="1"/>
  <c r="EC12" i="7" a="1"/>
  <c r="EC12" i="7" s="1"/>
  <c r="EB12" i="7" a="1"/>
  <c r="EB12" i="7" s="1"/>
  <c r="EA12" i="7" a="1"/>
  <c r="EA12" i="7" s="1"/>
  <c r="DZ12" i="7" a="1"/>
  <c r="DZ12" i="7" s="1"/>
  <c r="DY12" i="7" a="1"/>
  <c r="DY12" i="7" s="1"/>
  <c r="DX12" i="7" a="1"/>
  <c r="DX12" i="7" s="1"/>
  <c r="DW12" i="7"/>
  <c r="DW12" i="7" a="1"/>
  <c r="DV12" i="7" a="1"/>
  <c r="DV12" i="7" s="1"/>
  <c r="DU12" i="7" a="1"/>
  <c r="DU12" i="7" s="1"/>
  <c r="DT12" i="7" a="1"/>
  <c r="DT12" i="7" s="1"/>
  <c r="DS12" i="7"/>
  <c r="DS12" i="7" a="1"/>
  <c r="DR12" i="7"/>
  <c r="DR12" i="7" a="1"/>
  <c r="DQ12" i="7" a="1"/>
  <c r="DQ12" i="7" s="1"/>
  <c r="DP12" i="7"/>
  <c r="DP12" i="7" a="1"/>
  <c r="DO12" i="7" a="1"/>
  <c r="DO12" i="7" s="1"/>
  <c r="DN12" i="7" a="1"/>
  <c r="DN12" i="7" s="1"/>
  <c r="DM12" i="7" a="1"/>
  <c r="DM12" i="7" s="1"/>
  <c r="DL12" i="7" a="1"/>
  <c r="DL12" i="7" s="1"/>
  <c r="DK12" i="7" a="1"/>
  <c r="DK12" i="7" s="1"/>
  <c r="DJ12" i="7" a="1"/>
  <c r="DJ12" i="7" s="1"/>
  <c r="DI12" i="7" a="1"/>
  <c r="DI12" i="7" s="1"/>
  <c r="DH12" i="7" a="1"/>
  <c r="DH12" i="7" s="1"/>
  <c r="DG12" i="7" a="1"/>
  <c r="DG12" i="7" s="1"/>
  <c r="DF12" i="7" a="1"/>
  <c r="DF12" i="7" s="1"/>
  <c r="DE12" i="7" a="1"/>
  <c r="DE12" i="7" s="1"/>
  <c r="DD12" i="7" a="1"/>
  <c r="DD12" i="7" s="1"/>
  <c r="DC12" i="7" a="1"/>
  <c r="DC12" i="7" s="1"/>
  <c r="DB12" i="7"/>
  <c r="DB12" i="7" a="1"/>
  <c r="DA12" i="7"/>
  <c r="DA12" i="7" a="1"/>
  <c r="CZ12" i="7"/>
  <c r="CZ12" i="7" a="1"/>
  <c r="CY12" i="7"/>
  <c r="CY12" i="7" a="1"/>
  <c r="CX12" i="7" a="1"/>
  <c r="CX12" i="7" s="1"/>
  <c r="CW12" i="7" a="1"/>
  <c r="CW12" i="7" s="1"/>
  <c r="CV12" i="7" a="1"/>
  <c r="CV12" i="7" s="1"/>
  <c r="CU12" i="7" a="1"/>
  <c r="CU12" i="7" s="1"/>
  <c r="CT12" i="7" a="1"/>
  <c r="CT12" i="7" s="1"/>
  <c r="CS12" i="7"/>
  <c r="CS12" i="7" a="1"/>
  <c r="CR12" i="7" a="1"/>
  <c r="CR12" i="7" s="1"/>
  <c r="CQ12" i="7" a="1"/>
  <c r="CQ12" i="7" s="1"/>
  <c r="CP12" i="7" a="1"/>
  <c r="CP12" i="7" s="1"/>
  <c r="CO12" i="7" a="1"/>
  <c r="CO12" i="7" s="1"/>
  <c r="CN12" i="7" a="1"/>
  <c r="CN12" i="7" s="1"/>
  <c r="CM12" i="7" a="1"/>
  <c r="CM12" i="7" s="1"/>
  <c r="CL12" i="7"/>
  <c r="CL12" i="7" a="1"/>
  <c r="CK12" i="7" a="1"/>
  <c r="CK12" i="7" s="1"/>
  <c r="CJ12" i="7"/>
  <c r="CJ12" i="7" a="1"/>
  <c r="CI12" i="7"/>
  <c r="CI12" i="7" a="1"/>
  <c r="CH12" i="7" a="1"/>
  <c r="CH12" i="7" s="1"/>
  <c r="CG12" i="7" a="1"/>
  <c r="CG12" i="7" s="1"/>
  <c r="CF12" i="7" a="1"/>
  <c r="CF12" i="7" s="1"/>
  <c r="CE12" i="7" a="1"/>
  <c r="CE12" i="7" s="1"/>
  <c r="CD12" i="7" a="1"/>
  <c r="CD12" i="7" s="1"/>
  <c r="CC12" i="7" a="1"/>
  <c r="CC12" i="7" s="1"/>
  <c r="CB12" i="7" a="1"/>
  <c r="CB12" i="7" s="1"/>
  <c r="CA12" i="7"/>
  <c r="CA12" i="7" a="1"/>
  <c r="BZ12" i="7" a="1"/>
  <c r="BZ12" i="7" s="1"/>
  <c r="BY12" i="7" a="1"/>
  <c r="BY12" i="7" s="1"/>
  <c r="BX12" i="7" a="1"/>
  <c r="BX12" i="7" s="1"/>
  <c r="BW12" i="7"/>
  <c r="BW12" i="7" a="1"/>
  <c r="BV12" i="7"/>
  <c r="BV12" i="7" a="1"/>
  <c r="BU12" i="7"/>
  <c r="BU12" i="7" a="1"/>
  <c r="BT12" i="7" a="1"/>
  <c r="BT12" i="7" s="1"/>
  <c r="BS12" i="7"/>
  <c r="BS12" i="7" a="1"/>
  <c r="BR12" i="7" a="1"/>
  <c r="BR12" i="7" s="1"/>
  <c r="BQ12" i="7" a="1"/>
  <c r="BQ12" i="7" s="1"/>
  <c r="BP12" i="7" a="1"/>
  <c r="BP12" i="7" s="1"/>
  <c r="BO12" i="7"/>
  <c r="BO12" i="7" a="1"/>
  <c r="BN12" i="7" a="1"/>
  <c r="BN12" i="7" s="1"/>
  <c r="BM12" i="7" a="1"/>
  <c r="BM12" i="7" s="1"/>
  <c r="BL12" i="7" a="1"/>
  <c r="BL12" i="7" s="1"/>
  <c r="BK12" i="7" a="1"/>
  <c r="BK12" i="7" s="1"/>
  <c r="BJ12" i="7" a="1"/>
  <c r="BJ12" i="7" s="1"/>
  <c r="BI12" i="7" a="1"/>
  <c r="BI12" i="7" s="1"/>
  <c r="BH12" i="7" a="1"/>
  <c r="BH12" i="7" s="1"/>
  <c r="BG12" i="7"/>
  <c r="BG12" i="7" a="1"/>
  <c r="BF12" i="7" a="1"/>
  <c r="BF12" i="7" s="1"/>
  <c r="BE12" i="7"/>
  <c r="BE12" i="7" a="1"/>
  <c r="BD12" i="7"/>
  <c r="BD12" i="7" a="1"/>
  <c r="BC12" i="7"/>
  <c r="BC12" i="7" a="1"/>
  <c r="BB12" i="7" a="1"/>
  <c r="BB12" i="7" s="1"/>
  <c r="BA12" i="7" a="1"/>
  <c r="BA12" i="7" s="1"/>
  <c r="AZ12" i="7" a="1"/>
  <c r="AZ12" i="7" s="1"/>
  <c r="AY12" i="7" a="1"/>
  <c r="AY12" i="7" s="1"/>
  <c r="AX12" i="7" a="1"/>
  <c r="AX12" i="7" s="1"/>
  <c r="AW12" i="7"/>
  <c r="AW12" i="7" a="1"/>
  <c r="AV12" i="7"/>
  <c r="AV12" i="7" a="1"/>
  <c r="AU12" i="7" a="1"/>
  <c r="AU12" i="7" s="1"/>
  <c r="AT12" i="7" a="1"/>
  <c r="AT12" i="7" s="1"/>
  <c r="AS12" i="7" a="1"/>
  <c r="AS12" i="7" s="1"/>
  <c r="AR12" i="7" a="1"/>
  <c r="AR12" i="7" s="1"/>
  <c r="AQ12" i="7" a="1"/>
  <c r="AQ12" i="7" s="1"/>
  <c r="AP12" i="7" a="1"/>
  <c r="AP12" i="7" s="1"/>
  <c r="AO12" i="7" a="1"/>
  <c r="AO12" i="7" s="1"/>
  <c r="AN12" i="7" a="1"/>
  <c r="AN12" i="7" s="1"/>
  <c r="AM12" i="7"/>
  <c r="AM12" i="7" a="1"/>
  <c r="AL12" i="7" a="1"/>
  <c r="AL12" i="7" s="1"/>
  <c r="AK12" i="7" a="1"/>
  <c r="AK12" i="7" s="1"/>
  <c r="AJ12" i="7" a="1"/>
  <c r="AJ12" i="7" s="1"/>
  <c r="AI12" i="7" a="1"/>
  <c r="AI12" i="7" s="1"/>
  <c r="AH12" i="7" a="1"/>
  <c r="AH12" i="7" s="1"/>
  <c r="AG12" i="7" a="1"/>
  <c r="AG12" i="7" s="1"/>
  <c r="AF12" i="7" a="1"/>
  <c r="AF12" i="7" s="1"/>
  <c r="AE12" i="7"/>
  <c r="AE12" i="7" a="1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/>
  <c r="X12" i="7" a="1"/>
  <c r="W12" i="7"/>
  <c r="W12" i="7" a="1"/>
  <c r="V12" i="7" a="1"/>
  <c r="V12" i="7" s="1"/>
  <c r="U12" i="7" a="1"/>
  <c r="U12" i="7" s="1"/>
  <c r="T12" i="7" a="1"/>
  <c r="T12" i="7" s="1"/>
  <c r="S12" i="7" a="1"/>
  <c r="S12" i="7" s="1"/>
  <c r="R12" i="7" a="1"/>
  <c r="R12" i="7" s="1"/>
  <c r="Q12" i="7" a="1"/>
  <c r="Q12" i="7" s="1"/>
  <c r="P12" i="7" a="1"/>
  <c r="P12" i="7" s="1"/>
  <c r="O12" i="7"/>
  <c r="O12" i="7" a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 a="1"/>
  <c r="I12" i="7" s="1"/>
  <c r="H12" i="7" a="1"/>
  <c r="H12" i="7" s="1"/>
  <c r="G12" i="7"/>
  <c r="G12" i="7" a="1"/>
  <c r="F12" i="7" a="1"/>
  <c r="F12" i="7" s="1"/>
  <c r="E12" i="7" a="1"/>
  <c r="E12" i="7" s="1"/>
  <c r="D12" i="7" a="1"/>
  <c r="D12" i="7" s="1"/>
  <c r="C12" i="7" a="1"/>
  <c r="C12" i="7"/>
  <c r="DV8" i="7"/>
  <c r="DF8" i="7"/>
  <c r="CP8" i="7"/>
  <c r="BZ8" i="7"/>
  <c r="BJ8" i="7"/>
  <c r="AT8" i="7"/>
  <c r="AD8" i="7"/>
  <c r="N8" i="7"/>
  <c r="ED7" i="7"/>
  <c r="DN7" i="7"/>
  <c r="DI7" i="7"/>
  <c r="CX7" i="7"/>
  <c r="CH7" i="7"/>
  <c r="BR7" i="7"/>
  <c r="BB7" i="7"/>
  <c r="AL7" i="7"/>
  <c r="V7" i="7"/>
  <c r="F7" i="7"/>
  <c r="EG6" i="7" a="1"/>
  <c r="EG6" i="7" s="1"/>
  <c r="EF6" i="7" a="1"/>
  <c r="EF6" i="7" s="1"/>
  <c r="EE6" i="7" a="1"/>
  <c r="EE6" i="7" s="1"/>
  <c r="ED6" i="7"/>
  <c r="ED8" i="7" s="1"/>
  <c r="ED6" i="7" a="1"/>
  <c r="EC6" i="7" a="1"/>
  <c r="EC6" i="7" s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W6" i="7" a="1"/>
  <c r="DW6" i="7" s="1"/>
  <c r="DV6" i="7"/>
  <c r="DV7" i="7" s="1"/>
  <c r="DV6" i="7" a="1"/>
  <c r="DU6" i="7" a="1"/>
  <c r="DU6" i="7" s="1"/>
  <c r="DT6" i="7" a="1"/>
  <c r="DT6" i="7" s="1"/>
  <c r="DS6" i="7" a="1"/>
  <c r="DS6" i="7" s="1"/>
  <c r="DR6" i="7" a="1"/>
  <c r="DR6" i="7" s="1"/>
  <c r="DQ6" i="7" a="1"/>
  <c r="DQ6" i="7" s="1"/>
  <c r="DP6" i="7" a="1"/>
  <c r="DP6" i="7" s="1"/>
  <c r="DO6" i="7" a="1"/>
  <c r="DO6" i="7" s="1"/>
  <c r="DN6" i="7"/>
  <c r="DN8" i="7" s="1"/>
  <c r="DN6" i="7" a="1"/>
  <c r="DM6" i="7" a="1"/>
  <c r="DM6" i="7" s="1"/>
  <c r="DL6" i="7" a="1"/>
  <c r="DL6" i="7" s="1"/>
  <c r="DK6" i="7" a="1"/>
  <c r="DK6" i="7" s="1"/>
  <c r="DJ6" i="7" a="1"/>
  <c r="DJ6" i="7" s="1"/>
  <c r="DI6" i="7" a="1"/>
  <c r="DI6" i="7" s="1"/>
  <c r="DI8" i="7" s="1"/>
  <c r="DH6" i="7" a="1"/>
  <c r="DH6" i="7" s="1"/>
  <c r="DG6" i="7" a="1"/>
  <c r="DG6" i="7" s="1"/>
  <c r="DF6" i="7"/>
  <c r="DF7" i="7" s="1"/>
  <c r="DF6" i="7" a="1"/>
  <c r="DE6" i="7" a="1"/>
  <c r="DE6" i="7" s="1"/>
  <c r="DD6" i="7" a="1"/>
  <c r="DD6" i="7" s="1"/>
  <c r="DC6" i="7" a="1"/>
  <c r="DC6" i="7" s="1"/>
  <c r="DB6" i="7" a="1"/>
  <c r="DB6" i="7" s="1"/>
  <c r="DA6" i="7" a="1"/>
  <c r="DA6" i="7" s="1"/>
  <c r="CZ6" i="7" a="1"/>
  <c r="CZ6" i="7" s="1"/>
  <c r="CY6" i="7" a="1"/>
  <c r="CY6" i="7" s="1"/>
  <c r="CX6" i="7"/>
  <c r="CX8" i="7" s="1"/>
  <c r="CX6" i="7" a="1"/>
  <c r="CW6" i="7" a="1"/>
  <c r="CW6" i="7" s="1"/>
  <c r="CV6" i="7" a="1"/>
  <c r="CV6" i="7" s="1"/>
  <c r="CU6" i="7" a="1"/>
  <c r="CU6" i="7" s="1"/>
  <c r="CT6" i="7" a="1"/>
  <c r="CT6" i="7" s="1"/>
  <c r="CS6" i="7" a="1"/>
  <c r="CS6" i="7" s="1"/>
  <c r="CR6" i="7" a="1"/>
  <c r="CR6" i="7" s="1"/>
  <c r="CQ6" i="7" a="1"/>
  <c r="CQ6" i="7" s="1"/>
  <c r="CP6" i="7"/>
  <c r="CP7" i="7" s="1"/>
  <c r="CP6" i="7" a="1"/>
  <c r="CO6" i="7" a="1"/>
  <c r="CO6" i="7" s="1"/>
  <c r="CN6" i="7" a="1"/>
  <c r="CN6" i="7" s="1"/>
  <c r="CM6" i="7" a="1"/>
  <c r="CM6" i="7" s="1"/>
  <c r="CL6" i="7" a="1"/>
  <c r="CL6" i="7" s="1"/>
  <c r="CK6" i="7" a="1"/>
  <c r="CK6" i="7" s="1"/>
  <c r="CJ6" i="7" a="1"/>
  <c r="CJ6" i="7" s="1"/>
  <c r="CI6" i="7" a="1"/>
  <c r="CI6" i="7" s="1"/>
  <c r="CH6" i="7"/>
  <c r="CH8" i="7" s="1"/>
  <c r="CH6" i="7" a="1"/>
  <c r="CG6" i="7" a="1"/>
  <c r="CG6" i="7" s="1"/>
  <c r="CF6" i="7" a="1"/>
  <c r="CF6" i="7" s="1"/>
  <c r="CE6" i="7" a="1"/>
  <c r="CE6" i="7" s="1"/>
  <c r="CD6" i="7" a="1"/>
  <c r="CD6" i="7" s="1"/>
  <c r="CC6" i="7" a="1"/>
  <c r="CC6" i="7" s="1"/>
  <c r="CB6" i="7" a="1"/>
  <c r="CB6" i="7" s="1"/>
  <c r="CA6" i="7" a="1"/>
  <c r="CA6" i="7" s="1"/>
  <c r="BZ6" i="7"/>
  <c r="BZ7" i="7" s="1"/>
  <c r="BZ6" i="7" a="1"/>
  <c r="BY6" i="7" a="1"/>
  <c r="BY6" i="7" s="1"/>
  <c r="BX6" i="7" a="1"/>
  <c r="BX6" i="7" s="1"/>
  <c r="BW6" i="7" a="1"/>
  <c r="BW6" i="7" s="1"/>
  <c r="BV6" i="7" a="1"/>
  <c r="BV6" i="7" s="1"/>
  <c r="BV7" i="7" s="1"/>
  <c r="BU6" i="7" a="1"/>
  <c r="BU6" i="7" s="1"/>
  <c r="BT6" i="7" a="1"/>
  <c r="BT6" i="7" s="1"/>
  <c r="BS6" i="7" a="1"/>
  <c r="BS6" i="7" s="1"/>
  <c r="BR6" i="7"/>
  <c r="BR8" i="7" s="1"/>
  <c r="BR6" i="7" a="1"/>
  <c r="BQ6" i="7" a="1"/>
  <c r="BQ6" i="7" s="1"/>
  <c r="BP6" i="7" a="1"/>
  <c r="BP6" i="7" s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J6" i="7"/>
  <c r="BJ7" i="7" s="1"/>
  <c r="BJ6" i="7" a="1"/>
  <c r="BI6" i="7" a="1"/>
  <c r="BI6" i="7" s="1"/>
  <c r="BH6" i="7" a="1"/>
  <c r="BH6" i="7" s="1"/>
  <c r="BG6" i="7" a="1"/>
  <c r="BG6" i="7" s="1"/>
  <c r="BF6" i="7" a="1"/>
  <c r="BF6" i="7" s="1"/>
  <c r="BF7" i="7" s="1"/>
  <c r="BE6" i="7" a="1"/>
  <c r="BE6" i="7" s="1"/>
  <c r="BD6" i="7" a="1"/>
  <c r="BD6" i="7" s="1"/>
  <c r="BC6" i="7" a="1"/>
  <c r="BC6" i="7" s="1"/>
  <c r="BB6" i="7"/>
  <c r="BB8" i="7" s="1"/>
  <c r="BB6" i="7" a="1"/>
  <c r="BA6" i="7" a="1"/>
  <c r="BA6" i="7" s="1"/>
  <c r="AZ6" i="7" a="1"/>
  <c r="AZ6" i="7" s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T6" i="7"/>
  <c r="AT7" i="7" s="1"/>
  <c r="AT6" i="7" a="1"/>
  <c r="AS6" i="7" a="1"/>
  <c r="AS6" i="7" s="1"/>
  <c r="AR6" i="7" a="1"/>
  <c r="AR6" i="7" s="1"/>
  <c r="AQ6" i="7" a="1"/>
  <c r="AQ6" i="7" s="1"/>
  <c r="AP6" i="7" a="1"/>
  <c r="AP6" i="7" s="1"/>
  <c r="AO6" i="7" a="1"/>
  <c r="AO6" i="7" s="1"/>
  <c r="AN6" i="7" a="1"/>
  <c r="AN6" i="7" s="1"/>
  <c r="AM6" i="7" a="1"/>
  <c r="AM6" i="7" s="1"/>
  <c r="AL6" i="7"/>
  <c r="AL8" i="7" s="1"/>
  <c r="AL6" i="7" a="1"/>
  <c r="AK6" i="7" a="1"/>
  <c r="AK6" i="7" s="1"/>
  <c r="AJ6" i="7" a="1"/>
  <c r="AJ6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/>
  <c r="AD7" i="7" s="1"/>
  <c r="AD6" i="7" a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V6" i="7"/>
  <c r="V8" i="7" s="1"/>
  <c r="V6" i="7" a="1"/>
  <c r="U6" i="7" a="1"/>
  <c r="U6" i="7" s="1"/>
  <c r="T6" i="7" a="1"/>
  <c r="T6" i="7" s="1"/>
  <c r="S6" i="7" a="1"/>
  <c r="S6" i="7" s="1"/>
  <c r="R6" i="7" a="1"/>
  <c r="R6" i="7" s="1"/>
  <c r="Q6" i="7" a="1"/>
  <c r="Q6" i="7" s="1"/>
  <c r="Q8" i="7" s="1"/>
  <c r="P6" i="7" a="1"/>
  <c r="P6" i="7" s="1"/>
  <c r="O6" i="7" a="1"/>
  <c r="O6" i="7" s="1"/>
  <c r="N6" i="7"/>
  <c r="N7" i="7" s="1"/>
  <c r="N6" i="7" a="1"/>
  <c r="M6" i="7" a="1"/>
  <c r="M6" i="7" s="1"/>
  <c r="L6" i="7" a="1"/>
  <c r="L6" i="7" s="1"/>
  <c r="K6" i="7" a="1"/>
  <c r="K6" i="7" s="1"/>
  <c r="J6" i="7" a="1"/>
  <c r="J6" i="7" s="1"/>
  <c r="I6" i="7" a="1"/>
  <c r="I6" i="7" s="1"/>
  <c r="H6" i="7" a="1"/>
  <c r="H6" i="7" s="1"/>
  <c r="G6" i="7" a="1"/>
  <c r="G6" i="7" s="1"/>
  <c r="F6" i="7"/>
  <c r="F8" i="7" s="1"/>
  <c r="F6" i="7" a="1"/>
  <c r="E6" i="7" a="1"/>
  <c r="E6" i="7" s="1"/>
  <c r="D6" i="7" a="1"/>
  <c r="D6" i="7" s="1"/>
  <c r="C6" i="7" a="1"/>
  <c r="C6" i="7" s="1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G10" i="6"/>
  <c r="EG18" i="6" s="1"/>
  <c r="EG9" i="6"/>
  <c r="A1" i="6"/>
  <c r="ED25" i="5"/>
  <c r="EE25" i="5" s="1"/>
  <c r="EF25" i="5" s="1"/>
  <c r="F25" i="5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D25" i="5"/>
  <c r="E25" i="5" s="1"/>
  <c r="I24" i="5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E24" i="5"/>
  <c r="F24" i="5" s="1"/>
  <c r="G24" i="5" s="1"/>
  <c r="H24" i="5" s="1"/>
  <c r="D24" i="5"/>
  <c r="D23" i="5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BY21" i="5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AE21" i="5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V21" i="5"/>
  <c r="W21" i="5" s="1"/>
  <c r="X21" i="5" s="1"/>
  <c r="Y21" i="5" s="1"/>
  <c r="Z21" i="5" s="1"/>
  <c r="AA21" i="5" s="1"/>
  <c r="AB21" i="5" s="1"/>
  <c r="AC21" i="5" s="1"/>
  <c r="AD21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F20" i="5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I19" i="5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9" i="5" s="1"/>
  <c r="F19" i="5" s="1"/>
  <c r="G19" i="5" s="1"/>
  <c r="H19" i="5" s="1"/>
  <c r="Q18" i="5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D18" i="5"/>
  <c r="AJ17" i="5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N17" i="5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K17" i="5"/>
  <c r="L17" i="5" s="1"/>
  <c r="M17" i="5" s="1"/>
  <c r="G17" i="5"/>
  <c r="H17" i="5" s="1"/>
  <c r="I17" i="5" s="1"/>
  <c r="F17" i="5"/>
  <c r="D17" i="5"/>
  <c r="E17" i="5" s="1"/>
  <c r="AL16" i="5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D16" i="5"/>
  <c r="H15" i="5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E15" i="5"/>
  <c r="F15" i="5" s="1"/>
  <c r="G15" i="5" s="1"/>
  <c r="D15" i="5"/>
  <c r="CN14" i="5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O14" i="5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G14" i="5"/>
  <c r="H14" i="5" s="1"/>
  <c r="I14" i="5" s="1"/>
  <c r="J14" i="5" s="1"/>
  <c r="K14" i="5" s="1"/>
  <c r="L14" i="5" s="1"/>
  <c r="M14" i="5" s="1"/>
  <c r="N14" i="5" s="1"/>
  <c r="D14" i="5"/>
  <c r="E14" i="5" s="1"/>
  <c r="F14" i="5" s="1"/>
  <c r="AJ13" i="5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BJ12" i="5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BI12" i="5"/>
  <c r="R12" i="5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P12" i="5"/>
  <c r="Q12" i="5" s="1"/>
  <c r="N12" i="5"/>
  <c r="O12" i="5" s="1"/>
  <c r="M12" i="5"/>
  <c r="L12" i="5"/>
  <c r="D12" i="5"/>
  <c r="E12" i="5" s="1"/>
  <c r="F12" i="5" s="1"/>
  <c r="G12" i="5" s="1"/>
  <c r="H12" i="5" s="1"/>
  <c r="I12" i="5" s="1"/>
  <c r="J12" i="5" s="1"/>
  <c r="K12" i="5" s="1"/>
  <c r="EF8" i="5"/>
  <c r="EA8" i="5"/>
  <c r="DV8" i="5"/>
  <c r="DT8" i="5"/>
  <c r="DO8" i="5"/>
  <c r="DN8" i="5"/>
  <c r="DF8" i="5"/>
  <c r="DC8" i="5"/>
  <c r="CX8" i="5"/>
  <c r="CU8" i="5"/>
  <c r="CL8" i="5"/>
  <c r="CC8" i="5"/>
  <c r="CB8" i="5"/>
  <c r="BH8" i="5"/>
  <c r="BF8" i="5"/>
  <c r="AU8" i="5"/>
  <c r="AF8" i="5"/>
  <c r="AE8" i="5"/>
  <c r="AD8" i="5"/>
  <c r="AC8" i="5"/>
  <c r="Z8" i="5"/>
  <c r="U8" i="5"/>
  <c r="N8" i="5"/>
  <c r="M8" i="5"/>
  <c r="EF7" i="5"/>
  <c r="EE7" i="5"/>
  <c r="DR7" i="5"/>
  <c r="DQ7" i="5"/>
  <c r="DP7" i="5"/>
  <c r="DO7" i="5"/>
  <c r="DN7" i="5"/>
  <c r="CY7" i="5"/>
  <c r="CV7" i="5"/>
  <c r="CL7" i="5"/>
  <c r="CC7" i="5"/>
  <c r="BU7" i="5"/>
  <c r="BQ7" i="5"/>
  <c r="BP7" i="5"/>
  <c r="BO7" i="5"/>
  <c r="BD7" i="5"/>
  <c r="AR7" i="5"/>
  <c r="AO7" i="5"/>
  <c r="AM7" i="5"/>
  <c r="AD7" i="5"/>
  <c r="AB7" i="5"/>
  <c r="W7" i="5"/>
  <c r="EG6" i="5" a="1"/>
  <c r="EG6" i="5"/>
  <c r="EF6" i="5" a="1"/>
  <c r="EF6" i="5" s="1"/>
  <c r="EE6" i="5" a="1"/>
  <c r="EE6" i="5" s="1"/>
  <c r="EE8" i="5" s="1"/>
  <c r="ED6" i="5" a="1"/>
  <c r="ED6" i="5" s="1"/>
  <c r="EC6" i="5" a="1"/>
  <c r="EC6" i="5"/>
  <c r="EB6" i="5" a="1"/>
  <c r="EB6" i="5" s="1"/>
  <c r="EB7" i="5" s="1"/>
  <c r="EA6" i="5" a="1"/>
  <c r="EA6" i="5"/>
  <c r="EA7" i="5" s="1"/>
  <c r="DZ6" i="5" a="1"/>
  <c r="DZ6" i="5"/>
  <c r="DZ7" i="5" s="1"/>
  <c r="DY6" i="5" a="1"/>
  <c r="DY6" i="5"/>
  <c r="DX6" i="5" a="1"/>
  <c r="DX6" i="5" s="1"/>
  <c r="DW6" i="5" a="1"/>
  <c r="DW6" i="5" s="1"/>
  <c r="DV6" i="5" a="1"/>
  <c r="DV6" i="5"/>
  <c r="DV7" i="5" s="1"/>
  <c r="DU6" i="5" a="1"/>
  <c r="DU6" i="5" s="1"/>
  <c r="DT6" i="5" a="1"/>
  <c r="DT6" i="5"/>
  <c r="DT7" i="5" s="1"/>
  <c r="DS6" i="5" a="1"/>
  <c r="DS6" i="5"/>
  <c r="DR6" i="5" a="1"/>
  <c r="DR6" i="5"/>
  <c r="DR8" i="5" s="1"/>
  <c r="DQ6" i="5" a="1"/>
  <c r="DQ6" i="5"/>
  <c r="DQ8" i="5" s="1"/>
  <c r="DP6" i="5" a="1"/>
  <c r="DP6" i="5" s="1"/>
  <c r="DP8" i="5" s="1"/>
  <c r="DO6" i="5" a="1"/>
  <c r="DO6" i="5" s="1"/>
  <c r="DN6" i="5" a="1"/>
  <c r="DN6" i="5"/>
  <c r="DM6" i="5" a="1"/>
  <c r="DM6" i="5" s="1"/>
  <c r="DM8" i="5" s="1"/>
  <c r="DL6" i="5" a="1"/>
  <c r="DL6" i="5" s="1"/>
  <c r="DL8" i="5" s="1"/>
  <c r="DK6" i="5" a="1"/>
  <c r="DK6" i="5"/>
  <c r="DJ6" i="5" a="1"/>
  <c r="DJ6" i="5" s="1"/>
  <c r="DI6" i="5" a="1"/>
  <c r="DI6" i="5"/>
  <c r="DH6" i="5" a="1"/>
  <c r="DH6" i="5"/>
  <c r="DG6" i="5" a="1"/>
  <c r="DG6" i="5" s="1"/>
  <c r="DF6" i="5" a="1"/>
  <c r="DF6" i="5"/>
  <c r="DF7" i="5" s="1"/>
  <c r="DE6" i="5" a="1"/>
  <c r="DE6" i="5"/>
  <c r="DD6" i="5" a="1"/>
  <c r="DD6" i="5"/>
  <c r="DC6" i="5" a="1"/>
  <c r="DC6" i="5"/>
  <c r="DC7" i="5" s="1"/>
  <c r="DB6" i="5" a="1"/>
  <c r="DB6" i="5"/>
  <c r="DA6" i="5" a="1"/>
  <c r="DA6" i="5"/>
  <c r="CZ6" i="5" a="1"/>
  <c r="CZ6" i="5" s="1"/>
  <c r="CY6" i="5" a="1"/>
  <c r="CY6" i="5" s="1"/>
  <c r="CY8" i="5" s="1"/>
  <c r="CX6" i="5" a="1"/>
  <c r="CX6" i="5" s="1"/>
  <c r="CX7" i="5" s="1"/>
  <c r="CW6" i="5" a="1"/>
  <c r="CW6" i="5"/>
  <c r="CV6" i="5" a="1"/>
  <c r="CV6" i="5" s="1"/>
  <c r="CV8" i="5" s="1"/>
  <c r="CU6" i="5" a="1"/>
  <c r="CU6" i="5" s="1"/>
  <c r="CU7" i="5" s="1"/>
  <c r="CT6" i="5" a="1"/>
  <c r="CT6" i="5"/>
  <c r="CS6" i="5" a="1"/>
  <c r="CS6" i="5"/>
  <c r="CR6" i="5" a="1"/>
  <c r="CR6" i="5" s="1"/>
  <c r="CQ6" i="5" a="1"/>
  <c r="CQ6" i="5" s="1"/>
  <c r="CP6" i="5" a="1"/>
  <c r="CP6" i="5" s="1"/>
  <c r="CO6" i="5" a="1"/>
  <c r="CO6" i="5"/>
  <c r="CN6" i="5" a="1"/>
  <c r="CN6" i="5" s="1"/>
  <c r="CM6" i="5" a="1"/>
  <c r="CM6" i="5"/>
  <c r="CM8" i="5" s="1"/>
  <c r="CL6" i="5" a="1"/>
  <c r="CL6" i="5"/>
  <c r="CK6" i="5" a="1"/>
  <c r="CK6" i="5" s="1"/>
  <c r="CJ6" i="5" a="1"/>
  <c r="CJ6" i="5"/>
  <c r="CI6" i="5" a="1"/>
  <c r="CI6" i="5" s="1"/>
  <c r="CH6" i="5" a="1"/>
  <c r="CH6" i="5" s="1"/>
  <c r="CG6" i="5" a="1"/>
  <c r="CG6" i="5"/>
  <c r="CF6" i="5" a="1"/>
  <c r="CF6" i="5" s="1"/>
  <c r="CE6" i="5" a="1"/>
  <c r="CE6" i="5" s="1"/>
  <c r="CE7" i="5" s="1"/>
  <c r="CD6" i="5" a="1"/>
  <c r="CD6" i="5" s="1"/>
  <c r="CD7" i="5" s="1"/>
  <c r="CC6" i="5" a="1"/>
  <c r="CC6" i="5"/>
  <c r="CB6" i="5" a="1"/>
  <c r="CB6" i="5"/>
  <c r="CB7" i="5" s="1"/>
  <c r="CA6" i="5" a="1"/>
  <c r="CA6" i="5" s="1"/>
  <c r="CA7" i="5" s="1"/>
  <c r="BZ6" i="5" a="1"/>
  <c r="BZ6" i="5"/>
  <c r="BY6" i="5" a="1"/>
  <c r="BY6" i="5"/>
  <c r="BX6" i="5" a="1"/>
  <c r="BX6" i="5" s="1"/>
  <c r="BW6" i="5" a="1"/>
  <c r="BW6" i="5"/>
  <c r="BV6" i="5" a="1"/>
  <c r="BV6" i="5"/>
  <c r="BU6" i="5" a="1"/>
  <c r="BU6" i="5"/>
  <c r="BU8" i="5" s="1"/>
  <c r="BT6" i="5" a="1"/>
  <c r="BT6" i="5" s="1"/>
  <c r="BT8" i="5" s="1"/>
  <c r="BS6" i="5" a="1"/>
  <c r="BS6" i="5" s="1"/>
  <c r="BR6" i="5" a="1"/>
  <c r="BR6" i="5"/>
  <c r="BQ6" i="5" a="1"/>
  <c r="BQ6" i="5" s="1"/>
  <c r="BQ8" i="5" s="1"/>
  <c r="BP6" i="5" a="1"/>
  <c r="BP6" i="5"/>
  <c r="BP8" i="5" s="1"/>
  <c r="BO6" i="5" a="1"/>
  <c r="BO6" i="5"/>
  <c r="BO8" i="5" s="1"/>
  <c r="BN6" i="5" a="1"/>
  <c r="BN6" i="5" s="1"/>
  <c r="BM6" i="5" a="1"/>
  <c r="BM6" i="5" s="1"/>
  <c r="BL6" i="5" a="1"/>
  <c r="BL6" i="5"/>
  <c r="BK6" i="5" a="1"/>
  <c r="BK6" i="5" s="1"/>
  <c r="BJ6" i="5" a="1"/>
  <c r="BJ6" i="5"/>
  <c r="BI6" i="5" a="1"/>
  <c r="BI6" i="5" s="1"/>
  <c r="BH6" i="5" a="1"/>
  <c r="BH6" i="5"/>
  <c r="BH7" i="5" s="1"/>
  <c r="BG6" i="5" a="1"/>
  <c r="BG6" i="5"/>
  <c r="BF6" i="5" a="1"/>
  <c r="BF6" i="5"/>
  <c r="BF7" i="5" s="1"/>
  <c r="BE6" i="5" a="1"/>
  <c r="BE6" i="5" s="1"/>
  <c r="BD6" i="5" a="1"/>
  <c r="BD6" i="5"/>
  <c r="BD8" i="5" s="1"/>
  <c r="BC6" i="5" a="1"/>
  <c r="BC6" i="5" s="1"/>
  <c r="BC8" i="5" s="1"/>
  <c r="BB6" i="5" a="1"/>
  <c r="BB6" i="5" s="1"/>
  <c r="BA6" i="5" a="1"/>
  <c r="BA6" i="5" s="1"/>
  <c r="AZ6" i="5" a="1"/>
  <c r="AZ6" i="5"/>
  <c r="AY6" i="5" a="1"/>
  <c r="AY6" i="5"/>
  <c r="AX6" i="5" a="1"/>
  <c r="AX6" i="5" s="1"/>
  <c r="AW6" i="5" a="1"/>
  <c r="AW6" i="5"/>
  <c r="AV6" i="5" a="1"/>
  <c r="AV6" i="5" s="1"/>
  <c r="AU6" i="5" a="1"/>
  <c r="AU6" i="5" s="1"/>
  <c r="AU7" i="5" s="1"/>
  <c r="AT6" i="5" a="1"/>
  <c r="AT6" i="5" s="1"/>
  <c r="AS6" i="5" a="1"/>
  <c r="AS6" i="5"/>
  <c r="AR6" i="5" a="1"/>
  <c r="AR6" i="5"/>
  <c r="AR8" i="5" s="1"/>
  <c r="AQ6" i="5" a="1"/>
  <c r="AQ6" i="5" s="1"/>
  <c r="AP6" i="5" a="1"/>
  <c r="AP6" i="5" s="1"/>
  <c r="AO6" i="5" a="1"/>
  <c r="AO6" i="5" s="1"/>
  <c r="AO8" i="5" s="1"/>
  <c r="AN6" i="5" a="1"/>
  <c r="AN6" i="5"/>
  <c r="AM6" i="5" a="1"/>
  <c r="AM6" i="5" s="1"/>
  <c r="AM8" i="5" s="1"/>
  <c r="AL6" i="5" a="1"/>
  <c r="AL6" i="5"/>
  <c r="AK6" i="5" a="1"/>
  <c r="AK6" i="5" s="1"/>
  <c r="AJ6" i="5" a="1"/>
  <c r="AJ6" i="5" s="1"/>
  <c r="AI6" i="5" a="1"/>
  <c r="AI6" i="5"/>
  <c r="AH6" i="5" a="1"/>
  <c r="AH6" i="5"/>
  <c r="AG6" i="5" a="1"/>
  <c r="AG6" i="5" s="1"/>
  <c r="AF6" i="5" a="1"/>
  <c r="AF6" i="5"/>
  <c r="AF7" i="5" s="1"/>
  <c r="AE6" i="5" a="1"/>
  <c r="AE6" i="5" s="1"/>
  <c r="AE7" i="5" s="1"/>
  <c r="AD6" i="5" a="1"/>
  <c r="AD6" i="5"/>
  <c r="AC6" i="5" a="1"/>
  <c r="AC6" i="5" s="1"/>
  <c r="AC7" i="5" s="1"/>
  <c r="AB6" i="5" a="1"/>
  <c r="AB6" i="5"/>
  <c r="AB8" i="5" s="1"/>
  <c r="AA6" i="5" a="1"/>
  <c r="AA6" i="5" s="1"/>
  <c r="Z6" i="5" a="1"/>
  <c r="Z6" i="5" s="1"/>
  <c r="Z7" i="5" s="1"/>
  <c r="Y6" i="5" a="1"/>
  <c r="Y6" i="5" s="1"/>
  <c r="X6" i="5" a="1"/>
  <c r="X6" i="5" s="1"/>
  <c r="W6" i="5" a="1"/>
  <c r="W6" i="5" s="1"/>
  <c r="W8" i="5" s="1"/>
  <c r="V6" i="5" a="1"/>
  <c r="V6" i="5" s="1"/>
  <c r="U6" i="5" a="1"/>
  <c r="U6" i="5"/>
  <c r="U7" i="5" s="1"/>
  <c r="T6" i="5" a="1"/>
  <c r="T6" i="5"/>
  <c r="S6" i="5" a="1"/>
  <c r="S6" i="5" s="1"/>
  <c r="R6" i="5" a="1"/>
  <c r="R6" i="5" s="1"/>
  <c r="Q6" i="5" a="1"/>
  <c r="Q6" i="5"/>
  <c r="P6" i="5" a="1"/>
  <c r="P6" i="5" s="1"/>
  <c r="O6" i="5" a="1"/>
  <c r="O6" i="5" s="1"/>
  <c r="N6" i="5" a="1"/>
  <c r="N6" i="5"/>
  <c r="N7" i="5" s="1"/>
  <c r="M6" i="5" a="1"/>
  <c r="M6" i="5"/>
  <c r="M7" i="5" s="1"/>
  <c r="L6" i="5" a="1"/>
  <c r="L6" i="5"/>
  <c r="K6" i="5" a="1"/>
  <c r="K6" i="5" s="1"/>
  <c r="J6" i="5" a="1"/>
  <c r="J6" i="5"/>
  <c r="I6" i="5" a="1"/>
  <c r="I6" i="5" s="1"/>
  <c r="H6" i="5" a="1"/>
  <c r="H6" i="5"/>
  <c r="G6" i="5" a="1"/>
  <c r="G6" i="5" s="1"/>
  <c r="F6" i="5" a="1"/>
  <c r="F6" i="5" s="1"/>
  <c r="E6" i="5" a="1"/>
  <c r="E6" i="5" s="1"/>
  <c r="D6" i="5" a="1"/>
  <c r="D6" i="5"/>
  <c r="C6" i="5" a="1"/>
  <c r="C6" i="5" s="1"/>
  <c r="A1" i="5"/>
  <c r="S25" i="4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Q25" i="4"/>
  <c r="R25" i="4" s="1"/>
  <c r="O25" i="4"/>
  <c r="P25" i="4" s="1"/>
  <c r="N25" i="4"/>
  <c r="H25" i="4"/>
  <c r="I25" i="4" s="1"/>
  <c r="J25" i="4" s="1"/>
  <c r="K25" i="4" s="1"/>
  <c r="L25" i="4" s="1"/>
  <c r="M25" i="4" s="1"/>
  <c r="G25" i="4"/>
  <c r="D25" i="4"/>
  <c r="E25" i="4" s="1"/>
  <c r="F25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F24" i="4"/>
  <c r="G24" i="4" s="1"/>
  <c r="D24" i="4"/>
  <c r="E24" i="4" s="1"/>
  <c r="M23" i="4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I23" i="4"/>
  <c r="J23" i="4" s="1"/>
  <c r="K23" i="4" s="1"/>
  <c r="L23" i="4" s="1"/>
  <c r="G23" i="4"/>
  <c r="H23" i="4" s="1"/>
  <c r="F23" i="4"/>
  <c r="D23" i="4"/>
  <c r="E23" i="4" s="1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2" i="4"/>
  <c r="E22" i="4" s="1"/>
  <c r="F22" i="4" s="1"/>
  <c r="J21" i="4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H21" i="4"/>
  <c r="I21" i="4" s="1"/>
  <c r="G21" i="4"/>
  <c r="E21" i="4"/>
  <c r="F21" i="4" s="1"/>
  <c r="D21" i="4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K19" i="4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F19" i="4"/>
  <c r="G19" i="4" s="1"/>
  <c r="H19" i="4" s="1"/>
  <c r="I19" i="4" s="1"/>
  <c r="J19" i="4" s="1"/>
  <c r="E19" i="4"/>
  <c r="D19" i="4"/>
  <c r="AE18" i="4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E18" i="4"/>
  <c r="F18" i="4" s="1"/>
  <c r="G18" i="4" s="1"/>
  <c r="H18" i="4" s="1"/>
  <c r="I18" i="4" s="1"/>
  <c r="D18" i="4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F17" i="4"/>
  <c r="D17" i="4"/>
  <c r="E17" i="4" s="1"/>
  <c r="BG16" i="4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G16" i="4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D16" i="4"/>
  <c r="E16" i="4" s="1"/>
  <c r="F16" i="4" s="1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G12" i="4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F12" i="4"/>
  <c r="E12" i="4"/>
  <c r="D12" i="4"/>
  <c r="EB8" i="4"/>
  <c r="DT8" i="4"/>
  <c r="DS8" i="4"/>
  <c r="DP8" i="4"/>
  <c r="DL8" i="4"/>
  <c r="DK8" i="4"/>
  <c r="DC8" i="4"/>
  <c r="CX8" i="4"/>
  <c r="CV8" i="4"/>
  <c r="CP8" i="4"/>
  <c r="CK8" i="4"/>
  <c r="CC8" i="4"/>
  <c r="BU8" i="4"/>
  <c r="BT8" i="4"/>
  <c r="BS8" i="4"/>
  <c r="BQ8" i="4"/>
  <c r="BP8" i="4"/>
  <c r="BC8" i="4"/>
  <c r="BA8" i="4"/>
  <c r="AZ8" i="4"/>
  <c r="AY8" i="4"/>
  <c r="AW8" i="4"/>
  <c r="AG8" i="4"/>
  <c r="AE8" i="4"/>
  <c r="AD8" i="4"/>
  <c r="Y8" i="4"/>
  <c r="V8" i="4"/>
  <c r="U8" i="4"/>
  <c r="M8" i="4"/>
  <c r="E8" i="4"/>
  <c r="EB7" i="4"/>
  <c r="EA7" i="4"/>
  <c r="DR7" i="4"/>
  <c r="DL7" i="4"/>
  <c r="DK7" i="4"/>
  <c r="DJ7" i="4"/>
  <c r="DC7" i="4"/>
  <c r="CW7" i="4"/>
  <c r="CU7" i="4"/>
  <c r="CK7" i="4"/>
  <c r="CJ7" i="4"/>
  <c r="CA7" i="4"/>
  <c r="BU7" i="4"/>
  <c r="BT7" i="4"/>
  <c r="BS7" i="4"/>
  <c r="BR7" i="4"/>
  <c r="BP7" i="4"/>
  <c r="AZ7" i="4"/>
  <c r="AY7" i="4"/>
  <c r="AX7" i="4"/>
  <c r="X7" i="4"/>
  <c r="U7" i="4"/>
  <c r="T7" i="4"/>
  <c r="O7" i="4"/>
  <c r="E7" i="4"/>
  <c r="C7" i="4"/>
  <c r="EG6" i="4" a="1"/>
  <c r="EG6" i="4" s="1"/>
  <c r="EF6" i="4" a="1"/>
  <c r="EF6" i="4"/>
  <c r="EF8" i="4" s="1"/>
  <c r="EE6" i="4" a="1"/>
  <c r="EE6" i="4" s="1"/>
  <c r="EE8" i="4" s="1"/>
  <c r="ED6" i="4" a="1"/>
  <c r="ED6" i="4" s="1"/>
  <c r="EC6" i="4" a="1"/>
  <c r="EC6" i="4" s="1"/>
  <c r="EB6" i="4" a="1"/>
  <c r="EB6" i="4" s="1"/>
  <c r="EA6" i="4" a="1"/>
  <c r="EA6" i="4" s="1"/>
  <c r="EA8" i="4" s="1"/>
  <c r="DZ6" i="4" a="1"/>
  <c r="DZ6" i="4"/>
  <c r="DY6" i="4" a="1"/>
  <c r="DY6" i="4" s="1"/>
  <c r="DX6" i="4" a="1"/>
  <c r="DX6" i="4" s="1"/>
  <c r="DW6" i="4" a="1"/>
  <c r="DW6" i="4" s="1"/>
  <c r="DV6" i="4" a="1"/>
  <c r="DV6" i="4"/>
  <c r="DU6" i="4" a="1"/>
  <c r="DU6" i="4" s="1"/>
  <c r="DT6" i="4" a="1"/>
  <c r="DT6" i="4"/>
  <c r="DT7" i="4" s="1"/>
  <c r="DS6" i="4" a="1"/>
  <c r="DS6" i="4"/>
  <c r="DS7" i="4" s="1"/>
  <c r="DR6" i="4" a="1"/>
  <c r="DR6" i="4"/>
  <c r="DR8" i="4" s="1"/>
  <c r="DQ6" i="4" a="1"/>
  <c r="DQ6" i="4" s="1"/>
  <c r="DQ7" i="4" s="1"/>
  <c r="DP6" i="4" a="1"/>
  <c r="DP6" i="4"/>
  <c r="DP7" i="4" s="1"/>
  <c r="DO6" i="4" a="1"/>
  <c r="DO6" i="4" s="1"/>
  <c r="DN6" i="4" a="1"/>
  <c r="DN6" i="4" s="1"/>
  <c r="DN7" i="4" s="1"/>
  <c r="DM6" i="4" a="1"/>
  <c r="DM6" i="4" s="1"/>
  <c r="DL6" i="4" a="1"/>
  <c r="DL6" i="4" s="1"/>
  <c r="DK6" i="4" a="1"/>
  <c r="DK6" i="4" s="1"/>
  <c r="DJ6" i="4" a="1"/>
  <c r="DJ6" i="4"/>
  <c r="DJ8" i="4" s="1"/>
  <c r="DI6" i="4" a="1"/>
  <c r="DI6" i="4" s="1"/>
  <c r="DH6" i="4" a="1"/>
  <c r="DH6" i="4"/>
  <c r="DG6" i="4" a="1"/>
  <c r="DG6" i="4" s="1"/>
  <c r="DF6" i="4" a="1"/>
  <c r="DF6" i="4"/>
  <c r="DE6" i="4" a="1"/>
  <c r="DE6" i="4"/>
  <c r="DD6" i="4" a="1"/>
  <c r="DD6" i="4"/>
  <c r="DC6" i="4" a="1"/>
  <c r="DC6" i="4"/>
  <c r="DB6" i="4" a="1"/>
  <c r="DB6" i="4"/>
  <c r="DB8" i="4" s="1"/>
  <c r="DA6" i="4" a="1"/>
  <c r="DA6" i="4" s="1"/>
  <c r="CZ6" i="4" a="1"/>
  <c r="CZ6" i="4" s="1"/>
  <c r="CY6" i="4" a="1"/>
  <c r="CY6" i="4"/>
  <c r="CX6" i="4" a="1"/>
  <c r="CX6" i="4"/>
  <c r="CX7" i="4" s="1"/>
  <c r="CW6" i="4" a="1"/>
  <c r="CW6" i="4"/>
  <c r="CW8" i="4" s="1"/>
  <c r="CV6" i="4" a="1"/>
  <c r="CV6" i="4" s="1"/>
  <c r="CV7" i="4" s="1"/>
  <c r="CU6" i="4" a="1"/>
  <c r="CU6" i="4" s="1"/>
  <c r="CU8" i="4" s="1"/>
  <c r="CT6" i="4" a="1"/>
  <c r="CT6" i="4" s="1"/>
  <c r="CT7" i="4" s="1"/>
  <c r="CS6" i="4" a="1"/>
  <c r="CS6" i="4" s="1"/>
  <c r="CR6" i="4" a="1"/>
  <c r="CR6" i="4" s="1"/>
  <c r="CQ6" i="4" a="1"/>
  <c r="CQ6" i="4" s="1"/>
  <c r="CP6" i="4" a="1"/>
  <c r="CP6" i="4"/>
  <c r="CP7" i="4" s="1"/>
  <c r="CO6" i="4" a="1"/>
  <c r="CO6" i="4" s="1"/>
  <c r="CN6" i="4" a="1"/>
  <c r="CN6" i="4" s="1"/>
  <c r="CM6" i="4" a="1"/>
  <c r="CM6" i="4" s="1"/>
  <c r="CL6" i="4" a="1"/>
  <c r="CL6" i="4"/>
  <c r="CK6" i="4" a="1"/>
  <c r="CK6" i="4" s="1"/>
  <c r="CJ6" i="4" a="1"/>
  <c r="CJ6" i="4"/>
  <c r="CJ8" i="4" s="1"/>
  <c r="CI6" i="4" a="1"/>
  <c r="CI6" i="4"/>
  <c r="CH6" i="4" a="1"/>
  <c r="CH6" i="4" s="1"/>
  <c r="CG6" i="4" a="1"/>
  <c r="CG6" i="4"/>
  <c r="CF6" i="4" a="1"/>
  <c r="CF6" i="4"/>
  <c r="CE6" i="4" a="1"/>
  <c r="CE6" i="4" s="1"/>
  <c r="CD6" i="4" a="1"/>
  <c r="CD6" i="4" s="1"/>
  <c r="CC6" i="4" a="1"/>
  <c r="CC6" i="4" s="1"/>
  <c r="CC7" i="4" s="1"/>
  <c r="CB6" i="4" a="1"/>
  <c r="CB6" i="4"/>
  <c r="CA6" i="4" a="1"/>
  <c r="CA6" i="4"/>
  <c r="CA8" i="4" s="1"/>
  <c r="BZ6" i="4" a="1"/>
  <c r="BZ6" i="4"/>
  <c r="BY6" i="4" a="1"/>
  <c r="BY6" i="4" s="1"/>
  <c r="BX6" i="4" a="1"/>
  <c r="BX6" i="4"/>
  <c r="BW6" i="4" a="1"/>
  <c r="BW6" i="4"/>
  <c r="BW7" i="4" s="1"/>
  <c r="BV6" i="4" a="1"/>
  <c r="BV6" i="4" s="1"/>
  <c r="BU6" i="4" a="1"/>
  <c r="BU6" i="4" s="1"/>
  <c r="BT6" i="4" a="1"/>
  <c r="BT6" i="4"/>
  <c r="BS6" i="4" a="1"/>
  <c r="BS6" i="4" s="1"/>
  <c r="BR6" i="4" a="1"/>
  <c r="BR6" i="4" s="1"/>
  <c r="BR8" i="4" s="1"/>
  <c r="BQ6" i="4" a="1"/>
  <c r="BQ6" i="4" s="1"/>
  <c r="BQ7" i="4" s="1"/>
  <c r="BP6" i="4" a="1"/>
  <c r="BP6" i="4"/>
  <c r="BO6" i="4" a="1"/>
  <c r="BO6" i="4" s="1"/>
  <c r="BO8" i="4" s="1"/>
  <c r="BN6" i="4" a="1"/>
  <c r="BN6" i="4" s="1"/>
  <c r="BM6" i="4" a="1"/>
  <c r="BM6" i="4" s="1"/>
  <c r="BL6" i="4" a="1"/>
  <c r="BL6" i="4"/>
  <c r="BL7" i="4" s="1"/>
  <c r="BK6" i="4" a="1"/>
  <c r="BK6" i="4" s="1"/>
  <c r="BJ6" i="4" a="1"/>
  <c r="BJ6" i="4"/>
  <c r="BJ8" i="4" s="1"/>
  <c r="BI6" i="4" a="1"/>
  <c r="BI6" i="4"/>
  <c r="BH6" i="4" a="1"/>
  <c r="BH6" i="4" s="1"/>
  <c r="BG6" i="4" a="1"/>
  <c r="BG6" i="4"/>
  <c r="BF6" i="4" a="1"/>
  <c r="BF6" i="4"/>
  <c r="BE6" i="4" a="1"/>
  <c r="BE6" i="4" s="1"/>
  <c r="BD6" i="4" a="1"/>
  <c r="BD6" i="4" s="1"/>
  <c r="BC6" i="4" a="1"/>
  <c r="BC6" i="4" s="1"/>
  <c r="BC7" i="4" s="1"/>
  <c r="BB6" i="4" a="1"/>
  <c r="BB6" i="4" s="1"/>
  <c r="BB8" i="4" s="1"/>
  <c r="BA6" i="4" a="1"/>
  <c r="BA6" i="4"/>
  <c r="BA7" i="4" s="1"/>
  <c r="AZ6" i="4" a="1"/>
  <c r="AZ6" i="4"/>
  <c r="AY6" i="4" a="1"/>
  <c r="AY6" i="4" s="1"/>
  <c r="AX6" i="4" a="1"/>
  <c r="AX6" i="4"/>
  <c r="AX8" i="4" s="1"/>
  <c r="AW6" i="4" a="1"/>
  <c r="AW6" i="4" s="1"/>
  <c r="AW7" i="4" s="1"/>
  <c r="AV6" i="4" a="1"/>
  <c r="AV6" i="4"/>
  <c r="AU6" i="4" a="1"/>
  <c r="AU6" i="4"/>
  <c r="AT6" i="4" a="1"/>
  <c r="AT6" i="4"/>
  <c r="AS6" i="4" a="1"/>
  <c r="AS6" i="4" s="1"/>
  <c r="AR6" i="4" a="1"/>
  <c r="AR6" i="4" s="1"/>
  <c r="AQ6" i="4" a="1"/>
  <c r="AQ6" i="4" s="1"/>
  <c r="AP6" i="4" a="1"/>
  <c r="AP6" i="4"/>
  <c r="AO6" i="4" a="1"/>
  <c r="AO6" i="4" s="1"/>
  <c r="AN6" i="4" a="1"/>
  <c r="AN6" i="4"/>
  <c r="AM6" i="4" a="1"/>
  <c r="AM6" i="4" s="1"/>
  <c r="AL6" i="4" a="1"/>
  <c r="AL6" i="4"/>
  <c r="AK6" i="4" a="1"/>
  <c r="AK6" i="4" s="1"/>
  <c r="AJ6" i="4" a="1"/>
  <c r="AJ6" i="4" s="1"/>
  <c r="AI6" i="4" a="1"/>
  <c r="AI6" i="4" s="1"/>
  <c r="AH6" i="4" a="1"/>
  <c r="AH6" i="4" s="1"/>
  <c r="AG6" i="4" a="1"/>
  <c r="AG6" i="4" s="1"/>
  <c r="AG7" i="4" s="1"/>
  <c r="AF6" i="4" a="1"/>
  <c r="AF6" i="4"/>
  <c r="AF7" i="4" s="1"/>
  <c r="AE6" i="4" a="1"/>
  <c r="AE6" i="4"/>
  <c r="AE7" i="4" s="1"/>
  <c r="AD6" i="4" a="1"/>
  <c r="AD6" i="4"/>
  <c r="AD7" i="4" s="1"/>
  <c r="AC6" i="4" a="1"/>
  <c r="AC6" i="4"/>
  <c r="AC8" i="4" s="1"/>
  <c r="AB6" i="4" a="1"/>
  <c r="AB6" i="4"/>
  <c r="AB8" i="4" s="1"/>
  <c r="AA6" i="4" a="1"/>
  <c r="AA6" i="4"/>
  <c r="Z6" i="4" a="1"/>
  <c r="Z6" i="4"/>
  <c r="Y6" i="4" a="1"/>
  <c r="Y6" i="4" s="1"/>
  <c r="Y7" i="4" s="1"/>
  <c r="X6" i="4" a="1"/>
  <c r="X6" i="4"/>
  <c r="X8" i="4" s="1"/>
  <c r="W6" i="4" a="1"/>
  <c r="W6" i="4" s="1"/>
  <c r="V6" i="4" a="1"/>
  <c r="V6" i="4" s="1"/>
  <c r="V7" i="4" s="1"/>
  <c r="U6" i="4" a="1"/>
  <c r="U6" i="4"/>
  <c r="T6" i="4" a="1"/>
  <c r="T6" i="4"/>
  <c r="T8" i="4" s="1"/>
  <c r="S6" i="4" a="1"/>
  <c r="S6" i="4"/>
  <c r="R6" i="4" a="1"/>
  <c r="R6" i="4"/>
  <c r="Q6" i="4" a="1"/>
  <c r="Q6" i="4" s="1"/>
  <c r="Q7" i="4" s="1"/>
  <c r="P6" i="4" a="1"/>
  <c r="P6" i="4" s="1"/>
  <c r="O6" i="4" a="1"/>
  <c r="O6" i="4"/>
  <c r="O8" i="4" s="1"/>
  <c r="N6" i="4" a="1"/>
  <c r="N6" i="4" s="1"/>
  <c r="M6" i="4" a="1"/>
  <c r="M6" i="4"/>
  <c r="M7" i="4" s="1"/>
  <c r="L6" i="4" a="1"/>
  <c r="L6" i="4" s="1"/>
  <c r="K6" i="4" a="1"/>
  <c r="K6" i="4" s="1"/>
  <c r="J6" i="4" a="1"/>
  <c r="J6" i="4" s="1"/>
  <c r="I6" i="4" a="1"/>
  <c r="I6" i="4" s="1"/>
  <c r="H6" i="4" a="1"/>
  <c r="H6" i="4"/>
  <c r="G6" i="4" a="1"/>
  <c r="G6" i="4" s="1"/>
  <c r="F6" i="4" a="1"/>
  <c r="F6" i="4"/>
  <c r="F7" i="4" s="1"/>
  <c r="E6" i="4" a="1"/>
  <c r="E6" i="4" s="1"/>
  <c r="D6" i="4" a="1"/>
  <c r="D6" i="4"/>
  <c r="D8" i="4" s="1"/>
  <c r="C6" i="4" a="1"/>
  <c r="C6" i="4"/>
  <c r="C8" i="4" s="1"/>
  <c r="A1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H23" i="3" s="1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EG22" i="3" s="1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G21" i="3" s="1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EH20" i="3" s="1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EH16" i="3" s="1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G14" i="3" s="1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H12" i="3" s="1"/>
  <c r="H12" i="3"/>
  <c r="G12" i="3"/>
  <c r="F12" i="3"/>
  <c r="E12" i="3"/>
  <c r="D12" i="3"/>
  <c r="C12" i="3"/>
  <c r="EE8" i="3"/>
  <c r="ED8" i="3"/>
  <c r="EC8" i="3"/>
  <c r="EB8" i="3"/>
  <c r="DY8" i="3"/>
  <c r="DV8" i="3"/>
  <c r="DK8" i="3"/>
  <c r="DJ8" i="3"/>
  <c r="DI8" i="3"/>
  <c r="DE8" i="3"/>
  <c r="CP8" i="3"/>
  <c r="CO8" i="3"/>
  <c r="CN8" i="3"/>
  <c r="BY8" i="3"/>
  <c r="BX8" i="3"/>
  <c r="BW8" i="3"/>
  <c r="BP8" i="3"/>
  <c r="BG8" i="3"/>
  <c r="BE8" i="3"/>
  <c r="BB8" i="3"/>
  <c r="BA8" i="3"/>
  <c r="AY8" i="3"/>
  <c r="AX8" i="3"/>
  <c r="AQ8" i="3"/>
  <c r="AO8" i="3"/>
  <c r="AN8" i="3"/>
  <c r="AJ8" i="3"/>
  <c r="AI8" i="3"/>
  <c r="AH8" i="3"/>
  <c r="AG8" i="3"/>
  <c r="AF8" i="3"/>
  <c r="Y8" i="3"/>
  <c r="X8" i="3"/>
  <c r="W8" i="3"/>
  <c r="S8" i="3"/>
  <c r="R8" i="3"/>
  <c r="Q8" i="3"/>
  <c r="G8" i="3"/>
  <c r="EG7" i="3"/>
  <c r="EF7" i="3"/>
  <c r="EE7" i="3"/>
  <c r="EC7" i="3"/>
  <c r="EA7" i="3"/>
  <c r="DR7" i="3"/>
  <c r="DQ7" i="3"/>
  <c r="DO7" i="3"/>
  <c r="DM7" i="3"/>
  <c r="CZ7" i="3"/>
  <c r="CY7" i="3"/>
  <c r="CW7" i="3"/>
  <c r="CV7" i="3"/>
  <c r="CP7" i="3"/>
  <c r="CG7" i="3"/>
  <c r="CF7" i="3"/>
  <c r="CE7" i="3"/>
  <c r="BW7" i="3"/>
  <c r="BP7" i="3"/>
  <c r="BO7" i="3"/>
  <c r="BN7" i="3"/>
  <c r="BK7" i="3"/>
  <c r="BJ7" i="3"/>
  <c r="BI7" i="3"/>
  <c r="BH7" i="3"/>
  <c r="BG7" i="3"/>
  <c r="BF7" i="3"/>
  <c r="AY7" i="3"/>
  <c r="AX7" i="3"/>
  <c r="AQ7" i="3"/>
  <c r="AP7" i="3"/>
  <c r="AO7" i="3"/>
  <c r="AN7" i="3"/>
  <c r="AB7" i="3"/>
  <c r="AA7" i="3"/>
  <c r="Z7" i="3"/>
  <c r="Y7" i="3"/>
  <c r="X7" i="3"/>
  <c r="J7" i="3"/>
  <c r="I7" i="3"/>
  <c r="H7" i="3"/>
  <c r="G7" i="3"/>
  <c r="C7" i="3"/>
  <c r="EG6" i="3" a="1"/>
  <c r="EG6" i="3" s="1"/>
  <c r="EG8" i="3" s="1"/>
  <c r="EF6" i="3" a="1"/>
  <c r="EF6" i="3"/>
  <c r="EF8" i="3" s="1"/>
  <c r="EE6" i="3" a="1"/>
  <c r="EE6" i="3"/>
  <c r="ED6" i="3" a="1"/>
  <c r="ED6" i="3"/>
  <c r="ED7" i="3" s="1"/>
  <c r="EC6" i="3" a="1"/>
  <c r="EC6" i="3"/>
  <c r="EB6" i="3" a="1"/>
  <c r="EB6" i="3"/>
  <c r="EB7" i="3" s="1"/>
  <c r="EA6" i="3" a="1"/>
  <c r="EA6" i="3"/>
  <c r="EA8" i="3" s="1"/>
  <c r="DZ6" i="3" a="1"/>
  <c r="DZ6" i="3" s="1"/>
  <c r="DZ7" i="3" s="1"/>
  <c r="DY6" i="3" a="1"/>
  <c r="DY6" i="3" s="1"/>
  <c r="DY7" i="3" s="1"/>
  <c r="DX6" i="3" a="1"/>
  <c r="DX6" i="3" s="1"/>
  <c r="DX7" i="3" s="1"/>
  <c r="DW6" i="3" a="1"/>
  <c r="DW6" i="3" s="1"/>
  <c r="DV6" i="3" a="1"/>
  <c r="DV6" i="3"/>
  <c r="DV7" i="3" s="1"/>
  <c r="DU6" i="3" a="1"/>
  <c r="DU6" i="3"/>
  <c r="DT6" i="3" a="1"/>
  <c r="DT6" i="3" s="1"/>
  <c r="DS6" i="3" a="1"/>
  <c r="DS6" i="3"/>
  <c r="DR6" i="3" a="1"/>
  <c r="DR6" i="3"/>
  <c r="DR8" i="3" s="1"/>
  <c r="DQ6" i="3" a="1"/>
  <c r="DQ6" i="3" s="1"/>
  <c r="DQ8" i="3" s="1"/>
  <c r="DP6" i="3" a="1"/>
  <c r="DP6" i="3" s="1"/>
  <c r="DP8" i="3" s="1"/>
  <c r="DO6" i="3" a="1"/>
  <c r="DO6" i="3"/>
  <c r="DO8" i="3" s="1"/>
  <c r="DN6" i="3" a="1"/>
  <c r="DN6" i="3"/>
  <c r="DN7" i="3" s="1"/>
  <c r="DM6" i="3" a="1"/>
  <c r="DM6" i="3"/>
  <c r="DM8" i="3" s="1"/>
  <c r="DL6" i="3" a="1"/>
  <c r="DL6" i="3" s="1"/>
  <c r="DK6" i="3" a="1"/>
  <c r="DK6" i="3"/>
  <c r="DK7" i="3" s="1"/>
  <c r="DJ6" i="3" a="1"/>
  <c r="DJ6" i="3"/>
  <c r="DJ7" i="3" s="1"/>
  <c r="DI6" i="3" a="1"/>
  <c r="DI6" i="3" s="1"/>
  <c r="DI7" i="3" s="1"/>
  <c r="DH6" i="3" a="1"/>
  <c r="DH6" i="3"/>
  <c r="DH7" i="3" s="1"/>
  <c r="DG6" i="3" a="1"/>
  <c r="DG6" i="3" s="1"/>
  <c r="DF6" i="3" a="1"/>
  <c r="DF6" i="3" s="1"/>
  <c r="DF7" i="3" s="1"/>
  <c r="DE6" i="3" a="1"/>
  <c r="DE6" i="3"/>
  <c r="DE7" i="3" s="1"/>
  <c r="DD6" i="3" a="1"/>
  <c r="DD6" i="3"/>
  <c r="DD7" i="3" s="1"/>
  <c r="DC6" i="3" a="1"/>
  <c r="DC6" i="3"/>
  <c r="DB6" i="3" a="1"/>
  <c r="DB6" i="3" s="1"/>
  <c r="DA6" i="3" a="1"/>
  <c r="DA6" i="3" s="1"/>
  <c r="DA7" i="3" s="1"/>
  <c r="CZ6" i="3" a="1"/>
  <c r="CZ6" i="3" s="1"/>
  <c r="CZ8" i="3" s="1"/>
  <c r="CY6" i="3" a="1"/>
  <c r="CY6" i="3" s="1"/>
  <c r="CY8" i="3" s="1"/>
  <c r="CX6" i="3" a="1"/>
  <c r="CX6" i="3"/>
  <c r="CX7" i="3" s="1"/>
  <c r="CW6" i="3" a="1"/>
  <c r="CW6" i="3"/>
  <c r="CW8" i="3" s="1"/>
  <c r="CV6" i="3" a="1"/>
  <c r="CV6" i="3"/>
  <c r="CV8" i="3" s="1"/>
  <c r="CU6" i="3" a="1"/>
  <c r="CU6" i="3"/>
  <c r="CU8" i="3" s="1"/>
  <c r="CT6" i="3" a="1"/>
  <c r="CT6" i="3"/>
  <c r="CT8" i="3" s="1"/>
  <c r="CS6" i="3" a="1"/>
  <c r="CS6" i="3" s="1"/>
  <c r="CS7" i="3" s="1"/>
  <c r="CR6" i="3" a="1"/>
  <c r="CR6" i="3" s="1"/>
  <c r="CQ6" i="3" a="1"/>
  <c r="CQ6" i="3"/>
  <c r="CP6" i="3" a="1"/>
  <c r="CP6" i="3" s="1"/>
  <c r="CO6" i="3" a="1"/>
  <c r="CO6" i="3" s="1"/>
  <c r="CO7" i="3" s="1"/>
  <c r="CN6" i="3" a="1"/>
  <c r="CN6" i="3"/>
  <c r="CN7" i="3" s="1"/>
  <c r="CM6" i="3" a="1"/>
  <c r="CM6" i="3"/>
  <c r="CM7" i="3" s="1"/>
  <c r="CL6" i="3" a="1"/>
  <c r="CL6" i="3" s="1"/>
  <c r="CK6" i="3" a="1"/>
  <c r="CK6" i="3" s="1"/>
  <c r="CK7" i="3" s="1"/>
  <c r="CJ6" i="3" a="1"/>
  <c r="CJ6" i="3"/>
  <c r="CI6" i="3" a="1"/>
  <c r="CI6" i="3" s="1"/>
  <c r="CI7" i="3" s="1"/>
  <c r="CH6" i="3" a="1"/>
  <c r="CH6" i="3" s="1"/>
  <c r="CG6" i="3" a="1"/>
  <c r="CG6" i="3"/>
  <c r="CG8" i="3" s="1"/>
  <c r="CF6" i="3" a="1"/>
  <c r="CF6" i="3"/>
  <c r="CF8" i="3" s="1"/>
  <c r="CE6" i="3" a="1"/>
  <c r="CE6" i="3"/>
  <c r="CE8" i="3" s="1"/>
  <c r="CD6" i="3" a="1"/>
  <c r="CD6" i="3"/>
  <c r="CD8" i="3" s="1"/>
  <c r="CC6" i="3" a="1"/>
  <c r="CC6" i="3" s="1"/>
  <c r="CB6" i="3" a="1"/>
  <c r="CB6" i="3" s="1"/>
  <c r="CA6" i="3" a="1"/>
  <c r="CA6" i="3"/>
  <c r="CA8" i="3" s="1"/>
  <c r="BZ6" i="3" a="1"/>
  <c r="BZ6" i="3"/>
  <c r="BZ8" i="3" s="1"/>
  <c r="BY6" i="3" a="1"/>
  <c r="BY6" i="3" s="1"/>
  <c r="BY7" i="3" s="1"/>
  <c r="BX6" i="3" a="1"/>
  <c r="BX6" i="3" s="1"/>
  <c r="BX7" i="3" s="1"/>
  <c r="BW6" i="3" a="1"/>
  <c r="BW6" i="3"/>
  <c r="BV6" i="3" a="1"/>
  <c r="BV6" i="3"/>
  <c r="BU6" i="3" a="1"/>
  <c r="BU6" i="3" s="1"/>
  <c r="BU7" i="3" s="1"/>
  <c r="BT6" i="3" a="1"/>
  <c r="BT6" i="3"/>
  <c r="BT7" i="3" s="1"/>
  <c r="BS6" i="3" a="1"/>
  <c r="BS6" i="3"/>
  <c r="BS7" i="3" s="1"/>
  <c r="BR6" i="3" a="1"/>
  <c r="BR6" i="3" s="1"/>
  <c r="BQ6" i="3" a="1"/>
  <c r="BQ6" i="3" s="1"/>
  <c r="BQ7" i="3" s="1"/>
  <c r="BP6" i="3" a="1"/>
  <c r="BP6" i="3"/>
  <c r="BO6" i="3" a="1"/>
  <c r="BO6" i="3"/>
  <c r="BO8" i="3" s="1"/>
  <c r="BN6" i="3" a="1"/>
  <c r="BN6" i="3"/>
  <c r="BN8" i="3" s="1"/>
  <c r="BM6" i="3" a="1"/>
  <c r="BM6" i="3" s="1"/>
  <c r="BL6" i="3" a="1"/>
  <c r="BL6" i="3" s="1"/>
  <c r="BK6" i="3" a="1"/>
  <c r="BK6" i="3"/>
  <c r="BK8" i="3" s="1"/>
  <c r="BJ6" i="3" a="1"/>
  <c r="BJ6" i="3"/>
  <c r="BJ8" i="3" s="1"/>
  <c r="BI6" i="3" a="1"/>
  <c r="BI6" i="3"/>
  <c r="BI8" i="3" s="1"/>
  <c r="BH6" i="3" a="1"/>
  <c r="BH6" i="3" s="1"/>
  <c r="BH8" i="3" s="1"/>
  <c r="BG6" i="3" a="1"/>
  <c r="BG6" i="3"/>
  <c r="BF6" i="3" a="1"/>
  <c r="BF6" i="3"/>
  <c r="BF8" i="3" s="1"/>
  <c r="BE6" i="3" a="1"/>
  <c r="BE6" i="3" s="1"/>
  <c r="BE7" i="3" s="1"/>
  <c r="BD6" i="3" a="1"/>
  <c r="BD6" i="3" s="1"/>
  <c r="BC6" i="3" a="1"/>
  <c r="BC6" i="3" s="1"/>
  <c r="BB6" i="3" a="1"/>
  <c r="BB6" i="3"/>
  <c r="BB7" i="3" s="1"/>
  <c r="BA6" i="3" a="1"/>
  <c r="BA6" i="3" s="1"/>
  <c r="BA7" i="3" s="1"/>
  <c r="AZ6" i="3" a="1"/>
  <c r="AZ6" i="3" s="1"/>
  <c r="AY6" i="3" a="1"/>
  <c r="AY6" i="3"/>
  <c r="AX6" i="3" a="1"/>
  <c r="AX6" i="3"/>
  <c r="AW6" i="3" a="1"/>
  <c r="AW6" i="3" s="1"/>
  <c r="AW7" i="3" s="1"/>
  <c r="AV6" i="3" a="1"/>
  <c r="AV6" i="3"/>
  <c r="AV8" i="3" s="1"/>
  <c r="AU6" i="3" a="1"/>
  <c r="AU6" i="3" s="1"/>
  <c r="AT6" i="3" a="1"/>
  <c r="AT6" i="3"/>
  <c r="AT8" i="3" s="1"/>
  <c r="AS6" i="3" a="1"/>
  <c r="AS6" i="3"/>
  <c r="AS8" i="3" s="1"/>
  <c r="AR6" i="3" a="1"/>
  <c r="AR6" i="3"/>
  <c r="AR8" i="3" s="1"/>
  <c r="AQ6" i="3" a="1"/>
  <c r="AQ6" i="3"/>
  <c r="AP6" i="3" a="1"/>
  <c r="AP6" i="3" s="1"/>
  <c r="AP8" i="3" s="1"/>
  <c r="AO6" i="3" a="1"/>
  <c r="AO6" i="3" s="1"/>
  <c r="AN6" i="3" a="1"/>
  <c r="AN6" i="3"/>
  <c r="AM6" i="3" a="1"/>
  <c r="AM6" i="3" s="1"/>
  <c r="AL6" i="3" a="1"/>
  <c r="AL6" i="3" s="1"/>
  <c r="AK6" i="3" a="1"/>
  <c r="AK6" i="3"/>
  <c r="AK7" i="3" s="1"/>
  <c r="AJ6" i="3" a="1"/>
  <c r="AJ6" i="3" s="1"/>
  <c r="AJ7" i="3" s="1"/>
  <c r="AI6" i="3" a="1"/>
  <c r="AI6" i="3"/>
  <c r="AI7" i="3" s="1"/>
  <c r="AH6" i="3" a="1"/>
  <c r="AH6" i="3"/>
  <c r="AH7" i="3" s="1"/>
  <c r="AG6" i="3" a="1"/>
  <c r="AG6" i="3" s="1"/>
  <c r="AG7" i="3" s="1"/>
  <c r="AF6" i="3" a="1"/>
  <c r="AF6" i="3"/>
  <c r="AF7" i="3" s="1"/>
  <c r="AE6" i="3" a="1"/>
  <c r="AE6" i="3"/>
  <c r="AD6" i="3" a="1"/>
  <c r="AD6" i="3" s="1"/>
  <c r="AC6" i="3" a="1"/>
  <c r="AC6" i="3" s="1"/>
  <c r="AB6" i="3" a="1"/>
  <c r="AB6" i="3"/>
  <c r="AB8" i="3" s="1"/>
  <c r="AA6" i="3" a="1"/>
  <c r="AA6" i="3"/>
  <c r="AA8" i="3" s="1"/>
  <c r="Z6" i="3" a="1"/>
  <c r="Z6" i="3" s="1"/>
  <c r="Z8" i="3" s="1"/>
  <c r="Y6" i="3" a="1"/>
  <c r="Y6" i="3" s="1"/>
  <c r="X6" i="3" a="1"/>
  <c r="X6" i="3"/>
  <c r="W6" i="3" a="1"/>
  <c r="W6" i="3"/>
  <c r="W7" i="3" s="1"/>
  <c r="V6" i="3" a="1"/>
  <c r="V6" i="3"/>
  <c r="V7" i="3" s="1"/>
  <c r="U6" i="3" a="1"/>
  <c r="U6" i="3" s="1"/>
  <c r="T6" i="3" a="1"/>
  <c r="T6" i="3" s="1"/>
  <c r="S6" i="3" a="1"/>
  <c r="S6" i="3"/>
  <c r="S7" i="3" s="1"/>
  <c r="R6" i="3" a="1"/>
  <c r="R6" i="3" s="1"/>
  <c r="R7" i="3" s="1"/>
  <c r="Q6" i="3" a="1"/>
  <c r="Q6" i="3" s="1"/>
  <c r="Q7" i="3" s="1"/>
  <c r="P6" i="3" a="1"/>
  <c r="P6" i="3" s="1"/>
  <c r="O6" i="3" a="1"/>
  <c r="O6" i="3"/>
  <c r="O8" i="3" s="1"/>
  <c r="N6" i="3" a="1"/>
  <c r="N6" i="3"/>
  <c r="N7" i="3" s="1"/>
  <c r="M6" i="3" a="1"/>
  <c r="M6" i="3"/>
  <c r="L6" i="3" a="1"/>
  <c r="L6" i="3"/>
  <c r="L8" i="3" s="1"/>
  <c r="K6" i="3" a="1"/>
  <c r="K6" i="3"/>
  <c r="K8" i="3" s="1"/>
  <c r="J6" i="3" a="1"/>
  <c r="J6" i="3"/>
  <c r="J8" i="3" s="1"/>
  <c r="I6" i="3" a="1"/>
  <c r="I6" i="3" s="1"/>
  <c r="I8" i="3" s="1"/>
  <c r="H6" i="3" a="1"/>
  <c r="H6" i="3"/>
  <c r="H8" i="3" s="1"/>
  <c r="G6" i="3" a="1"/>
  <c r="G6" i="3"/>
  <c r="F6" i="3" a="1"/>
  <c r="F6" i="3"/>
  <c r="F7" i="3" s="1"/>
  <c r="E6" i="3" a="1"/>
  <c r="E6" i="3"/>
  <c r="E8" i="3" s="1"/>
  <c r="D6" i="3" a="1"/>
  <c r="D6" i="3"/>
  <c r="D7" i="3" s="1"/>
  <c r="C6" i="3" a="1"/>
  <c r="C6" i="3"/>
  <c r="C8" i="3" s="1"/>
  <c r="A1" i="3"/>
  <c r="EH25" i="2"/>
  <c r="EI25" i="2" s="1"/>
  <c r="EG25" i="2"/>
  <c r="EH24" i="2"/>
  <c r="EG24" i="2"/>
  <c r="EI24" i="2" s="1"/>
  <c r="EH23" i="2"/>
  <c r="EG23" i="2"/>
  <c r="EI23" i="2" s="1"/>
  <c r="EH22" i="2"/>
  <c r="EG22" i="2"/>
  <c r="EI22" i="2" s="1"/>
  <c r="EH21" i="2"/>
  <c r="EG21" i="2"/>
  <c r="EI21" i="2" s="1"/>
  <c r="EI20" i="2"/>
  <c r="EH20" i="2"/>
  <c r="EG20" i="2"/>
  <c r="EH19" i="2"/>
  <c r="EG19" i="2"/>
  <c r="EH18" i="2"/>
  <c r="EG18" i="2"/>
  <c r="EI18" i="2" s="1"/>
  <c r="EH17" i="2"/>
  <c r="EG17" i="2"/>
  <c r="EI17" i="2" s="1"/>
  <c r="EH16" i="2"/>
  <c r="EI16" i="2" s="1"/>
  <c r="EG16" i="2"/>
  <c r="EH15" i="2"/>
  <c r="EG15" i="2"/>
  <c r="EI15" i="2" s="1"/>
  <c r="EI14" i="2"/>
  <c r="EH14" i="2"/>
  <c r="EG14" i="2"/>
  <c r="EH13" i="2"/>
  <c r="EG13" i="2"/>
  <c r="EI13" i="2" s="1"/>
  <c r="EH12" i="2"/>
  <c r="EG12" i="2"/>
  <c r="EI12" i="2" s="1"/>
  <c r="EG8" i="2"/>
  <c r="EF8" i="2"/>
  <c r="EB8" i="2"/>
  <c r="EA8" i="2"/>
  <c r="DZ8" i="2"/>
  <c r="DX8" i="2"/>
  <c r="DW8" i="2"/>
  <c r="DQ8" i="2"/>
  <c r="DP8" i="2"/>
  <c r="DO8" i="2"/>
  <c r="DG8" i="2"/>
  <c r="CZ8" i="2"/>
  <c r="CY8" i="2"/>
  <c r="CV8" i="2"/>
  <c r="CU8" i="2"/>
  <c r="CQ8" i="2"/>
  <c r="CP8" i="2"/>
  <c r="CO8" i="2"/>
  <c r="CI8" i="2"/>
  <c r="CA8" i="2"/>
  <c r="BZ8" i="2"/>
  <c r="BY8" i="2"/>
  <c r="BU8" i="2"/>
  <c r="BK8" i="2"/>
  <c r="BJ8" i="2"/>
  <c r="BI8" i="2"/>
  <c r="BH8" i="2"/>
  <c r="BG8" i="2"/>
  <c r="BF8" i="2"/>
  <c r="AR8" i="2"/>
  <c r="AQ8" i="2"/>
  <c r="AJ8" i="2"/>
  <c r="AA8" i="2"/>
  <c r="Z8" i="2"/>
  <c r="Y8" i="2"/>
  <c r="W8" i="2"/>
  <c r="U8" i="2"/>
  <c r="J8" i="2"/>
  <c r="I8" i="2"/>
  <c r="E8" i="2"/>
  <c r="D8" i="2"/>
  <c r="EG7" i="2"/>
  <c r="DR7" i="2"/>
  <c r="DQ7" i="2"/>
  <c r="DO7" i="2"/>
  <c r="DN7" i="2"/>
  <c r="CY7" i="2"/>
  <c r="CX7" i="2"/>
  <c r="CV7" i="2"/>
  <c r="CT7" i="2"/>
  <c r="CK7" i="2"/>
  <c r="CI7" i="2"/>
  <c r="CH7" i="2"/>
  <c r="CG7" i="2"/>
  <c r="CB7" i="2"/>
  <c r="BP7" i="2"/>
  <c r="BJ7" i="2"/>
  <c r="BH7" i="2"/>
  <c r="AZ7" i="2"/>
  <c r="AY7" i="2"/>
  <c r="AX7" i="2"/>
  <c r="AW7" i="2"/>
  <c r="AR7" i="2"/>
  <c r="AQ7" i="2"/>
  <c r="AH7" i="2"/>
  <c r="AA7" i="2"/>
  <c r="Z7" i="2"/>
  <c r="Y7" i="2"/>
  <c r="Q7" i="2"/>
  <c r="O7" i="2"/>
  <c r="J7" i="2"/>
  <c r="I7" i="2"/>
  <c r="EG6" i="2" a="1"/>
  <c r="EG6" i="2"/>
  <c r="EF6" i="2" a="1"/>
  <c r="EF6" i="2"/>
  <c r="EF7" i="2" s="1"/>
  <c r="EE6" i="2" a="1"/>
  <c r="EE6" i="2" s="1"/>
  <c r="EE7" i="2" s="1"/>
  <c r="ED6" i="2" a="1"/>
  <c r="ED6" i="2"/>
  <c r="ED8" i="2" s="1"/>
  <c r="EC6" i="2" a="1"/>
  <c r="EC6" i="2"/>
  <c r="EC7" i="2" s="1"/>
  <c r="EB6" i="2" a="1"/>
  <c r="EB6" i="2"/>
  <c r="EB7" i="2" s="1"/>
  <c r="EA6" i="2" a="1"/>
  <c r="EA6" i="2"/>
  <c r="EA7" i="2" s="1"/>
  <c r="DZ6" i="2" a="1"/>
  <c r="DZ6" i="2" s="1"/>
  <c r="DZ7" i="2" s="1"/>
  <c r="DY6" i="2" a="1"/>
  <c r="DY6" i="2" s="1"/>
  <c r="DX6" i="2" a="1"/>
  <c r="DX6" i="2"/>
  <c r="DX7" i="2" s="1"/>
  <c r="DW6" i="2" a="1"/>
  <c r="DW6" i="2" s="1"/>
  <c r="DW7" i="2" s="1"/>
  <c r="DV6" i="2" a="1"/>
  <c r="DV6" i="2"/>
  <c r="DV8" i="2" s="1"/>
  <c r="DU6" i="2" a="1"/>
  <c r="DU6" i="2"/>
  <c r="DT6" i="2" a="1"/>
  <c r="DT6" i="2"/>
  <c r="DT8" i="2" s="1"/>
  <c r="DS6" i="2" a="1"/>
  <c r="DS6" i="2" s="1"/>
  <c r="DS8" i="2" s="1"/>
  <c r="DR6" i="2" a="1"/>
  <c r="DR6" i="2" s="1"/>
  <c r="DR8" i="2" s="1"/>
  <c r="DQ6" i="2" a="1"/>
  <c r="DQ6" i="2"/>
  <c r="DP6" i="2" a="1"/>
  <c r="DP6" i="2"/>
  <c r="DP7" i="2" s="1"/>
  <c r="DO6" i="2" a="1"/>
  <c r="DO6" i="2" s="1"/>
  <c r="DN6" i="2" a="1"/>
  <c r="DN6" i="2"/>
  <c r="DN8" i="2" s="1"/>
  <c r="DM6" i="2" a="1"/>
  <c r="DM6" i="2"/>
  <c r="DM7" i="2" s="1"/>
  <c r="DL6" i="2" a="1"/>
  <c r="DL6" i="2"/>
  <c r="DL8" i="2" s="1"/>
  <c r="DK6" i="2" a="1"/>
  <c r="DK6" i="2"/>
  <c r="DK7" i="2" s="1"/>
  <c r="DJ6" i="2" a="1"/>
  <c r="DJ6" i="2"/>
  <c r="DJ7" i="2" s="1"/>
  <c r="DI6" i="2" a="1"/>
  <c r="DI6" i="2" s="1"/>
  <c r="DH6" i="2" a="1"/>
  <c r="DH6" i="2" s="1"/>
  <c r="DH7" i="2" s="1"/>
  <c r="DG6" i="2" a="1"/>
  <c r="DG6" i="2" s="1"/>
  <c r="DG7" i="2" s="1"/>
  <c r="DF6" i="2" a="1"/>
  <c r="DF6" i="2"/>
  <c r="DE6" i="2" a="1"/>
  <c r="DE6" i="2"/>
  <c r="DE7" i="2" s="1"/>
  <c r="DD6" i="2" a="1"/>
  <c r="DD6" i="2"/>
  <c r="DC6" i="2" a="1"/>
  <c r="DC6" i="2"/>
  <c r="DC8" i="2" s="1"/>
  <c r="DB6" i="2" a="1"/>
  <c r="DB6" i="2" s="1"/>
  <c r="DB8" i="2" s="1"/>
  <c r="DA6" i="2" a="1"/>
  <c r="DA6" i="2" s="1"/>
  <c r="DA8" i="2" s="1"/>
  <c r="CZ6" i="2" a="1"/>
  <c r="CZ6" i="2"/>
  <c r="CZ7" i="2" s="1"/>
  <c r="CY6" i="2" a="1"/>
  <c r="CY6" i="2" s="1"/>
  <c r="CX6" i="2" a="1"/>
  <c r="CX6" i="2"/>
  <c r="CX8" i="2" s="1"/>
  <c r="CW6" i="2" a="1"/>
  <c r="CW6" i="2" s="1"/>
  <c r="CV6" i="2" a="1"/>
  <c r="CV6" i="2"/>
  <c r="CU6" i="2" a="1"/>
  <c r="CU6" i="2"/>
  <c r="CU7" i="2" s="1"/>
  <c r="CT6" i="2" a="1"/>
  <c r="CT6" i="2"/>
  <c r="CT8" i="2" s="1"/>
  <c r="CS6" i="2" a="1"/>
  <c r="CS6" i="2"/>
  <c r="CR6" i="2" a="1"/>
  <c r="CR6" i="2" s="1"/>
  <c r="CR7" i="2" s="1"/>
  <c r="CQ6" i="2" a="1"/>
  <c r="CQ6" i="2" s="1"/>
  <c r="CQ7" i="2" s="1"/>
  <c r="CP6" i="2" a="1"/>
  <c r="CP6" i="2"/>
  <c r="CP7" i="2" s="1"/>
  <c r="CO6" i="2" a="1"/>
  <c r="CO6" i="2"/>
  <c r="CO7" i="2" s="1"/>
  <c r="CN6" i="2" a="1"/>
  <c r="CN6" i="2"/>
  <c r="CM6" i="2" a="1"/>
  <c r="CM6" i="2" s="1"/>
  <c r="CL6" i="2" a="1"/>
  <c r="CL6" i="2"/>
  <c r="CK6" i="2" a="1"/>
  <c r="CK6" i="2" s="1"/>
  <c r="CK8" i="2" s="1"/>
  <c r="CJ6" i="2" a="1"/>
  <c r="CJ6" i="2" s="1"/>
  <c r="CI6" i="2" a="1"/>
  <c r="CI6" i="2" s="1"/>
  <c r="CH6" i="2" a="1"/>
  <c r="CH6" i="2" s="1"/>
  <c r="CH8" i="2" s="1"/>
  <c r="CG6" i="2" a="1"/>
  <c r="CG6" i="2"/>
  <c r="CG8" i="2" s="1"/>
  <c r="CF6" i="2" a="1"/>
  <c r="CF6" i="2"/>
  <c r="CF8" i="2" s="1"/>
  <c r="CE6" i="2" a="1"/>
  <c r="CE6" i="2" s="1"/>
  <c r="CD6" i="2" a="1"/>
  <c r="CD6" i="2" s="1"/>
  <c r="CC6" i="2" a="1"/>
  <c r="CC6" i="2" s="1"/>
  <c r="CB6" i="2" a="1"/>
  <c r="CB6" i="2"/>
  <c r="CB8" i="2" s="1"/>
  <c r="CA6" i="2" a="1"/>
  <c r="CA6" i="2" s="1"/>
  <c r="CA7" i="2" s="1"/>
  <c r="BZ6" i="2" a="1"/>
  <c r="BZ6" i="2"/>
  <c r="BZ7" i="2" s="1"/>
  <c r="BY6" i="2" a="1"/>
  <c r="BY6" i="2"/>
  <c r="BY7" i="2" s="1"/>
  <c r="BX6" i="2" a="1"/>
  <c r="BX6" i="2"/>
  <c r="BX7" i="2" s="1"/>
  <c r="BW6" i="2" a="1"/>
  <c r="BW6" i="2" s="1"/>
  <c r="BV6" i="2" a="1"/>
  <c r="BV6" i="2" s="1"/>
  <c r="BU6" i="2" a="1"/>
  <c r="BU6" i="2"/>
  <c r="BU7" i="2" s="1"/>
  <c r="BT6" i="2" a="1"/>
  <c r="BT6" i="2" s="1"/>
  <c r="BS6" i="2" a="1"/>
  <c r="BS6" i="2" s="1"/>
  <c r="BR6" i="2" a="1"/>
  <c r="BR6" i="2" s="1"/>
  <c r="BR8" i="2" s="1"/>
  <c r="BQ6" i="2" a="1"/>
  <c r="BQ6" i="2" s="1"/>
  <c r="BQ8" i="2" s="1"/>
  <c r="BP6" i="2" a="1"/>
  <c r="BP6" i="2"/>
  <c r="BP8" i="2" s="1"/>
  <c r="BO6" i="2" a="1"/>
  <c r="BO6" i="2"/>
  <c r="BO8" i="2" s="1"/>
  <c r="BN6" i="2" a="1"/>
  <c r="BN6" i="2"/>
  <c r="BN8" i="2" s="1"/>
  <c r="BM6" i="2" a="1"/>
  <c r="BM6" i="2" s="1"/>
  <c r="BL6" i="2" a="1"/>
  <c r="BL6" i="2" s="1"/>
  <c r="BK6" i="2" a="1"/>
  <c r="BK6" i="2" s="1"/>
  <c r="BK7" i="2" s="1"/>
  <c r="BJ6" i="2" a="1"/>
  <c r="BJ6" i="2" s="1"/>
  <c r="BI6" i="2" a="1"/>
  <c r="BI6" i="2"/>
  <c r="BI7" i="2" s="1"/>
  <c r="BH6" i="2" a="1"/>
  <c r="BH6" i="2"/>
  <c r="BG6" i="2" a="1"/>
  <c r="BG6" i="2"/>
  <c r="BG7" i="2" s="1"/>
  <c r="BF6" i="2" a="1"/>
  <c r="BF6" i="2"/>
  <c r="BF7" i="2" s="1"/>
  <c r="BE6" i="2" a="1"/>
  <c r="BE6" i="2"/>
  <c r="BE7" i="2" s="1"/>
  <c r="BD6" i="2" a="1"/>
  <c r="BD6" i="2" s="1"/>
  <c r="BC6" i="2" a="1"/>
  <c r="BC6" i="2" s="1"/>
  <c r="BC7" i="2" s="1"/>
  <c r="BB6" i="2" a="1"/>
  <c r="BB6" i="2"/>
  <c r="BA6" i="2" a="1"/>
  <c r="BA6" i="2" s="1"/>
  <c r="AZ6" i="2" a="1"/>
  <c r="AZ6" i="2"/>
  <c r="AZ8" i="2" s="1"/>
  <c r="AY6" i="2" a="1"/>
  <c r="AY6" i="2"/>
  <c r="AY8" i="2" s="1"/>
  <c r="AX6" i="2" a="1"/>
  <c r="AX6" i="2"/>
  <c r="AX8" i="2" s="1"/>
  <c r="AW6" i="2" a="1"/>
  <c r="AW6" i="2"/>
  <c r="AW8" i="2" s="1"/>
  <c r="AV6" i="2" a="1"/>
  <c r="AV6" i="2"/>
  <c r="AV8" i="2" s="1"/>
  <c r="AU6" i="2" a="1"/>
  <c r="AU6" i="2" s="1"/>
  <c r="AU8" i="2" s="1"/>
  <c r="AT6" i="2" a="1"/>
  <c r="AT6" i="2" s="1"/>
  <c r="AT8" i="2" s="1"/>
  <c r="AS6" i="2" a="1"/>
  <c r="AS6" i="2" s="1"/>
  <c r="AS7" i="2" s="1"/>
  <c r="AR6" i="2" a="1"/>
  <c r="AR6" i="2"/>
  <c r="AQ6" i="2" a="1"/>
  <c r="AQ6" i="2"/>
  <c r="AP6" i="2" a="1"/>
  <c r="AP6" i="2"/>
  <c r="AP7" i="2" s="1"/>
  <c r="AO6" i="2" a="1"/>
  <c r="AO6" i="2"/>
  <c r="AO7" i="2" s="1"/>
  <c r="AN6" i="2" a="1"/>
  <c r="AN6" i="2" s="1"/>
  <c r="AM6" i="2" a="1"/>
  <c r="AM6" i="2" s="1"/>
  <c r="AM7" i="2" s="1"/>
  <c r="AL6" i="2" a="1"/>
  <c r="AL6" i="2"/>
  <c r="AK6" i="2" a="1"/>
  <c r="AK6" i="2"/>
  <c r="AJ6" i="2" a="1"/>
  <c r="AJ6" i="2" s="1"/>
  <c r="AJ7" i="2" s="1"/>
  <c r="AI6" i="2" a="1"/>
  <c r="AI6" i="2" s="1"/>
  <c r="AH6" i="2" a="1"/>
  <c r="AH6" i="2"/>
  <c r="AH8" i="2" s="1"/>
  <c r="AG6" i="2" a="1"/>
  <c r="AG6" i="2"/>
  <c r="AG8" i="2" s="1"/>
  <c r="AF6" i="2" a="1"/>
  <c r="AF6" i="2"/>
  <c r="AF8" i="2" s="1"/>
  <c r="AE6" i="2" a="1"/>
  <c r="AE6" i="2" s="1"/>
  <c r="AE8" i="2" s="1"/>
  <c r="AD6" i="2" a="1"/>
  <c r="AD6" i="2" s="1"/>
  <c r="AC6" i="2" a="1"/>
  <c r="AC6" i="2" s="1"/>
  <c r="AB6" i="2" a="1"/>
  <c r="AB6" i="2" s="1"/>
  <c r="AB8" i="2" s="1"/>
  <c r="AA6" i="2" a="1"/>
  <c r="AA6" i="2"/>
  <c r="Z6" i="2" a="1"/>
  <c r="Z6" i="2"/>
  <c r="Y6" i="2" a="1"/>
  <c r="Y6" i="2"/>
  <c r="X6" i="2" a="1"/>
  <c r="X6" i="2" s="1"/>
  <c r="W6" i="2" a="1"/>
  <c r="W6" i="2" s="1"/>
  <c r="W7" i="2" s="1"/>
  <c r="V6" i="2" a="1"/>
  <c r="V6" i="2"/>
  <c r="U6" i="2" a="1"/>
  <c r="U6" i="2"/>
  <c r="U7" i="2" s="1"/>
  <c r="T6" i="2" a="1"/>
  <c r="T6" i="2"/>
  <c r="T7" i="2" s="1"/>
  <c r="S6" i="2" a="1"/>
  <c r="S6" i="2" s="1"/>
  <c r="R6" i="2" a="1"/>
  <c r="R6" i="2" s="1"/>
  <c r="R7" i="2" s="1"/>
  <c r="Q6" i="2" a="1"/>
  <c r="Q6" i="2"/>
  <c r="Q8" i="2" s="1"/>
  <c r="P6" i="2" a="1"/>
  <c r="P6" i="2" s="1"/>
  <c r="O6" i="2" a="1"/>
  <c r="O6" i="2" s="1"/>
  <c r="O8" i="2" s="1"/>
  <c r="N6" i="2" a="1"/>
  <c r="N6" i="2" s="1"/>
  <c r="M6" i="2" a="1"/>
  <c r="M6" i="2"/>
  <c r="L6" i="2" a="1"/>
  <c r="L6" i="2" s="1"/>
  <c r="L8" i="2" s="1"/>
  <c r="K6" i="2" a="1"/>
  <c r="K6" i="2" s="1"/>
  <c r="K8" i="2" s="1"/>
  <c r="J6" i="2" a="1"/>
  <c r="J6" i="2"/>
  <c r="I6" i="2" a="1"/>
  <c r="I6" i="2"/>
  <c r="H6" i="2" a="1"/>
  <c r="H6" i="2"/>
  <c r="H7" i="2" s="1"/>
  <c r="G6" i="2" a="1"/>
  <c r="G6" i="2" s="1"/>
  <c r="G7" i="2" s="1"/>
  <c r="F6" i="2" a="1"/>
  <c r="F6" i="2" s="1"/>
  <c r="E6" i="2" a="1"/>
  <c r="E6" i="2"/>
  <c r="E7" i="2" s="1"/>
  <c r="D6" i="2" a="1"/>
  <c r="D6" i="2"/>
  <c r="D7" i="2" s="1"/>
  <c r="C6" i="2" a="1"/>
  <c r="C6" i="2"/>
  <c r="C7" i="2" s="1"/>
  <c r="A1" i="2"/>
  <c r="DZ8" i="1"/>
  <c r="DY8" i="1"/>
  <c r="DX8" i="1"/>
  <c r="DW8" i="1"/>
  <c r="DV8" i="1"/>
  <c r="DH8" i="1"/>
  <c r="DG8" i="1"/>
  <c r="DB8" i="1"/>
  <c r="DA8" i="1"/>
  <c r="CZ8" i="1"/>
  <c r="CS8" i="1"/>
  <c r="CR8" i="1"/>
  <c r="CQ8" i="1"/>
  <c r="CL8" i="1"/>
  <c r="CK8" i="1"/>
  <c r="CJ8" i="1"/>
  <c r="CI8" i="1"/>
  <c r="CB8" i="1"/>
  <c r="CA8" i="1"/>
  <c r="BV8" i="1"/>
  <c r="BU8" i="1"/>
  <c r="BT8" i="1"/>
  <c r="BS8" i="1"/>
  <c r="BL8" i="1"/>
  <c r="BK8" i="1"/>
  <c r="BF8" i="1"/>
  <c r="BE8" i="1"/>
  <c r="BD8" i="1"/>
  <c r="BC8" i="1"/>
  <c r="BB8" i="1"/>
  <c r="AV8" i="1"/>
  <c r="AU8" i="1"/>
  <c r="AN8" i="1"/>
  <c r="AM8" i="1"/>
  <c r="Z8" i="1"/>
  <c r="Y8" i="1"/>
  <c r="X8" i="1"/>
  <c r="W8" i="1"/>
  <c r="J8" i="1"/>
  <c r="I8" i="1"/>
  <c r="H8" i="1"/>
  <c r="G8" i="1"/>
  <c r="EG7" i="1"/>
  <c r="EF7" i="1"/>
  <c r="DZ7" i="1"/>
  <c r="DY7" i="1"/>
  <c r="DX7" i="1"/>
  <c r="DW7" i="1"/>
  <c r="DQ7" i="1"/>
  <c r="DP7" i="1"/>
  <c r="DO7" i="1"/>
  <c r="DI7" i="1"/>
  <c r="DH7" i="1"/>
  <c r="DG7" i="1"/>
  <c r="DF7" i="1"/>
  <c r="DE7" i="1"/>
  <c r="DA7" i="1"/>
  <c r="CZ7" i="1"/>
  <c r="CY7" i="1"/>
  <c r="CR7" i="1"/>
  <c r="CQ7" i="1"/>
  <c r="CK7" i="1"/>
  <c r="CJ7" i="1"/>
  <c r="CI7" i="1"/>
  <c r="CH7" i="1"/>
  <c r="CB7" i="1"/>
  <c r="CA7" i="1"/>
  <c r="BT7" i="1"/>
  <c r="BS7" i="1"/>
  <c r="BL7" i="1"/>
  <c r="BK7" i="1"/>
  <c r="BE7" i="1"/>
  <c r="BD7" i="1"/>
  <c r="BC7" i="1"/>
  <c r="AO7" i="1"/>
  <c r="AN7" i="1"/>
  <c r="AM7" i="1"/>
  <c r="AH7" i="1"/>
  <c r="X7" i="1"/>
  <c r="W7" i="1"/>
  <c r="R7" i="1"/>
  <c r="Q7" i="1"/>
  <c r="J7" i="1"/>
  <c r="I7" i="1"/>
  <c r="H7" i="1"/>
  <c r="G7" i="1"/>
  <c r="EG6" i="1" a="1"/>
  <c r="EG6" i="1"/>
  <c r="EG8" i="1" s="1"/>
  <c r="EF6" i="1" a="1"/>
  <c r="EF6" i="1"/>
  <c r="EF8" i="1" s="1"/>
  <c r="EE6" i="1" a="1"/>
  <c r="EE6" i="1"/>
  <c r="EE7" i="1" s="1"/>
  <c r="ED6" i="1" a="1"/>
  <c r="ED6" i="1"/>
  <c r="EC6" i="1" a="1"/>
  <c r="EC6" i="1"/>
  <c r="EB6" i="1" a="1"/>
  <c r="EB6" i="1" s="1"/>
  <c r="EA6" i="1" a="1"/>
  <c r="EA6" i="1" s="1"/>
  <c r="DZ6" i="1" a="1"/>
  <c r="DZ6" i="1"/>
  <c r="DY6" i="1" a="1"/>
  <c r="DY6" i="1"/>
  <c r="DX6" i="1" a="1"/>
  <c r="DX6" i="1"/>
  <c r="DW6" i="1" a="1"/>
  <c r="DW6" i="1"/>
  <c r="DV6" i="1" a="1"/>
  <c r="DV6" i="1"/>
  <c r="DV7" i="1" s="1"/>
  <c r="DU6" i="1" a="1"/>
  <c r="DU6" i="1"/>
  <c r="DU7" i="1" s="1"/>
  <c r="DT6" i="1" a="1"/>
  <c r="DT6" i="1" s="1"/>
  <c r="DS6" i="1" a="1"/>
  <c r="DS6" i="1" s="1"/>
  <c r="DR6" i="1" a="1"/>
  <c r="DR6" i="1"/>
  <c r="DR7" i="1" s="1"/>
  <c r="DQ6" i="1" a="1"/>
  <c r="DQ6" i="1"/>
  <c r="DQ8" i="1" s="1"/>
  <c r="DP6" i="1" a="1"/>
  <c r="DP6" i="1"/>
  <c r="DP8" i="1" s="1"/>
  <c r="DO6" i="1" a="1"/>
  <c r="DO6" i="1"/>
  <c r="DO8" i="1" s="1"/>
  <c r="DN6" i="1" a="1"/>
  <c r="DN6" i="1"/>
  <c r="DM6" i="1" a="1"/>
  <c r="DM6" i="1"/>
  <c r="DL6" i="1" a="1"/>
  <c r="DL6" i="1" s="1"/>
  <c r="DK6" i="1" a="1"/>
  <c r="DK6" i="1" s="1"/>
  <c r="DJ6" i="1" a="1"/>
  <c r="DJ6" i="1"/>
  <c r="DJ7" i="1" s="1"/>
  <c r="DI6" i="1" a="1"/>
  <c r="DI6" i="1"/>
  <c r="DI8" i="1" s="1"/>
  <c r="DH6" i="1" a="1"/>
  <c r="DH6" i="1"/>
  <c r="DG6" i="1" a="1"/>
  <c r="DG6" i="1"/>
  <c r="DF6" i="1" a="1"/>
  <c r="DF6" i="1"/>
  <c r="DF8" i="1" s="1"/>
  <c r="DE6" i="1" a="1"/>
  <c r="DE6" i="1"/>
  <c r="DE8" i="1" s="1"/>
  <c r="DD6" i="1" a="1"/>
  <c r="DD6" i="1" s="1"/>
  <c r="DC6" i="1" a="1"/>
  <c r="DC6" i="1" s="1"/>
  <c r="DB6" i="1" a="1"/>
  <c r="DB6" i="1"/>
  <c r="DB7" i="1" s="1"/>
  <c r="DA6" i="1" a="1"/>
  <c r="DA6" i="1"/>
  <c r="CZ6" i="1" a="1"/>
  <c r="CZ6" i="1"/>
  <c r="CY6" i="1" a="1"/>
  <c r="CY6" i="1"/>
  <c r="CY8" i="1" s="1"/>
  <c r="CX6" i="1" a="1"/>
  <c r="CX6" i="1"/>
  <c r="CW6" i="1" a="1"/>
  <c r="CW6" i="1"/>
  <c r="CV6" i="1" a="1"/>
  <c r="CV6" i="1" s="1"/>
  <c r="CU6" i="1" a="1"/>
  <c r="CU6" i="1" s="1"/>
  <c r="CT6" i="1" a="1"/>
  <c r="CT6" i="1"/>
  <c r="CS6" i="1" a="1"/>
  <c r="CS6" i="1"/>
  <c r="CS7" i="1" s="1"/>
  <c r="CR6" i="1" a="1"/>
  <c r="CR6" i="1"/>
  <c r="CQ6" i="1" a="1"/>
  <c r="CQ6" i="1"/>
  <c r="CP6" i="1" a="1"/>
  <c r="CP6" i="1"/>
  <c r="CP7" i="1" s="1"/>
  <c r="CO6" i="1" a="1"/>
  <c r="CO6" i="1"/>
  <c r="CO8" i="1" s="1"/>
  <c r="CN6" i="1" a="1"/>
  <c r="CN6" i="1" s="1"/>
  <c r="CM6" i="1" a="1"/>
  <c r="CM6" i="1" s="1"/>
  <c r="CL6" i="1" a="1"/>
  <c r="CL6" i="1"/>
  <c r="CL7" i="1" s="1"/>
  <c r="CK6" i="1" a="1"/>
  <c r="CK6" i="1"/>
  <c r="CJ6" i="1" a="1"/>
  <c r="CJ6" i="1"/>
  <c r="CI6" i="1" a="1"/>
  <c r="CI6" i="1"/>
  <c r="CH6" i="1" a="1"/>
  <c r="CH6" i="1"/>
  <c r="CH8" i="1" s="1"/>
  <c r="CG6" i="1" a="1"/>
  <c r="CG6" i="1"/>
  <c r="CF6" i="1" a="1"/>
  <c r="CF6" i="1" s="1"/>
  <c r="CE6" i="1" a="1"/>
  <c r="CE6" i="1" s="1"/>
  <c r="CD6" i="1" a="1"/>
  <c r="CD6" i="1"/>
  <c r="CC6" i="1" a="1"/>
  <c r="CC6" i="1"/>
  <c r="CB6" i="1" a="1"/>
  <c r="CB6" i="1"/>
  <c r="CA6" i="1" a="1"/>
  <c r="CA6" i="1"/>
  <c r="BZ6" i="1" a="1"/>
  <c r="BZ6" i="1"/>
  <c r="BZ8" i="1" s="1"/>
  <c r="BY6" i="1" a="1"/>
  <c r="BY6" i="1"/>
  <c r="BY7" i="1" s="1"/>
  <c r="BX6" i="1" a="1"/>
  <c r="BX6" i="1" s="1"/>
  <c r="BW6" i="1" a="1"/>
  <c r="BW6" i="1" s="1"/>
  <c r="BV6" i="1" a="1"/>
  <c r="BV6" i="1"/>
  <c r="BV7" i="1" s="1"/>
  <c r="BU6" i="1" a="1"/>
  <c r="BU6" i="1"/>
  <c r="BU7" i="1" s="1"/>
  <c r="BT6" i="1" a="1"/>
  <c r="BT6" i="1"/>
  <c r="BS6" i="1" a="1"/>
  <c r="BS6" i="1"/>
  <c r="BR6" i="1" a="1"/>
  <c r="BR6" i="1"/>
  <c r="BR8" i="1" s="1"/>
  <c r="BQ6" i="1" a="1"/>
  <c r="BQ6" i="1"/>
  <c r="BQ8" i="1" s="1"/>
  <c r="BP6" i="1" a="1"/>
  <c r="BP6" i="1" s="1"/>
  <c r="BO6" i="1" a="1"/>
  <c r="BO6" i="1" s="1"/>
  <c r="BN6" i="1" a="1"/>
  <c r="BN6" i="1"/>
  <c r="BM6" i="1" a="1"/>
  <c r="BM6" i="1"/>
  <c r="BL6" i="1" a="1"/>
  <c r="BL6" i="1"/>
  <c r="BK6" i="1" a="1"/>
  <c r="BK6" i="1"/>
  <c r="BJ6" i="1" a="1"/>
  <c r="BJ6" i="1"/>
  <c r="BJ8" i="1" s="1"/>
  <c r="BI6" i="1" a="1"/>
  <c r="BI6" i="1"/>
  <c r="BI7" i="1" s="1"/>
  <c r="BH6" i="1" a="1"/>
  <c r="BH6" i="1" s="1"/>
  <c r="BG6" i="1" a="1"/>
  <c r="BG6" i="1" s="1"/>
  <c r="BF6" i="1" a="1"/>
  <c r="BF6" i="1"/>
  <c r="BF7" i="1" s="1"/>
  <c r="BE6" i="1" a="1"/>
  <c r="BE6" i="1"/>
  <c r="BD6" i="1" a="1"/>
  <c r="BD6" i="1"/>
  <c r="BC6" i="1" a="1"/>
  <c r="BC6" i="1"/>
  <c r="BB6" i="1" a="1"/>
  <c r="BB6" i="1"/>
  <c r="BB7" i="1" s="1"/>
  <c r="BA6" i="1" a="1"/>
  <c r="BA6" i="1"/>
  <c r="BA8" i="1" s="1"/>
  <c r="AZ6" i="1" a="1"/>
  <c r="AZ6" i="1" s="1"/>
  <c r="AY6" i="1" a="1"/>
  <c r="AY6" i="1" s="1"/>
  <c r="AX6" i="1" a="1"/>
  <c r="AX6" i="1"/>
  <c r="AW6" i="1" a="1"/>
  <c r="AW6" i="1"/>
  <c r="AV6" i="1" a="1"/>
  <c r="AV6" i="1"/>
  <c r="AV7" i="1" s="1"/>
  <c r="AU6" i="1" a="1"/>
  <c r="AU6" i="1"/>
  <c r="AU7" i="1" s="1"/>
  <c r="AT6" i="1" a="1"/>
  <c r="AT6" i="1"/>
  <c r="AT7" i="1" s="1"/>
  <c r="AS6" i="1" a="1"/>
  <c r="AS6" i="1"/>
  <c r="AS7" i="1" s="1"/>
  <c r="AR6" i="1" a="1"/>
  <c r="AR6" i="1" s="1"/>
  <c r="AQ6" i="1" a="1"/>
  <c r="AQ6" i="1" s="1"/>
  <c r="AP6" i="1" a="1"/>
  <c r="AP6" i="1"/>
  <c r="AP7" i="1" s="1"/>
  <c r="AO6" i="1" a="1"/>
  <c r="AO6" i="1"/>
  <c r="AO8" i="1" s="1"/>
  <c r="AN6" i="1" a="1"/>
  <c r="AN6" i="1"/>
  <c r="AM6" i="1" a="1"/>
  <c r="AM6" i="1"/>
  <c r="AL6" i="1" a="1"/>
  <c r="AL6" i="1"/>
  <c r="AL7" i="1" s="1"/>
  <c r="AK6" i="1" a="1"/>
  <c r="AK6" i="1"/>
  <c r="AK7" i="1" s="1"/>
  <c r="AJ6" i="1" a="1"/>
  <c r="AJ6" i="1" s="1"/>
  <c r="AI6" i="1" a="1"/>
  <c r="AI6" i="1" s="1"/>
  <c r="AH6" i="1" a="1"/>
  <c r="AH6" i="1"/>
  <c r="AH8" i="1" s="1"/>
  <c r="AG6" i="1" a="1"/>
  <c r="AG6" i="1"/>
  <c r="AF6" i="1" a="1"/>
  <c r="AF6" i="1"/>
  <c r="AF7" i="1" s="1"/>
  <c r="AE6" i="1" a="1"/>
  <c r="AE6" i="1"/>
  <c r="AE7" i="1" s="1"/>
  <c r="AD6" i="1" a="1"/>
  <c r="AD6" i="1"/>
  <c r="AC6" i="1" a="1"/>
  <c r="AC6" i="1"/>
  <c r="AC7" i="1" s="1"/>
  <c r="AB6" i="1" a="1"/>
  <c r="AB6" i="1" s="1"/>
  <c r="AA6" i="1" a="1"/>
  <c r="AA6" i="1" s="1"/>
  <c r="Z6" i="1" a="1"/>
  <c r="Z6" i="1"/>
  <c r="Z7" i="1" s="1"/>
  <c r="Y6" i="1" a="1"/>
  <c r="Y6" i="1"/>
  <c r="Y7" i="1" s="1"/>
  <c r="X6" i="1" a="1"/>
  <c r="X6" i="1"/>
  <c r="W6" i="1" a="1"/>
  <c r="W6" i="1"/>
  <c r="V6" i="1" a="1"/>
  <c r="V6" i="1"/>
  <c r="V7" i="1" s="1"/>
  <c r="U6" i="1" a="1"/>
  <c r="U6" i="1"/>
  <c r="U8" i="1" s="1"/>
  <c r="T6" i="1" a="1"/>
  <c r="T6" i="1" s="1"/>
  <c r="S6" i="1" a="1"/>
  <c r="S6" i="1" s="1"/>
  <c r="R6" i="1" a="1"/>
  <c r="R6" i="1"/>
  <c r="R8" i="1" s="1"/>
  <c r="Q6" i="1" a="1"/>
  <c r="Q6" i="1"/>
  <c r="Q8" i="1" s="1"/>
  <c r="P6" i="1" a="1"/>
  <c r="P6" i="1"/>
  <c r="P7" i="1" s="1"/>
  <c r="O6" i="1" a="1"/>
  <c r="O6" i="1"/>
  <c r="O7" i="1" s="1"/>
  <c r="N6" i="1" a="1"/>
  <c r="N6" i="1"/>
  <c r="M6" i="1" a="1"/>
  <c r="M6" i="1"/>
  <c r="L6" i="1" a="1"/>
  <c r="L6" i="1" s="1"/>
  <c r="K6" i="1" a="1"/>
  <c r="K6" i="1" s="1"/>
  <c r="J6" i="1" a="1"/>
  <c r="J6" i="1"/>
  <c r="I6" i="1" a="1"/>
  <c r="I6" i="1"/>
  <c r="H6" i="1" a="1"/>
  <c r="H6" i="1"/>
  <c r="G6" i="1" a="1"/>
  <c r="G6" i="1"/>
  <c r="F6" i="1" a="1"/>
  <c r="F6" i="1"/>
  <c r="F8" i="1" s="1"/>
  <c r="E6" i="1" a="1"/>
  <c r="E6" i="1"/>
  <c r="E8" i="1" s="1"/>
  <c r="D6" i="1" a="1"/>
  <c r="D6" i="1" s="1"/>
  <c r="C6" i="1" a="1"/>
  <c r="C6" i="1" s="1"/>
  <c r="AC7" i="7" l="1"/>
  <c r="AC8" i="7"/>
  <c r="AQ8" i="7"/>
  <c r="AQ7" i="7"/>
  <c r="BE8" i="7"/>
  <c r="BE7" i="7"/>
  <c r="BS8" i="7"/>
  <c r="BS7" i="7"/>
  <c r="CV8" i="7"/>
  <c r="CV7" i="7"/>
  <c r="DJ8" i="7"/>
  <c r="DJ7" i="7"/>
  <c r="DX7" i="7"/>
  <c r="DX8" i="7"/>
  <c r="O7" i="7"/>
  <c r="O8" i="7"/>
  <c r="AR7" i="7"/>
  <c r="AR8" i="7"/>
  <c r="BT8" i="7"/>
  <c r="BT7" i="7"/>
  <c r="CW8" i="7"/>
  <c r="CW7" i="7"/>
  <c r="DK7" i="7"/>
  <c r="DK8" i="7"/>
  <c r="DY7" i="7"/>
  <c r="DY8" i="7"/>
  <c r="P7" i="7"/>
  <c r="P8" i="7"/>
  <c r="AS8" i="7"/>
  <c r="AS7" i="7"/>
  <c r="BG8" i="7"/>
  <c r="BG7" i="7"/>
  <c r="BU8" i="7"/>
  <c r="BU7" i="7"/>
  <c r="CI8" i="7"/>
  <c r="CI7" i="7"/>
  <c r="DL8" i="7"/>
  <c r="DL7" i="7"/>
  <c r="DZ7" i="7"/>
  <c r="DZ8" i="7"/>
  <c r="DM8" i="7"/>
  <c r="DM7" i="7"/>
  <c r="CK8" i="7"/>
  <c r="CK7" i="7"/>
  <c r="CZ8" i="7"/>
  <c r="CZ7" i="7"/>
  <c r="DA8" i="7"/>
  <c r="DA7" i="7"/>
  <c r="U8" i="7"/>
  <c r="U7" i="7"/>
  <c r="AI7" i="7"/>
  <c r="AI8" i="7"/>
  <c r="AW7" i="7"/>
  <c r="AW8" i="7"/>
  <c r="BK8" i="7"/>
  <c r="BK7" i="7"/>
  <c r="G8" i="7"/>
  <c r="G7" i="7"/>
  <c r="AJ7" i="7"/>
  <c r="AJ8" i="7"/>
  <c r="AX8" i="7"/>
  <c r="AX7" i="7"/>
  <c r="BL7" i="7"/>
  <c r="BL8" i="7"/>
  <c r="CO7" i="7"/>
  <c r="CO8" i="7"/>
  <c r="DC8" i="7"/>
  <c r="DC7" i="7"/>
  <c r="DQ8" i="7"/>
  <c r="DQ7" i="7"/>
  <c r="EE8" i="7"/>
  <c r="EE7" i="7"/>
  <c r="H8" i="7"/>
  <c r="H7" i="7"/>
  <c r="AK8" i="7"/>
  <c r="AK7" i="7"/>
  <c r="AY8" i="7"/>
  <c r="AY7" i="7"/>
  <c r="BM8" i="7"/>
  <c r="BM7" i="7"/>
  <c r="CA7" i="7"/>
  <c r="CA8" i="7"/>
  <c r="DD7" i="7"/>
  <c r="DD8" i="7"/>
  <c r="DR8" i="7"/>
  <c r="DR7" i="7"/>
  <c r="EF8" i="7"/>
  <c r="EF7" i="7"/>
  <c r="BF8" i="7"/>
  <c r="AE7" i="7"/>
  <c r="AE8" i="7"/>
  <c r="BH8" i="7"/>
  <c r="BH7" i="7"/>
  <c r="CJ8" i="7"/>
  <c r="CJ7" i="7"/>
  <c r="R8" i="7"/>
  <c r="R7" i="7"/>
  <c r="BI7" i="7"/>
  <c r="BI8" i="7"/>
  <c r="AG7" i="7"/>
  <c r="AG8" i="7"/>
  <c r="AU7" i="7"/>
  <c r="AU8" i="7"/>
  <c r="CL8" i="7"/>
  <c r="CL7" i="7"/>
  <c r="EC8" i="7"/>
  <c r="EC7" i="7"/>
  <c r="T8" i="7"/>
  <c r="T7" i="7"/>
  <c r="AH8" i="7"/>
  <c r="AH7" i="7"/>
  <c r="BY7" i="7"/>
  <c r="BY8" i="7"/>
  <c r="DB7" i="7"/>
  <c r="DB8" i="7"/>
  <c r="I8" i="7"/>
  <c r="I7" i="7"/>
  <c r="W8" i="7"/>
  <c r="W7" i="7"/>
  <c r="AZ8" i="7"/>
  <c r="AZ7" i="7"/>
  <c r="BN8" i="7"/>
  <c r="BN7" i="7"/>
  <c r="CB7" i="7"/>
  <c r="CB8" i="7"/>
  <c r="J7" i="7"/>
  <c r="J8" i="7"/>
  <c r="X8" i="7"/>
  <c r="X7" i="7"/>
  <c r="CC7" i="7"/>
  <c r="CC8" i="7"/>
  <c r="CQ7" i="7"/>
  <c r="CQ8" i="7"/>
  <c r="DT7" i="7"/>
  <c r="DT8" i="7"/>
  <c r="BV8" i="7"/>
  <c r="DE8" i="7"/>
  <c r="DE7" i="7"/>
  <c r="BO7" i="7"/>
  <c r="BO8" i="7"/>
  <c r="K7" i="7"/>
  <c r="K8" i="7"/>
  <c r="Y8" i="7"/>
  <c r="Y7" i="7"/>
  <c r="AM8" i="7"/>
  <c r="AM7" i="7"/>
  <c r="BP7" i="7"/>
  <c r="BP8" i="7"/>
  <c r="CD8" i="7"/>
  <c r="CD7" i="7"/>
  <c r="CR7" i="7"/>
  <c r="CR8" i="7"/>
  <c r="DU8" i="7"/>
  <c r="DU7" i="7"/>
  <c r="Q7" i="7"/>
  <c r="C8" i="7"/>
  <c r="C7" i="7"/>
  <c r="CY8" i="7"/>
  <c r="CY7" i="7"/>
  <c r="CM8" i="7"/>
  <c r="CM7" i="7"/>
  <c r="CN7" i="7"/>
  <c r="CN8" i="7"/>
  <c r="BA8" i="7"/>
  <c r="BA7" i="7"/>
  <c r="L8" i="7"/>
  <c r="L7" i="7"/>
  <c r="Z8" i="7"/>
  <c r="Z7" i="7"/>
  <c r="AN8" i="7"/>
  <c r="AN7" i="7"/>
  <c r="BQ8" i="7"/>
  <c r="BQ7" i="7"/>
  <c r="CE8" i="7"/>
  <c r="CE7" i="7"/>
  <c r="CS7" i="7"/>
  <c r="CS8" i="7"/>
  <c r="DG7" i="7"/>
  <c r="DG8" i="7"/>
  <c r="EB7" i="7"/>
  <c r="EB8" i="7"/>
  <c r="DP8" i="7"/>
  <c r="DP7" i="7"/>
  <c r="EG8" i="7"/>
  <c r="EG7" i="7"/>
  <c r="M8" i="7"/>
  <c r="M7" i="7"/>
  <c r="AA8" i="7"/>
  <c r="AA7" i="7"/>
  <c r="AO8" i="7"/>
  <c r="AO7" i="7"/>
  <c r="BC8" i="7"/>
  <c r="BC7" i="7"/>
  <c r="CF7" i="7"/>
  <c r="CF8" i="7"/>
  <c r="CT8" i="7"/>
  <c r="CT7" i="7"/>
  <c r="DH7" i="7"/>
  <c r="DH8" i="7"/>
  <c r="EA8" i="7"/>
  <c r="EA7" i="7"/>
  <c r="D7" i="7"/>
  <c r="D8" i="7"/>
  <c r="AF7" i="7"/>
  <c r="AF8" i="7"/>
  <c r="BW7" i="7"/>
  <c r="BW8" i="7"/>
  <c r="E8" i="7"/>
  <c r="E7" i="7"/>
  <c r="S7" i="7"/>
  <c r="S8" i="7"/>
  <c r="BX7" i="7"/>
  <c r="BX8" i="7"/>
  <c r="AV7" i="7"/>
  <c r="AV8" i="7"/>
  <c r="DO8" i="7"/>
  <c r="DO7" i="7"/>
  <c r="DS7" i="7"/>
  <c r="DS8" i="7"/>
  <c r="AB7" i="7"/>
  <c r="AB8" i="7"/>
  <c r="AP8" i="7"/>
  <c r="AP7" i="7"/>
  <c r="BD8" i="7"/>
  <c r="BD7" i="7"/>
  <c r="CG8" i="7"/>
  <c r="CG7" i="7"/>
  <c r="CU7" i="7"/>
  <c r="CU8" i="7"/>
  <c r="DW7" i="7"/>
  <c r="DW8" i="7"/>
  <c r="AA8" i="1"/>
  <c r="AA7" i="1"/>
  <c r="CM8" i="1"/>
  <c r="CM7" i="1"/>
  <c r="T7" i="3"/>
  <c r="T8" i="3"/>
  <c r="DM8" i="4"/>
  <c r="DM7" i="4"/>
  <c r="AB8" i="1"/>
  <c r="AB7" i="1"/>
  <c r="CN8" i="1"/>
  <c r="CN7" i="1"/>
  <c r="CC8" i="2"/>
  <c r="CC7" i="2"/>
  <c r="U7" i="3"/>
  <c r="U8" i="3"/>
  <c r="DT7" i="3"/>
  <c r="DT8" i="3"/>
  <c r="AN7" i="2"/>
  <c r="AN8" i="2"/>
  <c r="S8" i="1"/>
  <c r="S7" i="1"/>
  <c r="CE8" i="1"/>
  <c r="CE7" i="1"/>
  <c r="AD8" i="2"/>
  <c r="AD7" i="2"/>
  <c r="CD7" i="2"/>
  <c r="CD8" i="2"/>
  <c r="BL8" i="3"/>
  <c r="BL7" i="3"/>
  <c r="DB8" i="3"/>
  <c r="DB7" i="3"/>
  <c r="DL8" i="3"/>
  <c r="DL7" i="3"/>
  <c r="L7" i="1"/>
  <c r="L8" i="1"/>
  <c r="BX7" i="1"/>
  <c r="BX8" i="1"/>
  <c r="CR7" i="3"/>
  <c r="CR8" i="3"/>
  <c r="BO8" i="1"/>
  <c r="BO7" i="1"/>
  <c r="EA8" i="1"/>
  <c r="EA7" i="1"/>
  <c r="D7" i="1"/>
  <c r="D8" i="1"/>
  <c r="BP8" i="1"/>
  <c r="BP7" i="1"/>
  <c r="EB7" i="1"/>
  <c r="EB8" i="1"/>
  <c r="BD7" i="3"/>
  <c r="BD8" i="3"/>
  <c r="AY8" i="1"/>
  <c r="AY7" i="1"/>
  <c r="DK8" i="1"/>
  <c r="DK7" i="1"/>
  <c r="AU8" i="3"/>
  <c r="AU7" i="3"/>
  <c r="BV7" i="2"/>
  <c r="BV8" i="2"/>
  <c r="AK7" i="4"/>
  <c r="AK8" i="4"/>
  <c r="AQ8" i="1"/>
  <c r="AQ7" i="1"/>
  <c r="DC8" i="1"/>
  <c r="DC7" i="1"/>
  <c r="AL7" i="3"/>
  <c r="AL8" i="3"/>
  <c r="CL8" i="3"/>
  <c r="CL7" i="3"/>
  <c r="DS7" i="1"/>
  <c r="DS8" i="1"/>
  <c r="AR8" i="1"/>
  <c r="AR7" i="1"/>
  <c r="DD8" i="1"/>
  <c r="DD7" i="1"/>
  <c r="P8" i="2"/>
  <c r="P7" i="2"/>
  <c r="AM7" i="3"/>
  <c r="AM8" i="3"/>
  <c r="CB8" i="3"/>
  <c r="CB7" i="3"/>
  <c r="C8" i="1"/>
  <c r="C7" i="1"/>
  <c r="BW7" i="2"/>
  <c r="BW8" i="2"/>
  <c r="BG8" i="1"/>
  <c r="BG7" i="1"/>
  <c r="BL8" i="2"/>
  <c r="BL7" i="2"/>
  <c r="DL7" i="1"/>
  <c r="DL8" i="1"/>
  <c r="CU8" i="1"/>
  <c r="CU7" i="1"/>
  <c r="T8" i="1"/>
  <c r="T7" i="1"/>
  <c r="CF7" i="1"/>
  <c r="CF8" i="1"/>
  <c r="CE8" i="2"/>
  <c r="CE7" i="2"/>
  <c r="K8" i="1"/>
  <c r="K7" i="1"/>
  <c r="BW7" i="1"/>
  <c r="BW8" i="1"/>
  <c r="BC7" i="3"/>
  <c r="BC8" i="3"/>
  <c r="BN7" i="4"/>
  <c r="BN8" i="4"/>
  <c r="BH8" i="1"/>
  <c r="BH7" i="1"/>
  <c r="DT7" i="1"/>
  <c r="DT8" i="1"/>
  <c r="X7" i="2"/>
  <c r="X8" i="2"/>
  <c r="BM8" i="2"/>
  <c r="BM7" i="2"/>
  <c r="AZ8" i="1"/>
  <c r="AZ7" i="1"/>
  <c r="N8" i="2"/>
  <c r="N7" i="2"/>
  <c r="BD7" i="2"/>
  <c r="BD8" i="2"/>
  <c r="AI8" i="1"/>
  <c r="AI7" i="1"/>
  <c r="CM7" i="2"/>
  <c r="CM8" i="2"/>
  <c r="AC8" i="3"/>
  <c r="AC7" i="3"/>
  <c r="AJ8" i="1"/>
  <c r="AJ7" i="1"/>
  <c r="CV7" i="1"/>
  <c r="CV8" i="1"/>
  <c r="F8" i="2"/>
  <c r="F7" i="2"/>
  <c r="CW8" i="2"/>
  <c r="CW7" i="2"/>
  <c r="AD8" i="3"/>
  <c r="AD7" i="3"/>
  <c r="DW7" i="4"/>
  <c r="DW8" i="4"/>
  <c r="BY8" i="1"/>
  <c r="E7" i="1"/>
  <c r="V8" i="1"/>
  <c r="AS8" i="1"/>
  <c r="CP8" i="1"/>
  <c r="AI7" i="2"/>
  <c r="AI8" i="2"/>
  <c r="L7" i="2"/>
  <c r="AT7" i="2"/>
  <c r="DL7" i="2"/>
  <c r="AS8" i="2"/>
  <c r="DK8" i="2"/>
  <c r="BU8" i="3"/>
  <c r="DF8" i="3"/>
  <c r="CE7" i="4"/>
  <c r="CE8" i="4"/>
  <c r="DV7" i="4"/>
  <c r="DV8" i="4"/>
  <c r="AL8" i="2"/>
  <c r="AL7" i="2"/>
  <c r="V8" i="3"/>
  <c r="EH14" i="3"/>
  <c r="DD7" i="4"/>
  <c r="DD8" i="4"/>
  <c r="ED7" i="2"/>
  <c r="F7" i="1"/>
  <c r="BZ7" i="1"/>
  <c r="AT8" i="1"/>
  <c r="AU7" i="2"/>
  <c r="R8" i="2"/>
  <c r="BC8" i="2"/>
  <c r="CD7" i="3"/>
  <c r="DH8" i="3"/>
  <c r="EG16" i="3"/>
  <c r="D7" i="4"/>
  <c r="CR8" i="4"/>
  <c r="CR7" i="4"/>
  <c r="AE8" i="3"/>
  <c r="AE7" i="3"/>
  <c r="S7" i="2"/>
  <c r="S8" i="2"/>
  <c r="AK8" i="1"/>
  <c r="AT8" i="4"/>
  <c r="AT7" i="4"/>
  <c r="DN8" i="4"/>
  <c r="AL8" i="1"/>
  <c r="DU8" i="1"/>
  <c r="AK7" i="2"/>
  <c r="AK8" i="2"/>
  <c r="DI8" i="2"/>
  <c r="DI7" i="2"/>
  <c r="AV7" i="2"/>
  <c r="T8" i="2"/>
  <c r="BE8" i="2"/>
  <c r="DM8" i="2"/>
  <c r="CH7" i="3"/>
  <c r="CH8" i="3"/>
  <c r="DU7" i="3"/>
  <c r="DU8" i="3"/>
  <c r="DP7" i="3"/>
  <c r="EH17" i="3"/>
  <c r="EG17" i="3"/>
  <c r="EH24" i="3"/>
  <c r="BV8" i="4"/>
  <c r="BV7" i="4"/>
  <c r="CQ7" i="4"/>
  <c r="CQ8" i="4"/>
  <c r="AP8" i="5"/>
  <c r="AP7" i="5"/>
  <c r="DM7" i="1"/>
  <c r="DM8" i="1"/>
  <c r="DS7" i="2"/>
  <c r="BX7" i="4"/>
  <c r="BX8" i="4"/>
  <c r="CK8" i="3"/>
  <c r="DE7" i="4"/>
  <c r="DE8" i="4"/>
  <c r="AC8" i="1"/>
  <c r="CS8" i="2"/>
  <c r="CS7" i="2"/>
  <c r="DV7" i="2"/>
  <c r="BR7" i="3"/>
  <c r="BR8" i="3"/>
  <c r="CT7" i="3"/>
  <c r="CM8" i="3"/>
  <c r="DX8" i="3"/>
  <c r="EH13" i="3"/>
  <c r="EG13" i="3"/>
  <c r="N7" i="4"/>
  <c r="N8" i="4"/>
  <c r="AS8" i="4"/>
  <c r="AS7" i="4"/>
  <c r="BY7" i="4"/>
  <c r="BY8" i="4"/>
  <c r="M7" i="1"/>
  <c r="M8" i="1"/>
  <c r="EC7" i="1"/>
  <c r="EC8" i="1"/>
  <c r="BJ7" i="1"/>
  <c r="CJ7" i="2"/>
  <c r="CJ8" i="2"/>
  <c r="AR7" i="3"/>
  <c r="D8" i="3"/>
  <c r="EG20" i="3"/>
  <c r="AA7" i="4"/>
  <c r="AA8" i="4"/>
  <c r="C8" i="5"/>
  <c r="C7" i="5"/>
  <c r="CX8" i="1"/>
  <c r="CX7" i="1"/>
  <c r="M7" i="2"/>
  <c r="M8" i="2"/>
  <c r="R7" i="4"/>
  <c r="R8" i="4"/>
  <c r="CF7" i="2"/>
  <c r="CG8" i="1"/>
  <c r="CG7" i="1"/>
  <c r="CW7" i="1"/>
  <c r="CW8" i="1"/>
  <c r="EG12" i="3"/>
  <c r="CH7" i="4"/>
  <c r="CH8" i="4"/>
  <c r="DO7" i="4"/>
  <c r="DO8" i="4"/>
  <c r="AD8" i="1"/>
  <c r="AD7" i="1"/>
  <c r="DN7" i="1"/>
  <c r="DN8" i="1"/>
  <c r="DT7" i="2"/>
  <c r="CR8" i="2"/>
  <c r="CI7" i="4"/>
  <c r="CI8" i="4"/>
  <c r="AB7" i="2"/>
  <c r="E7" i="3"/>
  <c r="CU7" i="3"/>
  <c r="AH7" i="4"/>
  <c r="AH8" i="4"/>
  <c r="BD7" i="4"/>
  <c r="BD8" i="4"/>
  <c r="AZ7" i="3"/>
  <c r="AZ8" i="3"/>
  <c r="CC7" i="3"/>
  <c r="CC8" i="3"/>
  <c r="AI7" i="4"/>
  <c r="AI8" i="4"/>
  <c r="CO7" i="1"/>
  <c r="AM8" i="2"/>
  <c r="DG8" i="3"/>
  <c r="DG7" i="3"/>
  <c r="AJ7" i="4"/>
  <c r="AJ8" i="4"/>
  <c r="AU7" i="4"/>
  <c r="AU8" i="4"/>
  <c r="BB7" i="4"/>
  <c r="Y8" i="5"/>
  <c r="Y7" i="5"/>
  <c r="U7" i="1"/>
  <c r="AF7" i="2"/>
  <c r="AW7" i="1"/>
  <c r="AW8" i="1"/>
  <c r="CC7" i="1"/>
  <c r="CC8" i="1"/>
  <c r="AG7" i="2"/>
  <c r="BO7" i="2"/>
  <c r="AO8" i="2"/>
  <c r="DE8" i="2"/>
  <c r="EE8" i="2"/>
  <c r="CS8" i="3"/>
  <c r="AV7" i="4"/>
  <c r="AV8" i="4"/>
  <c r="AP8" i="1"/>
  <c r="BT7" i="2"/>
  <c r="BT8" i="2"/>
  <c r="DY8" i="2"/>
  <c r="DY7" i="2"/>
  <c r="DA7" i="2"/>
  <c r="G8" i="2"/>
  <c r="AP8" i="2"/>
  <c r="BV8" i="3"/>
  <c r="BV7" i="3"/>
  <c r="K7" i="3"/>
  <c r="AT7" i="3"/>
  <c r="AK8" i="3"/>
  <c r="BQ8" i="3"/>
  <c r="DA8" i="3"/>
  <c r="CM7" i="4"/>
  <c r="CM8" i="4"/>
  <c r="BS8" i="5"/>
  <c r="BS7" i="5"/>
  <c r="CZ8" i="5"/>
  <c r="CZ7" i="5"/>
  <c r="DI8" i="5"/>
  <c r="DI7" i="5"/>
  <c r="BI8" i="1"/>
  <c r="CL7" i="2"/>
  <c r="CL8" i="2"/>
  <c r="BN7" i="2"/>
  <c r="EC8" i="2"/>
  <c r="AG7" i="1"/>
  <c r="AG8" i="1"/>
  <c r="BM8" i="1"/>
  <c r="BM7" i="1"/>
  <c r="BQ7" i="2"/>
  <c r="DB7" i="2"/>
  <c r="H8" i="2"/>
  <c r="DH8" i="2"/>
  <c r="DS7" i="3"/>
  <c r="DS8" i="3"/>
  <c r="L7" i="3"/>
  <c r="BZ7" i="3"/>
  <c r="N8" i="3"/>
  <c r="BS8" i="3"/>
  <c r="DD8" i="3"/>
  <c r="EH18" i="3"/>
  <c r="EG18" i="3"/>
  <c r="G8" i="4"/>
  <c r="G7" i="4"/>
  <c r="CN8" i="4"/>
  <c r="CN7" i="4"/>
  <c r="F8" i="4"/>
  <c r="DC7" i="3"/>
  <c r="DC8" i="3"/>
  <c r="K8" i="4"/>
  <c r="K7" i="4"/>
  <c r="BK8" i="4"/>
  <c r="BK7" i="4"/>
  <c r="CG7" i="4"/>
  <c r="CG8" i="4"/>
  <c r="CJ7" i="3"/>
  <c r="CJ8" i="3"/>
  <c r="L8" i="4"/>
  <c r="L7" i="4"/>
  <c r="DX7" i="4"/>
  <c r="DX8" i="4"/>
  <c r="M7" i="3"/>
  <c r="M8" i="3"/>
  <c r="CI8" i="3"/>
  <c r="EH15" i="3"/>
  <c r="EG15" i="3"/>
  <c r="N7" i="1"/>
  <c r="N8" i="1"/>
  <c r="ED7" i="1"/>
  <c r="ED8" i="1"/>
  <c r="AC7" i="2"/>
  <c r="AC8" i="2"/>
  <c r="DU7" i="2"/>
  <c r="DU8" i="2"/>
  <c r="DW8" i="3"/>
  <c r="DW7" i="3"/>
  <c r="BM7" i="4"/>
  <c r="BM8" i="4"/>
  <c r="BQ7" i="1"/>
  <c r="DZ8" i="3"/>
  <c r="Z8" i="4"/>
  <c r="Z7" i="4"/>
  <c r="BE7" i="4"/>
  <c r="BE8" i="4"/>
  <c r="BR7" i="1"/>
  <c r="V8" i="2"/>
  <c r="V7" i="2"/>
  <c r="DD7" i="2"/>
  <c r="DD8" i="2"/>
  <c r="AE7" i="2"/>
  <c r="C8" i="2"/>
  <c r="P7" i="4"/>
  <c r="P8" i="4"/>
  <c r="BX8" i="2"/>
  <c r="P7" i="3"/>
  <c r="P8" i="3"/>
  <c r="BS8" i="2"/>
  <c r="BS7" i="2"/>
  <c r="AS7" i="3"/>
  <c r="AX7" i="1"/>
  <c r="AX8" i="1"/>
  <c r="BN7" i="1"/>
  <c r="BN8" i="1"/>
  <c r="CD7" i="1"/>
  <c r="CD8" i="1"/>
  <c r="CT7" i="1"/>
  <c r="CT8" i="1"/>
  <c r="BA7" i="1"/>
  <c r="DJ8" i="1"/>
  <c r="BA7" i="2"/>
  <c r="BA8" i="2"/>
  <c r="DF7" i="2"/>
  <c r="DF8" i="2"/>
  <c r="DR8" i="1"/>
  <c r="BB8" i="2"/>
  <c r="BB7" i="2"/>
  <c r="CN7" i="2"/>
  <c r="CN8" i="2"/>
  <c r="K7" i="2"/>
  <c r="BR7" i="2"/>
  <c r="DC7" i="2"/>
  <c r="DJ8" i="2"/>
  <c r="BM7" i="3"/>
  <c r="BM8" i="3"/>
  <c r="CQ8" i="3"/>
  <c r="CQ7" i="3"/>
  <c r="AV7" i="3"/>
  <c r="CA7" i="3"/>
  <c r="BT8" i="3"/>
  <c r="EH19" i="3"/>
  <c r="EG19" i="3"/>
  <c r="EG23" i="3"/>
  <c r="EG7" i="4"/>
  <c r="EG8" i="4"/>
  <c r="DJ7" i="5"/>
  <c r="DJ8" i="5"/>
  <c r="EH22" i="3"/>
  <c r="CZ7" i="4"/>
  <c r="CZ8" i="4"/>
  <c r="EE7" i="4"/>
  <c r="AH7" i="5"/>
  <c r="AH8" i="5"/>
  <c r="BX8" i="5"/>
  <c r="BX7" i="5"/>
  <c r="CI8" i="5"/>
  <c r="CI7" i="5"/>
  <c r="W7" i="4"/>
  <c r="W8" i="4"/>
  <c r="AQ7" i="4"/>
  <c r="AQ8" i="4"/>
  <c r="CF7" i="4"/>
  <c r="CF8" i="4"/>
  <c r="CO7" i="4"/>
  <c r="CO8" i="4"/>
  <c r="DA7" i="4"/>
  <c r="DA8" i="4"/>
  <c r="EF7" i="4"/>
  <c r="CT8" i="4"/>
  <c r="L7" i="5"/>
  <c r="L8" i="5"/>
  <c r="EH21" i="3"/>
  <c r="AR7" i="4"/>
  <c r="AR8" i="4"/>
  <c r="DU7" i="4"/>
  <c r="DU8" i="4"/>
  <c r="BF8" i="4"/>
  <c r="BF7" i="4"/>
  <c r="BZ7" i="4"/>
  <c r="BZ8" i="4"/>
  <c r="BO7" i="4"/>
  <c r="DS8" i="5"/>
  <c r="DS7" i="5"/>
  <c r="EC7" i="5"/>
  <c r="EC8" i="5"/>
  <c r="H7" i="4"/>
  <c r="H8" i="4"/>
  <c r="AL7" i="4"/>
  <c r="AL8" i="4"/>
  <c r="BG7" i="4"/>
  <c r="BG8" i="4"/>
  <c r="F8" i="5"/>
  <c r="F7" i="5"/>
  <c r="Q7" i="5"/>
  <c r="Q8" i="5"/>
  <c r="I7" i="4"/>
  <c r="I8" i="4"/>
  <c r="AM7" i="4"/>
  <c r="AM8" i="4"/>
  <c r="BH7" i="4"/>
  <c r="BH8" i="4"/>
  <c r="CB8" i="4"/>
  <c r="CB7" i="4"/>
  <c r="CL8" i="4"/>
  <c r="CL7" i="4"/>
  <c r="DQ8" i="4"/>
  <c r="AZ8" i="5"/>
  <c r="AZ7" i="5"/>
  <c r="CP7" i="5"/>
  <c r="CP8" i="5"/>
  <c r="DB8" i="5"/>
  <c r="DB7" i="5"/>
  <c r="F8" i="3"/>
  <c r="O7" i="3"/>
  <c r="DN8" i="3"/>
  <c r="J8" i="4"/>
  <c r="J7" i="4"/>
  <c r="AN7" i="4"/>
  <c r="AN8" i="4"/>
  <c r="BI7" i="4"/>
  <c r="BI8" i="4"/>
  <c r="DG7" i="4"/>
  <c r="DG8" i="4"/>
  <c r="AB7" i="4"/>
  <c r="AF8" i="4"/>
  <c r="BW8" i="4"/>
  <c r="CF7" i="5"/>
  <c r="CF8" i="5"/>
  <c r="CQ7" i="5"/>
  <c r="CQ8" i="5"/>
  <c r="EG8" i="5"/>
  <c r="EG7" i="5"/>
  <c r="S7" i="4"/>
  <c r="S8" i="4"/>
  <c r="DF7" i="4"/>
  <c r="DF8" i="4"/>
  <c r="DZ7" i="4"/>
  <c r="DZ8" i="4"/>
  <c r="G8" i="5"/>
  <c r="G7" i="5"/>
  <c r="AE8" i="1"/>
  <c r="O8" i="1"/>
  <c r="AF8" i="1"/>
  <c r="EE8" i="1"/>
  <c r="AC7" i="4"/>
  <c r="BA8" i="5"/>
  <c r="BA7" i="5"/>
  <c r="CR7" i="5"/>
  <c r="CR8" i="5"/>
  <c r="DL7" i="5"/>
  <c r="CX8" i="3"/>
  <c r="EG24" i="3"/>
  <c r="AO8" i="4"/>
  <c r="AO7" i="4"/>
  <c r="CD7" i="4"/>
  <c r="CD8" i="4"/>
  <c r="CY7" i="4"/>
  <c r="CY8" i="4"/>
  <c r="EC7" i="4"/>
  <c r="EC8" i="4"/>
  <c r="AQ8" i="5"/>
  <c r="AQ7" i="5"/>
  <c r="BB8" i="5"/>
  <c r="BB7" i="5"/>
  <c r="BW8" i="5"/>
  <c r="BW7" i="5"/>
  <c r="CS8" i="5"/>
  <c r="CS7" i="5"/>
  <c r="P8" i="1"/>
  <c r="EI19" i="2"/>
  <c r="AW8" i="3"/>
  <c r="ED7" i="4"/>
  <c r="ED8" i="4"/>
  <c r="BI7" i="5"/>
  <c r="BI8" i="5"/>
  <c r="DA8" i="5"/>
  <c r="DA7" i="5"/>
  <c r="H8" i="5"/>
  <c r="H7" i="5"/>
  <c r="R7" i="5"/>
  <c r="R8" i="5"/>
  <c r="BJ7" i="5"/>
  <c r="BJ8" i="5"/>
  <c r="ED7" i="5"/>
  <c r="ED8" i="5"/>
  <c r="BT7" i="5"/>
  <c r="DY7" i="4"/>
  <c r="DY8" i="4"/>
  <c r="AG8" i="5"/>
  <c r="AG7" i="5"/>
  <c r="CH8" i="5"/>
  <c r="CH7" i="5"/>
  <c r="DD8" i="5"/>
  <c r="DD7" i="5"/>
  <c r="DW7" i="5"/>
  <c r="DW8" i="5"/>
  <c r="AP8" i="4"/>
  <c r="AP7" i="4"/>
  <c r="DH7" i="4"/>
  <c r="DH8" i="4"/>
  <c r="BY7" i="5"/>
  <c r="BY8" i="5"/>
  <c r="CJ8" i="5"/>
  <c r="CJ7" i="5"/>
  <c r="DM7" i="5"/>
  <c r="X8" i="5"/>
  <c r="X7" i="5"/>
  <c r="AI7" i="5"/>
  <c r="AI8" i="5"/>
  <c r="BE8" i="5"/>
  <c r="BE7" i="5"/>
  <c r="DI7" i="4"/>
  <c r="DI8" i="4"/>
  <c r="AT7" i="5"/>
  <c r="AT8" i="5"/>
  <c r="CK8" i="5"/>
  <c r="CK7" i="5"/>
  <c r="BJ7" i="4"/>
  <c r="Q8" i="4"/>
  <c r="BL8" i="4"/>
  <c r="AJ7" i="5"/>
  <c r="AJ8" i="5"/>
  <c r="DB7" i="4"/>
  <c r="D8" i="5"/>
  <c r="D7" i="5"/>
  <c r="AK7" i="5"/>
  <c r="AK8" i="5"/>
  <c r="AV7" i="5"/>
  <c r="AV8" i="5"/>
  <c r="O7" i="5"/>
  <c r="O8" i="5"/>
  <c r="AA8" i="5"/>
  <c r="AA7" i="5"/>
  <c r="AL8" i="5"/>
  <c r="AL7" i="5"/>
  <c r="CS7" i="4"/>
  <c r="CS8" i="4"/>
  <c r="P7" i="5"/>
  <c r="P8" i="5"/>
  <c r="V8" i="5"/>
  <c r="V7" i="5"/>
  <c r="CN8" i="5"/>
  <c r="CN7" i="5"/>
  <c r="E8" i="5"/>
  <c r="E7" i="5"/>
  <c r="BN7" i="5"/>
  <c r="BN8" i="5"/>
  <c r="DK8" i="5"/>
  <c r="DK7" i="5"/>
  <c r="DU8" i="5"/>
  <c r="DU7" i="5"/>
  <c r="AW8" i="5"/>
  <c r="AW7" i="5"/>
  <c r="BG8" i="5"/>
  <c r="BG7" i="5"/>
  <c r="BZ7" i="5"/>
  <c r="BZ8" i="5"/>
  <c r="CT7" i="5"/>
  <c r="CT8" i="5"/>
  <c r="DX7" i="5"/>
  <c r="DX8" i="5"/>
  <c r="I8" i="5"/>
  <c r="I7" i="5"/>
  <c r="J8" i="5"/>
  <c r="J7" i="5"/>
  <c r="S8" i="5"/>
  <c r="S7" i="5"/>
  <c r="AN8" i="5"/>
  <c r="AN7" i="5"/>
  <c r="AX7" i="5"/>
  <c r="AX8" i="5"/>
  <c r="T8" i="5"/>
  <c r="T7" i="5"/>
  <c r="AY8" i="5"/>
  <c r="AY7" i="5"/>
  <c r="BR8" i="5"/>
  <c r="BR7" i="5"/>
  <c r="K8" i="5"/>
  <c r="K7" i="5"/>
  <c r="CA8" i="5"/>
  <c r="EG13" i="6"/>
  <c r="EG17" i="6"/>
  <c r="DE7" i="5"/>
  <c r="DE8" i="5"/>
  <c r="DY8" i="5"/>
  <c r="DY7" i="5"/>
  <c r="CD8" i="5"/>
  <c r="CE8" i="5"/>
  <c r="AS7" i="5"/>
  <c r="AS8" i="5"/>
  <c r="BK7" i="5"/>
  <c r="BK8" i="5"/>
  <c r="CW8" i="5"/>
  <c r="CW7" i="5"/>
  <c r="CM7" i="5"/>
  <c r="DZ8" i="5"/>
  <c r="BL7" i="5"/>
  <c r="BL8" i="5"/>
  <c r="DG7" i="5"/>
  <c r="DG8" i="5"/>
  <c r="EB8" i="5"/>
  <c r="BM7" i="5"/>
  <c r="BM8" i="5"/>
  <c r="BV7" i="5"/>
  <c r="BV8" i="5"/>
  <c r="BC7" i="5"/>
  <c r="CO7" i="5"/>
  <c r="CO8" i="5"/>
  <c r="CG7" i="5"/>
  <c r="CG8" i="5"/>
  <c r="DH7" i="5"/>
  <c r="DH8" i="5"/>
  <c r="B2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<sst xmlns="http://schemas.openxmlformats.org/spreadsheetml/2006/main" count="1999" uniqueCount="183">
  <si>
    <t>NN3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</si>
  <si>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</si>
  <si>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</si>
  <si>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</si>
  <si>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</si>
  <si>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</si>
  <si>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</si>
  <si>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</si>
  <si>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</si>
  <si>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</si>
  <si>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</si>
  <si>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</si>
  <si>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</si>
  <si>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</si>
  <si>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</si>
  <si>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</si>
  <si>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</si>
  <si>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</si>
  <si>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</si>
  <si>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</si>
  <si>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</si>
  <si>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</si>
  <si>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</si>
  <si>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</si>
  <si>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</si>
  <si>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</si>
  <si>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</si>
  <si>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</si>
  <si>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</si>
  <si>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</si>
  <si>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</si>
  <si>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</si>
  <si>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</si>
  <si>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</si>
  <si>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</si>
  <si>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</si>
  <si>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</si>
  <si>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</si>
  <si>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</si>
  <si>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</si>
  <si>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</si>
  <si>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</si>
  <si>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</si>
  <si>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</si>
  <si>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</si>
  <si>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</si>
  <si>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</si>
  <si>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</si>
  <si>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</si>
  <si>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</si>
  <si>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</si>
  <si>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</si>
  <si>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</si>
  <si>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</si>
  <si>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</si>
  <si>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</si>
  <si>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</si>
  <si>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</si>
  <si>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</si>
  <si>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</si>
  <si>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</si>
  <si>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</si>
  <si>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</si>
  <si>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</si>
  <si>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</si>
  <si>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</si>
  <si>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</si>
  <si>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</si>
  <si>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</si>
  <si>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</si>
  <si>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</si>
  <si>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</si>
  <si>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</si>
  <si>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</si>
  <si>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</si>
  <si>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</si>
  <si>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</si>
  <si>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</si>
  <si>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</si>
  <si>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</si>
  <si>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</si>
  <si>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</si>
  <si>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</si>
  <si>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</si>
  <si>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</si>
  <si>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</si>
  <si>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</si>
  <si>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</si>
  <si>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</si>
  <si>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</si>
  <si>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</si>
  <si>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</si>
  <si>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</si>
  <si>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</si>
  <si>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</si>
  <si>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</si>
  <si>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</si>
  <si>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</si>
  <si>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</si>
  <si>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</si>
  <si>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</si>
  <si>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</si>
  <si>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</si>
  <si>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</si>
  <si>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</si>
  <si>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</si>
  <si>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</si>
  <si>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</si>
  <si>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</si>
  <si>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</si>
  <si>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</si>
  <si>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</si>
  <si>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</si>
  <si>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</si>
  <si>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</si>
  <si>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</si>
  <si>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</si>
  <si>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</si>
  <si>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</si>
  <si>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</si>
  <si>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</si>
  <si>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</si>
  <si>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</si>
  <si>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</si>
  <si>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</si>
  <si>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</si>
  <si>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</si>
  <si>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</si>
  <si>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</si>
  <si>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</si>
  <si>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</si>
  <si>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</si>
  <si>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</si>
  <si>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</si>
  <si>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</si>
  <si>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</si>
  <si>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</si>
  <si>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</si>
  <si>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</si>
  <si>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</si>
  <si>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</si>
  <si>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</si>
  <si>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</si>
  <si>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</si>
  <si>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</si>
  <si>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</si>
  <si>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</si>
  <si>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</si>
  <si>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</si>
  <si>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</si>
  <si>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</si>
  <si>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</si>
  <si>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</si>
  <si>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</si>
  <si>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</si>
  <si>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</si>
  <si>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</si>
  <si>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</si>
  <si>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</si>
  <si>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</si>
  <si>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</si>
  <si>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</si>
  <si>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</si>
  <si>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</si>
  <si>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</si>
  <si>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REAL</t>
  </si>
  <si>
    <t>(預測-真實)**2</t>
  </si>
  <si>
    <t>真實**2</t>
  </si>
  <si>
    <t>R**2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</si>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</sst>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 sz="1400" b="0" i="0" u="none" strike="noStrike" baseline="0"/>
              <a:t>NN3</a:t>
            </a:r>
            <a:r>
              <a:rPr lang="zh-TW" altLang="en-US" sz="1400" b="0" i="0" u="none" strike="noStrike" baseline="0"/>
              <a:t>再投資累積報酬</a:t>
            </a:r>
            <a:endParaRPr lang="en-US" altLang="zh-TW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NN3再投資累積報酬!$B$12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NN3再投資累積報酬!$C$12:$EF$12</c:f>
              <c:numCache>
                <c:formatCode>General</c:formatCode>
                <c:ptCount val="134"/>
                <c:pt idx="0">
                  <c:v>4.7013508994228737E-2</c:v>
                </c:pt>
                <c:pt idx="1">
                  <c:v>0.16709405293260571</c:v>
                </c:pt>
                <c:pt idx="2">
                  <c:v>0.15921146660222796</c:v>
                </c:pt>
                <c:pt idx="3">
                  <c:v>0.17476936470506965</c:v>
                </c:pt>
                <c:pt idx="4">
                  <c:v>0.1840551491101925</c:v>
                </c:pt>
                <c:pt idx="5">
                  <c:v>0.22967740053752572</c:v>
                </c:pt>
                <c:pt idx="6">
                  <c:v>0.24542930819917252</c:v>
                </c:pt>
                <c:pt idx="7">
                  <c:v>0.20880357011637307</c:v>
                </c:pt>
                <c:pt idx="8">
                  <c:v>0.19552074830920119</c:v>
                </c:pt>
                <c:pt idx="9">
                  <c:v>0.19279827166187125</c:v>
                </c:pt>
                <c:pt idx="10">
                  <c:v>0.19232535457206712</c:v>
                </c:pt>
                <c:pt idx="11">
                  <c:v>0.27498567866397972</c:v>
                </c:pt>
                <c:pt idx="12">
                  <c:v>0.29696737404875462</c:v>
                </c:pt>
                <c:pt idx="13">
                  <c:v>0.29726563930617367</c:v>
                </c:pt>
                <c:pt idx="14">
                  <c:v>0.34302004980593859</c:v>
                </c:pt>
                <c:pt idx="15">
                  <c:v>0.35196843633246888</c:v>
                </c:pt>
                <c:pt idx="16">
                  <c:v>0.32969827857056777</c:v>
                </c:pt>
                <c:pt idx="17">
                  <c:v>0.31940667974232095</c:v>
                </c:pt>
                <c:pt idx="18">
                  <c:v>0.29806052830737895</c:v>
                </c:pt>
                <c:pt idx="19">
                  <c:v>0.30611430600345946</c:v>
                </c:pt>
                <c:pt idx="20">
                  <c:v>0.38975710206395786</c:v>
                </c:pt>
                <c:pt idx="21">
                  <c:v>0.42738323356197361</c:v>
                </c:pt>
                <c:pt idx="22">
                  <c:v>0.44942255655550989</c:v>
                </c:pt>
                <c:pt idx="23">
                  <c:v>0.45691013957024107</c:v>
                </c:pt>
                <c:pt idx="24">
                  <c:v>0.39950254573876887</c:v>
                </c:pt>
                <c:pt idx="25">
                  <c:v>0.39430840621820806</c:v>
                </c:pt>
                <c:pt idx="26">
                  <c:v>0.40151332725633448</c:v>
                </c:pt>
                <c:pt idx="27">
                  <c:v>0.39331852466646966</c:v>
                </c:pt>
                <c:pt idx="28">
                  <c:v>0.3120644197172171</c:v>
                </c:pt>
                <c:pt idx="29">
                  <c:v>0.28525612097313724</c:v>
                </c:pt>
                <c:pt idx="30">
                  <c:v>0.30078089412385944</c:v>
                </c:pt>
                <c:pt idx="31">
                  <c:v>0.28334287956525972</c:v>
                </c:pt>
                <c:pt idx="32">
                  <c:v>0.31317605742756016</c:v>
                </c:pt>
                <c:pt idx="33">
                  <c:v>0.34083451651214203</c:v>
                </c:pt>
                <c:pt idx="34">
                  <c:v>0.35357714787076322</c:v>
                </c:pt>
                <c:pt idx="35">
                  <c:v>0.37775068624499197</c:v>
                </c:pt>
                <c:pt idx="36">
                  <c:v>0.41920185267669496</c:v>
                </c:pt>
                <c:pt idx="37">
                  <c:v>0.51745778708111256</c:v>
                </c:pt>
                <c:pt idx="38">
                  <c:v>0.52083988643495682</c:v>
                </c:pt>
                <c:pt idx="39">
                  <c:v>0.51379241093222627</c:v>
                </c:pt>
                <c:pt idx="40">
                  <c:v>0.50225438147057999</c:v>
                </c:pt>
                <c:pt idx="41">
                  <c:v>0.52257426399419971</c:v>
                </c:pt>
                <c:pt idx="42">
                  <c:v>0.55165500376286181</c:v>
                </c:pt>
                <c:pt idx="43">
                  <c:v>0.57312200287910198</c:v>
                </c:pt>
                <c:pt idx="44">
                  <c:v>0.60569924950010035</c:v>
                </c:pt>
                <c:pt idx="45">
                  <c:v>0.53928739246575308</c:v>
                </c:pt>
                <c:pt idx="46">
                  <c:v>0.54024402420429252</c:v>
                </c:pt>
                <c:pt idx="47">
                  <c:v>0.52690846014885495</c:v>
                </c:pt>
                <c:pt idx="48">
                  <c:v>0.56501290825937933</c:v>
                </c:pt>
                <c:pt idx="49">
                  <c:v>0.56141333776790203</c:v>
                </c:pt>
                <c:pt idx="50">
                  <c:v>0.56912342223762225</c:v>
                </c:pt>
                <c:pt idx="51">
                  <c:v>0.59309116310469023</c:v>
                </c:pt>
                <c:pt idx="52">
                  <c:v>0.6126428348685351</c:v>
                </c:pt>
                <c:pt idx="53">
                  <c:v>0.63462405485575868</c:v>
                </c:pt>
                <c:pt idx="54">
                  <c:v>0.66504246305145442</c:v>
                </c:pt>
                <c:pt idx="55">
                  <c:v>0.77791960860613418</c:v>
                </c:pt>
                <c:pt idx="56">
                  <c:v>0.83778369517913487</c:v>
                </c:pt>
                <c:pt idx="57">
                  <c:v>0.86392315429860522</c:v>
                </c:pt>
                <c:pt idx="58">
                  <c:v>0.95715892603009811</c:v>
                </c:pt>
                <c:pt idx="59">
                  <c:v>0.95560104059896056</c:v>
                </c:pt>
                <c:pt idx="60">
                  <c:v>0.91397672765412241</c:v>
                </c:pt>
                <c:pt idx="61">
                  <c:v>0.9612696491309114</c:v>
                </c:pt>
                <c:pt idx="62">
                  <c:v>0.95113166596359111</c:v>
                </c:pt>
                <c:pt idx="63">
                  <c:v>0.97360194308343684</c:v>
                </c:pt>
                <c:pt idx="64">
                  <c:v>1.02145450811775</c:v>
                </c:pt>
                <c:pt idx="65">
                  <c:v>1.00021107239662</c:v>
                </c:pt>
                <c:pt idx="66">
                  <c:v>1.0280075048543607</c:v>
                </c:pt>
                <c:pt idx="67">
                  <c:v>1.0234221627423286</c:v>
                </c:pt>
                <c:pt idx="68">
                  <c:v>1.0615905686386262</c:v>
                </c:pt>
                <c:pt idx="69">
                  <c:v>1.1070104366773026</c:v>
                </c:pt>
                <c:pt idx="70">
                  <c:v>1.1255131849413464</c:v>
                </c:pt>
                <c:pt idx="71">
                  <c:v>1.1745327386793702</c:v>
                </c:pt>
                <c:pt idx="72">
                  <c:v>1.1104193183391025</c:v>
                </c:pt>
                <c:pt idx="73">
                  <c:v>1.1346409427519459</c:v>
                </c:pt>
                <c:pt idx="74">
                  <c:v>1.0634062660717731</c:v>
                </c:pt>
                <c:pt idx="75">
                  <c:v>1.1569960720210228</c:v>
                </c:pt>
                <c:pt idx="76">
                  <c:v>1.1884462773915891</c:v>
                </c:pt>
                <c:pt idx="77">
                  <c:v>1.192698958400916</c:v>
                </c:pt>
                <c:pt idx="78">
                  <c:v>1.1559252822425718</c:v>
                </c:pt>
                <c:pt idx="79">
                  <c:v>1.3950899075383263</c:v>
                </c:pt>
                <c:pt idx="80">
                  <c:v>1.4229194354298751</c:v>
                </c:pt>
                <c:pt idx="81">
                  <c:v>1.4901980529580237</c:v>
                </c:pt>
                <c:pt idx="82">
                  <c:v>1.5944308556916993</c:v>
                </c:pt>
                <c:pt idx="83">
                  <c:v>1.7586515116732859</c:v>
                </c:pt>
                <c:pt idx="84">
                  <c:v>1.6630479265089377</c:v>
                </c:pt>
                <c:pt idx="85">
                  <c:v>1.7041791823572665</c:v>
                </c:pt>
                <c:pt idx="86">
                  <c:v>1.7388011782494899</c:v>
                </c:pt>
                <c:pt idx="87">
                  <c:v>2.0620224635868483</c:v>
                </c:pt>
                <c:pt idx="88">
                  <c:v>2.0154193201728101</c:v>
                </c:pt>
                <c:pt idx="89">
                  <c:v>1.9337506042686399</c:v>
                </c:pt>
                <c:pt idx="90">
                  <c:v>1.853758588058064</c:v>
                </c:pt>
                <c:pt idx="91">
                  <c:v>1.9830310596015508</c:v>
                </c:pt>
                <c:pt idx="92">
                  <c:v>2.0921270529356844</c:v>
                </c:pt>
                <c:pt idx="93">
                  <c:v>2.0986758021259333</c:v>
                </c:pt>
                <c:pt idx="94">
                  <c:v>2.0515708242856414</c:v>
                </c:pt>
                <c:pt idx="95">
                  <c:v>2.0490562199980737</c:v>
                </c:pt>
                <c:pt idx="96">
                  <c:v>2.1576749318173332</c:v>
                </c:pt>
                <c:pt idx="97">
                  <c:v>2.1832919687545669</c:v>
                </c:pt>
                <c:pt idx="98">
                  <c:v>2.2009526330370912</c:v>
                </c:pt>
                <c:pt idx="99">
                  <c:v>2.3961783581324978</c:v>
                </c:pt>
                <c:pt idx="100">
                  <c:v>2.3758592192758763</c:v>
                </c:pt>
                <c:pt idx="101">
                  <c:v>2.6384751647138565</c:v>
                </c:pt>
                <c:pt idx="102">
                  <c:v>2.6588643938822822</c:v>
                </c:pt>
                <c:pt idx="103">
                  <c:v>2.5747768262491073</c:v>
                </c:pt>
                <c:pt idx="104">
                  <c:v>2.6962234445993118</c:v>
                </c:pt>
                <c:pt idx="105">
                  <c:v>2.7882186688066022</c:v>
                </c:pt>
                <c:pt idx="106">
                  <c:v>2.792757365343598</c:v>
                </c:pt>
                <c:pt idx="107">
                  <c:v>2.7668356675196004</c:v>
                </c:pt>
                <c:pt idx="108">
                  <c:v>2.7632658036845541</c:v>
                </c:pt>
                <c:pt idx="109">
                  <c:v>2.7488800353431007</c:v>
                </c:pt>
                <c:pt idx="110">
                  <c:v>2.5447791110521649</c:v>
                </c:pt>
                <c:pt idx="111">
                  <c:v>2.5733592409264805</c:v>
                </c:pt>
                <c:pt idx="112">
                  <c:v>2.5163786219646762</c:v>
                </c:pt>
                <c:pt idx="113">
                  <c:v>2.5151314467809285</c:v>
                </c:pt>
                <c:pt idx="114">
                  <c:v>2.4981169829361458</c:v>
                </c:pt>
                <c:pt idx="115">
                  <c:v>2.6464734023456664</c:v>
                </c:pt>
                <c:pt idx="116">
                  <c:v>2.728882730111081</c:v>
                </c:pt>
                <c:pt idx="117">
                  <c:v>2.8503863214958041</c:v>
                </c:pt>
                <c:pt idx="118">
                  <c:v>2.762713545107744</c:v>
                </c:pt>
                <c:pt idx="119">
                  <c:v>2.8333733293479035</c:v>
                </c:pt>
                <c:pt idx="120">
                  <c:v>2.6964216378792281</c:v>
                </c:pt>
                <c:pt idx="121">
                  <c:v>2.5289815615500357</c:v>
                </c:pt>
                <c:pt idx="122">
                  <c:v>2.5775144030693662</c:v>
                </c:pt>
                <c:pt idx="123">
                  <c:v>2.7512056769186253</c:v>
                </c:pt>
                <c:pt idx="124">
                  <c:v>2.9152292616472995</c:v>
                </c:pt>
                <c:pt idx="125">
                  <c:v>2.7188723683753535</c:v>
                </c:pt>
                <c:pt idx="126">
                  <c:v>2.7759840958727011</c:v>
                </c:pt>
                <c:pt idx="127">
                  <c:v>2.760367662234656</c:v>
                </c:pt>
                <c:pt idx="128">
                  <c:v>3.0010460134419708</c:v>
                </c:pt>
                <c:pt idx="129">
                  <c:v>3.0123622790092064</c:v>
                </c:pt>
                <c:pt idx="130">
                  <c:v>3.1192977907253079</c:v>
                </c:pt>
                <c:pt idx="131">
                  <c:v>2.87004669054045</c:v>
                </c:pt>
                <c:pt idx="132">
                  <c:v>2.9161664095306423</c:v>
                </c:pt>
                <c:pt idx="133">
                  <c:v>3.0698107292535983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1-4517-ABF6-67C4E766C2E9}"/>
            </c:ext>
          </c:extLst>
        </c:ser>
        <c:ser>
          <c:idx val="1"/>
          <c:order val="1"/>
          <c:tx>
            <c:strRef>
              <c:f>NN3再投資累積報酬!$B$13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NN3再投資累積報酬!$C$13:$EF$13</c:f>
              <c:numCache>
                <c:formatCode>General</c:formatCode>
                <c:ptCount val="134"/>
                <c:pt idx="0">
                  <c:v>4.2506117601795568E-2</c:v>
                </c:pt>
                <c:pt idx="1">
                  <c:v>0.17151106714107112</c:v>
                </c:pt>
                <c:pt idx="2">
                  <c:v>0.13109789562799667</c:v>
                </c:pt>
                <c:pt idx="3">
                  <c:v>0.1181408979110441</c:v>
                </c:pt>
                <c:pt idx="4">
                  <c:v>0.10147167603917318</c:v>
                </c:pt>
                <c:pt idx="5">
                  <c:v>0.13450440595990099</c:v>
                </c:pt>
                <c:pt idx="6">
                  <c:v>0.16755319424906912</c:v>
                </c:pt>
                <c:pt idx="7">
                  <c:v>0.11629851144977144</c:v>
                </c:pt>
                <c:pt idx="8">
                  <c:v>6.5695594519838307E-2</c:v>
                </c:pt>
                <c:pt idx="9">
                  <c:v>3.4645840383244586E-2</c:v>
                </c:pt>
                <c:pt idx="10">
                  <c:v>6.1222893770346509E-2</c:v>
                </c:pt>
                <c:pt idx="11">
                  <c:v>0.16714027900140116</c:v>
                </c:pt>
                <c:pt idx="12">
                  <c:v>0.21357996393177703</c:v>
                </c:pt>
                <c:pt idx="13">
                  <c:v>0.23395794691652494</c:v>
                </c:pt>
                <c:pt idx="14">
                  <c:v>0.32431373831969057</c:v>
                </c:pt>
                <c:pt idx="15">
                  <c:v>0.34306594733639284</c:v>
                </c:pt>
                <c:pt idx="16">
                  <c:v>0.32662188946531878</c:v>
                </c:pt>
                <c:pt idx="17">
                  <c:v>0.29729821213205643</c:v>
                </c:pt>
                <c:pt idx="18">
                  <c:v>0.2993700184361141</c:v>
                </c:pt>
                <c:pt idx="19">
                  <c:v>0.27326005107426465</c:v>
                </c:pt>
                <c:pt idx="20">
                  <c:v>0.36936134208322957</c:v>
                </c:pt>
                <c:pt idx="21">
                  <c:v>0.4423166621471748</c:v>
                </c:pt>
                <c:pt idx="22">
                  <c:v>0.46239514166669826</c:v>
                </c:pt>
                <c:pt idx="23">
                  <c:v>0.49249673399765892</c:v>
                </c:pt>
                <c:pt idx="24">
                  <c:v>0.44455846971988655</c:v>
                </c:pt>
                <c:pt idx="25">
                  <c:v>0.4213933875428868</c:v>
                </c:pt>
                <c:pt idx="26">
                  <c:v>0.43280922296129964</c:v>
                </c:pt>
                <c:pt idx="27">
                  <c:v>0.42338270631681985</c:v>
                </c:pt>
                <c:pt idx="28">
                  <c:v>0.32983887446889071</c:v>
                </c:pt>
                <c:pt idx="29">
                  <c:v>0.28736320399346926</c:v>
                </c:pt>
                <c:pt idx="30">
                  <c:v>0.29158872934452074</c:v>
                </c:pt>
                <c:pt idx="31">
                  <c:v>0.27913608424697434</c:v>
                </c:pt>
                <c:pt idx="32">
                  <c:v>0.30460356884402273</c:v>
                </c:pt>
                <c:pt idx="33">
                  <c:v>0.33054733814628579</c:v>
                </c:pt>
                <c:pt idx="34">
                  <c:v>0.33496268600371137</c:v>
                </c:pt>
                <c:pt idx="35">
                  <c:v>0.36586897930594398</c:v>
                </c:pt>
                <c:pt idx="36">
                  <c:v>0.42908473321937746</c:v>
                </c:pt>
                <c:pt idx="37">
                  <c:v>0.57961056848594539</c:v>
                </c:pt>
                <c:pt idx="38">
                  <c:v>0.59431861929701979</c:v>
                </c:pt>
                <c:pt idx="39">
                  <c:v>0.58381526432352415</c:v>
                </c:pt>
                <c:pt idx="40">
                  <c:v>0.57423430843304013</c:v>
                </c:pt>
                <c:pt idx="41">
                  <c:v>0.59106159103291622</c:v>
                </c:pt>
                <c:pt idx="42">
                  <c:v>0.6567933070589731</c:v>
                </c:pt>
                <c:pt idx="43">
                  <c:v>0.72383228019914791</c:v>
                </c:pt>
                <c:pt idx="44">
                  <c:v>0.79446824973596342</c:v>
                </c:pt>
                <c:pt idx="45">
                  <c:v>0.77746481493304365</c:v>
                </c:pt>
                <c:pt idx="46">
                  <c:v>0.78471689552138768</c:v>
                </c:pt>
                <c:pt idx="47">
                  <c:v>0.76351273068722225</c:v>
                </c:pt>
                <c:pt idx="48">
                  <c:v>0.79448767907922213</c:v>
                </c:pt>
                <c:pt idx="49">
                  <c:v>0.77994610654738605</c:v>
                </c:pt>
                <c:pt idx="50">
                  <c:v>0.79158862297424393</c:v>
                </c:pt>
                <c:pt idx="51">
                  <c:v>0.86840365612849046</c:v>
                </c:pt>
                <c:pt idx="52">
                  <c:v>0.88948628785481421</c:v>
                </c:pt>
                <c:pt idx="53">
                  <c:v>0.89580553942649277</c:v>
                </c:pt>
                <c:pt idx="54">
                  <c:v>0.94773507755562547</c:v>
                </c:pt>
                <c:pt idx="55">
                  <c:v>1.1112073437887711</c:v>
                </c:pt>
                <c:pt idx="56">
                  <c:v>1.2095188010525222</c:v>
                </c:pt>
                <c:pt idx="57">
                  <c:v>1.2282460854239354</c:v>
                </c:pt>
                <c:pt idx="58">
                  <c:v>1.3450265296610446</c:v>
                </c:pt>
                <c:pt idx="59">
                  <c:v>1.3055196660663926</c:v>
                </c:pt>
                <c:pt idx="60">
                  <c:v>1.2631187965270141</c:v>
                </c:pt>
                <c:pt idx="61">
                  <c:v>1.3354205994842681</c:v>
                </c:pt>
                <c:pt idx="62">
                  <c:v>1.3749326829153605</c:v>
                </c:pt>
                <c:pt idx="63">
                  <c:v>1.4011817258442449</c:v>
                </c:pt>
                <c:pt idx="64">
                  <c:v>1.4753271349815931</c:v>
                </c:pt>
                <c:pt idx="65">
                  <c:v>1.4986761425905879</c:v>
                </c:pt>
                <c:pt idx="66">
                  <c:v>1.6027536593470297</c:v>
                </c:pt>
                <c:pt idx="67">
                  <c:v>1.5853635755420754</c:v>
                </c:pt>
                <c:pt idx="68">
                  <c:v>1.6045456077875393</c:v>
                </c:pt>
                <c:pt idx="69">
                  <c:v>1.7044130169281009</c:v>
                </c:pt>
                <c:pt idx="70">
                  <c:v>1.7522988548539109</c:v>
                </c:pt>
                <c:pt idx="71">
                  <c:v>1.8091437258849146</c:v>
                </c:pt>
                <c:pt idx="72">
                  <c:v>1.814096914318021</c:v>
                </c:pt>
                <c:pt idx="73">
                  <c:v>1.8734126390971708</c:v>
                </c:pt>
                <c:pt idx="74">
                  <c:v>1.8317125322071792</c:v>
                </c:pt>
                <c:pt idx="75">
                  <c:v>2.0473138094522243</c:v>
                </c:pt>
                <c:pt idx="76">
                  <c:v>2.1204879619008374</c:v>
                </c:pt>
                <c:pt idx="77">
                  <c:v>2.0999057640060044</c:v>
                </c:pt>
                <c:pt idx="78">
                  <c:v>2.061061117009809</c:v>
                </c:pt>
                <c:pt idx="79">
                  <c:v>2.3827352740251029</c:v>
                </c:pt>
                <c:pt idx="80">
                  <c:v>2.4139274229639129</c:v>
                </c:pt>
                <c:pt idx="81">
                  <c:v>2.5658958988497571</c:v>
                </c:pt>
                <c:pt idx="82">
                  <c:v>2.7101330466030698</c:v>
                </c:pt>
                <c:pt idx="83">
                  <c:v>2.9265622177039536</c:v>
                </c:pt>
                <c:pt idx="84">
                  <c:v>2.7229561878819886</c:v>
                </c:pt>
                <c:pt idx="85">
                  <c:v>2.711392358446707</c:v>
                </c:pt>
                <c:pt idx="86">
                  <c:v>2.8303249258152863</c:v>
                </c:pt>
                <c:pt idx="87">
                  <c:v>3.1423177842880277</c:v>
                </c:pt>
                <c:pt idx="88">
                  <c:v>3.0996651509665893</c:v>
                </c:pt>
                <c:pt idx="89">
                  <c:v>2.9894351336467802</c:v>
                </c:pt>
                <c:pt idx="90">
                  <c:v>2.9357474756450448</c:v>
                </c:pt>
                <c:pt idx="91">
                  <c:v>3.2101735305285999</c:v>
                </c:pt>
                <c:pt idx="92">
                  <c:v>3.3709387971090248</c:v>
                </c:pt>
                <c:pt idx="93">
                  <c:v>3.4071292131032127</c:v>
                </c:pt>
                <c:pt idx="94">
                  <c:v>3.4548718691403799</c:v>
                </c:pt>
                <c:pt idx="95">
                  <c:v>3.4908262459763924</c:v>
                </c:pt>
                <c:pt idx="96">
                  <c:v>3.657711646683083</c:v>
                </c:pt>
                <c:pt idx="97">
                  <c:v>3.6439559701774087</c:v>
                </c:pt>
                <c:pt idx="98">
                  <c:v>3.6717130383062075</c:v>
                </c:pt>
                <c:pt idx="99">
                  <c:v>3.9521711795431278</c:v>
                </c:pt>
                <c:pt idx="100">
                  <c:v>3.8872049328336455</c:v>
                </c:pt>
                <c:pt idx="101">
                  <c:v>4.1668714248227579</c:v>
                </c:pt>
                <c:pt idx="102">
                  <c:v>4.1380212840692892</c:v>
                </c:pt>
                <c:pt idx="103">
                  <c:v>3.9234494500083068</c:v>
                </c:pt>
                <c:pt idx="104">
                  <c:v>4.0700479434554744</c:v>
                </c:pt>
                <c:pt idx="105">
                  <c:v>4.1242852913811427</c:v>
                </c:pt>
                <c:pt idx="106">
                  <c:v>4.1546669591755183</c:v>
                </c:pt>
                <c:pt idx="107">
                  <c:v>4.0076620596279282</c:v>
                </c:pt>
                <c:pt idx="108">
                  <c:v>3.9994962795709874</c:v>
                </c:pt>
                <c:pt idx="109">
                  <c:v>4.0559694290715189</c:v>
                </c:pt>
                <c:pt idx="110">
                  <c:v>3.8235109957531792</c:v>
                </c:pt>
                <c:pt idx="111">
                  <c:v>3.8074402331861403</c:v>
                </c:pt>
                <c:pt idx="112">
                  <c:v>3.8670961158413633</c:v>
                </c:pt>
                <c:pt idx="113">
                  <c:v>3.7877612494562296</c:v>
                </c:pt>
                <c:pt idx="114">
                  <c:v>3.7558801742608861</c:v>
                </c:pt>
                <c:pt idx="115">
                  <c:v>3.8105707889149345</c:v>
                </c:pt>
                <c:pt idx="116">
                  <c:v>4.0361452476002446</c:v>
                </c:pt>
                <c:pt idx="117">
                  <c:v>4.2818418319141998</c:v>
                </c:pt>
                <c:pt idx="118">
                  <c:v>4.1422423222643117</c:v>
                </c:pt>
                <c:pt idx="119">
                  <c:v>4.2130572174131524</c:v>
                </c:pt>
                <c:pt idx="120">
                  <c:v>4.010333788435485</c:v>
                </c:pt>
                <c:pt idx="121">
                  <c:v>3.8328361952970829</c:v>
                </c:pt>
                <c:pt idx="122">
                  <c:v>3.9232351871616302</c:v>
                </c:pt>
                <c:pt idx="123">
                  <c:v>4.3152238818283921</c:v>
                </c:pt>
                <c:pt idx="124">
                  <c:v>4.5513143780177678</c:v>
                </c:pt>
                <c:pt idx="125">
                  <c:v>4.1931248132453636</c:v>
                </c:pt>
                <c:pt idx="126">
                  <c:v>4.3768889597797944</c:v>
                </c:pt>
                <c:pt idx="127">
                  <c:v>4.2983389864479991</c:v>
                </c:pt>
                <c:pt idx="128">
                  <c:v>4.6864045349761465</c:v>
                </c:pt>
                <c:pt idx="129">
                  <c:v>4.807941299872172</c:v>
                </c:pt>
                <c:pt idx="130">
                  <c:v>5.0498987023911299</c:v>
                </c:pt>
                <c:pt idx="131">
                  <c:v>4.6525286891917919</c:v>
                </c:pt>
                <c:pt idx="132">
                  <c:v>4.6974809525277612</c:v>
                </c:pt>
                <c:pt idx="133">
                  <c:v>5.0768033689339616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1-4517-ABF6-67C4E766C2E9}"/>
            </c:ext>
          </c:extLst>
        </c:ser>
        <c:ser>
          <c:idx val="2"/>
          <c:order val="2"/>
          <c:tx>
            <c:strRef>
              <c:f>NN3再投資累積報酬!$B$14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NN3再投資累積報酬!$C$14:$EF$14</c:f>
              <c:numCache>
                <c:formatCode>General</c:formatCode>
                <c:ptCount val="134"/>
                <c:pt idx="0">
                  <c:v>-3.7017512404591946E-2</c:v>
                </c:pt>
                <c:pt idx="1">
                  <c:v>0.17706163038453582</c:v>
                </c:pt>
                <c:pt idx="2">
                  <c:v>0.12112066611681649</c:v>
                </c:pt>
                <c:pt idx="3">
                  <c:v>0.159846936551582</c:v>
                </c:pt>
                <c:pt idx="4">
                  <c:v>0.11227011206386139</c:v>
                </c:pt>
                <c:pt idx="5">
                  <c:v>0.17854784820544789</c:v>
                </c:pt>
                <c:pt idx="6">
                  <c:v>0.2694315212433771</c:v>
                </c:pt>
                <c:pt idx="7">
                  <c:v>0.13602139395566404</c:v>
                </c:pt>
                <c:pt idx="8">
                  <c:v>-1.6408484076739005E-2</c:v>
                </c:pt>
                <c:pt idx="9">
                  <c:v>-1.1640822046903421E-2</c:v>
                </c:pt>
                <c:pt idx="10">
                  <c:v>-8.670822663488309E-2</c:v>
                </c:pt>
                <c:pt idx="11">
                  <c:v>0.10036367915879074</c:v>
                </c:pt>
                <c:pt idx="12">
                  <c:v>0.14398463511652992</c:v>
                </c:pt>
                <c:pt idx="13">
                  <c:v>0.19864395132555113</c:v>
                </c:pt>
                <c:pt idx="14">
                  <c:v>0.26845051322142743</c:v>
                </c:pt>
                <c:pt idx="15">
                  <c:v>0.2504996599346796</c:v>
                </c:pt>
                <c:pt idx="16">
                  <c:v>0.29868653828785385</c:v>
                </c:pt>
                <c:pt idx="17">
                  <c:v>0.27614039033869764</c:v>
                </c:pt>
                <c:pt idx="18">
                  <c:v>0.32282049496221954</c:v>
                </c:pt>
                <c:pt idx="19">
                  <c:v>0.27205653585816214</c:v>
                </c:pt>
                <c:pt idx="20">
                  <c:v>0.41982598894739143</c:v>
                </c:pt>
                <c:pt idx="21">
                  <c:v>0.49590269122803243</c:v>
                </c:pt>
                <c:pt idx="22">
                  <c:v>0.47082737800061114</c:v>
                </c:pt>
                <c:pt idx="23">
                  <c:v>0.50208569722634144</c:v>
                </c:pt>
                <c:pt idx="24">
                  <c:v>0.44282814564158346</c:v>
                </c:pt>
                <c:pt idx="25">
                  <c:v>0.33464068865178054</c:v>
                </c:pt>
                <c:pt idx="26">
                  <c:v>0.29554628180286291</c:v>
                </c:pt>
                <c:pt idx="27">
                  <c:v>0.31228487788352344</c:v>
                </c:pt>
                <c:pt idx="28">
                  <c:v>0.30701092723423451</c:v>
                </c:pt>
                <c:pt idx="29">
                  <c:v>0.25418062732483415</c:v>
                </c:pt>
                <c:pt idx="30">
                  <c:v>0.26219509364117033</c:v>
                </c:pt>
                <c:pt idx="31">
                  <c:v>0.25556821859703316</c:v>
                </c:pt>
                <c:pt idx="32">
                  <c:v>0.26933498507663356</c:v>
                </c:pt>
                <c:pt idx="33">
                  <c:v>0.391565567900233</c:v>
                </c:pt>
                <c:pt idx="34">
                  <c:v>0.37554939557183609</c:v>
                </c:pt>
                <c:pt idx="35">
                  <c:v>0.4277778915449193</c:v>
                </c:pt>
                <c:pt idx="36">
                  <c:v>0.51521810273063617</c:v>
                </c:pt>
                <c:pt idx="37">
                  <c:v>0.6646105266525435</c:v>
                </c:pt>
                <c:pt idx="38">
                  <c:v>0.76599480510346418</c:v>
                </c:pt>
                <c:pt idx="39">
                  <c:v>0.77845359565028671</c:v>
                </c:pt>
                <c:pt idx="40">
                  <c:v>0.77779918210398424</c:v>
                </c:pt>
                <c:pt idx="41">
                  <c:v>0.84472592524295309</c:v>
                </c:pt>
                <c:pt idx="42">
                  <c:v>1.0022230646496419</c:v>
                </c:pt>
                <c:pt idx="43">
                  <c:v>1.071312934377409</c:v>
                </c:pt>
                <c:pt idx="44">
                  <c:v>1.1541481542250338</c:v>
                </c:pt>
                <c:pt idx="45">
                  <c:v>1.1139024510526094</c:v>
                </c:pt>
                <c:pt idx="46">
                  <c:v>1.0750850051336549</c:v>
                </c:pt>
                <c:pt idx="47">
                  <c:v>1.0767898701706451</c:v>
                </c:pt>
                <c:pt idx="48">
                  <c:v>1.1080831865983676</c:v>
                </c:pt>
                <c:pt idx="49">
                  <c:v>0.99561996489746551</c:v>
                </c:pt>
                <c:pt idx="50">
                  <c:v>1.0307860725599034</c:v>
                </c:pt>
                <c:pt idx="51">
                  <c:v>1.1561551926483902</c:v>
                </c:pt>
                <c:pt idx="52">
                  <c:v>1.1349795947539745</c:v>
                </c:pt>
                <c:pt idx="53">
                  <c:v>1.2274835244998403</c:v>
                </c:pt>
                <c:pt idx="54">
                  <c:v>1.325018484883882</c:v>
                </c:pt>
                <c:pt idx="55">
                  <c:v>1.4198107011159671</c:v>
                </c:pt>
                <c:pt idx="56">
                  <c:v>1.5199285880728675</c:v>
                </c:pt>
                <c:pt idx="57">
                  <c:v>1.5333919505692699</c:v>
                </c:pt>
                <c:pt idx="58">
                  <c:v>1.6605307649445642</c:v>
                </c:pt>
                <c:pt idx="59">
                  <c:v>1.6072743255384716</c:v>
                </c:pt>
                <c:pt idx="60">
                  <c:v>1.5926898804595471</c:v>
                </c:pt>
                <c:pt idx="61">
                  <c:v>1.7475713840330127</c:v>
                </c:pt>
                <c:pt idx="62">
                  <c:v>1.855433385151017</c:v>
                </c:pt>
                <c:pt idx="63">
                  <c:v>1.9152162749328658</c:v>
                </c:pt>
                <c:pt idx="64">
                  <c:v>2.013193911876189</c:v>
                </c:pt>
                <c:pt idx="65">
                  <c:v>2.060421910213543</c:v>
                </c:pt>
                <c:pt idx="66">
                  <c:v>2.1089097778001316</c:v>
                </c:pt>
                <c:pt idx="67">
                  <c:v>2.022079701237796</c:v>
                </c:pt>
                <c:pt idx="68">
                  <c:v>1.8966816616712956</c:v>
                </c:pt>
                <c:pt idx="69">
                  <c:v>2.1110736523968567</c:v>
                </c:pt>
                <c:pt idx="70">
                  <c:v>2.0835256074181747</c:v>
                </c:pt>
                <c:pt idx="71">
                  <c:v>2.1628560319725367</c:v>
                </c:pt>
                <c:pt idx="72">
                  <c:v>2.2024168715666663</c:v>
                </c:pt>
                <c:pt idx="73">
                  <c:v>2.3784561612240531</c:v>
                </c:pt>
                <c:pt idx="74">
                  <c:v>2.3561708732639457</c:v>
                </c:pt>
                <c:pt idx="75">
                  <c:v>2.5576554261965772</c:v>
                </c:pt>
                <c:pt idx="76">
                  <c:v>2.6766773514368167</c:v>
                </c:pt>
                <c:pt idx="77">
                  <c:v>2.7580334580187098</c:v>
                </c:pt>
                <c:pt idx="78">
                  <c:v>2.709952874363414</c:v>
                </c:pt>
                <c:pt idx="79">
                  <c:v>3.0735902491120166</c:v>
                </c:pt>
                <c:pt idx="80">
                  <c:v>2.7796533413233302</c:v>
                </c:pt>
                <c:pt idx="81">
                  <c:v>3.1286313168970405</c:v>
                </c:pt>
                <c:pt idx="82">
                  <c:v>3.3477255118139029</c:v>
                </c:pt>
                <c:pt idx="83">
                  <c:v>3.6288554966513136</c:v>
                </c:pt>
                <c:pt idx="84">
                  <c:v>3.1387301629412301</c:v>
                </c:pt>
                <c:pt idx="85">
                  <c:v>3.0200816469769514</c:v>
                </c:pt>
                <c:pt idx="86">
                  <c:v>3.0764285762211294</c:v>
                </c:pt>
                <c:pt idx="87">
                  <c:v>3.3302675997292193</c:v>
                </c:pt>
                <c:pt idx="88">
                  <c:v>3.4690094185221314</c:v>
                </c:pt>
                <c:pt idx="89">
                  <c:v>3.3661029299743861</c:v>
                </c:pt>
                <c:pt idx="90">
                  <c:v>3.0448113699024404</c:v>
                </c:pt>
                <c:pt idx="91">
                  <c:v>3.4485212887021959</c:v>
                </c:pt>
                <c:pt idx="92">
                  <c:v>3.6852343490745136</c:v>
                </c:pt>
                <c:pt idx="93">
                  <c:v>3.9471817610999613</c:v>
                </c:pt>
                <c:pt idx="94">
                  <c:v>4.2391996538785728</c:v>
                </c:pt>
                <c:pt idx="95">
                  <c:v>4.3392713879318023</c:v>
                </c:pt>
                <c:pt idx="96">
                  <c:v>4.1047860580597018</c:v>
                </c:pt>
                <c:pt idx="97">
                  <c:v>4.220898067578065</c:v>
                </c:pt>
                <c:pt idx="98">
                  <c:v>4.2031554591416391</c:v>
                </c:pt>
                <c:pt idx="99">
                  <c:v>4.392026926662095</c:v>
                </c:pt>
                <c:pt idx="100">
                  <c:v>4.2369569756633521</c:v>
                </c:pt>
                <c:pt idx="101">
                  <c:v>4.5724551006369936</c:v>
                </c:pt>
                <c:pt idx="102">
                  <c:v>4.4370205404810141</c:v>
                </c:pt>
                <c:pt idx="103">
                  <c:v>4.3089185016010436</c:v>
                </c:pt>
                <c:pt idx="104">
                  <c:v>4.4343820978497659</c:v>
                </c:pt>
                <c:pt idx="105">
                  <c:v>4.3433097348719345</c:v>
                </c:pt>
                <c:pt idx="106">
                  <c:v>4.3720797153815694</c:v>
                </c:pt>
                <c:pt idx="107">
                  <c:v>4.1794550377040425</c:v>
                </c:pt>
                <c:pt idx="108">
                  <c:v>4.2387419618797733</c:v>
                </c:pt>
                <c:pt idx="109">
                  <c:v>4.2637561021053605</c:v>
                </c:pt>
                <c:pt idx="110">
                  <c:v>3.9553114710424788</c:v>
                </c:pt>
                <c:pt idx="111">
                  <c:v>3.9603843436474024</c:v>
                </c:pt>
                <c:pt idx="112">
                  <c:v>4.0549841465529335</c:v>
                </c:pt>
                <c:pt idx="113">
                  <c:v>3.9783244953130579</c:v>
                </c:pt>
                <c:pt idx="114">
                  <c:v>4.0057265329707725</c:v>
                </c:pt>
                <c:pt idx="115">
                  <c:v>4.2192833206264417</c:v>
                </c:pt>
                <c:pt idx="116">
                  <c:v>4.4352345353047884</c:v>
                </c:pt>
                <c:pt idx="117">
                  <c:v>4.6718831053092735</c:v>
                </c:pt>
                <c:pt idx="118">
                  <c:v>4.1649990497861493</c:v>
                </c:pt>
                <c:pt idx="119">
                  <c:v>4.4367943127892353</c:v>
                </c:pt>
                <c:pt idx="120">
                  <c:v>4.2462623656832825</c:v>
                </c:pt>
                <c:pt idx="121">
                  <c:v>4.0127147473900839</c:v>
                </c:pt>
                <c:pt idx="122">
                  <c:v>3.7875689220694451</c:v>
                </c:pt>
                <c:pt idx="123">
                  <c:v>4.3058824060478509</c:v>
                </c:pt>
                <c:pt idx="124">
                  <c:v>4.8276860527413898</c:v>
                </c:pt>
                <c:pt idx="125">
                  <c:v>4.2336612394986135</c:v>
                </c:pt>
                <c:pt idx="126">
                  <c:v>4.4325250840305648</c:v>
                </c:pt>
                <c:pt idx="127">
                  <c:v>4.3136528880999645</c:v>
                </c:pt>
                <c:pt idx="128">
                  <c:v>4.7286771597612125</c:v>
                </c:pt>
                <c:pt idx="129">
                  <c:v>4.9187393901851015</c:v>
                </c:pt>
                <c:pt idx="130">
                  <c:v>4.9547216687732449</c:v>
                </c:pt>
                <c:pt idx="131">
                  <c:v>4.343590315622361</c:v>
                </c:pt>
                <c:pt idx="132">
                  <c:v>4.4444086722220568</c:v>
                </c:pt>
                <c:pt idx="133">
                  <c:v>4.8252800146620194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31-4517-ABF6-67C4E766C2E9}"/>
            </c:ext>
          </c:extLst>
        </c:ser>
        <c:ser>
          <c:idx val="3"/>
          <c:order val="3"/>
          <c:tx>
            <c:strRef>
              <c:f>NN3再投資累積報酬!$B$15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0.24023846325874021</c:v>
                </c:pt>
                <c:pt idx="2">
                  <c:v>0.22758998273139364</c:v>
                </c:pt>
                <c:pt idx="3">
                  <c:v>0.33844591622562148</c:v>
                </c:pt>
                <c:pt idx="4">
                  <c:v>0.25728666667274225</c:v>
                </c:pt>
                <c:pt idx="5">
                  <c:v>0.40670727076201096</c:v>
                </c:pt>
                <c:pt idx="6">
                  <c:v>0.58497751230934503</c:v>
                </c:pt>
                <c:pt idx="7">
                  <c:v>0.48270732949665329</c:v>
                </c:pt>
                <c:pt idx="8">
                  <c:v>5.7771374357571625E-2</c:v>
                </c:pt>
                <c:pt idx="9">
                  <c:v>9.2210829104714787E-2</c:v>
                </c:pt>
                <c:pt idx="10">
                  <c:v>-0.11366222878951771</c:v>
                </c:pt>
                <c:pt idx="11">
                  <c:v>0.17910341265724772</c:v>
                </c:pt>
                <c:pt idx="12">
                  <c:v>0.23346419888742842</c:v>
                </c:pt>
                <c:pt idx="13">
                  <c:v>0.29881718184471295</c:v>
                </c:pt>
                <c:pt idx="14">
                  <c:v>0.42918641051793993</c:v>
                </c:pt>
                <c:pt idx="15">
                  <c:v>0.45313305236679047</c:v>
                </c:pt>
                <c:pt idx="16">
                  <c:v>0.39059902082739928</c:v>
                </c:pt>
                <c:pt idx="17">
                  <c:v>0.3219887109367634</c:v>
                </c:pt>
                <c:pt idx="18">
                  <c:v>0.38384488417446083</c:v>
                </c:pt>
                <c:pt idx="19">
                  <c:v>0.26527583411482558</c:v>
                </c:pt>
                <c:pt idx="20">
                  <c:v>0.4005775425879774</c:v>
                </c:pt>
                <c:pt idx="21">
                  <c:v>0.51043382038043528</c:v>
                </c:pt>
                <c:pt idx="22">
                  <c:v>0.47389851285853091</c:v>
                </c:pt>
                <c:pt idx="23">
                  <c:v>0.43903135253816195</c:v>
                </c:pt>
                <c:pt idx="24">
                  <c:v>0.36120688638359533</c:v>
                </c:pt>
                <c:pt idx="25">
                  <c:v>0.26048308725045621</c:v>
                </c:pt>
                <c:pt idx="26">
                  <c:v>0.20999427386969916</c:v>
                </c:pt>
                <c:pt idx="27">
                  <c:v>0.187081479834033</c:v>
                </c:pt>
                <c:pt idx="28">
                  <c:v>0.24321438003191953</c:v>
                </c:pt>
                <c:pt idx="29">
                  <c:v>0.16138649128747096</c:v>
                </c:pt>
                <c:pt idx="30">
                  <c:v>0.15006841920101821</c:v>
                </c:pt>
                <c:pt idx="31">
                  <c:v>0.18871574774672206</c:v>
                </c:pt>
                <c:pt idx="32">
                  <c:v>0.27700994004320312</c:v>
                </c:pt>
                <c:pt idx="33">
                  <c:v>0.2823535046621537</c:v>
                </c:pt>
                <c:pt idx="34">
                  <c:v>0.23490730756082345</c:v>
                </c:pt>
                <c:pt idx="35">
                  <c:v>0.28977629226398105</c:v>
                </c:pt>
                <c:pt idx="36">
                  <c:v>0.36087214346064878</c:v>
                </c:pt>
                <c:pt idx="37">
                  <c:v>0.49925747064137349</c:v>
                </c:pt>
                <c:pt idx="38">
                  <c:v>0.5942651353903694</c:v>
                </c:pt>
                <c:pt idx="39">
                  <c:v>0.61432409156855594</c:v>
                </c:pt>
                <c:pt idx="40">
                  <c:v>0.55400143854887984</c:v>
                </c:pt>
                <c:pt idx="41">
                  <c:v>0.69431821985057907</c:v>
                </c:pt>
                <c:pt idx="42">
                  <c:v>0.78550842410700117</c:v>
                </c:pt>
                <c:pt idx="43">
                  <c:v>0.90202175963193576</c:v>
                </c:pt>
                <c:pt idx="44">
                  <c:v>0.97799471137476024</c:v>
                </c:pt>
                <c:pt idx="45">
                  <c:v>0.88458031448802954</c:v>
                </c:pt>
                <c:pt idx="46">
                  <c:v>0.91409272773329109</c:v>
                </c:pt>
                <c:pt idx="47">
                  <c:v>0.92205476338742431</c:v>
                </c:pt>
                <c:pt idx="48">
                  <c:v>0.97590509491624422</c:v>
                </c:pt>
                <c:pt idx="49">
                  <c:v>0.79545896054442489</c:v>
                </c:pt>
                <c:pt idx="50">
                  <c:v>0.81451509080869622</c:v>
                </c:pt>
                <c:pt idx="51">
                  <c:v>1.0190560614180919</c:v>
                </c:pt>
                <c:pt idx="52">
                  <c:v>1.1445507809889368</c:v>
                </c:pt>
                <c:pt idx="53">
                  <c:v>1.2583047754676775</c:v>
                </c:pt>
                <c:pt idx="54">
                  <c:v>1.3677032036785146</c:v>
                </c:pt>
                <c:pt idx="55">
                  <c:v>1.4805549928351303</c:v>
                </c:pt>
                <c:pt idx="56">
                  <c:v>1.4867304305730125</c:v>
                </c:pt>
                <c:pt idx="57">
                  <c:v>1.5723780158174234</c:v>
                </c:pt>
                <c:pt idx="58">
                  <c:v>1.7488088299031346</c:v>
                </c:pt>
                <c:pt idx="59">
                  <c:v>1.7178434239760669</c:v>
                </c:pt>
                <c:pt idx="60">
                  <c:v>1.720082253660109</c:v>
                </c:pt>
                <c:pt idx="61">
                  <c:v>1.8816656698944194</c:v>
                </c:pt>
                <c:pt idx="62">
                  <c:v>2.0742324635237503</c:v>
                </c:pt>
                <c:pt idx="63">
                  <c:v>2.1976400545667887</c:v>
                </c:pt>
                <c:pt idx="64">
                  <c:v>2.2863249257726954</c:v>
                </c:pt>
                <c:pt idx="65">
                  <c:v>2.3329388838374152</c:v>
                </c:pt>
                <c:pt idx="66">
                  <c:v>2.3756102713620471</c:v>
                </c:pt>
                <c:pt idx="67">
                  <c:v>2.2062983384325086</c:v>
                </c:pt>
                <c:pt idx="68">
                  <c:v>2.1523562887474972</c:v>
                </c:pt>
                <c:pt idx="69">
                  <c:v>2.4331057883618148</c:v>
                </c:pt>
                <c:pt idx="70">
                  <c:v>2.4999703978993182</c:v>
                </c:pt>
                <c:pt idx="71">
                  <c:v>2.7061710410264315</c:v>
                </c:pt>
                <c:pt idx="72">
                  <c:v>2.5729494239849173</c:v>
                </c:pt>
                <c:pt idx="73">
                  <c:v>2.6752640287653153</c:v>
                </c:pt>
                <c:pt idx="74">
                  <c:v>2.44852195356497</c:v>
                </c:pt>
                <c:pt idx="75">
                  <c:v>2.8033971709972048</c:v>
                </c:pt>
                <c:pt idx="76">
                  <c:v>2.9173621989155984</c:v>
                </c:pt>
                <c:pt idx="77">
                  <c:v>2.9763455063505986</c:v>
                </c:pt>
                <c:pt idx="78">
                  <c:v>2.3706754575673643</c:v>
                </c:pt>
                <c:pt idx="79">
                  <c:v>2.7756691381573058</c:v>
                </c:pt>
                <c:pt idx="80">
                  <c:v>2.3357411242352772</c:v>
                </c:pt>
                <c:pt idx="81">
                  <c:v>2.6504904832976997</c:v>
                </c:pt>
                <c:pt idx="82">
                  <c:v>2.6347974654944482</c:v>
                </c:pt>
                <c:pt idx="83">
                  <c:v>2.8633751872792352</c:v>
                </c:pt>
                <c:pt idx="84">
                  <c:v>2.7134823538682014</c:v>
                </c:pt>
                <c:pt idx="85">
                  <c:v>2.3902446735883425</c:v>
                </c:pt>
                <c:pt idx="86">
                  <c:v>2.5823788090553612</c:v>
                </c:pt>
                <c:pt idx="87">
                  <c:v>2.6949442264098415</c:v>
                </c:pt>
                <c:pt idx="88">
                  <c:v>2.9707020380591946</c:v>
                </c:pt>
                <c:pt idx="89">
                  <c:v>2.8014146675646172</c:v>
                </c:pt>
                <c:pt idx="90">
                  <c:v>2.3093252456760878</c:v>
                </c:pt>
                <c:pt idx="91">
                  <c:v>2.7313828056027392</c:v>
                </c:pt>
                <c:pt idx="92">
                  <c:v>2.8708544722793752</c:v>
                </c:pt>
                <c:pt idx="93">
                  <c:v>3.0575731515339708</c:v>
                </c:pt>
                <c:pt idx="94">
                  <c:v>3.3017788914426944</c:v>
                </c:pt>
                <c:pt idx="95">
                  <c:v>3.3335887179832957</c:v>
                </c:pt>
                <c:pt idx="96">
                  <c:v>3.0597983901593331</c:v>
                </c:pt>
                <c:pt idx="97">
                  <c:v>3.0348637299825851</c:v>
                </c:pt>
                <c:pt idx="98">
                  <c:v>2.9844898274393694</c:v>
                </c:pt>
                <c:pt idx="99">
                  <c:v>3.0802753971990056</c:v>
                </c:pt>
                <c:pt idx="100">
                  <c:v>2.90698335473733</c:v>
                </c:pt>
                <c:pt idx="101">
                  <c:v>3.2191003306166426</c:v>
                </c:pt>
                <c:pt idx="102">
                  <c:v>3.1078180345835316</c:v>
                </c:pt>
                <c:pt idx="103">
                  <c:v>2.9836525871590833</c:v>
                </c:pt>
                <c:pt idx="104">
                  <c:v>3.12337979910032</c:v>
                </c:pt>
                <c:pt idx="105">
                  <c:v>2.9197108534900824</c:v>
                </c:pt>
                <c:pt idx="106">
                  <c:v>3.0175026014568553</c:v>
                </c:pt>
                <c:pt idx="107">
                  <c:v>2.8471954177181322</c:v>
                </c:pt>
                <c:pt idx="108">
                  <c:v>2.90950740938184</c:v>
                </c:pt>
                <c:pt idx="109">
                  <c:v>2.8363643920835373</c:v>
                </c:pt>
                <c:pt idx="110">
                  <c:v>2.791408151573207</c:v>
                </c:pt>
                <c:pt idx="111">
                  <c:v>2.5948090302605928</c:v>
                </c:pt>
                <c:pt idx="112">
                  <c:v>2.9606701227620831</c:v>
                </c:pt>
                <c:pt idx="113">
                  <c:v>3.2087486528226004</c:v>
                </c:pt>
                <c:pt idx="114">
                  <c:v>3.108544463267636</c:v>
                </c:pt>
                <c:pt idx="115">
                  <c:v>3.2893060291606169</c:v>
                </c:pt>
                <c:pt idx="116">
                  <c:v>3.4878868604149638</c:v>
                </c:pt>
                <c:pt idx="117">
                  <c:v>3.5944095567857364</c:v>
                </c:pt>
                <c:pt idx="118">
                  <c:v>3.1577527032685486</c:v>
                </c:pt>
                <c:pt idx="119">
                  <c:v>3.4488393258816448</c:v>
                </c:pt>
                <c:pt idx="120">
                  <c:v>3.1096513254589748</c:v>
                </c:pt>
                <c:pt idx="121">
                  <c:v>2.813083960718493</c:v>
                </c:pt>
                <c:pt idx="122">
                  <c:v>2.638556328282446</c:v>
                </c:pt>
                <c:pt idx="123">
                  <c:v>3.1471113679232934</c:v>
                </c:pt>
                <c:pt idx="124">
                  <c:v>3.2530228988850771</c:v>
                </c:pt>
                <c:pt idx="125">
                  <c:v>2.7485452686907932</c:v>
                </c:pt>
                <c:pt idx="126">
                  <c:v>3.147912157583268</c:v>
                </c:pt>
                <c:pt idx="127">
                  <c:v>3.0694326471834259</c:v>
                </c:pt>
                <c:pt idx="128">
                  <c:v>3.1806857521541563</c:v>
                </c:pt>
                <c:pt idx="129">
                  <c:v>3.3835266595588012</c:v>
                </c:pt>
                <c:pt idx="130">
                  <c:v>3.6731982372581014</c:v>
                </c:pt>
                <c:pt idx="131">
                  <c:v>3.1434582432804357</c:v>
                </c:pt>
                <c:pt idx="132">
                  <c:v>3.0761460465053725</c:v>
                </c:pt>
                <c:pt idx="133">
                  <c:v>3.3439528817874482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31-4517-ABF6-67C4E766C2E9}"/>
            </c:ext>
          </c:extLst>
        </c:ser>
        <c:ser>
          <c:idx val="4"/>
          <c:order val="4"/>
          <c:tx>
            <c:strRef>
              <c:f>NN3再投資累積報酬!$B$16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0.36963346789284746</c:v>
                </c:pt>
                <c:pt idx="2">
                  <c:v>0.36575716328762709</c:v>
                </c:pt>
                <c:pt idx="3">
                  <c:v>0.53546585873116848</c:v>
                </c:pt>
                <c:pt idx="4">
                  <c:v>0.42230775971277645</c:v>
                </c:pt>
                <c:pt idx="5">
                  <c:v>0.52592011545069051</c:v>
                </c:pt>
                <c:pt idx="6">
                  <c:v>0.69650623779436893</c:v>
                </c:pt>
                <c:pt idx="7">
                  <c:v>0.57996638188101435</c:v>
                </c:pt>
                <c:pt idx="8">
                  <c:v>0.13019648261152295</c:v>
                </c:pt>
                <c:pt idx="9">
                  <c:v>0.14137020922794941</c:v>
                </c:pt>
                <c:pt idx="10">
                  <c:v>-8.1055913854740758E-2</c:v>
                </c:pt>
                <c:pt idx="11">
                  <c:v>0.25618517923704798</c:v>
                </c:pt>
                <c:pt idx="12">
                  <c:v>0.27580816377397799</c:v>
                </c:pt>
                <c:pt idx="13">
                  <c:v>0.35488241603391035</c:v>
                </c:pt>
                <c:pt idx="14">
                  <c:v>0.48578867993791497</c:v>
                </c:pt>
                <c:pt idx="15">
                  <c:v>0.51429021094727778</c:v>
                </c:pt>
                <c:pt idx="16">
                  <c:v>0.45006131421539464</c:v>
                </c:pt>
                <c:pt idx="17">
                  <c:v>0.41638105191429742</c:v>
                </c:pt>
                <c:pt idx="18">
                  <c:v>0.48529013703013102</c:v>
                </c:pt>
                <c:pt idx="19">
                  <c:v>0.33035035027660653</c:v>
                </c:pt>
                <c:pt idx="20">
                  <c:v>0.43461454752657391</c:v>
                </c:pt>
                <c:pt idx="21">
                  <c:v>0.54031447649067843</c:v>
                </c:pt>
                <c:pt idx="22">
                  <c:v>0.53371045966808883</c:v>
                </c:pt>
                <c:pt idx="23">
                  <c:v>0.50292000307689766</c:v>
                </c:pt>
                <c:pt idx="24">
                  <c:v>0.43756156529246137</c:v>
                </c:pt>
                <c:pt idx="25">
                  <c:v>0.33547151143894682</c:v>
                </c:pt>
                <c:pt idx="26">
                  <c:v>0.28066306254640327</c:v>
                </c:pt>
                <c:pt idx="27">
                  <c:v>0.27922612548626913</c:v>
                </c:pt>
                <c:pt idx="28">
                  <c:v>0.34515103347832077</c:v>
                </c:pt>
                <c:pt idx="29">
                  <c:v>0.25948395651175837</c:v>
                </c:pt>
                <c:pt idx="30">
                  <c:v>0.24902783707748033</c:v>
                </c:pt>
                <c:pt idx="31">
                  <c:v>0.28870370649474508</c:v>
                </c:pt>
                <c:pt idx="32">
                  <c:v>0.40536058006261633</c:v>
                </c:pt>
                <c:pt idx="33">
                  <c:v>0.38058513868866761</c:v>
                </c:pt>
                <c:pt idx="34">
                  <c:v>0.36955817362051979</c:v>
                </c:pt>
                <c:pt idx="35">
                  <c:v>0.43624049991868241</c:v>
                </c:pt>
                <c:pt idx="36">
                  <c:v>0.53114257651120078</c:v>
                </c:pt>
                <c:pt idx="37">
                  <c:v>0.69414219700209867</c:v>
                </c:pt>
                <c:pt idx="38">
                  <c:v>0.79820432547938269</c:v>
                </c:pt>
                <c:pt idx="39">
                  <c:v>0.80762671755722382</c:v>
                </c:pt>
                <c:pt idx="40">
                  <c:v>0.73809418645028657</c:v>
                </c:pt>
                <c:pt idx="41">
                  <c:v>0.91762398428692404</c:v>
                </c:pt>
                <c:pt idx="42">
                  <c:v>1.0424003740707972</c:v>
                </c:pt>
                <c:pt idx="43">
                  <c:v>1.1435955026271798</c:v>
                </c:pt>
                <c:pt idx="44">
                  <c:v>1.2332553249994875</c:v>
                </c:pt>
                <c:pt idx="45">
                  <c:v>1.2129941009219167</c:v>
                </c:pt>
                <c:pt idx="46">
                  <c:v>1.2998606036210192</c:v>
                </c:pt>
                <c:pt idx="47">
                  <c:v>1.2840884925917027</c:v>
                </c:pt>
                <c:pt idx="48">
                  <c:v>1.3613194399598965</c:v>
                </c:pt>
                <c:pt idx="49">
                  <c:v>1.1135942789733027</c:v>
                </c:pt>
                <c:pt idx="50">
                  <c:v>1.145135668447534</c:v>
                </c:pt>
                <c:pt idx="51">
                  <c:v>1.3768938182282704</c:v>
                </c:pt>
                <c:pt idx="52">
                  <c:v>1.5364344160900614</c:v>
                </c:pt>
                <c:pt idx="53">
                  <c:v>1.6275855280561933</c:v>
                </c:pt>
                <c:pt idx="54">
                  <c:v>1.7626723129100936</c:v>
                </c:pt>
                <c:pt idx="55">
                  <c:v>1.9402238871837811</c:v>
                </c:pt>
                <c:pt idx="56">
                  <c:v>1.9798383528999475</c:v>
                </c:pt>
                <c:pt idx="57">
                  <c:v>1.938789248525874</c:v>
                </c:pt>
                <c:pt idx="58">
                  <c:v>2.0605838651985215</c:v>
                </c:pt>
                <c:pt idx="59">
                  <c:v>1.9978302159071415</c:v>
                </c:pt>
                <c:pt idx="60">
                  <c:v>2.0067397382154657</c:v>
                </c:pt>
                <c:pt idx="61">
                  <c:v>2.2190864196827467</c:v>
                </c:pt>
                <c:pt idx="62">
                  <c:v>2.4815188187102497</c:v>
                </c:pt>
                <c:pt idx="63">
                  <c:v>2.6483038764471534</c:v>
                </c:pt>
                <c:pt idx="64">
                  <c:v>2.7281665615229063</c:v>
                </c:pt>
                <c:pt idx="65">
                  <c:v>2.8058734214606806</c:v>
                </c:pt>
                <c:pt idx="66">
                  <c:v>2.86858666556371</c:v>
                </c:pt>
                <c:pt idx="67">
                  <c:v>2.7668550299615946</c:v>
                </c:pt>
                <c:pt idx="68">
                  <c:v>2.7171642862979626</c:v>
                </c:pt>
                <c:pt idx="69">
                  <c:v>3.0349193519574049</c:v>
                </c:pt>
                <c:pt idx="70">
                  <c:v>3.2679969129100082</c:v>
                </c:pt>
                <c:pt idx="71">
                  <c:v>3.5271122954480649</c:v>
                </c:pt>
                <c:pt idx="72">
                  <c:v>3.2294957345812412</c:v>
                </c:pt>
                <c:pt idx="73">
                  <c:v>3.3629753950635006</c:v>
                </c:pt>
                <c:pt idx="74">
                  <c:v>3.1423670727684154</c:v>
                </c:pt>
                <c:pt idx="75">
                  <c:v>3.6043480753642063</c:v>
                </c:pt>
                <c:pt idx="76">
                  <c:v>3.7306553329030478</c:v>
                </c:pt>
                <c:pt idx="77">
                  <c:v>3.7238997442591817</c:v>
                </c:pt>
                <c:pt idx="78">
                  <c:v>2.9724571337698587</c:v>
                </c:pt>
                <c:pt idx="79">
                  <c:v>3.5884711129847631</c:v>
                </c:pt>
                <c:pt idx="80">
                  <c:v>2.9800625068092779</c:v>
                </c:pt>
                <c:pt idx="81">
                  <c:v>3.3987701133634323</c:v>
                </c:pt>
                <c:pt idx="82">
                  <c:v>3.3751112445942608</c:v>
                </c:pt>
                <c:pt idx="83">
                  <c:v>3.5575420725319846</c:v>
                </c:pt>
                <c:pt idx="84">
                  <c:v>3.3811201574757748</c:v>
                </c:pt>
                <c:pt idx="85">
                  <c:v>3.1816760114800564</c:v>
                </c:pt>
                <c:pt idx="86">
                  <c:v>3.5014612530186264</c:v>
                </c:pt>
                <c:pt idx="87">
                  <c:v>3.5729385262973112</c:v>
                </c:pt>
                <c:pt idx="88">
                  <c:v>3.9798780523645583</c:v>
                </c:pt>
                <c:pt idx="89">
                  <c:v>3.8152556582484323</c:v>
                </c:pt>
                <c:pt idx="90">
                  <c:v>2.9367028517920333</c:v>
                </c:pt>
                <c:pt idx="91">
                  <c:v>3.4745812134213461</c:v>
                </c:pt>
                <c:pt idx="92">
                  <c:v>3.6599881960716791</c:v>
                </c:pt>
                <c:pt idx="93">
                  <c:v>3.8850645386889502</c:v>
                </c:pt>
                <c:pt idx="94">
                  <c:v>4.2102103303147169</c:v>
                </c:pt>
                <c:pt idx="95">
                  <c:v>4.2366125840133027</c:v>
                </c:pt>
                <c:pt idx="96">
                  <c:v>3.9044298747345616</c:v>
                </c:pt>
                <c:pt idx="97">
                  <c:v>3.8222753575348838</c:v>
                </c:pt>
                <c:pt idx="98">
                  <c:v>3.7779385885874781</c:v>
                </c:pt>
                <c:pt idx="99">
                  <c:v>3.8364219174501084</c:v>
                </c:pt>
                <c:pt idx="100">
                  <c:v>3.5988711445819881</c:v>
                </c:pt>
                <c:pt idx="101">
                  <c:v>4.070868278690706</c:v>
                </c:pt>
                <c:pt idx="102">
                  <c:v>3.9197320944093388</c:v>
                </c:pt>
                <c:pt idx="103">
                  <c:v>3.7095996619197003</c:v>
                </c:pt>
                <c:pt idx="104">
                  <c:v>3.9118409969863617</c:v>
                </c:pt>
                <c:pt idx="105">
                  <c:v>3.5676637054744633</c:v>
                </c:pt>
                <c:pt idx="106">
                  <c:v>3.7249940148753415</c:v>
                </c:pt>
                <c:pt idx="107">
                  <c:v>3.615627256418863</c:v>
                </c:pt>
                <c:pt idx="108">
                  <c:v>3.6823366754421256</c:v>
                </c:pt>
                <c:pt idx="109">
                  <c:v>3.5927666491790324</c:v>
                </c:pt>
                <c:pt idx="110">
                  <c:v>3.5319886129121718</c:v>
                </c:pt>
                <c:pt idx="111">
                  <c:v>3.3999200923905084</c:v>
                </c:pt>
                <c:pt idx="112">
                  <c:v>3.987724586337384</c:v>
                </c:pt>
                <c:pt idx="113">
                  <c:v>4.3124904775273007</c:v>
                </c:pt>
                <c:pt idx="114">
                  <c:v>4.1513575957617554</c:v>
                </c:pt>
                <c:pt idx="115">
                  <c:v>4.3699701540125613</c:v>
                </c:pt>
                <c:pt idx="116">
                  <c:v>4.6557702091286686</c:v>
                </c:pt>
                <c:pt idx="117">
                  <c:v>4.7679917107941181</c:v>
                </c:pt>
                <c:pt idx="118">
                  <c:v>4.2890542592889735</c:v>
                </c:pt>
                <c:pt idx="119">
                  <c:v>4.580963783901332</c:v>
                </c:pt>
                <c:pt idx="120">
                  <c:v>4.0577369045275491</c:v>
                </c:pt>
                <c:pt idx="121">
                  <c:v>3.5492617360652599</c:v>
                </c:pt>
                <c:pt idx="122">
                  <c:v>3.2559538460462392</c:v>
                </c:pt>
                <c:pt idx="123">
                  <c:v>3.8388226085577539</c:v>
                </c:pt>
                <c:pt idx="124">
                  <c:v>4.036816244119473</c:v>
                </c:pt>
                <c:pt idx="125">
                  <c:v>3.4057802001671265</c:v>
                </c:pt>
                <c:pt idx="126">
                  <c:v>3.9184118251187314</c:v>
                </c:pt>
                <c:pt idx="127">
                  <c:v>3.76457826585386</c:v>
                </c:pt>
                <c:pt idx="128">
                  <c:v>3.9869000226232076</c:v>
                </c:pt>
                <c:pt idx="129">
                  <c:v>4.378923418749765</c:v>
                </c:pt>
                <c:pt idx="130">
                  <c:v>4.7206575398120227</c:v>
                </c:pt>
                <c:pt idx="131">
                  <c:v>4.0603978530117395</c:v>
                </c:pt>
                <c:pt idx="132">
                  <c:v>3.9435496659880824</c:v>
                </c:pt>
                <c:pt idx="133">
                  <c:v>4.153523979306331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31-4517-ABF6-67C4E766C2E9}"/>
            </c:ext>
          </c:extLst>
        </c:ser>
        <c:ser>
          <c:idx val="5"/>
          <c:order val="5"/>
          <c:tx>
            <c:strRef>
              <c:f>NN3再投資累積報酬!$B$17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NN3再投資累積報酬!$C$17:$EF$17</c:f>
              <c:numCache>
                <c:formatCode>General</c:formatCode>
                <c:ptCount val="134"/>
                <c:pt idx="0">
                  <c:v>-4.1028984252961864E-2</c:v>
                </c:pt>
                <c:pt idx="1">
                  <c:v>0.3805236351940966</c:v>
                </c:pt>
                <c:pt idx="2">
                  <c:v>0.39071052116249261</c:v>
                </c:pt>
                <c:pt idx="3">
                  <c:v>0.59482762753701124</c:v>
                </c:pt>
                <c:pt idx="4">
                  <c:v>0.4812395912100591</c:v>
                </c:pt>
                <c:pt idx="5">
                  <c:v>0.63676094028510111</c:v>
                </c:pt>
                <c:pt idx="6">
                  <c:v>0.74722537160373781</c:v>
                </c:pt>
                <c:pt idx="7">
                  <c:v>0.54577190551300525</c:v>
                </c:pt>
                <c:pt idx="8">
                  <c:v>8.6945762011435557E-2</c:v>
                </c:pt>
                <c:pt idx="9">
                  <c:v>9.7500972207689163E-2</c:v>
                </c:pt>
                <c:pt idx="10">
                  <c:v>-0.15156659785406768</c:v>
                </c:pt>
                <c:pt idx="11">
                  <c:v>0.192140568407005</c:v>
                </c:pt>
                <c:pt idx="12">
                  <c:v>0.22150544070840672</c:v>
                </c:pt>
                <c:pt idx="13">
                  <c:v>0.31545826886257089</c:v>
                </c:pt>
                <c:pt idx="14">
                  <c:v>0.45546282560540452</c:v>
                </c:pt>
                <c:pt idx="15">
                  <c:v>0.4583377304156484</c:v>
                </c:pt>
                <c:pt idx="16">
                  <c:v>0.37793661712771676</c:v>
                </c:pt>
                <c:pt idx="17">
                  <c:v>0.34554464994435485</c:v>
                </c:pt>
                <c:pt idx="18">
                  <c:v>0.41590349447583197</c:v>
                </c:pt>
                <c:pt idx="19">
                  <c:v>0.25115419983378251</c:v>
                </c:pt>
                <c:pt idx="20">
                  <c:v>0.35017303150662471</c:v>
                </c:pt>
                <c:pt idx="21">
                  <c:v>0.4854414222908221</c:v>
                </c:pt>
                <c:pt idx="22">
                  <c:v>0.48767032911546293</c:v>
                </c:pt>
                <c:pt idx="23">
                  <c:v>0.45552401999153869</c:v>
                </c:pt>
                <c:pt idx="24">
                  <c:v>0.40427532551580003</c:v>
                </c:pt>
                <c:pt idx="25">
                  <c:v>0.32235810302306667</c:v>
                </c:pt>
                <c:pt idx="26">
                  <c:v>0.2684072002481781</c:v>
                </c:pt>
                <c:pt idx="27">
                  <c:v>0.2406127909204161</c:v>
                </c:pt>
                <c:pt idx="28">
                  <c:v>0.31435915697996575</c:v>
                </c:pt>
                <c:pt idx="29">
                  <c:v>0.23361898071423171</c:v>
                </c:pt>
                <c:pt idx="30">
                  <c:v>0.2319515339525049</c:v>
                </c:pt>
                <c:pt idx="31">
                  <c:v>0.27565208155585852</c:v>
                </c:pt>
                <c:pt idx="32">
                  <c:v>0.42217915042494192</c:v>
                </c:pt>
                <c:pt idx="33">
                  <c:v>0.39059616450494161</c:v>
                </c:pt>
                <c:pt idx="34">
                  <c:v>0.37206547946221025</c:v>
                </c:pt>
                <c:pt idx="35">
                  <c:v>0.44166268555603905</c:v>
                </c:pt>
                <c:pt idx="36">
                  <c:v>0.55031989044112084</c:v>
                </c:pt>
                <c:pt idx="37">
                  <c:v>0.72595116644419422</c:v>
                </c:pt>
                <c:pt idx="38">
                  <c:v>0.74775395907459785</c:v>
                </c:pt>
                <c:pt idx="39">
                  <c:v>0.75432214357249716</c:v>
                </c:pt>
                <c:pt idx="40">
                  <c:v>0.64813804614199233</c:v>
                </c:pt>
                <c:pt idx="41">
                  <c:v>0.83591158374360663</c:v>
                </c:pt>
                <c:pt idx="42">
                  <c:v>0.93931666372040223</c:v>
                </c:pt>
                <c:pt idx="43">
                  <c:v>1.0406804917444612</c:v>
                </c:pt>
                <c:pt idx="44">
                  <c:v>1.152010851181628</c:v>
                </c:pt>
                <c:pt idx="45">
                  <c:v>1.1063755182850836</c:v>
                </c:pt>
                <c:pt idx="46">
                  <c:v>1.1241151770741467</c:v>
                </c:pt>
                <c:pt idx="47">
                  <c:v>1.1466103817090199</c:v>
                </c:pt>
                <c:pt idx="48">
                  <c:v>1.2054783737299033</c:v>
                </c:pt>
                <c:pt idx="49">
                  <c:v>0.92944598863716288</c:v>
                </c:pt>
                <c:pt idx="50">
                  <c:v>0.94840314105302359</c:v>
                </c:pt>
                <c:pt idx="51">
                  <c:v>1.1895454303735224</c:v>
                </c:pt>
                <c:pt idx="52">
                  <c:v>1.3731677061516274</c:v>
                </c:pt>
                <c:pt idx="53">
                  <c:v>1.426223387841473</c:v>
                </c:pt>
                <c:pt idx="54">
                  <c:v>1.6138923546146584</c:v>
                </c:pt>
                <c:pt idx="55">
                  <c:v>1.7581726689946708</c:v>
                </c:pt>
                <c:pt idx="56">
                  <c:v>1.6605492543767015</c:v>
                </c:pt>
                <c:pt idx="57">
                  <c:v>1.6965184458654079</c:v>
                </c:pt>
                <c:pt idx="58">
                  <c:v>1.9314174135994464</c:v>
                </c:pt>
                <c:pt idx="59">
                  <c:v>1.9025193123244986</c:v>
                </c:pt>
                <c:pt idx="60">
                  <c:v>1.8623979269876814</c:v>
                </c:pt>
                <c:pt idx="61">
                  <c:v>2.0841850105327024</c:v>
                </c:pt>
                <c:pt idx="62">
                  <c:v>2.3185761949757286</c:v>
                </c:pt>
                <c:pt idx="63">
                  <c:v>2.4742689413863466</c:v>
                </c:pt>
                <c:pt idx="64">
                  <c:v>2.5964923865985861</c:v>
                </c:pt>
                <c:pt idx="65">
                  <c:v>2.725951653374084</c:v>
                </c:pt>
                <c:pt idx="66">
                  <c:v>2.768339981281668</c:v>
                </c:pt>
                <c:pt idx="67">
                  <c:v>2.7319891602246322</c:v>
                </c:pt>
                <c:pt idx="68">
                  <c:v>2.7166750579845318</c:v>
                </c:pt>
                <c:pt idx="69">
                  <c:v>3.1233401842672199</c:v>
                </c:pt>
                <c:pt idx="70">
                  <c:v>3.4166243775414733</c:v>
                </c:pt>
                <c:pt idx="71">
                  <c:v>3.7267169134125373</c:v>
                </c:pt>
                <c:pt idx="72">
                  <c:v>3.346538977094851</c:v>
                </c:pt>
                <c:pt idx="73">
                  <c:v>3.4718191162496845</c:v>
                </c:pt>
                <c:pt idx="74">
                  <c:v>3.0950886236502955</c:v>
                </c:pt>
                <c:pt idx="75">
                  <c:v>3.5888668580596592</c:v>
                </c:pt>
                <c:pt idx="76">
                  <c:v>3.7136692805372666</c:v>
                </c:pt>
                <c:pt idx="77">
                  <c:v>3.6642808326018068</c:v>
                </c:pt>
                <c:pt idx="78">
                  <c:v>2.8482277080108926</c:v>
                </c:pt>
                <c:pt idx="79">
                  <c:v>3.5138161765408142</c:v>
                </c:pt>
                <c:pt idx="80">
                  <c:v>2.723373634800506</c:v>
                </c:pt>
                <c:pt idx="81">
                  <c:v>3.0910426228340189</c:v>
                </c:pt>
                <c:pt idx="82">
                  <c:v>3.0275205741626561</c:v>
                </c:pt>
                <c:pt idx="83">
                  <c:v>3.2636800692683394</c:v>
                </c:pt>
                <c:pt idx="84">
                  <c:v>3.2017237454453795</c:v>
                </c:pt>
                <c:pt idx="85">
                  <c:v>2.9885185283651761</c:v>
                </c:pt>
                <c:pt idx="86">
                  <c:v>3.354419525177037</c:v>
                </c:pt>
                <c:pt idx="87">
                  <c:v>3.3133732654637171</c:v>
                </c:pt>
                <c:pt idx="88">
                  <c:v>3.8938210780858489</c:v>
                </c:pt>
                <c:pt idx="89">
                  <c:v>3.7630676672595627</c:v>
                </c:pt>
                <c:pt idx="90">
                  <c:v>2.7983624803720817</c:v>
                </c:pt>
                <c:pt idx="91">
                  <c:v>3.3611250896106188</c:v>
                </c:pt>
                <c:pt idx="92">
                  <c:v>3.5403147058970035</c:v>
                </c:pt>
                <c:pt idx="93">
                  <c:v>3.7704019218755604</c:v>
                </c:pt>
                <c:pt idx="94">
                  <c:v>4.2323754259445918</c:v>
                </c:pt>
                <c:pt idx="95">
                  <c:v>4.4901225344760514</c:v>
                </c:pt>
                <c:pt idx="96">
                  <c:v>4.0816118082610036</c:v>
                </c:pt>
                <c:pt idx="97">
                  <c:v>4.1013264697799618</c:v>
                </c:pt>
                <c:pt idx="98">
                  <c:v>4.0005148013402554</c:v>
                </c:pt>
                <c:pt idx="99">
                  <c:v>4.0543823196031328</c:v>
                </c:pt>
                <c:pt idx="100">
                  <c:v>3.8047802476888473</c:v>
                </c:pt>
                <c:pt idx="101">
                  <c:v>4.4017686095773891</c:v>
                </c:pt>
                <c:pt idx="102">
                  <c:v>4.164653335556773</c:v>
                </c:pt>
                <c:pt idx="103">
                  <c:v>3.9844946775131902</c:v>
                </c:pt>
                <c:pt idx="104">
                  <c:v>4.2006396578300436</c:v>
                </c:pt>
                <c:pt idx="105">
                  <c:v>3.7578887492055433</c:v>
                </c:pt>
                <c:pt idx="106">
                  <c:v>3.9659198972377583</c:v>
                </c:pt>
                <c:pt idx="107">
                  <c:v>3.9101458118593548</c:v>
                </c:pt>
                <c:pt idx="108">
                  <c:v>3.9011146693992966</c:v>
                </c:pt>
                <c:pt idx="109">
                  <c:v>3.7113109123902959</c:v>
                </c:pt>
                <c:pt idx="110">
                  <c:v>3.6863727926457122</c:v>
                </c:pt>
                <c:pt idx="111">
                  <c:v>3.4739106574233141</c:v>
                </c:pt>
                <c:pt idx="112">
                  <c:v>4.1720036961201972</c:v>
                </c:pt>
                <c:pt idx="113">
                  <c:v>4.5522266558897435</c:v>
                </c:pt>
                <c:pt idx="114">
                  <c:v>4.2621066529067848</c:v>
                </c:pt>
                <c:pt idx="115">
                  <c:v>4.4488537280581344</c:v>
                </c:pt>
                <c:pt idx="116">
                  <c:v>4.7401024266045324</c:v>
                </c:pt>
                <c:pt idx="117">
                  <c:v>4.6452844972768013</c:v>
                </c:pt>
                <c:pt idx="118">
                  <c:v>4.0372734198607425</c:v>
                </c:pt>
                <c:pt idx="119">
                  <c:v>4.3187805124111094</c:v>
                </c:pt>
                <c:pt idx="120">
                  <c:v>3.657570144263496</c:v>
                </c:pt>
                <c:pt idx="121">
                  <c:v>3.2237689529418745</c:v>
                </c:pt>
                <c:pt idx="122">
                  <c:v>2.9207950237531501</c:v>
                </c:pt>
                <c:pt idx="123">
                  <c:v>3.3825290106368886</c:v>
                </c:pt>
                <c:pt idx="124">
                  <c:v>3.5958770239802407</c:v>
                </c:pt>
                <c:pt idx="125">
                  <c:v>3.0005317901553292</c:v>
                </c:pt>
                <c:pt idx="126">
                  <c:v>3.4491452435059244</c:v>
                </c:pt>
                <c:pt idx="127">
                  <c:v>3.3075370807741002</c:v>
                </c:pt>
                <c:pt idx="128">
                  <c:v>3.3584432260434225</c:v>
                </c:pt>
                <c:pt idx="129">
                  <c:v>3.7380651529772511</c:v>
                </c:pt>
                <c:pt idx="130">
                  <c:v>3.8158889022987497</c:v>
                </c:pt>
                <c:pt idx="131">
                  <c:v>3.1978926368878406</c:v>
                </c:pt>
                <c:pt idx="132">
                  <c:v>3.0912100787637717</c:v>
                </c:pt>
                <c:pt idx="133">
                  <c:v>3.2864007584099486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31-4517-ABF6-67C4E766C2E9}"/>
            </c:ext>
          </c:extLst>
        </c:ser>
        <c:ser>
          <c:idx val="6"/>
          <c:order val="6"/>
          <c:tx>
            <c:strRef>
              <c:f>NN3再投資累積報酬!$B$18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0.32626295202060596</c:v>
                </c:pt>
                <c:pt idx="2">
                  <c:v>0.24801256636638147</c:v>
                </c:pt>
                <c:pt idx="3">
                  <c:v>0.51270436422044696</c:v>
                </c:pt>
                <c:pt idx="4">
                  <c:v>0.39048655414808753</c:v>
                </c:pt>
                <c:pt idx="5">
                  <c:v>0.56921908647171637</c:v>
                </c:pt>
                <c:pt idx="6">
                  <c:v>0.65545185396065397</c:v>
                </c:pt>
                <c:pt idx="7">
                  <c:v>0.44825253154718769</c:v>
                </c:pt>
                <c:pt idx="8">
                  <c:v>-7.1209725637535914E-2</c:v>
                </c:pt>
                <c:pt idx="9">
                  <c:v>-5.9151718117020691E-2</c:v>
                </c:pt>
                <c:pt idx="10">
                  <c:v>-0.29766917113849867</c:v>
                </c:pt>
                <c:pt idx="11">
                  <c:v>2.6681264937868487E-2</c:v>
                </c:pt>
                <c:pt idx="12">
                  <c:v>5.1654131529685232E-2</c:v>
                </c:pt>
                <c:pt idx="13">
                  <c:v>0.10904249061382809</c:v>
                </c:pt>
                <c:pt idx="14">
                  <c:v>0.24405329944306575</c:v>
                </c:pt>
                <c:pt idx="15">
                  <c:v>0.26809612098371427</c:v>
                </c:pt>
                <c:pt idx="16">
                  <c:v>0.18058057173432362</c:v>
                </c:pt>
                <c:pt idx="17">
                  <c:v>0.17464444713381044</c:v>
                </c:pt>
                <c:pt idx="18">
                  <c:v>0.207693688434613</c:v>
                </c:pt>
                <c:pt idx="19">
                  <c:v>4.917914928759215E-2</c:v>
                </c:pt>
                <c:pt idx="20">
                  <c:v>0.13027679464376418</c:v>
                </c:pt>
                <c:pt idx="21">
                  <c:v>0.27396075530309605</c:v>
                </c:pt>
                <c:pt idx="22">
                  <c:v>0.3048081960755713</c:v>
                </c:pt>
                <c:pt idx="23">
                  <c:v>0.28274947903374525</c:v>
                </c:pt>
                <c:pt idx="24">
                  <c:v>0.22925209750263131</c:v>
                </c:pt>
                <c:pt idx="25">
                  <c:v>0.15339021711699252</c:v>
                </c:pt>
                <c:pt idx="26">
                  <c:v>6.7209103806636916E-2</c:v>
                </c:pt>
                <c:pt idx="27">
                  <c:v>3.8826047632970262E-2</c:v>
                </c:pt>
                <c:pt idx="28">
                  <c:v>0.11902507192538581</c:v>
                </c:pt>
                <c:pt idx="29">
                  <c:v>8.3357917875683807E-2</c:v>
                </c:pt>
                <c:pt idx="30">
                  <c:v>7.4021144585317389E-2</c:v>
                </c:pt>
                <c:pt idx="31">
                  <c:v>0.11719406762414519</c:v>
                </c:pt>
                <c:pt idx="32">
                  <c:v>0.24911874974338244</c:v>
                </c:pt>
                <c:pt idx="33">
                  <c:v>0.23996590219370328</c:v>
                </c:pt>
                <c:pt idx="34">
                  <c:v>0.27380448151538217</c:v>
                </c:pt>
                <c:pt idx="35">
                  <c:v>0.33434555982655589</c:v>
                </c:pt>
                <c:pt idx="36">
                  <c:v>0.42327089194682022</c:v>
                </c:pt>
                <c:pt idx="37">
                  <c:v>0.53612864488246204</c:v>
                </c:pt>
                <c:pt idx="38">
                  <c:v>0.54446603681743633</c:v>
                </c:pt>
                <c:pt idx="39">
                  <c:v>0.54757725777222754</c:v>
                </c:pt>
                <c:pt idx="40">
                  <c:v>0.42960413520426122</c:v>
                </c:pt>
                <c:pt idx="41">
                  <c:v>0.60765490612183481</c:v>
                </c:pt>
                <c:pt idx="42">
                  <c:v>0.7456343828030918</c:v>
                </c:pt>
                <c:pt idx="43">
                  <c:v>0.82126512678718067</c:v>
                </c:pt>
                <c:pt idx="44">
                  <c:v>0.93887449538916168</c:v>
                </c:pt>
                <c:pt idx="45">
                  <c:v>0.88309548834602314</c:v>
                </c:pt>
                <c:pt idx="46">
                  <c:v>0.92930294991833273</c:v>
                </c:pt>
                <c:pt idx="47">
                  <c:v>0.99413151840094183</c:v>
                </c:pt>
                <c:pt idx="48">
                  <c:v>1.0634939506525778</c:v>
                </c:pt>
                <c:pt idx="49">
                  <c:v>0.75725270692118452</c:v>
                </c:pt>
                <c:pt idx="50">
                  <c:v>0.75836383700520393</c:v>
                </c:pt>
                <c:pt idx="51">
                  <c:v>1.0004132434799295</c:v>
                </c:pt>
                <c:pt idx="52">
                  <c:v>1.1668507711739649</c:v>
                </c:pt>
                <c:pt idx="53">
                  <c:v>1.1148110943476142</c:v>
                </c:pt>
                <c:pt idx="54">
                  <c:v>1.2593821465267436</c:v>
                </c:pt>
                <c:pt idx="55">
                  <c:v>1.3630528486436702</c:v>
                </c:pt>
                <c:pt idx="56">
                  <c:v>1.3233388124390957</c:v>
                </c:pt>
                <c:pt idx="57">
                  <c:v>1.3709762100667833</c:v>
                </c:pt>
                <c:pt idx="58">
                  <c:v>1.6294126333680543</c:v>
                </c:pt>
                <c:pt idx="59">
                  <c:v>1.6450735834274819</c:v>
                </c:pt>
                <c:pt idx="60">
                  <c:v>1.4916507345197849</c:v>
                </c:pt>
                <c:pt idx="61">
                  <c:v>1.6938673121058132</c:v>
                </c:pt>
                <c:pt idx="62">
                  <c:v>1.970726667085168</c:v>
                </c:pt>
                <c:pt idx="63">
                  <c:v>2.1275049536798232</c:v>
                </c:pt>
                <c:pt idx="64">
                  <c:v>2.1907665479530491</c:v>
                </c:pt>
                <c:pt idx="65">
                  <c:v>2.3402780201723132</c:v>
                </c:pt>
                <c:pt idx="66">
                  <c:v>2.3466806120038575</c:v>
                </c:pt>
                <c:pt idx="67">
                  <c:v>2.3274432439823913</c:v>
                </c:pt>
                <c:pt idx="68">
                  <c:v>2.314187957566423</c:v>
                </c:pt>
                <c:pt idx="69">
                  <c:v>2.6961042001760749</c:v>
                </c:pt>
                <c:pt idx="70">
                  <c:v>2.9942964399519401</c:v>
                </c:pt>
                <c:pt idx="71">
                  <c:v>3.317528469615854</c:v>
                </c:pt>
                <c:pt idx="72">
                  <c:v>2.9491954230079096</c:v>
                </c:pt>
                <c:pt idx="73">
                  <c:v>3.0243030963090689</c:v>
                </c:pt>
                <c:pt idx="74">
                  <c:v>2.5290120900222819</c:v>
                </c:pt>
                <c:pt idx="75">
                  <c:v>3.0700801806197191</c:v>
                </c:pt>
                <c:pt idx="76">
                  <c:v>3.2055575406702026</c:v>
                </c:pt>
                <c:pt idx="77">
                  <c:v>3.1021960532389796</c:v>
                </c:pt>
                <c:pt idx="78">
                  <c:v>2.9866230623764469</c:v>
                </c:pt>
                <c:pt idx="79">
                  <c:v>3.7588989991640984</c:v>
                </c:pt>
                <c:pt idx="80">
                  <c:v>2.9121654402008668</c:v>
                </c:pt>
                <c:pt idx="81">
                  <c:v>3.1931277404495271</c:v>
                </c:pt>
                <c:pt idx="82">
                  <c:v>3.1813812845697083</c:v>
                </c:pt>
                <c:pt idx="83">
                  <c:v>3.8615124153910863</c:v>
                </c:pt>
                <c:pt idx="84">
                  <c:v>3.672549609300126</c:v>
                </c:pt>
                <c:pt idx="85">
                  <c:v>3.3813858583252898</c:v>
                </c:pt>
                <c:pt idx="86">
                  <c:v>3.7786364062291904</c:v>
                </c:pt>
                <c:pt idx="87">
                  <c:v>3.6305486380016294</c:v>
                </c:pt>
                <c:pt idx="88">
                  <c:v>4.2957202039024311</c:v>
                </c:pt>
                <c:pt idx="89">
                  <c:v>4.1099132198309487</c:v>
                </c:pt>
                <c:pt idx="90">
                  <c:v>2.9265907964636937</c:v>
                </c:pt>
                <c:pt idx="91">
                  <c:v>3.5659933429633019</c:v>
                </c:pt>
                <c:pt idx="92">
                  <c:v>3.7850538888218885</c:v>
                </c:pt>
                <c:pt idx="93">
                  <c:v>4.0489789370295775</c:v>
                </c:pt>
                <c:pt idx="94">
                  <c:v>4.4429368622937107</c:v>
                </c:pt>
                <c:pt idx="95">
                  <c:v>4.9356066274163828</c:v>
                </c:pt>
                <c:pt idx="96">
                  <c:v>4.5103281810536222</c:v>
                </c:pt>
                <c:pt idx="97">
                  <c:v>5.0119900138382576</c:v>
                </c:pt>
                <c:pt idx="98">
                  <c:v>4.9611521118681665</c:v>
                </c:pt>
                <c:pt idx="99">
                  <c:v>5.3281217436581887</c:v>
                </c:pt>
                <c:pt idx="100">
                  <c:v>5.003125776851939</c:v>
                </c:pt>
                <c:pt idx="101">
                  <c:v>5.8005981938096207</c:v>
                </c:pt>
                <c:pt idx="102">
                  <c:v>5.4783794620977906</c:v>
                </c:pt>
                <c:pt idx="103">
                  <c:v>5.1820894254985594</c:v>
                </c:pt>
                <c:pt idx="104">
                  <c:v>5.4071717685772169</c:v>
                </c:pt>
                <c:pt idx="105">
                  <c:v>4.8788213052909644</c:v>
                </c:pt>
                <c:pt idx="106">
                  <c:v>5.1679032007744947</c:v>
                </c:pt>
                <c:pt idx="107">
                  <c:v>4.9517627333586809</c:v>
                </c:pt>
                <c:pt idx="108">
                  <c:v>4.9064134369712855</c:v>
                </c:pt>
                <c:pt idx="109">
                  <c:v>4.7408093387734853</c:v>
                </c:pt>
                <c:pt idx="110">
                  <c:v>4.6482983247529495</c:v>
                </c:pt>
                <c:pt idx="111">
                  <c:v>4.3929724225616331</c:v>
                </c:pt>
                <c:pt idx="112">
                  <c:v>5.2478320420713125</c:v>
                </c:pt>
                <c:pt idx="113">
                  <c:v>5.7563914684156874</c:v>
                </c:pt>
                <c:pt idx="114">
                  <c:v>5.3070364337935549</c:v>
                </c:pt>
                <c:pt idx="115">
                  <c:v>5.2015697664052443</c:v>
                </c:pt>
                <c:pt idx="116">
                  <c:v>5.4626862880885225</c:v>
                </c:pt>
                <c:pt idx="117">
                  <c:v>5.3295246633887459</c:v>
                </c:pt>
                <c:pt idx="118">
                  <c:v>4.6919688710759635</c:v>
                </c:pt>
                <c:pt idx="119">
                  <c:v>5.1293434860710612</c:v>
                </c:pt>
                <c:pt idx="120">
                  <c:v>4.2239046171115335</c:v>
                </c:pt>
                <c:pt idx="121">
                  <c:v>3.6178408372455699</c:v>
                </c:pt>
                <c:pt idx="122">
                  <c:v>3.1703942900471311</c:v>
                </c:pt>
                <c:pt idx="123">
                  <c:v>3.6109572817840121</c:v>
                </c:pt>
                <c:pt idx="124">
                  <c:v>3.9886347629140486</c:v>
                </c:pt>
                <c:pt idx="125">
                  <c:v>3.2223656098576088</c:v>
                </c:pt>
                <c:pt idx="126">
                  <c:v>3.6337424026207943</c:v>
                </c:pt>
                <c:pt idx="127">
                  <c:v>3.283819046457678</c:v>
                </c:pt>
                <c:pt idx="128">
                  <c:v>3.2565672628097735</c:v>
                </c:pt>
                <c:pt idx="129">
                  <c:v>3.6815700866224237</c:v>
                </c:pt>
                <c:pt idx="130">
                  <c:v>3.6945104867138143</c:v>
                </c:pt>
                <c:pt idx="131">
                  <c:v>3.1758702545135797</c:v>
                </c:pt>
                <c:pt idx="132">
                  <c:v>3.1180187753780864</c:v>
                </c:pt>
                <c:pt idx="133">
                  <c:v>3.3196164549877372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31-4517-ABF6-67C4E766C2E9}"/>
            </c:ext>
          </c:extLst>
        </c:ser>
        <c:ser>
          <c:idx val="7"/>
          <c:order val="7"/>
          <c:tx>
            <c:strRef>
              <c:f>NN3再投資累積報酬!$B$19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0.29779121739985026</c:v>
                </c:pt>
                <c:pt idx="2">
                  <c:v>0.22654495345650938</c:v>
                </c:pt>
                <c:pt idx="3">
                  <c:v>0.51621864591859157</c:v>
                </c:pt>
                <c:pt idx="4">
                  <c:v>0.36836899600659101</c:v>
                </c:pt>
                <c:pt idx="5">
                  <c:v>0.61140544965435373</c:v>
                </c:pt>
                <c:pt idx="6">
                  <c:v>0.68788823967258161</c:v>
                </c:pt>
                <c:pt idx="7">
                  <c:v>0.42418886401848299</c:v>
                </c:pt>
                <c:pt idx="8">
                  <c:v>-0.17160324472989386</c:v>
                </c:pt>
                <c:pt idx="9">
                  <c:v>-0.13594162790716202</c:v>
                </c:pt>
                <c:pt idx="10">
                  <c:v>-0.36192904641201118</c:v>
                </c:pt>
                <c:pt idx="11">
                  <c:v>-2.2236636518787156E-2</c:v>
                </c:pt>
                <c:pt idx="12">
                  <c:v>-4.1593842176278595E-2</c:v>
                </c:pt>
                <c:pt idx="13">
                  <c:v>-1.9756353622322531E-2</c:v>
                </c:pt>
                <c:pt idx="14">
                  <c:v>0.14733822513609107</c:v>
                </c:pt>
                <c:pt idx="15">
                  <c:v>0.19546060716589531</c:v>
                </c:pt>
                <c:pt idx="16">
                  <c:v>0.10138232683477821</c:v>
                </c:pt>
                <c:pt idx="17">
                  <c:v>-1.9247521392239064E-2</c:v>
                </c:pt>
                <c:pt idx="18">
                  <c:v>2.4088849111507216E-2</c:v>
                </c:pt>
                <c:pt idx="19">
                  <c:v>-9.7454581420557074E-2</c:v>
                </c:pt>
                <c:pt idx="20">
                  <c:v>-3.2096241097421152E-2</c:v>
                </c:pt>
                <c:pt idx="21">
                  <c:v>8.6881534209939826E-2</c:v>
                </c:pt>
                <c:pt idx="22">
                  <c:v>0.11303658332307265</c:v>
                </c:pt>
                <c:pt idx="23">
                  <c:v>8.8301304983451345E-2</c:v>
                </c:pt>
                <c:pt idx="24">
                  <c:v>4.3060418902173492E-2</c:v>
                </c:pt>
                <c:pt idx="25">
                  <c:v>-2.0318384872011097E-2</c:v>
                </c:pt>
                <c:pt idx="26">
                  <c:v>-0.10213440519359518</c:v>
                </c:pt>
                <c:pt idx="27">
                  <c:v>-0.13363954693133462</c:v>
                </c:pt>
                <c:pt idx="28">
                  <c:v>-3.3807211862182496E-2</c:v>
                </c:pt>
                <c:pt idx="29">
                  <c:v>-7.1281643416057694E-2</c:v>
                </c:pt>
                <c:pt idx="30">
                  <c:v>-5.3359658929487908E-2</c:v>
                </c:pt>
                <c:pt idx="31">
                  <c:v>1.8015589815445487E-4</c:v>
                </c:pt>
                <c:pt idx="32">
                  <c:v>9.1745311854422917E-2</c:v>
                </c:pt>
                <c:pt idx="33">
                  <c:v>0.10502878621593426</c:v>
                </c:pt>
                <c:pt idx="34">
                  <c:v>0.15924015545315151</c:v>
                </c:pt>
                <c:pt idx="35">
                  <c:v>0.24070105743641612</c:v>
                </c:pt>
                <c:pt idx="36">
                  <c:v>0.29418273187269306</c:v>
                </c:pt>
                <c:pt idx="37">
                  <c:v>0.40233537537281294</c:v>
                </c:pt>
                <c:pt idx="38">
                  <c:v>0.43864590928449609</c:v>
                </c:pt>
                <c:pt idx="39">
                  <c:v>0.45261821234760524</c:v>
                </c:pt>
                <c:pt idx="40">
                  <c:v>0.32442065015141552</c:v>
                </c:pt>
                <c:pt idx="41">
                  <c:v>0.52774247983947076</c:v>
                </c:pt>
                <c:pt idx="42">
                  <c:v>0.67715104280183525</c:v>
                </c:pt>
                <c:pt idx="43">
                  <c:v>0.75982617287507881</c:v>
                </c:pt>
                <c:pt idx="44">
                  <c:v>0.89432742714719593</c:v>
                </c:pt>
                <c:pt idx="45">
                  <c:v>0.79954850377788733</c:v>
                </c:pt>
                <c:pt idx="46">
                  <c:v>0.83977951272987039</c:v>
                </c:pt>
                <c:pt idx="47">
                  <c:v>0.95763967067472811</c:v>
                </c:pt>
                <c:pt idx="48">
                  <c:v>1.0154467545509882</c:v>
                </c:pt>
                <c:pt idx="49">
                  <c:v>0.63880083462221338</c:v>
                </c:pt>
                <c:pt idx="50">
                  <c:v>0.5824852729174177</c:v>
                </c:pt>
                <c:pt idx="51">
                  <c:v>0.83528128035407478</c:v>
                </c:pt>
                <c:pt idx="52">
                  <c:v>0.95284111534920557</c:v>
                </c:pt>
                <c:pt idx="53">
                  <c:v>0.94652486043802586</c:v>
                </c:pt>
                <c:pt idx="54">
                  <c:v>1.0460543242690865</c:v>
                </c:pt>
                <c:pt idx="55">
                  <c:v>1.0738212746114755</c:v>
                </c:pt>
                <c:pt idx="56">
                  <c:v>1.0399274482558463</c:v>
                </c:pt>
                <c:pt idx="57">
                  <c:v>1.0440444333027119</c:v>
                </c:pt>
                <c:pt idx="58">
                  <c:v>1.3052705091243557</c:v>
                </c:pt>
                <c:pt idx="59">
                  <c:v>1.3553117111939121</c:v>
                </c:pt>
                <c:pt idx="60">
                  <c:v>1.2334254463407075</c:v>
                </c:pt>
                <c:pt idx="61">
                  <c:v>1.4120205486530431</c:v>
                </c:pt>
                <c:pt idx="62">
                  <c:v>1.6875953441729616</c:v>
                </c:pt>
                <c:pt idx="63">
                  <c:v>1.8683432463893066</c:v>
                </c:pt>
                <c:pt idx="64">
                  <c:v>1.9421427386707126</c:v>
                </c:pt>
                <c:pt idx="65">
                  <c:v>2.1269646371092121</c:v>
                </c:pt>
                <c:pt idx="66">
                  <c:v>2.1580280428213512</c:v>
                </c:pt>
                <c:pt idx="67">
                  <c:v>2.1791086569563589</c:v>
                </c:pt>
                <c:pt idx="68">
                  <c:v>2.1019951204677101</c:v>
                </c:pt>
                <c:pt idx="69">
                  <c:v>2.5413390022722604</c:v>
                </c:pt>
                <c:pt idx="70">
                  <c:v>2.8102550104544126</c:v>
                </c:pt>
                <c:pt idx="71">
                  <c:v>3.1671053623142669</c:v>
                </c:pt>
                <c:pt idx="72">
                  <c:v>2.7130285532173879</c:v>
                </c:pt>
                <c:pt idx="73">
                  <c:v>2.8395974732477405</c:v>
                </c:pt>
                <c:pt idx="74">
                  <c:v>2.4262658167728888</c:v>
                </c:pt>
                <c:pt idx="75">
                  <c:v>2.6616575585903561</c:v>
                </c:pt>
                <c:pt idx="76">
                  <c:v>2.7920484346716377</c:v>
                </c:pt>
                <c:pt idx="77">
                  <c:v>2.6098739968301516</c:v>
                </c:pt>
                <c:pt idx="78">
                  <c:v>2.520626169553732</c:v>
                </c:pt>
                <c:pt idx="79">
                  <c:v>3.2797407610206655</c:v>
                </c:pt>
                <c:pt idx="80">
                  <c:v>2.4312144103744728</c:v>
                </c:pt>
                <c:pt idx="81">
                  <c:v>2.7053835295201552</c:v>
                </c:pt>
                <c:pt idx="82">
                  <c:v>2.5177668813623937</c:v>
                </c:pt>
                <c:pt idx="83">
                  <c:v>3.0555977921665241</c:v>
                </c:pt>
                <c:pt idx="84">
                  <c:v>2.9052691671568809</c:v>
                </c:pt>
                <c:pt idx="85">
                  <c:v>2.6633748424412382</c:v>
                </c:pt>
                <c:pt idx="86">
                  <c:v>3.0442475643184252</c:v>
                </c:pt>
                <c:pt idx="87">
                  <c:v>2.8693731673499343</c:v>
                </c:pt>
                <c:pt idx="88">
                  <c:v>3.5478586266443157</c:v>
                </c:pt>
                <c:pt idx="89">
                  <c:v>3.1979797894449717</c:v>
                </c:pt>
                <c:pt idx="90">
                  <c:v>2.0542217052692391</c:v>
                </c:pt>
                <c:pt idx="91">
                  <c:v>2.5399425209264583</c:v>
                </c:pt>
                <c:pt idx="92">
                  <c:v>2.5302788029719006</c:v>
                </c:pt>
                <c:pt idx="93">
                  <c:v>2.705713146979615</c:v>
                </c:pt>
                <c:pt idx="94">
                  <c:v>2.9306530881871766</c:v>
                </c:pt>
                <c:pt idx="95">
                  <c:v>3.412631446795336</c:v>
                </c:pt>
                <c:pt idx="96">
                  <c:v>3.0444573770832681</c:v>
                </c:pt>
                <c:pt idx="97">
                  <c:v>3.4569105803072171</c:v>
                </c:pt>
                <c:pt idx="98">
                  <c:v>3.3592961814762186</c:v>
                </c:pt>
                <c:pt idx="99">
                  <c:v>3.6105430240534737</c:v>
                </c:pt>
                <c:pt idx="100">
                  <c:v>3.2835546930806396</c:v>
                </c:pt>
                <c:pt idx="101">
                  <c:v>3.7669616732805142</c:v>
                </c:pt>
                <c:pt idx="102">
                  <c:v>3.4894106845663737</c:v>
                </c:pt>
                <c:pt idx="103">
                  <c:v>3.3290448988202535</c:v>
                </c:pt>
                <c:pt idx="104">
                  <c:v>3.1767516971305358</c:v>
                </c:pt>
                <c:pt idx="105">
                  <c:v>2.7329411888487525</c:v>
                </c:pt>
                <c:pt idx="106">
                  <c:v>2.9346131700222116</c:v>
                </c:pt>
                <c:pt idx="107">
                  <c:v>2.6603979898579491</c:v>
                </c:pt>
                <c:pt idx="108">
                  <c:v>2.6137408187172344</c:v>
                </c:pt>
                <c:pt idx="109">
                  <c:v>2.6131735223746548</c:v>
                </c:pt>
                <c:pt idx="110">
                  <c:v>2.6264209500917981</c:v>
                </c:pt>
                <c:pt idx="111">
                  <c:v>2.4504874922498945</c:v>
                </c:pt>
                <c:pt idx="112">
                  <c:v>2.8788468396298219</c:v>
                </c:pt>
                <c:pt idx="113">
                  <c:v>3.1510154676193629</c:v>
                </c:pt>
                <c:pt idx="114">
                  <c:v>2.8108303893669655</c:v>
                </c:pt>
                <c:pt idx="115">
                  <c:v>2.8202626636848707</c:v>
                </c:pt>
                <c:pt idx="116">
                  <c:v>3.0308606156189333</c:v>
                </c:pt>
                <c:pt idx="117">
                  <c:v>3.1430717718154622</c:v>
                </c:pt>
                <c:pt idx="118">
                  <c:v>2.6438756253828499</c:v>
                </c:pt>
                <c:pt idx="119">
                  <c:v>2.9206729931107129</c:v>
                </c:pt>
                <c:pt idx="120">
                  <c:v>2.222810659274312</c:v>
                </c:pt>
                <c:pt idx="121">
                  <c:v>1.7937627084250658</c:v>
                </c:pt>
                <c:pt idx="122">
                  <c:v>1.39472763058225</c:v>
                </c:pt>
                <c:pt idx="123">
                  <c:v>1.6617989265881397</c:v>
                </c:pt>
                <c:pt idx="124">
                  <c:v>1.8231282686266042</c:v>
                </c:pt>
                <c:pt idx="125">
                  <c:v>1.4325057467664899</c:v>
                </c:pt>
                <c:pt idx="126">
                  <c:v>1.6030476973957342</c:v>
                </c:pt>
                <c:pt idx="127">
                  <c:v>1.3117124415306947</c:v>
                </c:pt>
                <c:pt idx="128">
                  <c:v>1.2468010507508565</c:v>
                </c:pt>
                <c:pt idx="129">
                  <c:v>1.2957201332933241</c:v>
                </c:pt>
                <c:pt idx="130">
                  <c:v>1.2677352056389553</c:v>
                </c:pt>
                <c:pt idx="131">
                  <c:v>0.92545387352610109</c:v>
                </c:pt>
                <c:pt idx="132">
                  <c:v>0.94978014044403247</c:v>
                </c:pt>
                <c:pt idx="133">
                  <c:v>0.98288341968421222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31-4517-ABF6-67C4E766C2E9}"/>
            </c:ext>
          </c:extLst>
        </c:ser>
        <c:ser>
          <c:idx val="8"/>
          <c:order val="8"/>
          <c:tx>
            <c:strRef>
              <c:f>NN3再投資累積報酬!$B$20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0.18947493145954319</c:v>
                </c:pt>
                <c:pt idx="2">
                  <c:v>0.20791177879514877</c:v>
                </c:pt>
                <c:pt idx="3">
                  <c:v>0.42825858489791346</c:v>
                </c:pt>
                <c:pt idx="4">
                  <c:v>0.28491010956868834</c:v>
                </c:pt>
                <c:pt idx="5">
                  <c:v>0.46985015413229969</c:v>
                </c:pt>
                <c:pt idx="6">
                  <c:v>0.51091121432409459</c:v>
                </c:pt>
                <c:pt idx="7">
                  <c:v>0.30964682138425781</c:v>
                </c:pt>
                <c:pt idx="8">
                  <c:v>0.19163630893328443</c:v>
                </c:pt>
                <c:pt idx="9">
                  <c:v>0.30568619407895059</c:v>
                </c:pt>
                <c:pt idx="10">
                  <c:v>-4.5143623837968661E-2</c:v>
                </c:pt>
                <c:pt idx="11">
                  <c:v>0.43229552409357885</c:v>
                </c:pt>
                <c:pt idx="12">
                  <c:v>0.27457898265042191</c:v>
                </c:pt>
                <c:pt idx="13">
                  <c:v>0.32559846076816079</c:v>
                </c:pt>
                <c:pt idx="14">
                  <c:v>0.62362588416217246</c:v>
                </c:pt>
                <c:pt idx="15">
                  <c:v>0.7315477009560023</c:v>
                </c:pt>
                <c:pt idx="16">
                  <c:v>0.63225888125674001</c:v>
                </c:pt>
                <c:pt idx="17">
                  <c:v>0.46765286431146169</c:v>
                </c:pt>
                <c:pt idx="18">
                  <c:v>0.514966556029546</c:v>
                </c:pt>
                <c:pt idx="19">
                  <c:v>0.30849469804163188</c:v>
                </c:pt>
                <c:pt idx="20">
                  <c:v>0.42767876676593097</c:v>
                </c:pt>
                <c:pt idx="21">
                  <c:v>0.64189098919304488</c:v>
                </c:pt>
                <c:pt idx="22">
                  <c:v>0.63391836411648939</c:v>
                </c:pt>
                <c:pt idx="23">
                  <c:v>0.68155909381925905</c:v>
                </c:pt>
                <c:pt idx="24">
                  <c:v>0.64524657619388415</c:v>
                </c:pt>
                <c:pt idx="25">
                  <c:v>0.54583481521277721</c:v>
                </c:pt>
                <c:pt idx="26">
                  <c:v>0.39695694379361179</c:v>
                </c:pt>
                <c:pt idx="27">
                  <c:v>0.34882632496395782</c:v>
                </c:pt>
                <c:pt idx="28">
                  <c:v>0.37217605929629571</c:v>
                </c:pt>
                <c:pt idx="29">
                  <c:v>0.31859988636993508</c:v>
                </c:pt>
                <c:pt idx="30">
                  <c:v>0.31036952822447006</c:v>
                </c:pt>
                <c:pt idx="31">
                  <c:v>0.42853629455123143</c:v>
                </c:pt>
                <c:pt idx="32">
                  <c:v>0.59472757153807754</c:v>
                </c:pt>
                <c:pt idx="33">
                  <c:v>0.62222341097116574</c:v>
                </c:pt>
                <c:pt idx="34">
                  <c:v>0.73085780976431458</c:v>
                </c:pt>
                <c:pt idx="35">
                  <c:v>0.85702601050319638</c:v>
                </c:pt>
                <c:pt idx="36">
                  <c:v>0.91848610759683602</c:v>
                </c:pt>
                <c:pt idx="37">
                  <c:v>1.0632746254006791</c:v>
                </c:pt>
                <c:pt idx="38">
                  <c:v>1.1567101859276105</c:v>
                </c:pt>
                <c:pt idx="39">
                  <c:v>1.1838944738940587</c:v>
                </c:pt>
                <c:pt idx="40">
                  <c:v>1.243847804907348</c:v>
                </c:pt>
                <c:pt idx="41">
                  <c:v>1.6254118907828317</c:v>
                </c:pt>
                <c:pt idx="42">
                  <c:v>1.919709562431029</c:v>
                </c:pt>
                <c:pt idx="43">
                  <c:v>1.9368154802028221</c:v>
                </c:pt>
                <c:pt idx="44">
                  <c:v>2.159110053769929</c:v>
                </c:pt>
                <c:pt idx="45">
                  <c:v>1.9865414121653435</c:v>
                </c:pt>
                <c:pt idx="46">
                  <c:v>2.0070448198879989</c:v>
                </c:pt>
                <c:pt idx="47">
                  <c:v>2.2653083980858963</c:v>
                </c:pt>
                <c:pt idx="48">
                  <c:v>2.391593215704968</c:v>
                </c:pt>
                <c:pt idx="49">
                  <c:v>1.6664623406235255</c:v>
                </c:pt>
                <c:pt idx="50">
                  <c:v>1.5683395532951998</c:v>
                </c:pt>
                <c:pt idx="51">
                  <c:v>1.9989356084776952</c:v>
                </c:pt>
                <c:pt idx="52">
                  <c:v>2.2106771595432519</c:v>
                </c:pt>
                <c:pt idx="53">
                  <c:v>2.0391312785940072</c:v>
                </c:pt>
                <c:pt idx="54">
                  <c:v>2.0210581814006274</c:v>
                </c:pt>
                <c:pt idx="55">
                  <c:v>2.0382437195932588</c:v>
                </c:pt>
                <c:pt idx="56">
                  <c:v>2.0172004100075642</c:v>
                </c:pt>
                <c:pt idx="57">
                  <c:v>1.8011494084156836</c:v>
                </c:pt>
                <c:pt idx="58">
                  <c:v>2.1701875853728874</c:v>
                </c:pt>
                <c:pt idx="59">
                  <c:v>2.2387571952641316</c:v>
                </c:pt>
                <c:pt idx="60">
                  <c:v>2.0469153467148868</c:v>
                </c:pt>
                <c:pt idx="61">
                  <c:v>2.3098404701886954</c:v>
                </c:pt>
                <c:pt idx="62">
                  <c:v>2.7630160867371498</c:v>
                </c:pt>
                <c:pt idx="63">
                  <c:v>3.2091488934952634</c:v>
                </c:pt>
                <c:pt idx="64">
                  <c:v>3.0472577977709525</c:v>
                </c:pt>
                <c:pt idx="65">
                  <c:v>3.2917426072228331</c:v>
                </c:pt>
                <c:pt idx="66">
                  <c:v>3.3580573563410052</c:v>
                </c:pt>
                <c:pt idx="67">
                  <c:v>3.4106749359217439</c:v>
                </c:pt>
                <c:pt idx="68">
                  <c:v>3.4345256879450723</c:v>
                </c:pt>
                <c:pt idx="69">
                  <c:v>4.0899620353319817</c:v>
                </c:pt>
                <c:pt idx="70">
                  <c:v>4.5926209784147405</c:v>
                </c:pt>
                <c:pt idx="71">
                  <c:v>5.2409082712972133</c:v>
                </c:pt>
                <c:pt idx="72">
                  <c:v>4.3952449062730619</c:v>
                </c:pt>
                <c:pt idx="73">
                  <c:v>4.5608445932433312</c:v>
                </c:pt>
                <c:pt idx="74">
                  <c:v>3.9756548603330399</c:v>
                </c:pt>
                <c:pt idx="75">
                  <c:v>4.4248142116898093</c:v>
                </c:pt>
                <c:pt idx="76">
                  <c:v>4.6972311635346218</c:v>
                </c:pt>
                <c:pt idx="77">
                  <c:v>4.4793009618663948</c:v>
                </c:pt>
                <c:pt idx="78">
                  <c:v>4.3366033418089271</c:v>
                </c:pt>
                <c:pt idx="79">
                  <c:v>5.3026752898765546</c:v>
                </c:pt>
                <c:pt idx="80">
                  <c:v>3.7650507045449695</c:v>
                </c:pt>
                <c:pt idx="81">
                  <c:v>4.150819380232031</c:v>
                </c:pt>
                <c:pt idx="82">
                  <c:v>3.6406158423232871</c:v>
                </c:pt>
                <c:pt idx="83">
                  <c:v>3.9741091780024931</c:v>
                </c:pt>
                <c:pt idx="84">
                  <c:v>3.8229227522453106</c:v>
                </c:pt>
                <c:pt idx="85">
                  <c:v>3.2275796249161663</c:v>
                </c:pt>
                <c:pt idx="86">
                  <c:v>3.6121980413244561</c:v>
                </c:pt>
                <c:pt idx="87">
                  <c:v>3.1870228684177313</c:v>
                </c:pt>
                <c:pt idx="88">
                  <c:v>3.9785844202881382</c:v>
                </c:pt>
                <c:pt idx="89">
                  <c:v>4.0889069204999888</c:v>
                </c:pt>
                <c:pt idx="90">
                  <c:v>1.9720675142287813</c:v>
                </c:pt>
                <c:pt idx="91">
                  <c:v>2.5427972206515257</c:v>
                </c:pt>
                <c:pt idx="92">
                  <c:v>2.5644485225370137</c:v>
                </c:pt>
                <c:pt idx="93">
                  <c:v>2.8250676122393474</c:v>
                </c:pt>
                <c:pt idx="94">
                  <c:v>3.1630669463178949</c:v>
                </c:pt>
                <c:pt idx="95">
                  <c:v>3.5397164209771557</c:v>
                </c:pt>
                <c:pt idx="96">
                  <c:v>3.1090441549250203</c:v>
                </c:pt>
                <c:pt idx="97">
                  <c:v>3.4891762497771373</c:v>
                </c:pt>
                <c:pt idx="98">
                  <c:v>3.5338573034558971</c:v>
                </c:pt>
                <c:pt idx="99">
                  <c:v>3.943258047799195</c:v>
                </c:pt>
                <c:pt idx="100">
                  <c:v>3.8815675088522541</c:v>
                </c:pt>
                <c:pt idx="101">
                  <c:v>4.6389995544326439</c:v>
                </c:pt>
                <c:pt idx="102">
                  <c:v>4.3713055700825239</c:v>
                </c:pt>
                <c:pt idx="103">
                  <c:v>4.0656637282112404</c:v>
                </c:pt>
                <c:pt idx="104">
                  <c:v>3.8143406029394527</c:v>
                </c:pt>
                <c:pt idx="105">
                  <c:v>3.1012943244148383</c:v>
                </c:pt>
                <c:pt idx="106">
                  <c:v>2.9915852593370649</c:v>
                </c:pt>
                <c:pt idx="107">
                  <c:v>2.9950145161818535</c:v>
                </c:pt>
                <c:pt idx="108">
                  <c:v>2.978226623753419</c:v>
                </c:pt>
                <c:pt idx="109">
                  <c:v>2.934563948552642</c:v>
                </c:pt>
                <c:pt idx="110">
                  <c:v>2.8445539844104664</c:v>
                </c:pt>
                <c:pt idx="111">
                  <c:v>2.6928480907577907</c:v>
                </c:pt>
                <c:pt idx="112">
                  <c:v>3.0065702389431275</c:v>
                </c:pt>
                <c:pt idx="113">
                  <c:v>3.3103749827752438</c:v>
                </c:pt>
                <c:pt idx="114">
                  <c:v>3.3503909966885637</c:v>
                </c:pt>
                <c:pt idx="115">
                  <c:v>3.6027972309520049</c:v>
                </c:pt>
                <c:pt idx="116">
                  <c:v>3.9057340214047009</c:v>
                </c:pt>
                <c:pt idx="117">
                  <c:v>3.9539599936974632</c:v>
                </c:pt>
                <c:pt idx="118">
                  <c:v>3.026542431113139</c:v>
                </c:pt>
                <c:pt idx="119">
                  <c:v>3.3426769880966116</c:v>
                </c:pt>
                <c:pt idx="120">
                  <c:v>2.4477333479613983</c:v>
                </c:pt>
                <c:pt idx="121">
                  <c:v>1.9876816539615878</c:v>
                </c:pt>
                <c:pt idx="122">
                  <c:v>1.4735939391490622</c:v>
                </c:pt>
                <c:pt idx="123">
                  <c:v>1.7935421143460388</c:v>
                </c:pt>
                <c:pt idx="124">
                  <c:v>1.9864647025281497</c:v>
                </c:pt>
                <c:pt idx="125">
                  <c:v>1.5269483402513289</c:v>
                </c:pt>
                <c:pt idx="126">
                  <c:v>1.6624397961590622</c:v>
                </c:pt>
                <c:pt idx="127">
                  <c:v>1.4375313171035828</c:v>
                </c:pt>
                <c:pt idx="128">
                  <c:v>1.4738920337414463</c:v>
                </c:pt>
                <c:pt idx="129">
                  <c:v>1.5705411406655307</c:v>
                </c:pt>
                <c:pt idx="130">
                  <c:v>1.6580669905125087</c:v>
                </c:pt>
                <c:pt idx="131">
                  <c:v>1.1878048059112203</c:v>
                </c:pt>
                <c:pt idx="132">
                  <c:v>1.1929838451108479</c:v>
                </c:pt>
                <c:pt idx="133">
                  <c:v>1.2374606641054955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1-4517-ABF6-67C4E766C2E9}"/>
            </c:ext>
          </c:extLst>
        </c:ser>
        <c:ser>
          <c:idx val="9"/>
          <c:order val="9"/>
          <c:tx>
            <c:strRef>
              <c:f>NN3再投資累積報酬!$B$21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-9.6241713706486598E-2</c:v>
                </c:pt>
                <c:pt idx="2">
                  <c:v>-9.6494180636009563E-2</c:v>
                </c:pt>
                <c:pt idx="3">
                  <c:v>8.7291098146025536E-2</c:v>
                </c:pt>
                <c:pt idx="4">
                  <c:v>7.9358072217498021E-2</c:v>
                </c:pt>
                <c:pt idx="5">
                  <c:v>0.25439118940156402</c:v>
                </c:pt>
                <c:pt idx="6">
                  <c:v>0.27209225279929972</c:v>
                </c:pt>
                <c:pt idx="7">
                  <c:v>9.8142649570277518E-2</c:v>
                </c:pt>
                <c:pt idx="8">
                  <c:v>4.3758455286946329E-4</c:v>
                </c:pt>
                <c:pt idx="9">
                  <c:v>0.11016518610908621</c:v>
                </c:pt>
                <c:pt idx="10">
                  <c:v>-0.11174015401862003</c:v>
                </c:pt>
                <c:pt idx="11">
                  <c:v>0.40779527060923981</c:v>
                </c:pt>
                <c:pt idx="12">
                  <c:v>0.21172107403225904</c:v>
                </c:pt>
                <c:pt idx="13">
                  <c:v>0.2667661611456984</c:v>
                </c:pt>
                <c:pt idx="14">
                  <c:v>0.61396579494483716</c:v>
                </c:pt>
                <c:pt idx="15">
                  <c:v>0.7509999339027722</c:v>
                </c:pt>
                <c:pt idx="16">
                  <c:v>0.68697761262862822</c:v>
                </c:pt>
                <c:pt idx="17">
                  <c:v>0.4657804991657164</c:v>
                </c:pt>
                <c:pt idx="18">
                  <c:v>0.45137973236592832</c:v>
                </c:pt>
                <c:pt idx="19">
                  <c:v>0.26015974340637915</c:v>
                </c:pt>
                <c:pt idx="20">
                  <c:v>0.41704789096376049</c:v>
                </c:pt>
                <c:pt idx="21">
                  <c:v>0.71151223860640433</c:v>
                </c:pt>
                <c:pt idx="22">
                  <c:v>0.69415123973340132</c:v>
                </c:pt>
                <c:pt idx="23">
                  <c:v>0.76099857766964885</c:v>
                </c:pt>
                <c:pt idx="24">
                  <c:v>0.79532227762105134</c:v>
                </c:pt>
                <c:pt idx="25">
                  <c:v>0.67811000380983644</c:v>
                </c:pt>
                <c:pt idx="26">
                  <c:v>0.41038052035710493</c:v>
                </c:pt>
                <c:pt idx="27">
                  <c:v>0.34451938241706692</c:v>
                </c:pt>
                <c:pt idx="28">
                  <c:v>0.35838354285916973</c:v>
                </c:pt>
                <c:pt idx="29">
                  <c:v>0.28621858868490624</c:v>
                </c:pt>
                <c:pt idx="30">
                  <c:v>0.27262228962851442</c:v>
                </c:pt>
                <c:pt idx="31">
                  <c:v>0.40953272957708342</c:v>
                </c:pt>
                <c:pt idx="32">
                  <c:v>0.5534793926752295</c:v>
                </c:pt>
                <c:pt idx="33">
                  <c:v>0.56153562129777201</c:v>
                </c:pt>
                <c:pt idx="34">
                  <c:v>0.72547907588112315</c:v>
                </c:pt>
                <c:pt idx="35">
                  <c:v>0.83829059199192257</c:v>
                </c:pt>
                <c:pt idx="36">
                  <c:v>0.96427932203747169</c:v>
                </c:pt>
                <c:pt idx="37">
                  <c:v>1.1841922879390756</c:v>
                </c:pt>
                <c:pt idx="38">
                  <c:v>1.2884359132352325</c:v>
                </c:pt>
                <c:pt idx="39">
                  <c:v>1.3317843334291126</c:v>
                </c:pt>
                <c:pt idx="40">
                  <c:v>1.5110181184573936</c:v>
                </c:pt>
                <c:pt idx="41">
                  <c:v>2.0262345366804984</c:v>
                </c:pt>
                <c:pt idx="42">
                  <c:v>2.2212931124706699</c:v>
                </c:pt>
                <c:pt idx="43">
                  <c:v>2.2132627145435699</c:v>
                </c:pt>
                <c:pt idx="44">
                  <c:v>2.3668876208673693</c:v>
                </c:pt>
                <c:pt idx="45">
                  <c:v>2.1799553937752716</c:v>
                </c:pt>
                <c:pt idx="46">
                  <c:v>2.2110904322884184</c:v>
                </c:pt>
                <c:pt idx="47">
                  <c:v>2.4230418350371106</c:v>
                </c:pt>
                <c:pt idx="48">
                  <c:v>2.5839976811923879</c:v>
                </c:pt>
                <c:pt idx="49">
                  <c:v>1.6703962809712443</c:v>
                </c:pt>
                <c:pt idx="50">
                  <c:v>1.4807122072689221</c:v>
                </c:pt>
                <c:pt idx="51">
                  <c:v>2.0397311153193982</c:v>
                </c:pt>
                <c:pt idx="52">
                  <c:v>2.1562171004344215</c:v>
                </c:pt>
                <c:pt idx="53">
                  <c:v>2.0875666535148332</c:v>
                </c:pt>
                <c:pt idx="54">
                  <c:v>2.1071743486646821</c:v>
                </c:pt>
                <c:pt idx="55">
                  <c:v>2.1182890225879327</c:v>
                </c:pt>
                <c:pt idx="56">
                  <c:v>2.2325281309631513</c:v>
                </c:pt>
                <c:pt idx="57">
                  <c:v>1.9858171776236708</c:v>
                </c:pt>
                <c:pt idx="58">
                  <c:v>2.4813720488563771</c:v>
                </c:pt>
                <c:pt idx="59">
                  <c:v>2.5634594115446618</c:v>
                </c:pt>
                <c:pt idx="60">
                  <c:v>2.3195410410871022</c:v>
                </c:pt>
                <c:pt idx="61">
                  <c:v>2.7933095655554552</c:v>
                </c:pt>
                <c:pt idx="62">
                  <c:v>3.3817277602383626</c:v>
                </c:pt>
                <c:pt idx="63">
                  <c:v>3.6606157408382032</c:v>
                </c:pt>
                <c:pt idx="64">
                  <c:v>3.3630016996421785</c:v>
                </c:pt>
                <c:pt idx="65">
                  <c:v>3.8189752089272071</c:v>
                </c:pt>
                <c:pt idx="66">
                  <c:v>4.0818128671582716</c:v>
                </c:pt>
                <c:pt idx="67">
                  <c:v>4.1444404285773189</c:v>
                </c:pt>
                <c:pt idx="68">
                  <c:v>4.1745877382174941</c:v>
                </c:pt>
                <c:pt idx="69">
                  <c:v>4.8588995101019705</c:v>
                </c:pt>
                <c:pt idx="70">
                  <c:v>5.652759666097718</c:v>
                </c:pt>
                <c:pt idx="71">
                  <c:v>6.5984028845496221</c:v>
                </c:pt>
                <c:pt idx="72">
                  <c:v>5.4838752514497413</c:v>
                </c:pt>
                <c:pt idx="73">
                  <c:v>5.4644831523099713</c:v>
                </c:pt>
                <c:pt idx="74">
                  <c:v>5.1388034528945745</c:v>
                </c:pt>
                <c:pt idx="75">
                  <c:v>5.4313968043003706</c:v>
                </c:pt>
                <c:pt idx="76">
                  <c:v>6.0427617433661673</c:v>
                </c:pt>
                <c:pt idx="77">
                  <c:v>5.596099995724015</c:v>
                </c:pt>
                <c:pt idx="78">
                  <c:v>5.288104674271449</c:v>
                </c:pt>
                <c:pt idx="79">
                  <c:v>7.099431359041354</c:v>
                </c:pt>
                <c:pt idx="80">
                  <c:v>3.8995408814371464</c:v>
                </c:pt>
                <c:pt idx="81">
                  <c:v>4.5426824312535157</c:v>
                </c:pt>
                <c:pt idx="82">
                  <c:v>3.7459152406374097</c:v>
                </c:pt>
                <c:pt idx="83">
                  <c:v>4.1260645752129523</c:v>
                </c:pt>
                <c:pt idx="84">
                  <c:v>3.713418343312906</c:v>
                </c:pt>
                <c:pt idx="85">
                  <c:v>3.3098189026945839</c:v>
                </c:pt>
                <c:pt idx="86">
                  <c:v>3.8573837505897979</c:v>
                </c:pt>
                <c:pt idx="87">
                  <c:v>3.2070265776666416</c:v>
                </c:pt>
                <c:pt idx="88">
                  <c:v>4.1557236432228768</c:v>
                </c:pt>
                <c:pt idx="89">
                  <c:v>4.3131737214842696</c:v>
                </c:pt>
                <c:pt idx="90">
                  <c:v>1.5776052125300746</c:v>
                </c:pt>
                <c:pt idx="91">
                  <c:v>2.1516380502797472</c:v>
                </c:pt>
                <c:pt idx="92">
                  <c:v>2.1620009252733534</c:v>
                </c:pt>
                <c:pt idx="93">
                  <c:v>2.449187376282385</c:v>
                </c:pt>
                <c:pt idx="94">
                  <c:v>2.6894108466753921</c:v>
                </c:pt>
                <c:pt idx="95">
                  <c:v>2.9930230643882694</c:v>
                </c:pt>
                <c:pt idx="96">
                  <c:v>2.7427660931041644</c:v>
                </c:pt>
                <c:pt idx="97">
                  <c:v>3.1104016581075387</c:v>
                </c:pt>
                <c:pt idx="98">
                  <c:v>3.3776000330852867</c:v>
                </c:pt>
                <c:pt idx="99">
                  <c:v>3.8246500726218935</c:v>
                </c:pt>
                <c:pt idx="100">
                  <c:v>3.7837277940277749</c:v>
                </c:pt>
                <c:pt idx="101">
                  <c:v>4.9196305163772944</c:v>
                </c:pt>
                <c:pt idx="102">
                  <c:v>4.9266882340819116</c:v>
                </c:pt>
                <c:pt idx="103">
                  <c:v>4.6207263104223042</c:v>
                </c:pt>
                <c:pt idx="104">
                  <c:v>4.3675263090756475</c:v>
                </c:pt>
                <c:pt idx="105">
                  <c:v>5.0187290334659203</c:v>
                </c:pt>
                <c:pt idx="106">
                  <c:v>5.0923868929411444</c:v>
                </c:pt>
                <c:pt idx="107">
                  <c:v>5.2237441199051453</c:v>
                </c:pt>
                <c:pt idx="108">
                  <c:v>5.2725779696451571</c:v>
                </c:pt>
                <c:pt idx="109">
                  <c:v>5.3608759219924558</c:v>
                </c:pt>
                <c:pt idx="110">
                  <c:v>5.5797376221213284</c:v>
                </c:pt>
                <c:pt idx="111">
                  <c:v>5.3302911284173753</c:v>
                </c:pt>
                <c:pt idx="112">
                  <c:v>6.2133838757832969</c:v>
                </c:pt>
                <c:pt idx="113">
                  <c:v>6.9229279395496661</c:v>
                </c:pt>
                <c:pt idx="114">
                  <c:v>6.6865543594842931</c:v>
                </c:pt>
                <c:pt idx="115">
                  <c:v>7.2338186781848695</c:v>
                </c:pt>
                <c:pt idx="116">
                  <c:v>7.9126623830149718</c:v>
                </c:pt>
                <c:pt idx="117">
                  <c:v>8.1289384306978061</c:v>
                </c:pt>
                <c:pt idx="118">
                  <c:v>6.7163156707428451</c:v>
                </c:pt>
                <c:pt idx="119">
                  <c:v>7.1034498565452999</c:v>
                </c:pt>
                <c:pt idx="120">
                  <c:v>5.4759572510898336</c:v>
                </c:pt>
                <c:pt idx="121">
                  <c:v>4.3713480246147105</c:v>
                </c:pt>
                <c:pt idx="122">
                  <c:v>4.2204652794464153</c:v>
                </c:pt>
                <c:pt idx="123">
                  <c:v>4.9527711462360422</c:v>
                </c:pt>
                <c:pt idx="124">
                  <c:v>5.7162013583860913</c:v>
                </c:pt>
                <c:pt idx="125">
                  <c:v>4.4672148190959389</c:v>
                </c:pt>
                <c:pt idx="126">
                  <c:v>4.6016864103917969</c:v>
                </c:pt>
                <c:pt idx="127">
                  <c:v>4.3056705208711872</c:v>
                </c:pt>
                <c:pt idx="128">
                  <c:v>4.1737422514305011</c:v>
                </c:pt>
                <c:pt idx="129">
                  <c:v>4.2172438325294648</c:v>
                </c:pt>
                <c:pt idx="130">
                  <c:v>4.2904785716666005</c:v>
                </c:pt>
                <c:pt idx="131">
                  <c:v>4.0021535399762147</c:v>
                </c:pt>
                <c:pt idx="132">
                  <c:v>4.0743288736281311</c:v>
                </c:pt>
                <c:pt idx="133">
                  <c:v>3.9790773065047089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31-4517-ABF6-67C4E766C2E9}"/>
            </c:ext>
          </c:extLst>
        </c:ser>
        <c:ser>
          <c:idx val="10"/>
          <c:order val="10"/>
          <c:tx>
            <c:strRef>
              <c:f>NN3再投資累積報酬!$B$22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0.21581252499432435</c:v>
                </c:pt>
                <c:pt idx="2">
                  <c:v>0.16593073771836631</c:v>
                </c:pt>
                <c:pt idx="3">
                  <c:v>2.8549781963558285E-3</c:v>
                </c:pt>
                <c:pt idx="4">
                  <c:v>-3.0193931358140635E-2</c:v>
                </c:pt>
                <c:pt idx="5">
                  <c:v>9.023470769328501E-2</c:v>
                </c:pt>
                <c:pt idx="6">
                  <c:v>0.10924550446674219</c:v>
                </c:pt>
                <c:pt idx="7">
                  <c:v>-6.3972247687752448E-3</c:v>
                </c:pt>
                <c:pt idx="8">
                  <c:v>-0.15870338549732799</c:v>
                </c:pt>
                <c:pt idx="9">
                  <c:v>-1.4687404753123245E-2</c:v>
                </c:pt>
                <c:pt idx="10">
                  <c:v>-0.19663797499552749</c:v>
                </c:pt>
                <c:pt idx="11">
                  <c:v>0.41081895266107216</c:v>
                </c:pt>
                <c:pt idx="12">
                  <c:v>0.3170808511837524</c:v>
                </c:pt>
                <c:pt idx="13">
                  <c:v>0.43644904041711152</c:v>
                </c:pt>
                <c:pt idx="14">
                  <c:v>0.61926718856302343</c:v>
                </c:pt>
                <c:pt idx="15">
                  <c:v>0.72726954531363175</c:v>
                </c:pt>
                <c:pt idx="16">
                  <c:v>0.65950160404539848</c:v>
                </c:pt>
                <c:pt idx="17">
                  <c:v>0.4855045748664677</c:v>
                </c:pt>
                <c:pt idx="18">
                  <c:v>0.56347708559545207</c:v>
                </c:pt>
                <c:pt idx="19">
                  <c:v>0.28889157492302608</c:v>
                </c:pt>
                <c:pt idx="20">
                  <c:v>0.492597992411556</c:v>
                </c:pt>
                <c:pt idx="21">
                  <c:v>0.87649770547635342</c:v>
                </c:pt>
                <c:pt idx="22">
                  <c:v>0.745418088816169</c:v>
                </c:pt>
                <c:pt idx="23">
                  <c:v>0.78707444949894678</c:v>
                </c:pt>
                <c:pt idx="24">
                  <c:v>0.79966978039708558</c:v>
                </c:pt>
                <c:pt idx="25">
                  <c:v>0.73078912128131024</c:v>
                </c:pt>
                <c:pt idx="26">
                  <c:v>0.42407065347248407</c:v>
                </c:pt>
                <c:pt idx="27">
                  <c:v>0.40631633361136266</c:v>
                </c:pt>
                <c:pt idx="28">
                  <c:v>0.2865717520798281</c:v>
                </c:pt>
                <c:pt idx="29">
                  <c:v>0.22586831691321452</c:v>
                </c:pt>
                <c:pt idx="30">
                  <c:v>0.16951047613939574</c:v>
                </c:pt>
                <c:pt idx="31">
                  <c:v>0.2933218247481868</c:v>
                </c:pt>
                <c:pt idx="32">
                  <c:v>0.43688534710604543</c:v>
                </c:pt>
                <c:pt idx="33">
                  <c:v>0.45568202260232149</c:v>
                </c:pt>
                <c:pt idx="34">
                  <c:v>0.35630358889866232</c:v>
                </c:pt>
                <c:pt idx="35">
                  <c:v>0.41101818695850301</c:v>
                </c:pt>
                <c:pt idx="36">
                  <c:v>0.52966915907283063</c:v>
                </c:pt>
                <c:pt idx="37">
                  <c:v>0.6996655905762883</c:v>
                </c:pt>
                <c:pt idx="38">
                  <c:v>0.82666013915181003</c:v>
                </c:pt>
                <c:pt idx="39">
                  <c:v>0.86409338947806091</c:v>
                </c:pt>
                <c:pt idx="40">
                  <c:v>1.0121510900218142</c:v>
                </c:pt>
                <c:pt idx="41">
                  <c:v>1.516260691464288</c:v>
                </c:pt>
                <c:pt idx="42">
                  <c:v>1.7246333437076147</c:v>
                </c:pt>
                <c:pt idx="43">
                  <c:v>1.6561459740987794</c:v>
                </c:pt>
                <c:pt idx="44">
                  <c:v>1.7451280645723264</c:v>
                </c:pt>
                <c:pt idx="45">
                  <c:v>1.5809332346481453</c:v>
                </c:pt>
                <c:pt idx="46">
                  <c:v>1.5031196740394339</c:v>
                </c:pt>
                <c:pt idx="47">
                  <c:v>1.2333819065451239</c:v>
                </c:pt>
                <c:pt idx="48">
                  <c:v>1.3935899514458239</c:v>
                </c:pt>
                <c:pt idx="49">
                  <c:v>1.0228138242153229</c:v>
                </c:pt>
                <c:pt idx="50">
                  <c:v>0.9305766994241329</c:v>
                </c:pt>
                <c:pt idx="51">
                  <c:v>1.5134756152122946</c:v>
                </c:pt>
                <c:pt idx="52">
                  <c:v>1.1846201616712069</c:v>
                </c:pt>
                <c:pt idx="53">
                  <c:v>1.1361779977724025</c:v>
                </c:pt>
                <c:pt idx="54">
                  <c:v>1.1836357199341685</c:v>
                </c:pt>
                <c:pt idx="55">
                  <c:v>1.2134179286517806</c:v>
                </c:pt>
                <c:pt idx="56">
                  <c:v>1.3158538306145444</c:v>
                </c:pt>
                <c:pt idx="57">
                  <c:v>1.0195159184732669</c:v>
                </c:pt>
                <c:pt idx="58">
                  <c:v>1.2438613556843845</c:v>
                </c:pt>
                <c:pt idx="59">
                  <c:v>1.3672656863422623</c:v>
                </c:pt>
                <c:pt idx="60">
                  <c:v>1.2682201518674443</c:v>
                </c:pt>
                <c:pt idx="61">
                  <c:v>1.6351735771243145</c:v>
                </c:pt>
                <c:pt idx="62">
                  <c:v>2.1405920676695596</c:v>
                </c:pt>
                <c:pt idx="63">
                  <c:v>2.0924544793692004</c:v>
                </c:pt>
                <c:pt idx="64">
                  <c:v>1.9363336804210785</c:v>
                </c:pt>
                <c:pt idx="65">
                  <c:v>2.1560758268343583</c:v>
                </c:pt>
                <c:pt idx="66">
                  <c:v>2.2439097244916182</c:v>
                </c:pt>
                <c:pt idx="67">
                  <c:v>2.3114271946416154</c:v>
                </c:pt>
                <c:pt idx="68">
                  <c:v>2.2572099178271334</c:v>
                </c:pt>
                <c:pt idx="69">
                  <c:v>2.6823758193158826</c:v>
                </c:pt>
                <c:pt idx="70">
                  <c:v>3.4665332064956447</c:v>
                </c:pt>
                <c:pt idx="71">
                  <c:v>4.1746751238992941</c:v>
                </c:pt>
                <c:pt idx="72">
                  <c:v>3.2708223927444493</c:v>
                </c:pt>
                <c:pt idx="73">
                  <c:v>3.4272944162186842</c:v>
                </c:pt>
                <c:pt idx="74">
                  <c:v>3.4062789952828743</c:v>
                </c:pt>
                <c:pt idx="75">
                  <c:v>3.6145097641801618</c:v>
                </c:pt>
                <c:pt idx="76">
                  <c:v>4.2793624984209702</c:v>
                </c:pt>
                <c:pt idx="77">
                  <c:v>3.4927729727326247</c:v>
                </c:pt>
                <c:pt idx="78">
                  <c:v>3.425445609348289</c:v>
                </c:pt>
                <c:pt idx="79">
                  <c:v>4.9030047009764361</c:v>
                </c:pt>
                <c:pt idx="80">
                  <c:v>2.5808373889392708</c:v>
                </c:pt>
                <c:pt idx="81">
                  <c:v>3.2568987208133962</c:v>
                </c:pt>
                <c:pt idx="82">
                  <c:v>2.3916283236276277</c:v>
                </c:pt>
                <c:pt idx="83">
                  <c:v>2.7847817115391171</c:v>
                </c:pt>
                <c:pt idx="84">
                  <c:v>2.339011081835066</c:v>
                </c:pt>
                <c:pt idx="85">
                  <c:v>1.9938257687063916</c:v>
                </c:pt>
                <c:pt idx="86">
                  <c:v>2.1020925156788475</c:v>
                </c:pt>
                <c:pt idx="87">
                  <c:v>1.3555683722794551</c:v>
                </c:pt>
                <c:pt idx="88">
                  <c:v>2.1103678655619635</c:v>
                </c:pt>
                <c:pt idx="89">
                  <c:v>2.0837842611359227</c:v>
                </c:pt>
                <c:pt idx="90">
                  <c:v>7.9458733925686476E-2</c:v>
                </c:pt>
                <c:pt idx="91">
                  <c:v>0.35947956640136702</c:v>
                </c:pt>
                <c:pt idx="92">
                  <c:v>0.34271204543162237</c:v>
                </c:pt>
                <c:pt idx="93">
                  <c:v>0.5600305556711842</c:v>
                </c:pt>
                <c:pt idx="94">
                  <c:v>0.53631468486484368</c:v>
                </c:pt>
                <c:pt idx="95">
                  <c:v>0.62577816256074947</c:v>
                </c:pt>
                <c:pt idx="96">
                  <c:v>0.43030807080222511</c:v>
                </c:pt>
                <c:pt idx="97">
                  <c:v>0.59083683087283179</c:v>
                </c:pt>
                <c:pt idx="98">
                  <c:v>0.64882482719557122</c:v>
                </c:pt>
                <c:pt idx="99">
                  <c:v>0.65500724966748569</c:v>
                </c:pt>
                <c:pt idx="100">
                  <c:v>0.64178568509599754</c:v>
                </c:pt>
                <c:pt idx="101">
                  <c:v>1.0734447730295313</c:v>
                </c:pt>
                <c:pt idx="102">
                  <c:v>1.0651680918078354</c:v>
                </c:pt>
                <c:pt idx="103">
                  <c:v>0.94459633641778851</c:v>
                </c:pt>
                <c:pt idx="104">
                  <c:v>0.90429499651463119</c:v>
                </c:pt>
                <c:pt idx="105">
                  <c:v>1.1859289960580428</c:v>
                </c:pt>
                <c:pt idx="106">
                  <c:v>1.173924403045965</c:v>
                </c:pt>
                <c:pt idx="107">
                  <c:v>1.2109501949403372</c:v>
                </c:pt>
                <c:pt idx="108">
                  <c:v>1.2816675321752009</c:v>
                </c:pt>
                <c:pt idx="109">
                  <c:v>1.3134861757870451</c:v>
                </c:pt>
                <c:pt idx="110">
                  <c:v>1.4605336688994699</c:v>
                </c:pt>
                <c:pt idx="111">
                  <c:v>1.3369016798194182</c:v>
                </c:pt>
                <c:pt idx="112">
                  <c:v>1.7555218934659838</c:v>
                </c:pt>
                <c:pt idx="113">
                  <c:v>2.0998013392120574</c:v>
                </c:pt>
                <c:pt idx="114">
                  <c:v>1.9030691892098606</c:v>
                </c:pt>
                <c:pt idx="115">
                  <c:v>2.0388263665038231</c:v>
                </c:pt>
                <c:pt idx="116">
                  <c:v>2.4139315001049795</c:v>
                </c:pt>
                <c:pt idx="117">
                  <c:v>2.448846657848704</c:v>
                </c:pt>
                <c:pt idx="118">
                  <c:v>1.9969408182514679</c:v>
                </c:pt>
                <c:pt idx="119">
                  <c:v>1.9786817986312766</c:v>
                </c:pt>
                <c:pt idx="120">
                  <c:v>1.3917298051699576</c:v>
                </c:pt>
                <c:pt idx="121">
                  <c:v>1.2521556074118227</c:v>
                </c:pt>
                <c:pt idx="122">
                  <c:v>1.1226670405383015</c:v>
                </c:pt>
                <c:pt idx="123">
                  <c:v>1.3894971506607585</c:v>
                </c:pt>
                <c:pt idx="124">
                  <c:v>1.5768091720997122</c:v>
                </c:pt>
                <c:pt idx="125">
                  <c:v>1.0036170183843613</c:v>
                </c:pt>
                <c:pt idx="126">
                  <c:v>0.98729331686266719</c:v>
                </c:pt>
                <c:pt idx="127">
                  <c:v>0.78111564769156527</c:v>
                </c:pt>
                <c:pt idx="128">
                  <c:v>0.65546034532028608</c:v>
                </c:pt>
                <c:pt idx="129">
                  <c:v>0.52203565892298354</c:v>
                </c:pt>
                <c:pt idx="130">
                  <c:v>0.55475197001327636</c:v>
                </c:pt>
                <c:pt idx="131">
                  <c:v>0.43439307412470618</c:v>
                </c:pt>
                <c:pt idx="132">
                  <c:v>0.48236822066801599</c:v>
                </c:pt>
                <c:pt idx="133">
                  <c:v>0.43079626505669699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31-4517-ABF6-67C4E766C2E9}"/>
            </c:ext>
          </c:extLst>
        </c:ser>
        <c:ser>
          <c:idx val="11"/>
          <c:order val="11"/>
          <c:tx>
            <c:strRef>
              <c:f>NN3再投資累積報酬!$B$23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0.21021567704895006</c:v>
                </c:pt>
                <c:pt idx="2">
                  <c:v>0.11225940108519805</c:v>
                </c:pt>
                <c:pt idx="3">
                  <c:v>0.10809929183330924</c:v>
                </c:pt>
                <c:pt idx="4">
                  <c:v>5.0229721777424796E-2</c:v>
                </c:pt>
                <c:pt idx="5">
                  <c:v>3.1127649106015509E-2</c:v>
                </c:pt>
                <c:pt idx="6">
                  <c:v>-6.3914656180249496E-3</c:v>
                </c:pt>
                <c:pt idx="7">
                  <c:v>-0.12053473591903119</c:v>
                </c:pt>
                <c:pt idx="8">
                  <c:v>-0.30037612734646313</c:v>
                </c:pt>
                <c:pt idx="9">
                  <c:v>-0.26256598375299212</c:v>
                </c:pt>
                <c:pt idx="10">
                  <c:v>-0.37118040412635378</c:v>
                </c:pt>
                <c:pt idx="11">
                  <c:v>0.2424855470440006</c:v>
                </c:pt>
                <c:pt idx="12">
                  <c:v>8.9784436978906035E-2</c:v>
                </c:pt>
                <c:pt idx="13">
                  <c:v>0.14937551304161323</c:v>
                </c:pt>
                <c:pt idx="14">
                  <c:v>0.48404319647902549</c:v>
                </c:pt>
                <c:pt idx="15">
                  <c:v>0.57727372547440536</c:v>
                </c:pt>
                <c:pt idx="16">
                  <c:v>0.46280676864965176</c:v>
                </c:pt>
                <c:pt idx="17">
                  <c:v>0.33894188559178784</c:v>
                </c:pt>
                <c:pt idx="18">
                  <c:v>0.4182631989054455</c:v>
                </c:pt>
                <c:pt idx="19">
                  <c:v>8.8549336780006094E-2</c:v>
                </c:pt>
                <c:pt idx="20">
                  <c:v>0.37107940383169447</c:v>
                </c:pt>
                <c:pt idx="21">
                  <c:v>0.63783176101864547</c:v>
                </c:pt>
                <c:pt idx="22">
                  <c:v>0.52654122127760439</c:v>
                </c:pt>
                <c:pt idx="23">
                  <c:v>0.58920874038527615</c:v>
                </c:pt>
                <c:pt idx="24">
                  <c:v>0.59970751732469529</c:v>
                </c:pt>
                <c:pt idx="25">
                  <c:v>0.52332317071328704</c:v>
                </c:pt>
                <c:pt idx="26">
                  <c:v>0.16685241627890512</c:v>
                </c:pt>
                <c:pt idx="27">
                  <c:v>0.14933691092676238</c:v>
                </c:pt>
                <c:pt idx="28">
                  <c:v>-0.10548629464406867</c:v>
                </c:pt>
                <c:pt idx="29">
                  <c:v>-0.16533486126845975</c:v>
                </c:pt>
                <c:pt idx="30">
                  <c:v>-0.16705233256921936</c:v>
                </c:pt>
                <c:pt idx="31">
                  <c:v>-9.6941807576681138E-2</c:v>
                </c:pt>
                <c:pt idx="32">
                  <c:v>9.1934257015781728E-2</c:v>
                </c:pt>
                <c:pt idx="33">
                  <c:v>0.11769019110814116</c:v>
                </c:pt>
                <c:pt idx="34">
                  <c:v>0.13843198472178941</c:v>
                </c:pt>
                <c:pt idx="35">
                  <c:v>0.28805805082695257</c:v>
                </c:pt>
                <c:pt idx="36">
                  <c:v>0.29806560369048074</c:v>
                </c:pt>
                <c:pt idx="37">
                  <c:v>0.61260598019479251</c:v>
                </c:pt>
                <c:pt idx="38">
                  <c:v>0.60399957917488845</c:v>
                </c:pt>
                <c:pt idx="39">
                  <c:v>0.33891238750020669</c:v>
                </c:pt>
                <c:pt idx="40">
                  <c:v>0.45864461738870954</c:v>
                </c:pt>
                <c:pt idx="41">
                  <c:v>0.94983450438102524</c:v>
                </c:pt>
                <c:pt idx="42">
                  <c:v>0.92115850671167121</c:v>
                </c:pt>
                <c:pt idx="43">
                  <c:v>0.84156928653569363</c:v>
                </c:pt>
                <c:pt idx="44">
                  <c:v>0.90260906944001351</c:v>
                </c:pt>
                <c:pt idx="45">
                  <c:v>0.85002286840988983</c:v>
                </c:pt>
                <c:pt idx="46">
                  <c:v>0.7537718954361452</c:v>
                </c:pt>
                <c:pt idx="47">
                  <c:v>0.86800760604124916</c:v>
                </c:pt>
                <c:pt idx="48">
                  <c:v>1.1860059770581368</c:v>
                </c:pt>
                <c:pt idx="49">
                  <c:v>1.0466401883603416</c:v>
                </c:pt>
                <c:pt idx="50">
                  <c:v>1.0663836761605499</c:v>
                </c:pt>
                <c:pt idx="51">
                  <c:v>0.96089585553393064</c:v>
                </c:pt>
                <c:pt idx="52">
                  <c:v>0.37100298850293734</c:v>
                </c:pt>
                <c:pt idx="53">
                  <c:v>0.50101641023128796</c:v>
                </c:pt>
                <c:pt idx="54">
                  <c:v>0.39379766367761371</c:v>
                </c:pt>
                <c:pt idx="55">
                  <c:v>0.36195358155073754</c:v>
                </c:pt>
                <c:pt idx="56">
                  <c:v>0.46377523500915707</c:v>
                </c:pt>
                <c:pt idx="57">
                  <c:v>0.16592042238022264</c:v>
                </c:pt>
                <c:pt idx="58">
                  <c:v>0.38874189862668951</c:v>
                </c:pt>
                <c:pt idx="59">
                  <c:v>0.53317566013534057</c:v>
                </c:pt>
                <c:pt idx="60">
                  <c:v>0.53629430552690627</c:v>
                </c:pt>
                <c:pt idx="61">
                  <c:v>0.76602299333712254</c:v>
                </c:pt>
                <c:pt idx="62">
                  <c:v>1.1001204360985448</c:v>
                </c:pt>
                <c:pt idx="63">
                  <c:v>1.085530540814895</c:v>
                </c:pt>
                <c:pt idx="64">
                  <c:v>1.1617044223276607</c:v>
                </c:pt>
                <c:pt idx="65">
                  <c:v>1.3741273320692815</c:v>
                </c:pt>
                <c:pt idx="66">
                  <c:v>1.5451782240849807</c:v>
                </c:pt>
                <c:pt idx="67">
                  <c:v>1.5905952024986312</c:v>
                </c:pt>
                <c:pt idx="68">
                  <c:v>1.4007683321802222</c:v>
                </c:pt>
                <c:pt idx="69">
                  <c:v>1.745638237411268</c:v>
                </c:pt>
                <c:pt idx="70">
                  <c:v>2.3103823499164453</c:v>
                </c:pt>
                <c:pt idx="71">
                  <c:v>2.6860033855039509</c:v>
                </c:pt>
                <c:pt idx="72">
                  <c:v>1.9408692006622301</c:v>
                </c:pt>
                <c:pt idx="73">
                  <c:v>1.9167154898150001</c:v>
                </c:pt>
                <c:pt idx="74">
                  <c:v>1.8869483878491047</c:v>
                </c:pt>
                <c:pt idx="75">
                  <c:v>1.9090905961369051</c:v>
                </c:pt>
                <c:pt idx="76">
                  <c:v>2.5094475421335156</c:v>
                </c:pt>
                <c:pt idx="77">
                  <c:v>1.7457419123083535</c:v>
                </c:pt>
                <c:pt idx="78">
                  <c:v>2.3634202443586045</c:v>
                </c:pt>
                <c:pt idx="79">
                  <c:v>3.0081087135222244</c:v>
                </c:pt>
                <c:pt idx="80">
                  <c:v>2.5406646108102242</c:v>
                </c:pt>
                <c:pt idx="81">
                  <c:v>3.0970266250306588</c:v>
                </c:pt>
                <c:pt idx="82">
                  <c:v>1.4858963557794453</c:v>
                </c:pt>
                <c:pt idx="83">
                  <c:v>1.9338460514776212</c:v>
                </c:pt>
                <c:pt idx="84">
                  <c:v>1.0246488701811378</c:v>
                </c:pt>
                <c:pt idx="85">
                  <c:v>0.98440822972576436</c:v>
                </c:pt>
                <c:pt idx="86">
                  <c:v>1.1751435850804395</c:v>
                </c:pt>
                <c:pt idx="87">
                  <c:v>0.28624720490442823</c:v>
                </c:pt>
                <c:pt idx="88">
                  <c:v>0.78368137641397428</c:v>
                </c:pt>
                <c:pt idx="89">
                  <c:v>0.68913702690225542</c:v>
                </c:pt>
                <c:pt idx="90">
                  <c:v>-0.84615895240073191</c:v>
                </c:pt>
                <c:pt idx="91">
                  <c:v>-0.79825888949128676</c:v>
                </c:pt>
                <c:pt idx="92">
                  <c:v>-0.80011162830530591</c:v>
                </c:pt>
                <c:pt idx="93">
                  <c:v>-0.79779336218427599</c:v>
                </c:pt>
                <c:pt idx="94">
                  <c:v>-0.8052697946923647</c:v>
                </c:pt>
                <c:pt idx="95">
                  <c:v>-0.79637791857006379</c:v>
                </c:pt>
                <c:pt idx="96">
                  <c:v>-0.80066550641703194</c:v>
                </c:pt>
                <c:pt idx="97">
                  <c:v>-0.80509972963304655</c:v>
                </c:pt>
                <c:pt idx="98">
                  <c:v>-0.78543403278436941</c:v>
                </c:pt>
                <c:pt idx="99">
                  <c:v>-0.80446968043115397</c:v>
                </c:pt>
                <c:pt idx="100">
                  <c:v>-0.80015891522756155</c:v>
                </c:pt>
                <c:pt idx="101">
                  <c:v>-0.763788078835833</c:v>
                </c:pt>
                <c:pt idx="102">
                  <c:v>-0.77110642875552526</c:v>
                </c:pt>
                <c:pt idx="103">
                  <c:v>-0.77475846159057782</c:v>
                </c:pt>
                <c:pt idx="104">
                  <c:v>-0.74791181314431099</c:v>
                </c:pt>
                <c:pt idx="105">
                  <c:v>-0.69411340990477222</c:v>
                </c:pt>
                <c:pt idx="106">
                  <c:v>-0.69698728353429507</c:v>
                </c:pt>
                <c:pt idx="107">
                  <c:v>-0.67821803135475445</c:v>
                </c:pt>
                <c:pt idx="108">
                  <c:v>-0.66590343159363108</c:v>
                </c:pt>
                <c:pt idx="109">
                  <c:v>-0.64738998900421307</c:v>
                </c:pt>
                <c:pt idx="110">
                  <c:v>-0.6285325477476047</c:v>
                </c:pt>
                <c:pt idx="111">
                  <c:v>-0.66087176424155492</c:v>
                </c:pt>
                <c:pt idx="112">
                  <c:v>-0.56665067567486038</c:v>
                </c:pt>
                <c:pt idx="113">
                  <c:v>-0.47300342753713609</c:v>
                </c:pt>
                <c:pt idx="114">
                  <c:v>-0.48327844040190526</c:v>
                </c:pt>
                <c:pt idx="115">
                  <c:v>-0.4799211991290504</c:v>
                </c:pt>
                <c:pt idx="116">
                  <c:v>-0.39458079064980722</c:v>
                </c:pt>
                <c:pt idx="117">
                  <c:v>-0.36607267006568156</c:v>
                </c:pt>
                <c:pt idx="118">
                  <c:v>-0.47397407260462898</c:v>
                </c:pt>
                <c:pt idx="119">
                  <c:v>-0.52125644055122744</c:v>
                </c:pt>
                <c:pt idx="120">
                  <c:v>-0.65918082125045874</c:v>
                </c:pt>
                <c:pt idx="121">
                  <c:v>-0.70142713862190331</c:v>
                </c:pt>
                <c:pt idx="122">
                  <c:v>-0.69118991561171783</c:v>
                </c:pt>
                <c:pt idx="123">
                  <c:v>-0.60587445692941722</c:v>
                </c:pt>
                <c:pt idx="124">
                  <c:v>-0.55021280306580733</c:v>
                </c:pt>
                <c:pt idx="125">
                  <c:v>-0.69121803362091483</c:v>
                </c:pt>
                <c:pt idx="126">
                  <c:v>-0.63876313242742888</c:v>
                </c:pt>
                <c:pt idx="127">
                  <c:v>-0.67592465943380509</c:v>
                </c:pt>
                <c:pt idx="128">
                  <c:v>-0.68352387215443189</c:v>
                </c:pt>
                <c:pt idx="129">
                  <c:v>-0.70338383776305669</c:v>
                </c:pt>
                <c:pt idx="130">
                  <c:v>-0.7142353372696818</c:v>
                </c:pt>
                <c:pt idx="131">
                  <c:v>-0.7403616300681678</c:v>
                </c:pt>
                <c:pt idx="132">
                  <c:v>-0.72502980676006512</c:v>
                </c:pt>
                <c:pt idx="133">
                  <c:v>-0.73816850913785825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931-4517-ABF6-67C4E766C2E9}"/>
            </c:ext>
          </c:extLst>
        </c:ser>
        <c:ser>
          <c:idx val="12"/>
          <c:order val="12"/>
          <c:tx>
            <c:strRef>
              <c:f>NN3再投資累積報酬!$B$24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0.28000177514012226</c:v>
                </c:pt>
                <c:pt idx="2">
                  <c:v>0.37139432450241316</c:v>
                </c:pt>
                <c:pt idx="3">
                  <c:v>0.47469665062788158</c:v>
                </c:pt>
                <c:pt idx="4">
                  <c:v>0.80762420047655703</c:v>
                </c:pt>
                <c:pt idx="5">
                  <c:v>0.87243800623742307</c:v>
                </c:pt>
                <c:pt idx="6">
                  <c:v>0.90413293135441797</c:v>
                </c:pt>
                <c:pt idx="7">
                  <c:v>0.68427641492876767</c:v>
                </c:pt>
                <c:pt idx="8">
                  <c:v>0.64803873903488096</c:v>
                </c:pt>
                <c:pt idx="9">
                  <c:v>0.80562956022562582</c:v>
                </c:pt>
                <c:pt idx="10">
                  <c:v>0.41238931119504674</c:v>
                </c:pt>
                <c:pt idx="11">
                  <c:v>2.9109503080983785</c:v>
                </c:pt>
                <c:pt idx="12">
                  <c:v>1.955591723018749</c:v>
                </c:pt>
                <c:pt idx="13">
                  <c:v>1.9607234840149834</c:v>
                </c:pt>
                <c:pt idx="14">
                  <c:v>1.9522939027747905</c:v>
                </c:pt>
                <c:pt idx="15">
                  <c:v>1.8701527494608681</c:v>
                </c:pt>
                <c:pt idx="16">
                  <c:v>1.8384247601026535</c:v>
                </c:pt>
                <c:pt idx="17">
                  <c:v>1.0214789863042908</c:v>
                </c:pt>
                <c:pt idx="18">
                  <c:v>1.5993314696045982</c:v>
                </c:pt>
                <c:pt idx="19">
                  <c:v>1.3428333099144902</c:v>
                </c:pt>
                <c:pt idx="20">
                  <c:v>0.95728607648193864</c:v>
                </c:pt>
                <c:pt idx="21">
                  <c:v>0.95552671809248313</c:v>
                </c:pt>
                <c:pt idx="22">
                  <c:v>0.72024264575088659</c:v>
                </c:pt>
                <c:pt idx="23">
                  <c:v>0.67827810266801669</c:v>
                </c:pt>
                <c:pt idx="24">
                  <c:v>0.70101502544116401</c:v>
                </c:pt>
                <c:pt idx="25">
                  <c:v>0.38760058702266131</c:v>
                </c:pt>
                <c:pt idx="26">
                  <c:v>4.6016395306254676E-2</c:v>
                </c:pt>
                <c:pt idx="27">
                  <c:v>3.7834623583119953E-2</c:v>
                </c:pt>
                <c:pt idx="28">
                  <c:v>-0.14406542106588438</c:v>
                </c:pt>
                <c:pt idx="29">
                  <c:v>-0.16334278824176274</c:v>
                </c:pt>
                <c:pt idx="30">
                  <c:v>-7.4740394217450823E-2</c:v>
                </c:pt>
                <c:pt idx="31">
                  <c:v>-2.2280617192216634E-2</c:v>
                </c:pt>
                <c:pt idx="32">
                  <c:v>0.28121739729096618</c:v>
                </c:pt>
                <c:pt idx="33">
                  <c:v>0.39067846416648555</c:v>
                </c:pt>
                <c:pt idx="34">
                  <c:v>0.39268239995892706</c:v>
                </c:pt>
                <c:pt idx="35">
                  <c:v>0.31653479421742969</c:v>
                </c:pt>
                <c:pt idx="36">
                  <c:v>0.29162690194571494</c:v>
                </c:pt>
                <c:pt idx="37">
                  <c:v>0.57732116555453805</c:v>
                </c:pt>
                <c:pt idx="38">
                  <c:v>0.68156649777627032</c:v>
                </c:pt>
                <c:pt idx="39">
                  <c:v>0.40497119195817222</c:v>
                </c:pt>
                <c:pt idx="40">
                  <c:v>0.47111298259488499</c:v>
                </c:pt>
                <c:pt idx="41">
                  <c:v>0.48529341813289895</c:v>
                </c:pt>
                <c:pt idx="42">
                  <c:v>0.44377044057201798</c:v>
                </c:pt>
                <c:pt idx="43">
                  <c:v>0.48774654398169015</c:v>
                </c:pt>
                <c:pt idx="44">
                  <c:v>0.55334920371694474</c:v>
                </c:pt>
                <c:pt idx="45">
                  <c:v>0.41797178818505287</c:v>
                </c:pt>
                <c:pt idx="46">
                  <c:v>0.42504398134010835</c:v>
                </c:pt>
                <c:pt idx="47">
                  <c:v>0.38861729435251235</c:v>
                </c:pt>
                <c:pt idx="48">
                  <c:v>0.62208176229375733</c:v>
                </c:pt>
                <c:pt idx="49">
                  <c:v>0.68350525177120947</c:v>
                </c:pt>
                <c:pt idx="50">
                  <c:v>0.5929415377891043</c:v>
                </c:pt>
                <c:pt idx="51">
                  <c:v>0.45569523463791684</c:v>
                </c:pt>
                <c:pt idx="52">
                  <c:v>-0.71354248793565023</c:v>
                </c:pt>
                <c:pt idx="53">
                  <c:v>-0.66037734317927876</c:v>
                </c:pt>
                <c:pt idx="54">
                  <c:v>-0.67602184148025057</c:v>
                </c:pt>
                <c:pt idx="55">
                  <c:v>-0.64762472303365004</c:v>
                </c:pt>
                <c:pt idx="56">
                  <c:v>-0.63816839212884924</c:v>
                </c:pt>
                <c:pt idx="57">
                  <c:v>-0.77792778173308674</c:v>
                </c:pt>
                <c:pt idx="58">
                  <c:v>-0.72826597007906457</c:v>
                </c:pt>
                <c:pt idx="59">
                  <c:v>-0.72735611874554196</c:v>
                </c:pt>
                <c:pt idx="60">
                  <c:v>-0.72625912330387443</c:v>
                </c:pt>
                <c:pt idx="61">
                  <c:v>-0.63943829142821484</c:v>
                </c:pt>
                <c:pt idx="62">
                  <c:v>-0.63530156005264682</c:v>
                </c:pt>
                <c:pt idx="63">
                  <c:v>-0.63280361576689947</c:v>
                </c:pt>
                <c:pt idx="64">
                  <c:v>-0.69196251180213086</c:v>
                </c:pt>
                <c:pt idx="65">
                  <c:v>-0.65396572380081419</c:v>
                </c:pt>
                <c:pt idx="66">
                  <c:v>-0.67617061642416765</c:v>
                </c:pt>
                <c:pt idx="67">
                  <c:v>-0.66245442674122157</c:v>
                </c:pt>
                <c:pt idx="68">
                  <c:v>-0.66288807744098821</c:v>
                </c:pt>
                <c:pt idx="69">
                  <c:v>-0.62369183955688667</c:v>
                </c:pt>
                <c:pt idx="70">
                  <c:v>-0.53777066485439273</c:v>
                </c:pt>
                <c:pt idx="71">
                  <c:v>-0.48797541323748628</c:v>
                </c:pt>
                <c:pt idx="72">
                  <c:v>-0.51963690600309564</c:v>
                </c:pt>
                <c:pt idx="73">
                  <c:v>-0.58350600974217204</c:v>
                </c:pt>
                <c:pt idx="74">
                  <c:v>-0.53779759807711891</c:v>
                </c:pt>
                <c:pt idx="75">
                  <c:v>-0.41813667838787283</c:v>
                </c:pt>
                <c:pt idx="76">
                  <c:v>-0.35993584870112694</c:v>
                </c:pt>
                <c:pt idx="77">
                  <c:v>-0.22631479280508493</c:v>
                </c:pt>
                <c:pt idx="78">
                  <c:v>0.113994136653776</c:v>
                </c:pt>
                <c:pt idx="79">
                  <c:v>0.27475052070271899</c:v>
                </c:pt>
                <c:pt idx="80">
                  <c:v>6.8981117247126633E-3</c:v>
                </c:pt>
                <c:pt idx="81">
                  <c:v>0.23014893269862524</c:v>
                </c:pt>
                <c:pt idx="82">
                  <c:v>-0.16819540858029802</c:v>
                </c:pt>
                <c:pt idx="83">
                  <c:v>0.12649407356905673</c:v>
                </c:pt>
                <c:pt idx="84">
                  <c:v>0.49649310305100958</c:v>
                </c:pt>
                <c:pt idx="85">
                  <c:v>0.5161113575657188</c:v>
                </c:pt>
                <c:pt idx="86">
                  <c:v>0.65791337309026887</c:v>
                </c:pt>
                <c:pt idx="87">
                  <c:v>0.89293143599547342</c:v>
                </c:pt>
                <c:pt idx="88">
                  <c:v>1.9332621532549554</c:v>
                </c:pt>
                <c:pt idx="89">
                  <c:v>1.6172361071676375</c:v>
                </c:pt>
                <c:pt idx="90">
                  <c:v>-0.41544873860989728</c:v>
                </c:pt>
                <c:pt idx="91">
                  <c:v>-0.32171933142878839</c:v>
                </c:pt>
                <c:pt idx="92">
                  <c:v>-0.24392923846424863</c:v>
                </c:pt>
                <c:pt idx="93">
                  <c:v>-0.19774477829817871</c:v>
                </c:pt>
                <c:pt idx="94">
                  <c:v>-0.26665467728859693</c:v>
                </c:pt>
                <c:pt idx="95">
                  <c:v>-0.19594624864323151</c:v>
                </c:pt>
                <c:pt idx="96">
                  <c:v>-0.25444224264286974</c:v>
                </c:pt>
                <c:pt idx="97">
                  <c:v>-0.24321112514269194</c:v>
                </c:pt>
                <c:pt idx="98">
                  <c:v>-0.11068440206285701</c:v>
                </c:pt>
                <c:pt idx="99">
                  <c:v>-6.1587783579384214E-2</c:v>
                </c:pt>
                <c:pt idx="100">
                  <c:v>-0.13672354502155959</c:v>
                </c:pt>
                <c:pt idx="101">
                  <c:v>-3.9858204592850499E-2</c:v>
                </c:pt>
                <c:pt idx="102">
                  <c:v>-1.632397302043187E-2</c:v>
                </c:pt>
                <c:pt idx="103">
                  <c:v>-0.20859395078843412</c:v>
                </c:pt>
                <c:pt idx="104">
                  <c:v>-5.7296299309665399E-2</c:v>
                </c:pt>
                <c:pt idx="105">
                  <c:v>8.7296895930083052E-2</c:v>
                </c:pt>
                <c:pt idx="106">
                  <c:v>-0.10413559379892534</c:v>
                </c:pt>
                <c:pt idx="107">
                  <c:v>-0.19790122039163527</c:v>
                </c:pt>
                <c:pt idx="108">
                  <c:v>-0.15049250297276451</c:v>
                </c:pt>
                <c:pt idx="109">
                  <c:v>-0.14977337358331444</c:v>
                </c:pt>
                <c:pt idx="110">
                  <c:v>-2.9147080758910482E-2</c:v>
                </c:pt>
                <c:pt idx="111">
                  <c:v>-0.15777403503800158</c:v>
                </c:pt>
                <c:pt idx="112">
                  <c:v>0.12816943749871035</c:v>
                </c:pt>
                <c:pt idx="113">
                  <c:v>0.36858733823013834</c:v>
                </c:pt>
                <c:pt idx="114">
                  <c:v>0.17501499214218041</c:v>
                </c:pt>
                <c:pt idx="115">
                  <c:v>0.44918661098750889</c:v>
                </c:pt>
                <c:pt idx="116">
                  <c:v>0.71792493929357737</c:v>
                </c:pt>
                <c:pt idx="117">
                  <c:v>0.91440989932843619</c:v>
                </c:pt>
                <c:pt idx="118">
                  <c:v>0.65983674173582085</c:v>
                </c:pt>
                <c:pt idx="119">
                  <c:v>0.62578414493002921</c:v>
                </c:pt>
                <c:pt idx="120">
                  <c:v>0.27418956036069386</c:v>
                </c:pt>
                <c:pt idx="121">
                  <c:v>0.22530799678120017</c:v>
                </c:pt>
                <c:pt idx="122">
                  <c:v>0.16693605483930596</c:v>
                </c:pt>
                <c:pt idx="123">
                  <c:v>0.35157416045285661</c:v>
                </c:pt>
                <c:pt idx="124">
                  <c:v>0.49870259033207254</c:v>
                </c:pt>
                <c:pt idx="125">
                  <c:v>3.1717162579774305E-2</c:v>
                </c:pt>
                <c:pt idx="126">
                  <c:v>0.38642594583798484</c:v>
                </c:pt>
                <c:pt idx="127">
                  <c:v>0.31645416188907394</c:v>
                </c:pt>
                <c:pt idx="128">
                  <c:v>0.41828310538120839</c:v>
                </c:pt>
                <c:pt idx="129">
                  <c:v>0.37632720442190459</c:v>
                </c:pt>
                <c:pt idx="130">
                  <c:v>0.35663207392475149</c:v>
                </c:pt>
                <c:pt idx="131">
                  <c:v>0.28042619030938032</c:v>
                </c:pt>
                <c:pt idx="132">
                  <c:v>0.42566421500192209</c:v>
                </c:pt>
                <c:pt idx="133">
                  <c:v>0.52157816596774897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31-4517-ABF6-67C4E766C2E9}"/>
            </c:ext>
          </c:extLst>
        </c:ser>
        <c:ser>
          <c:idx val="13"/>
          <c:order val="13"/>
          <c:tx>
            <c:strRef>
              <c:f>NN3再投資累積報酬!$B$25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NN3再投資累積報酬!$C$11:$EF$11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NN3再投資累積報酬!$C$25:$EF$25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931-4517-ABF6-67C4E766C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73487"/>
        <c:axId val="127273967"/>
      </c:lineChart>
      <c:catAx>
        <c:axId val="12727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73967"/>
        <c:crosses val="autoZero"/>
        <c:auto val="1"/>
        <c:lblAlgn val="ctr"/>
        <c:lblOffset val="100"/>
        <c:noMultiLvlLbl val="0"/>
      </c:catAx>
      <c:valAx>
        <c:axId val="1272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7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RF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0.19934197579322305</c:v>
                </c:pt>
                <c:pt idx="2">
                  <c:v>0.19258794743486513</c:v>
                </c:pt>
                <c:pt idx="3">
                  <c:v>0.20600905182442358</c:v>
                </c:pt>
                <c:pt idx="4">
                  <c:v>0.21391339857035194</c:v>
                </c:pt>
                <c:pt idx="5">
                  <c:v>0.25244391082023987</c:v>
                </c:pt>
                <c:pt idx="6">
                  <c:v>0.26525369951340538</c:v>
                </c:pt>
                <c:pt idx="7">
                  <c:v>0.23584557667441552</c:v>
                </c:pt>
                <c:pt idx="8">
                  <c:v>0.22485717282159343</c:v>
                </c:pt>
                <c:pt idx="9">
                  <c:v>0.22257994204063017</c:v>
                </c:pt>
                <c:pt idx="10">
                  <c:v>0.22218346503270711</c:v>
                </c:pt>
                <c:pt idx="11">
                  <c:v>0.29151045181105995</c:v>
                </c:pt>
                <c:pt idx="12">
                  <c:v>0.30875119086611252</c:v>
                </c:pt>
                <c:pt idx="13">
                  <c:v>0.30898116215404708</c:v>
                </c:pt>
                <c:pt idx="14">
                  <c:v>0.34425104760652547</c:v>
                </c:pt>
                <c:pt idx="15">
                  <c:v>0.35091393140176236</c:v>
                </c:pt>
                <c:pt idx="16">
                  <c:v>0.33444153665983034</c:v>
                </c:pt>
                <c:pt idx="17">
                  <c:v>0.32670173659081736</c:v>
                </c:pt>
                <c:pt idx="18">
                  <c:v>0.31052313770793849</c:v>
                </c:pt>
                <c:pt idx="19">
                  <c:v>0.31672760777728293</c:v>
                </c:pt>
                <c:pt idx="20">
                  <c:v>0.38076702276266394</c:v>
                </c:pt>
                <c:pt idx="21">
                  <c:v>0.40784091318721105</c:v>
                </c:pt>
                <c:pt idx="22">
                  <c:v>0.42328128160077183</c:v>
                </c:pt>
                <c:pt idx="23">
                  <c:v>0.42844718921057534</c:v>
                </c:pt>
                <c:pt idx="24">
                  <c:v>0.38904352780946355</c:v>
                </c:pt>
                <c:pt idx="25">
                  <c:v>0.38533210939413015</c:v>
                </c:pt>
                <c:pt idx="26">
                  <c:v>0.39049948915458671</c:v>
                </c:pt>
                <c:pt idx="27">
                  <c:v>0.3846523791553495</c:v>
                </c:pt>
                <c:pt idx="28">
                  <c:v>0.32633541608425065</c:v>
                </c:pt>
                <c:pt idx="29">
                  <c:v>0.30590326478038571</c:v>
                </c:pt>
                <c:pt idx="30">
                  <c:v>0.31798239274358708</c:v>
                </c:pt>
                <c:pt idx="31">
                  <c:v>0.30457658809395383</c:v>
                </c:pt>
                <c:pt idx="32">
                  <c:v>0.32782304727281841</c:v>
                </c:pt>
                <c:pt idx="33">
                  <c:v>0.34888530996649197</c:v>
                </c:pt>
                <c:pt idx="34">
                  <c:v>0.35838881782051696</c:v>
                </c:pt>
                <c:pt idx="35">
                  <c:v>0.37624782084243902</c:v>
                </c:pt>
                <c:pt idx="36">
                  <c:v>0.40633393645503696</c:v>
                </c:pt>
                <c:pt idx="37">
                  <c:v>0.4755671707684655</c:v>
                </c:pt>
                <c:pt idx="38">
                  <c:v>0.47779596380813855</c:v>
                </c:pt>
                <c:pt idx="39">
                  <c:v>0.47316202728030943</c:v>
                </c:pt>
                <c:pt idx="40">
                  <c:v>0.4655400908917256</c:v>
                </c:pt>
                <c:pt idx="41">
                  <c:v>0.47906635034169198</c:v>
                </c:pt>
                <c:pt idx="42">
                  <c:v>0.49816606879639258</c:v>
                </c:pt>
                <c:pt idx="43">
                  <c:v>0.51200097350406382</c:v>
                </c:pt>
                <c:pt idx="44">
                  <c:v>0.53270963218493927</c:v>
                </c:pt>
                <c:pt idx="45">
                  <c:v>0.49134954743991427</c:v>
                </c:pt>
                <c:pt idx="46">
                  <c:v>0.49197102445793034</c:v>
                </c:pt>
                <c:pt idx="47">
                  <c:v>0.48331293921567342</c:v>
                </c:pt>
                <c:pt idx="48">
                  <c:v>0.50826823228334672</c:v>
                </c:pt>
                <c:pt idx="49">
                  <c:v>0.50596820621168903</c:v>
                </c:pt>
                <c:pt idx="50">
                  <c:v>0.51090609439493084</c:v>
                </c:pt>
                <c:pt idx="51">
                  <c:v>0.52618069964739023</c:v>
                </c:pt>
                <c:pt idx="52">
                  <c:v>0.53845348868586673</c:v>
                </c:pt>
                <c:pt idx="53">
                  <c:v>0.55208404562751934</c:v>
                </c:pt>
                <c:pt idx="54">
                  <c:v>0.57069285546690462</c:v>
                </c:pt>
                <c:pt idx="55">
                  <c:v>0.63848520795010477</c:v>
                </c:pt>
                <c:pt idx="56">
                  <c:v>0.6721560703913676</c:v>
                </c:pt>
                <c:pt idx="57">
                  <c:v>0.68637943040268956</c:v>
                </c:pt>
                <c:pt idx="58">
                  <c:v>0.73640068343368037</c:v>
                </c:pt>
                <c:pt idx="59">
                  <c:v>0.7356046901137625</c:v>
                </c:pt>
                <c:pt idx="60">
                  <c:v>0.71432002515362858</c:v>
                </c:pt>
                <c:pt idx="61">
                  <c:v>0.73902927098377724</c:v>
                </c:pt>
                <c:pt idx="62">
                  <c:v>0.73386017902754741</c:v>
                </c:pt>
                <c:pt idx="63">
                  <c:v>0.74537671453964394</c:v>
                </c:pt>
                <c:pt idx="64">
                  <c:v>0.76962302479588085</c:v>
                </c:pt>
                <c:pt idx="65">
                  <c:v>0.75911403949058676</c:v>
                </c:pt>
                <c:pt idx="66">
                  <c:v>0.77301078910933341</c:v>
                </c:pt>
                <c:pt idx="67">
                  <c:v>0.77074978065593458</c:v>
                </c:pt>
                <c:pt idx="68">
                  <c:v>0.78961307404033054</c:v>
                </c:pt>
                <c:pt idx="69">
                  <c:v>0.81164454271777475</c:v>
                </c:pt>
                <c:pt idx="70">
                  <c:v>0.8204260598578712</c:v>
                </c:pt>
                <c:pt idx="71">
                  <c:v>0.84348851559106219</c:v>
                </c:pt>
                <c:pt idx="72">
                  <c:v>0.81400474687153268</c:v>
                </c:pt>
                <c:pt idx="73">
                  <c:v>0.82548190887548278</c:v>
                </c:pt>
                <c:pt idx="74">
                  <c:v>0.79211110854391131</c:v>
                </c:pt>
                <c:pt idx="75">
                  <c:v>0.83746805423518433</c:v>
                </c:pt>
                <c:pt idx="76">
                  <c:v>0.85204861178858715</c:v>
                </c:pt>
                <c:pt idx="77">
                  <c:v>0.85399185392035004</c:v>
                </c:pt>
                <c:pt idx="78">
                  <c:v>0.83722088952623985</c:v>
                </c:pt>
                <c:pt idx="79">
                  <c:v>0.94815452311069237</c:v>
                </c:pt>
                <c:pt idx="80">
                  <c:v>0.95977393155292157</c:v>
                </c:pt>
                <c:pt idx="81">
                  <c:v>0.98754151496669373</c:v>
                </c:pt>
                <c:pt idx="82">
                  <c:v>1.0293987490167569</c:v>
                </c:pt>
                <c:pt idx="83">
                  <c:v>1.0926961213947168</c:v>
                </c:pt>
                <c:pt idx="84">
                  <c:v>1.0580402089825112</c:v>
                </c:pt>
                <c:pt idx="85">
                  <c:v>1.0734853894612</c:v>
                </c:pt>
                <c:pt idx="86">
                  <c:v>1.0862885336160348</c:v>
                </c:pt>
                <c:pt idx="87">
                  <c:v>1.2043041412856452</c:v>
                </c:pt>
                <c:pt idx="88">
                  <c:v>1.1890844151183044</c:v>
                </c:pt>
                <c:pt idx="89">
                  <c:v>1.1620007139037452</c:v>
                </c:pt>
                <c:pt idx="90">
                  <c:v>1.1347345870236394</c:v>
                </c:pt>
                <c:pt idx="91">
                  <c:v>1.1800336084911331</c:v>
                </c:pt>
                <c:pt idx="92">
                  <c:v>1.2166058034010667</c:v>
                </c:pt>
                <c:pt idx="93">
                  <c:v>1.2187236818317191</c:v>
                </c:pt>
                <c:pt idx="94">
                  <c:v>1.2035220341446735</c:v>
                </c:pt>
                <c:pt idx="95">
                  <c:v>1.2026979981211425</c:v>
                </c:pt>
                <c:pt idx="96">
                  <c:v>1.2383217137833378</c:v>
                </c:pt>
                <c:pt idx="97">
                  <c:v>1.2464343401588749</c:v>
                </c:pt>
                <c:pt idx="98">
                  <c:v>1.2519822649034071</c:v>
                </c:pt>
                <c:pt idx="99">
                  <c:v>1.3129721474403988</c:v>
                </c:pt>
                <c:pt idx="100">
                  <c:v>1.3069892052289083</c:v>
                </c:pt>
                <c:pt idx="101">
                  <c:v>1.384781532568409</c:v>
                </c:pt>
                <c:pt idx="102">
                  <c:v>1.3903853166387694</c:v>
                </c:pt>
                <c:pt idx="103">
                  <c:v>1.3674034406846425</c:v>
                </c:pt>
                <c:pt idx="104">
                  <c:v>1.4013766435594173</c:v>
                </c:pt>
                <c:pt idx="105">
                  <c:v>1.4262656216166578</c:v>
                </c:pt>
                <c:pt idx="106">
                  <c:v>1.427463729997879</c:v>
                </c:pt>
                <c:pt idx="107">
                  <c:v>1.4206292042618385</c:v>
                </c:pt>
                <c:pt idx="108">
                  <c:v>1.4196814953225216</c:v>
                </c:pt>
                <c:pt idx="109">
                  <c:v>1.415858813351089</c:v>
                </c:pt>
                <c:pt idx="110">
                  <c:v>1.3614156403589566</c:v>
                </c:pt>
                <c:pt idx="111">
                  <c:v>1.369478238613727</c:v>
                </c:pt>
                <c:pt idx="112">
                  <c:v>1.3535322854867107</c:v>
                </c:pt>
                <c:pt idx="113">
                  <c:v>1.3531776094640668</c:v>
                </c:pt>
                <c:pt idx="114">
                  <c:v>1.3483372602189869</c:v>
                </c:pt>
                <c:pt idx="115">
                  <c:v>1.3907476256050517</c:v>
                </c:pt>
                <c:pt idx="116">
                  <c:v>1.4133473592853805</c:v>
                </c:pt>
                <c:pt idx="117">
                  <c:v>1.4459318088856776</c:v>
                </c:pt>
                <c:pt idx="118">
                  <c:v>1.4231619439766416</c:v>
                </c:pt>
                <c:pt idx="119">
                  <c:v>1.4419408872560286</c:v>
                </c:pt>
                <c:pt idx="120">
                  <c:v>1.4062147318043308</c:v>
                </c:pt>
                <c:pt idx="121">
                  <c:v>1.3609168484099303</c:v>
                </c:pt>
                <c:pt idx="122">
                  <c:v>1.3746694964963129</c:v>
                </c:pt>
                <c:pt idx="123">
                  <c:v>1.4232203209738437</c:v>
                </c:pt>
                <c:pt idx="124">
                  <c:v>1.466945885193881</c:v>
                </c:pt>
                <c:pt idx="125">
                  <c:v>1.4167938046515194</c:v>
                </c:pt>
                <c:pt idx="126">
                  <c:v>1.4321510747700144</c:v>
                </c:pt>
                <c:pt idx="127">
                  <c:v>1.4280153492898369</c:v>
                </c:pt>
                <c:pt idx="128">
                  <c:v>1.4920192906130338</c:v>
                </c:pt>
                <c:pt idx="129">
                  <c:v>1.4948476173878866</c:v>
                </c:pt>
                <c:pt idx="130">
                  <c:v>1.521499126967552</c:v>
                </c:pt>
                <c:pt idx="131">
                  <c:v>1.4609909741590679</c:v>
                </c:pt>
                <c:pt idx="132">
                  <c:v>1.4729080704315554</c:v>
                </c:pt>
                <c:pt idx="133">
                  <c:v>1.512141418470351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E-4D2F-B7A9-25ADAEC53C56}"/>
            </c:ext>
          </c:extLst>
        </c:ser>
        <c:ser>
          <c:idx val="1"/>
          <c:order val="1"/>
          <c:tx>
            <c:strRef>
              <c:f>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0.19336115955418123</c:v>
                </c:pt>
                <c:pt idx="3">
                  <c:v>0.18190591967880443</c:v>
                </c:pt>
                <c:pt idx="4">
                  <c:v>0.16699793992150103</c:v>
                </c:pt>
                <c:pt idx="5">
                  <c:v>0.1969875716472223</c:v>
                </c:pt>
                <c:pt idx="6">
                  <c:v>0.22611816657091993</c:v>
                </c:pt>
                <c:pt idx="7">
                  <c:v>0.18221893949350781</c:v>
                </c:pt>
                <c:pt idx="8">
                  <c:v>0.1368879492512888</c:v>
                </c:pt>
                <c:pt idx="9">
                  <c:v>0.10775228021384334</c:v>
                </c:pt>
                <c:pt idx="10">
                  <c:v>0.13343938236007866</c:v>
                </c:pt>
                <c:pt idx="11">
                  <c:v>0.23324629931674923</c:v>
                </c:pt>
                <c:pt idx="12">
                  <c:v>0.27303559094338165</c:v>
                </c:pt>
                <c:pt idx="13">
                  <c:v>0.28982721868147227</c:v>
                </c:pt>
                <c:pt idx="14">
                  <c:v>0.36305158716902969</c:v>
                </c:pt>
                <c:pt idx="15">
                  <c:v>0.37721153165506621</c:v>
                </c:pt>
                <c:pt idx="16">
                  <c:v>0.3649678604461532</c:v>
                </c:pt>
                <c:pt idx="17">
                  <c:v>0.34286384002698095</c:v>
                </c:pt>
                <c:pt idx="18">
                  <c:v>0.34446085626016676</c:v>
                </c:pt>
                <c:pt idx="19">
                  <c:v>0.32436652824629225</c:v>
                </c:pt>
                <c:pt idx="20">
                  <c:v>0.39984309010644248</c:v>
                </c:pt>
                <c:pt idx="21">
                  <c:v>0.45311998483238614</c:v>
                </c:pt>
                <c:pt idx="22">
                  <c:v>0.46704097739003481</c:v>
                </c:pt>
                <c:pt idx="23">
                  <c:v>0.48762473855916305</c:v>
                </c:pt>
                <c:pt idx="24">
                  <c:v>0.45550522822069178</c:v>
                </c:pt>
                <c:pt idx="25">
                  <c:v>0.43946912953547085</c:v>
                </c:pt>
                <c:pt idx="26">
                  <c:v>0.44750056933142124</c:v>
                </c:pt>
                <c:pt idx="27">
                  <c:v>0.44092152412888047</c:v>
                </c:pt>
                <c:pt idx="28">
                  <c:v>0.37520214210127001</c:v>
                </c:pt>
                <c:pt idx="29">
                  <c:v>0.34326167826696879</c:v>
                </c:pt>
                <c:pt idx="30">
                  <c:v>0.34654398844792128</c:v>
                </c:pt>
                <c:pt idx="31">
                  <c:v>0.3369026492084049</c:v>
                </c:pt>
                <c:pt idx="32">
                  <c:v>0.35681255942881834</c:v>
                </c:pt>
                <c:pt idx="33">
                  <c:v>0.37669888345999603</c:v>
                </c:pt>
                <c:pt idx="34">
                  <c:v>0.38001732823143658</c:v>
                </c:pt>
                <c:pt idx="35">
                  <c:v>0.40316875682660763</c:v>
                </c:pt>
                <c:pt idx="36">
                  <c:v>0.44945120036343655</c:v>
                </c:pt>
                <c:pt idx="37">
                  <c:v>0.5547814384994707</c:v>
                </c:pt>
                <c:pt idx="38">
                  <c:v>0.56409262639888569</c:v>
                </c:pt>
                <c:pt idx="39">
                  <c:v>0.55750463649124293</c:v>
                </c:pt>
                <c:pt idx="40">
                  <c:v>0.55145534772234328</c:v>
                </c:pt>
                <c:pt idx="41">
                  <c:v>0.56214453325827896</c:v>
                </c:pt>
                <c:pt idx="42">
                  <c:v>0.60345765174251309</c:v>
                </c:pt>
                <c:pt idx="43">
                  <c:v>0.64392073959695284</c:v>
                </c:pt>
                <c:pt idx="44">
                  <c:v>0.68489686607293165</c:v>
                </c:pt>
                <c:pt idx="45">
                  <c:v>0.67542139343337859</c:v>
                </c:pt>
                <c:pt idx="46">
                  <c:v>0.67950140701644202</c:v>
                </c:pt>
                <c:pt idx="47">
                  <c:v>0.6676204387310094</c:v>
                </c:pt>
                <c:pt idx="48">
                  <c:v>0.68518478507963432</c:v>
                </c:pt>
                <c:pt idx="49">
                  <c:v>0.6770813176101349</c:v>
                </c:pt>
                <c:pt idx="50">
                  <c:v>0.68362225521719588</c:v>
                </c:pt>
                <c:pt idx="51">
                  <c:v>0.72649762971400678</c:v>
                </c:pt>
                <c:pt idx="52">
                  <c:v>0.73778139682566446</c:v>
                </c:pt>
                <c:pt idx="53">
                  <c:v>0.74112582520934578</c:v>
                </c:pt>
                <c:pt idx="54">
                  <c:v>0.76851763151498731</c:v>
                </c:pt>
                <c:pt idx="55">
                  <c:v>0.85244704682248407</c:v>
                </c:pt>
                <c:pt idx="56">
                  <c:v>0.89901350916119571</c:v>
                </c:pt>
                <c:pt idx="57">
                  <c:v>0.90748923897281475</c:v>
                </c:pt>
                <c:pt idx="58">
                  <c:v>0.95989837142951617</c:v>
                </c:pt>
                <c:pt idx="59">
                  <c:v>0.94305128543925132</c:v>
                </c:pt>
                <c:pt idx="60">
                  <c:v>0.9246602605595019</c:v>
                </c:pt>
                <c:pt idx="61">
                  <c:v>0.9566081207726771</c:v>
                </c:pt>
                <c:pt idx="62">
                  <c:v>0.97352673639155873</c:v>
                </c:pt>
                <c:pt idx="63">
                  <c:v>0.984579278266835</c:v>
                </c:pt>
                <c:pt idx="64">
                  <c:v>1.015457994500309</c:v>
                </c:pt>
                <c:pt idx="65">
                  <c:v>1.0248906901949606</c:v>
                </c:pt>
                <c:pt idx="66">
                  <c:v>1.0665437539843863</c:v>
                </c:pt>
                <c:pt idx="67">
                  <c:v>1.0598623365008288</c:v>
                </c:pt>
                <c:pt idx="68">
                  <c:v>1.0672818083410485</c:v>
                </c:pt>
                <c:pt idx="69">
                  <c:v>1.1056253139575212</c:v>
                </c:pt>
                <c:pt idx="70">
                  <c:v>1.123331868994075</c:v>
                </c:pt>
                <c:pt idx="71">
                  <c:v>1.1439854658702837</c:v>
                </c:pt>
                <c:pt idx="72">
                  <c:v>1.1457487036809608</c:v>
                </c:pt>
                <c:pt idx="73">
                  <c:v>1.1668267712049873</c:v>
                </c:pt>
                <c:pt idx="74">
                  <c:v>1.1523143735344969</c:v>
                </c:pt>
                <c:pt idx="75">
                  <c:v>1.228452496593547</c:v>
                </c:pt>
                <c:pt idx="76">
                  <c:v>1.2524651703856717</c:v>
                </c:pt>
                <c:pt idx="77">
                  <c:v>1.2458693436604515</c:v>
                </c:pt>
                <c:pt idx="78">
                  <c:v>1.2333384314478182</c:v>
                </c:pt>
                <c:pt idx="79">
                  <c:v>1.3384242643401456</c:v>
                </c:pt>
                <c:pt idx="80">
                  <c:v>1.3476452486655595</c:v>
                </c:pt>
                <c:pt idx="81">
                  <c:v>1.3921595153906288</c:v>
                </c:pt>
                <c:pt idx="82">
                  <c:v>1.4326085783595839</c:v>
                </c:pt>
                <c:pt idx="83">
                  <c:v>1.4909431901867911</c:v>
                </c:pt>
                <c:pt idx="84">
                  <c:v>1.4390896810525278</c:v>
                </c:pt>
                <c:pt idx="85">
                  <c:v>1.4359835930805767</c:v>
                </c:pt>
                <c:pt idx="86">
                  <c:v>1.4680288623170406</c:v>
                </c:pt>
                <c:pt idx="87">
                  <c:v>1.5494822284192213</c:v>
                </c:pt>
                <c:pt idx="88">
                  <c:v>1.5391854246628263</c:v>
                </c:pt>
                <c:pt idx="89">
                  <c:v>1.5122978586639739</c:v>
                </c:pt>
                <c:pt idx="90">
                  <c:v>1.4988404001007465</c:v>
                </c:pt>
                <c:pt idx="91">
                  <c:v>1.5685669403784808</c:v>
                </c:pt>
                <c:pt idx="92">
                  <c:v>1.6067518905746405</c:v>
                </c:pt>
                <c:pt idx="93">
                  <c:v>1.615031671572289</c:v>
                </c:pt>
                <c:pt idx="94">
                  <c:v>1.6258647226875635</c:v>
                </c:pt>
                <c:pt idx="95">
                  <c:v>1.6339355220039422</c:v>
                </c:pt>
                <c:pt idx="96">
                  <c:v>1.6710969242862534</c:v>
                </c:pt>
                <c:pt idx="97">
                  <c:v>1.6681436121129956</c:v>
                </c:pt>
                <c:pt idx="98">
                  <c:v>1.6741206429692417</c:v>
                </c:pt>
                <c:pt idx="99">
                  <c:v>1.7341538982092948</c:v>
                </c:pt>
                <c:pt idx="100">
                  <c:v>1.7210351580942822</c:v>
                </c:pt>
                <c:pt idx="101">
                  <c:v>1.7782593784477674</c:v>
                </c:pt>
                <c:pt idx="102">
                  <c:v>1.7726757015219461</c:v>
                </c:pt>
                <c:pt idx="103">
                  <c:v>1.7309141318051615</c:v>
                </c:pt>
                <c:pt idx="104">
                  <c:v>1.7606896976834545</c:v>
                </c:pt>
                <c:pt idx="105">
                  <c:v>1.7713872982841903</c:v>
                </c:pt>
                <c:pt idx="106">
                  <c:v>1.7773162554102653</c:v>
                </c:pt>
                <c:pt idx="107">
                  <c:v>1.7487974586166306</c:v>
                </c:pt>
                <c:pt idx="108">
                  <c:v>1.7471668014437407</c:v>
                </c:pt>
                <c:pt idx="109">
                  <c:v>1.7584625693256557</c:v>
                </c:pt>
                <c:pt idx="110">
                  <c:v>1.712485544230979</c:v>
                </c:pt>
                <c:pt idx="111">
                  <c:v>1.7091537880514682</c:v>
                </c:pt>
                <c:pt idx="112">
                  <c:v>1.7215628622700958</c:v>
                </c:pt>
                <c:pt idx="113">
                  <c:v>1.7052626157787814</c:v>
                </c:pt>
                <c:pt idx="114">
                  <c:v>1.6986037467303374</c:v>
                </c:pt>
                <c:pt idx="115">
                  <c:v>1.7101033246528505</c:v>
                </c:pt>
                <c:pt idx="116">
                  <c:v>1.7569947370409822</c:v>
                </c:pt>
                <c:pt idx="117">
                  <c:v>1.8057813728972516</c:v>
                </c:pt>
                <c:pt idx="118">
                  <c:v>1.7793512914801228</c:v>
                </c:pt>
                <c:pt idx="119">
                  <c:v>1.7931225007524347</c:v>
                </c:pt>
                <c:pt idx="120">
                  <c:v>1.7542348729127648</c:v>
                </c:pt>
                <c:pt idx="121">
                  <c:v>1.7188085718651001</c:v>
                </c:pt>
                <c:pt idx="122">
                  <c:v>1.7375137355022447</c:v>
                </c:pt>
                <c:pt idx="123">
                  <c:v>1.8171338795264333</c:v>
                </c:pt>
                <c:pt idx="124">
                  <c:v>1.8615516691507836</c:v>
                </c:pt>
                <c:pt idx="125">
                  <c:v>1.7970282895722876</c:v>
                </c:pt>
                <c:pt idx="126">
                  <c:v>1.832414334226121</c:v>
                </c:pt>
                <c:pt idx="127">
                  <c:v>1.8178055197389027</c:v>
                </c:pt>
                <c:pt idx="128">
                  <c:v>1.8910483887815848</c:v>
                </c:pt>
                <c:pt idx="129">
                  <c:v>1.9124216069809712</c:v>
                </c:pt>
                <c:pt idx="130">
                  <c:v>1.9540813604162002</c:v>
                </c:pt>
                <c:pt idx="131">
                  <c:v>1.8883992667569651</c:v>
                </c:pt>
                <c:pt idx="132">
                  <c:v>1.8963518603319296</c:v>
                </c:pt>
                <c:pt idx="133">
                  <c:v>1.9629290756954858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E-4D2F-B7A9-25ADAEC53C56}"/>
            </c:ext>
          </c:extLst>
        </c:ser>
        <c:ser>
          <c:idx val="2"/>
          <c:order val="2"/>
          <c:tx>
            <c:strRef>
              <c:f>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0.2947239950260761</c:v>
                </c:pt>
                <c:pt idx="3">
                  <c:v>0.32926645919177572</c:v>
                </c:pt>
                <c:pt idx="4">
                  <c:v>0.28824654269385025</c:v>
                </c:pt>
                <c:pt idx="5">
                  <c:v>0.34783434912929034</c:v>
                </c:pt>
                <c:pt idx="6">
                  <c:v>0.4249493115606553</c:v>
                </c:pt>
                <c:pt idx="7">
                  <c:v>0.31985492477794708</c:v>
                </c:pt>
                <c:pt idx="8">
                  <c:v>0.18567622106389359</c:v>
                </c:pt>
                <c:pt idx="9">
                  <c:v>0.19052341825160041</c:v>
                </c:pt>
                <c:pt idx="10">
                  <c:v>0.11457187526755563</c:v>
                </c:pt>
                <c:pt idx="11">
                  <c:v>0.31940445040878152</c:v>
                </c:pt>
                <c:pt idx="12">
                  <c:v>0.35904675847831591</c:v>
                </c:pt>
                <c:pt idx="13">
                  <c:v>0.40682652276112319</c:v>
                </c:pt>
                <c:pt idx="14">
                  <c:v>0.46506446891575803</c:v>
                </c:pt>
                <c:pt idx="15">
                  <c:v>0.45091267261023343</c:v>
                </c:pt>
                <c:pt idx="16">
                  <c:v>0.48944677213625115</c:v>
                </c:pt>
                <c:pt idx="17">
                  <c:v>0.47208604090169148</c:v>
                </c:pt>
                <c:pt idx="18">
                  <c:v>0.50866517042139336</c:v>
                </c:pt>
                <c:pt idx="19">
                  <c:v>0.4702896241568888</c:v>
                </c:pt>
                <c:pt idx="20">
                  <c:v>0.58645541468878548</c:v>
                </c:pt>
                <c:pt idx="21">
                  <c:v>0.64003712320296868</c:v>
                </c:pt>
                <c:pt idx="22">
                  <c:v>0.62327445984627927</c:v>
                </c:pt>
                <c:pt idx="23">
                  <c:v>0.64452666094973021</c:v>
                </c:pt>
                <c:pt idx="24">
                  <c:v>0.60507648064764807</c:v>
                </c:pt>
                <c:pt idx="25">
                  <c:v>0.53009356787552786</c:v>
                </c:pt>
                <c:pt idx="26">
                  <c:v>0.50080148410996417</c:v>
                </c:pt>
                <c:pt idx="27">
                  <c:v>0.51372159072118251</c:v>
                </c:pt>
                <c:pt idx="28">
                  <c:v>0.50970268389830198</c:v>
                </c:pt>
                <c:pt idx="29">
                  <c:v>0.46928198135590288</c:v>
                </c:pt>
                <c:pt idx="30">
                  <c:v>0.47567218236979592</c:v>
                </c:pt>
                <c:pt idx="31">
                  <c:v>0.47042190443928988</c:v>
                </c:pt>
                <c:pt idx="32">
                  <c:v>0.48138647512186378</c:v>
                </c:pt>
                <c:pt idx="33">
                  <c:v>0.57768145183064801</c:v>
                </c:pt>
                <c:pt idx="34">
                  <c:v>0.56617198889347287</c:v>
                </c:pt>
                <c:pt idx="35">
                  <c:v>0.60414117861593364</c:v>
                </c:pt>
                <c:pt idx="36">
                  <c:v>0.66538334499455887</c:v>
                </c:pt>
                <c:pt idx="37">
                  <c:v>0.76397801176410263</c:v>
                </c:pt>
                <c:pt idx="38">
                  <c:v>0.82488371722951259</c:v>
                </c:pt>
                <c:pt idx="39">
                  <c:v>0.83193854576627746</c:v>
                </c:pt>
                <c:pt idx="40">
                  <c:v>0.83157057802851753</c:v>
                </c:pt>
                <c:pt idx="41">
                  <c:v>0.8692164177907804</c:v>
                </c:pt>
                <c:pt idx="42">
                  <c:v>0.95459340374382717</c:v>
                </c:pt>
                <c:pt idx="43">
                  <c:v>0.98909998342897165</c:v>
                </c:pt>
                <c:pt idx="44">
                  <c:v>1.0290916324322754</c:v>
                </c:pt>
                <c:pt idx="45">
                  <c:v>1.0104087469986582</c:v>
                </c:pt>
                <c:pt idx="46">
                  <c:v>0.99204581549270077</c:v>
                </c:pt>
                <c:pt idx="47">
                  <c:v>0.99286740353982783</c:v>
                </c:pt>
                <c:pt idx="48">
                  <c:v>1.0079355223115893</c:v>
                </c:pt>
                <c:pt idx="49">
                  <c:v>0.95458695313943331</c:v>
                </c:pt>
                <c:pt idx="50">
                  <c:v>0.97220859868367648</c:v>
                </c:pt>
                <c:pt idx="51">
                  <c:v>1.0339428806853512</c:v>
                </c:pt>
                <c:pt idx="52">
                  <c:v>1.0241218817300739</c:v>
                </c:pt>
                <c:pt idx="53">
                  <c:v>1.0674496633974793</c:v>
                </c:pt>
                <c:pt idx="54">
                  <c:v>1.1112367259329663</c:v>
                </c:pt>
                <c:pt idx="55">
                  <c:v>1.152007247478656</c:v>
                </c:pt>
                <c:pt idx="56">
                  <c:v>1.1933815115525888</c:v>
                </c:pt>
                <c:pt idx="57">
                  <c:v>1.1987242671211895</c:v>
                </c:pt>
                <c:pt idx="58">
                  <c:v>1.2489094800120433</c:v>
                </c:pt>
                <c:pt idx="59">
                  <c:v>1.22889225634081</c:v>
                </c:pt>
                <c:pt idx="60">
                  <c:v>1.2232985046837372</c:v>
                </c:pt>
                <c:pt idx="61">
                  <c:v>1.2830362715261077</c:v>
                </c:pt>
                <c:pt idx="62">
                  <c:v>1.3222934867325347</c:v>
                </c:pt>
                <c:pt idx="63">
                  <c:v>1.3432300248050861</c:v>
                </c:pt>
                <c:pt idx="64">
                  <c:v>1.3768390704823505</c:v>
                </c:pt>
                <c:pt idx="65">
                  <c:v>1.3925128039753096</c:v>
                </c:pt>
                <c:pt idx="66">
                  <c:v>1.4083563278452604</c:v>
                </c:pt>
                <c:pt idx="67">
                  <c:v>1.3804268983126424</c:v>
                </c:pt>
                <c:pt idx="68">
                  <c:v>1.3389329431680645</c:v>
                </c:pt>
                <c:pt idx="69">
                  <c:v>1.4129459055043758</c:v>
                </c:pt>
                <c:pt idx="70">
                  <c:v>1.4040910701463449</c:v>
                </c:pt>
                <c:pt idx="71">
                  <c:v>1.4298182521627723</c:v>
                </c:pt>
                <c:pt idx="72">
                  <c:v>1.4423262004203656</c:v>
                </c:pt>
                <c:pt idx="73">
                  <c:v>1.4972969605423188</c:v>
                </c:pt>
                <c:pt idx="74">
                  <c:v>1.4907006671773537</c:v>
                </c:pt>
                <c:pt idx="75">
                  <c:v>1.550734724006136</c:v>
                </c:pt>
                <c:pt idx="76">
                  <c:v>1.5841898822442917</c:v>
                </c:pt>
                <c:pt idx="77">
                  <c:v>1.6063174987864666</c:v>
                </c:pt>
                <c:pt idx="78">
                  <c:v>1.5935234180012881</c:v>
                </c:pt>
                <c:pt idx="79">
                  <c:v>1.6915401279334858</c:v>
                </c:pt>
                <c:pt idx="80">
                  <c:v>1.619383408721788</c:v>
                </c:pt>
                <c:pt idx="81">
                  <c:v>1.7117140920038496</c:v>
                </c:pt>
                <c:pt idx="82">
                  <c:v>1.7647811202996886</c:v>
                </c:pt>
                <c:pt idx="83">
                  <c:v>1.8294425125779057</c:v>
                </c:pt>
                <c:pt idx="84">
                  <c:v>1.7235577352145468</c:v>
                </c:pt>
                <c:pt idx="85">
                  <c:v>1.6948898802703722</c:v>
                </c:pt>
                <c:pt idx="86">
                  <c:v>1.7089062446610184</c:v>
                </c:pt>
                <c:pt idx="87">
                  <c:v>1.7711761995398549</c:v>
                </c:pt>
                <c:pt idx="88">
                  <c:v>1.8032162099081721</c:v>
                </c:pt>
                <c:pt idx="89">
                  <c:v>1.7801895212372461</c:v>
                </c:pt>
                <c:pt idx="90">
                  <c:v>1.706601801198353</c:v>
                </c:pt>
                <c:pt idx="91">
                  <c:v>1.8064111326801058</c:v>
                </c:pt>
                <c:pt idx="92">
                  <c:v>1.8596227607717803</c:v>
                </c:pt>
                <c:pt idx="93">
                  <c:v>1.9155318983962817</c:v>
                </c:pt>
                <c:pt idx="94">
                  <c:v>1.9745590186599373</c:v>
                </c:pt>
                <c:pt idx="95">
                  <c:v>1.9936595952106222</c:v>
                </c:pt>
                <c:pt idx="96">
                  <c:v>1.9497424925134075</c:v>
                </c:pt>
                <c:pt idx="97">
                  <c:v>1.9724882076516628</c:v>
                </c:pt>
                <c:pt idx="98">
                  <c:v>1.9690898251881921</c:v>
                </c:pt>
                <c:pt idx="99">
                  <c:v>2.0053892340764312</c:v>
                </c:pt>
                <c:pt idx="100">
                  <c:v>1.9766301137849569</c:v>
                </c:pt>
                <c:pt idx="101">
                  <c:v>2.0406936771353403</c:v>
                </c:pt>
                <c:pt idx="102">
                  <c:v>2.0163893879647556</c:v>
                </c:pt>
                <c:pt idx="103">
                  <c:v>1.9928283147765649</c:v>
                </c:pt>
                <c:pt idx="104">
                  <c:v>2.0164609239814122</c:v>
                </c:pt>
                <c:pt idx="105">
                  <c:v>1.9997023741889957</c:v>
                </c:pt>
                <c:pt idx="106">
                  <c:v>2.0050866737967601</c:v>
                </c:pt>
                <c:pt idx="107">
                  <c:v>1.9692300432396976</c:v>
                </c:pt>
                <c:pt idx="108">
                  <c:v>1.9806765996330149</c:v>
                </c:pt>
                <c:pt idx="109">
                  <c:v>1.9854514368759264</c:v>
                </c:pt>
                <c:pt idx="110">
                  <c:v>1.9268536171670094</c:v>
                </c:pt>
                <c:pt idx="111">
                  <c:v>1.9278773414343069</c:v>
                </c:pt>
                <c:pt idx="112">
                  <c:v>1.9469484045519627</c:v>
                </c:pt>
                <c:pt idx="113">
                  <c:v>1.9317832429970743</c:v>
                </c:pt>
                <c:pt idx="114">
                  <c:v>1.9372875120907247</c:v>
                </c:pt>
                <c:pt idx="115">
                  <c:v>1.9799500079839889</c:v>
                </c:pt>
                <c:pt idx="116">
                  <c:v>2.021325653146786</c:v>
                </c:pt>
                <c:pt idx="117">
                  <c:v>2.0648653695044379</c:v>
                </c:pt>
                <c:pt idx="118">
                  <c:v>1.975497509463626</c:v>
                </c:pt>
                <c:pt idx="119">
                  <c:v>2.0281200289226256</c:v>
                </c:pt>
                <c:pt idx="120">
                  <c:v>1.9930751226517087</c:v>
                </c:pt>
                <c:pt idx="121">
                  <c:v>1.9485581690542535</c:v>
                </c:pt>
                <c:pt idx="122">
                  <c:v>1.9036432204352716</c:v>
                </c:pt>
                <c:pt idx="123">
                  <c:v>2.0119055749653789</c:v>
                </c:pt>
                <c:pt idx="124">
                  <c:v>2.1102499419831569</c:v>
                </c:pt>
                <c:pt idx="125">
                  <c:v>2.0083184364307356</c:v>
                </c:pt>
                <c:pt idx="126">
                  <c:v>2.0463155163775841</c:v>
                </c:pt>
                <c:pt idx="127">
                  <c:v>2.0244339430591221</c:v>
                </c:pt>
                <c:pt idx="128">
                  <c:v>2.1025392089470585</c:v>
                </c:pt>
                <c:pt idx="129">
                  <c:v>2.1357165420596491</c:v>
                </c:pt>
                <c:pt idx="130">
                  <c:v>2.141795924207782</c:v>
                </c:pt>
                <c:pt idx="131">
                  <c:v>2.039166215021595</c:v>
                </c:pt>
                <c:pt idx="132">
                  <c:v>2.0580333718664874</c:v>
                </c:pt>
                <c:pt idx="133">
                  <c:v>2.1279897923650455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E-4D2F-B7A9-25ADAEC53C56}"/>
            </c:ext>
          </c:extLst>
        </c:ser>
        <c:ser>
          <c:idx val="3"/>
          <c:order val="3"/>
          <c:tx>
            <c:strRef>
              <c:f>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0.59015544811570042</c:v>
                </c:pt>
                <c:pt idx="3">
                  <c:v>0.68045916112545712</c:v>
                </c:pt>
                <c:pt idx="4">
                  <c:v>0.61982223245392287</c:v>
                </c:pt>
                <c:pt idx="5">
                  <c:v>0.73866593616128218</c:v>
                </c:pt>
                <c:pt idx="6">
                  <c:v>0.86539467728079411</c:v>
                </c:pt>
                <c:pt idx="7">
                  <c:v>0.80086998717103863</c:v>
                </c:pt>
                <c:pt idx="8">
                  <c:v>0.51427535943466807</c:v>
                </c:pt>
                <c:pt idx="9">
                  <c:v>0.54683386459185268</c:v>
                </c:pt>
                <c:pt idx="10">
                  <c:v>0.35834181488109618</c:v>
                </c:pt>
                <c:pt idx="11">
                  <c:v>0.68865115174590319</c:v>
                </c:pt>
                <c:pt idx="12">
                  <c:v>0.73475464499902854</c:v>
                </c:pt>
                <c:pt idx="13">
                  <c:v>0.78773792819138411</c:v>
                </c:pt>
                <c:pt idx="14">
                  <c:v>0.88811327777527493</c:v>
                </c:pt>
                <c:pt idx="15">
                  <c:v>0.90486871406589309</c:v>
                </c:pt>
                <c:pt idx="16">
                  <c:v>0.86183478029256178</c:v>
                </c:pt>
                <c:pt idx="17">
                  <c:v>0.81249610763204672</c:v>
                </c:pt>
                <c:pt idx="18">
                  <c:v>0.85928635079067839</c:v>
                </c:pt>
                <c:pt idx="19">
                  <c:v>0.77360546891180493</c:v>
                </c:pt>
                <c:pt idx="20">
                  <c:v>0.88054002406973819</c:v>
                </c:pt>
                <c:pt idx="21">
                  <c:v>0.9589764365153256</c:v>
                </c:pt>
                <c:pt idx="22">
                  <c:v>0.93478781796817068</c:v>
                </c:pt>
                <c:pt idx="23">
                  <c:v>0.91113139928249987</c:v>
                </c:pt>
                <c:pt idx="24">
                  <c:v>0.85705025225446618</c:v>
                </c:pt>
                <c:pt idx="25">
                  <c:v>0.78305430047028257</c:v>
                </c:pt>
                <c:pt idx="26">
                  <c:v>0.74299917090016643</c:v>
                </c:pt>
                <c:pt idx="27">
                  <c:v>0.72406288786934803</c:v>
                </c:pt>
                <c:pt idx="28">
                  <c:v>0.77134936411505151</c:v>
                </c:pt>
                <c:pt idx="29">
                  <c:v>0.70552975161801168</c:v>
                </c:pt>
                <c:pt idx="30">
                  <c:v>0.69578444101610692</c:v>
                </c:pt>
                <c:pt idx="31">
                  <c:v>0.72938881437378345</c:v>
                </c:pt>
                <c:pt idx="32">
                  <c:v>0.80366577458386534</c:v>
                </c:pt>
                <c:pt idx="33">
                  <c:v>0.80785020921619854</c:v>
                </c:pt>
                <c:pt idx="34">
                  <c:v>0.77085089745946855</c:v>
                </c:pt>
                <c:pt idx="35">
                  <c:v>0.81528255995528309</c:v>
                </c:pt>
                <c:pt idx="36">
                  <c:v>0.87040518208991025</c:v>
                </c:pt>
                <c:pt idx="37">
                  <c:v>0.97209388800229379</c:v>
                </c:pt>
                <c:pt idx="38">
                  <c:v>1.035463700465761</c:v>
                </c:pt>
                <c:pt idx="39">
                  <c:v>1.0480456454214067</c:v>
                </c:pt>
                <c:pt idx="40">
                  <c:v>1.0106785186252849</c:v>
                </c:pt>
                <c:pt idx="41">
                  <c:v>1.1009723741012016</c:v>
                </c:pt>
                <c:pt idx="42">
                  <c:v>1.1547935531383156</c:v>
                </c:pt>
                <c:pt idx="43">
                  <c:v>1.2200485437907442</c:v>
                </c:pt>
                <c:pt idx="44">
                  <c:v>1.2599918048802106</c:v>
                </c:pt>
                <c:pt idx="45">
                  <c:v>1.2127649865527717</c:v>
                </c:pt>
                <c:pt idx="46">
                  <c:v>1.2284249258073525</c:v>
                </c:pt>
                <c:pt idx="47">
                  <c:v>1.2325846175186115</c:v>
                </c:pt>
                <c:pt idx="48">
                  <c:v>1.2606016816286445</c:v>
                </c:pt>
                <c:pt idx="49">
                  <c:v>1.169278401560141</c:v>
                </c:pt>
                <c:pt idx="50">
                  <c:v>1.1798919163677939</c:v>
                </c:pt>
                <c:pt idx="51">
                  <c:v>1.292616782446607</c:v>
                </c:pt>
                <c:pt idx="52">
                  <c:v>1.3547719261144373</c:v>
                </c:pt>
                <c:pt idx="53">
                  <c:v>1.4078152000192334</c:v>
                </c:pt>
                <c:pt idx="54">
                  <c:v>1.4562579210368967</c:v>
                </c:pt>
                <c:pt idx="55">
                  <c:v>1.5039209004936489</c:v>
                </c:pt>
                <c:pt idx="56">
                  <c:v>1.506410439228214</c:v>
                </c:pt>
                <c:pt idx="57">
                  <c:v>1.5408522847099035</c:v>
                </c:pt>
                <c:pt idx="58">
                  <c:v>1.6094389438248733</c:v>
                </c:pt>
                <c:pt idx="59">
                  <c:v>1.598173916737428</c:v>
                </c:pt>
                <c:pt idx="60">
                  <c:v>1.5989976690052341</c:v>
                </c:pt>
                <c:pt idx="61">
                  <c:v>1.6584015403465826</c:v>
                </c:pt>
                <c:pt idx="62">
                  <c:v>1.7252263617133119</c:v>
                </c:pt>
                <c:pt idx="63">
                  <c:v>1.7653689314465018</c:v>
                </c:pt>
                <c:pt idx="64">
                  <c:v>1.7931034074014327</c:v>
                </c:pt>
                <c:pt idx="65">
                  <c:v>1.8072876281092374</c:v>
                </c:pt>
                <c:pt idx="66">
                  <c:v>1.8200905593995651</c:v>
                </c:pt>
                <c:pt idx="67">
                  <c:v>1.7699331302775054</c:v>
                </c:pt>
                <c:pt idx="68">
                  <c:v>1.753109352827219</c:v>
                </c:pt>
                <c:pt idx="69">
                  <c:v>1.8421695585585534</c:v>
                </c:pt>
                <c:pt idx="70">
                  <c:v>1.8616459783543469</c:v>
                </c:pt>
                <c:pt idx="71">
                  <c:v>1.9205609461068955</c:v>
                </c:pt>
                <c:pt idx="72">
                  <c:v>1.8846150559774919</c:v>
                </c:pt>
                <c:pt idx="73">
                  <c:v>1.9132509510432234</c:v>
                </c:pt>
                <c:pt idx="74">
                  <c:v>1.8515568595641636</c:v>
                </c:pt>
                <c:pt idx="75">
                  <c:v>1.9544633285415109</c:v>
                </c:pt>
                <c:pt idx="76">
                  <c:v>1.9844273377665884</c:v>
                </c:pt>
                <c:pt idx="77">
                  <c:v>1.9994842317784129</c:v>
                </c:pt>
                <c:pt idx="78">
                  <c:v>1.8471659667242515</c:v>
                </c:pt>
                <c:pt idx="79">
                  <c:v>1.9673180506873358</c:v>
                </c:pt>
                <c:pt idx="80">
                  <c:v>1.8508014816172151</c:v>
                </c:pt>
                <c:pt idx="81">
                  <c:v>1.9451581320106353</c:v>
                </c:pt>
                <c:pt idx="82">
                  <c:v>1.940859252757271</c:v>
                </c:pt>
                <c:pt idx="83">
                  <c:v>2.0037452110409721</c:v>
                </c:pt>
                <c:pt idx="84">
                  <c:v>1.9649467961459914</c:v>
                </c:pt>
                <c:pt idx="85">
                  <c:v>1.8779024400732733</c:v>
                </c:pt>
                <c:pt idx="86">
                  <c:v>1.9345750858453727</c:v>
                </c:pt>
                <c:pt idx="87">
                  <c:v>1.965997060838621</c:v>
                </c:pt>
                <c:pt idx="88">
                  <c:v>2.0406281769670747</c:v>
                </c:pt>
                <c:pt idx="89">
                  <c:v>1.9979940611679143</c:v>
                </c:pt>
                <c:pt idx="90">
                  <c:v>1.8685450362858729</c:v>
                </c:pt>
                <c:pt idx="91">
                  <c:v>1.9960808717188225</c:v>
                </c:pt>
                <c:pt idx="92">
                  <c:v>2.0334588824839517</c:v>
                </c:pt>
                <c:pt idx="93">
                  <c:v>2.0816959527721162</c:v>
                </c:pt>
                <c:pt idx="94">
                  <c:v>2.1418811252357108</c:v>
                </c:pt>
                <c:pt idx="95">
                  <c:v>2.1492757002111658</c:v>
                </c:pt>
                <c:pt idx="96">
                  <c:v>2.086097040296393</c:v>
                </c:pt>
                <c:pt idx="97">
                  <c:v>2.0799551933915841</c:v>
                </c:pt>
                <c:pt idx="98">
                  <c:v>2.0674705332111438</c:v>
                </c:pt>
                <c:pt idx="99">
                  <c:v>2.0915101402644747</c:v>
                </c:pt>
                <c:pt idx="100">
                  <c:v>2.0490394671867125</c:v>
                </c:pt>
                <c:pt idx="101">
                  <c:v>2.1289264151310547</c:v>
                </c:pt>
                <c:pt idx="102">
                  <c:v>2.1025505796891784</c:v>
                </c:pt>
                <c:pt idx="103">
                  <c:v>2.0723239614750546</c:v>
                </c:pt>
                <c:pt idx="104">
                  <c:v>2.1073991114496367</c:v>
                </c:pt>
                <c:pt idx="105">
                  <c:v>2.058005420949752</c:v>
                </c:pt>
                <c:pt idx="106">
                  <c:v>2.0829541356947949</c:v>
                </c:pt>
                <c:pt idx="107">
                  <c:v>2.0405628292954003</c:v>
                </c:pt>
                <c:pt idx="108">
                  <c:v>2.0567595609136413</c:v>
                </c:pt>
                <c:pt idx="109">
                  <c:v>2.0380505498697494</c:v>
                </c:pt>
                <c:pt idx="110">
                  <c:v>2.0263321008602917</c:v>
                </c:pt>
                <c:pt idx="111">
                  <c:v>1.9744782477658849</c:v>
                </c:pt>
                <c:pt idx="112">
                  <c:v>2.0762530818173528</c:v>
                </c:pt>
                <c:pt idx="113">
                  <c:v>2.1388885759057907</c:v>
                </c:pt>
                <c:pt idx="114">
                  <c:v>2.115080029038122</c:v>
                </c:pt>
                <c:pt idx="115">
                  <c:v>2.1590765264617415</c:v>
                </c:pt>
                <c:pt idx="116">
                  <c:v>2.2053732536955422</c:v>
                </c:pt>
                <c:pt idx="117">
                  <c:v>2.2291088557024348</c:v>
                </c:pt>
                <c:pt idx="118">
                  <c:v>2.1340679482430063</c:v>
                </c:pt>
                <c:pt idx="119">
                  <c:v>2.2040785148609445</c:v>
                </c:pt>
                <c:pt idx="120">
                  <c:v>2.1278366064491472</c:v>
                </c:pt>
                <c:pt idx="121">
                  <c:v>2.0556729747309843</c:v>
                </c:pt>
                <c:pt idx="122">
                  <c:v>2.0099022457793034</c:v>
                </c:pt>
                <c:pt idx="123">
                  <c:v>2.1496706027201746</c:v>
                </c:pt>
                <c:pt idx="124">
                  <c:v>2.1752092298670074</c:v>
                </c:pt>
                <c:pt idx="125">
                  <c:v>2.056592979217021</c:v>
                </c:pt>
                <c:pt idx="126">
                  <c:v>2.1631321458180306</c:v>
                </c:pt>
                <c:pt idx="127">
                  <c:v>2.1442119017486463</c:v>
                </c:pt>
                <c:pt idx="128">
                  <c:v>2.171550627958486</c:v>
                </c:pt>
                <c:pt idx="129">
                  <c:v>2.2200692010897307</c:v>
                </c:pt>
                <c:pt idx="130">
                  <c:v>2.2861510571376771</c:v>
                </c:pt>
                <c:pt idx="131">
                  <c:v>2.1727940012023659</c:v>
                </c:pt>
                <c:pt idx="132">
                  <c:v>2.1565485866662777</c:v>
                </c:pt>
                <c:pt idx="133">
                  <c:v>2.2222495778051199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9E-4D2F-B7A9-25ADAEC53C56}"/>
            </c:ext>
          </c:extLst>
        </c:ser>
        <c:ser>
          <c:idx val="4"/>
          <c:order val="4"/>
          <c:tx>
            <c:strRef>
              <c:f>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0.61323957920542438</c:v>
                </c:pt>
                <c:pt idx="3">
                  <c:v>0.73749936711312358</c:v>
                </c:pt>
                <c:pt idx="4">
                  <c:v>0.66380310198619974</c:v>
                </c:pt>
                <c:pt idx="5">
                  <c:v>0.7366511582738472</c:v>
                </c:pt>
                <c:pt idx="6">
                  <c:v>0.84844346025375439</c:v>
                </c:pt>
                <c:pt idx="7">
                  <c:v>0.77974942700052674</c:v>
                </c:pt>
                <c:pt idx="8">
                  <c:v>0.49507887677399465</c:v>
                </c:pt>
                <c:pt idx="9">
                  <c:v>0.50496541136186346</c:v>
                </c:pt>
                <c:pt idx="10">
                  <c:v>0.31008900641946996</c:v>
                </c:pt>
                <c:pt idx="11">
                  <c:v>0.67707661554205634</c:v>
                </c:pt>
                <c:pt idx="12">
                  <c:v>0.69269770776736683</c:v>
                </c:pt>
                <c:pt idx="13">
                  <c:v>0.75467744304827467</c:v>
                </c:pt>
                <c:pt idx="14">
                  <c:v>0.85129561622318439</c:v>
                </c:pt>
                <c:pt idx="15">
                  <c:v>0.87047837847881948</c:v>
                </c:pt>
                <c:pt idx="16">
                  <c:v>0.82806319526786543</c:v>
                </c:pt>
                <c:pt idx="17">
                  <c:v>0.80483641032372588</c:v>
                </c:pt>
                <c:pt idx="18">
                  <c:v>0.85348792611652768</c:v>
                </c:pt>
                <c:pt idx="19">
                  <c:v>0.749171750515086</c:v>
                </c:pt>
                <c:pt idx="20">
                  <c:v>0.82754523854272388</c:v>
                </c:pt>
                <c:pt idx="21">
                  <c:v>0.90122351620019103</c:v>
                </c:pt>
                <c:pt idx="22">
                  <c:v>0.89693606910845458</c:v>
                </c:pt>
                <c:pt idx="23">
                  <c:v>0.87686027423002977</c:v>
                </c:pt>
                <c:pt idx="24">
                  <c:v>0.83337263839403763</c:v>
                </c:pt>
                <c:pt idx="25">
                  <c:v>0.76235651197670051</c:v>
                </c:pt>
                <c:pt idx="26">
                  <c:v>0.72131598926761742</c:v>
                </c:pt>
                <c:pt idx="27">
                  <c:v>0.72019396341854114</c:v>
                </c:pt>
                <c:pt idx="28">
                  <c:v>0.77172895530044305</c:v>
                </c:pt>
                <c:pt idx="29">
                  <c:v>0.7080431127188539</c:v>
                </c:pt>
                <c:pt idx="30">
                  <c:v>0.69974120511596782</c:v>
                </c:pt>
                <c:pt idx="31">
                  <c:v>0.73150660556540836</c:v>
                </c:pt>
                <c:pt idx="32">
                  <c:v>0.82202925478256317</c:v>
                </c:pt>
                <c:pt idx="33">
                  <c:v>0.80440001305952802</c:v>
                </c:pt>
                <c:pt idx="34">
                  <c:v>0.79641284532960321</c:v>
                </c:pt>
                <c:pt idx="35">
                  <c:v>0.84510177843412648</c:v>
                </c:pt>
                <c:pt idx="36">
                  <c:v>0.91117850903592446</c:v>
                </c:pt>
                <c:pt idx="37">
                  <c:v>1.0176347091256002</c:v>
                </c:pt>
                <c:pt idx="38">
                  <c:v>1.0790593809515125</c:v>
                </c:pt>
                <c:pt idx="39">
                  <c:v>1.0842992705148575</c:v>
                </c:pt>
                <c:pt idx="40">
                  <c:v>1.045833070368789</c:v>
                </c:pt>
                <c:pt idx="41">
                  <c:v>1.1491242494292815</c:v>
                </c:pt>
                <c:pt idx="42">
                  <c:v>1.2141924749032509</c:v>
                </c:pt>
                <c:pt idx="43">
                  <c:v>1.2637396302216208</c:v>
                </c:pt>
                <c:pt idx="44">
                  <c:v>1.305566468476516</c:v>
                </c:pt>
                <c:pt idx="45">
                  <c:v>1.2964939616964972</c:v>
                </c:pt>
                <c:pt idx="46">
                  <c:v>1.3357468917711479</c:v>
                </c:pt>
                <c:pt idx="47">
                  <c:v>1.3288890365583217</c:v>
                </c:pt>
                <c:pt idx="48">
                  <c:v>1.3627016264026677</c:v>
                </c:pt>
                <c:pt idx="49">
                  <c:v>1.2577919912239555</c:v>
                </c:pt>
                <c:pt idx="50">
                  <c:v>1.2727150962815414</c:v>
                </c:pt>
                <c:pt idx="51">
                  <c:v>1.3807540204342796</c:v>
                </c:pt>
                <c:pt idx="52">
                  <c:v>1.4478754865419714</c:v>
                </c:pt>
                <c:pt idx="53">
                  <c:v>1.4838121980878753</c:v>
                </c:pt>
                <c:pt idx="54">
                  <c:v>1.5352231924823503</c:v>
                </c:pt>
                <c:pt idx="55">
                  <c:v>1.5994912468020686</c:v>
                </c:pt>
                <c:pt idx="56">
                  <c:v>1.6129645288500252</c:v>
                </c:pt>
                <c:pt idx="57">
                  <c:v>1.5991889143660634</c:v>
                </c:pt>
                <c:pt idx="58">
                  <c:v>1.6406327221293253</c:v>
                </c:pt>
                <c:pt idx="59">
                  <c:v>1.6201289058461177</c:v>
                </c:pt>
                <c:pt idx="60">
                  <c:v>1.6231008961413147</c:v>
                </c:pt>
                <c:pt idx="61">
                  <c:v>1.6937244618488378</c:v>
                </c:pt>
                <c:pt idx="62">
                  <c:v>1.775248336890803</c:v>
                </c:pt>
                <c:pt idx="63">
                  <c:v>1.8231541694948301</c:v>
                </c:pt>
                <c:pt idx="64">
                  <c:v>1.8450445294484878</c:v>
                </c:pt>
                <c:pt idx="65">
                  <c:v>1.8658877129960685</c:v>
                </c:pt>
                <c:pt idx="66">
                  <c:v>1.882365729250997</c:v>
                </c:pt>
                <c:pt idx="67">
                  <c:v>1.8560688812295525</c:v>
                </c:pt>
                <c:pt idx="68">
                  <c:v>1.8428773080820884</c:v>
                </c:pt>
                <c:pt idx="69">
                  <c:v>1.928360499349888</c:v>
                </c:pt>
                <c:pt idx="70">
                  <c:v>1.9861256095346884</c:v>
                </c:pt>
                <c:pt idx="71">
                  <c:v>2.0468368489815294</c:v>
                </c:pt>
                <c:pt idx="72">
                  <c:v>1.9810959215549948</c:v>
                </c:pt>
                <c:pt idx="73">
                  <c:v>2.0126551590761257</c:v>
                </c:pt>
                <c:pt idx="74">
                  <c:v>1.9620914262288827</c:v>
                </c:pt>
                <c:pt idx="75">
                  <c:v>2.0736172747305317</c:v>
                </c:pt>
                <c:pt idx="76">
                  <c:v>2.1010494443822259</c:v>
                </c:pt>
                <c:pt idx="77">
                  <c:v>2.0996213993930084</c:v>
                </c:pt>
                <c:pt idx="78">
                  <c:v>1.940548884909074</c:v>
                </c:pt>
                <c:pt idx="79">
                  <c:v>2.0956201565354355</c:v>
                </c:pt>
                <c:pt idx="80">
                  <c:v>1.9630250957419242</c:v>
                </c:pt>
                <c:pt idx="81">
                  <c:v>2.0682263597516752</c:v>
                </c:pt>
                <c:pt idx="82">
                  <c:v>2.062847840720345</c:v>
                </c:pt>
                <c:pt idx="83">
                  <c:v>2.1045452554233721</c:v>
                </c:pt>
                <c:pt idx="84">
                  <c:v>2.0658353735948545</c:v>
                </c:pt>
                <c:pt idx="85">
                  <c:v>2.0203118228071877</c:v>
                </c:pt>
                <c:pt idx="86">
                  <c:v>2.096784806524878</c:v>
                </c:pt>
                <c:pt idx="87">
                  <c:v>2.1126634888595874</c:v>
                </c:pt>
                <c:pt idx="88">
                  <c:v>2.201652117009099</c:v>
                </c:pt>
                <c:pt idx="89">
                  <c:v>2.1685946018681492</c:v>
                </c:pt>
                <c:pt idx="90">
                  <c:v>1.9861426473283199</c:v>
                </c:pt>
                <c:pt idx="91">
                  <c:v>2.1227743368104113</c:v>
                </c:pt>
                <c:pt idx="92">
                  <c:v>2.1642099424698218</c:v>
                </c:pt>
                <c:pt idx="93">
                  <c:v>2.2125097091531383</c:v>
                </c:pt>
                <c:pt idx="94">
                  <c:v>2.2790688690272121</c:v>
                </c:pt>
                <c:pt idx="95">
                  <c:v>2.284136275528053</c:v>
                </c:pt>
                <c:pt idx="96">
                  <c:v>2.2207016211690784</c:v>
                </c:pt>
                <c:pt idx="97">
                  <c:v>2.2039505370883576</c:v>
                </c:pt>
                <c:pt idx="98">
                  <c:v>2.1947563775557359</c:v>
                </c:pt>
                <c:pt idx="99">
                  <c:v>2.2069966623099857</c:v>
                </c:pt>
                <c:pt idx="100">
                  <c:v>2.1578796131933604</c:v>
                </c:pt>
                <c:pt idx="101">
                  <c:v>2.2605128723714931</c:v>
                </c:pt>
                <c:pt idx="102">
                  <c:v>2.2307080784042577</c:v>
                </c:pt>
                <c:pt idx="103">
                  <c:v>2.1879959086240315</c:v>
                </c:pt>
                <c:pt idx="104">
                  <c:v>2.2309382709445318</c:v>
                </c:pt>
                <c:pt idx="105">
                  <c:v>2.1608673358871742</c:v>
                </c:pt>
                <c:pt idx="106">
                  <c:v>2.1953117082284028</c:v>
                </c:pt>
                <c:pt idx="107">
                  <c:v>2.1721652750028437</c:v>
                </c:pt>
                <c:pt idx="108">
                  <c:v>2.1866182226342823</c:v>
                </c:pt>
                <c:pt idx="109">
                  <c:v>2.1674888792163114</c:v>
                </c:pt>
                <c:pt idx="110">
                  <c:v>2.1542554535037892</c:v>
                </c:pt>
                <c:pt idx="111">
                  <c:v>2.1251140474231596</c:v>
                </c:pt>
                <c:pt idx="112">
                  <c:v>2.2587084040487402</c:v>
                </c:pt>
                <c:pt idx="113">
                  <c:v>2.3238214401773849</c:v>
                </c:pt>
                <c:pt idx="114">
                  <c:v>2.2934904904190438</c:v>
                </c:pt>
                <c:pt idx="115">
                  <c:v>2.335928343778451</c:v>
                </c:pt>
                <c:pt idx="116">
                  <c:v>2.3891502513345948</c:v>
                </c:pt>
                <c:pt idx="117">
                  <c:v>2.4089921999138206</c:v>
                </c:pt>
                <c:pt idx="118">
                  <c:v>2.3259585418368043</c:v>
                </c:pt>
                <c:pt idx="119">
                  <c:v>2.3811497934863195</c:v>
                </c:pt>
                <c:pt idx="120">
                  <c:v>2.2873977284965652</c:v>
                </c:pt>
                <c:pt idx="121">
                  <c:v>2.1868636006720994</c:v>
                </c:pt>
                <c:pt idx="122">
                  <c:v>2.1223898669025609</c:v>
                </c:pt>
                <c:pt idx="123">
                  <c:v>2.2593435989203545</c:v>
                </c:pt>
                <c:pt idx="124">
                  <c:v>2.3002613286200453</c:v>
                </c:pt>
                <c:pt idx="125">
                  <c:v>2.174976622296068</c:v>
                </c:pt>
                <c:pt idx="126">
                  <c:v>2.2913309572064113</c:v>
                </c:pt>
                <c:pt idx="127">
                  <c:v>2.2600538773817349</c:v>
                </c:pt>
                <c:pt idx="128">
                  <c:v>2.3067152489374618</c:v>
                </c:pt>
                <c:pt idx="129">
                  <c:v>2.3853258876805952</c:v>
                </c:pt>
                <c:pt idx="130">
                  <c:v>2.448857954315165</c:v>
                </c:pt>
                <c:pt idx="131">
                  <c:v>2.3334412068162438</c:v>
                </c:pt>
                <c:pt idx="132">
                  <c:v>2.3103504952916323</c:v>
                </c:pt>
                <c:pt idx="133">
                  <c:v>2.3528248967855396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9E-4D2F-B7A9-25ADAEC53C56}"/>
            </c:ext>
          </c:extLst>
        </c:ser>
        <c:ser>
          <c:idx val="5"/>
          <c:order val="5"/>
          <c:tx>
            <c:strRef>
              <c:f>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0.6530596784991286</c:v>
                </c:pt>
                <c:pt idx="3">
                  <c:v>0.7998314928116409</c:v>
                </c:pt>
                <c:pt idx="4">
                  <c:v>0.72860872593345916</c:v>
                </c:pt>
                <c:pt idx="5">
                  <c:v>0.83360277956120021</c:v>
                </c:pt>
                <c:pt idx="6">
                  <c:v>0.90109243464754141</c:v>
                </c:pt>
                <c:pt idx="8">
                  <c:v>-0.29682655110056239</c:v>
                </c:pt>
                <c:pt idx="9">
                  <c:v>-0.28711566159240437</c:v>
                </c:pt>
                <c:pt idx="10">
                  <c:v>-0.51405629888472715</c:v>
                </c:pt>
                <c:pt idx="11">
                  <c:v>-0.10894828994526495</c:v>
                </c:pt>
                <c:pt idx="12">
                  <c:v>-8.4316234733319312E-2</c:v>
                </c:pt>
                <c:pt idx="13">
                  <c:v>-7.4006312304183697E-3</c:v>
                </c:pt>
                <c:pt idx="14">
                  <c:v>9.9029622056058433E-2</c:v>
                </c:pt>
                <c:pt idx="15">
                  <c:v>0.10100487333672788</c:v>
                </c:pt>
                <c:pt idx="16">
                  <c:v>4.5872847598755477E-2</c:v>
                </c:pt>
                <c:pt idx="17">
                  <c:v>2.2365258947194488E-2</c:v>
                </c:pt>
                <c:pt idx="18">
                  <c:v>7.4655492894010647E-2</c:v>
                </c:pt>
                <c:pt idx="19">
                  <c:v>-4.1700809131389446E-2</c:v>
                </c:pt>
                <c:pt idx="20">
                  <c:v>3.7441179670627836E-2</c:v>
                </c:pt>
                <c:pt idx="21">
                  <c:v>0.13762714667461612</c:v>
                </c:pt>
                <c:pt idx="22">
                  <c:v>0.13912764800115332</c:v>
                </c:pt>
                <c:pt idx="23">
                  <c:v>0.11751915820688694</c:v>
                </c:pt>
                <c:pt idx="24">
                  <c:v>8.2309368624687851E-2</c:v>
                </c:pt>
                <c:pt idx="25">
                  <c:v>2.397520793390974E-2</c:v>
                </c:pt>
                <c:pt idx="26">
                  <c:v>-1.6823803053772443E-2</c:v>
                </c:pt>
                <c:pt idx="27">
                  <c:v>-3.8736647227413046E-2</c:v>
                </c:pt>
                <c:pt idx="28">
                  <c:v>2.0706852468279323E-2</c:v>
                </c:pt>
                <c:pt idx="29">
                  <c:v>-4.0722457653660817E-2</c:v>
                </c:pt>
                <c:pt idx="30">
                  <c:v>-4.2074128459472615E-2</c:v>
                </c:pt>
                <c:pt idx="31">
                  <c:v>-6.6015092865837621E-3</c:v>
                </c:pt>
                <c:pt idx="32">
                  <c:v>0.10826293611170283</c:v>
                </c:pt>
                <c:pt idx="33">
                  <c:v>8.6055476586956392E-2</c:v>
                </c:pt>
                <c:pt idx="34">
                  <c:v>7.2729763834592731E-2</c:v>
                </c:pt>
                <c:pt idx="35">
                  <c:v>0.12345416958314924</c:v>
                </c:pt>
                <c:pt idx="36">
                  <c:v>0.1988235371708062</c:v>
                </c:pt>
                <c:pt idx="37">
                  <c:v>0.3121106575167239</c:v>
                </c:pt>
                <c:pt idx="38">
                  <c:v>0.32474299211244811</c:v>
                </c:pt>
                <c:pt idx="39">
                  <c:v>0.32850106370129867</c:v>
                </c:pt>
                <c:pt idx="40">
                  <c:v>0.26797392629979966</c:v>
                </c:pt>
                <c:pt idx="41">
                  <c:v>0.38190463619461695</c:v>
                </c:pt>
                <c:pt idx="42">
                  <c:v>0.43822819822909265</c:v>
                </c:pt>
                <c:pt idx="43">
                  <c:v>0.49049600467881488</c:v>
                </c:pt>
                <c:pt idx="44">
                  <c:v>0.54505151196550261</c:v>
                </c:pt>
                <c:pt idx="45">
                  <c:v>0.5238456091832342</c:v>
                </c:pt>
                <c:pt idx="46">
                  <c:v>0.53226749722507094</c:v>
                </c:pt>
                <c:pt idx="47">
                  <c:v>0.54285788557955694</c:v>
                </c:pt>
                <c:pt idx="48">
                  <c:v>0.57028158227015779</c:v>
                </c:pt>
                <c:pt idx="49">
                  <c:v>0.44512398000996667</c:v>
                </c:pt>
                <c:pt idx="50">
                  <c:v>0.45494915911707962</c:v>
                </c:pt>
                <c:pt idx="51">
                  <c:v>0.57871322223092403</c:v>
                </c:pt>
                <c:pt idx="52">
                  <c:v>0.66257641740873763</c:v>
                </c:pt>
                <c:pt idx="53">
                  <c:v>0.68493289965494242</c:v>
                </c:pt>
                <c:pt idx="54">
                  <c:v>0.76228314189300284</c:v>
                </c:pt>
                <c:pt idx="55">
                  <c:v>0.81748063850195651</c:v>
                </c:pt>
                <c:pt idx="56">
                  <c:v>0.78208640241391925</c:v>
                </c:pt>
                <c:pt idx="57">
                  <c:v>0.79560586326567229</c:v>
                </c:pt>
                <c:pt idx="58">
                  <c:v>0.88271780870561956</c:v>
                </c:pt>
                <c:pt idx="59">
                  <c:v>0.87285974443238312</c:v>
                </c:pt>
                <c:pt idx="60">
                  <c:v>0.85903679236227759</c:v>
                </c:pt>
                <c:pt idx="61">
                  <c:v>0.93651975916222374</c:v>
                </c:pt>
                <c:pt idx="62">
                  <c:v>1.0125175296080837</c:v>
                </c:pt>
                <c:pt idx="63">
                  <c:v>1.0594330552019617</c:v>
                </c:pt>
                <c:pt idx="64">
                  <c:v>1.0946126706186854</c:v>
                </c:pt>
                <c:pt idx="65">
                  <c:v>1.1306086502731663</c:v>
                </c:pt>
                <c:pt idx="66">
                  <c:v>1.1419851607196179</c:v>
                </c:pt>
                <c:pt idx="67">
                  <c:v>1.1323387855948679</c:v>
                </c:pt>
                <c:pt idx="68">
                  <c:v>1.1282353164842613</c:v>
                </c:pt>
                <c:pt idx="69">
                  <c:v>1.2376516953546846</c:v>
                </c:pt>
                <c:pt idx="70">
                  <c:v>1.308779514105437</c:v>
                </c:pt>
                <c:pt idx="71">
                  <c:v>1.3789898171250654</c:v>
                </c:pt>
                <c:pt idx="72">
                  <c:v>1.2985581045257995</c:v>
                </c:pt>
                <c:pt idx="73">
                  <c:v>1.3273810691454722</c:v>
                </c:pt>
                <c:pt idx="74">
                  <c:v>1.2431356015167778</c:v>
                </c:pt>
                <c:pt idx="75">
                  <c:v>1.363713757397863</c:v>
                </c:pt>
                <c:pt idx="76">
                  <c:v>1.3909105417757777</c:v>
                </c:pt>
                <c:pt idx="77">
                  <c:v>1.380432834283785</c:v>
                </c:pt>
                <c:pt idx="78">
                  <c:v>1.2054748602941041</c:v>
                </c:pt>
                <c:pt idx="79">
                  <c:v>1.3784346015132527</c:v>
                </c:pt>
                <c:pt idx="80">
                  <c:v>1.2033183560072012</c:v>
                </c:pt>
                <c:pt idx="81">
                  <c:v>1.3020645534333997</c:v>
                </c:pt>
                <c:pt idx="82">
                  <c:v>1.2865374483583225</c:v>
                </c:pt>
                <c:pt idx="83">
                  <c:v>1.3451738949653724</c:v>
                </c:pt>
                <c:pt idx="84">
                  <c:v>1.3306427099757838</c:v>
                </c:pt>
                <c:pt idx="85">
                  <c:v>1.2799003884913418</c:v>
                </c:pt>
                <c:pt idx="86">
                  <c:v>1.3716389611492548</c:v>
                </c:pt>
                <c:pt idx="87">
                  <c:v>1.3622126163802235</c:v>
                </c:pt>
                <c:pt idx="88">
                  <c:v>1.4967819608117978</c:v>
                </c:pt>
                <c:pt idx="89">
                  <c:v>1.4700638996608109</c:v>
                </c:pt>
                <c:pt idx="90">
                  <c:v>1.2675252723978214</c:v>
                </c:pt>
                <c:pt idx="91">
                  <c:v>1.4156845415951651</c:v>
                </c:pt>
                <c:pt idx="92">
                  <c:v>1.4567724747785684</c:v>
                </c:pt>
                <c:pt idx="93">
                  <c:v>1.5074489654807917</c:v>
                </c:pt>
                <c:pt idx="94">
                  <c:v>1.6042905967803613</c:v>
                </c:pt>
                <c:pt idx="95">
                  <c:v>1.6535506531695545</c:v>
                </c:pt>
                <c:pt idx="96">
                  <c:v>1.5791423455863005</c:v>
                </c:pt>
                <c:pt idx="97">
                  <c:v>1.583021953526228</c:v>
                </c:pt>
                <c:pt idx="98">
                  <c:v>1.5632600996168751</c:v>
                </c:pt>
                <c:pt idx="99">
                  <c:v>1.5740324941408228</c:v>
                </c:pt>
                <c:pt idx="100">
                  <c:v>1.5246491954247328</c:v>
                </c:pt>
                <c:pt idx="101">
                  <c:v>1.6488980332723533</c:v>
                </c:pt>
                <c:pt idx="102">
                  <c:v>1.6050021741272191</c:v>
                </c:pt>
                <c:pt idx="103">
                  <c:v>1.5701191633347511</c:v>
                </c:pt>
                <c:pt idx="104">
                  <c:v>1.6134826323122504</c:v>
                </c:pt>
                <c:pt idx="105">
                  <c:v>1.5283486992280966</c:v>
                </c:pt>
                <c:pt idx="106">
                  <c:v>1.5720721150113999</c:v>
                </c:pt>
                <c:pt idx="107">
                  <c:v>1.5608407446847405</c:v>
                </c:pt>
                <c:pt idx="108">
                  <c:v>1.5590014627558322</c:v>
                </c:pt>
                <c:pt idx="109">
                  <c:v>1.5202748118178195</c:v>
                </c:pt>
                <c:pt idx="110">
                  <c:v>1.514981567494037</c:v>
                </c:pt>
                <c:pt idx="111">
                  <c:v>1.469645409953217</c:v>
                </c:pt>
                <c:pt idx="112">
                  <c:v>1.6256818380697633</c:v>
                </c:pt>
                <c:pt idx="113">
                  <c:v>1.6991974390069344</c:v>
                </c:pt>
                <c:pt idx="114">
                  <c:v>1.6469445284246185</c:v>
                </c:pt>
                <c:pt idx="115">
                  <c:v>1.6824335611389576</c:v>
                </c:pt>
                <c:pt idx="116">
                  <c:v>1.7358849314788609</c:v>
                </c:pt>
                <c:pt idx="117">
                  <c:v>1.7193664232222374</c:v>
                </c:pt>
                <c:pt idx="118">
                  <c:v>1.6116639544256066</c:v>
                </c:pt>
                <c:pt idx="119">
                  <c:v>1.6675487693019349</c:v>
                </c:pt>
                <c:pt idx="120">
                  <c:v>1.543232609497124</c:v>
                </c:pt>
                <c:pt idx="121">
                  <c:v>1.4500936598119725</c:v>
                </c:pt>
                <c:pt idx="122">
                  <c:v>1.3783629537614672</c:v>
                </c:pt>
                <c:pt idx="123">
                  <c:v>1.4961283518724215</c:v>
                </c:pt>
                <c:pt idx="124">
                  <c:v>1.5448098352865718</c:v>
                </c:pt>
                <c:pt idx="125">
                  <c:v>1.4152708526900977</c:v>
                </c:pt>
                <c:pt idx="126">
                  <c:v>1.5274093074961717</c:v>
                </c:pt>
                <c:pt idx="127">
                  <c:v>1.4955811348963854</c:v>
                </c:pt>
                <c:pt idx="128">
                  <c:v>1.507399058762098</c:v>
                </c:pt>
                <c:pt idx="129">
                  <c:v>1.5944994079568373</c:v>
                </c:pt>
                <c:pt idx="130">
                  <c:v>1.6109246251728979</c:v>
                </c:pt>
                <c:pt idx="131">
                  <c:v>1.4826001812439853</c:v>
                </c:pt>
                <c:pt idx="132">
                  <c:v>1.4571868209339514</c:v>
                </c:pt>
                <c:pt idx="133">
                  <c:v>1.5048965879438032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9E-4D2F-B7A9-25ADAEC53C56}"/>
            </c:ext>
          </c:extLst>
        </c:ser>
        <c:ser>
          <c:idx val="6"/>
          <c:order val="6"/>
          <c:tx>
            <c:strRef>
              <c:f>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0.53263414681621846</c:v>
                </c:pt>
                <c:pt idx="3">
                  <c:v>0.74472479797426094</c:v>
                </c:pt>
                <c:pt idx="4">
                  <c:v>0.66393055095340103</c:v>
                </c:pt>
                <c:pt idx="5">
                  <c:v>0.7924701127279723</c:v>
                </c:pt>
                <c:pt idx="6">
                  <c:v>0.84742277563677393</c:v>
                </c:pt>
                <c:pt idx="7">
                  <c:v>0.72226098254823212</c:v>
                </c:pt>
                <c:pt idx="8">
                  <c:v>0.3635788840403324</c:v>
                </c:pt>
                <c:pt idx="9">
                  <c:v>0.37656137088731401</c:v>
                </c:pt>
                <c:pt idx="10">
                  <c:v>0.12304817687465353</c:v>
                </c:pt>
                <c:pt idx="11">
                  <c:v>0.58486819494526676</c:v>
                </c:pt>
                <c:pt idx="12">
                  <c:v>0.60919206978808649</c:v>
                </c:pt>
                <c:pt idx="13">
                  <c:v>0.66376168289907056</c:v>
                </c:pt>
                <c:pt idx="14">
                  <c:v>0.78549805456370569</c:v>
                </c:pt>
                <c:pt idx="15">
                  <c:v>0.80482425349056208</c:v>
                </c:pt>
                <c:pt idx="16">
                  <c:v>0.73581091309685343</c:v>
                </c:pt>
                <c:pt idx="17">
                  <c:v>0.73078277292358873</c:v>
                </c:pt>
                <c:pt idx="18">
                  <c:v>0.75891830055617937</c:v>
                </c:pt>
                <c:pt idx="19">
                  <c:v>0.62766437361673844</c:v>
                </c:pt>
                <c:pt idx="20">
                  <c:v>0.70496065367647709</c:v>
                </c:pt>
                <c:pt idx="21">
                  <c:v>0.83208346230196739</c:v>
                </c:pt>
                <c:pt idx="22">
                  <c:v>0.8562972700225483</c:v>
                </c:pt>
                <c:pt idx="23">
                  <c:v>0.83939155383516439</c:v>
                </c:pt>
                <c:pt idx="24">
                  <c:v>0.79768630865244028</c:v>
                </c:pt>
                <c:pt idx="25">
                  <c:v>0.7359724579787168</c:v>
                </c:pt>
                <c:pt idx="26">
                  <c:v>0.66125263459945016</c:v>
                </c:pt>
                <c:pt idx="27">
                  <c:v>0.63465704422036995</c:v>
                </c:pt>
                <c:pt idx="28">
                  <c:v>0.71185863583924969</c:v>
                </c:pt>
                <c:pt idx="29">
                  <c:v>0.67998521767862408</c:v>
                </c:pt>
                <c:pt idx="30">
                  <c:v>0.67136685329848034</c:v>
                </c:pt>
                <c:pt idx="31">
                  <c:v>0.71156431426699507</c:v>
                </c:pt>
                <c:pt idx="32">
                  <c:v>0.82965004882499527</c:v>
                </c:pt>
                <c:pt idx="33">
                  <c:v>0.82232260493580578</c:v>
                </c:pt>
                <c:pt idx="34">
                  <c:v>0.84961253223284894</c:v>
                </c:pt>
                <c:pt idx="35">
                  <c:v>0.89714029586510669</c:v>
                </c:pt>
                <c:pt idx="36">
                  <c:v>0.96378370128987789</c:v>
                </c:pt>
                <c:pt idx="37">
                  <c:v>1.0430783412450797</c:v>
                </c:pt>
                <c:pt idx="38">
                  <c:v>1.0485058762127726</c:v>
                </c:pt>
                <c:pt idx="39">
                  <c:v>1.0505203076606808</c:v>
                </c:pt>
                <c:pt idx="40">
                  <c:v>0.97428946233423086</c:v>
                </c:pt>
                <c:pt idx="41">
                  <c:v>1.098834968697175</c:v>
                </c:pt>
                <c:pt idx="42">
                  <c:v>1.1846615202511441</c:v>
                </c:pt>
                <c:pt idx="43">
                  <c:v>1.2279871700717229</c:v>
                </c:pt>
                <c:pt idx="44">
                  <c:v>1.2925628141513144</c:v>
                </c:pt>
                <c:pt idx="45">
                  <c:v>1.2637940582695972</c:v>
                </c:pt>
                <c:pt idx="46">
                  <c:v>1.2883320925107047</c:v>
                </c:pt>
                <c:pt idx="47">
                  <c:v>1.3219341602861949</c:v>
                </c:pt>
                <c:pt idx="48">
                  <c:v>1.3567174389273431</c:v>
                </c:pt>
                <c:pt idx="49">
                  <c:v>1.208308356538444</c:v>
                </c:pt>
                <c:pt idx="50">
                  <c:v>1.2089406674631296</c:v>
                </c:pt>
                <c:pt idx="51">
                  <c:v>1.3465967096204667</c:v>
                </c:pt>
                <c:pt idx="52">
                  <c:v>1.4297982822137874</c:v>
                </c:pt>
                <c:pt idx="53">
                  <c:v>1.4057820105264869</c:v>
                </c:pt>
                <c:pt idx="54">
                  <c:v>1.4741432237646497</c:v>
                </c:pt>
                <c:pt idx="55">
                  <c:v>1.5200277600642285</c:v>
                </c:pt>
                <c:pt idx="56">
                  <c:v>1.5032215188380242</c:v>
                </c:pt>
                <c:pt idx="57">
                  <c:v>1.5237253719018298</c:v>
                </c:pt>
                <c:pt idx="58">
                  <c:v>1.6327253788204954</c:v>
                </c:pt>
                <c:pt idx="59">
                  <c:v>1.6386814428709549</c:v>
                </c:pt>
                <c:pt idx="60">
                  <c:v>1.5806781987007523</c:v>
                </c:pt>
                <c:pt idx="61">
                  <c:v>1.6618358725209563</c:v>
                </c:pt>
                <c:pt idx="62">
                  <c:v>1.764609811584396</c:v>
                </c:pt>
                <c:pt idx="63">
                  <c:v>1.8173842012082262</c:v>
                </c:pt>
                <c:pt idx="64">
                  <c:v>1.8376116973146008</c:v>
                </c:pt>
                <c:pt idx="65">
                  <c:v>1.8844692376492829</c:v>
                </c:pt>
                <c:pt idx="66">
                  <c:v>1.8863860217591319</c:v>
                </c:pt>
                <c:pt idx="67">
                  <c:v>1.8806378281751772</c:v>
                </c:pt>
                <c:pt idx="68">
                  <c:v>1.876654203078058</c:v>
                </c:pt>
                <c:pt idx="69">
                  <c:v>1.9918909511139447</c:v>
                </c:pt>
                <c:pt idx="70">
                  <c:v>2.0725683951539855</c:v>
                </c:pt>
                <c:pt idx="71">
                  <c:v>2.153491790431028</c:v>
                </c:pt>
                <c:pt idx="72">
                  <c:v>2.0681807034978323</c:v>
                </c:pt>
                <c:pt idx="73">
                  <c:v>2.0871991782138681</c:v>
                </c:pt>
                <c:pt idx="74">
                  <c:v>1.9641242023898433</c:v>
                </c:pt>
                <c:pt idx="75">
                  <c:v>2.1174441901924412</c:v>
                </c:pt>
                <c:pt idx="76">
                  <c:v>2.1507303550929704</c:v>
                </c:pt>
                <c:pt idx="77">
                  <c:v>2.1261529984805221</c:v>
                </c:pt>
                <c:pt idx="78">
                  <c:v>2.0979795544611219</c:v>
                </c:pt>
                <c:pt idx="79">
                  <c:v>2.2916963731079525</c:v>
                </c:pt>
                <c:pt idx="80">
                  <c:v>2.1137700167990752</c:v>
                </c:pt>
                <c:pt idx="81">
                  <c:v>2.1855876084994494</c:v>
                </c:pt>
                <c:pt idx="82">
                  <c:v>2.1827862495600341</c:v>
                </c:pt>
                <c:pt idx="83">
                  <c:v>2.3454432962472671</c:v>
                </c:pt>
                <c:pt idx="84">
                  <c:v>2.3065741563695776</c:v>
                </c:pt>
                <c:pt idx="85">
                  <c:v>2.244260478544668</c:v>
                </c:pt>
                <c:pt idx="86">
                  <c:v>2.3349282628369519</c:v>
                </c:pt>
                <c:pt idx="87">
                  <c:v>2.3039387177787587</c:v>
                </c:pt>
                <c:pt idx="88">
                  <c:v>2.4475872609431524</c:v>
                </c:pt>
                <c:pt idx="89">
                  <c:v>2.4125010069649759</c:v>
                </c:pt>
                <c:pt idx="90">
                  <c:v>2.1809271284155467</c:v>
                </c:pt>
                <c:pt idx="91">
                  <c:v>2.3437662373635573</c:v>
                </c:pt>
                <c:pt idx="92">
                  <c:v>2.3917427737718246</c:v>
                </c:pt>
                <c:pt idx="93">
                  <c:v>2.4468989024884165</c:v>
                </c:pt>
                <c:pt idx="94">
                  <c:v>2.5249261492203878</c:v>
                </c:pt>
                <c:pt idx="95">
                  <c:v>2.6154415782226375</c:v>
                </c:pt>
                <c:pt idx="96">
                  <c:v>2.5437928870175273</c:v>
                </c:pt>
                <c:pt idx="97">
                  <c:v>2.6348331692478157</c:v>
                </c:pt>
                <c:pt idx="98">
                  <c:v>2.6263770836832898</c:v>
                </c:pt>
                <c:pt idx="99">
                  <c:v>2.687937269517068</c:v>
                </c:pt>
                <c:pt idx="100">
                  <c:v>2.6365798557422857</c:v>
                </c:pt>
                <c:pt idx="101">
                  <c:v>2.7694227190440572</c:v>
                </c:pt>
                <c:pt idx="102">
                  <c:v>2.7220417795253637</c:v>
                </c:pt>
                <c:pt idx="103">
                  <c:v>2.6763065708466045</c:v>
                </c:pt>
                <c:pt idx="104">
                  <c:v>2.7127153523421108</c:v>
                </c:pt>
                <c:pt idx="105">
                  <c:v>2.6302529988466965</c:v>
                </c:pt>
                <c:pt idx="106">
                  <c:v>2.6794264437383375</c:v>
                </c:pt>
                <c:pt idx="107">
                  <c:v>2.6443836649559671</c:v>
                </c:pt>
                <c:pt idx="108">
                  <c:v>2.6367641917983393</c:v>
                </c:pt>
                <c:pt idx="109">
                  <c:v>2.6087261785496905</c:v>
                </c:pt>
                <c:pt idx="110">
                  <c:v>2.5926115493116635</c:v>
                </c:pt>
                <c:pt idx="111">
                  <c:v>2.5474075095263742</c:v>
                </c:pt>
                <c:pt idx="112">
                  <c:v>2.7059211366188016</c:v>
                </c:pt>
                <c:pt idx="113">
                  <c:v>2.787318879535043</c:v>
                </c:pt>
                <c:pt idx="114">
                  <c:v>2.7208107388030047</c:v>
                </c:pt>
                <c:pt idx="115">
                  <c:v>2.7040886747249835</c:v>
                </c:pt>
                <c:pt idx="116">
                  <c:v>2.7461935822756138</c:v>
                </c:pt>
                <c:pt idx="117">
                  <c:v>2.7255888958087482</c:v>
                </c:pt>
                <c:pt idx="118">
                  <c:v>2.6248616175029165</c:v>
                </c:pt>
                <c:pt idx="119">
                  <c:v>2.7017022722748774</c:v>
                </c:pt>
                <c:pt idx="120">
                  <c:v>2.5539802738231447</c:v>
                </c:pt>
                <c:pt idx="121">
                  <c:v>2.4379628837121676</c:v>
                </c:pt>
                <c:pt idx="122">
                  <c:v>2.3410676976352631</c:v>
                </c:pt>
                <c:pt idx="123">
                  <c:v>2.4467083064353252</c:v>
                </c:pt>
                <c:pt idx="124">
                  <c:v>2.5286169987196985</c:v>
                </c:pt>
                <c:pt idx="125">
                  <c:v>2.3750140212572166</c:v>
                </c:pt>
                <c:pt idx="126">
                  <c:v>2.4724420582331663</c:v>
                </c:pt>
                <c:pt idx="127">
                  <c:v>2.3969256989368009</c:v>
                </c:pt>
                <c:pt idx="128">
                  <c:v>2.3905641361928192</c:v>
                </c:pt>
                <c:pt idx="129">
                  <c:v>2.4904105141711397</c:v>
                </c:pt>
                <c:pt idx="130">
                  <c:v>2.4931746295965111</c:v>
                </c:pt>
                <c:pt idx="131">
                  <c:v>2.3826966077307454</c:v>
                </c:pt>
                <c:pt idx="132">
                  <c:v>2.3688428537562385</c:v>
                </c:pt>
                <c:pt idx="133">
                  <c:v>2.417797870866655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9E-4D2F-B7A9-25ADAEC53C56}"/>
            </c:ext>
          </c:extLst>
        </c:ser>
        <c:ser>
          <c:idx val="7"/>
          <c:order val="7"/>
          <c:tx>
            <c:strRef>
              <c:f>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0.54922288163371147</c:v>
                </c:pt>
                <c:pt idx="3">
                  <c:v>0.78539334700944574</c:v>
                </c:pt>
                <c:pt idx="4">
                  <c:v>0.68788125644784559</c:v>
                </c:pt>
                <c:pt idx="5">
                  <c:v>0.86549157527049758</c:v>
                </c:pt>
                <c:pt idx="6">
                  <c:v>0.91295498060689717</c:v>
                </c:pt>
                <c:pt idx="7">
                  <c:v>0.75672462752069325</c:v>
                </c:pt>
                <c:pt idx="8">
                  <c:v>0.33838677655105903</c:v>
                </c:pt>
                <c:pt idx="9">
                  <c:v>0.38143573418622506</c:v>
                </c:pt>
                <c:pt idx="10">
                  <c:v>0.11989389187123828</c:v>
                </c:pt>
                <c:pt idx="11">
                  <c:v>0.65226792955947954</c:v>
                </c:pt>
                <c:pt idx="12">
                  <c:v>0.63247049555809465</c:v>
                </c:pt>
                <c:pt idx="13">
                  <c:v>0.65525570867018801</c:v>
                </c:pt>
                <c:pt idx="14">
                  <c:v>0.82571800075020607</c:v>
                </c:pt>
                <c:pt idx="15">
                  <c:v>0.86766063019942208</c:v>
                </c:pt>
                <c:pt idx="16">
                  <c:v>0.78896436888626131</c:v>
                </c:pt>
                <c:pt idx="17">
                  <c:v>0.6794385073503395</c:v>
                </c:pt>
                <c:pt idx="18">
                  <c:v>0.72362536534866451</c:v>
                </c:pt>
                <c:pt idx="19">
                  <c:v>0.60494090682974344</c:v>
                </c:pt>
                <c:pt idx="20">
                  <c:v>0.67735647614924244</c:v>
                </c:pt>
                <c:pt idx="21">
                  <c:v>0.80027962239495942</c:v>
                </c:pt>
                <c:pt idx="22">
                  <c:v>0.82434392774001719</c:v>
                </c:pt>
                <c:pt idx="23">
                  <c:v>0.80212068844111484</c:v>
                </c:pt>
                <c:pt idx="24">
                  <c:v>0.76055050390295909</c:v>
                </c:pt>
                <c:pt idx="25">
                  <c:v>0.69978815243640535</c:v>
                </c:pt>
                <c:pt idx="26">
                  <c:v>0.61627528554352673</c:v>
                </c:pt>
                <c:pt idx="27">
                  <c:v>0.58118635695557641</c:v>
                </c:pt>
                <c:pt idx="28">
                  <c:v>0.69641822691864319</c:v>
                </c:pt>
                <c:pt idx="29">
                  <c:v>0.65763256010974347</c:v>
                </c:pt>
                <c:pt idx="30">
                  <c:v>0.67693010533377829</c:v>
                </c:pt>
                <c:pt idx="31">
                  <c:v>0.73348782055548178</c:v>
                </c:pt>
                <c:pt idx="32">
                  <c:v>0.82503648348015624</c:v>
                </c:pt>
                <c:pt idx="33">
                  <c:v>0.8372036750561368</c:v>
                </c:pt>
                <c:pt idx="34">
                  <c:v>0.8862624596900277</c:v>
                </c:pt>
                <c:pt idx="35">
                  <c:v>0.9565334053608332</c:v>
                </c:pt>
                <c:pt idx="36">
                  <c:v>0.99963941717223814</c:v>
                </c:pt>
                <c:pt idx="37">
                  <c:v>1.0832077115379202</c:v>
                </c:pt>
                <c:pt idx="38">
                  <c:v>1.1091006145833346</c:v>
                </c:pt>
                <c:pt idx="39">
                  <c:v>1.1188127355249347</c:v>
                </c:pt>
                <c:pt idx="40">
                  <c:v>1.030559978464284</c:v>
                </c:pt>
                <c:pt idx="41">
                  <c:v>1.1840775407771416</c:v>
                </c:pt>
                <c:pt idx="42">
                  <c:v>1.281874496045456</c:v>
                </c:pt>
                <c:pt idx="43">
                  <c:v>1.3311694778111574</c:v>
                </c:pt>
                <c:pt idx="44">
                  <c:v>1.4075981935248114</c:v>
                </c:pt>
                <c:pt idx="45">
                  <c:v>1.3575651728278335</c:v>
                </c:pt>
                <c:pt idx="46">
                  <c:v>1.3799213409819699</c:v>
                </c:pt>
                <c:pt idx="47">
                  <c:v>1.4439834512127641</c:v>
                </c:pt>
                <c:pt idx="48">
                  <c:v>1.4735124216061439</c:v>
                </c:pt>
                <c:pt idx="49">
                  <c:v>1.2866328034379697</c:v>
                </c:pt>
                <c:pt idx="50">
                  <c:v>1.2522689194838967</c:v>
                </c:pt>
                <c:pt idx="51">
                  <c:v>1.4120151185563283</c:v>
                </c:pt>
                <c:pt idx="52">
                  <c:v>1.4760706049025141</c:v>
                </c:pt>
                <c:pt idx="53">
                  <c:v>1.4728362122724459</c:v>
                </c:pt>
                <c:pt idx="54">
                  <c:v>1.5239680862361125</c:v>
                </c:pt>
                <c:pt idx="55">
                  <c:v>1.537539060385251</c:v>
                </c:pt>
                <c:pt idx="56">
                  <c:v>1.5211954020524088</c:v>
                </c:pt>
                <c:pt idx="57">
                  <c:v>1.5232136037538397</c:v>
                </c:pt>
                <c:pt idx="58">
                  <c:v>1.6510122325730585</c:v>
                </c:pt>
                <c:pt idx="59">
                  <c:v>1.6727195341116377</c:v>
                </c:pt>
                <c:pt idx="60">
                  <c:v>1.6209700080196452</c:v>
                </c:pt>
                <c:pt idx="61">
                  <c:v>1.7009346661661482</c:v>
                </c:pt>
                <c:pt idx="62">
                  <c:v>1.8151852664248438</c:v>
                </c:pt>
                <c:pt idx="63">
                  <c:v>1.8824379138921157</c:v>
                </c:pt>
                <c:pt idx="64">
                  <c:v>1.9081668751572312</c:v>
                </c:pt>
                <c:pt idx="65">
                  <c:v>1.9709856826913632</c:v>
                </c:pt>
                <c:pt idx="66">
                  <c:v>1.9809197271456862</c:v>
                </c:pt>
                <c:pt idx="67">
                  <c:v>1.9875949731692062</c:v>
                </c:pt>
                <c:pt idx="68">
                  <c:v>1.9633386344247241</c:v>
                </c:pt>
                <c:pt idx="69">
                  <c:v>2.1049713142782975</c:v>
                </c:pt>
                <c:pt idx="70">
                  <c:v>2.1809075655125354</c:v>
                </c:pt>
                <c:pt idx="71">
                  <c:v>2.2745628066658816</c:v>
                </c:pt>
                <c:pt idx="72">
                  <c:v>2.1655958452822368</c:v>
                </c:pt>
                <c:pt idx="73">
                  <c:v>2.199683630554095</c:v>
                </c:pt>
                <c:pt idx="74">
                  <c:v>2.0920338939984466</c:v>
                </c:pt>
                <c:pt idx="75">
                  <c:v>2.1607360188205007</c:v>
                </c:pt>
                <c:pt idx="76">
                  <c:v>2.1963458141098995</c:v>
                </c:pt>
                <c:pt idx="77">
                  <c:v>2.1483046456016548</c:v>
                </c:pt>
                <c:pt idx="78">
                  <c:v>2.1235813928358271</c:v>
                </c:pt>
                <c:pt idx="79">
                  <c:v>2.3392005909295452</c:v>
                </c:pt>
                <c:pt idx="80">
                  <c:v>2.140934761752586</c:v>
                </c:pt>
                <c:pt idx="81">
                  <c:v>2.2208391589586354</c:v>
                </c:pt>
                <c:pt idx="82">
                  <c:v>2.1702056289439819</c:v>
                </c:pt>
                <c:pt idx="83">
                  <c:v>2.3230954959939081</c:v>
                </c:pt>
                <c:pt idx="84">
                  <c:v>2.2860285498337127</c:v>
                </c:pt>
                <c:pt idx="85">
                  <c:v>2.2240880498676767</c:v>
                </c:pt>
                <c:pt idx="86">
                  <c:v>2.3280557676847748</c:v>
                </c:pt>
                <c:pt idx="87">
                  <c:v>2.2848154877099849</c:v>
                </c:pt>
                <c:pt idx="88">
                  <c:v>2.4601631292916997</c:v>
                </c:pt>
                <c:pt idx="89">
                  <c:v>2.3832304746243964</c:v>
                </c:pt>
                <c:pt idx="90">
                  <c:v>2.11077606999589</c:v>
                </c:pt>
                <c:pt idx="91">
                  <c:v>2.2698086689782229</c:v>
                </c:pt>
                <c:pt idx="92">
                  <c:v>2.2670787608236611</c:v>
                </c:pt>
                <c:pt idx="93">
                  <c:v>2.3167729503760639</c:v>
                </c:pt>
                <c:pt idx="94">
                  <c:v>2.3774738012746019</c:v>
                </c:pt>
                <c:pt idx="95">
                  <c:v>2.5000942279046328</c:v>
                </c:pt>
                <c:pt idx="96">
                  <c:v>2.4166578307907396</c:v>
                </c:pt>
                <c:pt idx="97">
                  <c:v>2.5186376923071432</c:v>
                </c:pt>
                <c:pt idx="98">
                  <c:v>2.4967358845252448</c:v>
                </c:pt>
                <c:pt idx="99">
                  <c:v>2.5543706108934296</c:v>
                </c:pt>
                <c:pt idx="100">
                  <c:v>2.48344874132906</c:v>
                </c:pt>
                <c:pt idx="101">
                  <c:v>2.5963005699705239</c:v>
                </c:pt>
                <c:pt idx="102">
                  <c:v>2.5380766932672874</c:v>
                </c:pt>
                <c:pt idx="103">
                  <c:v>2.5023557942420718</c:v>
                </c:pt>
                <c:pt idx="104">
                  <c:v>2.4671763943399778</c:v>
                </c:pt>
                <c:pt idx="105">
                  <c:v>2.3609190583851771</c:v>
                </c:pt>
                <c:pt idx="106">
                  <c:v>2.4149440137677867</c:v>
                </c:pt>
                <c:pt idx="107">
                  <c:v>2.3452509668747639</c:v>
                </c:pt>
                <c:pt idx="108">
                  <c:v>2.3325044919641149</c:v>
                </c:pt>
                <c:pt idx="109">
                  <c:v>2.3323475088347103</c:v>
                </c:pt>
                <c:pt idx="110">
                  <c:v>2.3360139332771315</c:v>
                </c:pt>
                <c:pt idx="111">
                  <c:v>2.2874995825541546</c:v>
                </c:pt>
                <c:pt idx="112">
                  <c:v>2.4116441703383624</c:v>
                </c:pt>
                <c:pt idx="113">
                  <c:v>2.4818115781382319</c:v>
                </c:pt>
                <c:pt idx="114">
                  <c:v>2.3998593231042378</c:v>
                </c:pt>
                <c:pt idx="115">
                  <c:v>2.4023344462018761</c:v>
                </c:pt>
                <c:pt idx="116">
                  <c:v>2.4574610096018201</c:v>
                </c:pt>
                <c:pt idx="117">
                  <c:v>2.4852990240848141</c:v>
                </c:pt>
                <c:pt idx="118">
                  <c:v>2.3648096447241791</c:v>
                </c:pt>
                <c:pt idx="119">
                  <c:v>2.4407719980492271</c:v>
                </c:pt>
                <c:pt idx="120">
                  <c:v>2.2627764510952568</c:v>
                </c:pt>
                <c:pt idx="121">
                  <c:v>2.1296479504759076</c:v>
                </c:pt>
                <c:pt idx="122">
                  <c:v>1.9868172524214673</c:v>
                </c:pt>
                <c:pt idx="123">
                  <c:v>2.098341958862072</c:v>
                </c:pt>
                <c:pt idx="124">
                  <c:v>2.1589510982027562</c:v>
                </c:pt>
                <c:pt idx="125">
                  <c:v>2.0205859639645785</c:v>
                </c:pt>
                <c:pt idx="126">
                  <c:v>2.0906955416525017</c:v>
                </c:pt>
                <c:pt idx="127">
                  <c:v>1.9787747127885087</c:v>
                </c:pt>
                <c:pt idx="128">
                  <c:v>1.9506953593128413</c:v>
                </c:pt>
                <c:pt idx="129">
                  <c:v>1.9724681293256199</c:v>
                </c:pt>
                <c:pt idx="130">
                  <c:v>1.9602780861019178</c:v>
                </c:pt>
                <c:pt idx="131">
                  <c:v>1.809342769111761</c:v>
                </c:pt>
                <c:pt idx="132">
                  <c:v>1.8219768120521833</c:v>
                </c:pt>
                <c:pt idx="133">
                  <c:v>1.8389547669269524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9E-4D2F-B7A9-25ADAEC53C56}"/>
            </c:ext>
          </c:extLst>
        </c:ser>
        <c:ser>
          <c:idx val="8"/>
          <c:order val="8"/>
          <c:tx>
            <c:strRef>
              <c:f>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0.59907605605559955</c:v>
                </c:pt>
                <c:pt idx="3">
                  <c:v>0.78149567474874071</c:v>
                </c:pt>
                <c:pt idx="4">
                  <c:v>0.68112976282987681</c:v>
                </c:pt>
                <c:pt idx="5">
                  <c:v>0.82506204508555214</c:v>
                </c:pt>
                <c:pt idx="6">
                  <c:v>0.85299758672995507</c:v>
                </c:pt>
                <c:pt idx="7">
                  <c:v>0.7197902936529279</c:v>
                </c:pt>
                <c:pt idx="8">
                  <c:v>0.62968163953025391</c:v>
                </c:pt>
                <c:pt idx="9">
                  <c:v>0.72539027503478959</c:v>
                </c:pt>
                <c:pt idx="10">
                  <c:v>0.45669644989681329</c:v>
                </c:pt>
                <c:pt idx="11">
                  <c:v>0.95670792790628734</c:v>
                </c:pt>
                <c:pt idx="12">
                  <c:v>0.84659340280298012</c:v>
                </c:pt>
                <c:pt idx="13">
                  <c:v>0.88662189755475018</c:v>
                </c:pt>
                <c:pt idx="14">
                  <c:v>1.1114467085471453</c:v>
                </c:pt>
                <c:pt idx="15">
                  <c:v>1.1779163416360019</c:v>
                </c:pt>
                <c:pt idx="16">
                  <c:v>1.1205752590632008</c:v>
                </c:pt>
                <c:pt idx="17">
                  <c:v>1.019729726019728</c:v>
                </c:pt>
                <c:pt idx="18">
                  <c:v>1.0519673844392352</c:v>
                </c:pt>
                <c:pt idx="19">
                  <c:v>0.9156793210716585</c:v>
                </c:pt>
                <c:pt idx="20">
                  <c:v>1.0067641905042033</c:v>
                </c:pt>
                <c:pt idx="21">
                  <c:v>1.156806502131742</c:v>
                </c:pt>
                <c:pt idx="22">
                  <c:v>1.1519507442714263</c:v>
                </c:pt>
                <c:pt idx="23">
                  <c:v>1.1811080943257728</c:v>
                </c:pt>
                <c:pt idx="24">
                  <c:v>1.1595135409384756</c:v>
                </c:pt>
                <c:pt idx="25">
                  <c:v>1.0990899166504455</c:v>
                </c:pt>
                <c:pt idx="26">
                  <c:v>1.0027808738251465</c:v>
                </c:pt>
                <c:pt idx="27">
                  <c:v>0.96832697097331677</c:v>
                </c:pt>
                <c:pt idx="28">
                  <c:v>0.98563812060035416</c:v>
                </c:pt>
                <c:pt idx="29">
                  <c:v>0.94659344221277419</c:v>
                </c:pt>
                <c:pt idx="30">
                  <c:v>0.94035170184062622</c:v>
                </c:pt>
                <c:pt idx="31">
                  <c:v>1.0305299025554089</c:v>
                </c:pt>
                <c:pt idx="32">
                  <c:v>1.1468666576107325</c:v>
                </c:pt>
                <c:pt idx="33">
                  <c:v>1.1641083733268338</c:v>
                </c:pt>
                <c:pt idx="34">
                  <c:v>1.231074734469479</c:v>
                </c:pt>
                <c:pt idx="35">
                  <c:v>1.3039681865064559</c:v>
                </c:pt>
                <c:pt idx="36">
                  <c:v>1.3370641672552586</c:v>
                </c:pt>
                <c:pt idx="37">
                  <c:v>1.4125343607742569</c:v>
                </c:pt>
                <c:pt idx="38">
                  <c:v>1.4578194427389453</c:v>
                </c:pt>
                <c:pt idx="39">
                  <c:v>1.4704239587021117</c:v>
                </c:pt>
                <c:pt idx="40">
                  <c:v>1.4978764440350627</c:v>
                </c:pt>
                <c:pt idx="41">
                  <c:v>1.667925448713987</c:v>
                </c:pt>
                <c:pt idx="42">
                  <c:v>1.780021258396804</c:v>
                </c:pt>
                <c:pt idx="43">
                  <c:v>1.7858800321570099</c:v>
                </c:pt>
                <c:pt idx="44">
                  <c:v>1.8615724190521357</c:v>
                </c:pt>
                <c:pt idx="45">
                  <c:v>1.8069467052696575</c:v>
                </c:pt>
                <c:pt idx="46">
                  <c:v>1.8138119734488085</c:v>
                </c:pt>
                <c:pt idx="47">
                  <c:v>1.8996981486364191</c:v>
                </c:pt>
                <c:pt idx="48">
                  <c:v>1.9383728470793284</c:v>
                </c:pt>
                <c:pt idx="49">
                  <c:v>1.7245704159022397</c:v>
                </c:pt>
                <c:pt idx="50">
                  <c:v>1.6877715510416993</c:v>
                </c:pt>
                <c:pt idx="51">
                  <c:v>1.8554269744182685</c:v>
                </c:pt>
                <c:pt idx="52">
                  <c:v>1.9260325420960087</c:v>
                </c:pt>
                <c:pt idx="53">
                  <c:v>1.8726027288744114</c:v>
                </c:pt>
                <c:pt idx="54">
                  <c:v>1.866655931735151</c:v>
                </c:pt>
                <c:pt idx="55">
                  <c:v>1.8723445140664796</c:v>
                </c:pt>
                <c:pt idx="56">
                  <c:v>1.8654183713577863</c:v>
                </c:pt>
                <c:pt idx="57">
                  <c:v>1.7938119242436754</c:v>
                </c:pt>
                <c:pt idx="58">
                  <c:v>1.9255571913288503</c:v>
                </c:pt>
                <c:pt idx="59">
                  <c:v>1.9471867031620369</c:v>
                </c:pt>
                <c:pt idx="60">
                  <c:v>1.8879535353192096</c:v>
                </c:pt>
                <c:pt idx="61">
                  <c:v>1.9742457664956643</c:v>
                </c:pt>
                <c:pt idx="62">
                  <c:v>2.1111634278241027</c:v>
                </c:pt>
                <c:pt idx="63">
                  <c:v>2.229720669269474</c:v>
                </c:pt>
                <c:pt idx="64">
                  <c:v>2.1912589517534946</c:v>
                </c:pt>
                <c:pt idx="65">
                  <c:v>2.2516664725164497</c:v>
                </c:pt>
                <c:pt idx="66">
                  <c:v>2.2671181794772925</c:v>
                </c:pt>
                <c:pt idx="67">
                  <c:v>2.2791918112077649</c:v>
                </c:pt>
                <c:pt idx="68">
                  <c:v>2.2845993173989561</c:v>
                </c:pt>
                <c:pt idx="69">
                  <c:v>2.4324023505776031</c:v>
                </c:pt>
                <c:pt idx="70">
                  <c:v>2.5311572999453098</c:v>
                </c:pt>
                <c:pt idx="71">
                  <c:v>2.6470756315083817</c:v>
                </c:pt>
                <c:pt idx="72">
                  <c:v>2.5115723796959055</c:v>
                </c:pt>
                <c:pt idx="73">
                  <c:v>2.5422660163791497</c:v>
                </c:pt>
                <c:pt idx="74">
                  <c:v>2.4370320500098464</c:v>
                </c:pt>
                <c:pt idx="75">
                  <c:v>2.5273034542701298</c:v>
                </c:pt>
                <c:pt idx="76">
                  <c:v>2.5775202803612038</c:v>
                </c:pt>
                <c:pt idx="77">
                  <c:v>2.5392683303502759</c:v>
                </c:pt>
                <c:pt idx="78">
                  <c:v>2.5132252965672106</c:v>
                </c:pt>
                <c:pt idx="79">
                  <c:v>2.6942527940578076</c:v>
                </c:pt>
                <c:pt idx="80">
                  <c:v>2.4502889985880745</c:v>
                </c:pt>
                <c:pt idx="81">
                  <c:v>2.5312469357867511</c:v>
                </c:pt>
                <c:pt idx="82">
                  <c:v>2.4321940472566621</c:v>
                </c:pt>
                <c:pt idx="83">
                  <c:v>2.5040580728538004</c:v>
                </c:pt>
                <c:pt idx="84">
                  <c:v>2.4736633990847183</c:v>
                </c:pt>
                <c:pt idx="85">
                  <c:v>2.3502230791973675</c:v>
                </c:pt>
                <c:pt idx="86">
                  <c:v>2.4412014759474743</c:v>
                </c:pt>
                <c:pt idx="87">
                  <c:v>2.3490165417583455</c:v>
                </c:pt>
                <c:pt idx="88">
                  <c:v>2.5380677069289663</c:v>
                </c:pt>
                <c:pt idx="89">
                  <c:v>2.5602271182994509</c:v>
                </c:pt>
                <c:pt idx="90">
                  <c:v>2.1442557831304385</c:v>
                </c:pt>
                <c:pt idx="91">
                  <c:v>2.3362869882394657</c:v>
                </c:pt>
                <c:pt idx="92">
                  <c:v>2.3423983461685278</c:v>
                </c:pt>
                <c:pt idx="93">
                  <c:v>2.4155145906743782</c:v>
                </c:pt>
                <c:pt idx="94">
                  <c:v>2.5038788676866397</c:v>
                </c:pt>
                <c:pt idx="95">
                  <c:v>2.594352905100906</c:v>
                </c:pt>
                <c:pt idx="96">
                  <c:v>2.4994852468343938</c:v>
                </c:pt>
                <c:pt idx="97">
                  <c:v>2.5919963225298197</c:v>
                </c:pt>
                <c:pt idx="98">
                  <c:v>2.6019493854511024</c:v>
                </c:pt>
                <c:pt idx="99">
                  <c:v>2.6922479363188669</c:v>
                </c:pt>
                <c:pt idx="100">
                  <c:v>2.6797682036505699</c:v>
                </c:pt>
                <c:pt idx="101">
                  <c:v>2.8349298487997681</c:v>
                </c:pt>
                <c:pt idx="102">
                  <c:v>2.7874579556445904</c:v>
                </c:pt>
                <c:pt idx="103">
                  <c:v>2.7305552458874565</c:v>
                </c:pt>
                <c:pt idx="104">
                  <c:v>2.6809421766519006</c:v>
                </c:pt>
                <c:pt idx="105">
                  <c:v>2.5328333623130779</c:v>
                </c:pt>
                <c:pt idx="106">
                  <c:v>2.5060834983921492</c:v>
                </c:pt>
                <c:pt idx="107">
                  <c:v>2.5069426199245699</c:v>
                </c:pt>
                <c:pt idx="108">
                  <c:v>2.5027404093041992</c:v>
                </c:pt>
                <c:pt idx="109">
                  <c:v>2.4917649975616722</c:v>
                </c:pt>
                <c:pt idx="110">
                  <c:v>2.4688882657766196</c:v>
                </c:pt>
                <c:pt idx="111">
                  <c:v>2.429428319507732</c:v>
                </c:pt>
                <c:pt idx="112">
                  <c:v>2.5143823009537867</c:v>
                </c:pt>
                <c:pt idx="113">
                  <c:v>2.5902089371323291</c:v>
                </c:pt>
                <c:pt idx="114">
                  <c:v>2.599492587411766</c:v>
                </c:pt>
                <c:pt idx="115">
                  <c:v>2.6575117940659654</c:v>
                </c:pt>
                <c:pt idx="116">
                  <c:v>2.7233275959039358</c:v>
                </c:pt>
                <c:pt idx="117">
                  <c:v>2.7331581272948231</c:v>
                </c:pt>
                <c:pt idx="118">
                  <c:v>2.5459508095602823</c:v>
                </c:pt>
                <c:pt idx="119">
                  <c:v>2.6244634695885729</c:v>
                </c:pt>
                <c:pt idx="120">
                  <c:v>2.4183823720102184</c:v>
                </c:pt>
                <c:pt idx="121">
                  <c:v>2.28494638738808</c:v>
                </c:pt>
                <c:pt idx="122">
                  <c:v>2.1128772801822104</c:v>
                </c:pt>
                <c:pt idx="123">
                  <c:v>2.2422227520210694</c:v>
                </c:pt>
                <c:pt idx="124">
                  <c:v>2.311282955979109</c:v>
                </c:pt>
                <c:pt idx="125">
                  <c:v>2.1574166263727945</c:v>
                </c:pt>
                <c:pt idx="126">
                  <c:v>2.2110352357244434</c:v>
                </c:pt>
                <c:pt idx="127">
                  <c:v>2.1265606574147511</c:v>
                </c:pt>
                <c:pt idx="128">
                  <c:v>2.1414776828423747</c:v>
                </c:pt>
                <c:pt idx="129">
                  <c:v>2.1805453161933399</c:v>
                </c:pt>
                <c:pt idx="130">
                  <c:v>2.2145948976072818</c:v>
                </c:pt>
                <c:pt idx="131">
                  <c:v>2.0376760365402715</c:v>
                </c:pt>
                <c:pt idx="132">
                  <c:v>2.0400432674676536</c:v>
                </c:pt>
                <c:pt idx="133">
                  <c:v>2.060324684083561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9E-4D2F-B7A9-25ADAEC53C56}"/>
            </c:ext>
          </c:extLst>
        </c:ser>
        <c:ser>
          <c:idx val="9"/>
          <c:order val="9"/>
          <c:tx>
            <c:strRef>
              <c:f>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0.34073814430298494</c:v>
                </c:pt>
                <c:pt idx="3">
                  <c:v>0.54415164186231235</c:v>
                </c:pt>
                <c:pt idx="4">
                  <c:v>0.5368555038344609</c:v>
                </c:pt>
                <c:pt idx="5">
                  <c:v>0.69901959162829885</c:v>
                </c:pt>
                <c:pt idx="6">
                  <c:v>0.71313087010928078</c:v>
                </c:pt>
                <c:pt idx="7">
                  <c:v>0.57638795476942417</c:v>
                </c:pt>
                <c:pt idx="8">
                  <c:v>0.48741493741540209</c:v>
                </c:pt>
                <c:pt idx="9">
                  <c:v>0.59709454486963198</c:v>
                </c:pt>
                <c:pt idx="10">
                  <c:v>0.3972095701791164</c:v>
                </c:pt>
                <c:pt idx="11">
                  <c:v>0.98210083479984167</c:v>
                </c:pt>
                <c:pt idx="12">
                  <c:v>0.84282334135285253</c:v>
                </c:pt>
                <c:pt idx="13">
                  <c:v>0.88825053437035562</c:v>
                </c:pt>
                <c:pt idx="14">
                  <c:v>1.1623339796410452</c:v>
                </c:pt>
                <c:pt idx="15">
                  <c:v>1.2472392108343859</c:v>
                </c:pt>
                <c:pt idx="16">
                  <c:v>1.210675919177689</c:v>
                </c:pt>
                <c:pt idx="17">
                  <c:v>1.0795555582392617</c:v>
                </c:pt>
                <c:pt idx="18">
                  <c:v>1.0697309175048648</c:v>
                </c:pt>
                <c:pt idx="19">
                  <c:v>0.93798042885236244</c:v>
                </c:pt>
                <c:pt idx="20">
                  <c:v>1.0624790476808705</c:v>
                </c:pt>
                <c:pt idx="21">
                  <c:v>1.2702803150342084</c:v>
                </c:pt>
                <c:pt idx="22">
                  <c:v>1.2601366546610058</c:v>
                </c:pt>
                <c:pt idx="23">
                  <c:v>1.2995943703409629</c:v>
                </c:pt>
                <c:pt idx="24">
                  <c:v>1.3190854138810568</c:v>
                </c:pt>
                <c:pt idx="25">
                  <c:v>1.253797818850191</c:v>
                </c:pt>
                <c:pt idx="26">
                  <c:v>1.0942555463859893</c:v>
                </c:pt>
                <c:pt idx="27">
                  <c:v>1.0475581218332437</c:v>
                </c:pt>
                <c:pt idx="28">
                  <c:v>1.0578697325273037</c:v>
                </c:pt>
                <c:pt idx="29">
                  <c:v>1.0047441226407408</c:v>
                </c:pt>
                <c:pt idx="30">
                  <c:v>0.9941733696007824</c:v>
                </c:pt>
                <c:pt idx="31">
                  <c:v>1.1017547321655807</c:v>
                </c:pt>
                <c:pt idx="32">
                  <c:v>1.2038784076770646</c:v>
                </c:pt>
                <c:pt idx="33">
                  <c:v>1.2090643333227655</c:v>
                </c:pt>
                <c:pt idx="34">
                  <c:v>1.314052943475059</c:v>
                </c:pt>
                <c:pt idx="35">
                  <c:v>1.3794327662081696</c:v>
                </c:pt>
                <c:pt idx="36">
                  <c:v>1.4479685736558001</c:v>
                </c:pt>
                <c:pt idx="37">
                  <c:v>1.5599246297188945</c:v>
                </c:pt>
                <c:pt idx="38">
                  <c:v>1.6076510253626211</c:v>
                </c:pt>
                <c:pt idx="39">
                  <c:v>1.626593404278794</c:v>
                </c:pt>
                <c:pt idx="40">
                  <c:v>1.7034589112893417</c:v>
                </c:pt>
                <c:pt idx="41">
                  <c:v>1.908641189519823</c:v>
                </c:pt>
                <c:pt idx="42">
                  <c:v>1.9730970581664524</c:v>
                </c:pt>
                <c:pt idx="43">
                  <c:v>1.9706041468892974</c:v>
                </c:pt>
                <c:pt idx="44">
                  <c:v>2.0184137783982545</c:v>
                </c:pt>
                <c:pt idx="45">
                  <c:v>1.9628929983361207</c:v>
                </c:pt>
                <c:pt idx="46">
                  <c:v>1.9726840282902181</c:v>
                </c:pt>
                <c:pt idx="47">
                  <c:v>2.0386900805077017</c:v>
                </c:pt>
                <c:pt idx="48">
                  <c:v>2.0857113714857398</c:v>
                </c:pt>
                <c:pt idx="49">
                  <c:v>1.8308001015886033</c:v>
                </c:pt>
                <c:pt idx="50">
                  <c:v>1.7597679199405174</c:v>
                </c:pt>
                <c:pt idx="51">
                  <c:v>1.9851140549788555</c:v>
                </c:pt>
                <c:pt idx="52">
                  <c:v>2.0234352027040492</c:v>
                </c:pt>
                <c:pt idx="53">
                  <c:v>2.0016843393334214</c:v>
                </c:pt>
                <c:pt idx="54">
                  <c:v>2.008034872730823</c:v>
                </c:pt>
                <c:pt idx="55">
                  <c:v>2.0116119729112576</c:v>
                </c:pt>
                <c:pt idx="56">
                  <c:v>2.04824716212807</c:v>
                </c:pt>
                <c:pt idx="57">
                  <c:v>1.9719257989893146</c:v>
                </c:pt>
                <c:pt idx="58">
                  <c:v>2.1378953951677064</c:v>
                </c:pt>
                <c:pt idx="59">
                  <c:v>2.1614744213494239</c:v>
                </c:pt>
                <c:pt idx="60">
                  <c:v>2.0930245409698891</c:v>
                </c:pt>
                <c:pt idx="61">
                  <c:v>2.2357456336162391</c:v>
                </c:pt>
                <c:pt idx="62">
                  <c:v>2.3908656375373392</c:v>
                </c:pt>
                <c:pt idx="63">
                  <c:v>2.454513585529587</c:v>
                </c:pt>
                <c:pt idx="64">
                  <c:v>2.3906563491159067</c:v>
                </c:pt>
                <c:pt idx="65">
                  <c:v>2.4951654785353212</c:v>
                </c:pt>
                <c:pt idx="66">
                  <c:v>2.5497077093698262</c:v>
                </c:pt>
                <c:pt idx="67">
                  <c:v>2.5620315715536908</c:v>
                </c:pt>
                <c:pt idx="68">
                  <c:v>2.5678917443088669</c:v>
                </c:pt>
                <c:pt idx="69">
                  <c:v>2.7001364382833097</c:v>
                </c:pt>
                <c:pt idx="70">
                  <c:v>2.8356329004818788</c:v>
                </c:pt>
                <c:pt idx="71">
                  <c:v>2.9777759006673321</c:v>
                </c:pt>
                <c:pt idx="72">
                  <c:v>2.831096703731601</c:v>
                </c:pt>
                <c:pt idx="73">
                  <c:v>2.8281058844471869</c:v>
                </c:pt>
                <c:pt idx="74">
                  <c:v>2.7777260332290705</c:v>
                </c:pt>
                <c:pt idx="75">
                  <c:v>2.8253889619497863</c:v>
                </c:pt>
                <c:pt idx="76">
                  <c:v>2.9204483957973455</c:v>
                </c:pt>
                <c:pt idx="77">
                  <c:v>2.8570270045990873</c:v>
                </c:pt>
                <c:pt idx="78">
                  <c:v>2.8103334551301242</c:v>
                </c:pt>
                <c:pt idx="79">
                  <c:v>3.0983895194925974</c:v>
                </c:pt>
                <c:pt idx="80">
                  <c:v>2.703313577027552</c:v>
                </c:pt>
                <c:pt idx="81">
                  <c:v>2.8345792538286245</c:v>
                </c:pt>
                <c:pt idx="82">
                  <c:v>2.6908280646709386</c:v>
                </c:pt>
                <c:pt idx="83">
                  <c:v>2.7709283857471503</c:v>
                </c:pt>
                <c:pt idx="84">
                  <c:v>2.6904287693561679</c:v>
                </c:pt>
                <c:pt idx="85">
                  <c:v>2.6048010123396654</c:v>
                </c:pt>
                <c:pt idx="86">
                  <c:v>2.7318515590697996</c:v>
                </c:pt>
                <c:pt idx="87">
                  <c:v>2.5979611344468347</c:v>
                </c:pt>
                <c:pt idx="88">
                  <c:v>2.823464122850206</c:v>
                </c:pt>
                <c:pt idx="89">
                  <c:v>2.8540030130539815</c:v>
                </c:pt>
                <c:pt idx="90">
                  <c:v>2.3391377644563889</c:v>
                </c:pt>
                <c:pt idx="91">
                  <c:v>2.5618378253343015</c:v>
                </c:pt>
                <c:pt idx="92">
                  <c:v>2.5651259170593921</c:v>
                </c:pt>
                <c:pt idx="93">
                  <c:v>2.6559501950390718</c:v>
                </c:pt>
                <c:pt idx="94">
                  <c:v>2.7255965911858437</c:v>
                </c:pt>
                <c:pt idx="95">
                  <c:v>2.8078894640401826</c:v>
                </c:pt>
                <c:pt idx="96">
                  <c:v>2.7452159038706911</c:v>
                </c:pt>
                <c:pt idx="97">
                  <c:v>2.8434415358920782</c:v>
                </c:pt>
                <c:pt idx="98">
                  <c:v>2.9084469531730668</c:v>
                </c:pt>
                <c:pt idx="99">
                  <c:v>3.0105691288304737</c:v>
                </c:pt>
                <c:pt idx="100">
                  <c:v>3.0020872124265594</c:v>
                </c:pt>
                <c:pt idx="101">
                  <c:v>3.2395385832523895</c:v>
                </c:pt>
                <c:pt idx="102">
                  <c:v>3.2407308397091215</c:v>
                </c:pt>
                <c:pt idx="103">
                  <c:v>3.189106406032967</c:v>
                </c:pt>
                <c:pt idx="104">
                  <c:v>3.1440588468096764</c:v>
                </c:pt>
                <c:pt idx="105">
                  <c:v>3.2653815356783253</c:v>
                </c:pt>
                <c:pt idx="106">
                  <c:v>3.2776196442666441</c:v>
                </c:pt>
                <c:pt idx="107">
                  <c:v>3.2991805249645187</c:v>
                </c:pt>
                <c:pt idx="108">
                  <c:v>3.3070269030930519</c:v>
                </c:pt>
                <c:pt idx="109">
                  <c:v>3.3211037233055065</c:v>
                </c:pt>
                <c:pt idx="110">
                  <c:v>3.3555112015856858</c:v>
                </c:pt>
                <c:pt idx="111">
                  <c:v>3.3175998883951259</c:v>
                </c:pt>
                <c:pt idx="112">
                  <c:v>3.4571025952140304</c:v>
                </c:pt>
                <c:pt idx="113">
                  <c:v>3.555467534053407</c:v>
                </c:pt>
                <c:pt idx="114">
                  <c:v>3.5256334144111667</c:v>
                </c:pt>
                <c:pt idx="115">
                  <c:v>3.5968310269051598</c:v>
                </c:pt>
                <c:pt idx="116">
                  <c:v>3.6792768192358394</c:v>
                </c:pt>
                <c:pt idx="117">
                  <c:v>3.7035429743294053</c:v>
                </c:pt>
                <c:pt idx="118">
                  <c:v>3.5488017883000698</c:v>
                </c:pt>
                <c:pt idx="119">
                  <c:v>3.5989726473371504</c:v>
                </c:pt>
                <c:pt idx="120">
                  <c:v>3.398133173499855</c:v>
                </c:pt>
                <c:pt idx="121">
                  <c:v>3.2275623708143941</c:v>
                </c:pt>
                <c:pt idx="122">
                  <c:v>3.1994720768180156</c:v>
                </c:pt>
                <c:pt idx="123">
                  <c:v>3.3397480536878934</c:v>
                </c:pt>
                <c:pt idx="124">
                  <c:v>3.4679959223520145</c:v>
                </c:pt>
                <c:pt idx="125">
                  <c:v>3.282029708320831</c:v>
                </c:pt>
                <c:pt idx="126">
                  <c:v>3.3066257038588471</c:v>
                </c:pt>
                <c:pt idx="127">
                  <c:v>3.2537816372985584</c:v>
                </c:pt>
                <c:pt idx="128">
                  <c:v>3.2289161148501302</c:v>
                </c:pt>
                <c:pt idx="129">
                  <c:v>3.2373242610207162</c:v>
                </c:pt>
                <c:pt idx="130">
                  <c:v>3.2513613161187584</c:v>
                </c:pt>
                <c:pt idx="131">
                  <c:v>3.1968624597705779</c:v>
                </c:pt>
                <c:pt idx="132">
                  <c:v>3.2112913118789961</c:v>
                </c:pt>
                <c:pt idx="133">
                  <c:v>3.1925200478368772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9E-4D2F-B7A9-25ADAEC53C56}"/>
            </c:ext>
          </c:extLst>
        </c:ser>
        <c:ser>
          <c:idx val="10"/>
          <c:order val="10"/>
          <c:tx>
            <c:strRef>
              <c:f>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0.30668062111375483</c:v>
                </c:pt>
                <c:pt idx="3">
                  <c:v>0.16681317080436783</c:v>
                </c:pt>
                <c:pt idx="4">
                  <c:v>0.13385834655456921</c:v>
                </c:pt>
                <c:pt idx="5">
                  <c:v>0.2580364095152155</c:v>
                </c:pt>
                <c:pt idx="6">
                  <c:v>0.27547375272150565</c:v>
                </c:pt>
                <c:pt idx="7">
                  <c:v>0.17122024998487614</c:v>
                </c:pt>
                <c:pt idx="8">
                  <c:v>1.7933479330366847E-2</c:v>
                </c:pt>
                <c:pt idx="9">
                  <c:v>0.18911683875626806</c:v>
                </c:pt>
                <c:pt idx="10">
                  <c:v>4.4540514133179498E-3</c:v>
                </c:pt>
                <c:pt idx="11">
                  <c:v>0.76059749453065684</c:v>
                </c:pt>
                <c:pt idx="12">
                  <c:v>0.69415516236570263</c:v>
                </c:pt>
                <c:pt idx="13">
                  <c:v>0.78478603679233694</c:v>
                </c:pt>
                <c:pt idx="14">
                  <c:v>0.91205692702372709</c:v>
                </c:pt>
                <c:pt idx="15">
                  <c:v>0.97875521963005874</c:v>
                </c:pt>
                <c:pt idx="16">
                  <c:v>0.9395210760928796</c:v>
                </c:pt>
                <c:pt idx="17">
                  <c:v>0.83467210893624966</c:v>
                </c:pt>
                <c:pt idx="18">
                  <c:v>0.88716101543187142</c:v>
                </c:pt>
                <c:pt idx="19">
                  <c:v>0.71153611296145902</c:v>
                </c:pt>
                <c:pt idx="20">
                  <c:v>0.86958386612540972</c:v>
                </c:pt>
                <c:pt idx="21">
                  <c:v>1.1267862173389067</c:v>
                </c:pt>
                <c:pt idx="22">
                  <c:v>1.056932885636106</c:v>
                </c:pt>
                <c:pt idx="23">
                  <c:v>1.0807990074264624</c:v>
                </c:pt>
                <c:pt idx="24">
                  <c:v>1.0878470243133191</c:v>
                </c:pt>
                <c:pt idx="25">
                  <c:v>1.049572969891748</c:v>
                </c:pt>
                <c:pt idx="26">
                  <c:v>0.87235989174288531</c:v>
                </c:pt>
                <c:pt idx="27">
                  <c:v>0.85989258907231281</c:v>
                </c:pt>
                <c:pt idx="28">
                  <c:v>0.77474490311460564</c:v>
                </c:pt>
                <c:pt idx="29">
                  <c:v>0.72756258695658149</c:v>
                </c:pt>
                <c:pt idx="30">
                  <c:v>0.68158877394889239</c:v>
                </c:pt>
                <c:pt idx="31">
                  <c:v>0.78745473336936511</c:v>
                </c:pt>
                <c:pt idx="32">
                  <c:v>0.89845844459631408</c:v>
                </c:pt>
                <c:pt idx="33">
                  <c:v>0.91153998623367105</c:v>
                </c:pt>
                <c:pt idx="34">
                  <c:v>0.84327065806954327</c:v>
                </c:pt>
                <c:pt idx="35">
                  <c:v>0.88361162487644362</c:v>
                </c:pt>
                <c:pt idx="36">
                  <c:v>0.96770052834414721</c:v>
                </c:pt>
                <c:pt idx="37">
                  <c:v>1.0788333380077064</c:v>
                </c:pt>
                <c:pt idx="38">
                  <c:v>1.1535507114014121</c:v>
                </c:pt>
                <c:pt idx="39">
                  <c:v>1.1740434399193906</c:v>
                </c:pt>
                <c:pt idx="40">
                  <c:v>1.2534695573979837</c:v>
                </c:pt>
                <c:pt idx="41">
                  <c:v>1.5040022355563663</c:v>
                </c:pt>
                <c:pt idx="42">
                  <c:v>1.5868126744549162</c:v>
                </c:pt>
                <c:pt idx="43">
                  <c:v>1.5616763126148898</c:v>
                </c:pt>
                <c:pt idx="44">
                  <c:v>1.5951767645257597</c:v>
                </c:pt>
                <c:pt idx="45">
                  <c:v>1.5353635878498797</c:v>
                </c:pt>
                <c:pt idx="46">
                  <c:v>1.5052141986428706</c:v>
                </c:pt>
                <c:pt idx="47">
                  <c:v>1.3974535628683062</c:v>
                </c:pt>
                <c:pt idx="48">
                  <c:v>1.4691869482025368</c:v>
                </c:pt>
                <c:pt idx="49">
                  <c:v>1.3142831698813846</c:v>
                </c:pt>
                <c:pt idx="50">
                  <c:v>1.2686847447139227</c:v>
                </c:pt>
                <c:pt idx="51">
                  <c:v>1.5706146892543456</c:v>
                </c:pt>
                <c:pt idx="52">
                  <c:v>1.4397777511313903</c:v>
                </c:pt>
                <c:pt idx="53">
                  <c:v>1.417603569665562</c:v>
                </c:pt>
                <c:pt idx="54">
                  <c:v>1.4398197530600425</c:v>
                </c:pt>
                <c:pt idx="55">
                  <c:v>1.4534585703983622</c:v>
                </c:pt>
                <c:pt idx="56">
                  <c:v>1.4997380825667483</c:v>
                </c:pt>
                <c:pt idx="57">
                  <c:v>1.3717775402286165</c:v>
                </c:pt>
                <c:pt idx="58">
                  <c:v>1.4828662596385236</c:v>
                </c:pt>
                <c:pt idx="59">
                  <c:v>1.5378626747892445</c:v>
                </c:pt>
                <c:pt idx="60">
                  <c:v>1.4960230388555793</c:v>
                </c:pt>
                <c:pt idx="61">
                  <c:v>1.6578033779266146</c:v>
                </c:pt>
                <c:pt idx="62">
                  <c:v>1.8496004173826617</c:v>
                </c:pt>
                <c:pt idx="63">
                  <c:v>1.8342728653596194</c:v>
                </c:pt>
                <c:pt idx="64">
                  <c:v>1.783788436246869</c:v>
                </c:pt>
                <c:pt idx="65">
                  <c:v>1.8586239864019753</c:v>
                </c:pt>
                <c:pt idx="66">
                  <c:v>1.8864540838002879</c:v>
                </c:pt>
                <c:pt idx="67">
                  <c:v>1.9072676932667407</c:v>
                </c:pt>
                <c:pt idx="68">
                  <c:v>1.8908949108899415</c:v>
                </c:pt>
                <c:pt idx="69">
                  <c:v>2.0214256142264877</c:v>
                </c:pt>
                <c:pt idx="70">
                  <c:v>2.234374380364498</c:v>
                </c:pt>
                <c:pt idx="71">
                  <c:v>2.392918352762107</c:v>
                </c:pt>
                <c:pt idx="72">
                  <c:v>2.2182498548344998</c:v>
                </c:pt>
                <c:pt idx="73">
                  <c:v>2.2548873005264722</c:v>
                </c:pt>
                <c:pt idx="74">
                  <c:v>2.2501405141237374</c:v>
                </c:pt>
                <c:pt idx="75">
                  <c:v>2.2973982499866294</c:v>
                </c:pt>
                <c:pt idx="76">
                  <c:v>2.4414769860208847</c:v>
                </c:pt>
                <c:pt idx="77">
                  <c:v>2.292483707774958</c:v>
                </c:pt>
                <c:pt idx="78">
                  <c:v>2.2774980043368016</c:v>
                </c:pt>
                <c:pt idx="79">
                  <c:v>2.6113760410495246</c:v>
                </c:pt>
                <c:pt idx="80">
                  <c:v>2.2179887019452464</c:v>
                </c:pt>
                <c:pt idx="81">
                  <c:v>2.4067884877055237</c:v>
                </c:pt>
                <c:pt idx="82">
                  <c:v>2.2035253955029366</c:v>
                </c:pt>
                <c:pt idx="83">
                  <c:v>2.3194441667823846</c:v>
                </c:pt>
                <c:pt idx="84">
                  <c:v>2.2016644205040254</c:v>
                </c:pt>
                <c:pt idx="85">
                  <c:v>2.0982849154144629</c:v>
                </c:pt>
                <c:pt idx="86">
                  <c:v>2.1344482580191455</c:v>
                </c:pt>
                <c:pt idx="87">
                  <c:v>1.8937964593941048</c:v>
                </c:pt>
                <c:pt idx="88">
                  <c:v>2.21422846305193</c:v>
                </c:pt>
                <c:pt idx="89">
                  <c:v>2.2056816912310224</c:v>
                </c:pt>
                <c:pt idx="90">
                  <c:v>1.5557252229818668</c:v>
                </c:pt>
                <c:pt idx="91">
                  <c:v>1.8151337799512692</c:v>
                </c:pt>
                <c:pt idx="92">
                  <c:v>1.8028000006256046</c:v>
                </c:pt>
                <c:pt idx="93">
                  <c:v>1.9646504219269967</c:v>
                </c:pt>
                <c:pt idx="94">
                  <c:v>1.9494482384055738</c:v>
                </c:pt>
                <c:pt idx="95">
                  <c:v>2.0076807597615591</c:v>
                </c:pt>
                <c:pt idx="96">
                  <c:v>1.8874490477974613</c:v>
                </c:pt>
                <c:pt idx="97">
                  <c:v>1.9996827430045154</c:v>
                </c:pt>
                <c:pt idx="98">
                  <c:v>2.0361339963306806</c:v>
                </c:pt>
                <c:pt idx="99">
                  <c:v>2.0398835895985297</c:v>
                </c:pt>
                <c:pt idx="100">
                  <c:v>2.0318947638250204</c:v>
                </c:pt>
                <c:pt idx="101">
                  <c:v>2.2948152484242597</c:v>
                </c:pt>
                <c:pt idx="102">
                  <c:v>2.2908234945423356</c:v>
                </c:pt>
                <c:pt idx="103">
                  <c:v>2.2324399877138434</c:v>
                </c:pt>
                <c:pt idx="104">
                  <c:v>2.2117152032696858</c:v>
                </c:pt>
                <c:pt idx="105">
                  <c:v>2.3596093058424894</c:v>
                </c:pt>
                <c:pt idx="106">
                  <c:v>2.3541175478605392</c:v>
                </c:pt>
                <c:pt idx="107">
                  <c:v>2.3711493231340923</c:v>
                </c:pt>
                <c:pt idx="108">
                  <c:v>2.4031343662149798</c:v>
                </c:pt>
                <c:pt idx="109">
                  <c:v>2.4170797123984835</c:v>
                </c:pt>
                <c:pt idx="110">
                  <c:v>2.4806407116607327</c:v>
                </c:pt>
                <c:pt idx="111">
                  <c:v>2.4303947058276369</c:v>
                </c:pt>
                <c:pt idx="112">
                  <c:v>2.6095294196504772</c:v>
                </c:pt>
                <c:pt idx="113">
                  <c:v>2.7344710673878603</c:v>
                </c:pt>
                <c:pt idx="114">
                  <c:v>2.6710050163498269</c:v>
                </c:pt>
                <c:pt idx="115">
                  <c:v>2.7177683445538343</c:v>
                </c:pt>
                <c:pt idx="116">
                  <c:v>2.8412058458654723</c:v>
                </c:pt>
                <c:pt idx="117">
                  <c:v>2.8514331037183762</c:v>
                </c:pt>
                <c:pt idx="118">
                  <c:v>2.7204020998989362</c:v>
                </c:pt>
                <c:pt idx="119">
                  <c:v>2.7143095472836181</c:v>
                </c:pt>
                <c:pt idx="120">
                  <c:v>2.5172586257212588</c:v>
                </c:pt>
                <c:pt idx="121">
                  <c:v>2.4589016167244937</c:v>
                </c:pt>
                <c:pt idx="122">
                  <c:v>2.4014062258876545</c:v>
                </c:pt>
                <c:pt idx="123">
                  <c:v>2.5271113435658323</c:v>
                </c:pt>
                <c:pt idx="124">
                  <c:v>2.6055010672728294</c:v>
                </c:pt>
                <c:pt idx="125">
                  <c:v>2.3830584588245345</c:v>
                </c:pt>
                <c:pt idx="126">
                  <c:v>2.3749113421989945</c:v>
                </c:pt>
                <c:pt idx="127">
                  <c:v>2.271163361253437</c:v>
                </c:pt>
                <c:pt idx="128">
                  <c:v>2.2006147124140782</c:v>
                </c:pt>
                <c:pt idx="129">
                  <c:v>2.1200179848787601</c:v>
                </c:pt>
                <c:pt idx="130">
                  <c:v>2.1415130864543985</c:v>
                </c:pt>
                <c:pt idx="131">
                  <c:v>2.064099519396791</c:v>
                </c:pt>
                <c:pt idx="132">
                  <c:v>2.0975458232090043</c:v>
                </c:pt>
                <c:pt idx="133">
                  <c:v>2.0627555768368318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9E-4D2F-B7A9-25ADAEC53C56}"/>
            </c:ext>
          </c:extLst>
        </c:ser>
        <c:ser>
          <c:idx val="11"/>
          <c:order val="11"/>
          <c:tx>
            <c:strRef>
              <c:f>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0.45614072057711785</c:v>
                </c:pt>
                <c:pt idx="3">
                  <c:v>0.45240048763520718</c:v>
                </c:pt>
                <c:pt idx="4">
                  <c:v>0.40017631378870883</c:v>
                </c:pt>
                <c:pt idx="5">
                  <c:v>0.38198784294722415</c:v>
                </c:pt>
                <c:pt idx="6">
                  <c:v>0.34560135408081705</c:v>
                </c:pt>
                <c:pt idx="7">
                  <c:v>0.23072384815037195</c:v>
                </c:pt>
                <c:pt idx="8">
                  <c:v>2.6234371678138357E-2</c:v>
                </c:pt>
                <c:pt idx="9">
                  <c:v>8.0277901453736977E-2</c:v>
                </c:pt>
                <c:pt idx="10">
                  <c:v>-6.7009066573759934E-2</c:v>
                </c:pt>
                <c:pt idx="11">
                  <c:v>0.9088923766975201</c:v>
                </c:pt>
                <c:pt idx="12">
                  <c:v>0.78599266939035173</c:v>
                </c:pt>
                <c:pt idx="13">
                  <c:v>0.84067419542489963</c:v>
                </c:pt>
                <c:pt idx="14">
                  <c:v>1.1318476888916043</c:v>
                </c:pt>
                <c:pt idx="15">
                  <c:v>1.1946696668613659</c:v>
                </c:pt>
                <c:pt idx="16">
                  <c:v>1.1220970024113037</c:v>
                </c:pt>
                <c:pt idx="17">
                  <c:v>1.0374208266425751</c:v>
                </c:pt>
                <c:pt idx="18">
                  <c:v>1.0966626161236765</c:v>
                </c:pt>
                <c:pt idx="19">
                  <c:v>0.86418541275275185</c:v>
                </c:pt>
                <c:pt idx="20">
                  <c:v>1.1237327364298111</c:v>
                </c:pt>
                <c:pt idx="21">
                  <c:v>1.3182891978874554</c:v>
                </c:pt>
                <c:pt idx="22">
                  <c:v>1.2503392762961045</c:v>
                </c:pt>
                <c:pt idx="23">
                  <c:v>1.2913912428163559</c:v>
                </c:pt>
                <c:pt idx="24">
                  <c:v>1.2979975347858261</c:v>
                </c:pt>
                <c:pt idx="25">
                  <c:v>1.2502485895666706</c:v>
                </c:pt>
                <c:pt idx="26">
                  <c:v>1.0162399686202259</c:v>
                </c:pt>
                <c:pt idx="27">
                  <c:v>1.0012290682631786</c:v>
                </c:pt>
                <c:pt idx="28">
                  <c:v>0.77951583244152944</c:v>
                </c:pt>
                <c:pt idx="29">
                  <c:v>0.71260957235177813</c:v>
                </c:pt>
                <c:pt idx="30">
                  <c:v>0.71055189530135077</c:v>
                </c:pt>
                <c:pt idx="31">
                  <c:v>0.79472347982453395</c:v>
                </c:pt>
                <c:pt idx="32">
                  <c:v>1.0038750784447976</c:v>
                </c:pt>
                <c:pt idx="33">
                  <c:v>1.0274625187388218</c:v>
                </c:pt>
                <c:pt idx="34">
                  <c:v>1.0460202494755331</c:v>
                </c:pt>
                <c:pt idx="35">
                  <c:v>1.1774519626680686</c:v>
                </c:pt>
                <c:pt idx="36">
                  <c:v>1.1852214516729338</c:v>
                </c:pt>
                <c:pt idx="37">
                  <c:v>1.4275361510302345</c:v>
                </c:pt>
                <c:pt idx="38">
                  <c:v>1.4221991988388103</c:v>
                </c:pt>
                <c:pt idx="39">
                  <c:v>1.2569328265053181</c:v>
                </c:pt>
                <c:pt idx="40">
                  <c:v>1.3463578187649288</c:v>
                </c:pt>
                <c:pt idx="41">
                  <c:v>1.6831018626099965</c:v>
                </c:pt>
                <c:pt idx="42">
                  <c:v>1.668394974612619</c:v>
                </c:pt>
                <c:pt idx="43">
                  <c:v>1.6269672527989694</c:v>
                </c:pt>
                <c:pt idx="44">
                  <c:v>1.6601127789274737</c:v>
                </c:pt>
                <c:pt idx="45">
                  <c:v>1.6324737847300996</c:v>
                </c:pt>
                <c:pt idx="46">
                  <c:v>1.5804468748916969</c:v>
                </c:pt>
                <c:pt idx="47">
                  <c:v>1.6455840292173993</c:v>
                </c:pt>
                <c:pt idx="48">
                  <c:v>1.8158180100579815</c:v>
                </c:pt>
                <c:pt idx="49">
                  <c:v>1.7520643926569213</c:v>
                </c:pt>
                <c:pt idx="50">
                  <c:v>1.761711172737022</c:v>
                </c:pt>
                <c:pt idx="51">
                  <c:v>1.7106616886341368</c:v>
                </c:pt>
                <c:pt idx="52">
                  <c:v>1.409833439461071</c:v>
                </c:pt>
                <c:pt idx="53">
                  <c:v>1.5046643208075212</c:v>
                </c:pt>
                <c:pt idx="54">
                  <c:v>1.4332335584102247</c:v>
                </c:pt>
                <c:pt idx="55">
                  <c:v>1.4103865678055385</c:v>
                </c:pt>
                <c:pt idx="56">
                  <c:v>1.4851480390022911</c:v>
                </c:pt>
                <c:pt idx="57">
                  <c:v>1.281664057647004</c:v>
                </c:pt>
                <c:pt idx="58">
                  <c:v>1.472776136970203</c:v>
                </c:pt>
                <c:pt idx="59">
                  <c:v>1.57677945223813</c:v>
                </c:pt>
                <c:pt idx="60">
                  <c:v>1.5788135605746074</c:v>
                </c:pt>
                <c:pt idx="61">
                  <c:v>1.7283478568248469</c:v>
                </c:pt>
                <c:pt idx="62">
                  <c:v>1.9175285436120009</c:v>
                </c:pt>
                <c:pt idx="63">
                  <c:v>1.9105813728531877</c:v>
                </c:pt>
                <c:pt idx="64">
                  <c:v>1.9471063145991869</c:v>
                </c:pt>
                <c:pt idx="65">
                  <c:v>2.0453727138106435</c:v>
                </c:pt>
                <c:pt idx="66">
                  <c:v>2.1174206152459094</c:v>
                </c:pt>
                <c:pt idx="67">
                  <c:v>2.1352649367098722</c:v>
                </c:pt>
                <c:pt idx="68">
                  <c:v>2.0619895480519603</c:v>
                </c:pt>
                <c:pt idx="69">
                  <c:v>2.2056393540779573</c:v>
                </c:pt>
                <c:pt idx="70">
                  <c:v>2.411327089923903</c:v>
                </c:pt>
                <c:pt idx="71">
                  <c:v>2.5247946582840917</c:v>
                </c:pt>
                <c:pt idx="72">
                  <c:v>2.3226423250084003</c:v>
                </c:pt>
                <c:pt idx="73">
                  <c:v>2.3144292052811473</c:v>
                </c:pt>
                <c:pt idx="74">
                  <c:v>2.3042235125867996</c:v>
                </c:pt>
                <c:pt idx="75">
                  <c:v>2.3118932750186443</c:v>
                </c:pt>
                <c:pt idx="76">
                  <c:v>2.518265997406131</c:v>
                </c:pt>
                <c:pt idx="77">
                  <c:v>2.3006517944136911</c:v>
                </c:pt>
                <c:pt idx="78">
                  <c:v>2.5256104219093714</c:v>
                </c:pt>
                <c:pt idx="79">
                  <c:v>2.7172868769241565</c:v>
                </c:pt>
                <c:pt idx="80">
                  <c:v>2.6006622701276951</c:v>
                </c:pt>
                <c:pt idx="81">
                  <c:v>2.7577971799188603</c:v>
                </c:pt>
                <c:pt idx="82">
                  <c:v>2.3645533919951838</c:v>
                </c:pt>
                <c:pt idx="83">
                  <c:v>2.5447498409166123</c:v>
                </c:pt>
                <c:pt idx="84">
                  <c:v>2.2348504237885152</c:v>
                </c:pt>
                <c:pt idx="85">
                  <c:v>2.2149750562381048</c:v>
                </c:pt>
                <c:pt idx="86">
                  <c:v>2.3110920509660664</c:v>
                </c:pt>
                <c:pt idx="87">
                  <c:v>1.902431038298648</c:v>
                </c:pt>
                <c:pt idx="88">
                  <c:v>2.2891639848215575</c:v>
                </c:pt>
                <c:pt idx="89">
                  <c:v>2.2361588064517544</c:v>
                </c:pt>
                <c:pt idx="90">
                  <c:v>1.3272355190861345</c:v>
                </c:pt>
                <c:pt idx="91">
                  <c:v>1.6385962622488912</c:v>
                </c:pt>
                <c:pt idx="92">
                  <c:v>1.6294125177490852</c:v>
                </c:pt>
                <c:pt idx="93">
                  <c:v>1.6410103215701639</c:v>
                </c:pt>
                <c:pt idx="94">
                  <c:v>1.6040361025788854</c:v>
                </c:pt>
                <c:pt idx="95">
                  <c:v>1.6496986442901393</c:v>
                </c:pt>
                <c:pt idx="96">
                  <c:v>1.6286420485768522</c:v>
                </c:pt>
                <c:pt idx="97">
                  <c:v>1.6063969110880465</c:v>
                </c:pt>
                <c:pt idx="98">
                  <c:v>1.7072982428904651</c:v>
                </c:pt>
                <c:pt idx="99">
                  <c:v>1.6185812487939386</c:v>
                </c:pt>
                <c:pt idx="100">
                  <c:v>1.6406277795473172</c:v>
                </c:pt>
                <c:pt idx="101">
                  <c:v>1.8226265734046685</c:v>
                </c:pt>
                <c:pt idx="102">
                  <c:v>1.7916444371787581</c:v>
                </c:pt>
                <c:pt idx="103">
                  <c:v>1.7756892803117617</c:v>
                </c:pt>
                <c:pt idx="104">
                  <c:v>1.8948797663821759</c:v>
                </c:pt>
                <c:pt idx="105">
                  <c:v>2.1082908107891725</c:v>
                </c:pt>
                <c:pt idx="106">
                  <c:v>2.0988955848375275</c:v>
                </c:pt>
                <c:pt idx="107">
                  <c:v>2.1608377118824329</c:v>
                </c:pt>
                <c:pt idx="108">
                  <c:v>2.1991077237571499</c:v>
                </c:pt>
                <c:pt idx="109">
                  <c:v>2.2545211710658926</c:v>
                </c:pt>
                <c:pt idx="110">
                  <c:v>2.3080007679819134</c:v>
                </c:pt>
                <c:pt idx="111">
                  <c:v>2.2209427598095655</c:v>
                </c:pt>
                <c:pt idx="112">
                  <c:v>2.4987759763684085</c:v>
                </c:pt>
                <c:pt idx="113">
                  <c:v>2.7148770359086822</c:v>
                </c:pt>
                <c:pt idx="114">
                  <c:v>2.6953797309893162</c:v>
                </c:pt>
                <c:pt idx="115">
                  <c:v>2.7018769270332865</c:v>
                </c:pt>
                <c:pt idx="116">
                  <c:v>2.8659682307671206</c:v>
                </c:pt>
                <c:pt idx="117">
                  <c:v>2.9130564634228433</c:v>
                </c:pt>
                <c:pt idx="118">
                  <c:v>2.7428454669193054</c:v>
                </c:pt>
                <c:pt idx="119">
                  <c:v>2.6529594641879988</c:v>
                </c:pt>
                <c:pt idx="120">
                  <c:v>2.3648628872689526</c:v>
                </c:pt>
                <c:pt idx="121">
                  <c:v>2.2409076640727537</c:v>
                </c:pt>
                <c:pt idx="122">
                  <c:v>2.2751948493277512</c:v>
                </c:pt>
                <c:pt idx="123">
                  <c:v>2.5514664576571908</c:v>
                </c:pt>
                <c:pt idx="124">
                  <c:v>2.6926946902400295</c:v>
                </c:pt>
                <c:pt idx="125">
                  <c:v>2.3792014838610633</c:v>
                </c:pt>
                <c:pt idx="126">
                  <c:v>2.5490783125133176</c:v>
                </c:pt>
                <c:pt idx="127">
                  <c:v>2.4462052938868051</c:v>
                </c:pt>
                <c:pt idx="128">
                  <c:v>2.4227563862736856</c:v>
                </c:pt>
                <c:pt idx="129">
                  <c:v>2.3600029465630104</c:v>
                </c:pt>
                <c:pt idx="130">
                  <c:v>2.3234186302371969</c:v>
                </c:pt>
                <c:pt idx="131">
                  <c:v>2.2319927256174159</c:v>
                </c:pt>
                <c:pt idx="132">
                  <c:v>2.2910434095056562</c:v>
                </c:pt>
                <c:pt idx="133">
                  <c:v>2.2432611309139965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9E-4D2F-B7A9-25ADAEC53C56}"/>
            </c:ext>
          </c:extLst>
        </c:ser>
        <c:ser>
          <c:idx val="12"/>
          <c:order val="12"/>
          <c:tx>
            <c:strRef>
              <c:f>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0.27112360727540824</c:v>
                </c:pt>
                <c:pt idx="3">
                  <c:v>0.34645010110711494</c:v>
                </c:pt>
                <c:pt idx="4">
                  <c:v>0.57221012416468731</c:v>
                </c:pt>
                <c:pt idx="5">
                  <c:v>0.60806592081964395</c:v>
                </c:pt>
                <c:pt idx="6">
                  <c:v>0.62499301000038776</c:v>
                </c:pt>
                <c:pt idx="7">
                  <c:v>0.50953021178636526</c:v>
                </c:pt>
                <c:pt idx="8">
                  <c:v>0.48801493343140517</c:v>
                </c:pt>
                <c:pt idx="9">
                  <c:v>0.58363818394008726</c:v>
                </c:pt>
                <c:pt idx="10">
                  <c:v>0.36585251090234577</c:v>
                </c:pt>
                <c:pt idx="11">
                  <c:v>2.1348838800149146</c:v>
                </c:pt>
                <c:pt idx="12">
                  <c:v>1.8906060166267311</c:v>
                </c:pt>
                <c:pt idx="13">
                  <c:v>1.8923423054910784</c:v>
                </c:pt>
                <c:pt idx="14">
                  <c:v>1.889495169888681</c:v>
                </c:pt>
                <c:pt idx="15">
                  <c:v>1.8616723460035929</c:v>
                </c:pt>
                <c:pt idx="16">
                  <c:v>1.8506178857961442</c:v>
                </c:pt>
                <c:pt idx="17">
                  <c:v>1.5628012822766564</c:v>
                </c:pt>
                <c:pt idx="18">
                  <c:v>1.8486575722580572</c:v>
                </c:pt>
                <c:pt idx="19">
                  <c:v>1.7499790609987271</c:v>
                </c:pt>
                <c:pt idx="20">
                  <c:v>1.585414543411847</c:v>
                </c:pt>
                <c:pt idx="21">
                  <c:v>1.5845156669468297</c:v>
                </c:pt>
                <c:pt idx="22">
                  <c:v>1.4641981738822991</c:v>
                </c:pt>
                <c:pt idx="23">
                  <c:v>1.4398036251327229</c:v>
                </c:pt>
                <c:pt idx="24">
                  <c:v>1.4533513933703002</c:v>
                </c:pt>
                <c:pt idx="25">
                  <c:v>1.2690999707015218</c:v>
                </c:pt>
                <c:pt idx="26">
                  <c:v>1.022931011916822</c:v>
                </c:pt>
                <c:pt idx="27">
                  <c:v>1.0151091730241923</c:v>
                </c:pt>
                <c:pt idx="28">
                  <c:v>0.83984035801685031</c:v>
                </c:pt>
                <c:pt idx="29">
                  <c:v>0.81731834798205982</c:v>
                </c:pt>
                <c:pt idx="30">
                  <c:v>0.92321882045646053</c:v>
                </c:pt>
                <c:pt idx="31">
                  <c:v>0.97991618052425011</c:v>
                </c:pt>
                <c:pt idx="32">
                  <c:v>1.2903304157535924</c:v>
                </c:pt>
                <c:pt idx="33">
                  <c:v>1.3757656175444566</c:v>
                </c:pt>
                <c:pt idx="34">
                  <c:v>1.3772065946244048</c:v>
                </c:pt>
                <c:pt idx="35">
                  <c:v>1.3225296591337694</c:v>
                </c:pt>
                <c:pt idx="36">
                  <c:v>1.3036103777132426</c:v>
                </c:pt>
                <c:pt idx="37">
                  <c:v>1.524799842858674</c:v>
                </c:pt>
                <c:pt idx="38">
                  <c:v>1.590889954687664</c:v>
                </c:pt>
                <c:pt idx="39">
                  <c:v>1.4264032655297436</c:v>
                </c:pt>
                <c:pt idx="40">
                  <c:v>1.4734802383639893</c:v>
                </c:pt>
                <c:pt idx="41">
                  <c:v>1.4831194949715962</c:v>
                </c:pt>
                <c:pt idx="42">
                  <c:v>1.4551634177050061</c:v>
                </c:pt>
                <c:pt idx="43">
                  <c:v>1.4856226251897149</c:v>
                </c:pt>
                <c:pt idx="44">
                  <c:v>1.5297179450549392</c:v>
                </c:pt>
                <c:pt idx="45">
                  <c:v>1.4425659928680432</c:v>
                </c:pt>
                <c:pt idx="46">
                  <c:v>1.4475535343790824</c:v>
                </c:pt>
                <c:pt idx="47">
                  <c:v>1.4219917359612255</c:v>
                </c:pt>
                <c:pt idx="48">
                  <c:v>1.590119029846115</c:v>
                </c:pt>
                <c:pt idx="49">
                  <c:v>1.6279861034457801</c:v>
                </c:pt>
                <c:pt idx="50">
                  <c:v>1.5741913713611468</c:v>
                </c:pt>
                <c:pt idx="51">
                  <c:v>1.488032337965812</c:v>
                </c:pt>
                <c:pt idx="52">
                  <c:v>0.68481632492143463</c:v>
                </c:pt>
                <c:pt idx="53">
                  <c:v>0.87041154416786981</c:v>
                </c:pt>
                <c:pt idx="54">
                  <c:v>0.82434719013618296</c:v>
                </c:pt>
                <c:pt idx="55">
                  <c:v>0.91199852619027522</c:v>
                </c:pt>
                <c:pt idx="56">
                  <c:v>0.93883449205658609</c:v>
                </c:pt>
                <c:pt idx="57">
                  <c:v>0.55257915514305112</c:v>
                </c:pt>
                <c:pt idx="58">
                  <c:v>0.77620826121309827</c:v>
                </c:pt>
                <c:pt idx="59">
                  <c:v>0.77955657696798286</c:v>
                </c:pt>
                <c:pt idx="60">
                  <c:v>0.78358012386226905</c:v>
                </c:pt>
                <c:pt idx="61">
                  <c:v>1.1007444177869856</c:v>
                </c:pt>
                <c:pt idx="62">
                  <c:v>1.1122174369047229</c:v>
                </c:pt>
                <c:pt idx="63">
                  <c:v>1.1190667787502977</c:v>
                </c:pt>
                <c:pt idx="64">
                  <c:v>0.95795708765465581</c:v>
                </c:pt>
                <c:pt idx="65">
                  <c:v>1.0813082687839777</c:v>
                </c:pt>
                <c:pt idx="66">
                  <c:v>1.0171386354538627</c:v>
                </c:pt>
                <c:pt idx="67">
                  <c:v>1.0594948587572806</c:v>
                </c:pt>
                <c:pt idx="68">
                  <c:v>1.0582101412728235</c:v>
                </c:pt>
                <c:pt idx="69">
                  <c:v>1.1744808373270108</c:v>
                </c:pt>
                <c:pt idx="70">
                  <c:v>1.4028074688869516</c:v>
                </c:pt>
                <c:pt idx="71">
                  <c:v>1.5105359227749344</c:v>
                </c:pt>
                <c:pt idx="72">
                  <c:v>1.4487000391393412</c:v>
                </c:pt>
                <c:pt idx="73">
                  <c:v>1.3157399834288834</c:v>
                </c:pt>
                <c:pt idx="74">
                  <c:v>1.4254856525963007</c:v>
                </c:pt>
                <c:pt idx="75">
                  <c:v>1.6843785514462977</c:v>
                </c:pt>
                <c:pt idx="76">
                  <c:v>1.7844034671352484</c:v>
                </c:pt>
                <c:pt idx="77">
                  <c:v>1.9931654414231175</c:v>
                </c:pt>
                <c:pt idx="78">
                  <c:v>2.4330199536900512</c:v>
                </c:pt>
                <c:pt idx="79">
                  <c:v>2.5773262644322461</c:v>
                </c:pt>
                <c:pt idx="80">
                  <c:v>2.3672048291961576</c:v>
                </c:pt>
                <c:pt idx="81">
                  <c:v>2.588926191441546</c:v>
                </c:pt>
                <c:pt idx="82">
                  <c:v>2.2651082124224855</c:v>
                </c:pt>
                <c:pt idx="83">
                  <c:v>2.6193855092649887</c:v>
                </c:pt>
                <c:pt idx="84">
                  <c:v>2.9478373299742531</c:v>
                </c:pt>
                <c:pt idx="85">
                  <c:v>2.9609468153936724</c:v>
                </c:pt>
                <c:pt idx="86">
                  <c:v>3.054476894709369</c:v>
                </c:pt>
                <c:pt idx="87">
                  <c:v>3.1962322280819095</c:v>
                </c:pt>
                <c:pt idx="88">
                  <c:v>3.7458193380410099</c:v>
                </c:pt>
                <c:pt idx="89">
                  <c:v>3.6380805715837967</c:v>
                </c:pt>
                <c:pt idx="90">
                  <c:v>2.8614273532475654</c:v>
                </c:pt>
                <c:pt idx="91">
                  <c:v>3.0217715580624076</c:v>
                </c:pt>
                <c:pt idx="92">
                  <c:v>3.1364587319257042</c:v>
                </c:pt>
                <c:pt idx="93">
                  <c:v>3.1975435701652608</c:v>
                </c:pt>
                <c:pt idx="94">
                  <c:v>3.1116483374184551</c:v>
                </c:pt>
                <c:pt idx="95">
                  <c:v>3.2080673455658508</c:v>
                </c:pt>
                <c:pt idx="96">
                  <c:v>3.135315997909141</c:v>
                </c:pt>
                <c:pt idx="97">
                  <c:v>3.1503800454485162</c:v>
                </c:pt>
                <c:pt idx="98">
                  <c:v>3.3254972115205237</c:v>
                </c:pt>
                <c:pt idx="99">
                  <c:v>3.3807044052292108</c:v>
                </c:pt>
                <c:pt idx="100">
                  <c:v>3.300637500592392</c:v>
                </c:pt>
                <c:pt idx="101">
                  <c:v>3.4128441290369591</c:v>
                </c:pt>
                <c:pt idx="102">
                  <c:v>3.4373553331997138</c:v>
                </c:pt>
                <c:pt idx="103">
                  <c:v>3.2418946606870596</c:v>
                </c:pt>
                <c:pt idx="104">
                  <c:v>3.4330704188575942</c:v>
                </c:pt>
                <c:pt idx="105">
                  <c:v>3.5864517995967002</c:v>
                </c:pt>
                <c:pt idx="106">
                  <c:v>3.4103890420871652</c:v>
                </c:pt>
                <c:pt idx="107">
                  <c:v>3.3057240660666039</c:v>
                </c:pt>
                <c:pt idx="108">
                  <c:v>3.3648299001909479</c:v>
                </c:pt>
                <c:pt idx="109">
                  <c:v>3.3656764252563143</c:v>
                </c:pt>
                <c:pt idx="110">
                  <c:v>3.5075518841945836</c:v>
                </c:pt>
                <c:pt idx="111">
                  <c:v>3.3750632736853441</c:v>
                </c:pt>
                <c:pt idx="112">
                  <c:v>3.7145724843157879</c:v>
                </c:pt>
                <c:pt idx="113">
                  <c:v>3.9276769106016691</c:v>
                </c:pt>
                <c:pt idx="114">
                  <c:v>3.7862373833747944</c:v>
                </c:pt>
                <c:pt idx="115">
                  <c:v>4.019571954149491</c:v>
                </c:pt>
                <c:pt idx="116">
                  <c:v>4.2050127567821791</c:v>
                </c:pt>
                <c:pt idx="117">
                  <c:v>4.3193861822681932</c:v>
                </c:pt>
                <c:pt idx="118">
                  <c:v>4.1864088310322227</c:v>
                </c:pt>
                <c:pt idx="119">
                  <c:v>4.1658932008201939</c:v>
                </c:pt>
                <c:pt idx="120">
                  <c:v>3.9496316597873484</c:v>
                </c:pt>
                <c:pt idx="121">
                  <c:v>3.9112687936172188</c:v>
                </c:pt>
                <c:pt idx="122">
                  <c:v>3.8636302063434611</c:v>
                </c:pt>
                <c:pt idx="123">
                  <c:v>4.0218549049872756</c:v>
                </c:pt>
                <c:pt idx="124">
                  <c:v>4.130711994878606</c:v>
                </c:pt>
                <c:pt idx="125">
                  <c:v>3.819118867086102</c:v>
                </c:pt>
                <c:pt idx="126">
                  <c:v>4.1629231538843108</c:v>
                </c:pt>
                <c:pt idx="127">
                  <c:v>4.1124539714811945</c:v>
                </c:pt>
                <c:pt idx="128">
                  <c:v>4.1898048937085299</c:v>
                </c:pt>
                <c:pt idx="129">
                  <c:v>4.1602227173432356</c:v>
                </c:pt>
                <c:pt idx="130">
                  <c:v>4.1459127985725566</c:v>
                </c:pt>
                <c:pt idx="131">
                  <c:v>4.0897399532741945</c:v>
                </c:pt>
                <c:pt idx="132">
                  <c:v>4.203169392465413</c:v>
                </c:pt>
                <c:pt idx="133">
                  <c:v>4.2704460695093811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9E-4D2F-B7A9-25ADAEC53C56}"/>
            </c:ext>
          </c:extLst>
        </c:ser>
        <c:ser>
          <c:idx val="13"/>
          <c:order val="13"/>
          <c:tx>
            <c:strRef>
              <c:f>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9E-4D2F-B7A9-25ADAEC5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495300</xdr:colOff>
      <xdr:row>26</xdr:row>
      <xdr:rowOff>38100</xdr:rowOff>
    </xdr:from>
    <xdr:to>
      <xdr:col>128</xdr:col>
      <xdr:colOff>514350</xdr:colOff>
      <xdr:row>51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8B2ECF-93FE-B92D-B6FE-67DFBD912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>
      <selection sqref="A1:XFD1048576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3.1330205500125892E-2</v>
      </c>
      <c r="D3" s="7">
        <v>-1.7543647438287732E-2</v>
      </c>
      <c r="E3" s="7">
        <v>2.9643896967172619E-2</v>
      </c>
      <c r="F3" s="7">
        <v>2.8182985261082649E-2</v>
      </c>
      <c r="G3" s="7">
        <v>4.1800491511821747E-2</v>
      </c>
      <c r="H3" s="7">
        <v>1.7699908465147018E-2</v>
      </c>
      <c r="I3" s="7">
        <v>1.256205607205629E-2</v>
      </c>
      <c r="J3" s="7">
        <v>1.2357430532574649E-3</v>
      </c>
      <c r="K3" s="7">
        <v>3.5791270434856408E-2</v>
      </c>
      <c r="L3" s="7">
        <v>6.6725820302963257E-2</v>
      </c>
      <c r="M3" s="7">
        <v>1.32761662825942E-2</v>
      </c>
      <c r="N3" s="7">
        <v>-1.340599730610847E-3</v>
      </c>
      <c r="O3" s="7">
        <v>-3.9153536781668663E-3</v>
      </c>
      <c r="P3" s="7">
        <v>2.3424895480275151E-2</v>
      </c>
      <c r="Q3" s="7">
        <v>2.038630656898022E-2</v>
      </c>
      <c r="R3" s="7">
        <v>1.957200467586517E-2</v>
      </c>
      <c r="S3" s="7">
        <v>2.2870888933539391E-2</v>
      </c>
      <c r="T3" s="7">
        <v>4.3855453841388234E-3</v>
      </c>
      <c r="U3" s="7">
        <v>-8.5439961403608322E-3</v>
      </c>
      <c r="V3" s="7">
        <v>-8.516303263604641E-3</v>
      </c>
      <c r="W3" s="7">
        <v>-1.7971992492675781E-2</v>
      </c>
      <c r="X3" s="7">
        <v>-1.1634783819317819E-2</v>
      </c>
      <c r="Y3" s="7">
        <v>-2.656730450689793E-2</v>
      </c>
      <c r="Z3" s="7">
        <v>-2.7729809284210209E-2</v>
      </c>
      <c r="AA3" s="7">
        <v>7.4403420090675354E-2</v>
      </c>
      <c r="AB3" s="7">
        <v>-2.764703705906868E-2</v>
      </c>
      <c r="AC3" s="7">
        <v>-2.7917437255382541E-2</v>
      </c>
      <c r="AD3" s="7">
        <v>-3.129136934876442E-2</v>
      </c>
      <c r="AE3" s="7">
        <v>-2.063364535570145E-2</v>
      </c>
      <c r="AF3" s="7">
        <v>-3.5181421786546707E-2</v>
      </c>
      <c r="AG3" s="7">
        <v>-1.2474990449845791E-2</v>
      </c>
      <c r="AH3" s="7">
        <v>-2.2227592766284939E-2</v>
      </c>
      <c r="AI3" s="7">
        <v>2.8354397043585781E-2</v>
      </c>
      <c r="AJ3" s="7">
        <v>1.7696382477879521E-2</v>
      </c>
      <c r="AK3" s="7">
        <v>-1.5488248318433759E-3</v>
      </c>
      <c r="AL3" s="7">
        <v>6.0541510581970208E-2</v>
      </c>
      <c r="AM3" s="7">
        <v>4.2939703911542892E-2</v>
      </c>
      <c r="AN3" s="7">
        <v>4.6451166272163391E-2</v>
      </c>
      <c r="AO3" s="7">
        <v>4.6414647251367569E-2</v>
      </c>
      <c r="AP3" s="7">
        <v>2.7322841808199879E-2</v>
      </c>
      <c r="AQ3" s="7">
        <v>4.9711406230926507E-2</v>
      </c>
      <c r="AR3" s="7">
        <v>4.072609543800354E-2</v>
      </c>
      <c r="AS3" s="7">
        <v>3.7940710783004761E-2</v>
      </c>
      <c r="AT3" s="7">
        <v>4.3215282261371613E-2</v>
      </c>
      <c r="AU3" s="7">
        <v>3.5848293453454971E-2</v>
      </c>
      <c r="AV3" s="7">
        <v>4.8106551170349121E-2</v>
      </c>
      <c r="AW3" s="7">
        <v>0.25755825638771063</v>
      </c>
      <c r="AX3" s="7">
        <v>2.3971892893314362E-2</v>
      </c>
      <c r="AY3" s="7">
        <v>5.6368216872215271E-2</v>
      </c>
      <c r="AZ3" s="7">
        <v>4.440823569893837E-2</v>
      </c>
      <c r="BA3" s="7">
        <v>4.0217362344264977E-2</v>
      </c>
      <c r="BB3" s="7">
        <v>3.9215490221977227E-2</v>
      </c>
      <c r="BC3" s="7">
        <v>5.1480397582054138E-2</v>
      </c>
      <c r="BD3" s="7">
        <v>4.9942176789045327E-2</v>
      </c>
      <c r="BE3" s="7">
        <v>4.9302525818347931E-2</v>
      </c>
      <c r="BF3" s="7">
        <v>5.0215017050504678E-2</v>
      </c>
      <c r="BG3" s="7">
        <v>4.4806387275457382E-2</v>
      </c>
      <c r="BH3" s="7">
        <v>7.2218522429466248E-2</v>
      </c>
      <c r="BI3" s="7">
        <v>5.3198006004095078E-2</v>
      </c>
      <c r="BJ3" s="7">
        <v>5.0947383046150208E-2</v>
      </c>
      <c r="BK3" s="7">
        <v>4.6847827732563019E-2</v>
      </c>
      <c r="BL3" s="7">
        <v>5.1777664572000497E-2</v>
      </c>
      <c r="BM3" s="7">
        <v>4.5751150697469711E-2</v>
      </c>
      <c r="BN3" s="7">
        <v>5.1456984132528312E-2</v>
      </c>
      <c r="BO3" s="7">
        <v>5.444614589214325E-2</v>
      </c>
      <c r="BP3" s="7">
        <v>5.1880281418561942E-2</v>
      </c>
      <c r="BQ3" s="7">
        <v>4.9081109464168549E-2</v>
      </c>
      <c r="BR3" s="7">
        <v>3.0115354806184769E-2</v>
      </c>
      <c r="BS3" s="7">
        <v>4.8800110816955573E-2</v>
      </c>
      <c r="BT3" s="7">
        <v>4.8635218292474747E-2</v>
      </c>
      <c r="BU3" s="7">
        <v>4.5633736997842789E-2</v>
      </c>
      <c r="BV3" s="7">
        <v>4.947228729724884E-2</v>
      </c>
      <c r="BW3" s="7">
        <v>4.4601880013942719E-2</v>
      </c>
      <c r="BX3" s="7">
        <v>4.56710085272789E-2</v>
      </c>
      <c r="BY3" s="7">
        <v>3.6897704005241387E-2</v>
      </c>
      <c r="BZ3" s="7">
        <v>0.21394279599189761</v>
      </c>
      <c r="CA3" s="7">
        <v>2.7052136138081551E-2</v>
      </c>
      <c r="CB3" s="7">
        <v>4.6074997633695602E-2</v>
      </c>
      <c r="CC3" s="7">
        <v>7.2226598858833313E-2</v>
      </c>
      <c r="CD3" s="7">
        <v>3.4700907766819E-2</v>
      </c>
      <c r="CE3" s="7">
        <v>3.6362294107675552E-2</v>
      </c>
      <c r="CF3" s="7">
        <v>4.7756139189004898E-2</v>
      </c>
      <c r="CG3" s="7">
        <v>3.6376580595970147E-2</v>
      </c>
      <c r="CH3" s="7">
        <v>4.3285507708787918E-2</v>
      </c>
      <c r="CI3" s="7">
        <v>4.2804375290870673E-2</v>
      </c>
      <c r="CJ3" s="7">
        <v>4.3789677321910858E-2</v>
      </c>
      <c r="CK3" s="7">
        <v>4.193609207868576E-2</v>
      </c>
      <c r="CL3" s="7">
        <v>4.5073911547660828E-2</v>
      </c>
      <c r="CM3" s="7">
        <v>5.7426575571298599E-2</v>
      </c>
      <c r="CN3" s="7">
        <v>4.8870686441659927E-2</v>
      </c>
      <c r="CO3" s="7">
        <v>4.6467091888189323E-2</v>
      </c>
      <c r="CP3" s="7">
        <v>4.5427285134792328E-2</v>
      </c>
      <c r="CQ3" s="7">
        <v>4.3254118412733078E-2</v>
      </c>
      <c r="CR3" s="7">
        <v>4.2831581085920327E-2</v>
      </c>
      <c r="CS3" s="7">
        <v>4.1360333561897278E-2</v>
      </c>
      <c r="CT3" s="7">
        <v>2.374728582799435E-2</v>
      </c>
      <c r="CU3" s="7">
        <v>3.9278171956539147E-2</v>
      </c>
      <c r="CV3" s="7">
        <v>4.09957654774189E-2</v>
      </c>
      <c r="CW3" s="7">
        <v>3.6699786782264709E-2</v>
      </c>
      <c r="CX3" s="7">
        <v>3.8764949887990952E-2</v>
      </c>
      <c r="CY3" s="7">
        <v>3.7805531173944473E-2</v>
      </c>
      <c r="CZ3" s="7">
        <v>4.325726255774498E-2</v>
      </c>
      <c r="DA3" s="7">
        <v>4.4850636273622513E-2</v>
      </c>
      <c r="DB3" s="7">
        <v>4.3851811438798897E-2</v>
      </c>
      <c r="DC3" s="7">
        <v>4.9191009253263467E-2</v>
      </c>
      <c r="DD3" s="7">
        <v>4.212004691362381E-2</v>
      </c>
      <c r="DE3" s="7">
        <v>4.7127000987529748E-2</v>
      </c>
      <c r="DF3" s="7">
        <v>3.8079626858234412E-2</v>
      </c>
      <c r="DG3" s="7">
        <v>3.8307089358568192E-2</v>
      </c>
      <c r="DH3" s="7">
        <v>3.9209745824337013E-2</v>
      </c>
      <c r="DI3" s="7">
        <v>5.0754562020301819E-2</v>
      </c>
      <c r="DJ3" s="7">
        <v>4.9327295273542397E-2</v>
      </c>
      <c r="DK3" s="7">
        <v>4.6511236578226089E-2</v>
      </c>
      <c r="DL3" s="7">
        <v>4.22775037586689E-2</v>
      </c>
      <c r="DM3" s="7">
        <v>3.2305262982845313E-2</v>
      </c>
      <c r="DN3" s="7">
        <v>4.6072427183389657E-2</v>
      </c>
      <c r="DO3" s="7">
        <v>4.8485249280929572E-2</v>
      </c>
      <c r="DP3" s="7">
        <v>4.6022161841392517E-2</v>
      </c>
      <c r="DQ3" s="7">
        <v>4.4537413865327842E-2</v>
      </c>
      <c r="DR3" s="7">
        <v>4.4425271451473243E-2</v>
      </c>
      <c r="DS3" s="7">
        <v>4.2646575719118118E-2</v>
      </c>
      <c r="DT3" s="7">
        <v>4.6090584248304367E-2</v>
      </c>
      <c r="DU3" s="7">
        <v>4.3128091841936111E-2</v>
      </c>
      <c r="DV3" s="7">
        <v>4.1349083185195923E-2</v>
      </c>
      <c r="DW3" s="7">
        <v>4.0377732366323471E-2</v>
      </c>
      <c r="DX3" s="7">
        <v>4.6240631490945823E-2</v>
      </c>
      <c r="DY3" s="7">
        <v>4.529276117682457E-2</v>
      </c>
      <c r="DZ3" s="7">
        <v>3.8002155721187592E-2</v>
      </c>
      <c r="EA3" s="7">
        <v>4.3337244540452957E-2</v>
      </c>
      <c r="EB3" s="7">
        <v>3.5762075334787369E-2</v>
      </c>
      <c r="EC3" s="7">
        <v>3.0851878225803379E-2</v>
      </c>
      <c r="ED3" s="7">
        <v>4.0065716952085488E-2</v>
      </c>
      <c r="EE3" s="7">
        <v>4.3372519314289093E-2</v>
      </c>
      <c r="EF3" s="7">
        <v>4.6325836330652237E-2</v>
      </c>
      <c r="EG3" s="1"/>
    </row>
    <row r="4" spans="1:137" x14ac:dyDescent="0.3">
      <c r="B4" s="1" t="s">
        <v>138</v>
      </c>
      <c r="C4" s="7">
        <v>-2.2946815937757489E-2</v>
      </c>
      <c r="D4" s="7">
        <v>-3.2528840005397797E-2</v>
      </c>
      <c r="E4" s="7">
        <v>-2.2317033261060711E-2</v>
      </c>
      <c r="F4" s="7">
        <v>-3.0678758397698399E-2</v>
      </c>
      <c r="G4" s="7">
        <v>-3.2594330608844757E-2</v>
      </c>
      <c r="H4" s="7">
        <v>-2.7283197268843651E-2</v>
      </c>
      <c r="I4" s="7">
        <v>-3.6774720996618271E-2</v>
      </c>
      <c r="J4" s="7">
        <v>-3.6947548389434808E-2</v>
      </c>
      <c r="K4" s="7">
        <v>-3.4350141882896423E-2</v>
      </c>
      <c r="L4" s="7">
        <v>-3.5141915082931519E-2</v>
      </c>
      <c r="M4" s="7">
        <v>-3.6390312016010277E-2</v>
      </c>
      <c r="N4" s="7">
        <v>-2.804665453732014E-2</v>
      </c>
      <c r="O4" s="7">
        <v>-3.1360816210508347E-2</v>
      </c>
      <c r="P4" s="7">
        <v>-3.8859572261571877E-2</v>
      </c>
      <c r="Q4" s="7">
        <v>-3.2996118068695068E-2</v>
      </c>
      <c r="R4" s="7">
        <v>-3.3478595316410058E-2</v>
      </c>
      <c r="S4" s="7">
        <v>-3.0273415148258209E-2</v>
      </c>
      <c r="T4" s="7">
        <v>-2.986020594835281E-2</v>
      </c>
      <c r="U4" s="7">
        <v>-2.885395847260952E-2</v>
      </c>
      <c r="V4" s="7">
        <v>-2.8230348601937291E-2</v>
      </c>
      <c r="W4" s="7">
        <v>-2.7426423504948619E-2</v>
      </c>
      <c r="X4" s="7">
        <v>-2.8772750869393349E-2</v>
      </c>
      <c r="Y4" s="7">
        <v>-3.010421060025692E-2</v>
      </c>
      <c r="Z4" s="7">
        <v>-3.0214574187994E-2</v>
      </c>
      <c r="AA4" s="7">
        <v>-2.9737558215856549E-2</v>
      </c>
      <c r="AB4" s="7">
        <v>-2.885130979120731E-2</v>
      </c>
      <c r="AC4" s="7">
        <v>-2.906029857695103E-2</v>
      </c>
      <c r="AD4" s="7">
        <v>-2.8935430571436879E-2</v>
      </c>
      <c r="AE4" s="7">
        <v>-2.9848391190171238E-2</v>
      </c>
      <c r="AF4" s="7">
        <v>-2.8637772426009182E-2</v>
      </c>
      <c r="AG4" s="7">
        <v>-2.828691154718399E-2</v>
      </c>
      <c r="AH4" s="7">
        <v>-1.8820291385054588E-2</v>
      </c>
      <c r="AI4" s="7">
        <v>-3.7358939647674561E-2</v>
      </c>
      <c r="AJ4" s="7">
        <v>-3.3764690160751343E-2</v>
      </c>
      <c r="AK4" s="7">
        <v>-3.3512141555547707E-2</v>
      </c>
      <c r="AL4" s="7">
        <v>-2.6952208951115612E-2</v>
      </c>
      <c r="AM4" s="7">
        <v>-2.9780874028801921E-2</v>
      </c>
      <c r="AN4" s="7">
        <v>-2.4186648428440091E-2</v>
      </c>
      <c r="AO4" s="7">
        <v>-3.5795770585536957E-2</v>
      </c>
      <c r="AP4" s="7">
        <v>-3.5298556089401252E-2</v>
      </c>
      <c r="AQ4" s="7">
        <v>-3.2549217343330383E-2</v>
      </c>
      <c r="AR4" s="7">
        <v>-2.6099774986505508E-2</v>
      </c>
      <c r="AS4" s="7">
        <v>-2.955691888928413E-2</v>
      </c>
      <c r="AT4" s="7">
        <v>-2.5735411792993549E-2</v>
      </c>
      <c r="AU4" s="7">
        <v>-3.093122877180576E-2</v>
      </c>
      <c r="AV4" s="7">
        <v>-3.3240150660276413E-2</v>
      </c>
      <c r="AW4" s="7">
        <v>-3.4350480884313583E-2</v>
      </c>
      <c r="AX4" s="7">
        <v>-3.3253677189350128E-2</v>
      </c>
      <c r="AY4" s="7">
        <v>-3.4111622720956802E-2</v>
      </c>
      <c r="AZ4" s="7">
        <v>-2.7224915102124211E-2</v>
      </c>
      <c r="BA4" s="7">
        <v>-3.111309185624123E-2</v>
      </c>
      <c r="BB4" s="7">
        <v>-2.8748853132128719E-2</v>
      </c>
      <c r="BC4" s="7">
        <v>-3.1344335526227951E-2</v>
      </c>
      <c r="BD4" s="7">
        <v>-3.1253475695848458E-2</v>
      </c>
      <c r="BE4" s="7">
        <v>-3.2918937504291527E-2</v>
      </c>
      <c r="BF4" s="7">
        <v>-3.0730951577425E-2</v>
      </c>
      <c r="BG4" s="7">
        <v>-3.2038066536188133E-2</v>
      </c>
      <c r="BH4" s="7">
        <v>-2.9968824237585071E-2</v>
      </c>
      <c r="BI4" s="7">
        <v>-3.113760985434055E-2</v>
      </c>
      <c r="BJ4" s="7">
        <v>-3.0530031770467762E-2</v>
      </c>
      <c r="BK4" s="7">
        <v>-3.2626651227474213E-2</v>
      </c>
      <c r="BL4" s="7">
        <v>-3.1143451109528542E-2</v>
      </c>
      <c r="BM4" s="7">
        <v>-3.1869124621152878E-2</v>
      </c>
      <c r="BN4" s="7">
        <v>-8.961869403719902E-3</v>
      </c>
      <c r="BO4" s="7">
        <v>-2.2341759875416759E-2</v>
      </c>
      <c r="BP4" s="7">
        <v>-3.550146147608757E-2</v>
      </c>
      <c r="BQ4" s="7">
        <v>-3.242218866944313E-2</v>
      </c>
      <c r="BR4" s="7">
        <v>-1.211526803672314E-2</v>
      </c>
      <c r="BS4" s="7">
        <v>-3.4664403647184372E-2</v>
      </c>
      <c r="BT4" s="7">
        <v>-2.5803247466683391E-2</v>
      </c>
      <c r="BU4" s="7">
        <v>-3.6140274256467819E-2</v>
      </c>
      <c r="BV4" s="7">
        <v>-3.3587560057640083E-2</v>
      </c>
      <c r="BW4" s="7">
        <v>-2.2672802209854129E-2</v>
      </c>
      <c r="BX4" s="7">
        <v>-3.2804973423480988E-2</v>
      </c>
      <c r="BY4" s="7">
        <v>-3.1771816313266747E-2</v>
      </c>
      <c r="BZ4" s="7">
        <v>-3.5874113440513611E-2</v>
      </c>
      <c r="CA4" s="7">
        <v>-3.2339248806238167E-2</v>
      </c>
      <c r="CB4" s="7">
        <v>-2.50789187848568E-2</v>
      </c>
      <c r="CC4" s="7">
        <v>-2.9253672808408741E-2</v>
      </c>
      <c r="CD4" s="7">
        <v>-2.6061167940497398E-2</v>
      </c>
      <c r="CE4" s="7">
        <v>-3.1506847590208047E-2</v>
      </c>
      <c r="CF4" s="7">
        <v>-3.0835302546620369E-2</v>
      </c>
      <c r="CG4" s="7">
        <v>-3.0558077618479729E-2</v>
      </c>
      <c r="CH4" s="7">
        <v>-3.119581192731857E-2</v>
      </c>
      <c r="CI4" s="7">
        <v>-3.090175986289978E-2</v>
      </c>
      <c r="CJ4" s="7">
        <v>-3.3136498183012009E-2</v>
      </c>
      <c r="CK4" s="7">
        <v>-3.1936939805746078E-2</v>
      </c>
      <c r="CL4" s="7">
        <v>-3.1432364135980613E-2</v>
      </c>
      <c r="CM4" s="7">
        <v>-3.055248782038689E-2</v>
      </c>
      <c r="CN4" s="7">
        <v>-3.1563829630613327E-2</v>
      </c>
      <c r="CO4" s="7">
        <v>-3.0369363725185391E-2</v>
      </c>
      <c r="CP4" s="7">
        <v>-3.0010061338543888E-2</v>
      </c>
      <c r="CQ4" s="7">
        <v>-3.1453073024749763E-2</v>
      </c>
      <c r="CR4" s="7">
        <v>-2.965998463332653E-2</v>
      </c>
      <c r="CS4" s="7">
        <v>-3.0953852459788319E-2</v>
      </c>
      <c r="CT4" s="7">
        <v>-2.289283461868763E-2</v>
      </c>
      <c r="CU4" s="7">
        <v>-2.6670390740036961E-2</v>
      </c>
      <c r="CV4" s="7">
        <v>-2.843070961534977E-2</v>
      </c>
      <c r="CW4" s="7">
        <v>-3.220270574092865E-2</v>
      </c>
      <c r="CX4" s="7">
        <v>-2.7807112783193592E-2</v>
      </c>
      <c r="CY4" s="7">
        <v>-2.781811356544495E-2</v>
      </c>
      <c r="CZ4" s="7">
        <v>-2.576522529125214E-2</v>
      </c>
      <c r="DA4" s="7">
        <v>-2.8357302770018581E-2</v>
      </c>
      <c r="DB4" s="7">
        <v>-3.3542968332767487E-2</v>
      </c>
      <c r="DC4" s="7">
        <v>-3.2485205680131912E-2</v>
      </c>
      <c r="DD4" s="7">
        <v>-3.2151665538549423E-2</v>
      </c>
      <c r="DE4" s="7">
        <v>-2.9662402346730229E-2</v>
      </c>
      <c r="DF4" s="7">
        <v>-3.00160888582468E-2</v>
      </c>
      <c r="DG4" s="7">
        <v>-2.7544235810637471E-2</v>
      </c>
      <c r="DH4" s="7">
        <v>-2.9481679201126099E-2</v>
      </c>
      <c r="DI4" s="7">
        <v>-2.9836734756827351E-2</v>
      </c>
      <c r="DJ4" s="7">
        <v>-3.0232291668653492E-2</v>
      </c>
      <c r="DK4" s="7">
        <v>-2.977342531085014E-2</v>
      </c>
      <c r="DL4" s="7">
        <v>-3.0361592769622799E-2</v>
      </c>
      <c r="DM4" s="7">
        <v>-2.8258213773369789E-2</v>
      </c>
      <c r="DN4" s="7">
        <v>-2.741649188101292E-2</v>
      </c>
      <c r="DO4" s="7">
        <v>-2.8671180829405781E-2</v>
      </c>
      <c r="DP4" s="7">
        <v>-2.6597378775477409E-2</v>
      </c>
      <c r="DQ4" s="7">
        <v>-2.7629543095827099E-2</v>
      </c>
      <c r="DR4" s="7">
        <v>-2.8683992102742199E-2</v>
      </c>
      <c r="DS4" s="7">
        <v>-2.803863771259785E-2</v>
      </c>
      <c r="DT4" s="7">
        <v>-2.8481220826506611E-2</v>
      </c>
      <c r="DU4" s="7">
        <v>-2.8131868690252301E-2</v>
      </c>
      <c r="DV4" s="7">
        <v>-2.805715799331665E-2</v>
      </c>
      <c r="DW4" s="7">
        <v>-2.613513357937336E-2</v>
      </c>
      <c r="DX4" s="7">
        <v>-2.7580080553889271E-2</v>
      </c>
      <c r="DY4" s="7">
        <v>-2.9757337644696239E-2</v>
      </c>
      <c r="DZ4" s="7">
        <v>-2.859199233353138E-2</v>
      </c>
      <c r="EA4" s="7">
        <v>-2.699952200055122E-2</v>
      </c>
      <c r="EB4" s="7">
        <v>-2.658944018185139E-2</v>
      </c>
      <c r="EC4" s="7">
        <v>-2.8255622833967209E-2</v>
      </c>
      <c r="ED4" s="7">
        <v>-2.448136173188686E-2</v>
      </c>
      <c r="EE4" s="7">
        <v>-3.4881096333265298E-2</v>
      </c>
      <c r="EF4" s="7">
        <v>-2.8714798390865329E-2</v>
      </c>
      <c r="EG4" s="1"/>
    </row>
    <row r="5" spans="1:137" x14ac:dyDescent="0.3">
      <c r="B5" s="1" t="s">
        <v>139</v>
      </c>
      <c r="C5" s="7">
        <v>-4.0581789799034604E-3</v>
      </c>
      <c r="D5" s="7">
        <v>-7.0305787958204746E-3</v>
      </c>
      <c r="E5" s="7">
        <v>-5.5704452097415924E-3</v>
      </c>
      <c r="F5" s="7">
        <v>-4.6082139015197754E-3</v>
      </c>
      <c r="G5" s="7">
        <v>-7.8217023983597755E-3</v>
      </c>
      <c r="H5" s="7">
        <v>-6.789269857108593E-3</v>
      </c>
      <c r="I5" s="7">
        <v>-6.6186492331326008E-3</v>
      </c>
      <c r="J5" s="7">
        <v>-6.4537222497165203E-3</v>
      </c>
      <c r="K5" s="7">
        <v>-7.2179408743977547E-3</v>
      </c>
      <c r="L5" s="7">
        <v>-7.5036068446934223E-3</v>
      </c>
      <c r="M5" s="7">
        <v>-5.586087703704834E-3</v>
      </c>
      <c r="N5" s="7">
        <v>1.205777376890182E-2</v>
      </c>
      <c r="O5" s="7">
        <v>2.1040573716163639E-2</v>
      </c>
      <c r="P5" s="7">
        <v>1.7183206975460049E-2</v>
      </c>
      <c r="Q5" s="7">
        <v>3.8061367813497782E-3</v>
      </c>
      <c r="R5" s="7">
        <v>-4.8372317105531693E-3</v>
      </c>
      <c r="S5" s="7">
        <v>-1.602549222297966E-3</v>
      </c>
      <c r="T5" s="7">
        <v>3.536454401910305E-3</v>
      </c>
      <c r="U5" s="7">
        <v>2.140396274626255E-3</v>
      </c>
      <c r="V5" s="7">
        <v>6.0599192511290312E-4</v>
      </c>
      <c r="W5" s="7">
        <v>5.8908120263367891E-4</v>
      </c>
      <c r="X5" s="7">
        <v>-3.8637295365333561E-3</v>
      </c>
      <c r="Y5" s="7">
        <v>-1.1012746952474121E-2</v>
      </c>
      <c r="Z5" s="7">
        <v>-3.187824040651321E-3</v>
      </c>
      <c r="AA5" s="7">
        <v>-1.0462149977684019E-2</v>
      </c>
      <c r="AB5" s="7">
        <v>-8.2556549459695816E-3</v>
      </c>
      <c r="AC5" s="7">
        <v>-1.6103683039546009E-2</v>
      </c>
      <c r="AD5" s="7">
        <v>-1.1081633158028129E-2</v>
      </c>
      <c r="AE5" s="7">
        <v>-9.3202143907546997E-3</v>
      </c>
      <c r="AF5" s="7">
        <v>-4.7228438779711723E-3</v>
      </c>
      <c r="AG5" s="7">
        <v>-5.84804592654109E-3</v>
      </c>
      <c r="AH5" s="7">
        <v>-4.9915234558284283E-3</v>
      </c>
      <c r="AI5" s="7">
        <v>-3.683226415887475E-3</v>
      </c>
      <c r="AJ5" s="7">
        <v>-3.615004476159811E-3</v>
      </c>
      <c r="AK5" s="7">
        <v>-4.6235839836299419E-3</v>
      </c>
      <c r="AL5" s="7">
        <v>-5.373549647629261E-3</v>
      </c>
      <c r="AM5" s="7">
        <v>-8.0364374443888664E-3</v>
      </c>
      <c r="AN5" s="7">
        <v>-4.8419637605547896E-3</v>
      </c>
      <c r="AO5" s="7">
        <v>-3.6342754028737549E-3</v>
      </c>
      <c r="AP5" s="7">
        <v>-6.3295280560851097E-3</v>
      </c>
      <c r="AQ5" s="7">
        <v>-9.0462592197582126E-4</v>
      </c>
      <c r="AR5" s="7">
        <v>-2.911761170253158E-3</v>
      </c>
      <c r="AS5" s="7">
        <v>-1.8755771452561021E-3</v>
      </c>
      <c r="AT5" s="7">
        <v>1.6763890162110329E-2</v>
      </c>
      <c r="AU5" s="7">
        <v>-1.235870365053415E-2</v>
      </c>
      <c r="AV5" s="7">
        <v>1.113764010369778E-2</v>
      </c>
      <c r="AW5" s="7">
        <v>6.8921893835067749E-3</v>
      </c>
      <c r="AX5" s="7">
        <v>-1.215653121471405E-2</v>
      </c>
      <c r="AY5" s="7">
        <v>-7.8160245902836323E-4</v>
      </c>
      <c r="AZ5" s="7">
        <v>1.052593253552914E-2</v>
      </c>
      <c r="BA5" s="7">
        <v>-1.051815692335367E-3</v>
      </c>
      <c r="BB5" s="7">
        <v>-7.6166745275259018E-3</v>
      </c>
      <c r="BC5" s="7">
        <v>1.164978835731745E-3</v>
      </c>
      <c r="BD5" s="7">
        <v>-1.726439222693443E-2</v>
      </c>
      <c r="BE5" s="7">
        <v>-6.314434576779604E-3</v>
      </c>
      <c r="BF5" s="7">
        <v>3.5074475454166532E-4</v>
      </c>
      <c r="BG5" s="7">
        <v>-7.13349599391222E-3</v>
      </c>
      <c r="BH5" s="7">
        <v>-4.1654566302895546E-3</v>
      </c>
      <c r="BI5" s="7">
        <v>4.3993082363158459E-4</v>
      </c>
      <c r="BJ5" s="7">
        <v>-2.9990478651598101E-4</v>
      </c>
      <c r="BK5" s="7">
        <v>-8.0823525786399841E-3</v>
      </c>
      <c r="BL5" s="7">
        <v>-1.9032801501452921E-3</v>
      </c>
      <c r="BM5" s="7">
        <v>-3.0310731381177898E-3</v>
      </c>
      <c r="BN5" s="7">
        <v>-7.212570053525269E-4</v>
      </c>
      <c r="BO5" s="7">
        <v>-4.4479239732027054E-3</v>
      </c>
      <c r="BP5" s="7">
        <v>-6.340488325804472E-4</v>
      </c>
      <c r="BQ5" s="7">
        <v>8.5474946536123753E-4</v>
      </c>
      <c r="BR5" s="7">
        <v>5.347919650375843E-4</v>
      </c>
      <c r="BS5" s="7">
        <v>-7.265948224812746E-4</v>
      </c>
      <c r="BT5" s="7">
        <v>2.3761880584061151E-4</v>
      </c>
      <c r="BU5" s="7">
        <v>-3.9665577933192253E-3</v>
      </c>
      <c r="BV5" s="7">
        <v>-1.5995715511962769E-3</v>
      </c>
      <c r="BW5" s="7">
        <v>-3.877128474414349E-3</v>
      </c>
      <c r="BX5" s="7">
        <v>-2.1470857318490739E-3</v>
      </c>
      <c r="BY5" s="7">
        <v>-2.619779203087091E-3</v>
      </c>
      <c r="BZ5" s="7">
        <v>9.6479069907218218E-4</v>
      </c>
      <c r="CA5" s="7">
        <v>-1.6296295449137691E-2</v>
      </c>
      <c r="CB5" s="7">
        <v>-1.7308659851551059E-2</v>
      </c>
      <c r="CC5" s="7">
        <v>-9.6325967460870743E-3</v>
      </c>
      <c r="CD5" s="7">
        <v>-6.0692187398672104E-3</v>
      </c>
      <c r="CE5" s="7">
        <v>5.6500481441617012E-3</v>
      </c>
      <c r="CF5" s="7">
        <v>-5.0238585099577904E-3</v>
      </c>
      <c r="CG5" s="7">
        <v>-1.0497671319171791E-3</v>
      </c>
      <c r="CH5" s="7">
        <v>-2.433853922411799E-3</v>
      </c>
      <c r="CI5" s="7">
        <v>-5.8160410262644291E-3</v>
      </c>
      <c r="CJ5" s="7">
        <v>5.3073554299771786E-3</v>
      </c>
      <c r="CK5" s="7">
        <v>-6.5996735356748104E-3</v>
      </c>
      <c r="CL5" s="7">
        <v>-7.5646638870239258E-3</v>
      </c>
      <c r="CM5" s="7">
        <v>4.4144219718873501E-3</v>
      </c>
      <c r="CN5" s="7">
        <v>-1.797138131223619E-3</v>
      </c>
      <c r="CO5" s="7">
        <v>2.337527927011251E-3</v>
      </c>
      <c r="CP5" s="7">
        <v>-3.6013149656355381E-3</v>
      </c>
      <c r="CQ5" s="7">
        <v>-4.3951133266091347E-3</v>
      </c>
      <c r="CR5" s="7">
        <v>-4.663030849769711E-4</v>
      </c>
      <c r="CS5" s="7">
        <v>-4.843554925173521E-3</v>
      </c>
      <c r="CT5" s="7">
        <v>-1.4159324928186831E-4</v>
      </c>
      <c r="CU5" s="7">
        <v>-3.5822349600493908E-3</v>
      </c>
      <c r="CV5" s="7">
        <v>-5.077666137367487E-4</v>
      </c>
      <c r="CW5" s="7">
        <v>-4.188884049654007E-3</v>
      </c>
      <c r="CX5" s="7">
        <v>-1.5384180005639789E-3</v>
      </c>
      <c r="CY5" s="7">
        <v>-2.2514616139233108E-3</v>
      </c>
      <c r="CZ5" s="7">
        <v>1.1980097042396661E-4</v>
      </c>
      <c r="DA5" s="7">
        <v>-1.3928759144619109E-3</v>
      </c>
      <c r="DB5" s="7">
        <v>-3.1657912768423562E-3</v>
      </c>
      <c r="DC5" s="7">
        <v>-3.8332226686179638E-3</v>
      </c>
      <c r="DD5" s="7">
        <v>-4.7448631376028061E-3</v>
      </c>
      <c r="DE5" s="7">
        <v>-4.5543033629655838E-3</v>
      </c>
      <c r="DF5" s="7">
        <v>-1.9639993086457249E-2</v>
      </c>
      <c r="DG5" s="7">
        <v>-5.3460951894521713E-3</v>
      </c>
      <c r="DH5" s="7">
        <v>-4.3691969476640216E-3</v>
      </c>
      <c r="DI5" s="7">
        <v>-1.3279115781188009E-2</v>
      </c>
      <c r="DJ5" s="7">
        <v>-1.188830099999905E-2</v>
      </c>
      <c r="DK5" s="7">
        <v>-9.7882309928536415E-3</v>
      </c>
      <c r="DL5" s="7">
        <v>-2.679913304746151E-3</v>
      </c>
      <c r="DM5" s="7">
        <v>1.8919623689725999E-3</v>
      </c>
      <c r="DN5" s="7">
        <v>-3.5755492281168699E-3</v>
      </c>
      <c r="DO5" s="7">
        <v>1.8424713052809241E-3</v>
      </c>
      <c r="DP5" s="7">
        <v>-4.5598447322845459E-3</v>
      </c>
      <c r="DQ5" s="7">
        <v>-4.5280246995389462E-3</v>
      </c>
      <c r="DR5" s="7">
        <v>-7.9675083979964256E-3</v>
      </c>
      <c r="DS5" s="7">
        <v>-3.6320080980658531E-3</v>
      </c>
      <c r="DT5" s="7">
        <v>-2.407442079856992E-4</v>
      </c>
      <c r="DU5" s="7">
        <v>-1.828413922339678E-3</v>
      </c>
      <c r="DV5" s="7">
        <v>-2.6720864698290821E-3</v>
      </c>
      <c r="DW5" s="7">
        <v>1.595872454345226E-4</v>
      </c>
      <c r="DX5" s="7">
        <v>-5.1815658807754517E-3</v>
      </c>
      <c r="DY5" s="7">
        <v>-3.2462212257087231E-3</v>
      </c>
      <c r="DZ5" s="7">
        <v>-1.9827848300337791E-3</v>
      </c>
      <c r="EA5" s="7">
        <v>-2.534714294597507E-3</v>
      </c>
      <c r="EB5" s="7">
        <v>-4.4873072765767574E-3</v>
      </c>
      <c r="EC5" s="7">
        <v>-5.3789191879332074E-3</v>
      </c>
      <c r="ED5" s="7">
        <v>-6.3397400081157684E-3</v>
      </c>
      <c r="EE5" s="7">
        <v>-5.9063872322440147E-3</v>
      </c>
      <c r="EF5" s="7">
        <v>-6.2110181897878647E-3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2</v>
      </c>
      <c r="G6" s="7">
        <f t="array" ref="G6">MATCH(MAX(ABS(G3:G5)), ABS(G3:G5), 0)</f>
        <v>1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2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2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1</v>
      </c>
      <c r="AB6" s="7">
        <f t="array" ref="AB6">MATCH(MAX(ABS(AB3:AB5)), ABS(AB3:AB5), 0)</f>
        <v>2</v>
      </c>
      <c r="AC6" s="7">
        <f t="array" ref="AC6">MATCH(MAX(ABS(AC3:AC5)), ABS(AC3:AC5), 0)</f>
        <v>2</v>
      </c>
      <c r="AD6" s="7">
        <f t="array" ref="AD6">MATCH(MAX(ABS(AD3:AD5)), ABS(AD3:AD5), 0)</f>
        <v>1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2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1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1</v>
      </c>
      <c r="CG6" s="7">
        <f t="array" ref="CG6">MATCH(MAX(ABS(CG3:CG5)), ABS(CG3:CG5), 0)</f>
        <v>1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1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1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1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1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1</v>
      </c>
      <c r="EA6" s="7">
        <f t="array" ref="EA6">MATCH(MAX(ABS(EA3:EA5)), ABS(EA3:EA5), 0)</f>
        <v>1</v>
      </c>
      <c r="EB6" s="7">
        <f t="array" ref="EB6">MATCH(MAX(ABS(EB3:EB5)), ABS(EB3:EB5), 0)</f>
        <v>1</v>
      </c>
      <c r="EC6" s="7">
        <f t="array" ref="EC6">MATCH(MAX(ABS(EC3:EC5)), ABS(EC3:EC5), 0)</f>
        <v>1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size</v>
      </c>
      <c r="G7" s="7" t="str">
        <f t="shared" si="0"/>
        <v>bm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size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size</v>
      </c>
      <c r="V7" s="7" t="str">
        <f t="shared" si="0"/>
        <v>size</v>
      </c>
      <c r="W7" s="7" t="str">
        <f t="shared" si="0"/>
        <v>size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bm</v>
      </c>
      <c r="AB7" s="7" t="str">
        <f t="shared" si="0"/>
        <v>size</v>
      </c>
      <c r="AC7" s="7" t="str">
        <f t="shared" si="0"/>
        <v>size</v>
      </c>
      <c r="AD7" s="7" t="str">
        <f t="shared" si="0"/>
        <v>bm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size</v>
      </c>
      <c r="AJ7" s="7" t="str">
        <f t="shared" si="1"/>
        <v>size</v>
      </c>
      <c r="AK7" s="7" t="str">
        <f t="shared" si="1"/>
        <v>size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size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size</v>
      </c>
      <c r="AY7" s="7" t="str">
        <f t="shared" si="1"/>
        <v>bm</v>
      </c>
      <c r="AZ7" s="7" t="str">
        <f t="shared" si="1"/>
        <v>bm</v>
      </c>
      <c r="BA7" s="7" t="str">
        <f t="shared" si="1"/>
        <v>bm</v>
      </c>
      <c r="BB7" s="7" t="str">
        <f t="shared" si="1"/>
        <v>bm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bm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size</v>
      </c>
      <c r="CB7" s="7" t="str">
        <f t="shared" si="2"/>
        <v>bm</v>
      </c>
      <c r="CC7" s="7" t="str">
        <f t="shared" si="2"/>
        <v>bm</v>
      </c>
      <c r="CD7" s="7" t="str">
        <f t="shared" si="2"/>
        <v>bm</v>
      </c>
      <c r="CE7" s="7" t="str">
        <f t="shared" si="2"/>
        <v>bm</v>
      </c>
      <c r="CF7" s="7" t="str">
        <f t="shared" si="2"/>
        <v>bm</v>
      </c>
      <c r="CG7" s="7" t="str">
        <f t="shared" si="2"/>
        <v>bm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bm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bm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bm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bm</v>
      </c>
      <c r="DR7" s="7" t="str">
        <f t="shared" si="3"/>
        <v>bm</v>
      </c>
      <c r="DS7" s="7" t="str">
        <f t="shared" si="3"/>
        <v>bm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bm</v>
      </c>
      <c r="DZ7" s="7" t="str">
        <f t="shared" si="3"/>
        <v>bm</v>
      </c>
      <c r="EA7" s="7" t="str">
        <f t="shared" ref="EA7:FF7" si="4">IF(EA6=1,"bm",IF(EA6=2,"size",IF(EA6=3,"mom")))</f>
        <v>bm</v>
      </c>
      <c r="EB7" s="7" t="str">
        <f t="shared" si="4"/>
        <v>bm</v>
      </c>
      <c r="EC7" s="7" t="str">
        <f t="shared" si="4"/>
        <v>bm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3.1330205500125892E-2</v>
      </c>
      <c r="D8" s="7">
        <f t="shared" si="5"/>
        <v>-3.2528840005397797E-2</v>
      </c>
      <c r="E8" s="7">
        <f t="shared" si="5"/>
        <v>2.9643896967172619E-2</v>
      </c>
      <c r="F8" s="7">
        <f t="shared" si="5"/>
        <v>-3.0678758397698399E-2</v>
      </c>
      <c r="G8" s="7">
        <f t="shared" si="5"/>
        <v>4.1800491511821747E-2</v>
      </c>
      <c r="H8" s="7">
        <f t="shared" si="5"/>
        <v>-2.7283197268843651E-2</v>
      </c>
      <c r="I8" s="7">
        <f t="shared" si="5"/>
        <v>-3.6774720996618271E-2</v>
      </c>
      <c r="J8" s="7">
        <f t="shared" si="5"/>
        <v>-3.6947548389434808E-2</v>
      </c>
      <c r="K8" s="7">
        <f t="shared" si="5"/>
        <v>3.5791270434856408E-2</v>
      </c>
      <c r="L8" s="7">
        <f t="shared" si="5"/>
        <v>6.6725820302963257E-2</v>
      </c>
      <c r="M8" s="7">
        <f t="shared" si="5"/>
        <v>-3.6390312016010277E-2</v>
      </c>
      <c r="N8" s="7">
        <f t="shared" si="5"/>
        <v>-2.804665453732014E-2</v>
      </c>
      <c r="O8" s="7">
        <f t="shared" si="5"/>
        <v>-3.1360816210508347E-2</v>
      </c>
      <c r="P8" s="7">
        <f t="shared" si="5"/>
        <v>-3.8859572261571877E-2</v>
      </c>
      <c r="Q8" s="7">
        <f t="shared" si="5"/>
        <v>-3.2996118068695068E-2</v>
      </c>
      <c r="R8" s="7">
        <f t="shared" si="5"/>
        <v>-3.3478595316410058E-2</v>
      </c>
      <c r="S8" s="7">
        <f t="shared" si="5"/>
        <v>-3.0273415148258209E-2</v>
      </c>
      <c r="T8" s="7">
        <f t="shared" si="5"/>
        <v>-2.986020594835281E-2</v>
      </c>
      <c r="U8" s="7">
        <f t="shared" si="5"/>
        <v>-2.885395847260952E-2</v>
      </c>
      <c r="V8" s="7">
        <f t="shared" si="5"/>
        <v>-2.8230348601937291E-2</v>
      </c>
      <c r="W8" s="7">
        <f t="shared" si="5"/>
        <v>-2.7426423504948619E-2</v>
      </c>
      <c r="X8" s="7">
        <f t="shared" si="5"/>
        <v>-2.8772750869393349E-2</v>
      </c>
      <c r="Y8" s="7">
        <f t="shared" si="5"/>
        <v>-3.010421060025692E-2</v>
      </c>
      <c r="Z8" s="7">
        <f t="shared" si="5"/>
        <v>-3.0214574187994E-2</v>
      </c>
      <c r="AA8" s="7">
        <f t="shared" si="5"/>
        <v>7.4403420090675354E-2</v>
      </c>
      <c r="AB8" s="7">
        <f t="shared" si="5"/>
        <v>-2.885130979120731E-2</v>
      </c>
      <c r="AC8" s="7">
        <f t="shared" si="5"/>
        <v>-2.906029857695103E-2</v>
      </c>
      <c r="AD8" s="7">
        <f t="shared" si="5"/>
        <v>-3.129136934876442E-2</v>
      </c>
      <c r="AE8" s="7">
        <f t="shared" si="5"/>
        <v>-2.9848391190171238E-2</v>
      </c>
      <c r="AF8" s="7">
        <f t="shared" si="5"/>
        <v>-3.5181421786546707E-2</v>
      </c>
      <c r="AG8" s="7">
        <f t="shared" si="5"/>
        <v>-2.828691154718399E-2</v>
      </c>
      <c r="AH8" s="7">
        <f t="shared" si="5"/>
        <v>-2.2227592766284939E-2</v>
      </c>
      <c r="AI8" s="7">
        <f t="shared" ref="AI8:BN8" si="6">IF(AI6=1,AI3,IF(AI6=2,AI4,IF(AI6=3,AI5)))</f>
        <v>-3.7358939647674561E-2</v>
      </c>
      <c r="AJ8" s="7">
        <f t="shared" si="6"/>
        <v>-3.3764690160751343E-2</v>
      </c>
      <c r="AK8" s="7">
        <f t="shared" si="6"/>
        <v>-3.3512141555547707E-2</v>
      </c>
      <c r="AL8" s="7">
        <f t="shared" si="6"/>
        <v>6.0541510581970208E-2</v>
      </c>
      <c r="AM8" s="7">
        <f t="shared" si="6"/>
        <v>4.2939703911542892E-2</v>
      </c>
      <c r="AN8" s="7">
        <f t="shared" si="6"/>
        <v>4.6451166272163391E-2</v>
      </c>
      <c r="AO8" s="7">
        <f t="shared" si="6"/>
        <v>4.6414647251367569E-2</v>
      </c>
      <c r="AP8" s="7">
        <f t="shared" si="6"/>
        <v>-3.5298556089401252E-2</v>
      </c>
      <c r="AQ8" s="7">
        <f t="shared" si="6"/>
        <v>4.9711406230926507E-2</v>
      </c>
      <c r="AR8" s="7">
        <f t="shared" si="6"/>
        <v>4.072609543800354E-2</v>
      </c>
      <c r="AS8" s="7">
        <f t="shared" si="6"/>
        <v>3.7940710783004761E-2</v>
      </c>
      <c r="AT8" s="7">
        <f t="shared" si="6"/>
        <v>4.3215282261371613E-2</v>
      </c>
      <c r="AU8" s="7">
        <f t="shared" si="6"/>
        <v>3.5848293453454971E-2</v>
      </c>
      <c r="AV8" s="7">
        <f t="shared" si="6"/>
        <v>4.8106551170349121E-2</v>
      </c>
      <c r="AW8" s="7">
        <f t="shared" si="6"/>
        <v>0.25755825638771063</v>
      </c>
      <c r="AX8" s="7">
        <f t="shared" si="6"/>
        <v>-3.3253677189350128E-2</v>
      </c>
      <c r="AY8" s="7">
        <f t="shared" si="6"/>
        <v>5.6368216872215271E-2</v>
      </c>
      <c r="AZ8" s="7">
        <f t="shared" si="6"/>
        <v>4.440823569893837E-2</v>
      </c>
      <c r="BA8" s="7">
        <f t="shared" si="6"/>
        <v>4.0217362344264977E-2</v>
      </c>
      <c r="BB8" s="7">
        <f t="shared" si="6"/>
        <v>3.9215490221977227E-2</v>
      </c>
      <c r="BC8" s="7">
        <f t="shared" si="6"/>
        <v>5.1480397582054138E-2</v>
      </c>
      <c r="BD8" s="7">
        <f t="shared" si="6"/>
        <v>4.9942176789045327E-2</v>
      </c>
      <c r="BE8" s="7">
        <f t="shared" si="6"/>
        <v>4.9302525818347931E-2</v>
      </c>
      <c r="BF8" s="7">
        <f t="shared" si="6"/>
        <v>5.0215017050504678E-2</v>
      </c>
      <c r="BG8" s="7">
        <f t="shared" si="6"/>
        <v>4.4806387275457382E-2</v>
      </c>
      <c r="BH8" s="7">
        <f t="shared" si="6"/>
        <v>7.2218522429466248E-2</v>
      </c>
      <c r="BI8" s="7">
        <f t="shared" si="6"/>
        <v>5.3198006004095078E-2</v>
      </c>
      <c r="BJ8" s="7">
        <f t="shared" si="6"/>
        <v>5.0947383046150208E-2</v>
      </c>
      <c r="BK8" s="7">
        <f t="shared" si="6"/>
        <v>4.6847827732563019E-2</v>
      </c>
      <c r="BL8" s="7">
        <f t="shared" si="6"/>
        <v>5.1777664572000497E-2</v>
      </c>
      <c r="BM8" s="7">
        <f t="shared" si="6"/>
        <v>4.5751150697469711E-2</v>
      </c>
      <c r="BN8" s="7">
        <f t="shared" si="6"/>
        <v>5.1456984132528312E-2</v>
      </c>
      <c r="BO8" s="7">
        <f t="shared" ref="BO8:CT8" si="7">IF(BO6=1,BO3,IF(BO6=2,BO4,IF(BO6=3,BO5)))</f>
        <v>5.444614589214325E-2</v>
      </c>
      <c r="BP8" s="7">
        <f t="shared" si="7"/>
        <v>5.1880281418561942E-2</v>
      </c>
      <c r="BQ8" s="7">
        <f t="shared" si="7"/>
        <v>4.9081109464168549E-2</v>
      </c>
      <c r="BR8" s="7">
        <f t="shared" si="7"/>
        <v>3.0115354806184769E-2</v>
      </c>
      <c r="BS8" s="7">
        <f t="shared" si="7"/>
        <v>4.8800110816955573E-2</v>
      </c>
      <c r="BT8" s="7">
        <f t="shared" si="7"/>
        <v>4.8635218292474747E-2</v>
      </c>
      <c r="BU8" s="7">
        <f t="shared" si="7"/>
        <v>4.5633736997842789E-2</v>
      </c>
      <c r="BV8" s="7">
        <f t="shared" si="7"/>
        <v>4.947228729724884E-2</v>
      </c>
      <c r="BW8" s="7">
        <f t="shared" si="7"/>
        <v>4.4601880013942719E-2</v>
      </c>
      <c r="BX8" s="7">
        <f t="shared" si="7"/>
        <v>4.56710085272789E-2</v>
      </c>
      <c r="BY8" s="7">
        <f t="shared" si="7"/>
        <v>3.6897704005241387E-2</v>
      </c>
      <c r="BZ8" s="7">
        <f t="shared" si="7"/>
        <v>0.21394279599189761</v>
      </c>
      <c r="CA8" s="7">
        <f t="shared" si="7"/>
        <v>-3.2339248806238167E-2</v>
      </c>
      <c r="CB8" s="7">
        <f t="shared" si="7"/>
        <v>4.6074997633695602E-2</v>
      </c>
      <c r="CC8" s="7">
        <f t="shared" si="7"/>
        <v>7.2226598858833313E-2</v>
      </c>
      <c r="CD8" s="7">
        <f t="shared" si="7"/>
        <v>3.4700907766819E-2</v>
      </c>
      <c r="CE8" s="7">
        <f t="shared" si="7"/>
        <v>3.6362294107675552E-2</v>
      </c>
      <c r="CF8" s="7">
        <f t="shared" si="7"/>
        <v>4.7756139189004898E-2</v>
      </c>
      <c r="CG8" s="7">
        <f t="shared" si="7"/>
        <v>3.6376580595970147E-2</v>
      </c>
      <c r="CH8" s="7">
        <f t="shared" si="7"/>
        <v>4.3285507708787918E-2</v>
      </c>
      <c r="CI8" s="7">
        <f t="shared" si="7"/>
        <v>4.2804375290870673E-2</v>
      </c>
      <c r="CJ8" s="7">
        <f t="shared" si="7"/>
        <v>4.3789677321910858E-2</v>
      </c>
      <c r="CK8" s="7">
        <f t="shared" si="7"/>
        <v>4.193609207868576E-2</v>
      </c>
      <c r="CL8" s="7">
        <f t="shared" si="7"/>
        <v>4.5073911547660828E-2</v>
      </c>
      <c r="CM8" s="7">
        <f t="shared" si="7"/>
        <v>5.7426575571298599E-2</v>
      </c>
      <c r="CN8" s="7">
        <f t="shared" si="7"/>
        <v>4.8870686441659927E-2</v>
      </c>
      <c r="CO8" s="7">
        <f t="shared" si="7"/>
        <v>4.6467091888189323E-2</v>
      </c>
      <c r="CP8" s="7">
        <f t="shared" si="7"/>
        <v>4.5427285134792328E-2</v>
      </c>
      <c r="CQ8" s="7">
        <f t="shared" si="7"/>
        <v>4.3254118412733078E-2</v>
      </c>
      <c r="CR8" s="7">
        <f t="shared" si="7"/>
        <v>4.2831581085920327E-2</v>
      </c>
      <c r="CS8" s="7">
        <f t="shared" si="7"/>
        <v>4.1360333561897278E-2</v>
      </c>
      <c r="CT8" s="7">
        <f t="shared" si="7"/>
        <v>2.374728582799435E-2</v>
      </c>
      <c r="CU8" s="7">
        <f t="shared" ref="CU8:DZ8" si="8">IF(CU6=1,CU3,IF(CU6=2,CU4,IF(CU6=3,CU5)))</f>
        <v>3.9278171956539147E-2</v>
      </c>
      <c r="CV8" s="7">
        <f t="shared" si="8"/>
        <v>4.09957654774189E-2</v>
      </c>
      <c r="CW8" s="7">
        <f t="shared" si="8"/>
        <v>3.6699786782264709E-2</v>
      </c>
      <c r="CX8" s="7">
        <f t="shared" si="8"/>
        <v>3.8764949887990952E-2</v>
      </c>
      <c r="CY8" s="7">
        <f t="shared" si="8"/>
        <v>3.7805531173944473E-2</v>
      </c>
      <c r="CZ8" s="7">
        <f t="shared" si="8"/>
        <v>4.325726255774498E-2</v>
      </c>
      <c r="DA8" s="7">
        <f t="shared" si="8"/>
        <v>4.4850636273622513E-2</v>
      </c>
      <c r="DB8" s="7">
        <f t="shared" si="8"/>
        <v>4.3851811438798897E-2</v>
      </c>
      <c r="DC8" s="7">
        <f t="shared" si="8"/>
        <v>4.9191009253263467E-2</v>
      </c>
      <c r="DD8" s="7">
        <f t="shared" si="8"/>
        <v>4.212004691362381E-2</v>
      </c>
      <c r="DE8" s="7">
        <f t="shared" si="8"/>
        <v>4.7127000987529748E-2</v>
      </c>
      <c r="DF8" s="7">
        <f t="shared" si="8"/>
        <v>3.8079626858234412E-2</v>
      </c>
      <c r="DG8" s="7">
        <f t="shared" si="8"/>
        <v>3.8307089358568192E-2</v>
      </c>
      <c r="DH8" s="7">
        <f t="shared" si="8"/>
        <v>3.9209745824337013E-2</v>
      </c>
      <c r="DI8" s="7">
        <f t="shared" si="8"/>
        <v>5.0754562020301819E-2</v>
      </c>
      <c r="DJ8" s="7">
        <f t="shared" si="8"/>
        <v>4.9327295273542397E-2</v>
      </c>
      <c r="DK8" s="7">
        <f t="shared" si="8"/>
        <v>4.6511236578226089E-2</v>
      </c>
      <c r="DL8" s="7">
        <f t="shared" si="8"/>
        <v>4.22775037586689E-2</v>
      </c>
      <c r="DM8" s="7">
        <f t="shared" si="8"/>
        <v>3.2305262982845313E-2</v>
      </c>
      <c r="DN8" s="7">
        <f t="shared" si="8"/>
        <v>4.6072427183389657E-2</v>
      </c>
      <c r="DO8" s="7">
        <f t="shared" si="8"/>
        <v>4.8485249280929572E-2</v>
      </c>
      <c r="DP8" s="7">
        <f t="shared" si="8"/>
        <v>4.6022161841392517E-2</v>
      </c>
      <c r="DQ8" s="7">
        <f t="shared" si="8"/>
        <v>4.4537413865327842E-2</v>
      </c>
      <c r="DR8" s="7">
        <f t="shared" si="8"/>
        <v>4.4425271451473243E-2</v>
      </c>
      <c r="DS8" s="7">
        <f t="shared" si="8"/>
        <v>4.2646575719118118E-2</v>
      </c>
      <c r="DT8" s="7">
        <f t="shared" si="8"/>
        <v>4.6090584248304367E-2</v>
      </c>
      <c r="DU8" s="7">
        <f t="shared" si="8"/>
        <v>4.3128091841936111E-2</v>
      </c>
      <c r="DV8" s="7">
        <f t="shared" si="8"/>
        <v>4.1349083185195923E-2</v>
      </c>
      <c r="DW8" s="7">
        <f t="shared" si="8"/>
        <v>4.0377732366323471E-2</v>
      </c>
      <c r="DX8" s="7">
        <f t="shared" si="8"/>
        <v>4.6240631490945823E-2</v>
      </c>
      <c r="DY8" s="7">
        <f t="shared" si="8"/>
        <v>4.529276117682457E-2</v>
      </c>
      <c r="DZ8" s="7">
        <f t="shared" si="8"/>
        <v>3.8002155721187592E-2</v>
      </c>
      <c r="EA8" s="7">
        <f t="shared" ref="EA8:EG8" si="9">IF(EA6=1,EA3,IF(EA6=2,EA4,IF(EA6=3,EA5)))</f>
        <v>4.3337244540452957E-2</v>
      </c>
      <c r="EB8" s="7">
        <f t="shared" si="9"/>
        <v>3.5762075334787369E-2</v>
      </c>
      <c r="EC8" s="7">
        <f t="shared" si="9"/>
        <v>3.0851878225803379E-2</v>
      </c>
      <c r="ED8" s="7">
        <f t="shared" si="9"/>
        <v>4.0065716952085488E-2</v>
      </c>
      <c r="EE8" s="7">
        <f t="shared" si="9"/>
        <v>4.3372519314289093E-2</v>
      </c>
      <c r="EF8" s="7">
        <f t="shared" si="9"/>
        <v>4.6325836330652237E-2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4.701350899422875E-2</v>
      </c>
      <c r="D12" s="7">
        <v>0.11468862904522351</v>
      </c>
      <c r="E12" s="7">
        <v>-6.7540283583579167E-3</v>
      </c>
      <c r="F12" s="7">
        <v>1.342110438955847E-2</v>
      </c>
      <c r="G12" s="7">
        <v>7.9043467459283603E-3</v>
      </c>
      <c r="H12" s="7">
        <v>3.8530512249887933E-2</v>
      </c>
      <c r="I12" s="7">
        <v>1.2809788693165489E-2</v>
      </c>
      <c r="J12" s="7">
        <v>-2.9408122838989852E-2</v>
      </c>
      <c r="K12" s="7">
        <v>-1.0988403852822111E-2</v>
      </c>
      <c r="L12" s="7">
        <v>-2.2772307809632709E-3</v>
      </c>
      <c r="M12" s="7">
        <v>-3.9647700792304509E-4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-7.7398000690130087E-3</v>
      </c>
      <c r="U12" s="7">
        <v>-1.6178598882878859E-2</v>
      </c>
      <c r="V12" s="7">
        <v>6.2044700693444643E-3</v>
      </c>
      <c r="W12" s="7">
        <v>6.4039414985380988E-2</v>
      </c>
      <c r="X12" s="7">
        <v>2.7073890424547119E-2</v>
      </c>
      <c r="Y12" s="7">
        <v>1.544036841356077E-2</v>
      </c>
      <c r="Z12" s="7">
        <v>5.1659076098035236E-3</v>
      </c>
      <c r="AA12" s="7">
        <v>-3.9403661401111782E-2</v>
      </c>
      <c r="AB12" s="7">
        <v>-3.7114184153333798E-3</v>
      </c>
      <c r="AC12" s="7">
        <v>5.1673797604565516E-3</v>
      </c>
      <c r="AD12" s="7">
        <v>-5.84710999923721E-3</v>
      </c>
      <c r="AE12" s="7">
        <v>-5.8316963071098869E-2</v>
      </c>
      <c r="AF12" s="7">
        <v>-2.0432151303864929E-2</v>
      </c>
      <c r="AG12" s="7">
        <v>1.207912796320139E-2</v>
      </c>
      <c r="AH12" s="7">
        <v>-1.3405804649633229E-2</v>
      </c>
      <c r="AI12" s="7">
        <v>2.324645917886457E-2</v>
      </c>
      <c r="AJ12" s="7">
        <v>2.1062262693673572E-2</v>
      </c>
      <c r="AK12" s="7">
        <v>9.5035078540249979E-3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-4.633936527829138E-3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-8.6580852422569136E-3</v>
      </c>
      <c r="AY12" s="7">
        <v>2.4955293067673249E-2</v>
      </c>
      <c r="AZ12" s="7">
        <v>-2.3000260716576439E-3</v>
      </c>
      <c r="BA12" s="7">
        <v>4.9378881832418033E-3</v>
      </c>
      <c r="BB12" s="7">
        <v>1.527460525245942E-2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-5.1690919562298789E-3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1.4580557553402819E-2</v>
      </c>
      <c r="CB12" s="7">
        <v>1.943242131762835E-3</v>
      </c>
      <c r="CC12" s="7">
        <v>-1.677096439411024E-2</v>
      </c>
      <c r="CD12" s="7">
        <v>0.1109336335844525</v>
      </c>
      <c r="CE12" s="7">
        <v>1.161940844222922E-2</v>
      </c>
      <c r="CF12" s="7">
        <v>2.776758341377213E-2</v>
      </c>
      <c r="CG12" s="7">
        <v>4.1857234050063037E-2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3.6572194909933541E-2</v>
      </c>
      <c r="CR12" s="7">
        <v>2.1178784306524409E-3</v>
      </c>
      <c r="CS12" s="7">
        <v>-1.5201647687045549E-2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-2.298187595412704E-2</v>
      </c>
      <c r="DC12" s="7">
        <v>3.3973202874774677E-2</v>
      </c>
      <c r="DD12" s="7">
        <v>2.4888978057240451E-2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8.0625982547704502E-3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-2.276986490903608E-2</v>
      </c>
      <c r="DR12" s="7">
        <v>1.8778943279386909E-2</v>
      </c>
      <c r="DS12" s="7">
        <v>-3.5726155451697807E-2</v>
      </c>
      <c r="DT12" s="7">
        <v>-4.5297883394400537E-2</v>
      </c>
      <c r="DU12" s="7">
        <v>1.3752648086382459E-2</v>
      </c>
      <c r="DV12" s="7">
        <v>4.8550824477530688E-2</v>
      </c>
      <c r="DW12" s="7">
        <v>4.3725564220037427E-2</v>
      </c>
      <c r="DX12" s="7">
        <v>-5.0152080542361532E-2</v>
      </c>
      <c r="DY12" s="7">
        <v>1.5357270118494901E-2</v>
      </c>
      <c r="DZ12" s="7">
        <v>-4.1357254801773907E-3</v>
      </c>
      <c r="EA12" s="7">
        <v>6.4003941323197033E-2</v>
      </c>
      <c r="EB12" s="7">
        <v>2.8283267748527709E-3</v>
      </c>
      <c r="EC12" s="7">
        <v>2.6651509579665299E-2</v>
      </c>
      <c r="ED12" s="7">
        <v>-6.050815280848415E-2</v>
      </c>
      <c r="EE12" s="7">
        <v>1.1917096272487391E-2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4.2506117601795589E-2</v>
      </c>
      <c r="D13" s="7">
        <v>0.1237450287927723</v>
      </c>
      <c r="E13" s="7">
        <v>-3.4496619491353048E-2</v>
      </c>
      <c r="F13" s="7">
        <v>-1.14552398753768E-2</v>
      </c>
      <c r="G13" s="7">
        <v>-1.490797975730339E-2</v>
      </c>
      <c r="H13" s="7">
        <v>2.9989631725721271E-2</v>
      </c>
      <c r="I13" s="7">
        <v>2.9130594923697638E-2</v>
      </c>
      <c r="J13" s="7">
        <v>-4.3899227077412117E-2</v>
      </c>
      <c r="K13" s="7">
        <v>-4.5330990242219003E-2</v>
      </c>
      <c r="L13" s="7">
        <v>-2.913566903744547E-2</v>
      </c>
      <c r="M13" s="7">
        <v>2.5687102146235319E-2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-2.2104020419172268E-2</v>
      </c>
      <c r="U13" s="7">
        <v>1.5970162331858111E-3</v>
      </c>
      <c r="V13" s="7">
        <v>-2.009432801387449E-2</v>
      </c>
      <c r="W13" s="7">
        <v>7.5476561860150226E-2</v>
      </c>
      <c r="X13" s="7">
        <v>5.327689472594363E-2</v>
      </c>
      <c r="Y13" s="7">
        <v>1.392099255764867E-2</v>
      </c>
      <c r="Z13" s="7">
        <v>2.0583761169128259E-2</v>
      </c>
      <c r="AA13" s="7">
        <v>-3.2119510338471283E-2</v>
      </c>
      <c r="AB13" s="7">
        <v>-1.6036098685220952E-2</v>
      </c>
      <c r="AC13" s="7">
        <v>8.0314397959504041E-3</v>
      </c>
      <c r="AD13" s="7">
        <v>-6.5790452025407779E-3</v>
      </c>
      <c r="AE13" s="7">
        <v>-6.5719382027610476E-2</v>
      </c>
      <c r="AF13" s="7">
        <v>-3.1940463834301228E-2</v>
      </c>
      <c r="AG13" s="7">
        <v>3.282310180952513E-3</v>
      </c>
      <c r="AH13" s="7">
        <v>-9.6413392395163916E-3</v>
      </c>
      <c r="AI13" s="7">
        <v>1.9909910220413461E-2</v>
      </c>
      <c r="AJ13" s="7">
        <v>1.988632403117771E-2</v>
      </c>
      <c r="AK13" s="7">
        <v>3.3184447714405541E-3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-6.5879899076427646E-3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-1.188096828543265E-2</v>
      </c>
      <c r="AY13" s="7">
        <v>1.756434634862496E-2</v>
      </c>
      <c r="AZ13" s="7">
        <v>-8.1034674694993921E-3</v>
      </c>
      <c r="BA13" s="7">
        <v>6.5409376070610318E-3</v>
      </c>
      <c r="BB13" s="7">
        <v>4.2875374496810892E-2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1.6918615618881649E-2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2.401267379212468E-2</v>
      </c>
      <c r="CB13" s="7">
        <v>-6.5958267252201053E-3</v>
      </c>
      <c r="CC13" s="7">
        <v>-1.2530912212633369E-2</v>
      </c>
      <c r="CD13" s="7">
        <v>0.1050858328923274</v>
      </c>
      <c r="CE13" s="7">
        <v>9.2209843254137634E-3</v>
      </c>
      <c r="CF13" s="7">
        <v>4.4514266725069238E-2</v>
      </c>
      <c r="CG13" s="7">
        <v>4.0449062968955063E-2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3.8184950196159702E-2</v>
      </c>
      <c r="CR13" s="7">
        <v>8.2797809976485181E-3</v>
      </c>
      <c r="CS13" s="7">
        <v>1.0833051115274659E-2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-4.1761569716784581E-2</v>
      </c>
      <c r="DC13" s="7">
        <v>2.9775565878292928E-2</v>
      </c>
      <c r="DD13" s="7">
        <v>1.069760060073574E-2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-3.3317561795107452E-3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-2.6430081417128711E-2</v>
      </c>
      <c r="DR13" s="7">
        <v>1.377120927231194E-2</v>
      </c>
      <c r="DS13" s="7">
        <v>-3.8887627839669842E-2</v>
      </c>
      <c r="DT13" s="7">
        <v>-3.542630104766481E-2</v>
      </c>
      <c r="DU13" s="7">
        <v>1.8705163637144761E-2</v>
      </c>
      <c r="DV13" s="7">
        <v>7.9620144024188558E-2</v>
      </c>
      <c r="DW13" s="7">
        <v>4.4417789624350307E-2</v>
      </c>
      <c r="DX13" s="7">
        <v>-6.4523379578496173E-2</v>
      </c>
      <c r="DY13" s="7">
        <v>3.5386044653833333E-2</v>
      </c>
      <c r="DZ13" s="7">
        <v>-1.460881448721826E-2</v>
      </c>
      <c r="EA13" s="7">
        <v>7.3242869042682138E-2</v>
      </c>
      <c r="EB13" s="7">
        <v>2.1373218199386389E-2</v>
      </c>
      <c r="EC13" s="7">
        <v>4.1659753435228923E-2</v>
      </c>
      <c r="ED13" s="7">
        <v>-6.5682093659234955E-2</v>
      </c>
      <c r="EE13" s="7">
        <v>7.9525935749644935E-3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-3.7017512404591897E-2</v>
      </c>
      <c r="D14" s="7">
        <v>0.22230844854062601</v>
      </c>
      <c r="E14" s="7">
        <v>-4.7525943267256017E-2</v>
      </c>
      <c r="F14" s="7">
        <v>3.454246416569963E-2</v>
      </c>
      <c r="G14" s="7">
        <v>-4.1019916497925447E-2</v>
      </c>
      <c r="H14" s="7">
        <v>5.9587806435440108E-2</v>
      </c>
      <c r="I14" s="7">
        <v>7.7114962431364939E-2</v>
      </c>
      <c r="J14" s="7">
        <v>-0.1050943867827082</v>
      </c>
      <c r="K14" s="7">
        <v>-0.13417870371405349</v>
      </c>
      <c r="L14" s="7">
        <v>4.847197187706806E-3</v>
      </c>
      <c r="M14" s="7">
        <v>-7.5951542984044773E-2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-1.7360731234559681E-2</v>
      </c>
      <c r="U14" s="7">
        <v>3.6579129519701881E-2</v>
      </c>
      <c r="V14" s="7">
        <v>-3.837554626450454E-2</v>
      </c>
      <c r="W14" s="7">
        <v>0.1161657905318967</v>
      </c>
      <c r="X14" s="7">
        <v>5.3581708514183243E-2</v>
      </c>
      <c r="Y14" s="7">
        <v>-1.676266335668946E-2</v>
      </c>
      <c r="Z14" s="7">
        <v>2.1252201103450909E-2</v>
      </c>
      <c r="AA14" s="7">
        <v>-3.9450180302082173E-2</v>
      </c>
      <c r="AB14" s="7">
        <v>-7.4982912772120214E-2</v>
      </c>
      <c r="AC14" s="7">
        <v>-2.929208376556364E-2</v>
      </c>
      <c r="AD14" s="7">
        <v>1.292010661121834E-2</v>
      </c>
      <c r="AE14" s="7">
        <v>-4.0189068228804886E-3</v>
      </c>
      <c r="AF14" s="7">
        <v>-4.0420702542399108E-2</v>
      </c>
      <c r="AG14" s="7">
        <v>6.3902010138930376E-3</v>
      </c>
      <c r="AH14" s="7">
        <v>-5.250277930506024E-3</v>
      </c>
      <c r="AI14" s="7">
        <v>1.096457068257391E-2</v>
      </c>
      <c r="AJ14" s="7">
        <v>9.6294976708784216E-2</v>
      </c>
      <c r="AK14" s="7">
        <v>-1.1509462937175179E-2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7.0548285367649016E-3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8.2158804712704862E-4</v>
      </c>
      <c r="AY14" s="7">
        <v>1.5068118771761551E-2</v>
      </c>
      <c r="AZ14" s="7">
        <v>-5.3348569172156059E-2</v>
      </c>
      <c r="BA14" s="7">
        <v>1.7621645544243138E-2</v>
      </c>
      <c r="BB14" s="7">
        <v>6.1734282001674842E-2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3.9257215206427082E-2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3.3455158238155647E-2</v>
      </c>
      <c r="CB14" s="7">
        <v>2.2127616542174811E-2</v>
      </c>
      <c r="CC14" s="7">
        <v>-1.2794080785178611E-2</v>
      </c>
      <c r="CD14" s="7">
        <v>9.8016709932197757E-2</v>
      </c>
      <c r="CE14" s="7">
        <v>-7.2156719211697945E-2</v>
      </c>
      <c r="CF14" s="7">
        <v>9.2330683282061565E-2</v>
      </c>
      <c r="CG14" s="7">
        <v>5.3067028295838918E-2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5.321162809167454E-2</v>
      </c>
      <c r="CR14" s="7">
        <v>5.590913762450133E-2</v>
      </c>
      <c r="CS14" s="7">
        <v>5.9027120263655718E-2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-2.356107318819085E-2</v>
      </c>
      <c r="DC14" s="7">
        <v>2.3632609204847509E-2</v>
      </c>
      <c r="DD14" s="7">
        <v>-1.6758549792416429E-2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1.023724267297355E-3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-8.9367860040811792E-2</v>
      </c>
      <c r="DR14" s="7">
        <v>5.2622519458999567E-2</v>
      </c>
      <c r="DS14" s="7">
        <v>-3.5044906270916831E-2</v>
      </c>
      <c r="DT14" s="7">
        <v>-4.4516953597455299E-2</v>
      </c>
      <c r="DU14" s="7">
        <v>-4.4914948618981987E-2</v>
      </c>
      <c r="DV14" s="7">
        <v>0.1082623545301073</v>
      </c>
      <c r="DW14" s="7">
        <v>9.8344367017777726E-2</v>
      </c>
      <c r="DX14" s="7">
        <v>-0.1019315055524211</v>
      </c>
      <c r="DY14" s="7">
        <v>3.7997079946848547E-2</v>
      </c>
      <c r="DZ14" s="7">
        <v>-2.1881573318462251E-2</v>
      </c>
      <c r="EA14" s="7">
        <v>7.8105265887936245E-2</v>
      </c>
      <c r="EB14" s="7">
        <v>3.317733311259085E-2</v>
      </c>
      <c r="EC14" s="7">
        <v>6.0793821481329897E-3</v>
      </c>
      <c r="ED14" s="7">
        <v>-0.102629709186187</v>
      </c>
      <c r="EE14" s="7">
        <v>1.886715684489253E-2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-9.6503141994516081E-2</v>
      </c>
      <c r="D15" s="7">
        <v>0.37270921560992559</v>
      </c>
      <c r="E15" s="7">
        <v>-1.019842627208351E-2</v>
      </c>
      <c r="F15" s="7">
        <v>9.0303713009756648E-2</v>
      </c>
      <c r="G15" s="7">
        <v>-6.0636928671534279E-2</v>
      </c>
      <c r="H15" s="7">
        <v>0.1188437037073593</v>
      </c>
      <c r="I15" s="7">
        <v>0.12672874111951199</v>
      </c>
      <c r="J15" s="7">
        <v>-6.4524690109755506E-2</v>
      </c>
      <c r="K15" s="7">
        <v>-0.28659462773637062</v>
      </c>
      <c r="L15" s="7">
        <v>3.2558505157184642E-2</v>
      </c>
      <c r="M15" s="7">
        <v>-0.1884920497107565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-4.9338672660515052E-2</v>
      </c>
      <c r="U15" s="7">
        <v>4.6790243158631693E-2</v>
      </c>
      <c r="V15" s="7">
        <v>-8.5680881878873433E-2</v>
      </c>
      <c r="W15" s="7">
        <v>0.10693455515793331</v>
      </c>
      <c r="X15" s="7">
        <v>7.8436412445587397E-2</v>
      </c>
      <c r="Y15" s="7">
        <v>-2.41886185471549E-2</v>
      </c>
      <c r="Z15" s="7">
        <v>-2.3656418685670762E-2</v>
      </c>
      <c r="AA15" s="7">
        <v>-5.4081147028033669E-2</v>
      </c>
      <c r="AB15" s="7">
        <v>-7.3995951784183639E-2</v>
      </c>
      <c r="AC15" s="7">
        <v>-4.0055129570116199E-2</v>
      </c>
      <c r="AD15" s="7">
        <v>-1.8936283030818419E-2</v>
      </c>
      <c r="AE15" s="7">
        <v>4.7286476245703507E-2</v>
      </c>
      <c r="AF15" s="7">
        <v>-6.5819612497039853E-2</v>
      </c>
      <c r="AG15" s="7">
        <v>-9.7453106019047206E-3</v>
      </c>
      <c r="AH15" s="7">
        <v>3.3604373357676472E-2</v>
      </c>
      <c r="AI15" s="7">
        <v>7.4276960210081885E-2</v>
      </c>
      <c r="AJ15" s="7">
        <v>4.1844346323331449E-3</v>
      </c>
      <c r="AK15" s="7">
        <v>-3.6999311756730033E-2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1.2581944955645789E-2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4.159691711258919E-3</v>
      </c>
      <c r="AY15" s="7">
        <v>2.8017064110032911E-2</v>
      </c>
      <c r="AZ15" s="7">
        <v>-9.1323280068503487E-2</v>
      </c>
      <c r="BA15" s="7">
        <v>1.061351480765297E-2</v>
      </c>
      <c r="BB15" s="7">
        <v>0.1127248660788131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6.6824821366729223E-2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2.9964009225077439E-2</v>
      </c>
      <c r="CB15" s="7">
        <v>1.5056894011824499E-2</v>
      </c>
      <c r="CC15" s="7">
        <v>-0.15231826505416149</v>
      </c>
      <c r="CD15" s="7">
        <v>0.1201520839630844</v>
      </c>
      <c r="CE15" s="7">
        <v>-0.1165165690701207</v>
      </c>
      <c r="CF15" s="7">
        <v>9.435665039342013E-2</v>
      </c>
      <c r="CG15" s="7">
        <v>-4.2988792533641554E-3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3.7378010765128991E-2</v>
      </c>
      <c r="CR15" s="7">
        <v>4.8237070288164277E-2</v>
      </c>
      <c r="CS15" s="7">
        <v>6.0185172463594637E-2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-3.0226618214123681E-2</v>
      </c>
      <c r="DC15" s="7">
        <v>3.5075149974582137E-2</v>
      </c>
      <c r="DD15" s="7">
        <v>-4.9393690499884603E-2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-5.1853853094406883E-2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-9.5040907459428614E-2</v>
      </c>
      <c r="DR15" s="7">
        <v>7.0010566617938433E-2</v>
      </c>
      <c r="DS15" s="7">
        <v>-7.6241908411797149E-2</v>
      </c>
      <c r="DT15" s="7">
        <v>-7.2163631718163007E-2</v>
      </c>
      <c r="DU15" s="7">
        <v>-4.5770728951680668E-2</v>
      </c>
      <c r="DV15" s="7">
        <v>0.13976835694087139</v>
      </c>
      <c r="DW15" s="7">
        <v>2.5538627146832551E-2</v>
      </c>
      <c r="DX15" s="7">
        <v>-0.1186162506499864</v>
      </c>
      <c r="DY15" s="7">
        <v>0.10653916660100959</v>
      </c>
      <c r="DZ15" s="7">
        <v>-1.8920244069384411E-2</v>
      </c>
      <c r="EA15" s="7">
        <v>2.7338726209839619E-2</v>
      </c>
      <c r="EB15" s="7">
        <v>4.8518573131244913E-2</v>
      </c>
      <c r="EC15" s="7">
        <v>6.6081856047946447E-2</v>
      </c>
      <c r="ED15" s="7">
        <v>-0.1133570559353114</v>
      </c>
      <c r="EE15" s="7">
        <v>-1.6245414536088298E-2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-2.7383644610379052E-2</v>
      </c>
      <c r="D16" s="7">
        <v>0.40819497873258059</v>
      </c>
      <c r="E16" s="7">
        <v>-2.8301766100853822E-3</v>
      </c>
      <c r="F16" s="7">
        <v>0.1242597879076992</v>
      </c>
      <c r="G16" s="7">
        <v>-7.3696265126923857E-2</v>
      </c>
      <c r="H16" s="7">
        <v>7.2848056287647484E-2</v>
      </c>
      <c r="I16" s="7">
        <v>0.11179230197990719</v>
      </c>
      <c r="J16" s="7">
        <v>-6.869403325322769E-2</v>
      </c>
      <c r="K16" s="7">
        <v>-0.28467055022653209</v>
      </c>
      <c r="L16" s="7">
        <v>9.8865345878687977E-3</v>
      </c>
      <c r="M16" s="7">
        <v>-0.1948764049423935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-2.322678494413952E-2</v>
      </c>
      <c r="U16" s="7">
        <v>4.8651515792801768E-2</v>
      </c>
      <c r="V16" s="7">
        <v>-0.1043161756014417</v>
      </c>
      <c r="W16" s="7">
        <v>7.8373488027637842E-2</v>
      </c>
      <c r="X16" s="7">
        <v>7.3678277657467109E-2</v>
      </c>
      <c r="Y16" s="7">
        <v>-4.2874470917364169E-3</v>
      </c>
      <c r="Z16" s="7">
        <v>-2.0075794878424799E-2</v>
      </c>
      <c r="AA16" s="7">
        <v>-4.3487635835992113E-2</v>
      </c>
      <c r="AB16" s="7">
        <v>-7.1016126417337094E-2</v>
      </c>
      <c r="AC16" s="7">
        <v>-4.1040522709083073E-2</v>
      </c>
      <c r="AD16" s="7">
        <v>-1.122025849076259E-3</v>
      </c>
      <c r="AE16" s="7">
        <v>5.1534991881901908E-2</v>
      </c>
      <c r="AF16" s="7">
        <v>-6.3685842581589158E-2</v>
      </c>
      <c r="AG16" s="7">
        <v>-8.3019076028860647E-3</v>
      </c>
      <c r="AH16" s="7">
        <v>3.1765400449440553E-2</v>
      </c>
      <c r="AI16" s="7">
        <v>9.0522649217154846E-2</v>
      </c>
      <c r="AJ16" s="7">
        <v>-1.7629241723035149E-2</v>
      </c>
      <c r="AK16" s="7">
        <v>-7.9871677299248253E-3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5.239889563344962E-3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-6.8578552128263116E-3</v>
      </c>
      <c r="AY16" s="7">
        <v>3.3812589844345937E-2</v>
      </c>
      <c r="AZ16" s="7">
        <v>-0.1049096351787122</v>
      </c>
      <c r="BA16" s="7">
        <v>1.4923105057586089E-2</v>
      </c>
      <c r="BB16" s="7">
        <v>0.10803892415273809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8.1523875041965066E-2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2.7432169651693931E-2</v>
      </c>
      <c r="CB16" s="7">
        <v>-1.4280449892172949E-3</v>
      </c>
      <c r="CC16" s="7">
        <v>-0.15907251448393439</v>
      </c>
      <c r="CD16" s="7">
        <v>0.15507127162636181</v>
      </c>
      <c r="CE16" s="7">
        <v>-0.13259506079351141</v>
      </c>
      <c r="CF16" s="7">
        <v>0.10520126400975099</v>
      </c>
      <c r="CG16" s="7">
        <v>-5.3785190313301026E-3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4.1435605659410409E-2</v>
      </c>
      <c r="CR16" s="7">
        <v>4.829976668331655E-2</v>
      </c>
      <c r="CS16" s="7">
        <v>6.6559159874073834E-2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-4.2712169780226052E-2</v>
      </c>
      <c r="DC16" s="7">
        <v>4.2942362320500277E-2</v>
      </c>
      <c r="DD16" s="7">
        <v>-7.0070935057357717E-2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-2.914140608062964E-2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-8.3033658077016542E-2</v>
      </c>
      <c r="DR16" s="7">
        <v>5.5191251649515209E-2</v>
      </c>
      <c r="DS16" s="7">
        <v>-9.3752064989754288E-2</v>
      </c>
      <c r="DT16" s="7">
        <v>-0.10053412782446559</v>
      </c>
      <c r="DU16" s="7">
        <v>-6.447373376953866E-2</v>
      </c>
      <c r="DV16" s="7">
        <v>0.13695373201779351</v>
      </c>
      <c r="DW16" s="7">
        <v>4.0917729699690833E-2</v>
      </c>
      <c r="DX16" s="7">
        <v>-0.1252847063239774</v>
      </c>
      <c r="DY16" s="7">
        <v>0.11635433491034319</v>
      </c>
      <c r="DZ16" s="7">
        <v>-3.1277079824676451E-2</v>
      </c>
      <c r="EA16" s="7">
        <v>4.6661371555726909E-2</v>
      </c>
      <c r="EB16" s="7">
        <v>7.8610638743133537E-2</v>
      </c>
      <c r="EC16" s="7">
        <v>6.3532066634569728E-2</v>
      </c>
      <c r="ED16" s="7">
        <v>-0.1154167474989211</v>
      </c>
      <c r="EE16" s="7">
        <v>-2.3090711524611399E-2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-4.1028984252961823E-2</v>
      </c>
      <c r="D17" s="7">
        <v>0.43958848862462141</v>
      </c>
      <c r="E17" s="7">
        <v>7.3790014953013412E-3</v>
      </c>
      <c r="F17" s="7">
        <v>0.14677181431251229</v>
      </c>
      <c r="G17" s="7">
        <v>-7.122276687818177E-2</v>
      </c>
      <c r="H17" s="7">
        <v>0.104994053627741</v>
      </c>
      <c r="I17" s="7">
        <v>6.7489655086341166E-2</v>
      </c>
      <c r="J17" s="7">
        <v>-0.11529907324194991</v>
      </c>
      <c r="K17" s="7">
        <v>-0.29682655110056239</v>
      </c>
      <c r="L17" s="7">
        <v>9.7108895081580021E-3</v>
      </c>
      <c r="M17" s="7">
        <v>-0.22694063729232281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-2.3507588651560989E-2</v>
      </c>
      <c r="U17" s="7">
        <v>5.2290233946816159E-2</v>
      </c>
      <c r="V17" s="7">
        <v>-0.11635630202540009</v>
      </c>
      <c r="W17" s="7">
        <v>7.9141988802017282E-2</v>
      </c>
      <c r="X17" s="7">
        <v>0.1001859670039883</v>
      </c>
      <c r="Y17" s="7">
        <v>1.500501326537191E-3</v>
      </c>
      <c r="Z17" s="7">
        <v>-2.160848979426638E-2</v>
      </c>
      <c r="AA17" s="7">
        <v>-3.5209789582199093E-2</v>
      </c>
      <c r="AB17" s="7">
        <v>-5.8334160690778111E-2</v>
      </c>
      <c r="AC17" s="7">
        <v>-4.0799010987682183E-2</v>
      </c>
      <c r="AD17" s="7">
        <v>-2.1912844173640599E-2</v>
      </c>
      <c r="AE17" s="7">
        <v>5.9443499695692369E-2</v>
      </c>
      <c r="AF17" s="7">
        <v>-6.1429310121940139E-2</v>
      </c>
      <c r="AG17" s="7">
        <v>-1.3516708058117981E-3</v>
      </c>
      <c r="AH17" s="7">
        <v>3.5472619172888853E-2</v>
      </c>
      <c r="AI17" s="7">
        <v>0.11486444539828659</v>
      </c>
      <c r="AJ17" s="7">
        <v>-2.220745952474644E-2</v>
      </c>
      <c r="AK17" s="7">
        <v>-1.3325712752363659E-2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3.7580715888505642E-3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1.059038835448599E-2</v>
      </c>
      <c r="AY17" s="7">
        <v>2.742369669060089E-2</v>
      </c>
      <c r="AZ17" s="7">
        <v>-0.1251576022601911</v>
      </c>
      <c r="BA17" s="7">
        <v>9.8251791071129642E-3</v>
      </c>
      <c r="BB17" s="7">
        <v>0.1237640631138444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7.5997770445859966E-2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2.7196784377914691E-2</v>
      </c>
      <c r="CB17" s="7">
        <v>-1.047770749199251E-2</v>
      </c>
      <c r="CC17" s="7">
        <v>-0.17495797398968091</v>
      </c>
      <c r="CD17" s="7">
        <v>0.17295974121914859</v>
      </c>
      <c r="CE17" s="7">
        <v>-0.17511624550605151</v>
      </c>
      <c r="CF17" s="7">
        <v>9.8746197426198501E-2</v>
      </c>
      <c r="CG17" s="7">
        <v>-1.552710507507719E-2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4.1087933183403327E-2</v>
      </c>
      <c r="CR17" s="7">
        <v>5.0676490702223173E-2</v>
      </c>
      <c r="CS17" s="7">
        <v>9.6841631299569769E-2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-3.4883010792467917E-2</v>
      </c>
      <c r="DC17" s="7">
        <v>4.3363468977499313E-2</v>
      </c>
      <c r="DD17" s="7">
        <v>-8.5133933084153957E-2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-4.5336157540819967E-2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-0.1077024687966308</v>
      </c>
      <c r="DR17" s="7">
        <v>5.5884814876328279E-2</v>
      </c>
      <c r="DS17" s="7">
        <v>-0.12431615980481089</v>
      </c>
      <c r="DT17" s="7">
        <v>-9.3138949685151573E-2</v>
      </c>
      <c r="DU17" s="7">
        <v>-7.1730706050505327E-2</v>
      </c>
      <c r="DV17" s="7">
        <v>0.11776539811095429</v>
      </c>
      <c r="DW17" s="7">
        <v>4.8681483414150163E-2</v>
      </c>
      <c r="DX17" s="7">
        <v>-0.12953898259647401</v>
      </c>
      <c r="DY17" s="7">
        <v>0.11213845480607409</v>
      </c>
      <c r="DZ17" s="7">
        <v>-3.1828172599786188E-2</v>
      </c>
      <c r="EA17" s="7">
        <v>1.181792386571255E-2</v>
      </c>
      <c r="EB17" s="7">
        <v>8.7100349194739302E-2</v>
      </c>
      <c r="EC17" s="7">
        <v>1.6425217216060651E-2</v>
      </c>
      <c r="ED17" s="7">
        <v>-0.12832444392891271</v>
      </c>
      <c r="EE17" s="7">
        <v>-2.5413360310033831E-2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-5.3942228163147227E-2</v>
      </c>
      <c r="D18" s="7">
        <v>0.40188368142206798</v>
      </c>
      <c r="E18" s="7">
        <v>-5.900065709820778E-2</v>
      </c>
      <c r="F18" s="7">
        <v>0.21209065115804249</v>
      </c>
      <c r="G18" s="7">
        <v>-8.0794247020859855E-2</v>
      </c>
      <c r="H18" s="7">
        <v>0.12853956177457129</v>
      </c>
      <c r="I18" s="7">
        <v>5.4952662908801589E-2</v>
      </c>
      <c r="J18" s="7">
        <v>-0.12516179308854181</v>
      </c>
      <c r="K18" s="7">
        <v>-0.35868209850789973</v>
      </c>
      <c r="L18" s="7">
        <v>1.298248684698161E-2</v>
      </c>
      <c r="M18" s="7">
        <v>-0.25351319401266048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-5.0281401732647129E-3</v>
      </c>
      <c r="U18" s="7">
        <v>2.813552763259065E-2</v>
      </c>
      <c r="V18" s="7">
        <v>-0.13125392693944099</v>
      </c>
      <c r="W18" s="7">
        <v>7.7296280059738612E-2</v>
      </c>
      <c r="X18" s="7">
        <v>0.1271228086254903</v>
      </c>
      <c r="Y18" s="7">
        <v>2.421380772058089E-2</v>
      </c>
      <c r="Z18" s="7">
        <v>-1.690571618738388E-2</v>
      </c>
      <c r="AA18" s="7">
        <v>-4.1705245182724067E-2</v>
      </c>
      <c r="AB18" s="7">
        <v>-6.1713850673723439E-2</v>
      </c>
      <c r="AC18" s="7">
        <v>-7.4719823379266678E-2</v>
      </c>
      <c r="AD18" s="7">
        <v>-2.659559037908019E-2</v>
      </c>
      <c r="AE18" s="7">
        <v>7.7201591618879711E-2</v>
      </c>
      <c r="AF18" s="7">
        <v>-3.187341816062559E-2</v>
      </c>
      <c r="AG18" s="7">
        <v>-8.6183643801437219E-3</v>
      </c>
      <c r="AH18" s="7">
        <v>4.0197460968514703E-2</v>
      </c>
      <c r="AI18" s="7">
        <v>0.1180857345580002</v>
      </c>
      <c r="AJ18" s="7">
        <v>-7.3274438891894889E-3</v>
      </c>
      <c r="AK18" s="7">
        <v>2.7289927297043159E-2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2.0144314479082388E-3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3.3602067775490192E-2</v>
      </c>
      <c r="AY18" s="7">
        <v>3.4783278641148073E-2</v>
      </c>
      <c r="AZ18" s="7">
        <v>-0.14840908238889911</v>
      </c>
      <c r="BA18" s="7">
        <v>6.3231092468556214E-4</v>
      </c>
      <c r="BB18" s="7">
        <v>0.13765604215733709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0.1027739390634396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3.3286164900529089E-2</v>
      </c>
      <c r="CB18" s="7">
        <v>-2.4577356612448309E-2</v>
      </c>
      <c r="CC18" s="7">
        <v>-2.817344401940013E-2</v>
      </c>
      <c r="CD18" s="7">
        <v>0.19371681864683071</v>
      </c>
      <c r="CE18" s="7">
        <v>-0.1779263563088774</v>
      </c>
      <c r="CF18" s="7">
        <v>7.1817591700374064E-2</v>
      </c>
      <c r="CG18" s="7">
        <v>-2.8013589394155079E-3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4.7976536408267538E-2</v>
      </c>
      <c r="CR18" s="7">
        <v>5.5156128716592027E-2</v>
      </c>
      <c r="CS18" s="7">
        <v>7.802724673197127E-2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-4.5735208678759381E-2</v>
      </c>
      <c r="DC18" s="7">
        <v>3.6408781495506221E-2</v>
      </c>
      <c r="DD18" s="7">
        <v>-8.2462353495414184E-2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-4.5204039785289522E-2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-0.1007272783058315</v>
      </c>
      <c r="DR18" s="7">
        <v>7.6840654771961045E-2</v>
      </c>
      <c r="DS18" s="7">
        <v>-0.1477219984517327</v>
      </c>
      <c r="DT18" s="7">
        <v>-0.1160173901109771</v>
      </c>
      <c r="DU18" s="7">
        <v>-9.6895186076904644E-2</v>
      </c>
      <c r="DV18" s="7">
        <v>0.1056406088000619</v>
      </c>
      <c r="DW18" s="7">
        <v>8.1908692284373169E-2</v>
      </c>
      <c r="DX18" s="7">
        <v>-0.1536029774624818</v>
      </c>
      <c r="DY18" s="7">
        <v>9.7428036975949608E-2</v>
      </c>
      <c r="DZ18" s="7">
        <v>-7.5516359296365659E-2</v>
      </c>
      <c r="EA18" s="7">
        <v>-6.3615627439817801E-3</v>
      </c>
      <c r="EB18" s="7">
        <v>9.9846377978320619E-2</v>
      </c>
      <c r="EC18" s="7">
        <v>2.764115425371385E-3</v>
      </c>
      <c r="ED18" s="7">
        <v>-0.11047802186576559</v>
      </c>
      <c r="EE18" s="7">
        <v>-1.385375397450707E-2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-7.7959416087486216E-2</v>
      </c>
      <c r="D19" s="7">
        <v>0.40752071008946927</v>
      </c>
      <c r="E19" s="7">
        <v>-5.4898093767412171E-2</v>
      </c>
      <c r="F19" s="7">
        <v>0.2361704653757343</v>
      </c>
      <c r="G19" s="7">
        <v>-9.7512090561600123E-2</v>
      </c>
      <c r="H19" s="7">
        <v>0.17761031882265199</v>
      </c>
      <c r="I19" s="7">
        <v>4.746340533639954E-2</v>
      </c>
      <c r="J19" s="7">
        <v>-0.15623035308620389</v>
      </c>
      <c r="K19" s="7">
        <v>-0.41833785096963422</v>
      </c>
      <c r="L19" s="7">
        <v>4.3048957635166023E-2</v>
      </c>
      <c r="M19" s="7">
        <v>-0.26154184231498678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-0.1095258615359218</v>
      </c>
      <c r="U19" s="7">
        <v>4.4186857998324967E-2</v>
      </c>
      <c r="V19" s="7">
        <v>-0.11868445851892109</v>
      </c>
      <c r="W19" s="7">
        <v>7.2415569319498968E-2</v>
      </c>
      <c r="X19" s="7">
        <v>0.122923146245717</v>
      </c>
      <c r="Y19" s="7">
        <v>2.406430534505774E-2</v>
      </c>
      <c r="Z19" s="7">
        <v>-2.2223239298902381E-2</v>
      </c>
      <c r="AA19" s="7">
        <v>-4.1570184538155738E-2</v>
      </c>
      <c r="AB19" s="7">
        <v>-6.0762351466553767E-2</v>
      </c>
      <c r="AC19" s="7">
        <v>-8.3512866892878637E-2</v>
      </c>
      <c r="AD19" s="7">
        <v>-3.5088928587950333E-2</v>
      </c>
      <c r="AE19" s="7">
        <v>0.11523186996306679</v>
      </c>
      <c r="AF19" s="7">
        <v>-3.8785666808899749E-2</v>
      </c>
      <c r="AG19" s="7">
        <v>1.92975452240348E-2</v>
      </c>
      <c r="AH19" s="7">
        <v>5.6557715221703553E-2</v>
      </c>
      <c r="AI19" s="7">
        <v>9.1548662924674465E-2</v>
      </c>
      <c r="AJ19" s="7">
        <v>1.2167191575980511E-2</v>
      </c>
      <c r="AK19" s="7">
        <v>4.9058784633890858E-2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9.7121209416000734E-3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6.4062110230794195E-2</v>
      </c>
      <c r="AY19" s="7">
        <v>2.9528970393379841E-2</v>
      </c>
      <c r="AZ19" s="7">
        <v>-0.18687961816817431</v>
      </c>
      <c r="BA19" s="7">
        <v>-3.4363883954073027E-2</v>
      </c>
      <c r="BB19" s="7">
        <v>0.15974619907243159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0.1142506002586957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3.5609795289398637E-2</v>
      </c>
      <c r="CB19" s="7">
        <v>-4.804116850824483E-2</v>
      </c>
      <c r="CC19" s="7">
        <v>-2.4723252765827462E-2</v>
      </c>
      <c r="CD19" s="7">
        <v>0.21561919809371791</v>
      </c>
      <c r="CE19" s="7">
        <v>-0.1982658291769592</v>
      </c>
      <c r="CF19" s="7">
        <v>7.9904397206049291E-2</v>
      </c>
      <c r="CG19" s="7">
        <v>-5.0633530014653497E-2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-2.7299081545619341E-3</v>
      </c>
      <c r="CR19" s="7">
        <v>4.9694189552402651E-2</v>
      </c>
      <c r="CS19" s="7">
        <v>6.0700850898538133E-2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-3.572089902521567E-2</v>
      </c>
      <c r="DC19" s="7">
        <v>-3.5179399902094073E-2</v>
      </c>
      <c r="DD19" s="7">
        <v>-0.10625733595480071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-4.8514350722976607E-2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-0.1204893793606352</v>
      </c>
      <c r="DR19" s="7">
        <v>7.5962353325048193E-2</v>
      </c>
      <c r="DS19" s="7">
        <v>-0.1779955469539703</v>
      </c>
      <c r="DT19" s="7">
        <v>-0.13312850061934939</v>
      </c>
      <c r="DU19" s="7">
        <v>-0.14283069805444029</v>
      </c>
      <c r="DV19" s="7">
        <v>0.1115247064406045</v>
      </c>
      <c r="DW19" s="7">
        <v>6.0609139340684293E-2</v>
      </c>
      <c r="DX19" s="7">
        <v>-0.1383651342381777</v>
      </c>
      <c r="DY19" s="7">
        <v>7.0109577687923127E-2</v>
      </c>
      <c r="DZ19" s="7">
        <v>-0.1119208288639931</v>
      </c>
      <c r="EA19" s="7">
        <v>-2.807935347566733E-2</v>
      </c>
      <c r="EB19" s="7">
        <v>2.1772770012778581E-2</v>
      </c>
      <c r="EC19" s="7">
        <v>-1.2190043223702179E-2</v>
      </c>
      <c r="ED19" s="7">
        <v>-0.15093531699015689</v>
      </c>
      <c r="EE19" s="7">
        <v>1.2634042940422471E-2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-0.13932460396499161</v>
      </c>
      <c r="D20" s="7">
        <v>0.38202502004734989</v>
      </c>
      <c r="E20" s="7">
        <v>1.5499988144333969E-2</v>
      </c>
      <c r="F20" s="7">
        <v>0.18241961869314111</v>
      </c>
      <c r="G20" s="7">
        <v>-0.1003659119188639</v>
      </c>
      <c r="H20" s="7">
        <v>0.14393228225567539</v>
      </c>
      <c r="I20" s="7">
        <v>2.7935541644402932E-2</v>
      </c>
      <c r="J20" s="7">
        <v>-0.13320729307702719</v>
      </c>
      <c r="K20" s="7">
        <v>-9.0108654122673978E-2</v>
      </c>
      <c r="L20" s="7">
        <v>9.5708635504535719E-2</v>
      </c>
      <c r="M20" s="7">
        <v>-0.26869382513797629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-0.1008455330434727</v>
      </c>
      <c r="U20" s="7">
        <v>3.2237658419507161E-2</v>
      </c>
      <c r="V20" s="7">
        <v>-0.13628806336757671</v>
      </c>
      <c r="W20" s="7">
        <v>9.1084869432544818E-2</v>
      </c>
      <c r="X20" s="7">
        <v>0.15004231162753859</v>
      </c>
      <c r="Y20" s="7">
        <v>-4.8557578603156213E-3</v>
      </c>
      <c r="Z20" s="7">
        <v>2.9157350054346439E-2</v>
      </c>
      <c r="AA20" s="7">
        <v>-2.159455338729711E-2</v>
      </c>
      <c r="AB20" s="7">
        <v>-6.0423624288029942E-2</v>
      </c>
      <c r="AC20" s="7">
        <v>-9.6309042825298966E-2</v>
      </c>
      <c r="AD20" s="7">
        <v>-3.4453902851829692E-2</v>
      </c>
      <c r="AE20" s="7">
        <v>1.7311149627037389E-2</v>
      </c>
      <c r="AF20" s="7">
        <v>-3.9044678387579961E-2</v>
      </c>
      <c r="AG20" s="7">
        <v>-6.2417403721479496E-3</v>
      </c>
      <c r="AH20" s="7">
        <v>9.0178200714782636E-2</v>
      </c>
      <c r="AI20" s="7">
        <v>0.11633675505532361</v>
      </c>
      <c r="AJ20" s="7">
        <v>1.7241715716101249E-2</v>
      </c>
      <c r="AK20" s="7">
        <v>6.6966361142645286E-2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1.26045159631665E-2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8.5886175187610506E-2</v>
      </c>
      <c r="AY20" s="7">
        <v>3.8674698442909439E-2</v>
      </c>
      <c r="AZ20" s="7">
        <v>-0.21380243117708869</v>
      </c>
      <c r="BA20" s="7">
        <v>-3.6798864860540501E-2</v>
      </c>
      <c r="BB20" s="7">
        <v>0.1676554233765693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0.1369176613284383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5.0216826091073863E-2</v>
      </c>
      <c r="CB20" s="7">
        <v>-3.8251950010927849E-2</v>
      </c>
      <c r="CC20" s="7">
        <v>-2.6043033783065061E-2</v>
      </c>
      <c r="CD20" s="7">
        <v>0.1810274974905971</v>
      </c>
      <c r="CE20" s="7">
        <v>-0.2439637954697331</v>
      </c>
      <c r="CF20" s="7">
        <v>8.0957937198676569E-2</v>
      </c>
      <c r="CG20" s="7">
        <v>-9.9052888530088784E-2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6.1113579290622234E-3</v>
      </c>
      <c r="CR20" s="7">
        <v>7.3116244505850386E-2</v>
      </c>
      <c r="CS20" s="7">
        <v>8.8364277012261461E-2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-5.6902709757134122E-2</v>
      </c>
      <c r="DC20" s="7">
        <v>-4.9613069235555772E-2</v>
      </c>
      <c r="DD20" s="7">
        <v>-0.14810881433882259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-3.9459946268887811E-2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-0.18720731773454069</v>
      </c>
      <c r="DR20" s="7">
        <v>7.8512660028290493E-2</v>
      </c>
      <c r="DS20" s="7">
        <v>-0.20608109757835469</v>
      </c>
      <c r="DT20" s="7">
        <v>-0.13343598462213829</v>
      </c>
      <c r="DU20" s="7">
        <v>-0.1720691072058694</v>
      </c>
      <c r="DV20" s="7">
        <v>0.12934547183885869</v>
      </c>
      <c r="DW20" s="7">
        <v>6.9060203958039607E-2</v>
      </c>
      <c r="DX20" s="7">
        <v>-0.15386632960631469</v>
      </c>
      <c r="DY20" s="7">
        <v>5.3618609351648763E-2</v>
      </c>
      <c r="DZ20" s="7">
        <v>-8.4474578309692155E-2</v>
      </c>
      <c r="EA20" s="7">
        <v>1.4917025427623789E-2</v>
      </c>
      <c r="EB20" s="7">
        <v>3.9067633350965261E-2</v>
      </c>
      <c r="EC20" s="7">
        <v>3.4049581413941779E-2</v>
      </c>
      <c r="ED20" s="7">
        <v>-0.17691886106701021</v>
      </c>
      <c r="EE20" s="7">
        <v>2.3672309273819309E-3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-0.19764916434148611</v>
      </c>
      <c r="D21" s="7">
        <v>0.12638791676682359</v>
      </c>
      <c r="E21" s="7">
        <v>-2.7935227079184388E-4</v>
      </c>
      <c r="F21" s="7">
        <v>0.20341349755932739</v>
      </c>
      <c r="G21" s="7">
        <v>-7.2961380278514509E-3</v>
      </c>
      <c r="H21" s="7">
        <v>0.1621640877938379</v>
      </c>
      <c r="I21" s="7">
        <v>1.4111278480981961E-2</v>
      </c>
      <c r="J21" s="7">
        <v>-0.13674291533985661</v>
      </c>
      <c r="K21" s="7">
        <v>-8.8973017354022049E-2</v>
      </c>
      <c r="L21" s="7">
        <v>0.1096796074542299</v>
      </c>
      <c r="M21" s="7">
        <v>-0.19988497469051561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-0.13112036093842719</v>
      </c>
      <c r="U21" s="7">
        <v>-9.8246407343969278E-3</v>
      </c>
      <c r="V21" s="7">
        <v>-0.13175048865250241</v>
      </c>
      <c r="W21" s="7">
        <v>0.124498618828508</v>
      </c>
      <c r="X21" s="7">
        <v>0.20780126735333779</v>
      </c>
      <c r="Y21" s="7">
        <v>-1.014366037320256E-2</v>
      </c>
      <c r="Z21" s="7">
        <v>3.9457715679957053E-2</v>
      </c>
      <c r="AA21" s="7">
        <v>1.9491043540093941E-2</v>
      </c>
      <c r="AB21" s="7">
        <v>-6.5287595030865841E-2</v>
      </c>
      <c r="AC21" s="7">
        <v>-0.15954227246420169</v>
      </c>
      <c r="AD21" s="7">
        <v>-4.6697424552745621E-2</v>
      </c>
      <c r="AE21" s="7">
        <v>1.031161069406002E-2</v>
      </c>
      <c r="AF21" s="7">
        <v>-5.3125609886562987E-2</v>
      </c>
      <c r="AG21" s="7">
        <v>-1.057075303995837E-2</v>
      </c>
      <c r="AH21" s="7">
        <v>0.10758136256479831</v>
      </c>
      <c r="AI21" s="7">
        <v>0.10212367551148389</v>
      </c>
      <c r="AJ21" s="7">
        <v>5.1859256457010838E-3</v>
      </c>
      <c r="AK21" s="7">
        <v>0.10498861015229349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1.8942378916172939E-2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6.6006052217483888E-2</v>
      </c>
      <c r="AY21" s="7">
        <v>4.7021290978038012E-2</v>
      </c>
      <c r="AZ21" s="7">
        <v>-0.25491126989713642</v>
      </c>
      <c r="BA21" s="7">
        <v>-7.1032181648085849E-2</v>
      </c>
      <c r="BB21" s="7">
        <v>0.2253461350383382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0.15512000392109981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9.5059433847559396E-2</v>
      </c>
      <c r="CB21" s="7">
        <v>-6.3421391198258154E-2</v>
      </c>
      <c r="CC21" s="7">
        <v>-4.6693549468963022E-2</v>
      </c>
      <c r="CD21" s="7">
        <v>0.28805606436247322</v>
      </c>
      <c r="CE21" s="7">
        <v>-0.39507594246504552</v>
      </c>
      <c r="CF21" s="7">
        <v>0.13126567680107229</v>
      </c>
      <c r="CG21" s="7">
        <v>-0.14375118915768581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3.2880917250907721E-3</v>
      </c>
      <c r="CR21" s="7">
        <v>9.0824277979679707E-2</v>
      </c>
      <c r="CS21" s="7">
        <v>6.9646396146771747E-2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-5.1624433676154581E-2</v>
      </c>
      <c r="DC21" s="7">
        <v>-4.5047559223290658E-2</v>
      </c>
      <c r="DD21" s="7">
        <v>0.121322688868649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-3.7911313190560098E-2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-0.1547411860293357</v>
      </c>
      <c r="DR21" s="7">
        <v>5.0170859037080733E-2</v>
      </c>
      <c r="DS21" s="7">
        <v>-0.20083947383729561</v>
      </c>
      <c r="DT21" s="7">
        <v>-0.17057080268546079</v>
      </c>
      <c r="DU21" s="7">
        <v>-2.8090293996378659E-2</v>
      </c>
      <c r="DV21" s="7">
        <v>0.140275976869878</v>
      </c>
      <c r="DW21" s="7">
        <v>0.12824786866412111</v>
      </c>
      <c r="DX21" s="7">
        <v>-0.18596621403118341</v>
      </c>
      <c r="DY21" s="7">
        <v>2.459599553801604E-2</v>
      </c>
      <c r="DZ21" s="7">
        <v>-5.2844066560288887E-2</v>
      </c>
      <c r="EA21" s="7">
        <v>-2.4865522448428139E-2</v>
      </c>
      <c r="EB21" s="7">
        <v>8.4081461705858979E-3</v>
      </c>
      <c r="EC21" s="7">
        <v>1.403705509804205E-2</v>
      </c>
      <c r="ED21" s="7">
        <v>-5.4498856348180663E-2</v>
      </c>
      <c r="EE21" s="7">
        <v>1.4428852108417999E-2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6.4235717628454689E-2</v>
      </c>
      <c r="D22" s="7">
        <v>0.1424278520773985</v>
      </c>
      <c r="E22" s="7">
        <v>-4.1027532000619052E-2</v>
      </c>
      <c r="F22" s="7">
        <v>-0.13986745030938699</v>
      </c>
      <c r="G22" s="7">
        <v>-3.2954824249798613E-2</v>
      </c>
      <c r="H22" s="7">
        <v>0.1241780629606463</v>
      </c>
      <c r="I22" s="7">
        <v>1.743734320629017E-2</v>
      </c>
      <c r="J22" s="7">
        <v>-0.10425350273662951</v>
      </c>
      <c r="K22" s="7">
        <v>-0.1532867706545093</v>
      </c>
      <c r="L22" s="7">
        <v>0.17118335942590121</v>
      </c>
      <c r="M22" s="7">
        <v>-0.18466278734295011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-0.1048489671566299</v>
      </c>
      <c r="U22" s="7">
        <v>5.2488906495621809E-2</v>
      </c>
      <c r="V22" s="7">
        <v>-0.1756249024704124</v>
      </c>
      <c r="W22" s="7">
        <v>0.1580477531639507</v>
      </c>
      <c r="X22" s="7">
        <v>0.25720235121349699</v>
      </c>
      <c r="Y22" s="7">
        <v>-6.9853331702800808E-2</v>
      </c>
      <c r="Z22" s="7">
        <v>2.386612179035642E-2</v>
      </c>
      <c r="AA22" s="7">
        <v>7.0480168868567589E-3</v>
      </c>
      <c r="AB22" s="7">
        <v>-3.8274054421571273E-2</v>
      </c>
      <c r="AC22" s="7">
        <v>-0.1772130781488627</v>
      </c>
      <c r="AD22" s="7">
        <v>-1.2467302670572489E-2</v>
      </c>
      <c r="AE22" s="7">
        <v>-8.514768595770715E-2</v>
      </c>
      <c r="AF22" s="7">
        <v>-4.718231615802413E-2</v>
      </c>
      <c r="AG22" s="7">
        <v>-4.5973813007689088E-2</v>
      </c>
      <c r="AH22" s="7">
        <v>0.10586595942047269</v>
      </c>
      <c r="AI22" s="7">
        <v>0.11100371122694901</v>
      </c>
      <c r="AJ22" s="7">
        <v>1.3081541637357001E-2</v>
      </c>
      <c r="AK22" s="7">
        <v>-6.826932816412784E-2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2.0492728517978578E-2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-0.1077606357745645</v>
      </c>
      <c r="AY22" s="7">
        <v>7.1733385334230598E-2</v>
      </c>
      <c r="AZ22" s="7">
        <v>-0.1549037783211521</v>
      </c>
      <c r="BA22" s="7">
        <v>-4.5598425167461952E-2</v>
      </c>
      <c r="BB22" s="7">
        <v>0.30192994454042299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0.19179703945604709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0.14407873603425539</v>
      </c>
      <c r="CB22" s="7">
        <v>-0.14899327824592659</v>
      </c>
      <c r="CC22" s="7">
        <v>-1.498570343815637E-2</v>
      </c>
      <c r="CD22" s="7">
        <v>0.33387803671272293</v>
      </c>
      <c r="CE22" s="7">
        <v>-0.39338733910427809</v>
      </c>
      <c r="CF22" s="7">
        <v>0.18879978576027739</v>
      </c>
      <c r="CG22" s="7">
        <v>-0.20326309220258709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-1.233377932566462E-2</v>
      </c>
      <c r="CR22" s="7">
        <v>0.16185042130139199</v>
      </c>
      <c r="CS22" s="7">
        <v>-1.5202183521422779E-2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-5.8383506828492103E-2</v>
      </c>
      <c r="DC22" s="7">
        <v>-2.0724784444157599E-2</v>
      </c>
      <c r="DD22" s="7">
        <v>0.1478941025728035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-5.0246005833095859E-2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-0.13103100381943991</v>
      </c>
      <c r="DR22" s="7">
        <v>-6.0925526153180337E-3</v>
      </c>
      <c r="DS22" s="7">
        <v>-0.19705092156235929</v>
      </c>
      <c r="DT22" s="7">
        <v>-5.8357008996765318E-2</v>
      </c>
      <c r="DU22" s="7">
        <v>-5.7495390836838987E-2</v>
      </c>
      <c r="DV22" s="7">
        <v>0.12570511767817799</v>
      </c>
      <c r="DW22" s="7">
        <v>7.838972370699715E-2</v>
      </c>
      <c r="DX22" s="7">
        <v>-0.22244260844829469</v>
      </c>
      <c r="DY22" s="7">
        <v>-8.1471166255399959E-3</v>
      </c>
      <c r="DZ22" s="7">
        <v>-0.10374798094555759</v>
      </c>
      <c r="EA22" s="7">
        <v>-7.0548648839358755E-2</v>
      </c>
      <c r="EB22" s="7">
        <v>-8.0596727535317977E-2</v>
      </c>
      <c r="EC22" s="7">
        <v>2.1495101575638179E-2</v>
      </c>
      <c r="ED22" s="7">
        <v>-7.7413567057607463E-2</v>
      </c>
      <c r="EE22" s="7">
        <v>3.344630381221339E-2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-3.4987009286289193E-2</v>
      </c>
      <c r="D23" s="7">
        <v>0.25409262745146127</v>
      </c>
      <c r="E23" s="7">
        <v>-8.094117257067221E-2</v>
      </c>
      <c r="F23" s="7">
        <v>-3.740232941910691E-3</v>
      </c>
      <c r="G23" s="7">
        <v>-5.2224173846498377E-2</v>
      </c>
      <c r="H23" s="7">
        <v>-1.8188470841484668E-2</v>
      </c>
      <c r="I23" s="7">
        <v>-3.6386488866407093E-2</v>
      </c>
      <c r="J23" s="7">
        <v>-0.1148775059304451</v>
      </c>
      <c r="K23" s="7">
        <v>-0.20448947647223359</v>
      </c>
      <c r="L23" s="7">
        <v>5.4043529775598627E-2</v>
      </c>
      <c r="M23" s="7">
        <v>-0.14728696802749691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-8.4676175768728656E-2</v>
      </c>
      <c r="U23" s="7">
        <v>5.924178948110146E-2</v>
      </c>
      <c r="V23" s="7">
        <v>-0.2324772033709247</v>
      </c>
      <c r="W23" s="7">
        <v>0.25954732367705918</v>
      </c>
      <c r="X23" s="7">
        <v>0.1945564614576443</v>
      </c>
      <c r="Y23" s="7">
        <v>-6.7949921591350784E-2</v>
      </c>
      <c r="Z23" s="7">
        <v>4.1051966520251372E-2</v>
      </c>
      <c r="AA23" s="7">
        <v>6.6062919694702682E-3</v>
      </c>
      <c r="AB23" s="7">
        <v>-4.7748945219155479E-2</v>
      </c>
      <c r="AC23" s="7">
        <v>-0.23400862094644481</v>
      </c>
      <c r="AD23" s="7">
        <v>-1.5010900357047399E-2</v>
      </c>
      <c r="AE23" s="7">
        <v>-0.22171323582164909</v>
      </c>
      <c r="AF23" s="7">
        <v>-6.6906260089751285E-2</v>
      </c>
      <c r="AG23" s="7">
        <v>-2.0576770504273641E-3</v>
      </c>
      <c r="AH23" s="7">
        <v>8.417158452318324E-2</v>
      </c>
      <c r="AI23" s="7">
        <v>0.2091515986202637</v>
      </c>
      <c r="AJ23" s="7">
        <v>2.3587440294024171E-2</v>
      </c>
      <c r="AK23" s="7">
        <v>1.8557730736711249E-2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-0.16526637233349209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6.513715432570244E-2</v>
      </c>
      <c r="AY23" s="7">
        <v>0.17023398084058211</v>
      </c>
      <c r="AZ23" s="7">
        <v>-6.3753617401060211E-2</v>
      </c>
      <c r="BA23" s="7">
        <v>9.6467800801007808E-3</v>
      </c>
      <c r="BB23" s="7">
        <v>-5.1049484102885123E-2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0.18918068678715391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0.20637272238748691</v>
      </c>
      <c r="CB23" s="7">
        <v>-0.21761420299243989</v>
      </c>
      <c r="CC23" s="7">
        <v>0.2249586274956801</v>
      </c>
      <c r="CD23" s="7">
        <v>0.19167645501478511</v>
      </c>
      <c r="CE23" s="7">
        <v>-0.1166246067964614</v>
      </c>
      <c r="CF23" s="7">
        <v>0.15713490979116501</v>
      </c>
      <c r="CG23" s="7">
        <v>-0.3932437879236767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-9.1837444998058917E-3</v>
      </c>
      <c r="CR23" s="7">
        <v>1.159780382107861E-2</v>
      </c>
      <c r="CS23" s="7">
        <v>-3.697421899127859E-2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-1.5955156866996431E-2</v>
      </c>
      <c r="DC23" s="7">
        <v>0.1191904860704142</v>
      </c>
      <c r="DD23" s="7">
        <v>0.21341104440699671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-8.7058008172347823E-2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-0.17021099650353791</v>
      </c>
      <c r="DR23" s="7">
        <v>-8.9886002731306744E-2</v>
      </c>
      <c r="DS23" s="7">
        <v>-0.28809657691904628</v>
      </c>
      <c r="DT23" s="7">
        <v>-0.12395522319619889</v>
      </c>
      <c r="DU23" s="7">
        <v>3.4287185254997438E-2</v>
      </c>
      <c r="DV23" s="7">
        <v>0.27627160832943959</v>
      </c>
      <c r="DW23" s="7">
        <v>0.14122823258283859</v>
      </c>
      <c r="DX23" s="7">
        <v>-0.31349320637896622</v>
      </c>
      <c r="DY23" s="7">
        <v>0.16987682865225409</v>
      </c>
      <c r="DZ23" s="7">
        <v>-0.10287301862651251</v>
      </c>
      <c r="EA23" s="7">
        <v>-2.3448907613119421E-2</v>
      </c>
      <c r="EB23" s="7">
        <v>-6.2753439710675096E-2</v>
      </c>
      <c r="EC23" s="7">
        <v>-3.6584316325813361E-2</v>
      </c>
      <c r="ED23" s="7">
        <v>-9.1425904619781034E-2</v>
      </c>
      <c r="EE23" s="7">
        <v>5.9050683888240307E-2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0.162993136931085</v>
      </c>
      <c r="D24" s="7">
        <v>0.1006099128992286</v>
      </c>
      <c r="E24" s="7">
        <v>7.1400330169296908E-2</v>
      </c>
      <c r="F24" s="7">
        <v>7.5326493831706698E-2</v>
      </c>
      <c r="G24" s="7">
        <v>0.2257600230575724</v>
      </c>
      <c r="H24" s="7">
        <v>3.5855796654956661E-2</v>
      </c>
      <c r="I24" s="7">
        <v>1.692708918074378E-2</v>
      </c>
      <c r="J24" s="7">
        <v>-0.1154627982140225</v>
      </c>
      <c r="K24" s="7">
        <v>-2.1515278354960109E-2</v>
      </c>
      <c r="L24" s="7">
        <v>9.5623250508682117E-2</v>
      </c>
      <c r="M24" s="7">
        <v>-0.21778567303774149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-0.28781660351948779</v>
      </c>
      <c r="U24" s="7">
        <v>0.28585628998140078</v>
      </c>
      <c r="V24" s="7">
        <v>-9.8678511259329957E-2</v>
      </c>
      <c r="W24" s="7">
        <v>-0.16456451758688009</v>
      </c>
      <c r="X24" s="7">
        <v>-8.988764650171982E-4</v>
      </c>
      <c r="Y24" s="7">
        <v>-0.1203174930645305</v>
      </c>
      <c r="Z24" s="7">
        <v>-2.439454874957615E-2</v>
      </c>
      <c r="AA24" s="7">
        <v>1.354776823757727E-2</v>
      </c>
      <c r="AB24" s="7">
        <v>-0.18425142266877839</v>
      </c>
      <c r="AC24" s="7">
        <v>-0.24616895878469969</v>
      </c>
      <c r="AD24" s="7">
        <v>-7.8218388926296623E-3</v>
      </c>
      <c r="AE24" s="7">
        <v>-0.17526881500734201</v>
      </c>
      <c r="AF24" s="7">
        <v>-2.2522010034790499E-2</v>
      </c>
      <c r="AG24" s="7">
        <v>0.10590047247440069</v>
      </c>
      <c r="AH24" s="7">
        <v>5.6697360067789589E-2</v>
      </c>
      <c r="AI24" s="7">
        <v>0.31041423522934231</v>
      </c>
      <c r="AJ24" s="7">
        <v>8.5435201790864113E-2</v>
      </c>
      <c r="AK24" s="7">
        <v>1.440977079948152E-3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-0.16448668915792031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-2.5561798417856881E-2</v>
      </c>
      <c r="AY24" s="7">
        <v>0.16812729388488939</v>
      </c>
      <c r="AZ24" s="7">
        <v>3.7867073599665187E-2</v>
      </c>
      <c r="BA24" s="7">
        <v>-5.3794732084633153E-2</v>
      </c>
      <c r="BB24" s="7">
        <v>-8.6159033395334803E-2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1.1473019117737151E-2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0.10002491568895069</v>
      </c>
      <c r="CB24" s="7">
        <v>0.20876197428786911</v>
      </c>
      <c r="CC24" s="7">
        <v>0.43985451226693362</v>
      </c>
      <c r="CD24" s="7">
        <v>0.14430631074219491</v>
      </c>
      <c r="CE24" s="7">
        <v>-0.21012143523608839</v>
      </c>
      <c r="CF24" s="7">
        <v>0.2217213622453883</v>
      </c>
      <c r="CG24" s="7">
        <v>-0.32381797901906062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0.1146871738632968</v>
      </c>
      <c r="CR24" s="7">
        <v>6.1084838239556717E-2</v>
      </c>
      <c r="CS24" s="7">
        <v>-8.5895232746805786E-2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-0.19546067251265431</v>
      </c>
      <c r="DC24" s="7">
        <v>0.19117575817053481</v>
      </c>
      <c r="DD24" s="7">
        <v>0.15338138073910601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-0.13248861050923971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-0.13297735123596999</v>
      </c>
      <c r="DR24" s="7">
        <v>-2.0515630212029241E-2</v>
      </c>
      <c r="DS24" s="7">
        <v>-0.21626154103284559</v>
      </c>
      <c r="DT24" s="7">
        <v>-3.8362866170129663E-2</v>
      </c>
      <c r="DU24" s="7">
        <v>-4.7638587273757492E-2</v>
      </c>
      <c r="DV24" s="7">
        <v>0.1582246986438143</v>
      </c>
      <c r="DW24" s="7">
        <v>0.10885708989133031</v>
      </c>
      <c r="DX24" s="7">
        <v>-0.31159312779250392</v>
      </c>
      <c r="DY24" s="7">
        <v>0.34380428679820851</v>
      </c>
      <c r="DZ24" s="7">
        <v>-5.0469182403116652E-2</v>
      </c>
      <c r="EA24" s="7">
        <v>7.7350922227335792E-2</v>
      </c>
      <c r="EB24" s="7">
        <v>-2.9582176365294029E-2</v>
      </c>
      <c r="EC24" s="7">
        <v>-1.4309918770678909E-2</v>
      </c>
      <c r="ED24" s="7">
        <v>-5.6172845298362112E-2</v>
      </c>
      <c r="EE24" s="7">
        <v>0.1134294391912188</v>
      </c>
      <c r="EF24" s="8">
        <v>6.7276677043968364E-2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5"/>
  <sheetViews>
    <sheetView workbookViewId="0"/>
  </sheetViews>
  <sheetFormatPr defaultRowHeight="15" x14ac:dyDescent="0.3"/>
  <cols>
    <col min="137" max="139" width="10" bestFit="1" customWidth="1"/>
  </cols>
  <sheetData>
    <row r="1" spans="1:139" x14ac:dyDescent="0.3">
      <c r="A1" t="str">
        <f>預測IC!A1</f>
        <v>NN3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9" x14ac:dyDescent="0.3">
      <c r="A10" s="19" t="s">
        <v>141</v>
      </c>
      <c r="B10" s="20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7" t="s">
        <v>147</v>
      </c>
      <c r="EH11" s="17" t="s">
        <v>148</v>
      </c>
      <c r="EI11" s="17" t="s">
        <v>149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18">
        <f t="shared" ref="EG12:EG25" si="10">AVERAGE(C12:EF12)</f>
        <v>1.2224182543275309E-2</v>
      </c>
      <c r="EH12" s="18">
        <f t="shared" ref="EH12:EH25" si="11">STDEV(C12:EF12)</f>
        <v>3.6326969517111174E-2</v>
      </c>
      <c r="EI12" s="18">
        <f t="shared" ref="EI12:EI25" si="12"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18">
        <f t="shared" si="10"/>
        <v>1.7978749465763721E-2</v>
      </c>
      <c r="EH13" s="18">
        <f t="shared" si="11"/>
        <v>4.2571185334091759E-2</v>
      </c>
      <c r="EI13" s="18">
        <f t="shared" si="12"/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18">
        <f t="shared" si="10"/>
        <v>2.5218076261435955E-2</v>
      </c>
      <c r="EH14" s="18">
        <f t="shared" si="11"/>
        <v>5.8326888254879465E-2</v>
      </c>
      <c r="EI14" s="18">
        <f t="shared" si="12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18">
        <f t="shared" si="10"/>
        <v>3.2002321068482872E-2</v>
      </c>
      <c r="EH15" s="18">
        <f t="shared" si="11"/>
        <v>7.7309795961343686E-2</v>
      </c>
      <c r="EI15" s="18">
        <f t="shared" si="12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18">
        <f t="shared" si="10"/>
        <v>3.1482594654816468E-2</v>
      </c>
      <c r="EH16" s="18">
        <f t="shared" si="11"/>
        <v>7.9538381244062498E-2</v>
      </c>
      <c r="EI16" s="18">
        <f t="shared" si="12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18">
        <f t="shared" si="10"/>
        <v>3.125171493547263E-2</v>
      </c>
      <c r="EH17" s="18">
        <f t="shared" si="11"/>
        <v>8.8565557383425975E-2</v>
      </c>
      <c r="EI17" s="18">
        <f t="shared" si="12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18">
        <f t="shared" si="10"/>
        <v>3.335854161564409E-2</v>
      </c>
      <c r="EH18" s="18">
        <f t="shared" si="11"/>
        <v>9.8073907648061218E-2</v>
      </c>
      <c r="EI18" s="18">
        <f t="shared" si="12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18">
        <f t="shared" si="10"/>
        <v>3.377533408449182E-2</v>
      </c>
      <c r="EH19" s="18">
        <f t="shared" si="11"/>
        <v>0.10744982800476002</v>
      </c>
      <c r="EI19" s="18">
        <f t="shared" si="12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18">
        <f t="shared" si="10"/>
        <v>3.1945673530255167E-2</v>
      </c>
      <c r="EH20" s="18">
        <f t="shared" si="11"/>
        <v>0.11491063164707004</v>
      </c>
      <c r="EI20" s="18">
        <f t="shared" si="12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18">
        <f t="shared" si="10"/>
        <v>3.4546902243615785E-2</v>
      </c>
      <c r="EH21" s="18">
        <f t="shared" si="11"/>
        <v>0.1231291582704544</v>
      </c>
      <c r="EI21" s="18">
        <f t="shared" si="12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18">
        <f t="shared" si="10"/>
        <v>2.6924342732205633E-2</v>
      </c>
      <c r="EH22" s="18">
        <f t="shared" si="11"/>
        <v>0.14625772106250842</v>
      </c>
      <c r="EI22" s="18">
        <f t="shared" si="12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18">
        <f t="shared" si="10"/>
        <v>2.5798074158811645E-2</v>
      </c>
      <c r="EH23" s="18">
        <f t="shared" si="11"/>
        <v>0.19109655074705001</v>
      </c>
      <c r="EI23" s="18">
        <f t="shared" si="12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18">
        <f t="shared" si="10"/>
        <v>4.1666810092113302E-2</v>
      </c>
      <c r="EH24" s="18">
        <f t="shared" si="11"/>
        <v>0.24630108397727934</v>
      </c>
      <c r="EI24" s="18">
        <f t="shared" si="12"/>
        <v>0.16917022620962952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8">
        <f t="shared" si="10"/>
        <v>7.3485376145559517E-3</v>
      </c>
      <c r="EH25" s="18">
        <f t="shared" si="11"/>
        <v>4.2276369775976368E-2</v>
      </c>
      <c r="EI25" s="18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7D18-04CE-4DDC-9D00-569E71D4DF1F}">
  <dimension ref="A1:EG25"/>
  <sheetViews>
    <sheetView tabSelected="1" topLeftCell="DI25" workbookViewId="0">
      <selection activeCell="EA29" sqref="EA29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3.1330205500125892E-2</v>
      </c>
      <c r="D3" s="7">
        <v>-1.7543647438287732E-2</v>
      </c>
      <c r="E3" s="7">
        <v>2.9643896967172619E-2</v>
      </c>
      <c r="F3" s="7">
        <v>2.8182985261082649E-2</v>
      </c>
      <c r="G3" s="7">
        <v>4.1800491511821747E-2</v>
      </c>
      <c r="H3" s="7">
        <v>1.7699908465147018E-2</v>
      </c>
      <c r="I3" s="7">
        <v>1.256205607205629E-2</v>
      </c>
      <c r="J3" s="7">
        <v>1.2357430532574649E-3</v>
      </c>
      <c r="K3" s="7">
        <v>3.5791270434856408E-2</v>
      </c>
      <c r="L3" s="7">
        <v>6.6725820302963257E-2</v>
      </c>
      <c r="M3" s="7">
        <v>1.32761662825942E-2</v>
      </c>
      <c r="N3" s="7">
        <v>-1.340599730610847E-3</v>
      </c>
      <c r="O3" s="7">
        <v>-3.9153536781668663E-3</v>
      </c>
      <c r="P3" s="7">
        <v>2.3424895480275151E-2</v>
      </c>
      <c r="Q3" s="7">
        <v>2.038630656898022E-2</v>
      </c>
      <c r="R3" s="7">
        <v>1.957200467586517E-2</v>
      </c>
      <c r="S3" s="7">
        <v>2.2870888933539391E-2</v>
      </c>
      <c r="T3" s="7">
        <v>4.3855453841388234E-3</v>
      </c>
      <c r="U3" s="7">
        <v>-8.5439961403608322E-3</v>
      </c>
      <c r="V3" s="7">
        <v>-8.516303263604641E-3</v>
      </c>
      <c r="W3" s="7">
        <v>-1.7971992492675781E-2</v>
      </c>
      <c r="X3" s="7">
        <v>-1.1634783819317819E-2</v>
      </c>
      <c r="Y3" s="7">
        <v>-2.656730450689793E-2</v>
      </c>
      <c r="Z3" s="7">
        <v>-2.7729809284210209E-2</v>
      </c>
      <c r="AA3" s="7">
        <v>7.4403420090675354E-2</v>
      </c>
      <c r="AB3" s="7">
        <v>-2.764703705906868E-2</v>
      </c>
      <c r="AC3" s="7">
        <v>-2.7917437255382541E-2</v>
      </c>
      <c r="AD3" s="7">
        <v>-3.129136934876442E-2</v>
      </c>
      <c r="AE3" s="7">
        <v>-2.063364535570145E-2</v>
      </c>
      <c r="AF3" s="7">
        <v>-3.5181421786546707E-2</v>
      </c>
      <c r="AG3" s="7">
        <v>-1.2474990449845791E-2</v>
      </c>
      <c r="AH3" s="7">
        <v>-2.2227592766284939E-2</v>
      </c>
      <c r="AI3" s="7">
        <v>2.8354397043585781E-2</v>
      </c>
      <c r="AJ3" s="7">
        <v>1.7696382477879521E-2</v>
      </c>
      <c r="AK3" s="7">
        <v>-1.5488248318433759E-3</v>
      </c>
      <c r="AL3" s="7">
        <v>6.0541510581970208E-2</v>
      </c>
      <c r="AM3" s="7">
        <v>4.2939703911542892E-2</v>
      </c>
      <c r="AN3" s="7">
        <v>4.6451166272163391E-2</v>
      </c>
      <c r="AO3" s="7">
        <v>4.6414647251367569E-2</v>
      </c>
      <c r="AP3" s="7">
        <v>2.7322841808199879E-2</v>
      </c>
      <c r="AQ3" s="7">
        <v>4.9711406230926507E-2</v>
      </c>
      <c r="AR3" s="7">
        <v>4.072609543800354E-2</v>
      </c>
      <c r="AS3" s="7">
        <v>3.7940710783004761E-2</v>
      </c>
      <c r="AT3" s="7">
        <v>4.3215282261371613E-2</v>
      </c>
      <c r="AU3" s="7">
        <v>3.5848293453454971E-2</v>
      </c>
      <c r="AV3" s="7">
        <v>4.8106551170349121E-2</v>
      </c>
      <c r="AW3" s="7">
        <v>0.25755825638771063</v>
      </c>
      <c r="AX3" s="7">
        <v>2.3971892893314362E-2</v>
      </c>
      <c r="AY3" s="7">
        <v>5.6368216872215271E-2</v>
      </c>
      <c r="AZ3" s="7">
        <v>4.440823569893837E-2</v>
      </c>
      <c r="BA3" s="7">
        <v>4.0217362344264977E-2</v>
      </c>
      <c r="BB3" s="7">
        <v>3.9215490221977227E-2</v>
      </c>
      <c r="BC3" s="7">
        <v>5.1480397582054138E-2</v>
      </c>
      <c r="BD3" s="7">
        <v>4.9942176789045327E-2</v>
      </c>
      <c r="BE3" s="7">
        <v>4.9302525818347931E-2</v>
      </c>
      <c r="BF3" s="7">
        <v>5.0215017050504678E-2</v>
      </c>
      <c r="BG3" s="7">
        <v>4.4806387275457382E-2</v>
      </c>
      <c r="BH3" s="7">
        <v>7.2218522429466248E-2</v>
      </c>
      <c r="BI3" s="7">
        <v>5.3198006004095078E-2</v>
      </c>
      <c r="BJ3" s="7">
        <v>5.0947383046150208E-2</v>
      </c>
      <c r="BK3" s="7">
        <v>4.6847827732563019E-2</v>
      </c>
      <c r="BL3" s="7">
        <v>5.1777664572000497E-2</v>
      </c>
      <c r="BM3" s="7">
        <v>4.5751150697469711E-2</v>
      </c>
      <c r="BN3" s="7">
        <v>5.1456984132528312E-2</v>
      </c>
      <c r="BO3" s="7">
        <v>5.444614589214325E-2</v>
      </c>
      <c r="BP3" s="7">
        <v>5.1880281418561942E-2</v>
      </c>
      <c r="BQ3" s="7">
        <v>4.9081109464168549E-2</v>
      </c>
      <c r="BR3" s="7">
        <v>3.0115354806184769E-2</v>
      </c>
      <c r="BS3" s="7">
        <v>4.8800110816955573E-2</v>
      </c>
      <c r="BT3" s="7">
        <v>4.8635218292474747E-2</v>
      </c>
      <c r="BU3" s="7">
        <v>4.5633736997842789E-2</v>
      </c>
      <c r="BV3" s="7">
        <v>4.947228729724884E-2</v>
      </c>
      <c r="BW3" s="7">
        <v>4.4601880013942719E-2</v>
      </c>
      <c r="BX3" s="7">
        <v>4.56710085272789E-2</v>
      </c>
      <c r="BY3" s="7">
        <v>3.6897704005241387E-2</v>
      </c>
      <c r="BZ3" s="7">
        <v>0.21394279599189761</v>
      </c>
      <c r="CA3" s="7">
        <v>2.7052136138081551E-2</v>
      </c>
      <c r="CB3" s="7">
        <v>4.6074997633695602E-2</v>
      </c>
      <c r="CC3" s="7">
        <v>7.2226598858833313E-2</v>
      </c>
      <c r="CD3" s="7">
        <v>3.4700907766819E-2</v>
      </c>
      <c r="CE3" s="7">
        <v>3.6362294107675552E-2</v>
      </c>
      <c r="CF3" s="7">
        <v>4.7756139189004898E-2</v>
      </c>
      <c r="CG3" s="7">
        <v>3.6376580595970147E-2</v>
      </c>
      <c r="CH3" s="7">
        <v>4.3285507708787918E-2</v>
      </c>
      <c r="CI3" s="7">
        <v>4.2804375290870673E-2</v>
      </c>
      <c r="CJ3" s="7">
        <v>4.3789677321910858E-2</v>
      </c>
      <c r="CK3" s="7">
        <v>4.193609207868576E-2</v>
      </c>
      <c r="CL3" s="7">
        <v>4.5073911547660828E-2</v>
      </c>
      <c r="CM3" s="7">
        <v>5.7426575571298599E-2</v>
      </c>
      <c r="CN3" s="7">
        <v>4.8870686441659927E-2</v>
      </c>
      <c r="CO3" s="7">
        <v>4.6467091888189323E-2</v>
      </c>
      <c r="CP3" s="7">
        <v>4.5427285134792328E-2</v>
      </c>
      <c r="CQ3" s="7">
        <v>4.3254118412733078E-2</v>
      </c>
      <c r="CR3" s="7">
        <v>4.2831581085920327E-2</v>
      </c>
      <c r="CS3" s="7">
        <v>4.1360333561897278E-2</v>
      </c>
      <c r="CT3" s="7">
        <v>2.374728582799435E-2</v>
      </c>
      <c r="CU3" s="7">
        <v>3.9278171956539147E-2</v>
      </c>
      <c r="CV3" s="7">
        <v>4.09957654774189E-2</v>
      </c>
      <c r="CW3" s="7">
        <v>3.6699786782264709E-2</v>
      </c>
      <c r="CX3" s="7">
        <v>3.8764949887990952E-2</v>
      </c>
      <c r="CY3" s="7">
        <v>3.7805531173944473E-2</v>
      </c>
      <c r="CZ3" s="7">
        <v>4.325726255774498E-2</v>
      </c>
      <c r="DA3" s="7">
        <v>4.4850636273622513E-2</v>
      </c>
      <c r="DB3" s="7">
        <v>4.3851811438798897E-2</v>
      </c>
      <c r="DC3" s="7">
        <v>4.9191009253263467E-2</v>
      </c>
      <c r="DD3" s="7">
        <v>4.212004691362381E-2</v>
      </c>
      <c r="DE3" s="7">
        <v>4.7127000987529748E-2</v>
      </c>
      <c r="DF3" s="7">
        <v>3.8079626858234412E-2</v>
      </c>
      <c r="DG3" s="7">
        <v>3.8307089358568192E-2</v>
      </c>
      <c r="DH3" s="7">
        <v>3.9209745824337013E-2</v>
      </c>
      <c r="DI3" s="7">
        <v>5.0754562020301819E-2</v>
      </c>
      <c r="DJ3" s="7">
        <v>4.9327295273542397E-2</v>
      </c>
      <c r="DK3" s="7">
        <v>4.6511236578226089E-2</v>
      </c>
      <c r="DL3" s="7">
        <v>4.22775037586689E-2</v>
      </c>
      <c r="DM3" s="7">
        <v>3.2305262982845313E-2</v>
      </c>
      <c r="DN3" s="7">
        <v>4.6072427183389657E-2</v>
      </c>
      <c r="DO3" s="7">
        <v>4.8485249280929572E-2</v>
      </c>
      <c r="DP3" s="7">
        <v>4.6022161841392517E-2</v>
      </c>
      <c r="DQ3" s="7">
        <v>4.4537413865327842E-2</v>
      </c>
      <c r="DR3" s="7">
        <v>4.4425271451473243E-2</v>
      </c>
      <c r="DS3" s="7">
        <v>4.2646575719118118E-2</v>
      </c>
      <c r="DT3" s="7">
        <v>4.6090584248304367E-2</v>
      </c>
      <c r="DU3" s="7">
        <v>4.3128091841936111E-2</v>
      </c>
      <c r="DV3" s="7">
        <v>4.1349083185195923E-2</v>
      </c>
      <c r="DW3" s="7">
        <v>4.0377732366323471E-2</v>
      </c>
      <c r="DX3" s="7">
        <v>4.6240631490945823E-2</v>
      </c>
      <c r="DY3" s="7">
        <v>4.529276117682457E-2</v>
      </c>
      <c r="DZ3" s="7">
        <v>3.8002155721187592E-2</v>
      </c>
      <c r="EA3" s="7">
        <v>4.3337244540452957E-2</v>
      </c>
      <c r="EB3" s="7">
        <v>3.5762075334787369E-2</v>
      </c>
      <c r="EC3" s="7">
        <v>3.0851878225803379E-2</v>
      </c>
      <c r="ED3" s="7">
        <v>4.0065716952085488E-2</v>
      </c>
      <c r="EE3" s="7">
        <v>4.3372519314289093E-2</v>
      </c>
      <c r="EF3" s="7">
        <v>4.6325836330652237E-2</v>
      </c>
      <c r="EG3" s="1"/>
    </row>
    <row r="4" spans="1:137" x14ac:dyDescent="0.3">
      <c r="B4" s="1" t="s">
        <v>138</v>
      </c>
      <c r="C4" s="7">
        <v>-2.2946815937757489E-2</v>
      </c>
      <c r="D4" s="7">
        <v>-3.2528840005397797E-2</v>
      </c>
      <c r="E4" s="7">
        <v>-2.2317033261060711E-2</v>
      </c>
      <c r="F4" s="7">
        <v>-3.0678758397698399E-2</v>
      </c>
      <c r="G4" s="7">
        <v>-3.2594330608844757E-2</v>
      </c>
      <c r="H4" s="7">
        <v>-2.7283197268843651E-2</v>
      </c>
      <c r="I4" s="7">
        <v>-3.6774720996618271E-2</v>
      </c>
      <c r="J4" s="7">
        <v>-3.6947548389434808E-2</v>
      </c>
      <c r="K4" s="7">
        <v>-3.4350141882896423E-2</v>
      </c>
      <c r="L4" s="7">
        <v>-3.5141915082931519E-2</v>
      </c>
      <c r="M4" s="7">
        <v>-3.6390312016010277E-2</v>
      </c>
      <c r="N4" s="7">
        <v>-2.804665453732014E-2</v>
      </c>
      <c r="O4" s="7">
        <v>-3.1360816210508347E-2</v>
      </c>
      <c r="P4" s="7">
        <v>-3.8859572261571877E-2</v>
      </c>
      <c r="Q4" s="7">
        <v>-3.2996118068695068E-2</v>
      </c>
      <c r="R4" s="7">
        <v>-3.3478595316410058E-2</v>
      </c>
      <c r="S4" s="7">
        <v>-3.0273415148258209E-2</v>
      </c>
      <c r="T4" s="7">
        <v>-2.986020594835281E-2</v>
      </c>
      <c r="U4" s="7">
        <v>-2.885395847260952E-2</v>
      </c>
      <c r="V4" s="7">
        <v>-2.8230348601937291E-2</v>
      </c>
      <c r="W4" s="7">
        <v>-2.7426423504948619E-2</v>
      </c>
      <c r="X4" s="7">
        <v>-2.8772750869393349E-2</v>
      </c>
      <c r="Y4" s="7">
        <v>-3.010421060025692E-2</v>
      </c>
      <c r="Z4" s="7">
        <v>-3.0214574187994E-2</v>
      </c>
      <c r="AA4" s="7">
        <v>-2.9737558215856549E-2</v>
      </c>
      <c r="AB4" s="7">
        <v>-2.885130979120731E-2</v>
      </c>
      <c r="AC4" s="7">
        <v>-2.906029857695103E-2</v>
      </c>
      <c r="AD4" s="7">
        <v>-2.8935430571436879E-2</v>
      </c>
      <c r="AE4" s="7">
        <v>-2.9848391190171238E-2</v>
      </c>
      <c r="AF4" s="7">
        <v>-2.8637772426009182E-2</v>
      </c>
      <c r="AG4" s="7">
        <v>-2.828691154718399E-2</v>
      </c>
      <c r="AH4" s="7">
        <v>-1.8820291385054588E-2</v>
      </c>
      <c r="AI4" s="7">
        <v>-3.7358939647674561E-2</v>
      </c>
      <c r="AJ4" s="7">
        <v>-3.3764690160751343E-2</v>
      </c>
      <c r="AK4" s="7">
        <v>-3.3512141555547707E-2</v>
      </c>
      <c r="AL4" s="7">
        <v>-2.6952208951115612E-2</v>
      </c>
      <c r="AM4" s="7">
        <v>-2.9780874028801921E-2</v>
      </c>
      <c r="AN4" s="7">
        <v>-2.4186648428440091E-2</v>
      </c>
      <c r="AO4" s="7">
        <v>-3.5795770585536957E-2</v>
      </c>
      <c r="AP4" s="7">
        <v>-3.5298556089401252E-2</v>
      </c>
      <c r="AQ4" s="7">
        <v>-3.2549217343330383E-2</v>
      </c>
      <c r="AR4" s="7">
        <v>-2.6099774986505508E-2</v>
      </c>
      <c r="AS4" s="7">
        <v>-2.955691888928413E-2</v>
      </c>
      <c r="AT4" s="7">
        <v>-2.5735411792993549E-2</v>
      </c>
      <c r="AU4" s="7">
        <v>-3.093122877180576E-2</v>
      </c>
      <c r="AV4" s="7">
        <v>-3.3240150660276413E-2</v>
      </c>
      <c r="AW4" s="7">
        <v>-3.4350480884313583E-2</v>
      </c>
      <c r="AX4" s="7">
        <v>-3.3253677189350128E-2</v>
      </c>
      <c r="AY4" s="7">
        <v>-3.4111622720956802E-2</v>
      </c>
      <c r="AZ4" s="7">
        <v>-2.7224915102124211E-2</v>
      </c>
      <c r="BA4" s="7">
        <v>-3.111309185624123E-2</v>
      </c>
      <c r="BB4" s="7">
        <v>-2.8748853132128719E-2</v>
      </c>
      <c r="BC4" s="7">
        <v>-3.1344335526227951E-2</v>
      </c>
      <c r="BD4" s="7">
        <v>-3.1253475695848458E-2</v>
      </c>
      <c r="BE4" s="7">
        <v>-3.2918937504291527E-2</v>
      </c>
      <c r="BF4" s="7">
        <v>-3.0730951577425E-2</v>
      </c>
      <c r="BG4" s="7">
        <v>-3.2038066536188133E-2</v>
      </c>
      <c r="BH4" s="7">
        <v>-2.9968824237585071E-2</v>
      </c>
      <c r="BI4" s="7">
        <v>-3.113760985434055E-2</v>
      </c>
      <c r="BJ4" s="7">
        <v>-3.0530031770467762E-2</v>
      </c>
      <c r="BK4" s="7">
        <v>-3.2626651227474213E-2</v>
      </c>
      <c r="BL4" s="7">
        <v>-3.1143451109528542E-2</v>
      </c>
      <c r="BM4" s="7">
        <v>-3.1869124621152878E-2</v>
      </c>
      <c r="BN4" s="7">
        <v>-8.961869403719902E-3</v>
      </c>
      <c r="BO4" s="7">
        <v>-2.2341759875416759E-2</v>
      </c>
      <c r="BP4" s="7">
        <v>-3.550146147608757E-2</v>
      </c>
      <c r="BQ4" s="7">
        <v>-3.242218866944313E-2</v>
      </c>
      <c r="BR4" s="7">
        <v>-1.211526803672314E-2</v>
      </c>
      <c r="BS4" s="7">
        <v>-3.4664403647184372E-2</v>
      </c>
      <c r="BT4" s="7">
        <v>-2.5803247466683391E-2</v>
      </c>
      <c r="BU4" s="7">
        <v>-3.6140274256467819E-2</v>
      </c>
      <c r="BV4" s="7">
        <v>-3.3587560057640083E-2</v>
      </c>
      <c r="BW4" s="7">
        <v>-2.2672802209854129E-2</v>
      </c>
      <c r="BX4" s="7">
        <v>-3.2804973423480988E-2</v>
      </c>
      <c r="BY4" s="7">
        <v>-3.1771816313266747E-2</v>
      </c>
      <c r="BZ4" s="7">
        <v>-3.5874113440513611E-2</v>
      </c>
      <c r="CA4" s="7">
        <v>-3.2339248806238167E-2</v>
      </c>
      <c r="CB4" s="7">
        <v>-2.50789187848568E-2</v>
      </c>
      <c r="CC4" s="7">
        <v>-2.9253672808408741E-2</v>
      </c>
      <c r="CD4" s="7">
        <v>-2.6061167940497398E-2</v>
      </c>
      <c r="CE4" s="7">
        <v>-3.1506847590208047E-2</v>
      </c>
      <c r="CF4" s="7">
        <v>-3.0835302546620369E-2</v>
      </c>
      <c r="CG4" s="7">
        <v>-3.0558077618479729E-2</v>
      </c>
      <c r="CH4" s="7">
        <v>-3.119581192731857E-2</v>
      </c>
      <c r="CI4" s="7">
        <v>-3.090175986289978E-2</v>
      </c>
      <c r="CJ4" s="7">
        <v>-3.3136498183012009E-2</v>
      </c>
      <c r="CK4" s="7">
        <v>-3.1936939805746078E-2</v>
      </c>
      <c r="CL4" s="7">
        <v>-3.1432364135980613E-2</v>
      </c>
      <c r="CM4" s="7">
        <v>-3.055248782038689E-2</v>
      </c>
      <c r="CN4" s="7">
        <v>-3.1563829630613327E-2</v>
      </c>
      <c r="CO4" s="7">
        <v>-3.0369363725185391E-2</v>
      </c>
      <c r="CP4" s="7">
        <v>-3.0010061338543888E-2</v>
      </c>
      <c r="CQ4" s="7">
        <v>-3.1453073024749763E-2</v>
      </c>
      <c r="CR4" s="7">
        <v>-2.965998463332653E-2</v>
      </c>
      <c r="CS4" s="7">
        <v>-3.0953852459788319E-2</v>
      </c>
      <c r="CT4" s="7">
        <v>-2.289283461868763E-2</v>
      </c>
      <c r="CU4" s="7">
        <v>-2.6670390740036961E-2</v>
      </c>
      <c r="CV4" s="7">
        <v>-2.843070961534977E-2</v>
      </c>
      <c r="CW4" s="7">
        <v>-3.220270574092865E-2</v>
      </c>
      <c r="CX4" s="7">
        <v>-2.7807112783193592E-2</v>
      </c>
      <c r="CY4" s="7">
        <v>-2.781811356544495E-2</v>
      </c>
      <c r="CZ4" s="7">
        <v>-2.576522529125214E-2</v>
      </c>
      <c r="DA4" s="7">
        <v>-2.8357302770018581E-2</v>
      </c>
      <c r="DB4" s="7">
        <v>-3.3542968332767487E-2</v>
      </c>
      <c r="DC4" s="7">
        <v>-3.2485205680131912E-2</v>
      </c>
      <c r="DD4" s="7">
        <v>-3.2151665538549423E-2</v>
      </c>
      <c r="DE4" s="7">
        <v>-2.9662402346730229E-2</v>
      </c>
      <c r="DF4" s="7">
        <v>-3.00160888582468E-2</v>
      </c>
      <c r="DG4" s="7">
        <v>-2.7544235810637471E-2</v>
      </c>
      <c r="DH4" s="7">
        <v>-2.9481679201126099E-2</v>
      </c>
      <c r="DI4" s="7">
        <v>-2.9836734756827351E-2</v>
      </c>
      <c r="DJ4" s="7">
        <v>-3.0232291668653492E-2</v>
      </c>
      <c r="DK4" s="7">
        <v>-2.977342531085014E-2</v>
      </c>
      <c r="DL4" s="7">
        <v>-3.0361592769622799E-2</v>
      </c>
      <c r="DM4" s="7">
        <v>-2.8258213773369789E-2</v>
      </c>
      <c r="DN4" s="7">
        <v>-2.741649188101292E-2</v>
      </c>
      <c r="DO4" s="7">
        <v>-2.8671180829405781E-2</v>
      </c>
      <c r="DP4" s="7">
        <v>-2.6597378775477409E-2</v>
      </c>
      <c r="DQ4" s="7">
        <v>-2.7629543095827099E-2</v>
      </c>
      <c r="DR4" s="7">
        <v>-2.8683992102742199E-2</v>
      </c>
      <c r="DS4" s="7">
        <v>-2.803863771259785E-2</v>
      </c>
      <c r="DT4" s="7">
        <v>-2.8481220826506611E-2</v>
      </c>
      <c r="DU4" s="7">
        <v>-2.8131868690252301E-2</v>
      </c>
      <c r="DV4" s="7">
        <v>-2.805715799331665E-2</v>
      </c>
      <c r="DW4" s="7">
        <v>-2.613513357937336E-2</v>
      </c>
      <c r="DX4" s="7">
        <v>-2.7580080553889271E-2</v>
      </c>
      <c r="DY4" s="7">
        <v>-2.9757337644696239E-2</v>
      </c>
      <c r="DZ4" s="7">
        <v>-2.859199233353138E-2</v>
      </c>
      <c r="EA4" s="7">
        <v>-2.699952200055122E-2</v>
      </c>
      <c r="EB4" s="7">
        <v>-2.658944018185139E-2</v>
      </c>
      <c r="EC4" s="7">
        <v>-2.8255622833967209E-2</v>
      </c>
      <c r="ED4" s="7">
        <v>-2.448136173188686E-2</v>
      </c>
      <c r="EE4" s="7">
        <v>-3.4881096333265298E-2</v>
      </c>
      <c r="EF4" s="7">
        <v>-2.8714798390865329E-2</v>
      </c>
      <c r="EG4" s="1"/>
    </row>
    <row r="5" spans="1:137" x14ac:dyDescent="0.3">
      <c r="B5" s="1" t="s">
        <v>139</v>
      </c>
      <c r="C5" s="7">
        <v>-4.0581789799034604E-3</v>
      </c>
      <c r="D5" s="7">
        <v>-7.0305787958204746E-3</v>
      </c>
      <c r="E5" s="7">
        <v>-5.5704452097415924E-3</v>
      </c>
      <c r="F5" s="7">
        <v>-4.6082139015197754E-3</v>
      </c>
      <c r="G5" s="7">
        <v>-7.8217023983597755E-3</v>
      </c>
      <c r="H5" s="7">
        <v>-6.789269857108593E-3</v>
      </c>
      <c r="I5" s="7">
        <v>-6.6186492331326008E-3</v>
      </c>
      <c r="J5" s="7">
        <v>-6.4537222497165203E-3</v>
      </c>
      <c r="K5" s="7">
        <v>-7.2179408743977547E-3</v>
      </c>
      <c r="L5" s="7">
        <v>-7.5036068446934223E-3</v>
      </c>
      <c r="M5" s="7">
        <v>-5.586087703704834E-3</v>
      </c>
      <c r="N5" s="7">
        <v>1.205777376890182E-2</v>
      </c>
      <c r="O5" s="7">
        <v>2.1040573716163639E-2</v>
      </c>
      <c r="P5" s="7">
        <v>1.7183206975460049E-2</v>
      </c>
      <c r="Q5" s="7">
        <v>3.8061367813497782E-3</v>
      </c>
      <c r="R5" s="7">
        <v>-4.8372317105531693E-3</v>
      </c>
      <c r="S5" s="7">
        <v>-1.602549222297966E-3</v>
      </c>
      <c r="T5" s="7">
        <v>3.536454401910305E-3</v>
      </c>
      <c r="U5" s="7">
        <v>2.140396274626255E-3</v>
      </c>
      <c r="V5" s="7">
        <v>6.0599192511290312E-4</v>
      </c>
      <c r="W5" s="7">
        <v>5.8908120263367891E-4</v>
      </c>
      <c r="X5" s="7">
        <v>-3.8637295365333561E-3</v>
      </c>
      <c r="Y5" s="7">
        <v>-1.1012746952474121E-2</v>
      </c>
      <c r="Z5" s="7">
        <v>-3.187824040651321E-3</v>
      </c>
      <c r="AA5" s="7">
        <v>-1.0462149977684019E-2</v>
      </c>
      <c r="AB5" s="7">
        <v>-8.2556549459695816E-3</v>
      </c>
      <c r="AC5" s="7">
        <v>-1.6103683039546009E-2</v>
      </c>
      <c r="AD5" s="7">
        <v>-1.1081633158028129E-2</v>
      </c>
      <c r="AE5" s="7">
        <v>-9.3202143907546997E-3</v>
      </c>
      <c r="AF5" s="7">
        <v>-4.7228438779711723E-3</v>
      </c>
      <c r="AG5" s="7">
        <v>-5.84804592654109E-3</v>
      </c>
      <c r="AH5" s="7">
        <v>-4.9915234558284283E-3</v>
      </c>
      <c r="AI5" s="7">
        <v>-3.683226415887475E-3</v>
      </c>
      <c r="AJ5" s="7">
        <v>-3.615004476159811E-3</v>
      </c>
      <c r="AK5" s="7">
        <v>-4.6235839836299419E-3</v>
      </c>
      <c r="AL5" s="7">
        <v>-5.373549647629261E-3</v>
      </c>
      <c r="AM5" s="7">
        <v>-8.0364374443888664E-3</v>
      </c>
      <c r="AN5" s="7">
        <v>-4.8419637605547896E-3</v>
      </c>
      <c r="AO5" s="7">
        <v>-3.6342754028737549E-3</v>
      </c>
      <c r="AP5" s="7">
        <v>-6.3295280560851097E-3</v>
      </c>
      <c r="AQ5" s="7">
        <v>-9.0462592197582126E-4</v>
      </c>
      <c r="AR5" s="7">
        <v>-2.911761170253158E-3</v>
      </c>
      <c r="AS5" s="7">
        <v>-1.8755771452561021E-3</v>
      </c>
      <c r="AT5" s="7">
        <v>1.6763890162110329E-2</v>
      </c>
      <c r="AU5" s="7">
        <v>-1.235870365053415E-2</v>
      </c>
      <c r="AV5" s="7">
        <v>1.113764010369778E-2</v>
      </c>
      <c r="AW5" s="7">
        <v>6.8921893835067749E-3</v>
      </c>
      <c r="AX5" s="7">
        <v>-1.215653121471405E-2</v>
      </c>
      <c r="AY5" s="7">
        <v>-7.8160245902836323E-4</v>
      </c>
      <c r="AZ5" s="7">
        <v>1.052593253552914E-2</v>
      </c>
      <c r="BA5" s="7">
        <v>-1.051815692335367E-3</v>
      </c>
      <c r="BB5" s="7">
        <v>-7.6166745275259018E-3</v>
      </c>
      <c r="BC5" s="7">
        <v>1.164978835731745E-3</v>
      </c>
      <c r="BD5" s="7">
        <v>-1.726439222693443E-2</v>
      </c>
      <c r="BE5" s="7">
        <v>-6.314434576779604E-3</v>
      </c>
      <c r="BF5" s="7">
        <v>3.5074475454166532E-4</v>
      </c>
      <c r="BG5" s="7">
        <v>-7.13349599391222E-3</v>
      </c>
      <c r="BH5" s="7">
        <v>-4.1654566302895546E-3</v>
      </c>
      <c r="BI5" s="7">
        <v>4.3993082363158459E-4</v>
      </c>
      <c r="BJ5" s="7">
        <v>-2.9990478651598101E-4</v>
      </c>
      <c r="BK5" s="7">
        <v>-8.0823525786399841E-3</v>
      </c>
      <c r="BL5" s="7">
        <v>-1.9032801501452921E-3</v>
      </c>
      <c r="BM5" s="7">
        <v>-3.0310731381177898E-3</v>
      </c>
      <c r="BN5" s="7">
        <v>-7.212570053525269E-4</v>
      </c>
      <c r="BO5" s="7">
        <v>-4.4479239732027054E-3</v>
      </c>
      <c r="BP5" s="7">
        <v>-6.340488325804472E-4</v>
      </c>
      <c r="BQ5" s="7">
        <v>8.5474946536123753E-4</v>
      </c>
      <c r="BR5" s="7">
        <v>5.347919650375843E-4</v>
      </c>
      <c r="BS5" s="7">
        <v>-7.265948224812746E-4</v>
      </c>
      <c r="BT5" s="7">
        <v>2.3761880584061151E-4</v>
      </c>
      <c r="BU5" s="7">
        <v>-3.9665577933192253E-3</v>
      </c>
      <c r="BV5" s="7">
        <v>-1.5995715511962769E-3</v>
      </c>
      <c r="BW5" s="7">
        <v>-3.877128474414349E-3</v>
      </c>
      <c r="BX5" s="7">
        <v>-2.1470857318490739E-3</v>
      </c>
      <c r="BY5" s="7">
        <v>-2.619779203087091E-3</v>
      </c>
      <c r="BZ5" s="7">
        <v>9.6479069907218218E-4</v>
      </c>
      <c r="CA5" s="7">
        <v>-1.6296295449137691E-2</v>
      </c>
      <c r="CB5" s="7">
        <v>-1.7308659851551059E-2</v>
      </c>
      <c r="CC5" s="7">
        <v>-9.6325967460870743E-3</v>
      </c>
      <c r="CD5" s="7">
        <v>-6.0692187398672104E-3</v>
      </c>
      <c r="CE5" s="7">
        <v>5.6500481441617012E-3</v>
      </c>
      <c r="CF5" s="7">
        <v>-5.0238585099577904E-3</v>
      </c>
      <c r="CG5" s="7">
        <v>-1.0497671319171791E-3</v>
      </c>
      <c r="CH5" s="7">
        <v>-2.433853922411799E-3</v>
      </c>
      <c r="CI5" s="7">
        <v>-5.8160410262644291E-3</v>
      </c>
      <c r="CJ5" s="7">
        <v>5.3073554299771786E-3</v>
      </c>
      <c r="CK5" s="7">
        <v>-6.5996735356748104E-3</v>
      </c>
      <c r="CL5" s="7">
        <v>-7.5646638870239258E-3</v>
      </c>
      <c r="CM5" s="7">
        <v>4.4144219718873501E-3</v>
      </c>
      <c r="CN5" s="7">
        <v>-1.797138131223619E-3</v>
      </c>
      <c r="CO5" s="7">
        <v>2.337527927011251E-3</v>
      </c>
      <c r="CP5" s="7">
        <v>-3.6013149656355381E-3</v>
      </c>
      <c r="CQ5" s="7">
        <v>-4.3951133266091347E-3</v>
      </c>
      <c r="CR5" s="7">
        <v>-4.663030849769711E-4</v>
      </c>
      <c r="CS5" s="7">
        <v>-4.843554925173521E-3</v>
      </c>
      <c r="CT5" s="7">
        <v>-1.4159324928186831E-4</v>
      </c>
      <c r="CU5" s="7">
        <v>-3.5822349600493908E-3</v>
      </c>
      <c r="CV5" s="7">
        <v>-5.077666137367487E-4</v>
      </c>
      <c r="CW5" s="7">
        <v>-4.188884049654007E-3</v>
      </c>
      <c r="CX5" s="7">
        <v>-1.5384180005639789E-3</v>
      </c>
      <c r="CY5" s="7">
        <v>-2.2514616139233108E-3</v>
      </c>
      <c r="CZ5" s="7">
        <v>1.1980097042396661E-4</v>
      </c>
      <c r="DA5" s="7">
        <v>-1.3928759144619109E-3</v>
      </c>
      <c r="DB5" s="7">
        <v>-3.1657912768423562E-3</v>
      </c>
      <c r="DC5" s="7">
        <v>-3.8332226686179638E-3</v>
      </c>
      <c r="DD5" s="7">
        <v>-4.7448631376028061E-3</v>
      </c>
      <c r="DE5" s="7">
        <v>-4.5543033629655838E-3</v>
      </c>
      <c r="DF5" s="7">
        <v>-1.9639993086457249E-2</v>
      </c>
      <c r="DG5" s="7">
        <v>-5.3460951894521713E-3</v>
      </c>
      <c r="DH5" s="7">
        <v>-4.3691969476640216E-3</v>
      </c>
      <c r="DI5" s="7">
        <v>-1.3279115781188009E-2</v>
      </c>
      <c r="DJ5" s="7">
        <v>-1.188830099999905E-2</v>
      </c>
      <c r="DK5" s="7">
        <v>-9.7882309928536415E-3</v>
      </c>
      <c r="DL5" s="7">
        <v>-2.679913304746151E-3</v>
      </c>
      <c r="DM5" s="7">
        <v>1.8919623689725999E-3</v>
      </c>
      <c r="DN5" s="7">
        <v>-3.5755492281168699E-3</v>
      </c>
      <c r="DO5" s="7">
        <v>1.8424713052809241E-3</v>
      </c>
      <c r="DP5" s="7">
        <v>-4.5598447322845459E-3</v>
      </c>
      <c r="DQ5" s="7">
        <v>-4.5280246995389462E-3</v>
      </c>
      <c r="DR5" s="7">
        <v>-7.9675083979964256E-3</v>
      </c>
      <c r="DS5" s="7">
        <v>-3.6320080980658531E-3</v>
      </c>
      <c r="DT5" s="7">
        <v>-2.407442079856992E-4</v>
      </c>
      <c r="DU5" s="7">
        <v>-1.828413922339678E-3</v>
      </c>
      <c r="DV5" s="7">
        <v>-2.6720864698290821E-3</v>
      </c>
      <c r="DW5" s="7">
        <v>1.595872454345226E-4</v>
      </c>
      <c r="DX5" s="7">
        <v>-5.1815658807754517E-3</v>
      </c>
      <c r="DY5" s="7">
        <v>-3.2462212257087231E-3</v>
      </c>
      <c r="DZ5" s="7">
        <v>-1.9827848300337791E-3</v>
      </c>
      <c r="EA5" s="7">
        <v>-2.534714294597507E-3</v>
      </c>
      <c r="EB5" s="7">
        <v>-4.4873072765767574E-3</v>
      </c>
      <c r="EC5" s="7">
        <v>-5.3789191879332074E-3</v>
      </c>
      <c r="ED5" s="7">
        <v>-6.3397400081157684E-3</v>
      </c>
      <c r="EE5" s="7">
        <v>-5.9063872322440147E-3</v>
      </c>
      <c r="EF5" s="7">
        <v>-6.2110181897878647E-3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2</v>
      </c>
      <c r="G6" s="7">
        <f t="array" ref="G6">MATCH(MAX(ABS(G3:G5)), ABS(G3:G5), 0)</f>
        <v>1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2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2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1</v>
      </c>
      <c r="AB6" s="7">
        <f t="array" ref="AB6">MATCH(MAX(ABS(AB3:AB5)), ABS(AB3:AB5), 0)</f>
        <v>2</v>
      </c>
      <c r="AC6" s="7">
        <f t="array" ref="AC6">MATCH(MAX(ABS(AC3:AC5)), ABS(AC3:AC5), 0)</f>
        <v>2</v>
      </c>
      <c r="AD6" s="7">
        <f t="array" ref="AD6">MATCH(MAX(ABS(AD3:AD5)), ABS(AD3:AD5), 0)</f>
        <v>1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2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1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1</v>
      </c>
      <c r="CG6" s="7">
        <f t="array" ref="CG6">MATCH(MAX(ABS(CG3:CG5)), ABS(CG3:CG5), 0)</f>
        <v>1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1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1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1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1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1</v>
      </c>
      <c r="EA6" s="7">
        <f t="array" ref="EA6">MATCH(MAX(ABS(EA3:EA5)), ABS(EA3:EA5), 0)</f>
        <v>1</v>
      </c>
      <c r="EB6" s="7">
        <f t="array" ref="EB6">MATCH(MAX(ABS(EB3:EB5)), ABS(EB3:EB5), 0)</f>
        <v>1</v>
      </c>
      <c r="EC6" s="7">
        <f t="array" ref="EC6">MATCH(MAX(ABS(EC3:EC5)), ABS(EC3:EC5), 0)</f>
        <v>1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size</v>
      </c>
      <c r="G7" s="7" t="str">
        <f t="shared" si="0"/>
        <v>bm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size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size</v>
      </c>
      <c r="V7" s="7" t="str">
        <f t="shared" si="0"/>
        <v>size</v>
      </c>
      <c r="W7" s="7" t="str">
        <f t="shared" si="0"/>
        <v>size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bm</v>
      </c>
      <c r="AB7" s="7" t="str">
        <f t="shared" si="0"/>
        <v>size</v>
      </c>
      <c r="AC7" s="7" t="str">
        <f t="shared" si="0"/>
        <v>size</v>
      </c>
      <c r="AD7" s="7" t="str">
        <f t="shared" si="0"/>
        <v>bm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si="0"/>
        <v>size</v>
      </c>
      <c r="AJ7" s="7" t="str">
        <f t="shared" si="0"/>
        <v>size</v>
      </c>
      <c r="AK7" s="7" t="str">
        <f t="shared" si="0"/>
        <v>size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size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size</v>
      </c>
      <c r="AY7" s="7" t="str">
        <f t="shared" si="0"/>
        <v>bm</v>
      </c>
      <c r="AZ7" s="7" t="str">
        <f t="shared" si="0"/>
        <v>bm</v>
      </c>
      <c r="BA7" s="7" t="str">
        <f t="shared" si="0"/>
        <v>bm</v>
      </c>
      <c r="BB7" s="7" t="str">
        <f t="shared" si="0"/>
        <v>bm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bm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size</v>
      </c>
      <c r="CB7" s="7" t="str">
        <f t="shared" si="1"/>
        <v>bm</v>
      </c>
      <c r="CC7" s="7" t="str">
        <f t="shared" si="1"/>
        <v>bm</v>
      </c>
      <c r="CD7" s="7" t="str">
        <f t="shared" si="1"/>
        <v>bm</v>
      </c>
      <c r="CE7" s="7" t="str">
        <f t="shared" si="1"/>
        <v>bm</v>
      </c>
      <c r="CF7" s="7" t="str">
        <f t="shared" si="1"/>
        <v>bm</v>
      </c>
      <c r="CG7" s="7" t="str">
        <f t="shared" si="1"/>
        <v>bm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bm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bm</v>
      </c>
      <c r="DD7" s="7" t="str">
        <f t="shared" si="1"/>
        <v>bm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bm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bm</v>
      </c>
      <c r="DR7" s="7" t="str">
        <f t="shared" si="1"/>
        <v>bm</v>
      </c>
      <c r="DS7" s="7" t="str">
        <f t="shared" si="1"/>
        <v>bm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bm</v>
      </c>
      <c r="DZ7" s="7" t="str">
        <f t="shared" si="1"/>
        <v>bm</v>
      </c>
      <c r="EA7" s="7" t="str">
        <f t="shared" ref="EA7:EG7" si="2">IF(EA6=1,"bm",IF(EA6=2,"size",IF(EA6=3,"mom")))</f>
        <v>bm</v>
      </c>
      <c r="EB7" s="7" t="str">
        <f t="shared" si="2"/>
        <v>bm</v>
      </c>
      <c r="EC7" s="7" t="str">
        <f t="shared" si="2"/>
        <v>bm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3.1330205500125892E-2</v>
      </c>
      <c r="D8" s="7">
        <f t="shared" si="3"/>
        <v>-3.2528840005397797E-2</v>
      </c>
      <c r="E8" s="7">
        <f t="shared" si="3"/>
        <v>2.9643896967172619E-2</v>
      </c>
      <c r="F8" s="7">
        <f t="shared" si="3"/>
        <v>-3.0678758397698399E-2</v>
      </c>
      <c r="G8" s="7">
        <f t="shared" si="3"/>
        <v>4.1800491511821747E-2</v>
      </c>
      <c r="H8" s="7">
        <f t="shared" si="3"/>
        <v>-2.7283197268843651E-2</v>
      </c>
      <c r="I8" s="7">
        <f t="shared" si="3"/>
        <v>-3.6774720996618271E-2</v>
      </c>
      <c r="J8" s="7">
        <f t="shared" si="3"/>
        <v>-3.6947548389434808E-2</v>
      </c>
      <c r="K8" s="7">
        <f t="shared" si="3"/>
        <v>3.5791270434856408E-2</v>
      </c>
      <c r="L8" s="7">
        <f t="shared" si="3"/>
        <v>6.6725820302963257E-2</v>
      </c>
      <c r="M8" s="7">
        <f t="shared" si="3"/>
        <v>-3.6390312016010277E-2</v>
      </c>
      <c r="N8" s="7">
        <f t="shared" si="3"/>
        <v>-2.804665453732014E-2</v>
      </c>
      <c r="O8" s="7">
        <f t="shared" si="3"/>
        <v>-3.1360816210508347E-2</v>
      </c>
      <c r="P8" s="7">
        <f t="shared" si="3"/>
        <v>-3.8859572261571877E-2</v>
      </c>
      <c r="Q8" s="7">
        <f t="shared" si="3"/>
        <v>-3.2996118068695068E-2</v>
      </c>
      <c r="R8" s="7">
        <f t="shared" si="3"/>
        <v>-3.3478595316410058E-2</v>
      </c>
      <c r="S8" s="7">
        <f t="shared" si="3"/>
        <v>-3.0273415148258209E-2</v>
      </c>
      <c r="T8" s="7">
        <f t="shared" si="3"/>
        <v>-2.986020594835281E-2</v>
      </c>
      <c r="U8" s="7">
        <f t="shared" si="3"/>
        <v>-2.885395847260952E-2</v>
      </c>
      <c r="V8" s="7">
        <f t="shared" si="3"/>
        <v>-2.8230348601937291E-2</v>
      </c>
      <c r="W8" s="7">
        <f t="shared" si="3"/>
        <v>-2.7426423504948619E-2</v>
      </c>
      <c r="X8" s="7">
        <f t="shared" si="3"/>
        <v>-2.8772750869393349E-2</v>
      </c>
      <c r="Y8" s="7">
        <f t="shared" si="3"/>
        <v>-3.010421060025692E-2</v>
      </c>
      <c r="Z8" s="7">
        <f t="shared" si="3"/>
        <v>-3.0214574187994E-2</v>
      </c>
      <c r="AA8" s="7">
        <f t="shared" si="3"/>
        <v>7.4403420090675354E-2</v>
      </c>
      <c r="AB8" s="7">
        <f t="shared" si="3"/>
        <v>-2.885130979120731E-2</v>
      </c>
      <c r="AC8" s="7">
        <f t="shared" si="3"/>
        <v>-2.906029857695103E-2</v>
      </c>
      <c r="AD8" s="7">
        <f t="shared" si="3"/>
        <v>-3.129136934876442E-2</v>
      </c>
      <c r="AE8" s="7">
        <f t="shared" si="3"/>
        <v>-2.9848391190171238E-2</v>
      </c>
      <c r="AF8" s="7">
        <f t="shared" si="3"/>
        <v>-3.5181421786546707E-2</v>
      </c>
      <c r="AG8" s="7">
        <f t="shared" si="3"/>
        <v>-2.828691154718399E-2</v>
      </c>
      <c r="AH8" s="7">
        <f t="shared" si="3"/>
        <v>-2.2227592766284939E-2</v>
      </c>
      <c r="AI8" s="7">
        <f t="shared" si="3"/>
        <v>-3.7358939647674561E-2</v>
      </c>
      <c r="AJ8" s="7">
        <f t="shared" si="3"/>
        <v>-3.3764690160751343E-2</v>
      </c>
      <c r="AK8" s="7">
        <f t="shared" si="3"/>
        <v>-3.3512141555547707E-2</v>
      </c>
      <c r="AL8" s="7">
        <f t="shared" si="3"/>
        <v>6.0541510581970208E-2</v>
      </c>
      <c r="AM8" s="7">
        <f t="shared" si="3"/>
        <v>4.2939703911542892E-2</v>
      </c>
      <c r="AN8" s="7">
        <f t="shared" si="3"/>
        <v>4.6451166272163391E-2</v>
      </c>
      <c r="AO8" s="7">
        <f t="shared" si="3"/>
        <v>4.6414647251367569E-2</v>
      </c>
      <c r="AP8" s="7">
        <f t="shared" si="3"/>
        <v>-3.5298556089401252E-2</v>
      </c>
      <c r="AQ8" s="7">
        <f t="shared" si="3"/>
        <v>4.9711406230926507E-2</v>
      </c>
      <c r="AR8" s="7">
        <f t="shared" si="3"/>
        <v>4.072609543800354E-2</v>
      </c>
      <c r="AS8" s="7">
        <f t="shared" si="3"/>
        <v>3.7940710783004761E-2</v>
      </c>
      <c r="AT8" s="7">
        <f t="shared" si="3"/>
        <v>4.3215282261371613E-2</v>
      </c>
      <c r="AU8" s="7">
        <f t="shared" si="3"/>
        <v>3.5848293453454971E-2</v>
      </c>
      <c r="AV8" s="7">
        <f t="shared" si="3"/>
        <v>4.8106551170349121E-2</v>
      </c>
      <c r="AW8" s="7">
        <f t="shared" si="3"/>
        <v>0.25755825638771063</v>
      </c>
      <c r="AX8" s="7">
        <f t="shared" si="3"/>
        <v>-3.3253677189350128E-2</v>
      </c>
      <c r="AY8" s="7">
        <f t="shared" si="3"/>
        <v>5.6368216872215271E-2</v>
      </c>
      <c r="AZ8" s="7">
        <f t="shared" si="3"/>
        <v>4.440823569893837E-2</v>
      </c>
      <c r="BA8" s="7">
        <f t="shared" si="3"/>
        <v>4.0217362344264977E-2</v>
      </c>
      <c r="BB8" s="7">
        <f t="shared" si="3"/>
        <v>3.9215490221977227E-2</v>
      </c>
      <c r="BC8" s="7">
        <f t="shared" si="3"/>
        <v>5.1480397582054138E-2</v>
      </c>
      <c r="BD8" s="7">
        <f t="shared" si="3"/>
        <v>4.9942176789045327E-2</v>
      </c>
      <c r="BE8" s="7">
        <f t="shared" si="3"/>
        <v>4.9302525818347931E-2</v>
      </c>
      <c r="BF8" s="7">
        <f t="shared" si="3"/>
        <v>5.0215017050504678E-2</v>
      </c>
      <c r="BG8" s="7">
        <f t="shared" si="3"/>
        <v>4.4806387275457382E-2</v>
      </c>
      <c r="BH8" s="7">
        <f t="shared" si="3"/>
        <v>7.2218522429466248E-2</v>
      </c>
      <c r="BI8" s="7">
        <f t="shared" si="3"/>
        <v>5.3198006004095078E-2</v>
      </c>
      <c r="BJ8" s="7">
        <f t="shared" si="3"/>
        <v>5.0947383046150208E-2</v>
      </c>
      <c r="BK8" s="7">
        <f t="shared" si="3"/>
        <v>4.6847827732563019E-2</v>
      </c>
      <c r="BL8" s="7">
        <f t="shared" si="3"/>
        <v>5.1777664572000497E-2</v>
      </c>
      <c r="BM8" s="7">
        <f t="shared" si="3"/>
        <v>4.5751150697469711E-2</v>
      </c>
      <c r="BN8" s="7">
        <f t="shared" si="3"/>
        <v>5.1456984132528312E-2</v>
      </c>
      <c r="BO8" s="7">
        <f t="shared" ref="BO8:DZ8" si="4">IF(BO6=1,BO3,IF(BO6=2,BO4,IF(BO6=3,BO5)))</f>
        <v>5.444614589214325E-2</v>
      </c>
      <c r="BP8" s="7">
        <f t="shared" si="4"/>
        <v>5.1880281418561942E-2</v>
      </c>
      <c r="BQ8" s="7">
        <f t="shared" si="4"/>
        <v>4.9081109464168549E-2</v>
      </c>
      <c r="BR8" s="7">
        <f t="shared" si="4"/>
        <v>3.0115354806184769E-2</v>
      </c>
      <c r="BS8" s="7">
        <f t="shared" si="4"/>
        <v>4.8800110816955573E-2</v>
      </c>
      <c r="BT8" s="7">
        <f t="shared" si="4"/>
        <v>4.8635218292474747E-2</v>
      </c>
      <c r="BU8" s="7">
        <f t="shared" si="4"/>
        <v>4.5633736997842789E-2</v>
      </c>
      <c r="BV8" s="7">
        <f t="shared" si="4"/>
        <v>4.947228729724884E-2</v>
      </c>
      <c r="BW8" s="7">
        <f t="shared" si="4"/>
        <v>4.4601880013942719E-2</v>
      </c>
      <c r="BX8" s="7">
        <f t="shared" si="4"/>
        <v>4.56710085272789E-2</v>
      </c>
      <c r="BY8" s="7">
        <f t="shared" si="4"/>
        <v>3.6897704005241387E-2</v>
      </c>
      <c r="BZ8" s="7">
        <f t="shared" si="4"/>
        <v>0.21394279599189761</v>
      </c>
      <c r="CA8" s="7">
        <f t="shared" si="4"/>
        <v>-3.2339248806238167E-2</v>
      </c>
      <c r="CB8" s="7">
        <f t="shared" si="4"/>
        <v>4.6074997633695602E-2</v>
      </c>
      <c r="CC8" s="7">
        <f t="shared" si="4"/>
        <v>7.2226598858833313E-2</v>
      </c>
      <c r="CD8" s="7">
        <f t="shared" si="4"/>
        <v>3.4700907766819E-2</v>
      </c>
      <c r="CE8" s="7">
        <f t="shared" si="4"/>
        <v>3.6362294107675552E-2</v>
      </c>
      <c r="CF8" s="7">
        <f t="shared" si="4"/>
        <v>4.7756139189004898E-2</v>
      </c>
      <c r="CG8" s="7">
        <f t="shared" si="4"/>
        <v>3.6376580595970147E-2</v>
      </c>
      <c r="CH8" s="7">
        <f t="shared" si="4"/>
        <v>4.3285507708787918E-2</v>
      </c>
      <c r="CI8" s="7">
        <f t="shared" si="4"/>
        <v>4.2804375290870673E-2</v>
      </c>
      <c r="CJ8" s="7">
        <f t="shared" si="4"/>
        <v>4.3789677321910858E-2</v>
      </c>
      <c r="CK8" s="7">
        <f t="shared" si="4"/>
        <v>4.193609207868576E-2</v>
      </c>
      <c r="CL8" s="7">
        <f t="shared" si="4"/>
        <v>4.5073911547660828E-2</v>
      </c>
      <c r="CM8" s="7">
        <f t="shared" si="4"/>
        <v>5.7426575571298599E-2</v>
      </c>
      <c r="CN8" s="7">
        <f t="shared" si="4"/>
        <v>4.8870686441659927E-2</v>
      </c>
      <c r="CO8" s="7">
        <f t="shared" si="4"/>
        <v>4.6467091888189323E-2</v>
      </c>
      <c r="CP8" s="7">
        <f t="shared" si="4"/>
        <v>4.5427285134792328E-2</v>
      </c>
      <c r="CQ8" s="7">
        <f t="shared" si="4"/>
        <v>4.3254118412733078E-2</v>
      </c>
      <c r="CR8" s="7">
        <f t="shared" si="4"/>
        <v>4.2831581085920327E-2</v>
      </c>
      <c r="CS8" s="7">
        <f t="shared" si="4"/>
        <v>4.1360333561897278E-2</v>
      </c>
      <c r="CT8" s="7">
        <f t="shared" si="4"/>
        <v>2.374728582799435E-2</v>
      </c>
      <c r="CU8" s="7">
        <f t="shared" si="4"/>
        <v>3.9278171956539147E-2</v>
      </c>
      <c r="CV8" s="7">
        <f t="shared" si="4"/>
        <v>4.09957654774189E-2</v>
      </c>
      <c r="CW8" s="7">
        <f t="shared" si="4"/>
        <v>3.6699786782264709E-2</v>
      </c>
      <c r="CX8" s="7">
        <f t="shared" si="4"/>
        <v>3.8764949887990952E-2</v>
      </c>
      <c r="CY8" s="7">
        <f t="shared" si="4"/>
        <v>3.7805531173944473E-2</v>
      </c>
      <c r="CZ8" s="7">
        <f t="shared" si="4"/>
        <v>4.325726255774498E-2</v>
      </c>
      <c r="DA8" s="7">
        <f t="shared" si="4"/>
        <v>4.4850636273622513E-2</v>
      </c>
      <c r="DB8" s="7">
        <f t="shared" si="4"/>
        <v>4.3851811438798897E-2</v>
      </c>
      <c r="DC8" s="7">
        <f t="shared" si="4"/>
        <v>4.9191009253263467E-2</v>
      </c>
      <c r="DD8" s="7">
        <f t="shared" si="4"/>
        <v>4.212004691362381E-2</v>
      </c>
      <c r="DE8" s="7">
        <f t="shared" si="4"/>
        <v>4.7127000987529748E-2</v>
      </c>
      <c r="DF8" s="7">
        <f t="shared" si="4"/>
        <v>3.8079626858234412E-2</v>
      </c>
      <c r="DG8" s="7">
        <f t="shared" si="4"/>
        <v>3.8307089358568192E-2</v>
      </c>
      <c r="DH8" s="7">
        <f t="shared" si="4"/>
        <v>3.9209745824337013E-2</v>
      </c>
      <c r="DI8" s="7">
        <f t="shared" si="4"/>
        <v>5.0754562020301819E-2</v>
      </c>
      <c r="DJ8" s="7">
        <f t="shared" si="4"/>
        <v>4.9327295273542397E-2</v>
      </c>
      <c r="DK8" s="7">
        <f t="shared" si="4"/>
        <v>4.6511236578226089E-2</v>
      </c>
      <c r="DL8" s="7">
        <f t="shared" si="4"/>
        <v>4.22775037586689E-2</v>
      </c>
      <c r="DM8" s="7">
        <f t="shared" si="4"/>
        <v>3.2305262982845313E-2</v>
      </c>
      <c r="DN8" s="7">
        <f t="shared" si="4"/>
        <v>4.6072427183389657E-2</v>
      </c>
      <c r="DO8" s="7">
        <f t="shared" si="4"/>
        <v>4.8485249280929572E-2</v>
      </c>
      <c r="DP8" s="7">
        <f t="shared" si="4"/>
        <v>4.6022161841392517E-2</v>
      </c>
      <c r="DQ8" s="7">
        <f t="shared" si="4"/>
        <v>4.4537413865327842E-2</v>
      </c>
      <c r="DR8" s="7">
        <f t="shared" si="4"/>
        <v>4.4425271451473243E-2</v>
      </c>
      <c r="DS8" s="7">
        <f t="shared" si="4"/>
        <v>4.2646575719118118E-2</v>
      </c>
      <c r="DT8" s="7">
        <f t="shared" si="4"/>
        <v>4.6090584248304367E-2</v>
      </c>
      <c r="DU8" s="7">
        <f t="shared" si="4"/>
        <v>4.3128091841936111E-2</v>
      </c>
      <c r="DV8" s="7">
        <f t="shared" si="4"/>
        <v>4.1349083185195923E-2</v>
      </c>
      <c r="DW8" s="7">
        <f t="shared" si="4"/>
        <v>4.0377732366323471E-2</v>
      </c>
      <c r="DX8" s="7">
        <f t="shared" si="4"/>
        <v>4.6240631490945823E-2</v>
      </c>
      <c r="DY8" s="7">
        <f t="shared" si="4"/>
        <v>4.529276117682457E-2</v>
      </c>
      <c r="DZ8" s="7">
        <f t="shared" si="4"/>
        <v>3.8002155721187592E-2</v>
      </c>
      <c r="EA8" s="7">
        <f t="shared" ref="EA8:EG8" si="5">IF(EA6=1,EA3,IF(EA6=2,EA4,IF(EA6=3,EA5)))</f>
        <v>4.3337244540452957E-2</v>
      </c>
      <c r="EB8" s="7">
        <f t="shared" si="5"/>
        <v>3.5762075334787369E-2</v>
      </c>
      <c r="EC8" s="7">
        <f t="shared" si="5"/>
        <v>3.0851878225803379E-2</v>
      </c>
      <c r="ED8" s="7">
        <f t="shared" si="5"/>
        <v>4.0065716952085488E-2</v>
      </c>
      <c r="EE8" s="7">
        <f t="shared" si="5"/>
        <v>4.3372519314289093E-2</v>
      </c>
      <c r="EF8" s="7">
        <f t="shared" si="5"/>
        <v>4.6325836330652237E-2</v>
      </c>
      <c r="EG8" s="1">
        <f t="shared" si="5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169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170</v>
      </c>
      <c r="C12" s="7" cm="1">
        <f t="array" ref="C12">PRODUCT(1 + 預測IC!$C12:C12) - 1</f>
        <v>4.7013508994228737E-2</v>
      </c>
      <c r="D12" s="7" cm="1">
        <f t="array" ref="D12">PRODUCT(1 + 預測IC!$C12:D12) - 1</f>
        <v>0.16709405293260571</v>
      </c>
      <c r="E12" s="7" cm="1">
        <f t="array" ref="E12">PRODUCT(1 + 預測IC!$C12:E12) - 1</f>
        <v>0.15921146660222796</v>
      </c>
      <c r="F12" s="7" cm="1">
        <f t="array" ref="F12">PRODUCT(1 + 預測IC!$C12:F12) - 1</f>
        <v>0.17476936470506965</v>
      </c>
      <c r="G12" s="7" cm="1">
        <f t="array" ref="G12">PRODUCT(1 + 預測IC!$C12:G12) - 1</f>
        <v>0.1840551491101925</v>
      </c>
      <c r="H12" s="7" cm="1">
        <f t="array" ref="H12">PRODUCT(1 + 預測IC!$C12:H12) - 1</f>
        <v>0.22967740053752572</v>
      </c>
      <c r="I12" s="7" cm="1">
        <f t="array" ref="I12">PRODUCT(1 + 預測IC!$C12:I12) - 1</f>
        <v>0.24542930819917252</v>
      </c>
      <c r="J12" s="7" cm="1">
        <f t="array" ref="J12">PRODUCT(1 + 預測IC!$C12:J12) - 1</f>
        <v>0.20880357011637307</v>
      </c>
      <c r="K12" s="7" cm="1">
        <f t="array" ref="K12">PRODUCT(1 + 預測IC!$C12:K12) - 1</f>
        <v>0.19552074830920119</v>
      </c>
      <c r="L12" s="7" cm="1">
        <f t="array" ref="L12">PRODUCT(1 + 預測IC!$C12:L12) - 1</f>
        <v>0.19279827166187125</v>
      </c>
      <c r="M12" s="7" cm="1">
        <f t="array" ref="M12">PRODUCT(1 + 預測IC!$C12:M12) - 1</f>
        <v>0.19232535457206712</v>
      </c>
      <c r="N12" s="7" cm="1">
        <f t="array" ref="N12">PRODUCT(1 + 預測IC!$C12:N12) - 1</f>
        <v>0.27498567866397972</v>
      </c>
      <c r="O12" s="7" cm="1">
        <f t="array" ref="O12">PRODUCT(1 + 預測IC!$C12:O12) - 1</f>
        <v>0.29696737404875462</v>
      </c>
      <c r="P12" s="7" cm="1">
        <f t="array" ref="P12">PRODUCT(1 + 預測IC!$C12:P12) - 1</f>
        <v>0.29726563930617367</v>
      </c>
      <c r="Q12" s="7" cm="1">
        <f t="array" ref="Q12">PRODUCT(1 + 預測IC!$C12:Q12) - 1</f>
        <v>0.34302004980593859</v>
      </c>
      <c r="R12" s="7" cm="1">
        <f t="array" ref="R12">PRODUCT(1 + 預測IC!$C12:R12) - 1</f>
        <v>0.35196843633246888</v>
      </c>
      <c r="S12" s="7" cm="1">
        <f t="array" ref="S12">PRODUCT(1 + 預測IC!$C12:S12) - 1</f>
        <v>0.32969827857056777</v>
      </c>
      <c r="T12" s="7" cm="1">
        <f t="array" ref="T12">PRODUCT(1 + 預測IC!$C12:T12) - 1</f>
        <v>0.31940667974232095</v>
      </c>
      <c r="U12" s="7" cm="1">
        <f t="array" ref="U12">PRODUCT(1 + 預測IC!$C12:U12) - 1</f>
        <v>0.29806052830737895</v>
      </c>
      <c r="V12" s="7" cm="1">
        <f t="array" ref="V12">PRODUCT(1 + 預測IC!$C12:V12) - 1</f>
        <v>0.30611430600345946</v>
      </c>
      <c r="W12" s="7" cm="1">
        <f t="array" ref="W12">PRODUCT(1 + 預測IC!$C12:W12) - 1</f>
        <v>0.38975710206395786</v>
      </c>
      <c r="X12" s="7" cm="1">
        <f t="array" ref="X12">PRODUCT(1 + 預測IC!$C12:X12) - 1</f>
        <v>0.42738323356197361</v>
      </c>
      <c r="Y12" s="7" cm="1">
        <f t="array" ref="Y12">PRODUCT(1 + 預測IC!$C12:Y12) - 1</f>
        <v>0.44942255655550989</v>
      </c>
      <c r="Z12" s="7" cm="1">
        <f t="array" ref="Z12">PRODUCT(1 + 預測IC!$C12:Z12) - 1</f>
        <v>0.45691013957024107</v>
      </c>
      <c r="AA12" s="7" cm="1">
        <f t="array" ref="AA12">PRODUCT(1 + 預測IC!$C12:AA12) - 1</f>
        <v>0.39950254573876887</v>
      </c>
      <c r="AB12" s="7" cm="1">
        <f t="array" ref="AB12">PRODUCT(1 + 預測IC!$C12:AB12) - 1</f>
        <v>0.39430840621820806</v>
      </c>
      <c r="AC12" s="7" cm="1">
        <f t="array" ref="AC12">PRODUCT(1 + 預測IC!$C12:AC12) - 1</f>
        <v>0.40151332725633448</v>
      </c>
      <c r="AD12" s="7" cm="1">
        <f t="array" ref="AD12">PRODUCT(1 + 預測IC!$C12:AD12) - 1</f>
        <v>0.39331852466646966</v>
      </c>
      <c r="AE12" s="7" cm="1">
        <f t="array" ref="AE12">PRODUCT(1 + 預測IC!$C12:AE12) - 1</f>
        <v>0.3120644197172171</v>
      </c>
      <c r="AF12" s="7" cm="1">
        <f t="array" ref="AF12">PRODUCT(1 + 預測IC!$C12:AF12) - 1</f>
        <v>0.28525612097313724</v>
      </c>
      <c r="AG12" s="7" cm="1">
        <f t="array" ref="AG12">PRODUCT(1 + 預測IC!$C12:AG12) - 1</f>
        <v>0.30078089412385944</v>
      </c>
      <c r="AH12" s="7" cm="1">
        <f t="array" ref="AH12">PRODUCT(1 + 預測IC!$C12:AH12) - 1</f>
        <v>0.28334287956525972</v>
      </c>
      <c r="AI12" s="7" cm="1">
        <f t="array" ref="AI12">PRODUCT(1 + 預測IC!$C12:AI12) - 1</f>
        <v>0.31317605742756016</v>
      </c>
      <c r="AJ12" s="7" cm="1">
        <f t="array" ref="AJ12">PRODUCT(1 + 預測IC!$C12:AJ12) - 1</f>
        <v>0.34083451651214203</v>
      </c>
      <c r="AK12" s="7" cm="1">
        <f t="array" ref="AK12">PRODUCT(1 + 預測IC!$C12:AK12) - 1</f>
        <v>0.35357714787076322</v>
      </c>
      <c r="AL12" s="7" cm="1">
        <f t="array" ref="AL12">PRODUCT(1 + 預測IC!$C12:AL12) - 1</f>
        <v>0.37775068624499197</v>
      </c>
      <c r="AM12" s="7" cm="1">
        <f t="array" ref="AM12">PRODUCT(1 + 預測IC!$C12:AM12) - 1</f>
        <v>0.41920185267669496</v>
      </c>
      <c r="AN12" s="7" cm="1">
        <f t="array" ref="AN12">PRODUCT(1 + 預測IC!$C12:AN12) - 1</f>
        <v>0.51745778708111256</v>
      </c>
      <c r="AO12" s="7" cm="1">
        <f t="array" ref="AO12">PRODUCT(1 + 預測IC!$C12:AO12) - 1</f>
        <v>0.52083988643495682</v>
      </c>
      <c r="AP12" s="7" cm="1">
        <f t="array" ref="AP12">PRODUCT(1 + 預測IC!$C12:AP12) - 1</f>
        <v>0.51379241093222627</v>
      </c>
      <c r="AQ12" s="7" cm="1">
        <f t="array" ref="AQ12">PRODUCT(1 + 預測IC!$C12:AQ12) - 1</f>
        <v>0.50225438147057999</v>
      </c>
      <c r="AR12" s="7" cm="1">
        <f t="array" ref="AR12">PRODUCT(1 + 預測IC!$C12:AR12) - 1</f>
        <v>0.52257426399419971</v>
      </c>
      <c r="AS12" s="7" cm="1">
        <f t="array" ref="AS12">PRODUCT(1 + 預測IC!$C12:AS12) - 1</f>
        <v>0.55165500376286181</v>
      </c>
      <c r="AT12" s="7" cm="1">
        <f t="array" ref="AT12">PRODUCT(1 + 預測IC!$C12:AT12) - 1</f>
        <v>0.57312200287910198</v>
      </c>
      <c r="AU12" s="7" cm="1">
        <f t="array" ref="AU12">PRODUCT(1 + 預測IC!$C12:AU12) - 1</f>
        <v>0.60569924950010035</v>
      </c>
      <c r="AV12" s="7" cm="1">
        <f t="array" ref="AV12">PRODUCT(1 + 預測IC!$C12:AV12) - 1</f>
        <v>0.53928739246575308</v>
      </c>
      <c r="AW12" s="7" cm="1">
        <f t="array" ref="AW12">PRODUCT(1 + 預測IC!$C12:AW12) - 1</f>
        <v>0.54024402420429252</v>
      </c>
      <c r="AX12" s="7" cm="1">
        <f t="array" ref="AX12">PRODUCT(1 + 預測IC!$C12:AX12) - 1</f>
        <v>0.52690846014885495</v>
      </c>
      <c r="AY12" s="7" cm="1">
        <f t="array" ref="AY12">PRODUCT(1 + 預測IC!$C12:AY12) - 1</f>
        <v>0.56501290825937933</v>
      </c>
      <c r="AZ12" s="7" cm="1">
        <f t="array" ref="AZ12">PRODUCT(1 + 預測IC!$C12:AZ12) - 1</f>
        <v>0.56141333776790203</v>
      </c>
      <c r="BA12" s="7" cm="1">
        <f t="array" ref="BA12">PRODUCT(1 + 預測IC!$C12:BA12) - 1</f>
        <v>0.56912342223762225</v>
      </c>
      <c r="BB12" s="7" cm="1">
        <f t="array" ref="BB12">PRODUCT(1 + 預測IC!$C12:BB12) - 1</f>
        <v>0.59309116310469023</v>
      </c>
      <c r="BC12" s="7" cm="1">
        <f t="array" ref="BC12">PRODUCT(1 + 預測IC!$C12:BC12) - 1</f>
        <v>0.6126428348685351</v>
      </c>
      <c r="BD12" s="7" cm="1">
        <f t="array" ref="BD12">PRODUCT(1 + 預測IC!$C12:BD12) - 1</f>
        <v>0.63462405485575868</v>
      </c>
      <c r="BE12" s="7" cm="1">
        <f t="array" ref="BE12">PRODUCT(1 + 預測IC!$C12:BE12) - 1</f>
        <v>0.66504246305145442</v>
      </c>
      <c r="BF12" s="7" cm="1">
        <f t="array" ref="BF12">PRODUCT(1 + 預測IC!$C12:BF12) - 1</f>
        <v>0.77791960860613418</v>
      </c>
      <c r="BG12" s="7" cm="1">
        <f t="array" ref="BG12">PRODUCT(1 + 預測IC!$C12:BG12) - 1</f>
        <v>0.83778369517913487</v>
      </c>
      <c r="BH12" s="7" cm="1">
        <f t="array" ref="BH12">PRODUCT(1 + 預測IC!$C12:BH12) - 1</f>
        <v>0.86392315429860522</v>
      </c>
      <c r="BI12" s="7" cm="1">
        <f t="array" ref="BI12">PRODUCT(1 + 預測IC!$C12:BI12) - 1</f>
        <v>0.95715892603009811</v>
      </c>
      <c r="BJ12" s="7" cm="1">
        <f t="array" ref="BJ12">PRODUCT(1 + 預測IC!$C12:BJ12) - 1</f>
        <v>0.95560104059896056</v>
      </c>
      <c r="BK12" s="7" cm="1">
        <f t="array" ref="BK12">PRODUCT(1 + 預測IC!$C12:BK12) - 1</f>
        <v>0.91397672765412241</v>
      </c>
      <c r="BL12" s="7" cm="1">
        <f t="array" ref="BL12">PRODUCT(1 + 預測IC!$C12:BL12) - 1</f>
        <v>0.9612696491309114</v>
      </c>
      <c r="BM12" s="7" cm="1">
        <f t="array" ref="BM12">PRODUCT(1 + 預測IC!$C12:BM12) - 1</f>
        <v>0.95113166596359111</v>
      </c>
      <c r="BN12" s="7" cm="1">
        <f t="array" ref="BN12">PRODUCT(1 + 預測IC!$C12:BN12) - 1</f>
        <v>0.97360194308343684</v>
      </c>
      <c r="BO12" s="7" cm="1">
        <f t="array" ref="BO12">PRODUCT(1 + 預測IC!$C12:BO12) - 1</f>
        <v>1.02145450811775</v>
      </c>
      <c r="BP12" s="7" cm="1">
        <f t="array" ref="BP12">PRODUCT(1 + 預測IC!$C12:BP12) - 1</f>
        <v>1.00021107239662</v>
      </c>
      <c r="BQ12" s="7" cm="1">
        <f t="array" ref="BQ12">PRODUCT(1 + 預測IC!$C12:BQ12) - 1</f>
        <v>1.0280075048543607</v>
      </c>
      <c r="BR12" s="7" cm="1">
        <f t="array" ref="BR12">PRODUCT(1 + 預測IC!$C12:BR12) - 1</f>
        <v>1.0234221627423286</v>
      </c>
      <c r="BS12" s="7" cm="1">
        <f t="array" ref="BS12">PRODUCT(1 + 預測IC!$C12:BS12) - 1</f>
        <v>1.0615905686386262</v>
      </c>
      <c r="BT12" s="7" cm="1">
        <f t="array" ref="BT12">PRODUCT(1 + 預測IC!$C12:BT12) - 1</f>
        <v>1.1070104366773026</v>
      </c>
      <c r="BU12" s="7" cm="1">
        <f t="array" ref="BU12">PRODUCT(1 + 預測IC!$C12:BU12) - 1</f>
        <v>1.1255131849413464</v>
      </c>
      <c r="BV12" s="7" cm="1">
        <f t="array" ref="BV12">PRODUCT(1 + 預測IC!$C12:BV12) - 1</f>
        <v>1.1745327386793702</v>
      </c>
      <c r="BW12" s="7" cm="1">
        <f t="array" ref="BW12">PRODUCT(1 + 預測IC!$C12:BW12) - 1</f>
        <v>1.1104193183391025</v>
      </c>
      <c r="BX12" s="7" cm="1">
        <f t="array" ref="BX12">PRODUCT(1 + 預測IC!$C12:BX12) - 1</f>
        <v>1.1346409427519459</v>
      </c>
      <c r="BY12" s="7" cm="1">
        <f t="array" ref="BY12">PRODUCT(1 + 預測IC!$C12:BY12) - 1</f>
        <v>1.0634062660717731</v>
      </c>
      <c r="BZ12" s="7" cm="1">
        <f t="array" ref="BZ12">PRODUCT(1 + 預測IC!$C12:BZ12) - 1</f>
        <v>1.1569960720210228</v>
      </c>
      <c r="CA12" s="7" cm="1">
        <f t="array" ref="CA12">PRODUCT(1 + 預測IC!$C12:CA12) - 1</f>
        <v>1.1884462773915891</v>
      </c>
      <c r="CB12" s="7" cm="1">
        <f t="array" ref="CB12">PRODUCT(1 + 預測IC!$C12:CB12) - 1</f>
        <v>1.192698958400916</v>
      </c>
      <c r="CC12" s="7" cm="1">
        <f t="array" ref="CC12">PRODUCT(1 + 預測IC!$C12:CC12) - 1</f>
        <v>1.1559252822425718</v>
      </c>
      <c r="CD12" s="7" cm="1">
        <f t="array" ref="CD12">PRODUCT(1 + 預測IC!$C12:CD12) - 1</f>
        <v>1.3950899075383263</v>
      </c>
      <c r="CE12" s="7" cm="1">
        <f t="array" ref="CE12">PRODUCT(1 + 預測IC!$C12:CE12) - 1</f>
        <v>1.4229194354298751</v>
      </c>
      <c r="CF12" s="7" cm="1">
        <f t="array" ref="CF12">PRODUCT(1 + 預測IC!$C12:CF12) - 1</f>
        <v>1.4901980529580237</v>
      </c>
      <c r="CG12" s="7" cm="1">
        <f t="array" ref="CG12">PRODUCT(1 + 預測IC!$C12:CG12) - 1</f>
        <v>1.5944308556916993</v>
      </c>
      <c r="CH12" s="7" cm="1">
        <f t="array" ref="CH12">PRODUCT(1 + 預測IC!$C12:CH12) - 1</f>
        <v>1.7586515116732859</v>
      </c>
      <c r="CI12" s="7" cm="1">
        <f t="array" ref="CI12">PRODUCT(1 + 預測IC!$C12:CI12) - 1</f>
        <v>1.6630479265089377</v>
      </c>
      <c r="CJ12" s="7" cm="1">
        <f t="array" ref="CJ12">PRODUCT(1 + 預測IC!$C12:CJ12) - 1</f>
        <v>1.7041791823572665</v>
      </c>
      <c r="CK12" s="7" cm="1">
        <f t="array" ref="CK12">PRODUCT(1 + 預測IC!$C12:CK12) - 1</f>
        <v>1.7388011782494899</v>
      </c>
      <c r="CL12" s="7" cm="1">
        <f t="array" ref="CL12">PRODUCT(1 + 預測IC!$C12:CL12) - 1</f>
        <v>2.0620224635868483</v>
      </c>
      <c r="CM12" s="7" cm="1">
        <f t="array" ref="CM12">PRODUCT(1 + 預測IC!$C12:CM12) - 1</f>
        <v>2.0154193201728101</v>
      </c>
      <c r="CN12" s="7" cm="1">
        <f t="array" ref="CN12">PRODUCT(1 + 預測IC!$C12:CN12) - 1</f>
        <v>1.9337506042686399</v>
      </c>
      <c r="CO12" s="7" cm="1">
        <f t="array" ref="CO12">PRODUCT(1 + 預測IC!$C12:CO12) - 1</f>
        <v>1.853758588058064</v>
      </c>
      <c r="CP12" s="7" cm="1">
        <f t="array" ref="CP12">PRODUCT(1 + 預測IC!$C12:CP12) - 1</f>
        <v>1.9830310596015508</v>
      </c>
      <c r="CQ12" s="7" cm="1">
        <f t="array" ref="CQ12">PRODUCT(1 + 預測IC!$C12:CQ12) - 1</f>
        <v>2.0921270529356844</v>
      </c>
      <c r="CR12" s="7" cm="1">
        <f t="array" ref="CR12">PRODUCT(1 + 預測IC!$C12:CR12) - 1</f>
        <v>2.0986758021259333</v>
      </c>
      <c r="CS12" s="7" cm="1">
        <f t="array" ref="CS12">PRODUCT(1 + 預測IC!$C12:CS12) - 1</f>
        <v>2.0515708242856414</v>
      </c>
      <c r="CT12" s="7" cm="1">
        <f t="array" ref="CT12">PRODUCT(1 + 預測IC!$C12:CT12) - 1</f>
        <v>2.0490562199980737</v>
      </c>
      <c r="CU12" s="7" cm="1">
        <f t="array" ref="CU12">PRODUCT(1 + 預測IC!$C12:CU12) - 1</f>
        <v>2.1576749318173332</v>
      </c>
      <c r="CV12" s="7" cm="1">
        <f t="array" ref="CV12">PRODUCT(1 + 預測IC!$C12:CV12) - 1</f>
        <v>2.1832919687545669</v>
      </c>
      <c r="CW12" s="7" cm="1">
        <f t="array" ref="CW12">PRODUCT(1 + 預測IC!$C12:CW12) - 1</f>
        <v>2.2009526330370912</v>
      </c>
      <c r="CX12" s="7" cm="1">
        <f t="array" ref="CX12">PRODUCT(1 + 預測IC!$C12:CX12) - 1</f>
        <v>2.3961783581324978</v>
      </c>
      <c r="CY12" s="7" cm="1">
        <f t="array" ref="CY12">PRODUCT(1 + 預測IC!$C12:CY12) - 1</f>
        <v>2.3758592192758763</v>
      </c>
      <c r="CZ12" s="7" cm="1">
        <f t="array" ref="CZ12">PRODUCT(1 + 預測IC!$C12:CZ12) - 1</f>
        <v>2.6384751647138565</v>
      </c>
      <c r="DA12" s="7" cm="1">
        <f t="array" ref="DA12">PRODUCT(1 + 預測IC!$C12:DA12) - 1</f>
        <v>2.6588643938822822</v>
      </c>
      <c r="DB12" s="7" cm="1">
        <f t="array" ref="DB12">PRODUCT(1 + 預測IC!$C12:DB12) - 1</f>
        <v>2.5747768262491073</v>
      </c>
      <c r="DC12" s="7" cm="1">
        <f t="array" ref="DC12">PRODUCT(1 + 預測IC!$C12:DC12) - 1</f>
        <v>2.6962234445993118</v>
      </c>
      <c r="DD12" s="7" cm="1">
        <f t="array" ref="DD12">PRODUCT(1 + 預測IC!$C12:DD12) - 1</f>
        <v>2.7882186688066022</v>
      </c>
      <c r="DE12" s="7" cm="1">
        <f t="array" ref="DE12">PRODUCT(1 + 預測IC!$C12:DE12) - 1</f>
        <v>2.792757365343598</v>
      </c>
      <c r="DF12" s="7" cm="1">
        <f t="array" ref="DF12">PRODUCT(1 + 預測IC!$C12:DF12) - 1</f>
        <v>2.7668356675196004</v>
      </c>
      <c r="DG12" s="7" cm="1">
        <f t="array" ref="DG12">PRODUCT(1 + 預測IC!$C12:DG12) - 1</f>
        <v>2.7632658036845541</v>
      </c>
      <c r="DH12" s="7" cm="1">
        <f t="array" ref="DH12">PRODUCT(1 + 預測IC!$C12:DH12) - 1</f>
        <v>2.7488800353431007</v>
      </c>
      <c r="DI12" s="7" cm="1">
        <f t="array" ref="DI12">PRODUCT(1 + 預測IC!$C12:DI12) - 1</f>
        <v>2.5447791110521649</v>
      </c>
      <c r="DJ12" s="7" cm="1">
        <f t="array" ref="DJ12">PRODUCT(1 + 預測IC!$C12:DJ12) - 1</f>
        <v>2.5733592409264805</v>
      </c>
      <c r="DK12" s="7" cm="1">
        <f t="array" ref="DK12">PRODUCT(1 + 預測IC!$C12:DK12) - 1</f>
        <v>2.5163786219646762</v>
      </c>
      <c r="DL12" s="7" cm="1">
        <f t="array" ref="DL12">PRODUCT(1 + 預測IC!$C12:DL12) - 1</f>
        <v>2.5151314467809285</v>
      </c>
      <c r="DM12" s="7" cm="1">
        <f t="array" ref="DM12">PRODUCT(1 + 預測IC!$C12:DM12) - 1</f>
        <v>2.4981169829361458</v>
      </c>
      <c r="DN12" s="7" cm="1">
        <f t="array" ref="DN12">PRODUCT(1 + 預測IC!$C12:DN12) - 1</f>
        <v>2.6464734023456664</v>
      </c>
      <c r="DO12" s="7" cm="1">
        <f t="array" ref="DO12">PRODUCT(1 + 預測IC!$C12:DO12) - 1</f>
        <v>2.728882730111081</v>
      </c>
      <c r="DP12" s="7" cm="1">
        <f t="array" ref="DP12">PRODUCT(1 + 預測IC!$C12:DP12) - 1</f>
        <v>2.8503863214958041</v>
      </c>
      <c r="DQ12" s="7" cm="1">
        <f t="array" ref="DQ12">PRODUCT(1 + 預測IC!$C12:DQ12) - 1</f>
        <v>2.762713545107744</v>
      </c>
      <c r="DR12" s="7" cm="1">
        <f t="array" ref="DR12">PRODUCT(1 + 預測IC!$C12:DR12) - 1</f>
        <v>2.8333733293479035</v>
      </c>
      <c r="DS12" s="7" cm="1">
        <f t="array" ref="DS12">PRODUCT(1 + 預測IC!$C12:DS12) - 1</f>
        <v>2.6964216378792281</v>
      </c>
      <c r="DT12" s="7" cm="1">
        <f t="array" ref="DT12">PRODUCT(1 + 預測IC!$C12:DT12) - 1</f>
        <v>2.5289815615500357</v>
      </c>
      <c r="DU12" s="7" cm="1">
        <f t="array" ref="DU12">PRODUCT(1 + 預測IC!$C12:DU12) - 1</f>
        <v>2.5775144030693662</v>
      </c>
      <c r="DV12" s="7" cm="1">
        <f t="array" ref="DV12">PRODUCT(1 + 預測IC!$C12:DV12) - 1</f>
        <v>2.7512056769186253</v>
      </c>
      <c r="DW12" s="7" cm="1">
        <f t="array" ref="DW12">PRODUCT(1 + 預測IC!$C12:DW12) - 1</f>
        <v>2.9152292616472995</v>
      </c>
      <c r="DX12" s="7" cm="1">
        <f t="array" ref="DX12">PRODUCT(1 + 預測IC!$C12:DX12) - 1</f>
        <v>2.7188723683753535</v>
      </c>
      <c r="DY12" s="7" cm="1">
        <f t="array" ref="DY12">PRODUCT(1 + 預測IC!$C12:DY12) - 1</f>
        <v>2.7759840958727011</v>
      </c>
      <c r="DZ12" s="7" cm="1">
        <f t="array" ref="DZ12">PRODUCT(1 + 預測IC!$C12:DZ12) - 1</f>
        <v>2.760367662234656</v>
      </c>
      <c r="EA12" s="7" cm="1">
        <f t="array" ref="EA12">PRODUCT(1 + 預測IC!$C12:EA12) - 1</f>
        <v>3.0010460134419708</v>
      </c>
      <c r="EB12" s="7" cm="1">
        <f t="array" ref="EB12">PRODUCT(1 + 預測IC!$C12:EB12) - 1</f>
        <v>3.0123622790092064</v>
      </c>
      <c r="EC12" s="7" cm="1">
        <f t="array" ref="EC12">PRODUCT(1 + 預測IC!$C12:EC12) - 1</f>
        <v>3.1192977907253079</v>
      </c>
      <c r="ED12" s="7" cm="1">
        <f t="array" ref="ED12">PRODUCT(1 + 預測IC!$C12:ED12) - 1</f>
        <v>2.87004669054045</v>
      </c>
      <c r="EE12" s="7" cm="1">
        <f t="array" ref="EE12">PRODUCT(1 + 預測IC!$C12:EE12) - 1</f>
        <v>2.9161664095306423</v>
      </c>
      <c r="EF12" s="7" cm="1">
        <f t="array" ref="EF12">PRODUCT(1 + 預測IC!$C12:EF12) - 1</f>
        <v>3.0698107292535983</v>
      </c>
    </row>
    <row r="13" spans="1:137" x14ac:dyDescent="0.3">
      <c r="A13" s="1">
        <v>48</v>
      </c>
      <c r="B13" s="1" t="s">
        <v>171</v>
      </c>
      <c r="C13" s="7" cm="1">
        <f t="array" ref="C13">PRODUCT(1 + 預測IC!$C13:C13) - 1</f>
        <v>4.2506117601795568E-2</v>
      </c>
      <c r="D13" s="7" cm="1">
        <f t="array" ref="D13">PRODUCT(1 + 預測IC!$C13:D13) - 1</f>
        <v>0.17151106714107112</v>
      </c>
      <c r="E13" s="7" cm="1">
        <f t="array" ref="E13">PRODUCT(1 + 預測IC!$C13:E13) - 1</f>
        <v>0.13109789562799667</v>
      </c>
      <c r="F13" s="7" cm="1">
        <f t="array" ref="F13">PRODUCT(1 + 預測IC!$C13:F13) - 1</f>
        <v>0.1181408979110441</v>
      </c>
      <c r="G13" s="7" cm="1">
        <f t="array" ref="G13">PRODUCT(1 + 預測IC!$C13:G13) - 1</f>
        <v>0.10147167603917318</v>
      </c>
      <c r="H13" s="7" cm="1">
        <f t="array" ref="H13">PRODUCT(1 + 預測IC!$C13:H13) - 1</f>
        <v>0.13450440595990099</v>
      </c>
      <c r="I13" s="7" cm="1">
        <f t="array" ref="I13">PRODUCT(1 + 預測IC!$C13:I13) - 1</f>
        <v>0.16755319424906912</v>
      </c>
      <c r="J13" s="7" cm="1">
        <f t="array" ref="J13">PRODUCT(1 + 預測IC!$C13:J13) - 1</f>
        <v>0.11629851144977144</v>
      </c>
      <c r="K13" s="7" cm="1">
        <f t="array" ref="K13">PRODUCT(1 + 預測IC!$C13:K13) - 1</f>
        <v>6.5695594519838307E-2</v>
      </c>
      <c r="L13" s="7" cm="1">
        <f t="array" ref="L13">PRODUCT(1 + 預測IC!$C13:L13) - 1</f>
        <v>3.4645840383244586E-2</v>
      </c>
      <c r="M13" s="7" cm="1">
        <f t="array" ref="M13">PRODUCT(1 + 預測IC!$C13:M13) - 1</f>
        <v>6.1222893770346509E-2</v>
      </c>
      <c r="N13" s="7" cm="1">
        <f t="array" ref="N13">PRODUCT(1 + 預測IC!$C13:N13) - 1</f>
        <v>0.16714027900140116</v>
      </c>
      <c r="O13" s="7" cm="1">
        <f t="array" ref="O13">PRODUCT(1 + 預測IC!$C13:O13) - 1</f>
        <v>0.21357996393177703</v>
      </c>
      <c r="P13" s="7" cm="1">
        <f t="array" ref="P13">PRODUCT(1 + 預測IC!$C13:P13) - 1</f>
        <v>0.23395794691652494</v>
      </c>
      <c r="Q13" s="7" cm="1">
        <f t="array" ref="Q13">PRODUCT(1 + 預測IC!$C13:Q13) - 1</f>
        <v>0.32431373831969057</v>
      </c>
      <c r="R13" s="7" cm="1">
        <f t="array" ref="R13">PRODUCT(1 + 預測IC!$C13:R13) - 1</f>
        <v>0.34306594733639284</v>
      </c>
      <c r="S13" s="7" cm="1">
        <f t="array" ref="S13">PRODUCT(1 + 預測IC!$C13:S13) - 1</f>
        <v>0.32662188946531878</v>
      </c>
      <c r="T13" s="7" cm="1">
        <f t="array" ref="T13">PRODUCT(1 + 預測IC!$C13:T13) - 1</f>
        <v>0.29729821213205643</v>
      </c>
      <c r="U13" s="7" cm="1">
        <f t="array" ref="U13">PRODUCT(1 + 預測IC!$C13:U13) - 1</f>
        <v>0.2993700184361141</v>
      </c>
      <c r="V13" s="7" cm="1">
        <f t="array" ref="V13">PRODUCT(1 + 預測IC!$C13:V13) - 1</f>
        <v>0.27326005107426465</v>
      </c>
      <c r="W13" s="7" cm="1">
        <f t="array" ref="W13">PRODUCT(1 + 預測IC!$C13:W13) - 1</f>
        <v>0.36936134208322957</v>
      </c>
      <c r="X13" s="7" cm="1">
        <f t="array" ref="X13">PRODUCT(1 + 預測IC!$C13:X13) - 1</f>
        <v>0.4423166621471748</v>
      </c>
      <c r="Y13" s="7" cm="1">
        <f t="array" ref="Y13">PRODUCT(1 + 預測IC!$C13:Y13) - 1</f>
        <v>0.46239514166669826</v>
      </c>
      <c r="Z13" s="7" cm="1">
        <f t="array" ref="Z13">PRODUCT(1 + 預測IC!$C13:Z13) - 1</f>
        <v>0.49249673399765892</v>
      </c>
      <c r="AA13" s="7" cm="1">
        <f t="array" ref="AA13">PRODUCT(1 + 預測IC!$C13:AA13) - 1</f>
        <v>0.44455846971988655</v>
      </c>
      <c r="AB13" s="7" cm="1">
        <f t="array" ref="AB13">PRODUCT(1 + 預測IC!$C13:AB13) - 1</f>
        <v>0.4213933875428868</v>
      </c>
      <c r="AC13" s="7" cm="1">
        <f t="array" ref="AC13">PRODUCT(1 + 預測IC!$C13:AC13) - 1</f>
        <v>0.43280922296129964</v>
      </c>
      <c r="AD13" s="7" cm="1">
        <f t="array" ref="AD13">PRODUCT(1 + 預測IC!$C13:AD13) - 1</f>
        <v>0.42338270631681985</v>
      </c>
      <c r="AE13" s="7" cm="1">
        <f t="array" ref="AE13">PRODUCT(1 + 預測IC!$C13:AE13) - 1</f>
        <v>0.32983887446889071</v>
      </c>
      <c r="AF13" s="7" cm="1">
        <f t="array" ref="AF13">PRODUCT(1 + 預測IC!$C13:AF13) - 1</f>
        <v>0.28736320399346926</v>
      </c>
      <c r="AG13" s="7" cm="1">
        <f t="array" ref="AG13">PRODUCT(1 + 預測IC!$C13:AG13) - 1</f>
        <v>0.29158872934452074</v>
      </c>
      <c r="AH13" s="7" cm="1">
        <f t="array" ref="AH13">PRODUCT(1 + 預測IC!$C13:AH13) - 1</f>
        <v>0.27913608424697434</v>
      </c>
      <c r="AI13" s="7" cm="1">
        <f t="array" ref="AI13">PRODUCT(1 + 預測IC!$C13:AI13) - 1</f>
        <v>0.30460356884402273</v>
      </c>
      <c r="AJ13" s="7" cm="1">
        <f t="array" ref="AJ13">PRODUCT(1 + 預測IC!$C13:AJ13) - 1</f>
        <v>0.33054733814628579</v>
      </c>
      <c r="AK13" s="7" cm="1">
        <f t="array" ref="AK13">PRODUCT(1 + 預測IC!$C13:AK13) - 1</f>
        <v>0.33496268600371137</v>
      </c>
      <c r="AL13" s="7" cm="1">
        <f t="array" ref="AL13">PRODUCT(1 + 預測IC!$C13:AL13) - 1</f>
        <v>0.36586897930594398</v>
      </c>
      <c r="AM13" s="7" cm="1">
        <f t="array" ref="AM13">PRODUCT(1 + 預測IC!$C13:AM13) - 1</f>
        <v>0.42908473321937746</v>
      </c>
      <c r="AN13" s="7" cm="1">
        <f t="array" ref="AN13">PRODUCT(1 + 預測IC!$C13:AN13) - 1</f>
        <v>0.57961056848594539</v>
      </c>
      <c r="AO13" s="7" cm="1">
        <f t="array" ref="AO13">PRODUCT(1 + 預測IC!$C13:AO13) - 1</f>
        <v>0.59431861929701979</v>
      </c>
      <c r="AP13" s="7" cm="1">
        <f t="array" ref="AP13">PRODUCT(1 + 預測IC!$C13:AP13) - 1</f>
        <v>0.58381526432352415</v>
      </c>
      <c r="AQ13" s="7" cm="1">
        <f t="array" ref="AQ13">PRODUCT(1 + 預測IC!$C13:AQ13) - 1</f>
        <v>0.57423430843304013</v>
      </c>
      <c r="AR13" s="7" cm="1">
        <f t="array" ref="AR13">PRODUCT(1 + 預測IC!$C13:AR13) - 1</f>
        <v>0.59106159103291622</v>
      </c>
      <c r="AS13" s="7" cm="1">
        <f t="array" ref="AS13">PRODUCT(1 + 預測IC!$C13:AS13) - 1</f>
        <v>0.6567933070589731</v>
      </c>
      <c r="AT13" s="7" cm="1">
        <f t="array" ref="AT13">PRODUCT(1 + 預測IC!$C13:AT13) - 1</f>
        <v>0.72383228019914791</v>
      </c>
      <c r="AU13" s="7" cm="1">
        <f t="array" ref="AU13">PRODUCT(1 + 預測IC!$C13:AU13) - 1</f>
        <v>0.79446824973596342</v>
      </c>
      <c r="AV13" s="7" cm="1">
        <f t="array" ref="AV13">PRODUCT(1 + 預測IC!$C13:AV13) - 1</f>
        <v>0.77746481493304365</v>
      </c>
      <c r="AW13" s="7" cm="1">
        <f t="array" ref="AW13">PRODUCT(1 + 預測IC!$C13:AW13) - 1</f>
        <v>0.78471689552138768</v>
      </c>
      <c r="AX13" s="7" cm="1">
        <f t="array" ref="AX13">PRODUCT(1 + 預測IC!$C13:AX13) - 1</f>
        <v>0.76351273068722225</v>
      </c>
      <c r="AY13" s="7" cm="1">
        <f t="array" ref="AY13">PRODUCT(1 + 預測IC!$C13:AY13) - 1</f>
        <v>0.79448767907922213</v>
      </c>
      <c r="AZ13" s="7" cm="1">
        <f t="array" ref="AZ13">PRODUCT(1 + 預測IC!$C13:AZ13) - 1</f>
        <v>0.77994610654738605</v>
      </c>
      <c r="BA13" s="7" cm="1">
        <f t="array" ref="BA13">PRODUCT(1 + 預測IC!$C13:BA13) - 1</f>
        <v>0.79158862297424393</v>
      </c>
      <c r="BB13" s="7" cm="1">
        <f t="array" ref="BB13">PRODUCT(1 + 預測IC!$C13:BB13) - 1</f>
        <v>0.86840365612849046</v>
      </c>
      <c r="BC13" s="7" cm="1">
        <f t="array" ref="BC13">PRODUCT(1 + 預測IC!$C13:BC13) - 1</f>
        <v>0.88948628785481421</v>
      </c>
      <c r="BD13" s="7" cm="1">
        <f t="array" ref="BD13">PRODUCT(1 + 預測IC!$C13:BD13) - 1</f>
        <v>0.89580553942649277</v>
      </c>
      <c r="BE13" s="7" cm="1">
        <f t="array" ref="BE13">PRODUCT(1 + 預測IC!$C13:BE13) - 1</f>
        <v>0.94773507755562547</v>
      </c>
      <c r="BF13" s="7" cm="1">
        <f t="array" ref="BF13">PRODUCT(1 + 預測IC!$C13:BF13) - 1</f>
        <v>1.1112073437887711</v>
      </c>
      <c r="BG13" s="7" cm="1">
        <f t="array" ref="BG13">PRODUCT(1 + 預測IC!$C13:BG13) - 1</f>
        <v>1.2095188010525222</v>
      </c>
      <c r="BH13" s="7" cm="1">
        <f t="array" ref="BH13">PRODUCT(1 + 預測IC!$C13:BH13) - 1</f>
        <v>1.2282460854239354</v>
      </c>
      <c r="BI13" s="7" cm="1">
        <f t="array" ref="BI13">PRODUCT(1 + 預測IC!$C13:BI13) - 1</f>
        <v>1.3450265296610446</v>
      </c>
      <c r="BJ13" s="7" cm="1">
        <f t="array" ref="BJ13">PRODUCT(1 + 預測IC!$C13:BJ13) - 1</f>
        <v>1.3055196660663926</v>
      </c>
      <c r="BK13" s="7" cm="1">
        <f t="array" ref="BK13">PRODUCT(1 + 預測IC!$C13:BK13) - 1</f>
        <v>1.2631187965270141</v>
      </c>
      <c r="BL13" s="7" cm="1">
        <f t="array" ref="BL13">PRODUCT(1 + 預測IC!$C13:BL13) - 1</f>
        <v>1.3354205994842681</v>
      </c>
      <c r="BM13" s="7" cm="1">
        <f t="array" ref="BM13">PRODUCT(1 + 預測IC!$C13:BM13) - 1</f>
        <v>1.3749326829153605</v>
      </c>
      <c r="BN13" s="7" cm="1">
        <f t="array" ref="BN13">PRODUCT(1 + 預測IC!$C13:BN13) - 1</f>
        <v>1.4011817258442449</v>
      </c>
      <c r="BO13" s="7" cm="1">
        <f t="array" ref="BO13">PRODUCT(1 + 預測IC!$C13:BO13) - 1</f>
        <v>1.4753271349815931</v>
      </c>
      <c r="BP13" s="7" cm="1">
        <f t="array" ref="BP13">PRODUCT(1 + 預測IC!$C13:BP13) - 1</f>
        <v>1.4986761425905879</v>
      </c>
      <c r="BQ13" s="7" cm="1">
        <f t="array" ref="BQ13">PRODUCT(1 + 預測IC!$C13:BQ13) - 1</f>
        <v>1.6027536593470297</v>
      </c>
      <c r="BR13" s="7" cm="1">
        <f t="array" ref="BR13">PRODUCT(1 + 預測IC!$C13:BR13) - 1</f>
        <v>1.5853635755420754</v>
      </c>
      <c r="BS13" s="7" cm="1">
        <f t="array" ref="BS13">PRODUCT(1 + 預測IC!$C13:BS13) - 1</f>
        <v>1.6045456077875393</v>
      </c>
      <c r="BT13" s="7" cm="1">
        <f t="array" ref="BT13">PRODUCT(1 + 預測IC!$C13:BT13) - 1</f>
        <v>1.7044130169281009</v>
      </c>
      <c r="BU13" s="7" cm="1">
        <f t="array" ref="BU13">PRODUCT(1 + 預測IC!$C13:BU13) - 1</f>
        <v>1.7522988548539109</v>
      </c>
      <c r="BV13" s="7" cm="1">
        <f t="array" ref="BV13">PRODUCT(1 + 預測IC!$C13:BV13) - 1</f>
        <v>1.8091437258849146</v>
      </c>
      <c r="BW13" s="7" cm="1">
        <f t="array" ref="BW13">PRODUCT(1 + 預測IC!$C13:BW13) - 1</f>
        <v>1.814096914318021</v>
      </c>
      <c r="BX13" s="7" cm="1">
        <f t="array" ref="BX13">PRODUCT(1 + 預測IC!$C13:BX13) - 1</f>
        <v>1.8734126390971708</v>
      </c>
      <c r="BY13" s="7" cm="1">
        <f t="array" ref="BY13">PRODUCT(1 + 預測IC!$C13:BY13) - 1</f>
        <v>1.8317125322071792</v>
      </c>
      <c r="BZ13" s="7" cm="1">
        <f t="array" ref="BZ13">PRODUCT(1 + 預測IC!$C13:BZ13) - 1</f>
        <v>2.0473138094522243</v>
      </c>
      <c r="CA13" s="7" cm="1">
        <f t="array" ref="CA13">PRODUCT(1 + 預測IC!$C13:CA13) - 1</f>
        <v>2.1204879619008374</v>
      </c>
      <c r="CB13" s="7" cm="1">
        <f t="array" ref="CB13">PRODUCT(1 + 預測IC!$C13:CB13) - 1</f>
        <v>2.0999057640060044</v>
      </c>
      <c r="CC13" s="7" cm="1">
        <f t="array" ref="CC13">PRODUCT(1 + 預測IC!$C13:CC13) - 1</f>
        <v>2.061061117009809</v>
      </c>
      <c r="CD13" s="7" cm="1">
        <f t="array" ref="CD13">PRODUCT(1 + 預測IC!$C13:CD13) - 1</f>
        <v>2.3827352740251029</v>
      </c>
      <c r="CE13" s="7" cm="1">
        <f t="array" ref="CE13">PRODUCT(1 + 預測IC!$C13:CE13) - 1</f>
        <v>2.4139274229639129</v>
      </c>
      <c r="CF13" s="7" cm="1">
        <f t="array" ref="CF13">PRODUCT(1 + 預測IC!$C13:CF13) - 1</f>
        <v>2.5658958988497571</v>
      </c>
      <c r="CG13" s="7" cm="1">
        <f t="array" ref="CG13">PRODUCT(1 + 預測IC!$C13:CG13) - 1</f>
        <v>2.7101330466030698</v>
      </c>
      <c r="CH13" s="7" cm="1">
        <f t="array" ref="CH13">PRODUCT(1 + 預測IC!$C13:CH13) - 1</f>
        <v>2.9265622177039536</v>
      </c>
      <c r="CI13" s="7" cm="1">
        <f t="array" ref="CI13">PRODUCT(1 + 預測IC!$C13:CI13) - 1</f>
        <v>2.7229561878819886</v>
      </c>
      <c r="CJ13" s="7" cm="1">
        <f t="array" ref="CJ13">PRODUCT(1 + 預測IC!$C13:CJ13) - 1</f>
        <v>2.711392358446707</v>
      </c>
      <c r="CK13" s="7" cm="1">
        <f t="array" ref="CK13">PRODUCT(1 + 預測IC!$C13:CK13) - 1</f>
        <v>2.8303249258152863</v>
      </c>
      <c r="CL13" s="7" cm="1">
        <f t="array" ref="CL13">PRODUCT(1 + 預測IC!$C13:CL13) - 1</f>
        <v>3.1423177842880277</v>
      </c>
      <c r="CM13" s="7" cm="1">
        <f t="array" ref="CM13">PRODUCT(1 + 預測IC!$C13:CM13) - 1</f>
        <v>3.0996651509665893</v>
      </c>
      <c r="CN13" s="7" cm="1">
        <f t="array" ref="CN13">PRODUCT(1 + 預測IC!$C13:CN13) - 1</f>
        <v>2.9894351336467802</v>
      </c>
      <c r="CO13" s="7" cm="1">
        <f t="array" ref="CO13">PRODUCT(1 + 預測IC!$C13:CO13) - 1</f>
        <v>2.9357474756450448</v>
      </c>
      <c r="CP13" s="7" cm="1">
        <f t="array" ref="CP13">PRODUCT(1 + 預測IC!$C13:CP13) - 1</f>
        <v>3.2101735305285999</v>
      </c>
      <c r="CQ13" s="7" cm="1">
        <f t="array" ref="CQ13">PRODUCT(1 + 預測IC!$C13:CQ13) - 1</f>
        <v>3.3709387971090248</v>
      </c>
      <c r="CR13" s="7" cm="1">
        <f t="array" ref="CR13">PRODUCT(1 + 預測IC!$C13:CR13) - 1</f>
        <v>3.4071292131032127</v>
      </c>
      <c r="CS13" s="7" cm="1">
        <f t="array" ref="CS13">PRODUCT(1 + 預測IC!$C13:CS13) - 1</f>
        <v>3.4548718691403799</v>
      </c>
      <c r="CT13" s="7" cm="1">
        <f t="array" ref="CT13">PRODUCT(1 + 預測IC!$C13:CT13) - 1</f>
        <v>3.4908262459763924</v>
      </c>
      <c r="CU13" s="7" cm="1">
        <f t="array" ref="CU13">PRODUCT(1 + 預測IC!$C13:CU13) - 1</f>
        <v>3.657711646683083</v>
      </c>
      <c r="CV13" s="7" cm="1">
        <f t="array" ref="CV13">PRODUCT(1 + 預測IC!$C13:CV13) - 1</f>
        <v>3.6439559701774087</v>
      </c>
      <c r="CW13" s="7" cm="1">
        <f t="array" ref="CW13">PRODUCT(1 + 預測IC!$C13:CW13) - 1</f>
        <v>3.6717130383062075</v>
      </c>
      <c r="CX13" s="7" cm="1">
        <f t="array" ref="CX13">PRODUCT(1 + 預測IC!$C13:CX13) - 1</f>
        <v>3.9521711795431278</v>
      </c>
      <c r="CY13" s="7" cm="1">
        <f t="array" ref="CY13">PRODUCT(1 + 預測IC!$C13:CY13) - 1</f>
        <v>3.8872049328336455</v>
      </c>
      <c r="CZ13" s="7" cm="1">
        <f t="array" ref="CZ13">PRODUCT(1 + 預測IC!$C13:CZ13) - 1</f>
        <v>4.1668714248227579</v>
      </c>
      <c r="DA13" s="7" cm="1">
        <f t="array" ref="DA13">PRODUCT(1 + 預測IC!$C13:DA13) - 1</f>
        <v>4.1380212840692892</v>
      </c>
      <c r="DB13" s="7" cm="1">
        <f t="array" ref="DB13">PRODUCT(1 + 預測IC!$C13:DB13) - 1</f>
        <v>3.9234494500083068</v>
      </c>
      <c r="DC13" s="7" cm="1">
        <f t="array" ref="DC13">PRODUCT(1 + 預測IC!$C13:DC13) - 1</f>
        <v>4.0700479434554744</v>
      </c>
      <c r="DD13" s="7" cm="1">
        <f t="array" ref="DD13">PRODUCT(1 + 預測IC!$C13:DD13) - 1</f>
        <v>4.1242852913811427</v>
      </c>
      <c r="DE13" s="7" cm="1">
        <f t="array" ref="DE13">PRODUCT(1 + 預測IC!$C13:DE13) - 1</f>
        <v>4.1546669591755183</v>
      </c>
      <c r="DF13" s="7" cm="1">
        <f t="array" ref="DF13">PRODUCT(1 + 預測IC!$C13:DF13) - 1</f>
        <v>4.0076620596279282</v>
      </c>
      <c r="DG13" s="7" cm="1">
        <f t="array" ref="DG13">PRODUCT(1 + 預測IC!$C13:DG13) - 1</f>
        <v>3.9994962795709874</v>
      </c>
      <c r="DH13" s="7" cm="1">
        <f t="array" ref="DH13">PRODUCT(1 + 預測IC!$C13:DH13) - 1</f>
        <v>4.0559694290715189</v>
      </c>
      <c r="DI13" s="7" cm="1">
        <f t="array" ref="DI13">PRODUCT(1 + 預測IC!$C13:DI13) - 1</f>
        <v>3.8235109957531792</v>
      </c>
      <c r="DJ13" s="7" cm="1">
        <f t="array" ref="DJ13">PRODUCT(1 + 預測IC!$C13:DJ13) - 1</f>
        <v>3.8074402331861403</v>
      </c>
      <c r="DK13" s="7" cm="1">
        <f t="array" ref="DK13">PRODUCT(1 + 預測IC!$C13:DK13) - 1</f>
        <v>3.8670961158413633</v>
      </c>
      <c r="DL13" s="7" cm="1">
        <f t="array" ref="DL13">PRODUCT(1 + 預測IC!$C13:DL13) - 1</f>
        <v>3.7877612494562296</v>
      </c>
      <c r="DM13" s="7" cm="1">
        <f t="array" ref="DM13">PRODUCT(1 + 預測IC!$C13:DM13) - 1</f>
        <v>3.7558801742608861</v>
      </c>
      <c r="DN13" s="7" cm="1">
        <f t="array" ref="DN13">PRODUCT(1 + 預測IC!$C13:DN13) - 1</f>
        <v>3.8105707889149345</v>
      </c>
      <c r="DO13" s="7" cm="1">
        <f t="array" ref="DO13">PRODUCT(1 + 預測IC!$C13:DO13) - 1</f>
        <v>4.0361452476002446</v>
      </c>
      <c r="DP13" s="7" cm="1">
        <f t="array" ref="DP13">PRODUCT(1 + 預測IC!$C13:DP13) - 1</f>
        <v>4.2818418319141998</v>
      </c>
      <c r="DQ13" s="7" cm="1">
        <f t="array" ref="DQ13">PRODUCT(1 + 預測IC!$C13:DQ13) - 1</f>
        <v>4.1422423222643117</v>
      </c>
      <c r="DR13" s="7" cm="1">
        <f t="array" ref="DR13">PRODUCT(1 + 預測IC!$C13:DR13) - 1</f>
        <v>4.2130572174131524</v>
      </c>
      <c r="DS13" s="7" cm="1">
        <f t="array" ref="DS13">PRODUCT(1 + 預測IC!$C13:DS13) - 1</f>
        <v>4.010333788435485</v>
      </c>
      <c r="DT13" s="7" cm="1">
        <f t="array" ref="DT13">PRODUCT(1 + 預測IC!$C13:DT13) - 1</f>
        <v>3.8328361952970829</v>
      </c>
      <c r="DU13" s="7" cm="1">
        <f t="array" ref="DU13">PRODUCT(1 + 預測IC!$C13:DU13) - 1</f>
        <v>3.9232351871616302</v>
      </c>
      <c r="DV13" s="7" cm="1">
        <f t="array" ref="DV13">PRODUCT(1 + 預測IC!$C13:DV13) - 1</f>
        <v>4.3152238818283921</v>
      </c>
      <c r="DW13" s="7" cm="1">
        <f t="array" ref="DW13">PRODUCT(1 + 預測IC!$C13:DW13) - 1</f>
        <v>4.5513143780177678</v>
      </c>
      <c r="DX13" s="7" cm="1">
        <f t="array" ref="DX13">PRODUCT(1 + 預測IC!$C13:DX13) - 1</f>
        <v>4.1931248132453636</v>
      </c>
      <c r="DY13" s="7" cm="1">
        <f t="array" ref="DY13">PRODUCT(1 + 預測IC!$C13:DY13) - 1</f>
        <v>4.3768889597797944</v>
      </c>
      <c r="DZ13" s="7" cm="1">
        <f t="array" ref="DZ13">PRODUCT(1 + 預測IC!$C13:DZ13) - 1</f>
        <v>4.2983389864479991</v>
      </c>
      <c r="EA13" s="7" cm="1">
        <f t="array" ref="EA13">PRODUCT(1 + 預測IC!$C13:EA13) - 1</f>
        <v>4.6864045349761465</v>
      </c>
      <c r="EB13" s="7" cm="1">
        <f t="array" ref="EB13">PRODUCT(1 + 預測IC!$C13:EB13) - 1</f>
        <v>4.807941299872172</v>
      </c>
      <c r="EC13" s="7" cm="1">
        <f t="array" ref="EC13">PRODUCT(1 + 預測IC!$C13:EC13) - 1</f>
        <v>5.0498987023911299</v>
      </c>
      <c r="ED13" s="7" cm="1">
        <f t="array" ref="ED13">PRODUCT(1 + 預測IC!$C13:ED13) - 1</f>
        <v>4.6525286891917919</v>
      </c>
      <c r="EE13" s="7" cm="1">
        <f t="array" ref="EE13">PRODUCT(1 + 預測IC!$C13:EE13) - 1</f>
        <v>4.6974809525277612</v>
      </c>
      <c r="EF13" s="7" cm="1">
        <f t="array" ref="EF13">PRODUCT(1 + 預測IC!$C13:EF13) - 1</f>
        <v>5.0768033689339616</v>
      </c>
    </row>
    <row r="14" spans="1:137" x14ac:dyDescent="0.3">
      <c r="A14" s="1">
        <v>19</v>
      </c>
      <c r="B14" s="1" t="s">
        <v>172</v>
      </c>
      <c r="C14" s="7" cm="1">
        <f t="array" ref="C14">PRODUCT(1 + 預測IC!$C14:C14) - 1</f>
        <v>-3.7017512404591946E-2</v>
      </c>
      <c r="D14" s="7" cm="1">
        <f t="array" ref="D14">PRODUCT(1 + 預測IC!$C14:D14) - 1</f>
        <v>0.17706163038453582</v>
      </c>
      <c r="E14" s="7" cm="1">
        <f t="array" ref="E14">PRODUCT(1 + 預測IC!$C14:E14) - 1</f>
        <v>0.12112066611681649</v>
      </c>
      <c r="F14" s="7" cm="1">
        <f t="array" ref="F14">PRODUCT(1 + 預測IC!$C14:F14) - 1</f>
        <v>0.159846936551582</v>
      </c>
      <c r="G14" s="7" cm="1">
        <f t="array" ref="G14">PRODUCT(1 + 預測IC!$C14:G14) - 1</f>
        <v>0.11227011206386139</v>
      </c>
      <c r="H14" s="7" cm="1">
        <f t="array" ref="H14">PRODUCT(1 + 預測IC!$C14:H14) - 1</f>
        <v>0.17854784820544789</v>
      </c>
      <c r="I14" s="7" cm="1">
        <f t="array" ref="I14">PRODUCT(1 + 預測IC!$C14:I14) - 1</f>
        <v>0.2694315212433771</v>
      </c>
      <c r="J14" s="7" cm="1">
        <f t="array" ref="J14">PRODUCT(1 + 預測IC!$C14:J14) - 1</f>
        <v>0.13602139395566404</v>
      </c>
      <c r="K14" s="7" cm="1">
        <f t="array" ref="K14">PRODUCT(1 + 預測IC!$C14:K14) - 1</f>
        <v>-1.6408484076739005E-2</v>
      </c>
      <c r="L14" s="7" cm="1">
        <f t="array" ref="L14">PRODUCT(1 + 預測IC!$C14:L14) - 1</f>
        <v>-1.1640822046903421E-2</v>
      </c>
      <c r="M14" s="7" cm="1">
        <f t="array" ref="M14">PRODUCT(1 + 預測IC!$C14:M14) - 1</f>
        <v>-8.670822663488309E-2</v>
      </c>
      <c r="N14" s="7" cm="1">
        <f t="array" ref="N14">PRODUCT(1 + 預測IC!$C14:N14) - 1</f>
        <v>0.10036367915879074</v>
      </c>
      <c r="O14" s="7" cm="1">
        <f t="array" ref="O14">PRODUCT(1 + 預測IC!$C14:O14) - 1</f>
        <v>0.14398463511652992</v>
      </c>
      <c r="P14" s="7" cm="1">
        <f t="array" ref="P14">PRODUCT(1 + 預測IC!$C14:P14) - 1</f>
        <v>0.19864395132555113</v>
      </c>
      <c r="Q14" s="7" cm="1">
        <f t="array" ref="Q14">PRODUCT(1 + 預測IC!$C14:Q14) - 1</f>
        <v>0.26845051322142743</v>
      </c>
      <c r="R14" s="7" cm="1">
        <f t="array" ref="R14">PRODUCT(1 + 預測IC!$C14:R14) - 1</f>
        <v>0.2504996599346796</v>
      </c>
      <c r="S14" s="7" cm="1">
        <f t="array" ref="S14">PRODUCT(1 + 預測IC!$C14:S14) - 1</f>
        <v>0.29868653828785385</v>
      </c>
      <c r="T14" s="7" cm="1">
        <f t="array" ref="T14">PRODUCT(1 + 預測IC!$C14:T14) - 1</f>
        <v>0.27614039033869764</v>
      </c>
      <c r="U14" s="7" cm="1">
        <f t="array" ref="U14">PRODUCT(1 + 預測IC!$C14:U14) - 1</f>
        <v>0.32282049496221954</v>
      </c>
      <c r="V14" s="7" cm="1">
        <f t="array" ref="V14">PRODUCT(1 + 預測IC!$C14:V14) - 1</f>
        <v>0.27205653585816214</v>
      </c>
      <c r="W14" s="7" cm="1">
        <f t="array" ref="W14">PRODUCT(1 + 預測IC!$C14:W14) - 1</f>
        <v>0.41982598894739143</v>
      </c>
      <c r="X14" s="7" cm="1">
        <f t="array" ref="X14">PRODUCT(1 + 預測IC!$C14:X14) - 1</f>
        <v>0.49590269122803243</v>
      </c>
      <c r="Y14" s="7" cm="1">
        <f t="array" ref="Y14">PRODUCT(1 + 預測IC!$C14:Y14) - 1</f>
        <v>0.47082737800061114</v>
      </c>
      <c r="Z14" s="7" cm="1">
        <f t="array" ref="Z14">PRODUCT(1 + 預測IC!$C14:Z14) - 1</f>
        <v>0.50208569722634144</v>
      </c>
      <c r="AA14" s="7" cm="1">
        <f t="array" ref="AA14">PRODUCT(1 + 預測IC!$C14:AA14) - 1</f>
        <v>0.44282814564158346</v>
      </c>
      <c r="AB14" s="7" cm="1">
        <f t="array" ref="AB14">PRODUCT(1 + 預測IC!$C14:AB14) - 1</f>
        <v>0.33464068865178054</v>
      </c>
      <c r="AC14" s="7" cm="1">
        <f t="array" ref="AC14">PRODUCT(1 + 預測IC!$C14:AC14) - 1</f>
        <v>0.29554628180286291</v>
      </c>
      <c r="AD14" s="7" cm="1">
        <f t="array" ref="AD14">PRODUCT(1 + 預測IC!$C14:AD14) - 1</f>
        <v>0.31228487788352344</v>
      </c>
      <c r="AE14" s="7" cm="1">
        <f t="array" ref="AE14">PRODUCT(1 + 預測IC!$C14:AE14) - 1</f>
        <v>0.30701092723423451</v>
      </c>
      <c r="AF14" s="7" cm="1">
        <f t="array" ref="AF14">PRODUCT(1 + 預測IC!$C14:AF14) - 1</f>
        <v>0.25418062732483415</v>
      </c>
      <c r="AG14" s="7" cm="1">
        <f t="array" ref="AG14">PRODUCT(1 + 預測IC!$C14:AG14) - 1</f>
        <v>0.26219509364117033</v>
      </c>
      <c r="AH14" s="7" cm="1">
        <f t="array" ref="AH14">PRODUCT(1 + 預測IC!$C14:AH14) - 1</f>
        <v>0.25556821859703316</v>
      </c>
      <c r="AI14" s="7" cm="1">
        <f t="array" ref="AI14">PRODUCT(1 + 預測IC!$C14:AI14) - 1</f>
        <v>0.26933498507663356</v>
      </c>
      <c r="AJ14" s="7" cm="1">
        <f t="array" ref="AJ14">PRODUCT(1 + 預測IC!$C14:AJ14) - 1</f>
        <v>0.391565567900233</v>
      </c>
      <c r="AK14" s="7" cm="1">
        <f t="array" ref="AK14">PRODUCT(1 + 預測IC!$C14:AK14) - 1</f>
        <v>0.37554939557183609</v>
      </c>
      <c r="AL14" s="7" cm="1">
        <f t="array" ref="AL14">PRODUCT(1 + 預測IC!$C14:AL14) - 1</f>
        <v>0.4277778915449193</v>
      </c>
      <c r="AM14" s="7" cm="1">
        <f t="array" ref="AM14">PRODUCT(1 + 預測IC!$C14:AM14) - 1</f>
        <v>0.51521810273063617</v>
      </c>
      <c r="AN14" s="7" cm="1">
        <f t="array" ref="AN14">PRODUCT(1 + 預測IC!$C14:AN14) - 1</f>
        <v>0.6646105266525435</v>
      </c>
      <c r="AO14" s="7" cm="1">
        <f t="array" ref="AO14">PRODUCT(1 + 預測IC!$C14:AO14) - 1</f>
        <v>0.76599480510346418</v>
      </c>
      <c r="AP14" s="7" cm="1">
        <f t="array" ref="AP14">PRODUCT(1 + 預測IC!$C14:AP14) - 1</f>
        <v>0.77845359565028671</v>
      </c>
      <c r="AQ14" s="7" cm="1">
        <f t="array" ref="AQ14">PRODUCT(1 + 預測IC!$C14:AQ14) - 1</f>
        <v>0.77779918210398424</v>
      </c>
      <c r="AR14" s="7" cm="1">
        <f t="array" ref="AR14">PRODUCT(1 + 預測IC!$C14:AR14) - 1</f>
        <v>0.84472592524295309</v>
      </c>
      <c r="AS14" s="7" cm="1">
        <f t="array" ref="AS14">PRODUCT(1 + 預測IC!$C14:AS14) - 1</f>
        <v>1.0022230646496419</v>
      </c>
      <c r="AT14" s="7" cm="1">
        <f t="array" ref="AT14">PRODUCT(1 + 預測IC!$C14:AT14) - 1</f>
        <v>1.071312934377409</v>
      </c>
      <c r="AU14" s="7" cm="1">
        <f t="array" ref="AU14">PRODUCT(1 + 預測IC!$C14:AU14) - 1</f>
        <v>1.1541481542250338</v>
      </c>
      <c r="AV14" s="7" cm="1">
        <f t="array" ref="AV14">PRODUCT(1 + 預測IC!$C14:AV14) - 1</f>
        <v>1.1139024510526094</v>
      </c>
      <c r="AW14" s="7" cm="1">
        <f t="array" ref="AW14">PRODUCT(1 + 預測IC!$C14:AW14) - 1</f>
        <v>1.0750850051336549</v>
      </c>
      <c r="AX14" s="7" cm="1">
        <f t="array" ref="AX14">PRODUCT(1 + 預測IC!$C14:AX14) - 1</f>
        <v>1.0767898701706451</v>
      </c>
      <c r="AY14" s="7" cm="1">
        <f t="array" ref="AY14">PRODUCT(1 + 預測IC!$C14:AY14) - 1</f>
        <v>1.1080831865983676</v>
      </c>
      <c r="AZ14" s="7" cm="1">
        <f t="array" ref="AZ14">PRODUCT(1 + 預測IC!$C14:AZ14) - 1</f>
        <v>0.99561996489746551</v>
      </c>
      <c r="BA14" s="7" cm="1">
        <f t="array" ref="BA14">PRODUCT(1 + 預測IC!$C14:BA14) - 1</f>
        <v>1.0307860725599034</v>
      </c>
      <c r="BB14" s="7" cm="1">
        <f t="array" ref="BB14">PRODUCT(1 + 預測IC!$C14:BB14) - 1</f>
        <v>1.1561551926483902</v>
      </c>
      <c r="BC14" s="7" cm="1">
        <f t="array" ref="BC14">PRODUCT(1 + 預測IC!$C14:BC14) - 1</f>
        <v>1.1349795947539745</v>
      </c>
      <c r="BD14" s="7" cm="1">
        <f t="array" ref="BD14">PRODUCT(1 + 預測IC!$C14:BD14) - 1</f>
        <v>1.2274835244998403</v>
      </c>
      <c r="BE14" s="7" cm="1">
        <f t="array" ref="BE14">PRODUCT(1 + 預測IC!$C14:BE14) - 1</f>
        <v>1.325018484883882</v>
      </c>
      <c r="BF14" s="7" cm="1">
        <f t="array" ref="BF14">PRODUCT(1 + 預測IC!$C14:BF14) - 1</f>
        <v>1.4198107011159671</v>
      </c>
      <c r="BG14" s="7" cm="1">
        <f t="array" ref="BG14">PRODUCT(1 + 預測IC!$C14:BG14) - 1</f>
        <v>1.5199285880728675</v>
      </c>
      <c r="BH14" s="7" cm="1">
        <f t="array" ref="BH14">PRODUCT(1 + 預測IC!$C14:BH14) - 1</f>
        <v>1.5333919505692699</v>
      </c>
      <c r="BI14" s="7" cm="1">
        <f t="array" ref="BI14">PRODUCT(1 + 預測IC!$C14:BI14) - 1</f>
        <v>1.6605307649445642</v>
      </c>
      <c r="BJ14" s="7" cm="1">
        <f t="array" ref="BJ14">PRODUCT(1 + 預測IC!$C14:BJ14) - 1</f>
        <v>1.6072743255384716</v>
      </c>
      <c r="BK14" s="7" cm="1">
        <f t="array" ref="BK14">PRODUCT(1 + 預測IC!$C14:BK14) - 1</f>
        <v>1.5926898804595471</v>
      </c>
      <c r="BL14" s="7" cm="1">
        <f t="array" ref="BL14">PRODUCT(1 + 預測IC!$C14:BL14) - 1</f>
        <v>1.7475713840330127</v>
      </c>
      <c r="BM14" s="7" cm="1">
        <f t="array" ref="BM14">PRODUCT(1 + 預測IC!$C14:BM14) - 1</f>
        <v>1.855433385151017</v>
      </c>
      <c r="BN14" s="7" cm="1">
        <f t="array" ref="BN14">PRODUCT(1 + 預測IC!$C14:BN14) - 1</f>
        <v>1.9152162749328658</v>
      </c>
      <c r="BO14" s="7" cm="1">
        <f t="array" ref="BO14">PRODUCT(1 + 預測IC!$C14:BO14) - 1</f>
        <v>2.013193911876189</v>
      </c>
      <c r="BP14" s="7" cm="1">
        <f t="array" ref="BP14">PRODUCT(1 + 預測IC!$C14:BP14) - 1</f>
        <v>2.060421910213543</v>
      </c>
      <c r="BQ14" s="7" cm="1">
        <f t="array" ref="BQ14">PRODUCT(1 + 預測IC!$C14:BQ14) - 1</f>
        <v>2.1089097778001316</v>
      </c>
      <c r="BR14" s="7" cm="1">
        <f t="array" ref="BR14">PRODUCT(1 + 預測IC!$C14:BR14) - 1</f>
        <v>2.022079701237796</v>
      </c>
      <c r="BS14" s="7" cm="1">
        <f t="array" ref="BS14">PRODUCT(1 + 預測IC!$C14:BS14) - 1</f>
        <v>1.8966816616712956</v>
      </c>
      <c r="BT14" s="7" cm="1">
        <f t="array" ref="BT14">PRODUCT(1 + 預測IC!$C14:BT14) - 1</f>
        <v>2.1110736523968567</v>
      </c>
      <c r="BU14" s="7" cm="1">
        <f t="array" ref="BU14">PRODUCT(1 + 預測IC!$C14:BU14) - 1</f>
        <v>2.0835256074181747</v>
      </c>
      <c r="BV14" s="7" cm="1">
        <f t="array" ref="BV14">PRODUCT(1 + 預測IC!$C14:BV14) - 1</f>
        <v>2.1628560319725367</v>
      </c>
      <c r="BW14" s="7" cm="1">
        <f t="array" ref="BW14">PRODUCT(1 + 預測IC!$C14:BW14) - 1</f>
        <v>2.2024168715666663</v>
      </c>
      <c r="BX14" s="7" cm="1">
        <f t="array" ref="BX14">PRODUCT(1 + 預測IC!$C14:BX14) - 1</f>
        <v>2.3784561612240531</v>
      </c>
      <c r="BY14" s="7" cm="1">
        <f t="array" ref="BY14">PRODUCT(1 + 預測IC!$C14:BY14) - 1</f>
        <v>2.3561708732639457</v>
      </c>
      <c r="BZ14" s="7" cm="1">
        <f t="array" ref="BZ14">PRODUCT(1 + 預測IC!$C14:BZ14) - 1</f>
        <v>2.5576554261965772</v>
      </c>
      <c r="CA14" s="7" cm="1">
        <f t="array" ref="CA14">PRODUCT(1 + 預測IC!$C14:CA14) - 1</f>
        <v>2.6766773514368167</v>
      </c>
      <c r="CB14" s="7" cm="1">
        <f t="array" ref="CB14">PRODUCT(1 + 預測IC!$C14:CB14) - 1</f>
        <v>2.7580334580187098</v>
      </c>
      <c r="CC14" s="7" cm="1">
        <f t="array" ref="CC14">PRODUCT(1 + 預測IC!$C14:CC14) - 1</f>
        <v>2.709952874363414</v>
      </c>
      <c r="CD14" s="7" cm="1">
        <f t="array" ref="CD14">PRODUCT(1 + 預測IC!$C14:CD14) - 1</f>
        <v>3.0735902491120166</v>
      </c>
      <c r="CE14" s="7" cm="1">
        <f t="array" ref="CE14">PRODUCT(1 + 預測IC!$C14:CE14) - 1</f>
        <v>2.7796533413233302</v>
      </c>
      <c r="CF14" s="7" cm="1">
        <f t="array" ref="CF14">PRODUCT(1 + 預測IC!$C14:CF14) - 1</f>
        <v>3.1286313168970405</v>
      </c>
      <c r="CG14" s="7" cm="1">
        <f t="array" ref="CG14">PRODUCT(1 + 預測IC!$C14:CG14) - 1</f>
        <v>3.3477255118139029</v>
      </c>
      <c r="CH14" s="7" cm="1">
        <f t="array" ref="CH14">PRODUCT(1 + 預測IC!$C14:CH14) - 1</f>
        <v>3.6288554966513136</v>
      </c>
      <c r="CI14" s="7" cm="1">
        <f t="array" ref="CI14">PRODUCT(1 + 預測IC!$C14:CI14) - 1</f>
        <v>3.1387301629412301</v>
      </c>
      <c r="CJ14" s="7" cm="1">
        <f t="array" ref="CJ14">PRODUCT(1 + 預測IC!$C14:CJ14) - 1</f>
        <v>3.0200816469769514</v>
      </c>
      <c r="CK14" s="7" cm="1">
        <f t="array" ref="CK14">PRODUCT(1 + 預測IC!$C14:CK14) - 1</f>
        <v>3.0764285762211294</v>
      </c>
      <c r="CL14" s="7" cm="1">
        <f t="array" ref="CL14">PRODUCT(1 + 預測IC!$C14:CL14) - 1</f>
        <v>3.3302675997292193</v>
      </c>
      <c r="CM14" s="7" cm="1">
        <f t="array" ref="CM14">PRODUCT(1 + 預測IC!$C14:CM14) - 1</f>
        <v>3.4690094185221314</v>
      </c>
      <c r="CN14" s="7" cm="1">
        <f t="array" ref="CN14">PRODUCT(1 + 預測IC!$C14:CN14) - 1</f>
        <v>3.3661029299743861</v>
      </c>
      <c r="CO14" s="7" cm="1">
        <f t="array" ref="CO14">PRODUCT(1 + 預測IC!$C14:CO14) - 1</f>
        <v>3.0448113699024404</v>
      </c>
      <c r="CP14" s="7" cm="1">
        <f t="array" ref="CP14">PRODUCT(1 + 預測IC!$C14:CP14) - 1</f>
        <v>3.4485212887021959</v>
      </c>
      <c r="CQ14" s="7" cm="1">
        <f t="array" ref="CQ14">PRODUCT(1 + 預測IC!$C14:CQ14) - 1</f>
        <v>3.6852343490745136</v>
      </c>
      <c r="CR14" s="7" cm="1">
        <f t="array" ref="CR14">PRODUCT(1 + 預測IC!$C14:CR14) - 1</f>
        <v>3.9471817610999613</v>
      </c>
      <c r="CS14" s="7" cm="1">
        <f t="array" ref="CS14">PRODUCT(1 + 預測IC!$C14:CS14) - 1</f>
        <v>4.2391996538785728</v>
      </c>
      <c r="CT14" s="7" cm="1">
        <f t="array" ref="CT14">PRODUCT(1 + 預測IC!$C14:CT14) - 1</f>
        <v>4.3392713879318023</v>
      </c>
      <c r="CU14" s="7" cm="1">
        <f t="array" ref="CU14">PRODUCT(1 + 預測IC!$C14:CU14) - 1</f>
        <v>4.1047860580597018</v>
      </c>
      <c r="CV14" s="7" cm="1">
        <f t="array" ref="CV14">PRODUCT(1 + 預測IC!$C14:CV14) - 1</f>
        <v>4.220898067578065</v>
      </c>
      <c r="CW14" s="7" cm="1">
        <f t="array" ref="CW14">PRODUCT(1 + 預測IC!$C14:CW14) - 1</f>
        <v>4.2031554591416391</v>
      </c>
      <c r="CX14" s="7" cm="1">
        <f t="array" ref="CX14">PRODUCT(1 + 預測IC!$C14:CX14) - 1</f>
        <v>4.392026926662095</v>
      </c>
      <c r="CY14" s="7" cm="1">
        <f t="array" ref="CY14">PRODUCT(1 + 預測IC!$C14:CY14) - 1</f>
        <v>4.2369569756633521</v>
      </c>
      <c r="CZ14" s="7" cm="1">
        <f t="array" ref="CZ14">PRODUCT(1 + 預測IC!$C14:CZ14) - 1</f>
        <v>4.5724551006369936</v>
      </c>
      <c r="DA14" s="7" cm="1">
        <f t="array" ref="DA14">PRODUCT(1 + 預測IC!$C14:DA14) - 1</f>
        <v>4.4370205404810141</v>
      </c>
      <c r="DB14" s="7" cm="1">
        <f t="array" ref="DB14">PRODUCT(1 + 預測IC!$C14:DB14) - 1</f>
        <v>4.3089185016010436</v>
      </c>
      <c r="DC14" s="7" cm="1">
        <f t="array" ref="DC14">PRODUCT(1 + 預測IC!$C14:DC14) - 1</f>
        <v>4.4343820978497659</v>
      </c>
      <c r="DD14" s="7" cm="1">
        <f t="array" ref="DD14">PRODUCT(1 + 預測IC!$C14:DD14) - 1</f>
        <v>4.3433097348719345</v>
      </c>
      <c r="DE14" s="7" cm="1">
        <f t="array" ref="DE14">PRODUCT(1 + 預測IC!$C14:DE14) - 1</f>
        <v>4.3720797153815694</v>
      </c>
      <c r="DF14" s="7" cm="1">
        <f t="array" ref="DF14">PRODUCT(1 + 預測IC!$C14:DF14) - 1</f>
        <v>4.1794550377040425</v>
      </c>
      <c r="DG14" s="7" cm="1">
        <f t="array" ref="DG14">PRODUCT(1 + 預測IC!$C14:DG14) - 1</f>
        <v>4.2387419618797733</v>
      </c>
      <c r="DH14" s="7" cm="1">
        <f t="array" ref="DH14">PRODUCT(1 + 預測IC!$C14:DH14) - 1</f>
        <v>4.2637561021053605</v>
      </c>
      <c r="DI14" s="7" cm="1">
        <f t="array" ref="DI14">PRODUCT(1 + 預測IC!$C14:DI14) - 1</f>
        <v>3.9553114710424788</v>
      </c>
      <c r="DJ14" s="7" cm="1">
        <f t="array" ref="DJ14">PRODUCT(1 + 預測IC!$C14:DJ14) - 1</f>
        <v>3.9603843436474024</v>
      </c>
      <c r="DK14" s="7" cm="1">
        <f t="array" ref="DK14">PRODUCT(1 + 預測IC!$C14:DK14) - 1</f>
        <v>4.0549841465529335</v>
      </c>
      <c r="DL14" s="7" cm="1">
        <f t="array" ref="DL14">PRODUCT(1 + 預測IC!$C14:DL14) - 1</f>
        <v>3.9783244953130579</v>
      </c>
      <c r="DM14" s="7" cm="1">
        <f t="array" ref="DM14">PRODUCT(1 + 預測IC!$C14:DM14) - 1</f>
        <v>4.0057265329707725</v>
      </c>
      <c r="DN14" s="7" cm="1">
        <f t="array" ref="DN14">PRODUCT(1 + 預測IC!$C14:DN14) - 1</f>
        <v>4.2192833206264417</v>
      </c>
      <c r="DO14" s="7" cm="1">
        <f t="array" ref="DO14">PRODUCT(1 + 預測IC!$C14:DO14) - 1</f>
        <v>4.4352345353047884</v>
      </c>
      <c r="DP14" s="7" cm="1">
        <f t="array" ref="DP14">PRODUCT(1 + 預測IC!$C14:DP14) - 1</f>
        <v>4.6718831053092735</v>
      </c>
      <c r="DQ14" s="7" cm="1">
        <f t="array" ref="DQ14">PRODUCT(1 + 預測IC!$C14:DQ14) - 1</f>
        <v>4.1649990497861493</v>
      </c>
      <c r="DR14" s="7" cm="1">
        <f t="array" ref="DR14">PRODUCT(1 + 預測IC!$C14:DR14) - 1</f>
        <v>4.4367943127892353</v>
      </c>
      <c r="DS14" s="7" cm="1">
        <f t="array" ref="DS14">PRODUCT(1 + 預測IC!$C14:DS14) - 1</f>
        <v>4.2462623656832825</v>
      </c>
      <c r="DT14" s="7" cm="1">
        <f t="array" ref="DT14">PRODUCT(1 + 預測IC!$C14:DT14) - 1</f>
        <v>4.0127147473900839</v>
      </c>
      <c r="DU14" s="7" cm="1">
        <f t="array" ref="DU14">PRODUCT(1 + 預測IC!$C14:DU14) - 1</f>
        <v>3.7875689220694451</v>
      </c>
      <c r="DV14" s="7" cm="1">
        <f t="array" ref="DV14">PRODUCT(1 + 預測IC!$C14:DV14) - 1</f>
        <v>4.3058824060478509</v>
      </c>
      <c r="DW14" s="7" cm="1">
        <f t="array" ref="DW14">PRODUCT(1 + 預測IC!$C14:DW14) - 1</f>
        <v>4.8276860527413898</v>
      </c>
      <c r="DX14" s="7" cm="1">
        <f t="array" ref="DX14">PRODUCT(1 + 預測IC!$C14:DX14) - 1</f>
        <v>4.2336612394986135</v>
      </c>
      <c r="DY14" s="7" cm="1">
        <f t="array" ref="DY14">PRODUCT(1 + 預測IC!$C14:DY14) - 1</f>
        <v>4.4325250840305648</v>
      </c>
      <c r="DZ14" s="7" cm="1">
        <f t="array" ref="DZ14">PRODUCT(1 + 預測IC!$C14:DZ14) - 1</f>
        <v>4.3136528880999645</v>
      </c>
      <c r="EA14" s="7" cm="1">
        <f t="array" ref="EA14">PRODUCT(1 + 預測IC!$C14:EA14) - 1</f>
        <v>4.7286771597612125</v>
      </c>
      <c r="EB14" s="7" cm="1">
        <f t="array" ref="EB14">PRODUCT(1 + 預測IC!$C14:EB14) - 1</f>
        <v>4.9187393901851015</v>
      </c>
      <c r="EC14" s="7" cm="1">
        <f t="array" ref="EC14">PRODUCT(1 + 預測IC!$C14:EC14) - 1</f>
        <v>4.9547216687732449</v>
      </c>
      <c r="ED14" s="7" cm="1">
        <f t="array" ref="ED14">PRODUCT(1 + 預測IC!$C14:ED14) - 1</f>
        <v>4.343590315622361</v>
      </c>
      <c r="EE14" s="7" cm="1">
        <f t="array" ref="EE14">PRODUCT(1 + 預測IC!$C14:EE14) - 1</f>
        <v>4.4444086722220568</v>
      </c>
      <c r="EF14" s="7" cm="1">
        <f t="array" ref="EF14">PRODUCT(1 + 預測IC!$C14:EF14) - 1</f>
        <v>4.8252800146620194</v>
      </c>
    </row>
    <row r="15" spans="1:137" x14ac:dyDescent="0.3">
      <c r="A15" s="1">
        <v>10</v>
      </c>
      <c r="B15" s="1" t="s">
        <v>173</v>
      </c>
      <c r="C15" s="7" cm="1">
        <f t="array" ref="C15">PRODUCT(1 + 預測IC!$C15:C15) - 1</f>
        <v>-9.650314199451604E-2</v>
      </c>
      <c r="D15" s="7" cm="1">
        <f t="array" ref="D15">PRODUCT(1 + 預測IC!$C15:D15) - 1</f>
        <v>0.24023846325874021</v>
      </c>
      <c r="E15" s="7" cm="1">
        <f t="array" ref="E15">PRODUCT(1 + 預測IC!$C15:E15) - 1</f>
        <v>0.22758998273139364</v>
      </c>
      <c r="F15" s="7" cm="1">
        <f t="array" ref="F15">PRODUCT(1 + 預測IC!$C15:F15) - 1</f>
        <v>0.33844591622562148</v>
      </c>
      <c r="G15" s="7" cm="1">
        <f t="array" ref="G15">PRODUCT(1 + 預測IC!$C15:G15) - 1</f>
        <v>0.25728666667274225</v>
      </c>
      <c r="H15" s="7" cm="1">
        <f t="array" ref="H15">PRODUCT(1 + 預測IC!$C15:H15) - 1</f>
        <v>0.40670727076201096</v>
      </c>
      <c r="I15" s="7" cm="1">
        <f t="array" ref="I15">PRODUCT(1 + 預測IC!$C15:I15) - 1</f>
        <v>0.58497751230934503</v>
      </c>
      <c r="J15" s="7" cm="1">
        <f t="array" ref="J15">PRODUCT(1 + 預測IC!$C15:J15) - 1</f>
        <v>0.48270732949665329</v>
      </c>
      <c r="K15" s="7" cm="1">
        <f t="array" ref="K15">PRODUCT(1 + 預測IC!$C15:K15) - 1</f>
        <v>5.7771374357571625E-2</v>
      </c>
      <c r="L15" s="7" cm="1">
        <f t="array" ref="L15">PRODUCT(1 + 預測IC!$C15:L15) - 1</f>
        <v>9.2210829104714787E-2</v>
      </c>
      <c r="M15" s="7" cm="1">
        <f t="array" ref="M15">PRODUCT(1 + 預測IC!$C15:M15) - 1</f>
        <v>-0.11366222878951771</v>
      </c>
      <c r="N15" s="7" cm="1">
        <f t="array" ref="N15">PRODUCT(1 + 預測IC!$C15:N15) - 1</f>
        <v>0.17910341265724772</v>
      </c>
      <c r="O15" s="7" cm="1">
        <f t="array" ref="O15">PRODUCT(1 + 預測IC!$C15:O15) - 1</f>
        <v>0.23346419888742842</v>
      </c>
      <c r="P15" s="7" cm="1">
        <f t="array" ref="P15">PRODUCT(1 + 預測IC!$C15:P15) - 1</f>
        <v>0.29881718184471295</v>
      </c>
      <c r="Q15" s="7" cm="1">
        <f t="array" ref="Q15">PRODUCT(1 + 預測IC!$C15:Q15) - 1</f>
        <v>0.42918641051793993</v>
      </c>
      <c r="R15" s="7" cm="1">
        <f t="array" ref="R15">PRODUCT(1 + 預測IC!$C15:R15) - 1</f>
        <v>0.45313305236679047</v>
      </c>
      <c r="S15" s="7" cm="1">
        <f t="array" ref="S15">PRODUCT(1 + 預測IC!$C15:S15) - 1</f>
        <v>0.39059902082739928</v>
      </c>
      <c r="T15" s="7" cm="1">
        <f t="array" ref="T15">PRODUCT(1 + 預測IC!$C15:T15) - 1</f>
        <v>0.3219887109367634</v>
      </c>
      <c r="U15" s="7" cm="1">
        <f t="array" ref="U15">PRODUCT(1 + 預測IC!$C15:U15) - 1</f>
        <v>0.38384488417446083</v>
      </c>
      <c r="V15" s="7" cm="1">
        <f t="array" ref="V15">PRODUCT(1 + 預測IC!$C15:V15) - 1</f>
        <v>0.26527583411482558</v>
      </c>
      <c r="W15" s="7" cm="1">
        <f t="array" ref="W15">PRODUCT(1 + 預測IC!$C15:W15) - 1</f>
        <v>0.4005775425879774</v>
      </c>
      <c r="X15" s="7" cm="1">
        <f t="array" ref="X15">PRODUCT(1 + 預測IC!$C15:X15) - 1</f>
        <v>0.51043382038043528</v>
      </c>
      <c r="Y15" s="7" cm="1">
        <f t="array" ref="Y15">PRODUCT(1 + 預測IC!$C15:Y15) - 1</f>
        <v>0.47389851285853091</v>
      </c>
      <c r="Z15" s="7" cm="1">
        <f t="array" ref="Z15">PRODUCT(1 + 預測IC!$C15:Z15) - 1</f>
        <v>0.43903135253816195</v>
      </c>
      <c r="AA15" s="7" cm="1">
        <f t="array" ref="AA15">PRODUCT(1 + 預測IC!$C15:AA15) - 1</f>
        <v>0.36120688638359533</v>
      </c>
      <c r="AB15" s="7" cm="1">
        <f t="array" ref="AB15">PRODUCT(1 + 預測IC!$C15:AB15) - 1</f>
        <v>0.26048308725045621</v>
      </c>
      <c r="AC15" s="7" cm="1">
        <f t="array" ref="AC15">PRODUCT(1 + 預測IC!$C15:AC15) - 1</f>
        <v>0.20999427386969916</v>
      </c>
      <c r="AD15" s="7" cm="1">
        <f t="array" ref="AD15">PRODUCT(1 + 預測IC!$C15:AD15) - 1</f>
        <v>0.187081479834033</v>
      </c>
      <c r="AE15" s="7" cm="1">
        <f t="array" ref="AE15">PRODUCT(1 + 預測IC!$C15:AE15) - 1</f>
        <v>0.24321438003191953</v>
      </c>
      <c r="AF15" s="7" cm="1">
        <f t="array" ref="AF15">PRODUCT(1 + 預測IC!$C15:AF15) - 1</f>
        <v>0.16138649128747096</v>
      </c>
      <c r="AG15" s="7" cm="1">
        <f t="array" ref="AG15">PRODUCT(1 + 預測IC!$C15:AG15) - 1</f>
        <v>0.15006841920101821</v>
      </c>
      <c r="AH15" s="7" cm="1">
        <f t="array" ref="AH15">PRODUCT(1 + 預測IC!$C15:AH15) - 1</f>
        <v>0.18871574774672206</v>
      </c>
      <c r="AI15" s="7" cm="1">
        <f t="array" ref="AI15">PRODUCT(1 + 預測IC!$C15:AI15) - 1</f>
        <v>0.27700994004320312</v>
      </c>
      <c r="AJ15" s="7" cm="1">
        <f t="array" ref="AJ15">PRODUCT(1 + 預測IC!$C15:AJ15) - 1</f>
        <v>0.2823535046621537</v>
      </c>
      <c r="AK15" s="7" cm="1">
        <f t="array" ref="AK15">PRODUCT(1 + 預測IC!$C15:AK15) - 1</f>
        <v>0.23490730756082345</v>
      </c>
      <c r="AL15" s="7" cm="1">
        <f t="array" ref="AL15">PRODUCT(1 + 預測IC!$C15:AL15) - 1</f>
        <v>0.28977629226398105</v>
      </c>
      <c r="AM15" s="7" cm="1">
        <f t="array" ref="AM15">PRODUCT(1 + 預測IC!$C15:AM15) - 1</f>
        <v>0.36087214346064878</v>
      </c>
      <c r="AN15" s="7" cm="1">
        <f t="array" ref="AN15">PRODUCT(1 + 預測IC!$C15:AN15) - 1</f>
        <v>0.49925747064137349</v>
      </c>
      <c r="AO15" s="7" cm="1">
        <f t="array" ref="AO15">PRODUCT(1 + 預測IC!$C15:AO15) - 1</f>
        <v>0.5942651353903694</v>
      </c>
      <c r="AP15" s="7" cm="1">
        <f t="array" ref="AP15">PRODUCT(1 + 預測IC!$C15:AP15) - 1</f>
        <v>0.61432409156855594</v>
      </c>
      <c r="AQ15" s="7" cm="1">
        <f t="array" ref="AQ15">PRODUCT(1 + 預測IC!$C15:AQ15) - 1</f>
        <v>0.55400143854887984</v>
      </c>
      <c r="AR15" s="7" cm="1">
        <f t="array" ref="AR15">PRODUCT(1 + 預測IC!$C15:AR15) - 1</f>
        <v>0.69431821985057907</v>
      </c>
      <c r="AS15" s="7" cm="1">
        <f t="array" ref="AS15">PRODUCT(1 + 預測IC!$C15:AS15) - 1</f>
        <v>0.78550842410700117</v>
      </c>
      <c r="AT15" s="7" cm="1">
        <f t="array" ref="AT15">PRODUCT(1 + 預測IC!$C15:AT15) - 1</f>
        <v>0.90202175963193576</v>
      </c>
      <c r="AU15" s="7" cm="1">
        <f t="array" ref="AU15">PRODUCT(1 + 預測IC!$C15:AU15) - 1</f>
        <v>0.97799471137476024</v>
      </c>
      <c r="AV15" s="7" cm="1">
        <f t="array" ref="AV15">PRODUCT(1 + 預測IC!$C15:AV15) - 1</f>
        <v>0.88458031448802954</v>
      </c>
      <c r="AW15" s="7" cm="1">
        <f t="array" ref="AW15">PRODUCT(1 + 預測IC!$C15:AW15) - 1</f>
        <v>0.91409272773329109</v>
      </c>
      <c r="AX15" s="7" cm="1">
        <f t="array" ref="AX15">PRODUCT(1 + 預測IC!$C15:AX15) - 1</f>
        <v>0.92205476338742431</v>
      </c>
      <c r="AY15" s="7" cm="1">
        <f t="array" ref="AY15">PRODUCT(1 + 預測IC!$C15:AY15) - 1</f>
        <v>0.97590509491624422</v>
      </c>
      <c r="AZ15" s="7" cm="1">
        <f t="array" ref="AZ15">PRODUCT(1 + 預測IC!$C15:AZ15) - 1</f>
        <v>0.79545896054442489</v>
      </c>
      <c r="BA15" s="7" cm="1">
        <f t="array" ref="BA15">PRODUCT(1 + 預測IC!$C15:BA15) - 1</f>
        <v>0.81451509080869622</v>
      </c>
      <c r="BB15" s="7" cm="1">
        <f t="array" ref="BB15">PRODUCT(1 + 預測IC!$C15:BB15) - 1</f>
        <v>1.0190560614180919</v>
      </c>
      <c r="BC15" s="7" cm="1">
        <f t="array" ref="BC15">PRODUCT(1 + 預測IC!$C15:BC15) - 1</f>
        <v>1.1445507809889368</v>
      </c>
      <c r="BD15" s="7" cm="1">
        <f t="array" ref="BD15">PRODUCT(1 + 預測IC!$C15:BD15) - 1</f>
        <v>1.2583047754676775</v>
      </c>
      <c r="BE15" s="7" cm="1">
        <f t="array" ref="BE15">PRODUCT(1 + 預測IC!$C15:BE15) - 1</f>
        <v>1.3677032036785146</v>
      </c>
      <c r="BF15" s="7" cm="1">
        <f t="array" ref="BF15">PRODUCT(1 + 預測IC!$C15:BF15) - 1</f>
        <v>1.4805549928351303</v>
      </c>
      <c r="BG15" s="7" cm="1">
        <f t="array" ref="BG15">PRODUCT(1 + 預測IC!$C15:BG15) - 1</f>
        <v>1.4867304305730125</v>
      </c>
      <c r="BH15" s="7" cm="1">
        <f t="array" ref="BH15">PRODUCT(1 + 預測IC!$C15:BH15) - 1</f>
        <v>1.5723780158174234</v>
      </c>
      <c r="BI15" s="7" cm="1">
        <f t="array" ref="BI15">PRODUCT(1 + 預測IC!$C15:BI15) - 1</f>
        <v>1.7488088299031346</v>
      </c>
      <c r="BJ15" s="7" cm="1">
        <f t="array" ref="BJ15">PRODUCT(1 + 預測IC!$C15:BJ15) - 1</f>
        <v>1.7178434239760669</v>
      </c>
      <c r="BK15" s="7" cm="1">
        <f t="array" ref="BK15">PRODUCT(1 + 預測IC!$C15:BK15) - 1</f>
        <v>1.720082253660109</v>
      </c>
      <c r="BL15" s="7" cm="1">
        <f t="array" ref="BL15">PRODUCT(1 + 預測IC!$C15:BL15) - 1</f>
        <v>1.8816656698944194</v>
      </c>
      <c r="BM15" s="7" cm="1">
        <f t="array" ref="BM15">PRODUCT(1 + 預測IC!$C15:BM15) - 1</f>
        <v>2.0742324635237503</v>
      </c>
      <c r="BN15" s="7" cm="1">
        <f t="array" ref="BN15">PRODUCT(1 + 預測IC!$C15:BN15) - 1</f>
        <v>2.1976400545667887</v>
      </c>
      <c r="BO15" s="7" cm="1">
        <f t="array" ref="BO15">PRODUCT(1 + 預測IC!$C15:BO15) - 1</f>
        <v>2.2863249257726954</v>
      </c>
      <c r="BP15" s="7" cm="1">
        <f t="array" ref="BP15">PRODUCT(1 + 預測IC!$C15:BP15) - 1</f>
        <v>2.3329388838374152</v>
      </c>
      <c r="BQ15" s="7" cm="1">
        <f t="array" ref="BQ15">PRODUCT(1 + 預測IC!$C15:BQ15) - 1</f>
        <v>2.3756102713620471</v>
      </c>
      <c r="BR15" s="7" cm="1">
        <f t="array" ref="BR15">PRODUCT(1 + 預測IC!$C15:BR15) - 1</f>
        <v>2.2062983384325086</v>
      </c>
      <c r="BS15" s="7" cm="1">
        <f t="array" ref="BS15">PRODUCT(1 + 預測IC!$C15:BS15) - 1</f>
        <v>2.1523562887474972</v>
      </c>
      <c r="BT15" s="7" cm="1">
        <f t="array" ref="BT15">PRODUCT(1 + 預測IC!$C15:BT15) - 1</f>
        <v>2.4331057883618148</v>
      </c>
      <c r="BU15" s="7" cm="1">
        <f t="array" ref="BU15">PRODUCT(1 + 預測IC!$C15:BU15) - 1</f>
        <v>2.4999703978993182</v>
      </c>
      <c r="BV15" s="7" cm="1">
        <f t="array" ref="BV15">PRODUCT(1 + 預測IC!$C15:BV15) - 1</f>
        <v>2.7061710410264315</v>
      </c>
      <c r="BW15" s="7" cm="1">
        <f t="array" ref="BW15">PRODUCT(1 + 預測IC!$C15:BW15) - 1</f>
        <v>2.5729494239849173</v>
      </c>
      <c r="BX15" s="7" cm="1">
        <f t="array" ref="BX15">PRODUCT(1 + 預測IC!$C15:BX15) - 1</f>
        <v>2.6752640287653153</v>
      </c>
      <c r="BY15" s="7" cm="1">
        <f t="array" ref="BY15">PRODUCT(1 + 預測IC!$C15:BY15) - 1</f>
        <v>2.44852195356497</v>
      </c>
      <c r="BZ15" s="7" cm="1">
        <f t="array" ref="BZ15">PRODUCT(1 + 預測IC!$C15:BZ15) - 1</f>
        <v>2.8033971709972048</v>
      </c>
      <c r="CA15" s="7" cm="1">
        <f t="array" ref="CA15">PRODUCT(1 + 預測IC!$C15:CA15) - 1</f>
        <v>2.9173621989155984</v>
      </c>
      <c r="CB15" s="7" cm="1">
        <f t="array" ref="CB15">PRODUCT(1 + 預測IC!$C15:CB15) - 1</f>
        <v>2.9763455063505986</v>
      </c>
      <c r="CC15" s="7" cm="1">
        <f t="array" ref="CC15">PRODUCT(1 + 預測IC!$C15:CC15) - 1</f>
        <v>2.3706754575673643</v>
      </c>
      <c r="CD15" s="7" cm="1">
        <f t="array" ref="CD15">PRODUCT(1 + 預測IC!$C15:CD15) - 1</f>
        <v>2.7756691381573058</v>
      </c>
      <c r="CE15" s="7" cm="1">
        <f t="array" ref="CE15">PRODUCT(1 + 預測IC!$C15:CE15) - 1</f>
        <v>2.3357411242352772</v>
      </c>
      <c r="CF15" s="7" cm="1">
        <f t="array" ref="CF15">PRODUCT(1 + 預測IC!$C15:CF15) - 1</f>
        <v>2.6504904832976997</v>
      </c>
      <c r="CG15" s="7" cm="1">
        <f t="array" ref="CG15">PRODUCT(1 + 預測IC!$C15:CG15) - 1</f>
        <v>2.6347974654944482</v>
      </c>
      <c r="CH15" s="7" cm="1">
        <f t="array" ref="CH15">PRODUCT(1 + 預測IC!$C15:CH15) - 1</f>
        <v>2.8633751872792352</v>
      </c>
      <c r="CI15" s="7" cm="1">
        <f t="array" ref="CI15">PRODUCT(1 + 預測IC!$C15:CI15) - 1</f>
        <v>2.7134823538682014</v>
      </c>
      <c r="CJ15" s="7" cm="1">
        <f t="array" ref="CJ15">PRODUCT(1 + 預測IC!$C15:CJ15) - 1</f>
        <v>2.3902446735883425</v>
      </c>
      <c r="CK15" s="7" cm="1">
        <f t="array" ref="CK15">PRODUCT(1 + 預測IC!$C15:CK15) - 1</f>
        <v>2.5823788090553612</v>
      </c>
      <c r="CL15" s="7" cm="1">
        <f t="array" ref="CL15">PRODUCT(1 + 預測IC!$C15:CL15) - 1</f>
        <v>2.6949442264098415</v>
      </c>
      <c r="CM15" s="7" cm="1">
        <f t="array" ref="CM15">PRODUCT(1 + 預測IC!$C15:CM15) - 1</f>
        <v>2.9707020380591946</v>
      </c>
      <c r="CN15" s="7" cm="1">
        <f t="array" ref="CN15">PRODUCT(1 + 預測IC!$C15:CN15) - 1</f>
        <v>2.8014146675646172</v>
      </c>
      <c r="CO15" s="7" cm="1">
        <f t="array" ref="CO15">PRODUCT(1 + 預測IC!$C15:CO15) - 1</f>
        <v>2.3093252456760878</v>
      </c>
      <c r="CP15" s="7" cm="1">
        <f t="array" ref="CP15">PRODUCT(1 + 預測IC!$C15:CP15) - 1</f>
        <v>2.7313828056027392</v>
      </c>
      <c r="CQ15" s="7" cm="1">
        <f t="array" ref="CQ15">PRODUCT(1 + 預測IC!$C15:CQ15) - 1</f>
        <v>2.8708544722793752</v>
      </c>
      <c r="CR15" s="7" cm="1">
        <f t="array" ref="CR15">PRODUCT(1 + 預測IC!$C15:CR15) - 1</f>
        <v>3.0575731515339708</v>
      </c>
      <c r="CS15" s="7" cm="1">
        <f t="array" ref="CS15">PRODUCT(1 + 預測IC!$C15:CS15) - 1</f>
        <v>3.3017788914426944</v>
      </c>
      <c r="CT15" s="7" cm="1">
        <f t="array" ref="CT15">PRODUCT(1 + 預測IC!$C15:CT15) - 1</f>
        <v>3.3335887179832957</v>
      </c>
      <c r="CU15" s="7" cm="1">
        <f t="array" ref="CU15">PRODUCT(1 + 預測IC!$C15:CU15) - 1</f>
        <v>3.0597983901593331</v>
      </c>
      <c r="CV15" s="7" cm="1">
        <f t="array" ref="CV15">PRODUCT(1 + 預測IC!$C15:CV15) - 1</f>
        <v>3.0348637299825851</v>
      </c>
      <c r="CW15" s="7" cm="1">
        <f t="array" ref="CW15">PRODUCT(1 + 預測IC!$C15:CW15) - 1</f>
        <v>2.9844898274393694</v>
      </c>
      <c r="CX15" s="7" cm="1">
        <f t="array" ref="CX15">PRODUCT(1 + 預測IC!$C15:CX15) - 1</f>
        <v>3.0802753971990056</v>
      </c>
      <c r="CY15" s="7" cm="1">
        <f t="array" ref="CY15">PRODUCT(1 + 預測IC!$C15:CY15) - 1</f>
        <v>2.90698335473733</v>
      </c>
      <c r="CZ15" s="7" cm="1">
        <f t="array" ref="CZ15">PRODUCT(1 + 預測IC!$C15:CZ15) - 1</f>
        <v>3.2191003306166426</v>
      </c>
      <c r="DA15" s="7" cm="1">
        <f t="array" ref="DA15">PRODUCT(1 + 預測IC!$C15:DA15) - 1</f>
        <v>3.1078180345835316</v>
      </c>
      <c r="DB15" s="7" cm="1">
        <f t="array" ref="DB15">PRODUCT(1 + 預測IC!$C15:DB15) - 1</f>
        <v>2.9836525871590833</v>
      </c>
      <c r="DC15" s="7" cm="1">
        <f t="array" ref="DC15">PRODUCT(1 + 預測IC!$C15:DC15) - 1</f>
        <v>3.12337979910032</v>
      </c>
      <c r="DD15" s="7" cm="1">
        <f t="array" ref="DD15">PRODUCT(1 + 預測IC!$C15:DD15) - 1</f>
        <v>2.9197108534900824</v>
      </c>
      <c r="DE15" s="7" cm="1">
        <f t="array" ref="DE15">PRODUCT(1 + 預測IC!$C15:DE15) - 1</f>
        <v>3.0175026014568553</v>
      </c>
      <c r="DF15" s="7" cm="1">
        <f t="array" ref="DF15">PRODUCT(1 + 預測IC!$C15:DF15) - 1</f>
        <v>2.8471954177181322</v>
      </c>
      <c r="DG15" s="7" cm="1">
        <f t="array" ref="DG15">PRODUCT(1 + 預測IC!$C15:DG15) - 1</f>
        <v>2.90950740938184</v>
      </c>
      <c r="DH15" s="7" cm="1">
        <f t="array" ref="DH15">PRODUCT(1 + 預測IC!$C15:DH15) - 1</f>
        <v>2.8363643920835373</v>
      </c>
      <c r="DI15" s="7" cm="1">
        <f t="array" ref="DI15">PRODUCT(1 + 預測IC!$C15:DI15) - 1</f>
        <v>2.791408151573207</v>
      </c>
      <c r="DJ15" s="7" cm="1">
        <f t="array" ref="DJ15">PRODUCT(1 + 預測IC!$C15:DJ15) - 1</f>
        <v>2.5948090302605928</v>
      </c>
      <c r="DK15" s="7" cm="1">
        <f t="array" ref="DK15">PRODUCT(1 + 預測IC!$C15:DK15) - 1</f>
        <v>2.9606701227620831</v>
      </c>
      <c r="DL15" s="7" cm="1">
        <f t="array" ref="DL15">PRODUCT(1 + 預測IC!$C15:DL15) - 1</f>
        <v>3.2087486528226004</v>
      </c>
      <c r="DM15" s="7" cm="1">
        <f t="array" ref="DM15">PRODUCT(1 + 預測IC!$C15:DM15) - 1</f>
        <v>3.108544463267636</v>
      </c>
      <c r="DN15" s="7" cm="1">
        <f t="array" ref="DN15">PRODUCT(1 + 預測IC!$C15:DN15) - 1</f>
        <v>3.2893060291606169</v>
      </c>
      <c r="DO15" s="7" cm="1">
        <f t="array" ref="DO15">PRODUCT(1 + 預測IC!$C15:DO15) - 1</f>
        <v>3.4878868604149638</v>
      </c>
      <c r="DP15" s="7" cm="1">
        <f t="array" ref="DP15">PRODUCT(1 + 預測IC!$C15:DP15) - 1</f>
        <v>3.5944095567857364</v>
      </c>
      <c r="DQ15" s="7" cm="1">
        <f t="array" ref="DQ15">PRODUCT(1 + 預測IC!$C15:DQ15) - 1</f>
        <v>3.1577527032685486</v>
      </c>
      <c r="DR15" s="7" cm="1">
        <f t="array" ref="DR15">PRODUCT(1 + 預測IC!$C15:DR15) - 1</f>
        <v>3.4488393258816448</v>
      </c>
      <c r="DS15" s="7" cm="1">
        <f t="array" ref="DS15">PRODUCT(1 + 預測IC!$C15:DS15) - 1</f>
        <v>3.1096513254589748</v>
      </c>
      <c r="DT15" s="7" cm="1">
        <f t="array" ref="DT15">PRODUCT(1 + 預測IC!$C15:DT15) - 1</f>
        <v>2.813083960718493</v>
      </c>
      <c r="DU15" s="7" cm="1">
        <f t="array" ref="DU15">PRODUCT(1 + 預測IC!$C15:DU15) - 1</f>
        <v>2.638556328282446</v>
      </c>
      <c r="DV15" s="7" cm="1">
        <f t="array" ref="DV15">PRODUCT(1 + 預測IC!$C15:DV15) - 1</f>
        <v>3.1471113679232934</v>
      </c>
      <c r="DW15" s="7" cm="1">
        <f t="array" ref="DW15">PRODUCT(1 + 預測IC!$C15:DW15) - 1</f>
        <v>3.2530228988850771</v>
      </c>
      <c r="DX15" s="7" cm="1">
        <f t="array" ref="DX15">PRODUCT(1 + 預測IC!$C15:DX15) - 1</f>
        <v>2.7485452686907932</v>
      </c>
      <c r="DY15" s="7" cm="1">
        <f t="array" ref="DY15">PRODUCT(1 + 預測IC!$C15:DY15) - 1</f>
        <v>3.147912157583268</v>
      </c>
      <c r="DZ15" s="7" cm="1">
        <f t="array" ref="DZ15">PRODUCT(1 + 預測IC!$C15:DZ15) - 1</f>
        <v>3.0694326471834259</v>
      </c>
      <c r="EA15" s="7" cm="1">
        <f t="array" ref="EA15">PRODUCT(1 + 預測IC!$C15:EA15) - 1</f>
        <v>3.1806857521541563</v>
      </c>
      <c r="EB15" s="7" cm="1">
        <f t="array" ref="EB15">PRODUCT(1 + 預測IC!$C15:EB15) - 1</f>
        <v>3.3835266595588012</v>
      </c>
      <c r="EC15" s="7" cm="1">
        <f t="array" ref="EC15">PRODUCT(1 + 預測IC!$C15:EC15) - 1</f>
        <v>3.6731982372581014</v>
      </c>
      <c r="ED15" s="7" cm="1">
        <f t="array" ref="ED15">PRODUCT(1 + 預測IC!$C15:ED15) - 1</f>
        <v>3.1434582432804357</v>
      </c>
      <c r="EE15" s="7" cm="1">
        <f t="array" ref="EE15">PRODUCT(1 + 預測IC!$C15:EE15) - 1</f>
        <v>3.0761460465053725</v>
      </c>
      <c r="EF15" s="7" cm="1">
        <f t="array" ref="EF15">PRODUCT(1 + 預測IC!$C15:EF15) - 1</f>
        <v>3.3439528817874482</v>
      </c>
    </row>
    <row r="16" spans="1:137" x14ac:dyDescent="0.3">
      <c r="A16" s="1">
        <v>9</v>
      </c>
      <c r="B16" s="1" t="s">
        <v>174</v>
      </c>
      <c r="C16" s="7" cm="1">
        <f t="array" ref="C16">PRODUCT(1 + 預測IC!$C16:C16) - 1</f>
        <v>-2.738364461037901E-2</v>
      </c>
      <c r="D16" s="7" cm="1">
        <f t="array" ref="D16">PRODUCT(1 + 預測IC!$C16:D16) - 1</f>
        <v>0.36963346789284746</v>
      </c>
      <c r="E16" s="7" cm="1">
        <f t="array" ref="E16">PRODUCT(1 + 預測IC!$C16:E16) - 1</f>
        <v>0.36575716328762709</v>
      </c>
      <c r="F16" s="7" cm="1">
        <f t="array" ref="F16">PRODUCT(1 + 預測IC!$C16:F16) - 1</f>
        <v>0.53546585873116848</v>
      </c>
      <c r="G16" s="7" cm="1">
        <f t="array" ref="G16">PRODUCT(1 + 預測IC!$C16:G16) - 1</f>
        <v>0.42230775971277645</v>
      </c>
      <c r="H16" s="7" cm="1">
        <f t="array" ref="H16">PRODUCT(1 + 預測IC!$C16:H16) - 1</f>
        <v>0.52592011545069051</v>
      </c>
      <c r="I16" s="7" cm="1">
        <f t="array" ref="I16">PRODUCT(1 + 預測IC!$C16:I16) - 1</f>
        <v>0.69650623779436893</v>
      </c>
      <c r="J16" s="7" cm="1">
        <f t="array" ref="J16">PRODUCT(1 + 預測IC!$C16:J16) - 1</f>
        <v>0.57996638188101435</v>
      </c>
      <c r="K16" s="7" cm="1">
        <f t="array" ref="K16">PRODUCT(1 + 預測IC!$C16:K16) - 1</f>
        <v>0.13019648261152295</v>
      </c>
      <c r="L16" s="7" cm="1">
        <f t="array" ref="L16">PRODUCT(1 + 預測IC!$C16:L16) - 1</f>
        <v>0.14137020922794941</v>
      </c>
      <c r="M16" s="7" cm="1">
        <f t="array" ref="M16">PRODUCT(1 + 預測IC!$C16:M16) - 1</f>
        <v>-8.1055913854740758E-2</v>
      </c>
      <c r="N16" s="7" cm="1">
        <f t="array" ref="N16">PRODUCT(1 + 預測IC!$C16:N16) - 1</f>
        <v>0.25618517923704798</v>
      </c>
      <c r="O16" s="7" cm="1">
        <f t="array" ref="O16">PRODUCT(1 + 預測IC!$C16:O16) - 1</f>
        <v>0.27580816377397799</v>
      </c>
      <c r="P16" s="7" cm="1">
        <f t="array" ref="P16">PRODUCT(1 + 預測IC!$C16:P16) - 1</f>
        <v>0.35488241603391035</v>
      </c>
      <c r="Q16" s="7" cm="1">
        <f t="array" ref="Q16">PRODUCT(1 + 預測IC!$C16:Q16) - 1</f>
        <v>0.48578867993791497</v>
      </c>
      <c r="R16" s="7" cm="1">
        <f t="array" ref="R16">PRODUCT(1 + 預測IC!$C16:R16) - 1</f>
        <v>0.51429021094727778</v>
      </c>
      <c r="S16" s="7" cm="1">
        <f t="array" ref="S16">PRODUCT(1 + 預測IC!$C16:S16) - 1</f>
        <v>0.45006131421539464</v>
      </c>
      <c r="T16" s="7" cm="1">
        <f t="array" ref="T16">PRODUCT(1 + 預測IC!$C16:T16) - 1</f>
        <v>0.41638105191429742</v>
      </c>
      <c r="U16" s="7" cm="1">
        <f t="array" ref="U16">PRODUCT(1 + 預測IC!$C16:U16) - 1</f>
        <v>0.48529013703013102</v>
      </c>
      <c r="V16" s="7" cm="1">
        <f t="array" ref="V16">PRODUCT(1 + 預測IC!$C16:V16) - 1</f>
        <v>0.33035035027660653</v>
      </c>
      <c r="W16" s="7" cm="1">
        <f t="array" ref="W16">PRODUCT(1 + 預測IC!$C16:W16) - 1</f>
        <v>0.43461454752657391</v>
      </c>
      <c r="X16" s="7" cm="1">
        <f t="array" ref="X16">PRODUCT(1 + 預測IC!$C16:X16) - 1</f>
        <v>0.54031447649067843</v>
      </c>
      <c r="Y16" s="7" cm="1">
        <f t="array" ref="Y16">PRODUCT(1 + 預測IC!$C16:Y16) - 1</f>
        <v>0.53371045966808883</v>
      </c>
      <c r="Z16" s="7" cm="1">
        <f t="array" ref="Z16">PRODUCT(1 + 預測IC!$C16:Z16) - 1</f>
        <v>0.50292000307689766</v>
      </c>
      <c r="AA16" s="7" cm="1">
        <f t="array" ref="AA16">PRODUCT(1 + 預測IC!$C16:AA16) - 1</f>
        <v>0.43756156529246137</v>
      </c>
      <c r="AB16" s="7" cm="1">
        <f t="array" ref="AB16">PRODUCT(1 + 預測IC!$C16:AB16) - 1</f>
        <v>0.33547151143894682</v>
      </c>
      <c r="AC16" s="7" cm="1">
        <f t="array" ref="AC16">PRODUCT(1 + 預測IC!$C16:AC16) - 1</f>
        <v>0.28066306254640327</v>
      </c>
      <c r="AD16" s="7" cm="1">
        <f t="array" ref="AD16">PRODUCT(1 + 預測IC!$C16:AD16) - 1</f>
        <v>0.27922612548626913</v>
      </c>
      <c r="AE16" s="7" cm="1">
        <f t="array" ref="AE16">PRODUCT(1 + 預測IC!$C16:AE16) - 1</f>
        <v>0.34515103347832077</v>
      </c>
      <c r="AF16" s="7" cm="1">
        <f t="array" ref="AF16">PRODUCT(1 + 預測IC!$C16:AF16) - 1</f>
        <v>0.25948395651175837</v>
      </c>
      <c r="AG16" s="7" cm="1">
        <f t="array" ref="AG16">PRODUCT(1 + 預測IC!$C16:AG16) - 1</f>
        <v>0.24902783707748033</v>
      </c>
      <c r="AH16" s="7" cm="1">
        <f t="array" ref="AH16">PRODUCT(1 + 預測IC!$C16:AH16) - 1</f>
        <v>0.28870370649474508</v>
      </c>
      <c r="AI16" s="7" cm="1">
        <f t="array" ref="AI16">PRODUCT(1 + 預測IC!$C16:AI16) - 1</f>
        <v>0.40536058006261633</v>
      </c>
      <c r="AJ16" s="7" cm="1">
        <f t="array" ref="AJ16">PRODUCT(1 + 預測IC!$C16:AJ16) - 1</f>
        <v>0.38058513868866761</v>
      </c>
      <c r="AK16" s="7" cm="1">
        <f t="array" ref="AK16">PRODUCT(1 + 預測IC!$C16:AK16) - 1</f>
        <v>0.36955817362051979</v>
      </c>
      <c r="AL16" s="7" cm="1">
        <f t="array" ref="AL16">PRODUCT(1 + 預測IC!$C16:AL16) - 1</f>
        <v>0.43624049991868241</v>
      </c>
      <c r="AM16" s="7" cm="1">
        <f t="array" ref="AM16">PRODUCT(1 + 預測IC!$C16:AM16) - 1</f>
        <v>0.53114257651120078</v>
      </c>
      <c r="AN16" s="7" cm="1">
        <f t="array" ref="AN16">PRODUCT(1 + 預測IC!$C16:AN16) - 1</f>
        <v>0.69414219700209867</v>
      </c>
      <c r="AO16" s="7" cm="1">
        <f t="array" ref="AO16">PRODUCT(1 + 預測IC!$C16:AO16) - 1</f>
        <v>0.79820432547938269</v>
      </c>
      <c r="AP16" s="7" cm="1">
        <f t="array" ref="AP16">PRODUCT(1 + 預測IC!$C16:AP16) - 1</f>
        <v>0.80762671755722382</v>
      </c>
      <c r="AQ16" s="7" cm="1">
        <f t="array" ref="AQ16">PRODUCT(1 + 預測IC!$C16:AQ16) - 1</f>
        <v>0.73809418645028657</v>
      </c>
      <c r="AR16" s="7" cm="1">
        <f t="array" ref="AR16">PRODUCT(1 + 預測IC!$C16:AR16) - 1</f>
        <v>0.91762398428692404</v>
      </c>
      <c r="AS16" s="7" cm="1">
        <f t="array" ref="AS16">PRODUCT(1 + 預測IC!$C16:AS16) - 1</f>
        <v>1.0424003740707972</v>
      </c>
      <c r="AT16" s="7" cm="1">
        <f t="array" ref="AT16">PRODUCT(1 + 預測IC!$C16:AT16) - 1</f>
        <v>1.1435955026271798</v>
      </c>
      <c r="AU16" s="7" cm="1">
        <f t="array" ref="AU16">PRODUCT(1 + 預測IC!$C16:AU16) - 1</f>
        <v>1.2332553249994875</v>
      </c>
      <c r="AV16" s="7" cm="1">
        <f t="array" ref="AV16">PRODUCT(1 + 預測IC!$C16:AV16) - 1</f>
        <v>1.2129941009219167</v>
      </c>
      <c r="AW16" s="7" cm="1">
        <f t="array" ref="AW16">PRODUCT(1 + 預測IC!$C16:AW16) - 1</f>
        <v>1.2998606036210192</v>
      </c>
      <c r="AX16" s="7" cm="1">
        <f t="array" ref="AX16">PRODUCT(1 + 預測IC!$C16:AX16) - 1</f>
        <v>1.2840884925917027</v>
      </c>
      <c r="AY16" s="7" cm="1">
        <f t="array" ref="AY16">PRODUCT(1 + 預測IC!$C16:AY16) - 1</f>
        <v>1.3613194399598965</v>
      </c>
      <c r="AZ16" s="7" cm="1">
        <f t="array" ref="AZ16">PRODUCT(1 + 預測IC!$C16:AZ16) - 1</f>
        <v>1.1135942789733027</v>
      </c>
      <c r="BA16" s="7" cm="1">
        <f t="array" ref="BA16">PRODUCT(1 + 預測IC!$C16:BA16) - 1</f>
        <v>1.145135668447534</v>
      </c>
      <c r="BB16" s="7" cm="1">
        <f t="array" ref="BB16">PRODUCT(1 + 預測IC!$C16:BB16) - 1</f>
        <v>1.3768938182282704</v>
      </c>
      <c r="BC16" s="7" cm="1">
        <f t="array" ref="BC16">PRODUCT(1 + 預測IC!$C16:BC16) - 1</f>
        <v>1.5364344160900614</v>
      </c>
      <c r="BD16" s="7" cm="1">
        <f t="array" ref="BD16">PRODUCT(1 + 預測IC!$C16:BD16) - 1</f>
        <v>1.6275855280561933</v>
      </c>
      <c r="BE16" s="7" cm="1">
        <f t="array" ref="BE16">PRODUCT(1 + 預測IC!$C16:BE16) - 1</f>
        <v>1.7626723129100936</v>
      </c>
      <c r="BF16" s="7" cm="1">
        <f t="array" ref="BF16">PRODUCT(1 + 預測IC!$C16:BF16) - 1</f>
        <v>1.9402238871837811</v>
      </c>
      <c r="BG16" s="7" cm="1">
        <f t="array" ref="BG16">PRODUCT(1 + 預測IC!$C16:BG16) - 1</f>
        <v>1.9798383528999475</v>
      </c>
      <c r="BH16" s="7" cm="1">
        <f t="array" ref="BH16">PRODUCT(1 + 預測IC!$C16:BH16) - 1</f>
        <v>1.938789248525874</v>
      </c>
      <c r="BI16" s="7" cm="1">
        <f t="array" ref="BI16">PRODUCT(1 + 預測IC!$C16:BI16) - 1</f>
        <v>2.0605838651985215</v>
      </c>
      <c r="BJ16" s="7" cm="1">
        <f t="array" ref="BJ16">PRODUCT(1 + 預測IC!$C16:BJ16) - 1</f>
        <v>1.9978302159071415</v>
      </c>
      <c r="BK16" s="7" cm="1">
        <f t="array" ref="BK16">PRODUCT(1 + 預測IC!$C16:BK16) - 1</f>
        <v>2.0067397382154657</v>
      </c>
      <c r="BL16" s="7" cm="1">
        <f t="array" ref="BL16">PRODUCT(1 + 預測IC!$C16:BL16) - 1</f>
        <v>2.2190864196827467</v>
      </c>
      <c r="BM16" s="7" cm="1">
        <f t="array" ref="BM16">PRODUCT(1 + 預測IC!$C16:BM16) - 1</f>
        <v>2.4815188187102497</v>
      </c>
      <c r="BN16" s="7" cm="1">
        <f t="array" ref="BN16">PRODUCT(1 + 預測IC!$C16:BN16) - 1</f>
        <v>2.6483038764471534</v>
      </c>
      <c r="BO16" s="7" cm="1">
        <f t="array" ref="BO16">PRODUCT(1 + 預測IC!$C16:BO16) - 1</f>
        <v>2.7281665615229063</v>
      </c>
      <c r="BP16" s="7" cm="1">
        <f t="array" ref="BP16">PRODUCT(1 + 預測IC!$C16:BP16) - 1</f>
        <v>2.8058734214606806</v>
      </c>
      <c r="BQ16" s="7" cm="1">
        <f t="array" ref="BQ16">PRODUCT(1 + 預測IC!$C16:BQ16) - 1</f>
        <v>2.86858666556371</v>
      </c>
      <c r="BR16" s="7" cm="1">
        <f t="array" ref="BR16">PRODUCT(1 + 預測IC!$C16:BR16) - 1</f>
        <v>2.7668550299615946</v>
      </c>
      <c r="BS16" s="7" cm="1">
        <f t="array" ref="BS16">PRODUCT(1 + 預測IC!$C16:BS16) - 1</f>
        <v>2.7171642862979626</v>
      </c>
      <c r="BT16" s="7" cm="1">
        <f t="array" ref="BT16">PRODUCT(1 + 預測IC!$C16:BT16) - 1</f>
        <v>3.0349193519574049</v>
      </c>
      <c r="BU16" s="7" cm="1">
        <f t="array" ref="BU16">PRODUCT(1 + 預測IC!$C16:BU16) - 1</f>
        <v>3.2679969129100082</v>
      </c>
      <c r="BV16" s="7" cm="1">
        <f t="array" ref="BV16">PRODUCT(1 + 預測IC!$C16:BV16) - 1</f>
        <v>3.5271122954480649</v>
      </c>
      <c r="BW16" s="7" cm="1">
        <f t="array" ref="BW16">PRODUCT(1 + 預測IC!$C16:BW16) - 1</f>
        <v>3.2294957345812412</v>
      </c>
      <c r="BX16" s="7" cm="1">
        <f t="array" ref="BX16">PRODUCT(1 + 預測IC!$C16:BX16) - 1</f>
        <v>3.3629753950635006</v>
      </c>
      <c r="BY16" s="7" cm="1">
        <f t="array" ref="BY16">PRODUCT(1 + 預測IC!$C16:BY16) - 1</f>
        <v>3.1423670727684154</v>
      </c>
      <c r="BZ16" s="7" cm="1">
        <f t="array" ref="BZ16">PRODUCT(1 + 預測IC!$C16:BZ16) - 1</f>
        <v>3.6043480753642063</v>
      </c>
      <c r="CA16" s="7" cm="1">
        <f t="array" ref="CA16">PRODUCT(1 + 預測IC!$C16:CA16) - 1</f>
        <v>3.7306553329030478</v>
      </c>
      <c r="CB16" s="7" cm="1">
        <f t="array" ref="CB16">PRODUCT(1 + 預測IC!$C16:CB16) - 1</f>
        <v>3.7238997442591817</v>
      </c>
      <c r="CC16" s="7" cm="1">
        <f t="array" ref="CC16">PRODUCT(1 + 預測IC!$C16:CC16) - 1</f>
        <v>2.9724571337698587</v>
      </c>
      <c r="CD16" s="7" cm="1">
        <f t="array" ref="CD16">PRODUCT(1 + 預測IC!$C16:CD16) - 1</f>
        <v>3.5884711129847631</v>
      </c>
      <c r="CE16" s="7" cm="1">
        <f t="array" ref="CE16">PRODUCT(1 + 預測IC!$C16:CE16) - 1</f>
        <v>2.9800625068092779</v>
      </c>
      <c r="CF16" s="7" cm="1">
        <f t="array" ref="CF16">PRODUCT(1 + 預測IC!$C16:CF16) - 1</f>
        <v>3.3987701133634323</v>
      </c>
      <c r="CG16" s="7" cm="1">
        <f t="array" ref="CG16">PRODUCT(1 + 預測IC!$C16:CG16) - 1</f>
        <v>3.3751112445942608</v>
      </c>
      <c r="CH16" s="7" cm="1">
        <f t="array" ref="CH16">PRODUCT(1 + 預測IC!$C16:CH16) - 1</f>
        <v>3.5575420725319846</v>
      </c>
      <c r="CI16" s="7" cm="1">
        <f t="array" ref="CI16">PRODUCT(1 + 預測IC!$C16:CI16) - 1</f>
        <v>3.3811201574757748</v>
      </c>
      <c r="CJ16" s="7" cm="1">
        <f t="array" ref="CJ16">PRODUCT(1 + 預測IC!$C16:CJ16) - 1</f>
        <v>3.1816760114800564</v>
      </c>
      <c r="CK16" s="7" cm="1">
        <f t="array" ref="CK16">PRODUCT(1 + 預測IC!$C16:CK16) - 1</f>
        <v>3.5014612530186264</v>
      </c>
      <c r="CL16" s="7" cm="1">
        <f t="array" ref="CL16">PRODUCT(1 + 預測IC!$C16:CL16) - 1</f>
        <v>3.5729385262973112</v>
      </c>
      <c r="CM16" s="7" cm="1">
        <f t="array" ref="CM16">PRODUCT(1 + 預測IC!$C16:CM16) - 1</f>
        <v>3.9798780523645583</v>
      </c>
      <c r="CN16" s="7" cm="1">
        <f t="array" ref="CN16">PRODUCT(1 + 預測IC!$C16:CN16) - 1</f>
        <v>3.8152556582484323</v>
      </c>
      <c r="CO16" s="7" cm="1">
        <f t="array" ref="CO16">PRODUCT(1 + 預測IC!$C16:CO16) - 1</f>
        <v>2.9367028517920333</v>
      </c>
      <c r="CP16" s="7" cm="1">
        <f t="array" ref="CP16">PRODUCT(1 + 預測IC!$C16:CP16) - 1</f>
        <v>3.4745812134213461</v>
      </c>
      <c r="CQ16" s="7" cm="1">
        <f t="array" ref="CQ16">PRODUCT(1 + 預測IC!$C16:CQ16) - 1</f>
        <v>3.6599881960716791</v>
      </c>
      <c r="CR16" s="7" cm="1">
        <f t="array" ref="CR16">PRODUCT(1 + 預測IC!$C16:CR16) - 1</f>
        <v>3.8850645386889502</v>
      </c>
      <c r="CS16" s="7" cm="1">
        <f t="array" ref="CS16">PRODUCT(1 + 預測IC!$C16:CS16) - 1</f>
        <v>4.2102103303147169</v>
      </c>
      <c r="CT16" s="7" cm="1">
        <f t="array" ref="CT16">PRODUCT(1 + 預測IC!$C16:CT16) - 1</f>
        <v>4.2366125840133027</v>
      </c>
      <c r="CU16" s="7" cm="1">
        <f t="array" ref="CU16">PRODUCT(1 + 預測IC!$C16:CU16) - 1</f>
        <v>3.9044298747345616</v>
      </c>
      <c r="CV16" s="7" cm="1">
        <f t="array" ref="CV16">PRODUCT(1 + 預測IC!$C16:CV16) - 1</f>
        <v>3.8222753575348838</v>
      </c>
      <c r="CW16" s="7" cm="1">
        <f t="array" ref="CW16">PRODUCT(1 + 預測IC!$C16:CW16) - 1</f>
        <v>3.7779385885874781</v>
      </c>
      <c r="CX16" s="7" cm="1">
        <f t="array" ref="CX16">PRODUCT(1 + 預測IC!$C16:CX16) - 1</f>
        <v>3.8364219174501084</v>
      </c>
      <c r="CY16" s="7" cm="1">
        <f t="array" ref="CY16">PRODUCT(1 + 預測IC!$C16:CY16) - 1</f>
        <v>3.5988711445819881</v>
      </c>
      <c r="CZ16" s="7" cm="1">
        <f t="array" ref="CZ16">PRODUCT(1 + 預測IC!$C16:CZ16) - 1</f>
        <v>4.070868278690706</v>
      </c>
      <c r="DA16" s="7" cm="1">
        <f t="array" ref="DA16">PRODUCT(1 + 預測IC!$C16:DA16) - 1</f>
        <v>3.9197320944093388</v>
      </c>
      <c r="DB16" s="7" cm="1">
        <f t="array" ref="DB16">PRODUCT(1 + 預測IC!$C16:DB16) - 1</f>
        <v>3.7095996619197003</v>
      </c>
      <c r="DC16" s="7" cm="1">
        <f t="array" ref="DC16">PRODUCT(1 + 預測IC!$C16:DC16) - 1</f>
        <v>3.9118409969863617</v>
      </c>
      <c r="DD16" s="7" cm="1">
        <f t="array" ref="DD16">PRODUCT(1 + 預測IC!$C16:DD16) - 1</f>
        <v>3.5676637054744633</v>
      </c>
      <c r="DE16" s="7" cm="1">
        <f t="array" ref="DE16">PRODUCT(1 + 預測IC!$C16:DE16) - 1</f>
        <v>3.7249940148753415</v>
      </c>
      <c r="DF16" s="7" cm="1">
        <f t="array" ref="DF16">PRODUCT(1 + 預測IC!$C16:DF16) - 1</f>
        <v>3.615627256418863</v>
      </c>
      <c r="DG16" s="7" cm="1">
        <f t="array" ref="DG16">PRODUCT(1 + 預測IC!$C16:DG16) - 1</f>
        <v>3.6823366754421256</v>
      </c>
      <c r="DH16" s="7" cm="1">
        <f t="array" ref="DH16">PRODUCT(1 + 預測IC!$C16:DH16) - 1</f>
        <v>3.5927666491790324</v>
      </c>
      <c r="DI16" s="7" cm="1">
        <f t="array" ref="DI16">PRODUCT(1 + 預測IC!$C16:DI16) - 1</f>
        <v>3.5319886129121718</v>
      </c>
      <c r="DJ16" s="7" cm="1">
        <f t="array" ref="DJ16">PRODUCT(1 + 預測IC!$C16:DJ16) - 1</f>
        <v>3.3999200923905084</v>
      </c>
      <c r="DK16" s="7" cm="1">
        <f t="array" ref="DK16">PRODUCT(1 + 預測IC!$C16:DK16) - 1</f>
        <v>3.987724586337384</v>
      </c>
      <c r="DL16" s="7" cm="1">
        <f t="array" ref="DL16">PRODUCT(1 + 預測IC!$C16:DL16) - 1</f>
        <v>4.3124904775273007</v>
      </c>
      <c r="DM16" s="7" cm="1">
        <f t="array" ref="DM16">PRODUCT(1 + 預測IC!$C16:DM16) - 1</f>
        <v>4.1513575957617554</v>
      </c>
      <c r="DN16" s="7" cm="1">
        <f t="array" ref="DN16">PRODUCT(1 + 預測IC!$C16:DN16) - 1</f>
        <v>4.3699701540125613</v>
      </c>
      <c r="DO16" s="7" cm="1">
        <f t="array" ref="DO16">PRODUCT(1 + 預測IC!$C16:DO16) - 1</f>
        <v>4.6557702091286686</v>
      </c>
      <c r="DP16" s="7" cm="1">
        <f t="array" ref="DP16">PRODUCT(1 + 預測IC!$C16:DP16) - 1</f>
        <v>4.7679917107941181</v>
      </c>
      <c r="DQ16" s="7" cm="1">
        <f t="array" ref="DQ16">PRODUCT(1 + 預測IC!$C16:DQ16) - 1</f>
        <v>4.2890542592889735</v>
      </c>
      <c r="DR16" s="7" cm="1">
        <f t="array" ref="DR16">PRODUCT(1 + 預測IC!$C16:DR16) - 1</f>
        <v>4.580963783901332</v>
      </c>
      <c r="DS16" s="7" cm="1">
        <f t="array" ref="DS16">PRODUCT(1 + 預測IC!$C16:DS16) - 1</f>
        <v>4.0577369045275491</v>
      </c>
      <c r="DT16" s="7" cm="1">
        <f t="array" ref="DT16">PRODUCT(1 + 預測IC!$C16:DT16) - 1</f>
        <v>3.5492617360652599</v>
      </c>
      <c r="DU16" s="7" cm="1">
        <f t="array" ref="DU16">PRODUCT(1 + 預測IC!$C16:DU16) - 1</f>
        <v>3.2559538460462392</v>
      </c>
      <c r="DV16" s="7" cm="1">
        <f t="array" ref="DV16">PRODUCT(1 + 預測IC!$C16:DV16) - 1</f>
        <v>3.8388226085577539</v>
      </c>
      <c r="DW16" s="7" cm="1">
        <f t="array" ref="DW16">PRODUCT(1 + 預測IC!$C16:DW16) - 1</f>
        <v>4.036816244119473</v>
      </c>
      <c r="DX16" s="7" cm="1">
        <f t="array" ref="DX16">PRODUCT(1 + 預測IC!$C16:DX16) - 1</f>
        <v>3.4057802001671265</v>
      </c>
      <c r="DY16" s="7" cm="1">
        <f t="array" ref="DY16">PRODUCT(1 + 預測IC!$C16:DY16) - 1</f>
        <v>3.9184118251187314</v>
      </c>
      <c r="DZ16" s="7" cm="1">
        <f t="array" ref="DZ16">PRODUCT(1 + 預測IC!$C16:DZ16) - 1</f>
        <v>3.76457826585386</v>
      </c>
      <c r="EA16" s="7" cm="1">
        <f t="array" ref="EA16">PRODUCT(1 + 預測IC!$C16:EA16) - 1</f>
        <v>3.9869000226232076</v>
      </c>
      <c r="EB16" s="7" cm="1">
        <f t="array" ref="EB16">PRODUCT(1 + 預測IC!$C16:EB16) - 1</f>
        <v>4.378923418749765</v>
      </c>
      <c r="EC16" s="7" cm="1">
        <f t="array" ref="EC16">PRODUCT(1 + 預測IC!$C16:EC16) - 1</f>
        <v>4.7206575398120227</v>
      </c>
      <c r="ED16" s="7" cm="1">
        <f t="array" ref="ED16">PRODUCT(1 + 預測IC!$C16:ED16) - 1</f>
        <v>4.0603978530117395</v>
      </c>
      <c r="EE16" s="7" cm="1">
        <f t="array" ref="EE16">PRODUCT(1 + 預測IC!$C16:EE16) - 1</f>
        <v>3.9435496659880824</v>
      </c>
      <c r="EF16" s="7" cm="1">
        <f t="array" ref="EF16">PRODUCT(1 + 預測IC!$C16:EF16) - 1</f>
        <v>4.153523979306331</v>
      </c>
    </row>
    <row r="17" spans="1:136" x14ac:dyDescent="0.3">
      <c r="A17" s="1">
        <v>8</v>
      </c>
      <c r="B17" s="1" t="s">
        <v>175</v>
      </c>
      <c r="C17" s="7" cm="1">
        <f t="array" ref="C17">PRODUCT(1 + 預測IC!$C17:C17) - 1</f>
        <v>-4.1028984252961864E-2</v>
      </c>
      <c r="D17" s="7" cm="1">
        <f t="array" ref="D17">PRODUCT(1 + 預測IC!$C17:D17) - 1</f>
        <v>0.3805236351940966</v>
      </c>
      <c r="E17" s="7" cm="1">
        <f t="array" ref="E17">PRODUCT(1 + 預測IC!$C17:E17) - 1</f>
        <v>0.39071052116249261</v>
      </c>
      <c r="F17" s="7" cm="1">
        <f t="array" ref="F17">PRODUCT(1 + 預測IC!$C17:F17) - 1</f>
        <v>0.59482762753701124</v>
      </c>
      <c r="G17" s="7" cm="1">
        <f t="array" ref="G17">PRODUCT(1 + 預測IC!$C17:G17) - 1</f>
        <v>0.4812395912100591</v>
      </c>
      <c r="H17" s="7" cm="1">
        <f t="array" ref="H17">PRODUCT(1 + 預測IC!$C17:H17) - 1</f>
        <v>0.63676094028510111</v>
      </c>
      <c r="I17" s="7" cm="1">
        <f t="array" ref="I17">PRODUCT(1 + 預測IC!$C17:I17) - 1</f>
        <v>0.74722537160373781</v>
      </c>
      <c r="J17" s="7" cm="1">
        <f t="array" ref="J17">PRODUCT(1 + 預測IC!$C17:J17) - 1</f>
        <v>0.54577190551300525</v>
      </c>
      <c r="K17" s="7" cm="1">
        <f t="array" ref="K17">PRODUCT(1 + 預測IC!$C17:K17) - 1</f>
        <v>8.6945762011435557E-2</v>
      </c>
      <c r="L17" s="7" cm="1">
        <f t="array" ref="L17">PRODUCT(1 + 預測IC!$C17:L17) - 1</f>
        <v>9.7500972207689163E-2</v>
      </c>
      <c r="M17" s="7" cm="1">
        <f t="array" ref="M17">PRODUCT(1 + 預測IC!$C17:M17) - 1</f>
        <v>-0.15156659785406768</v>
      </c>
      <c r="N17" s="7" cm="1">
        <f t="array" ref="N17">PRODUCT(1 + 預測IC!$C17:N17) - 1</f>
        <v>0.192140568407005</v>
      </c>
      <c r="O17" s="7" cm="1">
        <f t="array" ref="O17">PRODUCT(1 + 預測IC!$C17:O17) - 1</f>
        <v>0.22150544070840672</v>
      </c>
      <c r="P17" s="7" cm="1">
        <f t="array" ref="P17">PRODUCT(1 + 預測IC!$C17:P17) - 1</f>
        <v>0.31545826886257089</v>
      </c>
      <c r="Q17" s="7" cm="1">
        <f t="array" ref="Q17">PRODUCT(1 + 預測IC!$C17:Q17) - 1</f>
        <v>0.45546282560540452</v>
      </c>
      <c r="R17" s="7" cm="1">
        <f t="array" ref="R17">PRODUCT(1 + 預測IC!$C17:R17) - 1</f>
        <v>0.4583377304156484</v>
      </c>
      <c r="S17" s="7" cm="1">
        <f t="array" ref="S17">PRODUCT(1 + 預測IC!$C17:S17) - 1</f>
        <v>0.37793661712771676</v>
      </c>
      <c r="T17" s="7" cm="1">
        <f t="array" ref="T17">PRODUCT(1 + 預測IC!$C17:T17) - 1</f>
        <v>0.34554464994435485</v>
      </c>
      <c r="U17" s="7" cm="1">
        <f t="array" ref="U17">PRODUCT(1 + 預測IC!$C17:U17) - 1</f>
        <v>0.41590349447583197</v>
      </c>
      <c r="V17" s="7" cm="1">
        <f t="array" ref="V17">PRODUCT(1 + 預測IC!$C17:V17) - 1</f>
        <v>0.25115419983378251</v>
      </c>
      <c r="W17" s="7" cm="1">
        <f t="array" ref="W17">PRODUCT(1 + 預測IC!$C17:W17) - 1</f>
        <v>0.35017303150662471</v>
      </c>
      <c r="X17" s="7" cm="1">
        <f t="array" ref="X17">PRODUCT(1 + 預測IC!$C17:X17) - 1</f>
        <v>0.4854414222908221</v>
      </c>
      <c r="Y17" s="7" cm="1">
        <f t="array" ref="Y17">PRODUCT(1 + 預測IC!$C17:Y17) - 1</f>
        <v>0.48767032911546293</v>
      </c>
      <c r="Z17" s="7" cm="1">
        <f t="array" ref="Z17">PRODUCT(1 + 預測IC!$C17:Z17) - 1</f>
        <v>0.45552401999153869</v>
      </c>
      <c r="AA17" s="7" cm="1">
        <f t="array" ref="AA17">PRODUCT(1 + 預測IC!$C17:AA17) - 1</f>
        <v>0.40427532551580003</v>
      </c>
      <c r="AB17" s="7" cm="1">
        <f t="array" ref="AB17">PRODUCT(1 + 預測IC!$C17:AB17) - 1</f>
        <v>0.32235810302306667</v>
      </c>
      <c r="AC17" s="7" cm="1">
        <f t="array" ref="AC17">PRODUCT(1 + 預測IC!$C17:AC17) - 1</f>
        <v>0.2684072002481781</v>
      </c>
      <c r="AD17" s="7" cm="1">
        <f t="array" ref="AD17">PRODUCT(1 + 預測IC!$C17:AD17) - 1</f>
        <v>0.2406127909204161</v>
      </c>
      <c r="AE17" s="7" cm="1">
        <f t="array" ref="AE17">PRODUCT(1 + 預測IC!$C17:AE17) - 1</f>
        <v>0.31435915697996575</v>
      </c>
      <c r="AF17" s="7" cm="1">
        <f t="array" ref="AF17">PRODUCT(1 + 預測IC!$C17:AF17) - 1</f>
        <v>0.23361898071423171</v>
      </c>
      <c r="AG17" s="7" cm="1">
        <f t="array" ref="AG17">PRODUCT(1 + 預測IC!$C17:AG17) - 1</f>
        <v>0.2319515339525049</v>
      </c>
      <c r="AH17" s="7" cm="1">
        <f t="array" ref="AH17">PRODUCT(1 + 預測IC!$C17:AH17) - 1</f>
        <v>0.27565208155585852</v>
      </c>
      <c r="AI17" s="7" cm="1">
        <f t="array" ref="AI17">PRODUCT(1 + 預測IC!$C17:AI17) - 1</f>
        <v>0.42217915042494192</v>
      </c>
      <c r="AJ17" s="7" cm="1">
        <f t="array" ref="AJ17">PRODUCT(1 + 預測IC!$C17:AJ17) - 1</f>
        <v>0.39059616450494161</v>
      </c>
      <c r="AK17" s="7" cm="1">
        <f t="array" ref="AK17">PRODUCT(1 + 預測IC!$C17:AK17) - 1</f>
        <v>0.37206547946221025</v>
      </c>
      <c r="AL17" s="7" cm="1">
        <f t="array" ref="AL17">PRODUCT(1 + 預測IC!$C17:AL17) - 1</f>
        <v>0.44166268555603905</v>
      </c>
      <c r="AM17" s="7" cm="1">
        <f t="array" ref="AM17">PRODUCT(1 + 預測IC!$C17:AM17) - 1</f>
        <v>0.55031989044112084</v>
      </c>
      <c r="AN17" s="7" cm="1">
        <f t="array" ref="AN17">PRODUCT(1 + 預測IC!$C17:AN17) - 1</f>
        <v>0.72595116644419422</v>
      </c>
      <c r="AO17" s="7" cm="1">
        <f t="array" ref="AO17">PRODUCT(1 + 預測IC!$C17:AO17) - 1</f>
        <v>0.74775395907459785</v>
      </c>
      <c r="AP17" s="7" cm="1">
        <f t="array" ref="AP17">PRODUCT(1 + 預測IC!$C17:AP17) - 1</f>
        <v>0.75432214357249716</v>
      </c>
      <c r="AQ17" s="7" cm="1">
        <f t="array" ref="AQ17">PRODUCT(1 + 預測IC!$C17:AQ17) - 1</f>
        <v>0.64813804614199233</v>
      </c>
      <c r="AR17" s="7" cm="1">
        <f t="array" ref="AR17">PRODUCT(1 + 預測IC!$C17:AR17) - 1</f>
        <v>0.83591158374360663</v>
      </c>
      <c r="AS17" s="7" cm="1">
        <f t="array" ref="AS17">PRODUCT(1 + 預測IC!$C17:AS17) - 1</f>
        <v>0.93931666372040223</v>
      </c>
      <c r="AT17" s="7" cm="1">
        <f t="array" ref="AT17">PRODUCT(1 + 預測IC!$C17:AT17) - 1</f>
        <v>1.0406804917444612</v>
      </c>
      <c r="AU17" s="7" cm="1">
        <f t="array" ref="AU17">PRODUCT(1 + 預測IC!$C17:AU17) - 1</f>
        <v>1.152010851181628</v>
      </c>
      <c r="AV17" s="7" cm="1">
        <f t="array" ref="AV17">PRODUCT(1 + 預測IC!$C17:AV17) - 1</f>
        <v>1.1063755182850836</v>
      </c>
      <c r="AW17" s="7" cm="1">
        <f t="array" ref="AW17">PRODUCT(1 + 預測IC!$C17:AW17) - 1</f>
        <v>1.1241151770741467</v>
      </c>
      <c r="AX17" s="7" cm="1">
        <f t="array" ref="AX17">PRODUCT(1 + 預測IC!$C17:AX17) - 1</f>
        <v>1.1466103817090199</v>
      </c>
      <c r="AY17" s="7" cm="1">
        <f t="array" ref="AY17">PRODUCT(1 + 預測IC!$C17:AY17) - 1</f>
        <v>1.2054783737299033</v>
      </c>
      <c r="AZ17" s="7" cm="1">
        <f t="array" ref="AZ17">PRODUCT(1 + 預測IC!$C17:AZ17) - 1</f>
        <v>0.92944598863716288</v>
      </c>
      <c r="BA17" s="7" cm="1">
        <f t="array" ref="BA17">PRODUCT(1 + 預測IC!$C17:BA17) - 1</f>
        <v>0.94840314105302359</v>
      </c>
      <c r="BB17" s="7" cm="1">
        <f t="array" ref="BB17">PRODUCT(1 + 預測IC!$C17:BB17) - 1</f>
        <v>1.1895454303735224</v>
      </c>
      <c r="BC17" s="7" cm="1">
        <f t="array" ref="BC17">PRODUCT(1 + 預測IC!$C17:BC17) - 1</f>
        <v>1.3731677061516274</v>
      </c>
      <c r="BD17" s="7" cm="1">
        <f t="array" ref="BD17">PRODUCT(1 + 預測IC!$C17:BD17) - 1</f>
        <v>1.426223387841473</v>
      </c>
      <c r="BE17" s="7" cm="1">
        <f t="array" ref="BE17">PRODUCT(1 + 預測IC!$C17:BE17) - 1</f>
        <v>1.6138923546146584</v>
      </c>
      <c r="BF17" s="7" cm="1">
        <f t="array" ref="BF17">PRODUCT(1 + 預測IC!$C17:BF17) - 1</f>
        <v>1.7581726689946708</v>
      </c>
      <c r="BG17" s="7" cm="1">
        <f t="array" ref="BG17">PRODUCT(1 + 預測IC!$C17:BG17) - 1</f>
        <v>1.6605492543767015</v>
      </c>
      <c r="BH17" s="7" cm="1">
        <f t="array" ref="BH17">PRODUCT(1 + 預測IC!$C17:BH17) - 1</f>
        <v>1.6965184458654079</v>
      </c>
      <c r="BI17" s="7" cm="1">
        <f t="array" ref="BI17">PRODUCT(1 + 預測IC!$C17:BI17) - 1</f>
        <v>1.9314174135994464</v>
      </c>
      <c r="BJ17" s="7" cm="1">
        <f t="array" ref="BJ17">PRODUCT(1 + 預測IC!$C17:BJ17) - 1</f>
        <v>1.9025193123244986</v>
      </c>
      <c r="BK17" s="7" cm="1">
        <f t="array" ref="BK17">PRODUCT(1 + 預測IC!$C17:BK17) - 1</f>
        <v>1.8623979269876814</v>
      </c>
      <c r="BL17" s="7" cm="1">
        <f t="array" ref="BL17">PRODUCT(1 + 預測IC!$C17:BL17) - 1</f>
        <v>2.0841850105327024</v>
      </c>
      <c r="BM17" s="7" cm="1">
        <f t="array" ref="BM17">PRODUCT(1 + 預測IC!$C17:BM17) - 1</f>
        <v>2.3185761949757286</v>
      </c>
      <c r="BN17" s="7" cm="1">
        <f t="array" ref="BN17">PRODUCT(1 + 預測IC!$C17:BN17) - 1</f>
        <v>2.4742689413863466</v>
      </c>
      <c r="BO17" s="7" cm="1">
        <f t="array" ref="BO17">PRODUCT(1 + 預測IC!$C17:BO17) - 1</f>
        <v>2.5964923865985861</v>
      </c>
      <c r="BP17" s="7" cm="1">
        <f t="array" ref="BP17">PRODUCT(1 + 預測IC!$C17:BP17) - 1</f>
        <v>2.725951653374084</v>
      </c>
      <c r="BQ17" s="7" cm="1">
        <f t="array" ref="BQ17">PRODUCT(1 + 預測IC!$C17:BQ17) - 1</f>
        <v>2.768339981281668</v>
      </c>
      <c r="BR17" s="7" cm="1">
        <f t="array" ref="BR17">PRODUCT(1 + 預測IC!$C17:BR17) - 1</f>
        <v>2.7319891602246322</v>
      </c>
      <c r="BS17" s="7" cm="1">
        <f t="array" ref="BS17">PRODUCT(1 + 預測IC!$C17:BS17) - 1</f>
        <v>2.7166750579845318</v>
      </c>
      <c r="BT17" s="7" cm="1">
        <f t="array" ref="BT17">PRODUCT(1 + 預測IC!$C17:BT17) - 1</f>
        <v>3.1233401842672199</v>
      </c>
      <c r="BU17" s="7" cm="1">
        <f t="array" ref="BU17">PRODUCT(1 + 預測IC!$C17:BU17) - 1</f>
        <v>3.4166243775414733</v>
      </c>
      <c r="BV17" s="7" cm="1">
        <f t="array" ref="BV17">PRODUCT(1 + 預測IC!$C17:BV17) - 1</f>
        <v>3.7267169134125373</v>
      </c>
      <c r="BW17" s="7" cm="1">
        <f t="array" ref="BW17">PRODUCT(1 + 預測IC!$C17:BW17) - 1</f>
        <v>3.346538977094851</v>
      </c>
      <c r="BX17" s="7" cm="1">
        <f t="array" ref="BX17">PRODUCT(1 + 預測IC!$C17:BX17) - 1</f>
        <v>3.4718191162496845</v>
      </c>
      <c r="BY17" s="7" cm="1">
        <f t="array" ref="BY17">PRODUCT(1 + 預測IC!$C17:BY17) - 1</f>
        <v>3.0950886236502955</v>
      </c>
      <c r="BZ17" s="7" cm="1">
        <f t="array" ref="BZ17">PRODUCT(1 + 預測IC!$C17:BZ17) - 1</f>
        <v>3.5888668580596592</v>
      </c>
      <c r="CA17" s="7" cm="1">
        <f t="array" ref="CA17">PRODUCT(1 + 預測IC!$C17:CA17) - 1</f>
        <v>3.7136692805372666</v>
      </c>
      <c r="CB17" s="7" cm="1">
        <f t="array" ref="CB17">PRODUCT(1 + 預測IC!$C17:CB17) - 1</f>
        <v>3.6642808326018068</v>
      </c>
      <c r="CC17" s="7" cm="1">
        <f t="array" ref="CC17">PRODUCT(1 + 預測IC!$C17:CC17) - 1</f>
        <v>2.8482277080108926</v>
      </c>
      <c r="CD17" s="7" cm="1">
        <f t="array" ref="CD17">PRODUCT(1 + 預測IC!$C17:CD17) - 1</f>
        <v>3.5138161765408142</v>
      </c>
      <c r="CE17" s="7" cm="1">
        <f t="array" ref="CE17">PRODUCT(1 + 預測IC!$C17:CE17) - 1</f>
        <v>2.723373634800506</v>
      </c>
      <c r="CF17" s="7" cm="1">
        <f t="array" ref="CF17">PRODUCT(1 + 預測IC!$C17:CF17) - 1</f>
        <v>3.0910426228340189</v>
      </c>
      <c r="CG17" s="7" cm="1">
        <f t="array" ref="CG17">PRODUCT(1 + 預測IC!$C17:CG17) - 1</f>
        <v>3.0275205741626561</v>
      </c>
      <c r="CH17" s="7" cm="1">
        <f t="array" ref="CH17">PRODUCT(1 + 預測IC!$C17:CH17) - 1</f>
        <v>3.2636800692683394</v>
      </c>
      <c r="CI17" s="7" cm="1">
        <f t="array" ref="CI17">PRODUCT(1 + 預測IC!$C17:CI17) - 1</f>
        <v>3.2017237454453795</v>
      </c>
      <c r="CJ17" s="7" cm="1">
        <f t="array" ref="CJ17">PRODUCT(1 + 預測IC!$C17:CJ17) - 1</f>
        <v>2.9885185283651761</v>
      </c>
      <c r="CK17" s="7" cm="1">
        <f t="array" ref="CK17">PRODUCT(1 + 預測IC!$C17:CK17) - 1</f>
        <v>3.354419525177037</v>
      </c>
      <c r="CL17" s="7" cm="1">
        <f t="array" ref="CL17">PRODUCT(1 + 預測IC!$C17:CL17) - 1</f>
        <v>3.3133732654637171</v>
      </c>
      <c r="CM17" s="7" cm="1">
        <f t="array" ref="CM17">PRODUCT(1 + 預測IC!$C17:CM17) - 1</f>
        <v>3.8938210780858489</v>
      </c>
      <c r="CN17" s="7" cm="1">
        <f t="array" ref="CN17">PRODUCT(1 + 預測IC!$C17:CN17) - 1</f>
        <v>3.7630676672595627</v>
      </c>
      <c r="CO17" s="7" cm="1">
        <f t="array" ref="CO17">PRODUCT(1 + 預測IC!$C17:CO17) - 1</f>
        <v>2.7983624803720817</v>
      </c>
      <c r="CP17" s="7" cm="1">
        <f t="array" ref="CP17">PRODUCT(1 + 預測IC!$C17:CP17) - 1</f>
        <v>3.3611250896106188</v>
      </c>
      <c r="CQ17" s="7" cm="1">
        <f t="array" ref="CQ17">PRODUCT(1 + 預測IC!$C17:CQ17) - 1</f>
        <v>3.5403147058970035</v>
      </c>
      <c r="CR17" s="7" cm="1">
        <f t="array" ref="CR17">PRODUCT(1 + 預測IC!$C17:CR17) - 1</f>
        <v>3.7704019218755604</v>
      </c>
      <c r="CS17" s="7" cm="1">
        <f t="array" ref="CS17">PRODUCT(1 + 預測IC!$C17:CS17) - 1</f>
        <v>4.2323754259445918</v>
      </c>
      <c r="CT17" s="7" cm="1">
        <f t="array" ref="CT17">PRODUCT(1 + 預測IC!$C17:CT17) - 1</f>
        <v>4.4901225344760514</v>
      </c>
      <c r="CU17" s="7" cm="1">
        <f t="array" ref="CU17">PRODUCT(1 + 預測IC!$C17:CU17) - 1</f>
        <v>4.0816118082610036</v>
      </c>
      <c r="CV17" s="7" cm="1">
        <f t="array" ref="CV17">PRODUCT(1 + 預測IC!$C17:CV17) - 1</f>
        <v>4.1013264697799618</v>
      </c>
      <c r="CW17" s="7" cm="1">
        <f t="array" ref="CW17">PRODUCT(1 + 預測IC!$C17:CW17) - 1</f>
        <v>4.0005148013402554</v>
      </c>
      <c r="CX17" s="7" cm="1">
        <f t="array" ref="CX17">PRODUCT(1 + 預測IC!$C17:CX17) - 1</f>
        <v>4.0543823196031328</v>
      </c>
      <c r="CY17" s="7" cm="1">
        <f t="array" ref="CY17">PRODUCT(1 + 預測IC!$C17:CY17) - 1</f>
        <v>3.8047802476888473</v>
      </c>
      <c r="CZ17" s="7" cm="1">
        <f t="array" ref="CZ17">PRODUCT(1 + 預測IC!$C17:CZ17) - 1</f>
        <v>4.4017686095773891</v>
      </c>
      <c r="DA17" s="7" cm="1">
        <f t="array" ref="DA17">PRODUCT(1 + 預測IC!$C17:DA17) - 1</f>
        <v>4.164653335556773</v>
      </c>
      <c r="DB17" s="7" cm="1">
        <f t="array" ref="DB17">PRODUCT(1 + 預測IC!$C17:DB17) - 1</f>
        <v>3.9844946775131902</v>
      </c>
      <c r="DC17" s="7" cm="1">
        <f t="array" ref="DC17">PRODUCT(1 + 預測IC!$C17:DC17) - 1</f>
        <v>4.2006396578300436</v>
      </c>
      <c r="DD17" s="7" cm="1">
        <f t="array" ref="DD17">PRODUCT(1 + 預測IC!$C17:DD17) - 1</f>
        <v>3.7578887492055433</v>
      </c>
      <c r="DE17" s="7" cm="1">
        <f t="array" ref="DE17">PRODUCT(1 + 預測IC!$C17:DE17) - 1</f>
        <v>3.9659198972377583</v>
      </c>
      <c r="DF17" s="7" cm="1">
        <f t="array" ref="DF17">PRODUCT(1 + 預測IC!$C17:DF17) - 1</f>
        <v>3.9101458118593548</v>
      </c>
      <c r="DG17" s="7" cm="1">
        <f t="array" ref="DG17">PRODUCT(1 + 預測IC!$C17:DG17) - 1</f>
        <v>3.9011146693992966</v>
      </c>
      <c r="DH17" s="7" cm="1">
        <f t="array" ref="DH17">PRODUCT(1 + 預測IC!$C17:DH17) - 1</f>
        <v>3.7113109123902959</v>
      </c>
      <c r="DI17" s="7" cm="1">
        <f t="array" ref="DI17">PRODUCT(1 + 預測IC!$C17:DI17) - 1</f>
        <v>3.6863727926457122</v>
      </c>
      <c r="DJ17" s="7" cm="1">
        <f t="array" ref="DJ17">PRODUCT(1 + 預測IC!$C17:DJ17) - 1</f>
        <v>3.4739106574233141</v>
      </c>
      <c r="DK17" s="7" cm="1">
        <f t="array" ref="DK17">PRODUCT(1 + 預測IC!$C17:DK17) - 1</f>
        <v>4.1720036961201972</v>
      </c>
      <c r="DL17" s="7" cm="1">
        <f t="array" ref="DL17">PRODUCT(1 + 預測IC!$C17:DL17) - 1</f>
        <v>4.5522266558897435</v>
      </c>
      <c r="DM17" s="7" cm="1">
        <f t="array" ref="DM17">PRODUCT(1 + 預測IC!$C17:DM17) - 1</f>
        <v>4.2621066529067848</v>
      </c>
      <c r="DN17" s="7" cm="1">
        <f t="array" ref="DN17">PRODUCT(1 + 預測IC!$C17:DN17) - 1</f>
        <v>4.4488537280581344</v>
      </c>
      <c r="DO17" s="7" cm="1">
        <f t="array" ref="DO17">PRODUCT(1 + 預測IC!$C17:DO17) - 1</f>
        <v>4.7401024266045324</v>
      </c>
      <c r="DP17" s="7" cm="1">
        <f t="array" ref="DP17">PRODUCT(1 + 預測IC!$C17:DP17) - 1</f>
        <v>4.6452844972768013</v>
      </c>
      <c r="DQ17" s="7" cm="1">
        <f t="array" ref="DQ17">PRODUCT(1 + 預測IC!$C17:DQ17) - 1</f>
        <v>4.0372734198607425</v>
      </c>
      <c r="DR17" s="7" cm="1">
        <f t="array" ref="DR17">PRODUCT(1 + 預測IC!$C17:DR17) - 1</f>
        <v>4.3187805124111094</v>
      </c>
      <c r="DS17" s="7" cm="1">
        <f t="array" ref="DS17">PRODUCT(1 + 預測IC!$C17:DS17) - 1</f>
        <v>3.657570144263496</v>
      </c>
      <c r="DT17" s="7" cm="1">
        <f t="array" ref="DT17">PRODUCT(1 + 預測IC!$C17:DT17) - 1</f>
        <v>3.2237689529418745</v>
      </c>
      <c r="DU17" s="7" cm="1">
        <f t="array" ref="DU17">PRODUCT(1 + 預測IC!$C17:DU17) - 1</f>
        <v>2.9207950237531501</v>
      </c>
      <c r="DV17" s="7" cm="1">
        <f t="array" ref="DV17">PRODUCT(1 + 預測IC!$C17:DV17) - 1</f>
        <v>3.3825290106368886</v>
      </c>
      <c r="DW17" s="7" cm="1">
        <f t="array" ref="DW17">PRODUCT(1 + 預測IC!$C17:DW17) - 1</f>
        <v>3.5958770239802407</v>
      </c>
      <c r="DX17" s="7" cm="1">
        <f t="array" ref="DX17">PRODUCT(1 + 預測IC!$C17:DX17) - 1</f>
        <v>3.0005317901553292</v>
      </c>
      <c r="DY17" s="7" cm="1">
        <f t="array" ref="DY17">PRODUCT(1 + 預測IC!$C17:DY17) - 1</f>
        <v>3.4491452435059244</v>
      </c>
      <c r="DZ17" s="7" cm="1">
        <f t="array" ref="DZ17">PRODUCT(1 + 預測IC!$C17:DZ17) - 1</f>
        <v>3.3075370807741002</v>
      </c>
      <c r="EA17" s="7" cm="1">
        <f t="array" ref="EA17">PRODUCT(1 + 預測IC!$C17:EA17) - 1</f>
        <v>3.3584432260434225</v>
      </c>
      <c r="EB17" s="7" cm="1">
        <f t="array" ref="EB17">PRODUCT(1 + 預測IC!$C17:EB17) - 1</f>
        <v>3.7380651529772511</v>
      </c>
      <c r="EC17" s="7" cm="1">
        <f t="array" ref="EC17">PRODUCT(1 + 預測IC!$C17:EC17) - 1</f>
        <v>3.8158889022987497</v>
      </c>
      <c r="ED17" s="7" cm="1">
        <f t="array" ref="ED17">PRODUCT(1 + 預測IC!$C17:ED17) - 1</f>
        <v>3.1978926368878406</v>
      </c>
      <c r="EE17" s="7" cm="1">
        <f t="array" ref="EE17">PRODUCT(1 + 預測IC!$C17:EE17) - 1</f>
        <v>3.0912100787637717</v>
      </c>
      <c r="EF17" s="7" cm="1">
        <f t="array" ref="EF17">PRODUCT(1 + 預測IC!$C17:EF17) - 1</f>
        <v>3.2864007584099486</v>
      </c>
    </row>
    <row r="18" spans="1:136" x14ac:dyDescent="0.3">
      <c r="A18" s="1">
        <v>7</v>
      </c>
      <c r="B18" s="1" t="s">
        <v>176</v>
      </c>
      <c r="C18" s="7" cm="1">
        <f t="array" ref="C18">PRODUCT(1 + 預測IC!$C18:C18) - 1</f>
        <v>-5.3942228163147199E-2</v>
      </c>
      <c r="D18" s="7" cm="1">
        <f t="array" ref="D18">PRODUCT(1 + 預測IC!$C18:D18) - 1</f>
        <v>0.32626295202060596</v>
      </c>
      <c r="E18" s="7" cm="1">
        <f t="array" ref="E18">PRODUCT(1 + 預測IC!$C18:E18) - 1</f>
        <v>0.24801256636638147</v>
      </c>
      <c r="F18" s="7" cm="1">
        <f t="array" ref="F18">PRODUCT(1 + 預測IC!$C18:F18) - 1</f>
        <v>0.51270436422044696</v>
      </c>
      <c r="G18" s="7" cm="1">
        <f t="array" ref="G18">PRODUCT(1 + 預測IC!$C18:G18) - 1</f>
        <v>0.39048655414808753</v>
      </c>
      <c r="H18" s="7" cm="1">
        <f t="array" ref="H18">PRODUCT(1 + 預測IC!$C18:H18) - 1</f>
        <v>0.56921908647171637</v>
      </c>
      <c r="I18" s="7" cm="1">
        <f t="array" ref="I18">PRODUCT(1 + 預測IC!$C18:I18) - 1</f>
        <v>0.65545185396065397</v>
      </c>
      <c r="J18" s="7" cm="1">
        <f t="array" ref="J18">PRODUCT(1 + 預測IC!$C18:J18) - 1</f>
        <v>0.44825253154718769</v>
      </c>
      <c r="K18" s="7" cm="1">
        <f t="array" ref="K18">PRODUCT(1 + 預測IC!$C18:K18) - 1</f>
        <v>-7.1209725637535914E-2</v>
      </c>
      <c r="L18" s="7" cm="1">
        <f t="array" ref="L18">PRODUCT(1 + 預測IC!$C18:L18) - 1</f>
        <v>-5.9151718117020691E-2</v>
      </c>
      <c r="M18" s="7" cm="1">
        <f t="array" ref="M18">PRODUCT(1 + 預測IC!$C18:M18) - 1</f>
        <v>-0.29766917113849867</v>
      </c>
      <c r="N18" s="7" cm="1">
        <f t="array" ref="N18">PRODUCT(1 + 預測IC!$C18:N18) - 1</f>
        <v>2.6681264937868487E-2</v>
      </c>
      <c r="O18" s="7" cm="1">
        <f t="array" ref="O18">PRODUCT(1 + 預測IC!$C18:O18) - 1</f>
        <v>5.1654131529685232E-2</v>
      </c>
      <c r="P18" s="7" cm="1">
        <f t="array" ref="P18">PRODUCT(1 + 預測IC!$C18:P18) - 1</f>
        <v>0.10904249061382809</v>
      </c>
      <c r="Q18" s="7" cm="1">
        <f t="array" ref="Q18">PRODUCT(1 + 預測IC!$C18:Q18) - 1</f>
        <v>0.24405329944306575</v>
      </c>
      <c r="R18" s="7" cm="1">
        <f t="array" ref="R18">PRODUCT(1 + 預測IC!$C18:R18) - 1</f>
        <v>0.26809612098371427</v>
      </c>
      <c r="S18" s="7" cm="1">
        <f t="array" ref="S18">PRODUCT(1 + 預測IC!$C18:S18) - 1</f>
        <v>0.18058057173432362</v>
      </c>
      <c r="T18" s="7" cm="1">
        <f t="array" ref="T18">PRODUCT(1 + 預測IC!$C18:T18) - 1</f>
        <v>0.17464444713381044</v>
      </c>
      <c r="U18" s="7" cm="1">
        <f t="array" ref="U18">PRODUCT(1 + 預測IC!$C18:U18) - 1</f>
        <v>0.207693688434613</v>
      </c>
      <c r="V18" s="7" cm="1">
        <f t="array" ref="V18">PRODUCT(1 + 預測IC!$C18:V18) - 1</f>
        <v>4.917914928759215E-2</v>
      </c>
      <c r="W18" s="7" cm="1">
        <f t="array" ref="W18">PRODUCT(1 + 預測IC!$C18:W18) - 1</f>
        <v>0.13027679464376418</v>
      </c>
      <c r="X18" s="7" cm="1">
        <f t="array" ref="X18">PRODUCT(1 + 預測IC!$C18:X18) - 1</f>
        <v>0.27396075530309605</v>
      </c>
      <c r="Y18" s="7" cm="1">
        <f t="array" ref="Y18">PRODUCT(1 + 預測IC!$C18:Y18) - 1</f>
        <v>0.3048081960755713</v>
      </c>
      <c r="Z18" s="7" cm="1">
        <f t="array" ref="Z18">PRODUCT(1 + 預測IC!$C18:Z18) - 1</f>
        <v>0.28274947903374525</v>
      </c>
      <c r="AA18" s="7" cm="1">
        <f t="array" ref="AA18">PRODUCT(1 + 預測IC!$C18:AA18) - 1</f>
        <v>0.22925209750263131</v>
      </c>
      <c r="AB18" s="7" cm="1">
        <f t="array" ref="AB18">PRODUCT(1 + 預測IC!$C18:AB18) - 1</f>
        <v>0.15339021711699252</v>
      </c>
      <c r="AC18" s="7" cm="1">
        <f t="array" ref="AC18">PRODUCT(1 + 預測IC!$C18:AC18) - 1</f>
        <v>6.7209103806636916E-2</v>
      </c>
      <c r="AD18" s="7" cm="1">
        <f t="array" ref="AD18">PRODUCT(1 + 預測IC!$C18:AD18) - 1</f>
        <v>3.8826047632970262E-2</v>
      </c>
      <c r="AE18" s="7" cm="1">
        <f t="array" ref="AE18">PRODUCT(1 + 預測IC!$C18:AE18) - 1</f>
        <v>0.11902507192538581</v>
      </c>
      <c r="AF18" s="7" cm="1">
        <f t="array" ref="AF18">PRODUCT(1 + 預測IC!$C18:AF18) - 1</f>
        <v>8.3357917875683807E-2</v>
      </c>
      <c r="AG18" s="7" cm="1">
        <f t="array" ref="AG18">PRODUCT(1 + 預測IC!$C18:AG18) - 1</f>
        <v>7.4021144585317389E-2</v>
      </c>
      <c r="AH18" s="7" cm="1">
        <f t="array" ref="AH18">PRODUCT(1 + 預測IC!$C18:AH18) - 1</f>
        <v>0.11719406762414519</v>
      </c>
      <c r="AI18" s="7" cm="1">
        <f t="array" ref="AI18">PRODUCT(1 + 預測IC!$C18:AI18) - 1</f>
        <v>0.24911874974338244</v>
      </c>
      <c r="AJ18" s="7" cm="1">
        <f t="array" ref="AJ18">PRODUCT(1 + 預測IC!$C18:AJ18) - 1</f>
        <v>0.23996590219370328</v>
      </c>
      <c r="AK18" s="7" cm="1">
        <f t="array" ref="AK18">PRODUCT(1 + 預測IC!$C18:AK18) - 1</f>
        <v>0.27380448151538217</v>
      </c>
      <c r="AL18" s="7" cm="1">
        <f t="array" ref="AL18">PRODUCT(1 + 預測IC!$C18:AL18) - 1</f>
        <v>0.33434555982655589</v>
      </c>
      <c r="AM18" s="7" cm="1">
        <f t="array" ref="AM18">PRODUCT(1 + 預測IC!$C18:AM18) - 1</f>
        <v>0.42327089194682022</v>
      </c>
      <c r="AN18" s="7" cm="1">
        <f t="array" ref="AN18">PRODUCT(1 + 預測IC!$C18:AN18) - 1</f>
        <v>0.53612864488246204</v>
      </c>
      <c r="AO18" s="7" cm="1">
        <f t="array" ref="AO18">PRODUCT(1 + 預測IC!$C18:AO18) - 1</f>
        <v>0.54446603681743633</v>
      </c>
      <c r="AP18" s="7" cm="1">
        <f t="array" ref="AP18">PRODUCT(1 + 預測IC!$C18:AP18) - 1</f>
        <v>0.54757725777222754</v>
      </c>
      <c r="AQ18" s="7" cm="1">
        <f t="array" ref="AQ18">PRODUCT(1 + 預測IC!$C18:AQ18) - 1</f>
        <v>0.42960413520426122</v>
      </c>
      <c r="AR18" s="7" cm="1">
        <f t="array" ref="AR18">PRODUCT(1 + 預測IC!$C18:AR18) - 1</f>
        <v>0.60765490612183481</v>
      </c>
      <c r="AS18" s="7" cm="1">
        <f t="array" ref="AS18">PRODUCT(1 + 預測IC!$C18:AS18) - 1</f>
        <v>0.7456343828030918</v>
      </c>
      <c r="AT18" s="7" cm="1">
        <f t="array" ref="AT18">PRODUCT(1 + 預測IC!$C18:AT18) - 1</f>
        <v>0.82126512678718067</v>
      </c>
      <c r="AU18" s="7" cm="1">
        <f t="array" ref="AU18">PRODUCT(1 + 預測IC!$C18:AU18) - 1</f>
        <v>0.93887449538916168</v>
      </c>
      <c r="AV18" s="7" cm="1">
        <f t="array" ref="AV18">PRODUCT(1 + 預測IC!$C18:AV18) - 1</f>
        <v>0.88309548834602314</v>
      </c>
      <c r="AW18" s="7" cm="1">
        <f t="array" ref="AW18">PRODUCT(1 + 預測IC!$C18:AW18) - 1</f>
        <v>0.92930294991833273</v>
      </c>
      <c r="AX18" s="7" cm="1">
        <f t="array" ref="AX18">PRODUCT(1 + 預測IC!$C18:AX18) - 1</f>
        <v>0.99413151840094183</v>
      </c>
      <c r="AY18" s="7" cm="1">
        <f t="array" ref="AY18">PRODUCT(1 + 預測IC!$C18:AY18) - 1</f>
        <v>1.0634939506525778</v>
      </c>
      <c r="AZ18" s="7" cm="1">
        <f t="array" ref="AZ18">PRODUCT(1 + 預測IC!$C18:AZ18) - 1</f>
        <v>0.75725270692118452</v>
      </c>
      <c r="BA18" s="7" cm="1">
        <f t="array" ref="BA18">PRODUCT(1 + 預測IC!$C18:BA18) - 1</f>
        <v>0.75836383700520393</v>
      </c>
      <c r="BB18" s="7" cm="1">
        <f t="array" ref="BB18">PRODUCT(1 + 預測IC!$C18:BB18) - 1</f>
        <v>1.0004132434799295</v>
      </c>
      <c r="BC18" s="7" cm="1">
        <f t="array" ref="BC18">PRODUCT(1 + 預測IC!$C18:BC18) - 1</f>
        <v>1.1668507711739649</v>
      </c>
      <c r="BD18" s="7" cm="1">
        <f t="array" ref="BD18">PRODUCT(1 + 預測IC!$C18:BD18) - 1</f>
        <v>1.1148110943476142</v>
      </c>
      <c r="BE18" s="7" cm="1">
        <f t="array" ref="BE18">PRODUCT(1 + 預測IC!$C18:BE18) - 1</f>
        <v>1.2593821465267436</v>
      </c>
      <c r="BF18" s="7" cm="1">
        <f t="array" ref="BF18">PRODUCT(1 + 預測IC!$C18:BF18) - 1</f>
        <v>1.3630528486436702</v>
      </c>
      <c r="BG18" s="7" cm="1">
        <f t="array" ref="BG18">PRODUCT(1 + 預測IC!$C18:BG18) - 1</f>
        <v>1.3233388124390957</v>
      </c>
      <c r="BH18" s="7" cm="1">
        <f t="array" ref="BH18">PRODUCT(1 + 預測IC!$C18:BH18) - 1</f>
        <v>1.3709762100667833</v>
      </c>
      <c r="BI18" s="7" cm="1">
        <f t="array" ref="BI18">PRODUCT(1 + 預測IC!$C18:BI18) - 1</f>
        <v>1.6294126333680543</v>
      </c>
      <c r="BJ18" s="7" cm="1">
        <f t="array" ref="BJ18">PRODUCT(1 + 預測IC!$C18:BJ18) - 1</f>
        <v>1.6450735834274819</v>
      </c>
      <c r="BK18" s="7" cm="1">
        <f t="array" ref="BK18">PRODUCT(1 + 預測IC!$C18:BK18) - 1</f>
        <v>1.4916507345197849</v>
      </c>
      <c r="BL18" s="7" cm="1">
        <f t="array" ref="BL18">PRODUCT(1 + 預測IC!$C18:BL18) - 1</f>
        <v>1.6938673121058132</v>
      </c>
      <c r="BM18" s="7" cm="1">
        <f t="array" ref="BM18">PRODUCT(1 + 預測IC!$C18:BM18) - 1</f>
        <v>1.970726667085168</v>
      </c>
      <c r="BN18" s="7" cm="1">
        <f t="array" ref="BN18">PRODUCT(1 + 預測IC!$C18:BN18) - 1</f>
        <v>2.1275049536798232</v>
      </c>
      <c r="BO18" s="7" cm="1">
        <f t="array" ref="BO18">PRODUCT(1 + 預測IC!$C18:BO18) - 1</f>
        <v>2.1907665479530491</v>
      </c>
      <c r="BP18" s="7" cm="1">
        <f t="array" ref="BP18">PRODUCT(1 + 預測IC!$C18:BP18) - 1</f>
        <v>2.3402780201723132</v>
      </c>
      <c r="BQ18" s="7" cm="1">
        <f t="array" ref="BQ18">PRODUCT(1 + 預測IC!$C18:BQ18) - 1</f>
        <v>2.3466806120038575</v>
      </c>
      <c r="BR18" s="7" cm="1">
        <f t="array" ref="BR18">PRODUCT(1 + 預測IC!$C18:BR18) - 1</f>
        <v>2.3274432439823913</v>
      </c>
      <c r="BS18" s="7" cm="1">
        <f t="array" ref="BS18">PRODUCT(1 + 預測IC!$C18:BS18) - 1</f>
        <v>2.314187957566423</v>
      </c>
      <c r="BT18" s="7" cm="1">
        <f t="array" ref="BT18">PRODUCT(1 + 預測IC!$C18:BT18) - 1</f>
        <v>2.6961042001760749</v>
      </c>
      <c r="BU18" s="7" cm="1">
        <f t="array" ref="BU18">PRODUCT(1 + 預測IC!$C18:BU18) - 1</f>
        <v>2.9942964399519401</v>
      </c>
      <c r="BV18" s="7" cm="1">
        <f t="array" ref="BV18">PRODUCT(1 + 預測IC!$C18:BV18) - 1</f>
        <v>3.317528469615854</v>
      </c>
      <c r="BW18" s="7" cm="1">
        <f t="array" ref="BW18">PRODUCT(1 + 預測IC!$C18:BW18) - 1</f>
        <v>2.9491954230079096</v>
      </c>
      <c r="BX18" s="7" cm="1">
        <f t="array" ref="BX18">PRODUCT(1 + 預測IC!$C18:BX18) - 1</f>
        <v>3.0243030963090689</v>
      </c>
      <c r="BY18" s="7" cm="1">
        <f t="array" ref="BY18">PRODUCT(1 + 預測IC!$C18:BY18) - 1</f>
        <v>2.5290120900222819</v>
      </c>
      <c r="BZ18" s="7" cm="1">
        <f t="array" ref="BZ18">PRODUCT(1 + 預測IC!$C18:BZ18) - 1</f>
        <v>3.0700801806197191</v>
      </c>
      <c r="CA18" s="7" cm="1">
        <f t="array" ref="CA18">PRODUCT(1 + 預測IC!$C18:CA18) - 1</f>
        <v>3.2055575406702026</v>
      </c>
      <c r="CB18" s="7" cm="1">
        <f t="array" ref="CB18">PRODUCT(1 + 預測IC!$C18:CB18) - 1</f>
        <v>3.1021960532389796</v>
      </c>
      <c r="CC18" s="7" cm="1">
        <f t="array" ref="CC18">PRODUCT(1 + 預測IC!$C18:CC18) - 1</f>
        <v>2.9866230623764469</v>
      </c>
      <c r="CD18" s="7" cm="1">
        <f t="array" ref="CD18">PRODUCT(1 + 預測IC!$C18:CD18) - 1</f>
        <v>3.7588989991640984</v>
      </c>
      <c r="CE18" s="7" cm="1">
        <f t="array" ref="CE18">PRODUCT(1 + 預測IC!$C18:CE18) - 1</f>
        <v>2.9121654402008668</v>
      </c>
      <c r="CF18" s="7" cm="1">
        <f t="array" ref="CF18">PRODUCT(1 + 預測IC!$C18:CF18) - 1</f>
        <v>3.1931277404495271</v>
      </c>
      <c r="CG18" s="7" cm="1">
        <f t="array" ref="CG18">PRODUCT(1 + 預測IC!$C18:CG18) - 1</f>
        <v>3.1813812845697083</v>
      </c>
      <c r="CH18" s="7" cm="1">
        <f t="array" ref="CH18">PRODUCT(1 + 預測IC!$C18:CH18) - 1</f>
        <v>3.8615124153910863</v>
      </c>
      <c r="CI18" s="7" cm="1">
        <f t="array" ref="CI18">PRODUCT(1 + 預測IC!$C18:CI18) - 1</f>
        <v>3.672549609300126</v>
      </c>
      <c r="CJ18" s="7" cm="1">
        <f t="array" ref="CJ18">PRODUCT(1 + 預測IC!$C18:CJ18) - 1</f>
        <v>3.3813858583252898</v>
      </c>
      <c r="CK18" s="7" cm="1">
        <f t="array" ref="CK18">PRODUCT(1 + 預測IC!$C18:CK18) - 1</f>
        <v>3.7786364062291904</v>
      </c>
      <c r="CL18" s="7" cm="1">
        <f t="array" ref="CL18">PRODUCT(1 + 預測IC!$C18:CL18) - 1</f>
        <v>3.6305486380016294</v>
      </c>
      <c r="CM18" s="7" cm="1">
        <f t="array" ref="CM18">PRODUCT(1 + 預測IC!$C18:CM18) - 1</f>
        <v>4.2957202039024311</v>
      </c>
      <c r="CN18" s="7" cm="1">
        <f t="array" ref="CN18">PRODUCT(1 + 預測IC!$C18:CN18) - 1</f>
        <v>4.1099132198309487</v>
      </c>
      <c r="CO18" s="7" cm="1">
        <f t="array" ref="CO18">PRODUCT(1 + 預測IC!$C18:CO18) - 1</f>
        <v>2.9265907964636937</v>
      </c>
      <c r="CP18" s="7" cm="1">
        <f t="array" ref="CP18">PRODUCT(1 + 預測IC!$C18:CP18) - 1</f>
        <v>3.5659933429633019</v>
      </c>
      <c r="CQ18" s="7" cm="1">
        <f t="array" ref="CQ18">PRODUCT(1 + 預測IC!$C18:CQ18) - 1</f>
        <v>3.7850538888218885</v>
      </c>
      <c r="CR18" s="7" cm="1">
        <f t="array" ref="CR18">PRODUCT(1 + 預測IC!$C18:CR18) - 1</f>
        <v>4.0489789370295775</v>
      </c>
      <c r="CS18" s="7" cm="1">
        <f t="array" ref="CS18">PRODUCT(1 + 預測IC!$C18:CS18) - 1</f>
        <v>4.4429368622937107</v>
      </c>
      <c r="CT18" s="7" cm="1">
        <f t="array" ref="CT18">PRODUCT(1 + 預測IC!$C18:CT18) - 1</f>
        <v>4.9356066274163828</v>
      </c>
      <c r="CU18" s="7" cm="1">
        <f t="array" ref="CU18">PRODUCT(1 + 預測IC!$C18:CU18) - 1</f>
        <v>4.5103281810536222</v>
      </c>
      <c r="CV18" s="7" cm="1">
        <f t="array" ref="CV18">PRODUCT(1 + 預測IC!$C18:CV18) - 1</f>
        <v>5.0119900138382576</v>
      </c>
      <c r="CW18" s="7" cm="1">
        <f t="array" ref="CW18">PRODUCT(1 + 預測IC!$C18:CW18) - 1</f>
        <v>4.9611521118681665</v>
      </c>
      <c r="CX18" s="7" cm="1">
        <f t="array" ref="CX18">PRODUCT(1 + 預測IC!$C18:CX18) - 1</f>
        <v>5.3281217436581887</v>
      </c>
      <c r="CY18" s="7" cm="1">
        <f t="array" ref="CY18">PRODUCT(1 + 預測IC!$C18:CY18) - 1</f>
        <v>5.003125776851939</v>
      </c>
      <c r="CZ18" s="7" cm="1">
        <f t="array" ref="CZ18">PRODUCT(1 + 預測IC!$C18:CZ18) - 1</f>
        <v>5.8005981938096207</v>
      </c>
      <c r="DA18" s="7" cm="1">
        <f t="array" ref="DA18">PRODUCT(1 + 預測IC!$C18:DA18) - 1</f>
        <v>5.4783794620977906</v>
      </c>
      <c r="DB18" s="7" cm="1">
        <f t="array" ref="DB18">PRODUCT(1 + 預測IC!$C18:DB18) - 1</f>
        <v>5.1820894254985594</v>
      </c>
      <c r="DC18" s="7" cm="1">
        <f t="array" ref="DC18">PRODUCT(1 + 預測IC!$C18:DC18) - 1</f>
        <v>5.4071717685772169</v>
      </c>
      <c r="DD18" s="7" cm="1">
        <f t="array" ref="DD18">PRODUCT(1 + 預測IC!$C18:DD18) - 1</f>
        <v>4.8788213052909644</v>
      </c>
      <c r="DE18" s="7" cm="1">
        <f t="array" ref="DE18">PRODUCT(1 + 預測IC!$C18:DE18) - 1</f>
        <v>5.1679032007744947</v>
      </c>
      <c r="DF18" s="7" cm="1">
        <f t="array" ref="DF18">PRODUCT(1 + 預測IC!$C18:DF18) - 1</f>
        <v>4.9517627333586809</v>
      </c>
      <c r="DG18" s="7" cm="1">
        <f t="array" ref="DG18">PRODUCT(1 + 預測IC!$C18:DG18) - 1</f>
        <v>4.9064134369712855</v>
      </c>
      <c r="DH18" s="7" cm="1">
        <f t="array" ref="DH18">PRODUCT(1 + 預測IC!$C18:DH18) - 1</f>
        <v>4.7408093387734853</v>
      </c>
      <c r="DI18" s="7" cm="1">
        <f t="array" ref="DI18">PRODUCT(1 + 預測IC!$C18:DI18) - 1</f>
        <v>4.6482983247529495</v>
      </c>
      <c r="DJ18" s="7" cm="1">
        <f t="array" ref="DJ18">PRODUCT(1 + 預測IC!$C18:DJ18) - 1</f>
        <v>4.3929724225616331</v>
      </c>
      <c r="DK18" s="7" cm="1">
        <f t="array" ref="DK18">PRODUCT(1 + 預測IC!$C18:DK18) - 1</f>
        <v>5.2478320420713125</v>
      </c>
      <c r="DL18" s="7" cm="1">
        <f t="array" ref="DL18">PRODUCT(1 + 預測IC!$C18:DL18) - 1</f>
        <v>5.7563914684156874</v>
      </c>
      <c r="DM18" s="7" cm="1">
        <f t="array" ref="DM18">PRODUCT(1 + 預測IC!$C18:DM18) - 1</f>
        <v>5.3070364337935549</v>
      </c>
      <c r="DN18" s="7" cm="1">
        <f t="array" ref="DN18">PRODUCT(1 + 預測IC!$C18:DN18) - 1</f>
        <v>5.2015697664052443</v>
      </c>
      <c r="DO18" s="7" cm="1">
        <f t="array" ref="DO18">PRODUCT(1 + 預測IC!$C18:DO18) - 1</f>
        <v>5.4626862880885225</v>
      </c>
      <c r="DP18" s="7" cm="1">
        <f t="array" ref="DP18">PRODUCT(1 + 預測IC!$C18:DP18) - 1</f>
        <v>5.3295246633887459</v>
      </c>
      <c r="DQ18" s="7" cm="1">
        <f t="array" ref="DQ18">PRODUCT(1 + 預測IC!$C18:DQ18) - 1</f>
        <v>4.6919688710759635</v>
      </c>
      <c r="DR18" s="7" cm="1">
        <f t="array" ref="DR18">PRODUCT(1 + 預測IC!$C18:DR18) - 1</f>
        <v>5.1293434860710612</v>
      </c>
      <c r="DS18" s="7" cm="1">
        <f t="array" ref="DS18">PRODUCT(1 + 預測IC!$C18:DS18) - 1</f>
        <v>4.2239046171115335</v>
      </c>
      <c r="DT18" s="7" cm="1">
        <f t="array" ref="DT18">PRODUCT(1 + 預測IC!$C18:DT18) - 1</f>
        <v>3.6178408372455699</v>
      </c>
      <c r="DU18" s="7" cm="1">
        <f t="array" ref="DU18">PRODUCT(1 + 預測IC!$C18:DU18) - 1</f>
        <v>3.1703942900471311</v>
      </c>
      <c r="DV18" s="7" cm="1">
        <f t="array" ref="DV18">PRODUCT(1 + 預測IC!$C18:DV18) - 1</f>
        <v>3.6109572817840121</v>
      </c>
      <c r="DW18" s="7" cm="1">
        <f t="array" ref="DW18">PRODUCT(1 + 預測IC!$C18:DW18) - 1</f>
        <v>3.9886347629140486</v>
      </c>
      <c r="DX18" s="7" cm="1">
        <f t="array" ref="DX18">PRODUCT(1 + 預測IC!$C18:DX18) - 1</f>
        <v>3.2223656098576088</v>
      </c>
      <c r="DY18" s="7" cm="1">
        <f t="array" ref="DY18">PRODUCT(1 + 預測IC!$C18:DY18) - 1</f>
        <v>3.6337424026207943</v>
      </c>
      <c r="DZ18" s="7" cm="1">
        <f t="array" ref="DZ18">PRODUCT(1 + 預測IC!$C18:DZ18) - 1</f>
        <v>3.283819046457678</v>
      </c>
      <c r="EA18" s="7" cm="1">
        <f t="array" ref="EA18">PRODUCT(1 + 預測IC!$C18:EA18) - 1</f>
        <v>3.2565672628097735</v>
      </c>
      <c r="EB18" s="7" cm="1">
        <f t="array" ref="EB18">PRODUCT(1 + 預測IC!$C18:EB18) - 1</f>
        <v>3.6815700866224237</v>
      </c>
      <c r="EC18" s="7" cm="1">
        <f t="array" ref="EC18">PRODUCT(1 + 預測IC!$C18:EC18) - 1</f>
        <v>3.6945104867138143</v>
      </c>
      <c r="ED18" s="7" cm="1">
        <f t="array" ref="ED18">PRODUCT(1 + 預測IC!$C18:ED18) - 1</f>
        <v>3.1758702545135797</v>
      </c>
      <c r="EE18" s="7" cm="1">
        <f t="array" ref="EE18">PRODUCT(1 + 預測IC!$C18:EE18) - 1</f>
        <v>3.1180187753780864</v>
      </c>
      <c r="EF18" s="7" cm="1">
        <f t="array" ref="EF18">PRODUCT(1 + 預測IC!$C18:EF18) - 1</f>
        <v>3.3196164549877372</v>
      </c>
    </row>
    <row r="19" spans="1:136" x14ac:dyDescent="0.3">
      <c r="A19" s="1">
        <v>6</v>
      </c>
      <c r="B19" s="1" t="s">
        <v>177</v>
      </c>
      <c r="C19" s="7" cm="1">
        <f t="array" ref="C19">PRODUCT(1 + 預測IC!$C19:C19) - 1</f>
        <v>-7.7959416087486244E-2</v>
      </c>
      <c r="D19" s="7" cm="1">
        <f t="array" ref="D19">PRODUCT(1 + 預測IC!$C19:D19) - 1</f>
        <v>0.29779121739985026</v>
      </c>
      <c r="E19" s="7" cm="1">
        <f t="array" ref="E19">PRODUCT(1 + 預測IC!$C19:E19) - 1</f>
        <v>0.22654495345650938</v>
      </c>
      <c r="F19" s="7" cm="1">
        <f t="array" ref="F19">PRODUCT(1 + 預測IC!$C19:F19) - 1</f>
        <v>0.51621864591859157</v>
      </c>
      <c r="G19" s="7" cm="1">
        <f t="array" ref="G19">PRODUCT(1 + 預測IC!$C19:G19) - 1</f>
        <v>0.36836899600659101</v>
      </c>
      <c r="H19" s="7" cm="1">
        <f t="array" ref="H19">PRODUCT(1 + 預測IC!$C19:H19) - 1</f>
        <v>0.61140544965435373</v>
      </c>
      <c r="I19" s="7" cm="1">
        <f t="array" ref="I19">PRODUCT(1 + 預測IC!$C19:I19) - 1</f>
        <v>0.68788823967258161</v>
      </c>
      <c r="J19" s="7" cm="1">
        <f t="array" ref="J19">PRODUCT(1 + 預測IC!$C19:J19) - 1</f>
        <v>0.42418886401848299</v>
      </c>
      <c r="K19" s="7" cm="1">
        <f t="array" ref="K19">PRODUCT(1 + 預測IC!$C19:K19) - 1</f>
        <v>-0.17160324472989386</v>
      </c>
      <c r="L19" s="7" cm="1">
        <f t="array" ref="L19">PRODUCT(1 + 預測IC!$C19:L19) - 1</f>
        <v>-0.13594162790716202</v>
      </c>
      <c r="M19" s="7" cm="1">
        <f t="array" ref="M19">PRODUCT(1 + 預測IC!$C19:M19) - 1</f>
        <v>-0.36192904641201118</v>
      </c>
      <c r="N19" s="7" cm="1">
        <f t="array" ref="N19">PRODUCT(1 + 預測IC!$C19:N19) - 1</f>
        <v>-2.2236636518787156E-2</v>
      </c>
      <c r="O19" s="7" cm="1">
        <f t="array" ref="O19">PRODUCT(1 + 預測IC!$C19:O19) - 1</f>
        <v>-4.1593842176278595E-2</v>
      </c>
      <c r="P19" s="7" cm="1">
        <f t="array" ref="P19">PRODUCT(1 + 預測IC!$C19:P19) - 1</f>
        <v>-1.9756353622322531E-2</v>
      </c>
      <c r="Q19" s="7" cm="1">
        <f t="array" ref="Q19">PRODUCT(1 + 預測IC!$C19:Q19) - 1</f>
        <v>0.14733822513609107</v>
      </c>
      <c r="R19" s="7" cm="1">
        <f t="array" ref="R19">PRODUCT(1 + 預測IC!$C19:R19) - 1</f>
        <v>0.19546060716589531</v>
      </c>
      <c r="S19" s="7" cm="1">
        <f t="array" ref="S19">PRODUCT(1 + 預測IC!$C19:S19) - 1</f>
        <v>0.10138232683477821</v>
      </c>
      <c r="T19" s="7" cm="1">
        <f t="array" ref="T19">PRODUCT(1 + 預測IC!$C19:T19) - 1</f>
        <v>-1.9247521392239064E-2</v>
      </c>
      <c r="U19" s="7" cm="1">
        <f t="array" ref="U19">PRODUCT(1 + 預測IC!$C19:U19) - 1</f>
        <v>2.4088849111507216E-2</v>
      </c>
      <c r="V19" s="7" cm="1">
        <f t="array" ref="V19">PRODUCT(1 + 預測IC!$C19:V19) - 1</f>
        <v>-9.7454581420557074E-2</v>
      </c>
      <c r="W19" s="7" cm="1">
        <f t="array" ref="W19">PRODUCT(1 + 預測IC!$C19:W19) - 1</f>
        <v>-3.2096241097421152E-2</v>
      </c>
      <c r="X19" s="7" cm="1">
        <f t="array" ref="X19">PRODUCT(1 + 預測IC!$C19:X19) - 1</f>
        <v>8.6881534209939826E-2</v>
      </c>
      <c r="Y19" s="7" cm="1">
        <f t="array" ref="Y19">PRODUCT(1 + 預測IC!$C19:Y19) - 1</f>
        <v>0.11303658332307265</v>
      </c>
      <c r="Z19" s="7" cm="1">
        <f t="array" ref="Z19">PRODUCT(1 + 預測IC!$C19:Z19) - 1</f>
        <v>8.8301304983451345E-2</v>
      </c>
      <c r="AA19" s="7" cm="1">
        <f t="array" ref="AA19">PRODUCT(1 + 預測IC!$C19:AA19) - 1</f>
        <v>4.3060418902173492E-2</v>
      </c>
      <c r="AB19" s="7" cm="1">
        <f t="array" ref="AB19">PRODUCT(1 + 預測IC!$C19:AB19) - 1</f>
        <v>-2.0318384872011097E-2</v>
      </c>
      <c r="AC19" s="7" cm="1">
        <f t="array" ref="AC19">PRODUCT(1 + 預測IC!$C19:AC19) - 1</f>
        <v>-0.10213440519359518</v>
      </c>
      <c r="AD19" s="7" cm="1">
        <f t="array" ref="AD19">PRODUCT(1 + 預測IC!$C19:AD19) - 1</f>
        <v>-0.13363954693133462</v>
      </c>
      <c r="AE19" s="7" cm="1">
        <f t="array" ref="AE19">PRODUCT(1 + 預測IC!$C19:AE19) - 1</f>
        <v>-3.3807211862182496E-2</v>
      </c>
      <c r="AF19" s="7" cm="1">
        <f t="array" ref="AF19">PRODUCT(1 + 預測IC!$C19:AF19) - 1</f>
        <v>-7.1281643416057694E-2</v>
      </c>
      <c r="AG19" s="7" cm="1">
        <f t="array" ref="AG19">PRODUCT(1 + 預測IC!$C19:AG19) - 1</f>
        <v>-5.3359658929487908E-2</v>
      </c>
      <c r="AH19" s="7" cm="1">
        <f t="array" ref="AH19">PRODUCT(1 + 預測IC!$C19:AH19) - 1</f>
        <v>1.8015589815445487E-4</v>
      </c>
      <c r="AI19" s="7" cm="1">
        <f t="array" ref="AI19">PRODUCT(1 + 預測IC!$C19:AI19) - 1</f>
        <v>9.1745311854422917E-2</v>
      </c>
      <c r="AJ19" s="7" cm="1">
        <f t="array" ref="AJ19">PRODUCT(1 + 預測IC!$C19:AJ19) - 1</f>
        <v>0.10502878621593426</v>
      </c>
      <c r="AK19" s="7" cm="1">
        <f t="array" ref="AK19">PRODUCT(1 + 預測IC!$C19:AK19) - 1</f>
        <v>0.15924015545315151</v>
      </c>
      <c r="AL19" s="7" cm="1">
        <f t="array" ref="AL19">PRODUCT(1 + 預測IC!$C19:AL19) - 1</f>
        <v>0.24070105743641612</v>
      </c>
      <c r="AM19" s="7" cm="1">
        <f t="array" ref="AM19">PRODUCT(1 + 預測IC!$C19:AM19) - 1</f>
        <v>0.29418273187269306</v>
      </c>
      <c r="AN19" s="7" cm="1">
        <f t="array" ref="AN19">PRODUCT(1 + 預測IC!$C19:AN19) - 1</f>
        <v>0.40233537537281294</v>
      </c>
      <c r="AO19" s="7" cm="1">
        <f t="array" ref="AO19">PRODUCT(1 + 預測IC!$C19:AO19) - 1</f>
        <v>0.43864590928449609</v>
      </c>
      <c r="AP19" s="7" cm="1">
        <f t="array" ref="AP19">PRODUCT(1 + 預測IC!$C19:AP19) - 1</f>
        <v>0.45261821234760524</v>
      </c>
      <c r="AQ19" s="7" cm="1">
        <f t="array" ref="AQ19">PRODUCT(1 + 預測IC!$C19:AQ19) - 1</f>
        <v>0.32442065015141552</v>
      </c>
      <c r="AR19" s="7" cm="1">
        <f t="array" ref="AR19">PRODUCT(1 + 預測IC!$C19:AR19) - 1</f>
        <v>0.52774247983947076</v>
      </c>
      <c r="AS19" s="7" cm="1">
        <f t="array" ref="AS19">PRODUCT(1 + 預測IC!$C19:AS19) - 1</f>
        <v>0.67715104280183525</v>
      </c>
      <c r="AT19" s="7" cm="1">
        <f t="array" ref="AT19">PRODUCT(1 + 預測IC!$C19:AT19) - 1</f>
        <v>0.75982617287507881</v>
      </c>
      <c r="AU19" s="7" cm="1">
        <f t="array" ref="AU19">PRODUCT(1 + 預測IC!$C19:AU19) - 1</f>
        <v>0.89432742714719593</v>
      </c>
      <c r="AV19" s="7" cm="1">
        <f t="array" ref="AV19">PRODUCT(1 + 預測IC!$C19:AV19) - 1</f>
        <v>0.79954850377788733</v>
      </c>
      <c r="AW19" s="7" cm="1">
        <f t="array" ref="AW19">PRODUCT(1 + 預測IC!$C19:AW19) - 1</f>
        <v>0.83977951272987039</v>
      </c>
      <c r="AX19" s="7" cm="1">
        <f t="array" ref="AX19">PRODUCT(1 + 預測IC!$C19:AX19) - 1</f>
        <v>0.95763967067472811</v>
      </c>
      <c r="AY19" s="7" cm="1">
        <f t="array" ref="AY19">PRODUCT(1 + 預測IC!$C19:AY19) - 1</f>
        <v>1.0154467545509882</v>
      </c>
      <c r="AZ19" s="7" cm="1">
        <f t="array" ref="AZ19">PRODUCT(1 + 預測IC!$C19:AZ19) - 1</f>
        <v>0.63880083462221338</v>
      </c>
      <c r="BA19" s="7" cm="1">
        <f t="array" ref="BA19">PRODUCT(1 + 預測IC!$C19:BA19) - 1</f>
        <v>0.5824852729174177</v>
      </c>
      <c r="BB19" s="7" cm="1">
        <f t="array" ref="BB19">PRODUCT(1 + 預測IC!$C19:BB19) - 1</f>
        <v>0.83528128035407478</v>
      </c>
      <c r="BC19" s="7" cm="1">
        <f t="array" ref="BC19">PRODUCT(1 + 預測IC!$C19:BC19) - 1</f>
        <v>0.95284111534920557</v>
      </c>
      <c r="BD19" s="7" cm="1">
        <f t="array" ref="BD19">PRODUCT(1 + 預測IC!$C19:BD19) - 1</f>
        <v>0.94652486043802586</v>
      </c>
      <c r="BE19" s="7" cm="1">
        <f t="array" ref="BE19">PRODUCT(1 + 預測IC!$C19:BE19) - 1</f>
        <v>1.0460543242690865</v>
      </c>
      <c r="BF19" s="7" cm="1">
        <f t="array" ref="BF19">PRODUCT(1 + 預測IC!$C19:BF19) - 1</f>
        <v>1.0738212746114755</v>
      </c>
      <c r="BG19" s="7" cm="1">
        <f t="array" ref="BG19">PRODUCT(1 + 預測IC!$C19:BG19) - 1</f>
        <v>1.0399274482558463</v>
      </c>
      <c r="BH19" s="7" cm="1">
        <f t="array" ref="BH19">PRODUCT(1 + 預測IC!$C19:BH19) - 1</f>
        <v>1.0440444333027119</v>
      </c>
      <c r="BI19" s="7" cm="1">
        <f t="array" ref="BI19">PRODUCT(1 + 預測IC!$C19:BI19) - 1</f>
        <v>1.3052705091243557</v>
      </c>
      <c r="BJ19" s="7" cm="1">
        <f t="array" ref="BJ19">PRODUCT(1 + 預測IC!$C19:BJ19) - 1</f>
        <v>1.3553117111939121</v>
      </c>
      <c r="BK19" s="7" cm="1">
        <f t="array" ref="BK19">PRODUCT(1 + 預測IC!$C19:BK19) - 1</f>
        <v>1.2334254463407075</v>
      </c>
      <c r="BL19" s="7" cm="1">
        <f t="array" ref="BL19">PRODUCT(1 + 預測IC!$C19:BL19) - 1</f>
        <v>1.4120205486530431</v>
      </c>
      <c r="BM19" s="7" cm="1">
        <f t="array" ref="BM19">PRODUCT(1 + 預測IC!$C19:BM19) - 1</f>
        <v>1.6875953441729616</v>
      </c>
      <c r="BN19" s="7" cm="1">
        <f t="array" ref="BN19">PRODUCT(1 + 預測IC!$C19:BN19) - 1</f>
        <v>1.8683432463893066</v>
      </c>
      <c r="BO19" s="7" cm="1">
        <f t="array" ref="BO19">PRODUCT(1 + 預測IC!$C19:BO19) - 1</f>
        <v>1.9421427386707126</v>
      </c>
      <c r="BP19" s="7" cm="1">
        <f t="array" ref="BP19">PRODUCT(1 + 預測IC!$C19:BP19) - 1</f>
        <v>2.1269646371092121</v>
      </c>
      <c r="BQ19" s="7" cm="1">
        <f t="array" ref="BQ19">PRODUCT(1 + 預測IC!$C19:BQ19) - 1</f>
        <v>2.1580280428213512</v>
      </c>
      <c r="BR19" s="7" cm="1">
        <f t="array" ref="BR19">PRODUCT(1 + 預測IC!$C19:BR19) - 1</f>
        <v>2.1791086569563589</v>
      </c>
      <c r="BS19" s="7" cm="1">
        <f t="array" ref="BS19">PRODUCT(1 + 預測IC!$C19:BS19) - 1</f>
        <v>2.1019951204677101</v>
      </c>
      <c r="BT19" s="7" cm="1">
        <f t="array" ref="BT19">PRODUCT(1 + 預測IC!$C19:BT19) - 1</f>
        <v>2.5413390022722604</v>
      </c>
      <c r="BU19" s="7" cm="1">
        <f t="array" ref="BU19">PRODUCT(1 + 預測IC!$C19:BU19) - 1</f>
        <v>2.8102550104544126</v>
      </c>
      <c r="BV19" s="7" cm="1">
        <f t="array" ref="BV19">PRODUCT(1 + 預測IC!$C19:BV19) - 1</f>
        <v>3.1671053623142669</v>
      </c>
      <c r="BW19" s="7" cm="1">
        <f t="array" ref="BW19">PRODUCT(1 + 預測IC!$C19:BW19) - 1</f>
        <v>2.7130285532173879</v>
      </c>
      <c r="BX19" s="7" cm="1">
        <f t="array" ref="BX19">PRODUCT(1 + 預測IC!$C19:BX19) - 1</f>
        <v>2.8395974732477405</v>
      </c>
      <c r="BY19" s="7" cm="1">
        <f t="array" ref="BY19">PRODUCT(1 + 預測IC!$C19:BY19) - 1</f>
        <v>2.4262658167728888</v>
      </c>
      <c r="BZ19" s="7" cm="1">
        <f t="array" ref="BZ19">PRODUCT(1 + 預測IC!$C19:BZ19) - 1</f>
        <v>2.6616575585903561</v>
      </c>
      <c r="CA19" s="7" cm="1">
        <f t="array" ref="CA19">PRODUCT(1 + 預測IC!$C19:CA19) - 1</f>
        <v>2.7920484346716377</v>
      </c>
      <c r="CB19" s="7" cm="1">
        <f t="array" ref="CB19">PRODUCT(1 + 預測IC!$C19:CB19) - 1</f>
        <v>2.6098739968301516</v>
      </c>
      <c r="CC19" s="7" cm="1">
        <f t="array" ref="CC19">PRODUCT(1 + 預測IC!$C19:CC19) - 1</f>
        <v>2.520626169553732</v>
      </c>
      <c r="CD19" s="7" cm="1">
        <f t="array" ref="CD19">PRODUCT(1 + 預測IC!$C19:CD19) - 1</f>
        <v>3.2797407610206655</v>
      </c>
      <c r="CE19" s="7" cm="1">
        <f t="array" ref="CE19">PRODUCT(1 + 預測IC!$C19:CE19) - 1</f>
        <v>2.4312144103744728</v>
      </c>
      <c r="CF19" s="7" cm="1">
        <f t="array" ref="CF19">PRODUCT(1 + 預測IC!$C19:CF19) - 1</f>
        <v>2.7053835295201552</v>
      </c>
      <c r="CG19" s="7" cm="1">
        <f t="array" ref="CG19">PRODUCT(1 + 預測IC!$C19:CG19) - 1</f>
        <v>2.5177668813623937</v>
      </c>
      <c r="CH19" s="7" cm="1">
        <f t="array" ref="CH19">PRODUCT(1 + 預測IC!$C19:CH19) - 1</f>
        <v>3.0555977921665241</v>
      </c>
      <c r="CI19" s="7" cm="1">
        <f t="array" ref="CI19">PRODUCT(1 + 預測IC!$C19:CI19) - 1</f>
        <v>2.9052691671568809</v>
      </c>
      <c r="CJ19" s="7" cm="1">
        <f t="array" ref="CJ19">PRODUCT(1 + 預測IC!$C19:CJ19) - 1</f>
        <v>2.6633748424412382</v>
      </c>
      <c r="CK19" s="7" cm="1">
        <f t="array" ref="CK19">PRODUCT(1 + 預測IC!$C19:CK19) - 1</f>
        <v>3.0442475643184252</v>
      </c>
      <c r="CL19" s="7" cm="1">
        <f t="array" ref="CL19">PRODUCT(1 + 預測IC!$C19:CL19) - 1</f>
        <v>2.8693731673499343</v>
      </c>
      <c r="CM19" s="7" cm="1">
        <f t="array" ref="CM19">PRODUCT(1 + 預測IC!$C19:CM19) - 1</f>
        <v>3.5478586266443157</v>
      </c>
      <c r="CN19" s="7" cm="1">
        <f t="array" ref="CN19">PRODUCT(1 + 預測IC!$C19:CN19) - 1</f>
        <v>3.1979797894449717</v>
      </c>
      <c r="CO19" s="7" cm="1">
        <f t="array" ref="CO19">PRODUCT(1 + 預測IC!$C19:CO19) - 1</f>
        <v>2.0542217052692391</v>
      </c>
      <c r="CP19" s="7" cm="1">
        <f t="array" ref="CP19">PRODUCT(1 + 預測IC!$C19:CP19) - 1</f>
        <v>2.5399425209264583</v>
      </c>
      <c r="CQ19" s="7" cm="1">
        <f t="array" ref="CQ19">PRODUCT(1 + 預測IC!$C19:CQ19) - 1</f>
        <v>2.5302788029719006</v>
      </c>
      <c r="CR19" s="7" cm="1">
        <f t="array" ref="CR19">PRODUCT(1 + 預測IC!$C19:CR19) - 1</f>
        <v>2.705713146979615</v>
      </c>
      <c r="CS19" s="7" cm="1">
        <f t="array" ref="CS19">PRODUCT(1 + 預測IC!$C19:CS19) - 1</f>
        <v>2.9306530881871766</v>
      </c>
      <c r="CT19" s="7" cm="1">
        <f t="array" ref="CT19">PRODUCT(1 + 預測IC!$C19:CT19) - 1</f>
        <v>3.412631446795336</v>
      </c>
      <c r="CU19" s="7" cm="1">
        <f t="array" ref="CU19">PRODUCT(1 + 預測IC!$C19:CU19) - 1</f>
        <v>3.0444573770832681</v>
      </c>
      <c r="CV19" s="7" cm="1">
        <f t="array" ref="CV19">PRODUCT(1 + 預測IC!$C19:CV19) - 1</f>
        <v>3.4569105803072171</v>
      </c>
      <c r="CW19" s="7" cm="1">
        <f t="array" ref="CW19">PRODUCT(1 + 預測IC!$C19:CW19) - 1</f>
        <v>3.3592961814762186</v>
      </c>
      <c r="CX19" s="7" cm="1">
        <f t="array" ref="CX19">PRODUCT(1 + 預測IC!$C19:CX19) - 1</f>
        <v>3.6105430240534737</v>
      </c>
      <c r="CY19" s="7" cm="1">
        <f t="array" ref="CY19">PRODUCT(1 + 預測IC!$C19:CY19) - 1</f>
        <v>3.2835546930806396</v>
      </c>
      <c r="CZ19" s="7" cm="1">
        <f t="array" ref="CZ19">PRODUCT(1 + 預測IC!$C19:CZ19) - 1</f>
        <v>3.7669616732805142</v>
      </c>
      <c r="DA19" s="7" cm="1">
        <f t="array" ref="DA19">PRODUCT(1 + 預測IC!$C19:DA19) - 1</f>
        <v>3.4894106845663737</v>
      </c>
      <c r="DB19" s="7" cm="1">
        <f t="array" ref="DB19">PRODUCT(1 + 預測IC!$C19:DB19) - 1</f>
        <v>3.3290448988202535</v>
      </c>
      <c r="DC19" s="7" cm="1">
        <f t="array" ref="DC19">PRODUCT(1 + 預測IC!$C19:DC19) - 1</f>
        <v>3.1767516971305358</v>
      </c>
      <c r="DD19" s="7" cm="1">
        <f t="array" ref="DD19">PRODUCT(1 + 預測IC!$C19:DD19) - 1</f>
        <v>2.7329411888487525</v>
      </c>
      <c r="DE19" s="7" cm="1">
        <f t="array" ref="DE19">PRODUCT(1 + 預測IC!$C19:DE19) - 1</f>
        <v>2.9346131700222116</v>
      </c>
      <c r="DF19" s="7" cm="1">
        <f t="array" ref="DF19">PRODUCT(1 + 預測IC!$C19:DF19) - 1</f>
        <v>2.6603979898579491</v>
      </c>
      <c r="DG19" s="7" cm="1">
        <f t="array" ref="DG19">PRODUCT(1 + 預測IC!$C19:DG19) - 1</f>
        <v>2.6137408187172344</v>
      </c>
      <c r="DH19" s="7" cm="1">
        <f t="array" ref="DH19">PRODUCT(1 + 預測IC!$C19:DH19) - 1</f>
        <v>2.6131735223746548</v>
      </c>
      <c r="DI19" s="7" cm="1">
        <f t="array" ref="DI19">PRODUCT(1 + 預測IC!$C19:DI19) - 1</f>
        <v>2.6264209500917981</v>
      </c>
      <c r="DJ19" s="7" cm="1">
        <f t="array" ref="DJ19">PRODUCT(1 + 預測IC!$C19:DJ19) - 1</f>
        <v>2.4504874922498945</v>
      </c>
      <c r="DK19" s="7" cm="1">
        <f t="array" ref="DK19">PRODUCT(1 + 預測IC!$C19:DK19) - 1</f>
        <v>2.8788468396298219</v>
      </c>
      <c r="DL19" s="7" cm="1">
        <f t="array" ref="DL19">PRODUCT(1 + 預測IC!$C19:DL19) - 1</f>
        <v>3.1510154676193629</v>
      </c>
      <c r="DM19" s="7" cm="1">
        <f t="array" ref="DM19">PRODUCT(1 + 預測IC!$C19:DM19) - 1</f>
        <v>2.8108303893669655</v>
      </c>
      <c r="DN19" s="7" cm="1">
        <f t="array" ref="DN19">PRODUCT(1 + 預測IC!$C19:DN19) - 1</f>
        <v>2.8202626636848707</v>
      </c>
      <c r="DO19" s="7" cm="1">
        <f t="array" ref="DO19">PRODUCT(1 + 預測IC!$C19:DO19) - 1</f>
        <v>3.0308606156189333</v>
      </c>
      <c r="DP19" s="7" cm="1">
        <f t="array" ref="DP19">PRODUCT(1 + 預測IC!$C19:DP19) - 1</f>
        <v>3.1430717718154622</v>
      </c>
      <c r="DQ19" s="7" cm="1">
        <f t="array" ref="DQ19">PRODUCT(1 + 預測IC!$C19:DQ19) - 1</f>
        <v>2.6438756253828499</v>
      </c>
      <c r="DR19" s="7" cm="1">
        <f t="array" ref="DR19">PRODUCT(1 + 預測IC!$C19:DR19) - 1</f>
        <v>2.9206729931107129</v>
      </c>
      <c r="DS19" s="7" cm="1">
        <f t="array" ref="DS19">PRODUCT(1 + 預測IC!$C19:DS19) - 1</f>
        <v>2.222810659274312</v>
      </c>
      <c r="DT19" s="7" cm="1">
        <f t="array" ref="DT19">PRODUCT(1 + 預測IC!$C19:DT19) - 1</f>
        <v>1.7937627084250658</v>
      </c>
      <c r="DU19" s="7" cm="1">
        <f t="array" ref="DU19">PRODUCT(1 + 預測IC!$C19:DU19) - 1</f>
        <v>1.39472763058225</v>
      </c>
      <c r="DV19" s="7" cm="1">
        <f t="array" ref="DV19">PRODUCT(1 + 預測IC!$C19:DV19) - 1</f>
        <v>1.6617989265881397</v>
      </c>
      <c r="DW19" s="7" cm="1">
        <f t="array" ref="DW19">PRODUCT(1 + 預測IC!$C19:DW19) - 1</f>
        <v>1.8231282686266042</v>
      </c>
      <c r="DX19" s="7" cm="1">
        <f t="array" ref="DX19">PRODUCT(1 + 預測IC!$C19:DX19) - 1</f>
        <v>1.4325057467664899</v>
      </c>
      <c r="DY19" s="7" cm="1">
        <f t="array" ref="DY19">PRODUCT(1 + 預測IC!$C19:DY19) - 1</f>
        <v>1.6030476973957342</v>
      </c>
      <c r="DZ19" s="7" cm="1">
        <f t="array" ref="DZ19">PRODUCT(1 + 預測IC!$C19:DZ19) - 1</f>
        <v>1.3117124415306947</v>
      </c>
      <c r="EA19" s="7" cm="1">
        <f t="array" ref="EA19">PRODUCT(1 + 預測IC!$C19:EA19) - 1</f>
        <v>1.2468010507508565</v>
      </c>
      <c r="EB19" s="7" cm="1">
        <f t="array" ref="EB19">PRODUCT(1 + 預測IC!$C19:EB19) - 1</f>
        <v>1.2957201332933241</v>
      </c>
      <c r="EC19" s="7" cm="1">
        <f t="array" ref="EC19">PRODUCT(1 + 預測IC!$C19:EC19) - 1</f>
        <v>1.2677352056389553</v>
      </c>
      <c r="ED19" s="7" cm="1">
        <f t="array" ref="ED19">PRODUCT(1 + 預測IC!$C19:ED19) - 1</f>
        <v>0.92545387352610109</v>
      </c>
      <c r="EE19" s="7" cm="1">
        <f t="array" ref="EE19">PRODUCT(1 + 預測IC!$C19:EE19) - 1</f>
        <v>0.94978014044403247</v>
      </c>
      <c r="EF19" s="7" cm="1">
        <f t="array" ref="EF19">PRODUCT(1 + 預測IC!$C19:EF19) - 1</f>
        <v>0.98288341968421222</v>
      </c>
    </row>
    <row r="20" spans="1:136" x14ac:dyDescent="0.3">
      <c r="A20" s="1">
        <v>5</v>
      </c>
      <c r="B20" s="1" t="s">
        <v>178</v>
      </c>
      <c r="C20" s="7" cm="1">
        <f t="array" ref="C20">PRODUCT(1 + 預測IC!$C20:C20) - 1</f>
        <v>-0.13932460396499158</v>
      </c>
      <c r="D20" s="7" cm="1">
        <f t="array" ref="D20">PRODUCT(1 + 預測IC!$C20:D20) - 1</f>
        <v>0.18947493145954319</v>
      </c>
      <c r="E20" s="7" cm="1">
        <f t="array" ref="E20">PRODUCT(1 + 預測IC!$C20:E20) - 1</f>
        <v>0.20791177879514877</v>
      </c>
      <c r="F20" s="7" cm="1">
        <f t="array" ref="F20">PRODUCT(1 + 預測IC!$C20:F20) - 1</f>
        <v>0.42825858489791346</v>
      </c>
      <c r="G20" s="7" cm="1">
        <f t="array" ref="G20">PRODUCT(1 + 預測IC!$C20:G20) - 1</f>
        <v>0.28491010956868834</v>
      </c>
      <c r="H20" s="7" cm="1">
        <f t="array" ref="H20">PRODUCT(1 + 預測IC!$C20:H20) - 1</f>
        <v>0.46985015413229969</v>
      </c>
      <c r="I20" s="7" cm="1">
        <f t="array" ref="I20">PRODUCT(1 + 預測IC!$C20:I20) - 1</f>
        <v>0.51091121432409459</v>
      </c>
      <c r="J20" s="7" cm="1">
        <f t="array" ref="J20">PRODUCT(1 + 預測IC!$C20:J20) - 1</f>
        <v>0.30964682138425781</v>
      </c>
      <c r="K20" s="7" cm="1">
        <f t="array" ref="K20">PRODUCT(1 + 預測IC!$C20:K20) - 1</f>
        <v>0.19163630893328443</v>
      </c>
      <c r="L20" s="7" cm="1">
        <f t="array" ref="L20">PRODUCT(1 + 預測IC!$C20:L20) - 1</f>
        <v>0.30568619407895059</v>
      </c>
      <c r="M20" s="7" cm="1">
        <f t="array" ref="M20">PRODUCT(1 + 預測IC!$C20:M20) - 1</f>
        <v>-4.5143623837968661E-2</v>
      </c>
      <c r="N20" s="7" cm="1">
        <f t="array" ref="N20">PRODUCT(1 + 預測IC!$C20:N20) - 1</f>
        <v>0.43229552409357885</v>
      </c>
      <c r="O20" s="7" cm="1">
        <f t="array" ref="O20">PRODUCT(1 + 預測IC!$C20:O20) - 1</f>
        <v>0.27457898265042191</v>
      </c>
      <c r="P20" s="7" cm="1">
        <f t="array" ref="P20">PRODUCT(1 + 預測IC!$C20:P20) - 1</f>
        <v>0.32559846076816079</v>
      </c>
      <c r="Q20" s="7" cm="1">
        <f t="array" ref="Q20">PRODUCT(1 + 預測IC!$C20:Q20) - 1</f>
        <v>0.62362588416217246</v>
      </c>
      <c r="R20" s="7" cm="1">
        <f t="array" ref="R20">PRODUCT(1 + 預測IC!$C20:R20) - 1</f>
        <v>0.7315477009560023</v>
      </c>
      <c r="S20" s="7" cm="1">
        <f t="array" ref="S20">PRODUCT(1 + 預測IC!$C20:S20) - 1</f>
        <v>0.63225888125674001</v>
      </c>
      <c r="T20" s="7" cm="1">
        <f t="array" ref="T20">PRODUCT(1 + 預測IC!$C20:T20) - 1</f>
        <v>0.46765286431146169</v>
      </c>
      <c r="U20" s="7" cm="1">
        <f t="array" ref="U20">PRODUCT(1 + 預測IC!$C20:U20) - 1</f>
        <v>0.514966556029546</v>
      </c>
      <c r="V20" s="7" cm="1">
        <f t="array" ref="V20">PRODUCT(1 + 預測IC!$C20:V20) - 1</f>
        <v>0.30849469804163188</v>
      </c>
      <c r="W20" s="7" cm="1">
        <f t="array" ref="W20">PRODUCT(1 + 預測IC!$C20:W20) - 1</f>
        <v>0.42767876676593097</v>
      </c>
      <c r="X20" s="7" cm="1">
        <f t="array" ref="X20">PRODUCT(1 + 預測IC!$C20:X20) - 1</f>
        <v>0.64189098919304488</v>
      </c>
      <c r="Y20" s="7" cm="1">
        <f t="array" ref="Y20">PRODUCT(1 + 預測IC!$C20:Y20) - 1</f>
        <v>0.63391836411648939</v>
      </c>
      <c r="Z20" s="7" cm="1">
        <f t="array" ref="Z20">PRODUCT(1 + 預測IC!$C20:Z20) - 1</f>
        <v>0.68155909381925905</v>
      </c>
      <c r="AA20" s="7" cm="1">
        <f t="array" ref="AA20">PRODUCT(1 + 預測IC!$C20:AA20) - 1</f>
        <v>0.64524657619388415</v>
      </c>
      <c r="AB20" s="7" cm="1">
        <f t="array" ref="AB20">PRODUCT(1 + 預測IC!$C20:AB20) - 1</f>
        <v>0.54583481521277721</v>
      </c>
      <c r="AC20" s="7" cm="1">
        <f t="array" ref="AC20">PRODUCT(1 + 預測IC!$C20:AC20) - 1</f>
        <v>0.39695694379361179</v>
      </c>
      <c r="AD20" s="7" cm="1">
        <f t="array" ref="AD20">PRODUCT(1 + 預測IC!$C20:AD20) - 1</f>
        <v>0.34882632496395782</v>
      </c>
      <c r="AE20" s="7" cm="1">
        <f t="array" ref="AE20">PRODUCT(1 + 預測IC!$C20:AE20) - 1</f>
        <v>0.37217605929629571</v>
      </c>
      <c r="AF20" s="7" cm="1">
        <f t="array" ref="AF20">PRODUCT(1 + 預測IC!$C20:AF20) - 1</f>
        <v>0.31859988636993508</v>
      </c>
      <c r="AG20" s="7" cm="1">
        <f t="array" ref="AG20">PRODUCT(1 + 預測IC!$C20:AG20) - 1</f>
        <v>0.31036952822447006</v>
      </c>
      <c r="AH20" s="7" cm="1">
        <f t="array" ref="AH20">PRODUCT(1 + 預測IC!$C20:AH20) - 1</f>
        <v>0.42853629455123143</v>
      </c>
      <c r="AI20" s="7" cm="1">
        <f t="array" ref="AI20">PRODUCT(1 + 預測IC!$C20:AI20) - 1</f>
        <v>0.59472757153807754</v>
      </c>
      <c r="AJ20" s="7" cm="1">
        <f t="array" ref="AJ20">PRODUCT(1 + 預測IC!$C20:AJ20) - 1</f>
        <v>0.62222341097116574</v>
      </c>
      <c r="AK20" s="7" cm="1">
        <f t="array" ref="AK20">PRODUCT(1 + 預測IC!$C20:AK20) - 1</f>
        <v>0.73085780976431458</v>
      </c>
      <c r="AL20" s="7" cm="1">
        <f t="array" ref="AL20">PRODUCT(1 + 預測IC!$C20:AL20) - 1</f>
        <v>0.85702601050319638</v>
      </c>
      <c r="AM20" s="7" cm="1">
        <f t="array" ref="AM20">PRODUCT(1 + 預測IC!$C20:AM20) - 1</f>
        <v>0.91848610759683602</v>
      </c>
      <c r="AN20" s="7" cm="1">
        <f t="array" ref="AN20">PRODUCT(1 + 預測IC!$C20:AN20) - 1</f>
        <v>1.0632746254006791</v>
      </c>
      <c r="AO20" s="7" cm="1">
        <f t="array" ref="AO20">PRODUCT(1 + 預測IC!$C20:AO20) - 1</f>
        <v>1.1567101859276105</v>
      </c>
      <c r="AP20" s="7" cm="1">
        <f t="array" ref="AP20">PRODUCT(1 + 預測IC!$C20:AP20) - 1</f>
        <v>1.1838944738940587</v>
      </c>
      <c r="AQ20" s="7" cm="1">
        <f t="array" ref="AQ20">PRODUCT(1 + 預測IC!$C20:AQ20) - 1</f>
        <v>1.243847804907348</v>
      </c>
      <c r="AR20" s="7" cm="1">
        <f t="array" ref="AR20">PRODUCT(1 + 預測IC!$C20:AR20) - 1</f>
        <v>1.6254118907828317</v>
      </c>
      <c r="AS20" s="7" cm="1">
        <f t="array" ref="AS20">PRODUCT(1 + 預測IC!$C20:AS20) - 1</f>
        <v>1.919709562431029</v>
      </c>
      <c r="AT20" s="7" cm="1">
        <f t="array" ref="AT20">PRODUCT(1 + 預測IC!$C20:AT20) - 1</f>
        <v>1.9368154802028221</v>
      </c>
      <c r="AU20" s="7" cm="1">
        <f t="array" ref="AU20">PRODUCT(1 + 預測IC!$C20:AU20) - 1</f>
        <v>2.159110053769929</v>
      </c>
      <c r="AV20" s="7" cm="1">
        <f t="array" ref="AV20">PRODUCT(1 + 預測IC!$C20:AV20) - 1</f>
        <v>1.9865414121653435</v>
      </c>
      <c r="AW20" s="7" cm="1">
        <f t="array" ref="AW20">PRODUCT(1 + 預測IC!$C20:AW20) - 1</f>
        <v>2.0070448198879989</v>
      </c>
      <c r="AX20" s="7" cm="1">
        <f t="array" ref="AX20">PRODUCT(1 + 預測IC!$C20:AX20) - 1</f>
        <v>2.2653083980858963</v>
      </c>
      <c r="AY20" s="7" cm="1">
        <f t="array" ref="AY20">PRODUCT(1 + 預測IC!$C20:AY20) - 1</f>
        <v>2.391593215704968</v>
      </c>
      <c r="AZ20" s="7" cm="1">
        <f t="array" ref="AZ20">PRODUCT(1 + 預測IC!$C20:AZ20) - 1</f>
        <v>1.6664623406235255</v>
      </c>
      <c r="BA20" s="7" cm="1">
        <f t="array" ref="BA20">PRODUCT(1 + 預測IC!$C20:BA20) - 1</f>
        <v>1.5683395532951998</v>
      </c>
      <c r="BB20" s="7" cm="1">
        <f t="array" ref="BB20">PRODUCT(1 + 預測IC!$C20:BB20) - 1</f>
        <v>1.9989356084776952</v>
      </c>
      <c r="BC20" s="7" cm="1">
        <f t="array" ref="BC20">PRODUCT(1 + 預測IC!$C20:BC20) - 1</f>
        <v>2.2106771595432519</v>
      </c>
      <c r="BD20" s="7" cm="1">
        <f t="array" ref="BD20">PRODUCT(1 + 預測IC!$C20:BD20) - 1</f>
        <v>2.0391312785940072</v>
      </c>
      <c r="BE20" s="7" cm="1">
        <f t="array" ref="BE20">PRODUCT(1 + 預測IC!$C20:BE20) - 1</f>
        <v>2.0210581814006274</v>
      </c>
      <c r="BF20" s="7" cm="1">
        <f t="array" ref="BF20">PRODUCT(1 + 預測IC!$C20:BF20) - 1</f>
        <v>2.0382437195932588</v>
      </c>
      <c r="BG20" s="7" cm="1">
        <f t="array" ref="BG20">PRODUCT(1 + 預測IC!$C20:BG20) - 1</f>
        <v>2.0172004100075642</v>
      </c>
      <c r="BH20" s="7" cm="1">
        <f t="array" ref="BH20">PRODUCT(1 + 預測IC!$C20:BH20) - 1</f>
        <v>1.8011494084156836</v>
      </c>
      <c r="BI20" s="7" cm="1">
        <f t="array" ref="BI20">PRODUCT(1 + 預測IC!$C20:BI20) - 1</f>
        <v>2.1701875853728874</v>
      </c>
      <c r="BJ20" s="7" cm="1">
        <f t="array" ref="BJ20">PRODUCT(1 + 預測IC!$C20:BJ20) - 1</f>
        <v>2.2387571952641316</v>
      </c>
      <c r="BK20" s="7" cm="1">
        <f t="array" ref="BK20">PRODUCT(1 + 預測IC!$C20:BK20) - 1</f>
        <v>2.0469153467148868</v>
      </c>
      <c r="BL20" s="7" cm="1">
        <f t="array" ref="BL20">PRODUCT(1 + 預測IC!$C20:BL20) - 1</f>
        <v>2.3098404701886954</v>
      </c>
      <c r="BM20" s="7" cm="1">
        <f t="array" ref="BM20">PRODUCT(1 + 預測IC!$C20:BM20) - 1</f>
        <v>2.7630160867371498</v>
      </c>
      <c r="BN20" s="7" cm="1">
        <f t="array" ref="BN20">PRODUCT(1 + 預測IC!$C20:BN20) - 1</f>
        <v>3.2091488934952634</v>
      </c>
      <c r="BO20" s="7" cm="1">
        <f t="array" ref="BO20">PRODUCT(1 + 預測IC!$C20:BO20) - 1</f>
        <v>3.0472577977709525</v>
      </c>
      <c r="BP20" s="7" cm="1">
        <f t="array" ref="BP20">PRODUCT(1 + 預測IC!$C20:BP20) - 1</f>
        <v>3.2917426072228331</v>
      </c>
      <c r="BQ20" s="7" cm="1">
        <f t="array" ref="BQ20">PRODUCT(1 + 預測IC!$C20:BQ20) - 1</f>
        <v>3.3580573563410052</v>
      </c>
      <c r="BR20" s="7" cm="1">
        <f t="array" ref="BR20">PRODUCT(1 + 預測IC!$C20:BR20) - 1</f>
        <v>3.4106749359217439</v>
      </c>
      <c r="BS20" s="7" cm="1">
        <f t="array" ref="BS20">PRODUCT(1 + 預測IC!$C20:BS20) - 1</f>
        <v>3.4345256879450723</v>
      </c>
      <c r="BT20" s="7" cm="1">
        <f t="array" ref="BT20">PRODUCT(1 + 預測IC!$C20:BT20) - 1</f>
        <v>4.0899620353319817</v>
      </c>
      <c r="BU20" s="7" cm="1">
        <f t="array" ref="BU20">PRODUCT(1 + 預測IC!$C20:BU20) - 1</f>
        <v>4.5926209784147405</v>
      </c>
      <c r="BV20" s="7" cm="1">
        <f t="array" ref="BV20">PRODUCT(1 + 預測IC!$C20:BV20) - 1</f>
        <v>5.2409082712972133</v>
      </c>
      <c r="BW20" s="7" cm="1">
        <f t="array" ref="BW20">PRODUCT(1 + 預測IC!$C20:BW20) - 1</f>
        <v>4.3952449062730619</v>
      </c>
      <c r="BX20" s="7" cm="1">
        <f t="array" ref="BX20">PRODUCT(1 + 預測IC!$C20:BX20) - 1</f>
        <v>4.5608445932433312</v>
      </c>
      <c r="BY20" s="7" cm="1">
        <f t="array" ref="BY20">PRODUCT(1 + 預測IC!$C20:BY20) - 1</f>
        <v>3.9756548603330399</v>
      </c>
      <c r="BZ20" s="7" cm="1">
        <f t="array" ref="BZ20">PRODUCT(1 + 預測IC!$C20:BZ20) - 1</f>
        <v>4.4248142116898093</v>
      </c>
      <c r="CA20" s="7" cm="1">
        <f t="array" ref="CA20">PRODUCT(1 + 預測IC!$C20:CA20) - 1</f>
        <v>4.6972311635346218</v>
      </c>
      <c r="CB20" s="7" cm="1">
        <f t="array" ref="CB20">PRODUCT(1 + 預測IC!$C20:CB20) - 1</f>
        <v>4.4793009618663948</v>
      </c>
      <c r="CC20" s="7" cm="1">
        <f t="array" ref="CC20">PRODUCT(1 + 預測IC!$C20:CC20) - 1</f>
        <v>4.3366033418089271</v>
      </c>
      <c r="CD20" s="7" cm="1">
        <f t="array" ref="CD20">PRODUCT(1 + 預測IC!$C20:CD20) - 1</f>
        <v>5.3026752898765546</v>
      </c>
      <c r="CE20" s="7" cm="1">
        <f t="array" ref="CE20">PRODUCT(1 + 預測IC!$C20:CE20) - 1</f>
        <v>3.7650507045449695</v>
      </c>
      <c r="CF20" s="7" cm="1">
        <f t="array" ref="CF20">PRODUCT(1 + 預測IC!$C20:CF20) - 1</f>
        <v>4.150819380232031</v>
      </c>
      <c r="CG20" s="7" cm="1">
        <f t="array" ref="CG20">PRODUCT(1 + 預測IC!$C20:CG20) - 1</f>
        <v>3.6406158423232871</v>
      </c>
      <c r="CH20" s="7" cm="1">
        <f t="array" ref="CH20">PRODUCT(1 + 預測IC!$C20:CH20) - 1</f>
        <v>3.9741091780024931</v>
      </c>
      <c r="CI20" s="7" cm="1">
        <f t="array" ref="CI20">PRODUCT(1 + 預測IC!$C20:CI20) - 1</f>
        <v>3.8229227522453106</v>
      </c>
      <c r="CJ20" s="7" cm="1">
        <f t="array" ref="CJ20">PRODUCT(1 + 預測IC!$C20:CJ20) - 1</f>
        <v>3.2275796249161663</v>
      </c>
      <c r="CK20" s="7" cm="1">
        <f t="array" ref="CK20">PRODUCT(1 + 預測IC!$C20:CK20) - 1</f>
        <v>3.6121980413244561</v>
      </c>
      <c r="CL20" s="7" cm="1">
        <f t="array" ref="CL20">PRODUCT(1 + 預測IC!$C20:CL20) - 1</f>
        <v>3.1870228684177313</v>
      </c>
      <c r="CM20" s="7" cm="1">
        <f t="array" ref="CM20">PRODUCT(1 + 預測IC!$C20:CM20) - 1</f>
        <v>3.9785844202881382</v>
      </c>
      <c r="CN20" s="7" cm="1">
        <f t="array" ref="CN20">PRODUCT(1 + 預測IC!$C20:CN20) - 1</f>
        <v>4.0889069204999888</v>
      </c>
      <c r="CO20" s="7" cm="1">
        <f t="array" ref="CO20">PRODUCT(1 + 預測IC!$C20:CO20) - 1</f>
        <v>1.9720675142287813</v>
      </c>
      <c r="CP20" s="7" cm="1">
        <f t="array" ref="CP20">PRODUCT(1 + 預測IC!$C20:CP20) - 1</f>
        <v>2.5427972206515257</v>
      </c>
      <c r="CQ20" s="7" cm="1">
        <f t="array" ref="CQ20">PRODUCT(1 + 預測IC!$C20:CQ20) - 1</f>
        <v>2.5644485225370137</v>
      </c>
      <c r="CR20" s="7" cm="1">
        <f t="array" ref="CR20">PRODUCT(1 + 預測IC!$C20:CR20) - 1</f>
        <v>2.8250676122393474</v>
      </c>
      <c r="CS20" s="7" cm="1">
        <f t="array" ref="CS20">PRODUCT(1 + 預測IC!$C20:CS20) - 1</f>
        <v>3.1630669463178949</v>
      </c>
      <c r="CT20" s="7" cm="1">
        <f t="array" ref="CT20">PRODUCT(1 + 預測IC!$C20:CT20) - 1</f>
        <v>3.5397164209771557</v>
      </c>
      <c r="CU20" s="7" cm="1">
        <f t="array" ref="CU20">PRODUCT(1 + 預測IC!$C20:CU20) - 1</f>
        <v>3.1090441549250203</v>
      </c>
      <c r="CV20" s="7" cm="1">
        <f t="array" ref="CV20">PRODUCT(1 + 預測IC!$C20:CV20) - 1</f>
        <v>3.4891762497771373</v>
      </c>
      <c r="CW20" s="7" cm="1">
        <f t="array" ref="CW20">PRODUCT(1 + 預測IC!$C20:CW20) - 1</f>
        <v>3.5338573034558971</v>
      </c>
      <c r="CX20" s="7" cm="1">
        <f t="array" ref="CX20">PRODUCT(1 + 預測IC!$C20:CX20) - 1</f>
        <v>3.943258047799195</v>
      </c>
      <c r="CY20" s="7" cm="1">
        <f t="array" ref="CY20">PRODUCT(1 + 預測IC!$C20:CY20) - 1</f>
        <v>3.8815675088522541</v>
      </c>
      <c r="CZ20" s="7" cm="1">
        <f t="array" ref="CZ20">PRODUCT(1 + 預測IC!$C20:CZ20) - 1</f>
        <v>4.6389995544326439</v>
      </c>
      <c r="DA20" s="7" cm="1">
        <f t="array" ref="DA20">PRODUCT(1 + 預測IC!$C20:DA20) - 1</f>
        <v>4.3713055700825239</v>
      </c>
      <c r="DB20" s="7" cm="1">
        <f t="array" ref="DB20">PRODUCT(1 + 預測IC!$C20:DB20) - 1</f>
        <v>4.0656637282112404</v>
      </c>
      <c r="DC20" s="7" cm="1">
        <f t="array" ref="DC20">PRODUCT(1 + 預測IC!$C20:DC20) - 1</f>
        <v>3.8143406029394527</v>
      </c>
      <c r="DD20" s="7" cm="1">
        <f t="array" ref="DD20">PRODUCT(1 + 預測IC!$C20:DD20) - 1</f>
        <v>3.1012943244148383</v>
      </c>
      <c r="DE20" s="7" cm="1">
        <f t="array" ref="DE20">PRODUCT(1 + 預測IC!$C20:DE20) - 1</f>
        <v>2.9915852593370649</v>
      </c>
      <c r="DF20" s="7" cm="1">
        <f t="array" ref="DF20">PRODUCT(1 + 預測IC!$C20:DF20) - 1</f>
        <v>2.9950145161818535</v>
      </c>
      <c r="DG20" s="7" cm="1">
        <f t="array" ref="DG20">PRODUCT(1 + 預測IC!$C20:DG20) - 1</f>
        <v>2.978226623753419</v>
      </c>
      <c r="DH20" s="7" cm="1">
        <f t="array" ref="DH20">PRODUCT(1 + 預測IC!$C20:DH20) - 1</f>
        <v>2.934563948552642</v>
      </c>
      <c r="DI20" s="7" cm="1">
        <f t="array" ref="DI20">PRODUCT(1 + 預測IC!$C20:DI20) - 1</f>
        <v>2.8445539844104664</v>
      </c>
      <c r="DJ20" s="7" cm="1">
        <f t="array" ref="DJ20">PRODUCT(1 + 預測IC!$C20:DJ20) - 1</f>
        <v>2.6928480907577907</v>
      </c>
      <c r="DK20" s="7" cm="1">
        <f t="array" ref="DK20">PRODUCT(1 + 預測IC!$C20:DK20) - 1</f>
        <v>3.0065702389431275</v>
      </c>
      <c r="DL20" s="7" cm="1">
        <f t="array" ref="DL20">PRODUCT(1 + 預測IC!$C20:DL20) - 1</f>
        <v>3.3103749827752438</v>
      </c>
      <c r="DM20" s="7" cm="1">
        <f t="array" ref="DM20">PRODUCT(1 + 預測IC!$C20:DM20) - 1</f>
        <v>3.3503909966885637</v>
      </c>
      <c r="DN20" s="7" cm="1">
        <f t="array" ref="DN20">PRODUCT(1 + 預測IC!$C20:DN20) - 1</f>
        <v>3.6027972309520049</v>
      </c>
      <c r="DO20" s="7" cm="1">
        <f t="array" ref="DO20">PRODUCT(1 + 預測IC!$C20:DO20) - 1</f>
        <v>3.9057340214047009</v>
      </c>
      <c r="DP20" s="7" cm="1">
        <f t="array" ref="DP20">PRODUCT(1 + 預測IC!$C20:DP20) - 1</f>
        <v>3.9539599936974632</v>
      </c>
      <c r="DQ20" s="7" cm="1">
        <f t="array" ref="DQ20">PRODUCT(1 + 預測IC!$C20:DQ20) - 1</f>
        <v>3.026542431113139</v>
      </c>
      <c r="DR20" s="7" cm="1">
        <f t="array" ref="DR20">PRODUCT(1 + 預測IC!$C20:DR20) - 1</f>
        <v>3.3426769880966116</v>
      </c>
      <c r="DS20" s="7" cm="1">
        <f t="array" ref="DS20">PRODUCT(1 + 預測IC!$C20:DS20) - 1</f>
        <v>2.4477333479613983</v>
      </c>
      <c r="DT20" s="7" cm="1">
        <f t="array" ref="DT20">PRODUCT(1 + 預測IC!$C20:DT20) - 1</f>
        <v>1.9876816539615878</v>
      </c>
      <c r="DU20" s="7" cm="1">
        <f t="array" ref="DU20">PRODUCT(1 + 預測IC!$C20:DU20) - 1</f>
        <v>1.4735939391490622</v>
      </c>
      <c r="DV20" s="7" cm="1">
        <f t="array" ref="DV20">PRODUCT(1 + 預測IC!$C20:DV20) - 1</f>
        <v>1.7935421143460388</v>
      </c>
      <c r="DW20" s="7" cm="1">
        <f t="array" ref="DW20">PRODUCT(1 + 預測IC!$C20:DW20) - 1</f>
        <v>1.9864647025281497</v>
      </c>
      <c r="DX20" s="7" cm="1">
        <f t="array" ref="DX20">PRODUCT(1 + 預測IC!$C20:DX20) - 1</f>
        <v>1.5269483402513289</v>
      </c>
      <c r="DY20" s="7" cm="1">
        <f t="array" ref="DY20">PRODUCT(1 + 預測IC!$C20:DY20) - 1</f>
        <v>1.6624397961590622</v>
      </c>
      <c r="DZ20" s="7" cm="1">
        <f t="array" ref="DZ20">PRODUCT(1 + 預測IC!$C20:DZ20) - 1</f>
        <v>1.4375313171035828</v>
      </c>
      <c r="EA20" s="7" cm="1">
        <f t="array" ref="EA20">PRODUCT(1 + 預測IC!$C20:EA20) - 1</f>
        <v>1.4738920337414463</v>
      </c>
      <c r="EB20" s="7" cm="1">
        <f t="array" ref="EB20">PRODUCT(1 + 預測IC!$C20:EB20) - 1</f>
        <v>1.5705411406655307</v>
      </c>
      <c r="EC20" s="7" cm="1">
        <f t="array" ref="EC20">PRODUCT(1 + 預測IC!$C20:EC20) - 1</f>
        <v>1.6580669905125087</v>
      </c>
      <c r="ED20" s="7" cm="1">
        <f t="array" ref="ED20">PRODUCT(1 + 預測IC!$C20:ED20) - 1</f>
        <v>1.1878048059112203</v>
      </c>
      <c r="EE20" s="7" cm="1">
        <f t="array" ref="EE20">PRODUCT(1 + 預測IC!$C20:EE20) - 1</f>
        <v>1.1929838451108479</v>
      </c>
      <c r="EF20" s="7" cm="1">
        <f t="array" ref="EF20">PRODUCT(1 + 預測IC!$C20:EF20) - 1</f>
        <v>1.2374606641054955</v>
      </c>
    </row>
    <row r="21" spans="1:136" x14ac:dyDescent="0.3">
      <c r="A21" s="1">
        <v>4</v>
      </c>
      <c r="B21" s="1" t="s">
        <v>179</v>
      </c>
      <c r="C21" s="7" cm="1">
        <f t="array" ref="C21">PRODUCT(1 + 預測IC!$C21:C21) - 1</f>
        <v>-0.19764916434148616</v>
      </c>
      <c r="D21" s="7" cm="1">
        <f t="array" ref="D21">PRODUCT(1 + 預測IC!$C21:D21) - 1</f>
        <v>-9.6241713706486598E-2</v>
      </c>
      <c r="E21" s="7" cm="1">
        <f t="array" ref="E21">PRODUCT(1 + 預測IC!$C21:E21) - 1</f>
        <v>-9.6494180636009563E-2</v>
      </c>
      <c r="F21" s="7" cm="1">
        <f t="array" ref="F21">PRODUCT(1 + 預測IC!$C21:F21) - 1</f>
        <v>8.7291098146025536E-2</v>
      </c>
      <c r="G21" s="7" cm="1">
        <f t="array" ref="G21">PRODUCT(1 + 預測IC!$C21:G21) - 1</f>
        <v>7.9358072217498021E-2</v>
      </c>
      <c r="H21" s="7" cm="1">
        <f t="array" ref="H21">PRODUCT(1 + 預測IC!$C21:H21) - 1</f>
        <v>0.25439118940156402</v>
      </c>
      <c r="I21" s="7" cm="1">
        <f t="array" ref="I21">PRODUCT(1 + 預測IC!$C21:I21) - 1</f>
        <v>0.27209225279929972</v>
      </c>
      <c r="J21" s="7" cm="1">
        <f t="array" ref="J21">PRODUCT(1 + 預測IC!$C21:J21) - 1</f>
        <v>9.8142649570277518E-2</v>
      </c>
      <c r="K21" s="7" cm="1">
        <f t="array" ref="K21">PRODUCT(1 + 預測IC!$C21:K21) - 1</f>
        <v>4.3758455286946329E-4</v>
      </c>
      <c r="L21" s="7" cm="1">
        <f t="array" ref="L21">PRODUCT(1 + 預測IC!$C21:L21) - 1</f>
        <v>0.11016518610908621</v>
      </c>
      <c r="M21" s="7" cm="1">
        <f t="array" ref="M21">PRODUCT(1 + 預測IC!$C21:M21) - 1</f>
        <v>-0.11174015401862003</v>
      </c>
      <c r="N21" s="7" cm="1">
        <f t="array" ref="N21">PRODUCT(1 + 預測IC!$C21:N21) - 1</f>
        <v>0.40779527060923981</v>
      </c>
      <c r="O21" s="7" cm="1">
        <f t="array" ref="O21">PRODUCT(1 + 預測IC!$C21:O21) - 1</f>
        <v>0.21172107403225904</v>
      </c>
      <c r="P21" s="7" cm="1">
        <f t="array" ref="P21">PRODUCT(1 + 預測IC!$C21:P21) - 1</f>
        <v>0.2667661611456984</v>
      </c>
      <c r="Q21" s="7" cm="1">
        <f t="array" ref="Q21">PRODUCT(1 + 預測IC!$C21:Q21) - 1</f>
        <v>0.61396579494483716</v>
      </c>
      <c r="R21" s="7" cm="1">
        <f t="array" ref="R21">PRODUCT(1 + 預測IC!$C21:R21) - 1</f>
        <v>0.7509999339027722</v>
      </c>
      <c r="S21" s="7" cm="1">
        <f t="array" ref="S21">PRODUCT(1 + 預測IC!$C21:S21) - 1</f>
        <v>0.68697761262862822</v>
      </c>
      <c r="T21" s="7" cm="1">
        <f t="array" ref="T21">PRODUCT(1 + 預測IC!$C21:T21) - 1</f>
        <v>0.4657804991657164</v>
      </c>
      <c r="U21" s="7" cm="1">
        <f t="array" ref="U21">PRODUCT(1 + 預測IC!$C21:U21) - 1</f>
        <v>0.45137973236592832</v>
      </c>
      <c r="V21" s="7" cm="1">
        <f t="array" ref="V21">PRODUCT(1 + 預測IC!$C21:V21) - 1</f>
        <v>0.26015974340637915</v>
      </c>
      <c r="W21" s="7" cm="1">
        <f t="array" ref="W21">PRODUCT(1 + 預測IC!$C21:W21) - 1</f>
        <v>0.41704789096376049</v>
      </c>
      <c r="X21" s="7" cm="1">
        <f t="array" ref="X21">PRODUCT(1 + 預測IC!$C21:X21) - 1</f>
        <v>0.71151223860640433</v>
      </c>
      <c r="Y21" s="7" cm="1">
        <f t="array" ref="Y21">PRODUCT(1 + 預測IC!$C21:Y21) - 1</f>
        <v>0.69415123973340132</v>
      </c>
      <c r="Z21" s="7" cm="1">
        <f t="array" ref="Z21">PRODUCT(1 + 預測IC!$C21:Z21) - 1</f>
        <v>0.76099857766964885</v>
      </c>
      <c r="AA21" s="7" cm="1">
        <f t="array" ref="AA21">PRODUCT(1 + 預測IC!$C21:AA21) - 1</f>
        <v>0.79532227762105134</v>
      </c>
      <c r="AB21" s="7" cm="1">
        <f t="array" ref="AB21">PRODUCT(1 + 預測IC!$C21:AB21) - 1</f>
        <v>0.67811000380983644</v>
      </c>
      <c r="AC21" s="7" cm="1">
        <f t="array" ref="AC21">PRODUCT(1 + 預測IC!$C21:AC21) - 1</f>
        <v>0.41038052035710493</v>
      </c>
      <c r="AD21" s="7" cm="1">
        <f t="array" ref="AD21">PRODUCT(1 + 預測IC!$C21:AD21) - 1</f>
        <v>0.34451938241706692</v>
      </c>
      <c r="AE21" s="7" cm="1">
        <f t="array" ref="AE21">PRODUCT(1 + 預測IC!$C21:AE21) - 1</f>
        <v>0.35838354285916973</v>
      </c>
      <c r="AF21" s="7" cm="1">
        <f t="array" ref="AF21">PRODUCT(1 + 預測IC!$C21:AF21) - 1</f>
        <v>0.28621858868490624</v>
      </c>
      <c r="AG21" s="7" cm="1">
        <f t="array" ref="AG21">PRODUCT(1 + 預測IC!$C21:AG21) - 1</f>
        <v>0.27262228962851442</v>
      </c>
      <c r="AH21" s="7" cm="1">
        <f t="array" ref="AH21">PRODUCT(1 + 預測IC!$C21:AH21) - 1</f>
        <v>0.40953272957708342</v>
      </c>
      <c r="AI21" s="7" cm="1">
        <f t="array" ref="AI21">PRODUCT(1 + 預測IC!$C21:AI21) - 1</f>
        <v>0.5534793926752295</v>
      </c>
      <c r="AJ21" s="7" cm="1">
        <f t="array" ref="AJ21">PRODUCT(1 + 預測IC!$C21:AJ21) - 1</f>
        <v>0.56153562129777201</v>
      </c>
      <c r="AK21" s="7" cm="1">
        <f t="array" ref="AK21">PRODUCT(1 + 預測IC!$C21:AK21) - 1</f>
        <v>0.72547907588112315</v>
      </c>
      <c r="AL21" s="7" cm="1">
        <f t="array" ref="AL21">PRODUCT(1 + 預測IC!$C21:AL21) - 1</f>
        <v>0.83829059199192257</v>
      </c>
      <c r="AM21" s="7" cm="1">
        <f t="array" ref="AM21">PRODUCT(1 + 預測IC!$C21:AM21) - 1</f>
        <v>0.96427932203747169</v>
      </c>
      <c r="AN21" s="7" cm="1">
        <f t="array" ref="AN21">PRODUCT(1 + 預測IC!$C21:AN21) - 1</f>
        <v>1.1841922879390756</v>
      </c>
      <c r="AO21" s="7" cm="1">
        <f t="array" ref="AO21">PRODUCT(1 + 預測IC!$C21:AO21) - 1</f>
        <v>1.2884359132352325</v>
      </c>
      <c r="AP21" s="7" cm="1">
        <f t="array" ref="AP21">PRODUCT(1 + 預測IC!$C21:AP21) - 1</f>
        <v>1.3317843334291126</v>
      </c>
      <c r="AQ21" s="7" cm="1">
        <f t="array" ref="AQ21">PRODUCT(1 + 預測IC!$C21:AQ21) - 1</f>
        <v>1.5110181184573936</v>
      </c>
      <c r="AR21" s="7" cm="1">
        <f t="array" ref="AR21">PRODUCT(1 + 預測IC!$C21:AR21) - 1</f>
        <v>2.0262345366804984</v>
      </c>
      <c r="AS21" s="7" cm="1">
        <f t="array" ref="AS21">PRODUCT(1 + 預測IC!$C21:AS21) - 1</f>
        <v>2.2212931124706699</v>
      </c>
      <c r="AT21" s="7" cm="1">
        <f t="array" ref="AT21">PRODUCT(1 + 預測IC!$C21:AT21) - 1</f>
        <v>2.2132627145435699</v>
      </c>
      <c r="AU21" s="7" cm="1">
        <f t="array" ref="AU21">PRODUCT(1 + 預測IC!$C21:AU21) - 1</f>
        <v>2.3668876208673693</v>
      </c>
      <c r="AV21" s="7" cm="1">
        <f t="array" ref="AV21">PRODUCT(1 + 預測IC!$C21:AV21) - 1</f>
        <v>2.1799553937752716</v>
      </c>
      <c r="AW21" s="7" cm="1">
        <f t="array" ref="AW21">PRODUCT(1 + 預測IC!$C21:AW21) - 1</f>
        <v>2.2110904322884184</v>
      </c>
      <c r="AX21" s="7" cm="1">
        <f t="array" ref="AX21">PRODUCT(1 + 預測IC!$C21:AX21) - 1</f>
        <v>2.4230418350371106</v>
      </c>
      <c r="AY21" s="7" cm="1">
        <f t="array" ref="AY21">PRODUCT(1 + 預測IC!$C21:AY21) - 1</f>
        <v>2.5839976811923879</v>
      </c>
      <c r="AZ21" s="7" cm="1">
        <f t="array" ref="AZ21">PRODUCT(1 + 預測IC!$C21:AZ21) - 1</f>
        <v>1.6703962809712443</v>
      </c>
      <c r="BA21" s="7" cm="1">
        <f t="array" ref="BA21">PRODUCT(1 + 預測IC!$C21:BA21) - 1</f>
        <v>1.4807122072689221</v>
      </c>
      <c r="BB21" s="7" cm="1">
        <f t="array" ref="BB21">PRODUCT(1 + 預測IC!$C21:BB21) - 1</f>
        <v>2.0397311153193982</v>
      </c>
      <c r="BC21" s="7" cm="1">
        <f t="array" ref="BC21">PRODUCT(1 + 預測IC!$C21:BC21) - 1</f>
        <v>2.1562171004344215</v>
      </c>
      <c r="BD21" s="7" cm="1">
        <f t="array" ref="BD21">PRODUCT(1 + 預測IC!$C21:BD21) - 1</f>
        <v>2.0875666535148332</v>
      </c>
      <c r="BE21" s="7" cm="1">
        <f t="array" ref="BE21">PRODUCT(1 + 預測IC!$C21:BE21) - 1</f>
        <v>2.1071743486646821</v>
      </c>
      <c r="BF21" s="7" cm="1">
        <f t="array" ref="BF21">PRODUCT(1 + 預測IC!$C21:BF21) - 1</f>
        <v>2.1182890225879327</v>
      </c>
      <c r="BG21" s="7" cm="1">
        <f t="array" ref="BG21">PRODUCT(1 + 預測IC!$C21:BG21) - 1</f>
        <v>2.2325281309631513</v>
      </c>
      <c r="BH21" s="7" cm="1">
        <f t="array" ref="BH21">PRODUCT(1 + 預測IC!$C21:BH21) - 1</f>
        <v>1.9858171776236708</v>
      </c>
      <c r="BI21" s="7" cm="1">
        <f t="array" ref="BI21">PRODUCT(1 + 預測IC!$C21:BI21) - 1</f>
        <v>2.4813720488563771</v>
      </c>
      <c r="BJ21" s="7" cm="1">
        <f t="array" ref="BJ21">PRODUCT(1 + 預測IC!$C21:BJ21) - 1</f>
        <v>2.5634594115446618</v>
      </c>
      <c r="BK21" s="7" cm="1">
        <f t="array" ref="BK21">PRODUCT(1 + 預測IC!$C21:BK21) - 1</f>
        <v>2.3195410410871022</v>
      </c>
      <c r="BL21" s="7" cm="1">
        <f t="array" ref="BL21">PRODUCT(1 + 預測IC!$C21:BL21) - 1</f>
        <v>2.7933095655554552</v>
      </c>
      <c r="BM21" s="7" cm="1">
        <f t="array" ref="BM21">PRODUCT(1 + 預測IC!$C21:BM21) - 1</f>
        <v>3.3817277602383626</v>
      </c>
      <c r="BN21" s="7" cm="1">
        <f t="array" ref="BN21">PRODUCT(1 + 預測IC!$C21:BN21) - 1</f>
        <v>3.6606157408382032</v>
      </c>
      <c r="BO21" s="7" cm="1">
        <f t="array" ref="BO21">PRODUCT(1 + 預測IC!$C21:BO21) - 1</f>
        <v>3.3630016996421785</v>
      </c>
      <c r="BP21" s="7" cm="1">
        <f t="array" ref="BP21">PRODUCT(1 + 預測IC!$C21:BP21) - 1</f>
        <v>3.8189752089272071</v>
      </c>
      <c r="BQ21" s="7" cm="1">
        <f t="array" ref="BQ21">PRODUCT(1 + 預測IC!$C21:BQ21) - 1</f>
        <v>4.0818128671582716</v>
      </c>
      <c r="BR21" s="7" cm="1">
        <f t="array" ref="BR21">PRODUCT(1 + 預測IC!$C21:BR21) - 1</f>
        <v>4.1444404285773189</v>
      </c>
      <c r="BS21" s="7" cm="1">
        <f t="array" ref="BS21">PRODUCT(1 + 預測IC!$C21:BS21) - 1</f>
        <v>4.1745877382174941</v>
      </c>
      <c r="BT21" s="7" cm="1">
        <f t="array" ref="BT21">PRODUCT(1 + 預測IC!$C21:BT21) - 1</f>
        <v>4.8588995101019705</v>
      </c>
      <c r="BU21" s="7" cm="1">
        <f t="array" ref="BU21">PRODUCT(1 + 預測IC!$C21:BU21) - 1</f>
        <v>5.652759666097718</v>
      </c>
      <c r="BV21" s="7" cm="1">
        <f t="array" ref="BV21">PRODUCT(1 + 預測IC!$C21:BV21) - 1</f>
        <v>6.5984028845496221</v>
      </c>
      <c r="BW21" s="7" cm="1">
        <f t="array" ref="BW21">PRODUCT(1 + 預測IC!$C21:BW21) - 1</f>
        <v>5.4838752514497413</v>
      </c>
      <c r="BX21" s="7" cm="1">
        <f t="array" ref="BX21">PRODUCT(1 + 預測IC!$C21:BX21) - 1</f>
        <v>5.4644831523099713</v>
      </c>
      <c r="BY21" s="7" cm="1">
        <f t="array" ref="BY21">PRODUCT(1 + 預測IC!$C21:BY21) - 1</f>
        <v>5.1388034528945745</v>
      </c>
      <c r="BZ21" s="7" cm="1">
        <f t="array" ref="BZ21">PRODUCT(1 + 預測IC!$C21:BZ21) - 1</f>
        <v>5.4313968043003706</v>
      </c>
      <c r="CA21" s="7" cm="1">
        <f t="array" ref="CA21">PRODUCT(1 + 預測IC!$C21:CA21) - 1</f>
        <v>6.0427617433661673</v>
      </c>
      <c r="CB21" s="7" cm="1">
        <f t="array" ref="CB21">PRODUCT(1 + 預測IC!$C21:CB21) - 1</f>
        <v>5.596099995724015</v>
      </c>
      <c r="CC21" s="7" cm="1">
        <f t="array" ref="CC21">PRODUCT(1 + 預測IC!$C21:CC21) - 1</f>
        <v>5.288104674271449</v>
      </c>
      <c r="CD21" s="7" cm="1">
        <f t="array" ref="CD21">PRODUCT(1 + 預測IC!$C21:CD21) - 1</f>
        <v>7.099431359041354</v>
      </c>
      <c r="CE21" s="7" cm="1">
        <f t="array" ref="CE21">PRODUCT(1 + 預測IC!$C21:CE21) - 1</f>
        <v>3.8995408814371464</v>
      </c>
      <c r="CF21" s="7" cm="1">
        <f t="array" ref="CF21">PRODUCT(1 + 預測IC!$C21:CF21) - 1</f>
        <v>4.5426824312535157</v>
      </c>
      <c r="CG21" s="7" cm="1">
        <f t="array" ref="CG21">PRODUCT(1 + 預測IC!$C21:CG21) - 1</f>
        <v>3.7459152406374097</v>
      </c>
      <c r="CH21" s="7" cm="1">
        <f t="array" ref="CH21">PRODUCT(1 + 預測IC!$C21:CH21) - 1</f>
        <v>4.1260645752129523</v>
      </c>
      <c r="CI21" s="7" cm="1">
        <f t="array" ref="CI21">PRODUCT(1 + 預測IC!$C21:CI21) - 1</f>
        <v>3.713418343312906</v>
      </c>
      <c r="CJ21" s="7" cm="1">
        <f t="array" ref="CJ21">PRODUCT(1 + 預測IC!$C21:CJ21) - 1</f>
        <v>3.3098189026945839</v>
      </c>
      <c r="CK21" s="7" cm="1">
        <f t="array" ref="CK21">PRODUCT(1 + 預測IC!$C21:CK21) - 1</f>
        <v>3.8573837505897979</v>
      </c>
      <c r="CL21" s="7" cm="1">
        <f t="array" ref="CL21">PRODUCT(1 + 預測IC!$C21:CL21) - 1</f>
        <v>3.2070265776666416</v>
      </c>
      <c r="CM21" s="7" cm="1">
        <f t="array" ref="CM21">PRODUCT(1 + 預測IC!$C21:CM21) - 1</f>
        <v>4.1557236432228768</v>
      </c>
      <c r="CN21" s="7" cm="1">
        <f t="array" ref="CN21">PRODUCT(1 + 預測IC!$C21:CN21) - 1</f>
        <v>4.3131737214842696</v>
      </c>
      <c r="CO21" s="7" cm="1">
        <f t="array" ref="CO21">PRODUCT(1 + 預測IC!$C21:CO21) - 1</f>
        <v>1.5776052125300746</v>
      </c>
      <c r="CP21" s="7" cm="1">
        <f t="array" ref="CP21">PRODUCT(1 + 預測IC!$C21:CP21) - 1</f>
        <v>2.1516380502797472</v>
      </c>
      <c r="CQ21" s="7" cm="1">
        <f t="array" ref="CQ21">PRODUCT(1 + 預測IC!$C21:CQ21) - 1</f>
        <v>2.1620009252733534</v>
      </c>
      <c r="CR21" s="7" cm="1">
        <f t="array" ref="CR21">PRODUCT(1 + 預測IC!$C21:CR21) - 1</f>
        <v>2.449187376282385</v>
      </c>
      <c r="CS21" s="7" cm="1">
        <f t="array" ref="CS21">PRODUCT(1 + 預測IC!$C21:CS21) - 1</f>
        <v>2.6894108466753921</v>
      </c>
      <c r="CT21" s="7" cm="1">
        <f t="array" ref="CT21">PRODUCT(1 + 預測IC!$C21:CT21) - 1</f>
        <v>2.9930230643882694</v>
      </c>
      <c r="CU21" s="7" cm="1">
        <f t="array" ref="CU21">PRODUCT(1 + 預測IC!$C21:CU21) - 1</f>
        <v>2.7427660931041644</v>
      </c>
      <c r="CV21" s="7" cm="1">
        <f t="array" ref="CV21">PRODUCT(1 + 預測IC!$C21:CV21) - 1</f>
        <v>3.1104016581075387</v>
      </c>
      <c r="CW21" s="7" cm="1">
        <f t="array" ref="CW21">PRODUCT(1 + 預測IC!$C21:CW21) - 1</f>
        <v>3.3776000330852867</v>
      </c>
      <c r="CX21" s="7" cm="1">
        <f t="array" ref="CX21">PRODUCT(1 + 預測IC!$C21:CX21) - 1</f>
        <v>3.8246500726218935</v>
      </c>
      <c r="CY21" s="7" cm="1">
        <f t="array" ref="CY21">PRODUCT(1 + 預測IC!$C21:CY21) - 1</f>
        <v>3.7837277940277749</v>
      </c>
      <c r="CZ21" s="7" cm="1">
        <f t="array" ref="CZ21">PRODUCT(1 + 預測IC!$C21:CZ21) - 1</f>
        <v>4.9196305163772944</v>
      </c>
      <c r="DA21" s="7" cm="1">
        <f t="array" ref="DA21">PRODUCT(1 + 預測IC!$C21:DA21) - 1</f>
        <v>4.9266882340819116</v>
      </c>
      <c r="DB21" s="7" cm="1">
        <f t="array" ref="DB21">PRODUCT(1 + 預測IC!$C21:DB21) - 1</f>
        <v>4.6207263104223042</v>
      </c>
      <c r="DC21" s="7" cm="1">
        <f t="array" ref="DC21">PRODUCT(1 + 預測IC!$C21:DC21) - 1</f>
        <v>4.3675263090756475</v>
      </c>
      <c r="DD21" s="7" cm="1">
        <f t="array" ref="DD21">PRODUCT(1 + 預測IC!$C21:DD21) - 1</f>
        <v>5.0187290334659203</v>
      </c>
      <c r="DE21" s="7" cm="1">
        <f t="array" ref="DE21">PRODUCT(1 + 預測IC!$C21:DE21) - 1</f>
        <v>5.0923868929411444</v>
      </c>
      <c r="DF21" s="7" cm="1">
        <f t="array" ref="DF21">PRODUCT(1 + 預測IC!$C21:DF21) - 1</f>
        <v>5.2237441199051453</v>
      </c>
      <c r="DG21" s="7" cm="1">
        <f t="array" ref="DG21">PRODUCT(1 + 預測IC!$C21:DG21) - 1</f>
        <v>5.2725779696451571</v>
      </c>
      <c r="DH21" s="7" cm="1">
        <f t="array" ref="DH21">PRODUCT(1 + 預測IC!$C21:DH21) - 1</f>
        <v>5.3608759219924558</v>
      </c>
      <c r="DI21" s="7" cm="1">
        <f t="array" ref="DI21">PRODUCT(1 + 預測IC!$C21:DI21) - 1</f>
        <v>5.5797376221213284</v>
      </c>
      <c r="DJ21" s="7" cm="1">
        <f t="array" ref="DJ21">PRODUCT(1 + 預測IC!$C21:DJ21) - 1</f>
        <v>5.3302911284173753</v>
      </c>
      <c r="DK21" s="7" cm="1">
        <f t="array" ref="DK21">PRODUCT(1 + 預測IC!$C21:DK21) - 1</f>
        <v>6.2133838757832969</v>
      </c>
      <c r="DL21" s="7" cm="1">
        <f t="array" ref="DL21">PRODUCT(1 + 預測IC!$C21:DL21) - 1</f>
        <v>6.9229279395496661</v>
      </c>
      <c r="DM21" s="7" cm="1">
        <f t="array" ref="DM21">PRODUCT(1 + 預測IC!$C21:DM21) - 1</f>
        <v>6.6865543594842931</v>
      </c>
      <c r="DN21" s="7" cm="1">
        <f t="array" ref="DN21">PRODUCT(1 + 預測IC!$C21:DN21) - 1</f>
        <v>7.2338186781848695</v>
      </c>
      <c r="DO21" s="7" cm="1">
        <f t="array" ref="DO21">PRODUCT(1 + 預測IC!$C21:DO21) - 1</f>
        <v>7.9126623830149718</v>
      </c>
      <c r="DP21" s="7" cm="1">
        <f t="array" ref="DP21">PRODUCT(1 + 預測IC!$C21:DP21) - 1</f>
        <v>8.1289384306978061</v>
      </c>
      <c r="DQ21" s="7" cm="1">
        <f t="array" ref="DQ21">PRODUCT(1 + 預測IC!$C21:DQ21) - 1</f>
        <v>6.7163156707428451</v>
      </c>
      <c r="DR21" s="7" cm="1">
        <f t="array" ref="DR21">PRODUCT(1 + 預測IC!$C21:DR21) - 1</f>
        <v>7.1034498565452999</v>
      </c>
      <c r="DS21" s="7" cm="1">
        <f t="array" ref="DS21">PRODUCT(1 + 預測IC!$C21:DS21) - 1</f>
        <v>5.4759572510898336</v>
      </c>
      <c r="DT21" s="7" cm="1">
        <f t="array" ref="DT21">PRODUCT(1 + 預測IC!$C21:DT21) - 1</f>
        <v>4.3713480246147105</v>
      </c>
      <c r="DU21" s="7" cm="1">
        <f t="array" ref="DU21">PRODUCT(1 + 預測IC!$C21:DU21) - 1</f>
        <v>4.2204652794464153</v>
      </c>
      <c r="DV21" s="7" cm="1">
        <f t="array" ref="DV21">PRODUCT(1 + 預測IC!$C21:DV21) - 1</f>
        <v>4.9527711462360422</v>
      </c>
      <c r="DW21" s="7" cm="1">
        <f t="array" ref="DW21">PRODUCT(1 + 預測IC!$C21:DW21) - 1</f>
        <v>5.7162013583860913</v>
      </c>
      <c r="DX21" s="7" cm="1">
        <f t="array" ref="DX21">PRODUCT(1 + 預測IC!$C21:DX21) - 1</f>
        <v>4.4672148190959389</v>
      </c>
      <c r="DY21" s="7" cm="1">
        <f t="array" ref="DY21">PRODUCT(1 + 預測IC!$C21:DY21) - 1</f>
        <v>4.6016864103917969</v>
      </c>
      <c r="DZ21" s="7" cm="1">
        <f t="array" ref="DZ21">PRODUCT(1 + 預測IC!$C21:DZ21) - 1</f>
        <v>4.3056705208711872</v>
      </c>
      <c r="EA21" s="7" cm="1">
        <f t="array" ref="EA21">PRODUCT(1 + 預測IC!$C21:EA21) - 1</f>
        <v>4.1737422514305011</v>
      </c>
      <c r="EB21" s="7" cm="1">
        <f t="array" ref="EB21">PRODUCT(1 + 預測IC!$C21:EB21) - 1</f>
        <v>4.2172438325294648</v>
      </c>
      <c r="EC21" s="7" cm="1">
        <f t="array" ref="EC21">PRODUCT(1 + 預測IC!$C21:EC21) - 1</f>
        <v>4.2904785716666005</v>
      </c>
      <c r="ED21" s="7" cm="1">
        <f t="array" ref="ED21">PRODUCT(1 + 預測IC!$C21:ED21) - 1</f>
        <v>4.0021535399762147</v>
      </c>
      <c r="EE21" s="7" cm="1">
        <f t="array" ref="EE21">PRODUCT(1 + 預測IC!$C21:EE21) - 1</f>
        <v>4.0743288736281311</v>
      </c>
      <c r="EF21" s="7" cm="1">
        <f t="array" ref="EF21">PRODUCT(1 + 預測IC!$C21:EF21) - 1</f>
        <v>3.9790773065047089</v>
      </c>
    </row>
    <row r="22" spans="1:136" x14ac:dyDescent="0.3">
      <c r="A22" s="1">
        <v>3</v>
      </c>
      <c r="B22" s="1" t="s">
        <v>180</v>
      </c>
      <c r="C22" s="7" cm="1">
        <f t="array" ref="C22">PRODUCT(1 + 預測IC!$C22:C22) - 1</f>
        <v>6.4235717628454703E-2</v>
      </c>
      <c r="D22" s="7" cm="1">
        <f t="array" ref="D22">PRODUCT(1 + 預測IC!$C22:D22) - 1</f>
        <v>0.21581252499432435</v>
      </c>
      <c r="E22" s="7" cm="1">
        <f t="array" ref="E22">PRODUCT(1 + 預測IC!$C22:E22) - 1</f>
        <v>0.16593073771836631</v>
      </c>
      <c r="F22" s="7" cm="1">
        <f t="array" ref="F22">PRODUCT(1 + 預測IC!$C22:F22) - 1</f>
        <v>2.8549781963558285E-3</v>
      </c>
      <c r="G22" s="7" cm="1">
        <f t="array" ref="G22">PRODUCT(1 + 預測IC!$C22:G22) - 1</f>
        <v>-3.0193931358140635E-2</v>
      </c>
      <c r="H22" s="7" cm="1">
        <f t="array" ref="H22">PRODUCT(1 + 預測IC!$C22:H22) - 1</f>
        <v>9.023470769328501E-2</v>
      </c>
      <c r="I22" s="7" cm="1">
        <f t="array" ref="I22">PRODUCT(1 + 預測IC!$C22:I22) - 1</f>
        <v>0.10924550446674219</v>
      </c>
      <c r="J22" s="7" cm="1">
        <f t="array" ref="J22">PRODUCT(1 + 預測IC!$C22:J22) - 1</f>
        <v>-6.3972247687752448E-3</v>
      </c>
      <c r="K22" s="7" cm="1">
        <f t="array" ref="K22">PRODUCT(1 + 預測IC!$C22:K22) - 1</f>
        <v>-0.15870338549732799</v>
      </c>
      <c r="L22" s="7" cm="1">
        <f t="array" ref="L22">PRODUCT(1 + 預測IC!$C22:L22) - 1</f>
        <v>-1.4687404753123245E-2</v>
      </c>
      <c r="M22" s="7" cm="1">
        <f t="array" ref="M22">PRODUCT(1 + 預測IC!$C22:M22) - 1</f>
        <v>-0.19663797499552749</v>
      </c>
      <c r="N22" s="7" cm="1">
        <f t="array" ref="N22">PRODUCT(1 + 預測IC!$C22:N22) - 1</f>
        <v>0.41081895266107216</v>
      </c>
      <c r="O22" s="7" cm="1">
        <f t="array" ref="O22">PRODUCT(1 + 預測IC!$C22:O22) - 1</f>
        <v>0.3170808511837524</v>
      </c>
      <c r="P22" s="7" cm="1">
        <f t="array" ref="P22">PRODUCT(1 + 預測IC!$C22:P22) - 1</f>
        <v>0.43644904041711152</v>
      </c>
      <c r="Q22" s="7" cm="1">
        <f t="array" ref="Q22">PRODUCT(1 + 預測IC!$C22:Q22) - 1</f>
        <v>0.61926718856302343</v>
      </c>
      <c r="R22" s="7" cm="1">
        <f t="array" ref="R22">PRODUCT(1 + 預測IC!$C22:R22) - 1</f>
        <v>0.72726954531363175</v>
      </c>
      <c r="S22" s="7" cm="1">
        <f t="array" ref="S22">PRODUCT(1 + 預測IC!$C22:S22) - 1</f>
        <v>0.65950160404539848</v>
      </c>
      <c r="T22" s="7" cm="1">
        <f t="array" ref="T22">PRODUCT(1 + 預測IC!$C22:T22) - 1</f>
        <v>0.4855045748664677</v>
      </c>
      <c r="U22" s="7" cm="1">
        <f t="array" ref="U22">PRODUCT(1 + 預測IC!$C22:U22) - 1</f>
        <v>0.56347708559545207</v>
      </c>
      <c r="V22" s="7" cm="1">
        <f t="array" ref="V22">PRODUCT(1 + 預測IC!$C22:V22) - 1</f>
        <v>0.28889157492302608</v>
      </c>
      <c r="W22" s="7" cm="1">
        <f t="array" ref="W22">PRODUCT(1 + 預測IC!$C22:W22) - 1</f>
        <v>0.492597992411556</v>
      </c>
      <c r="X22" s="7" cm="1">
        <f t="array" ref="X22">PRODUCT(1 + 預測IC!$C22:X22) - 1</f>
        <v>0.87649770547635342</v>
      </c>
      <c r="Y22" s="7" cm="1">
        <f t="array" ref="Y22">PRODUCT(1 + 預測IC!$C22:Y22) - 1</f>
        <v>0.745418088816169</v>
      </c>
      <c r="Z22" s="7" cm="1">
        <f t="array" ref="Z22">PRODUCT(1 + 預測IC!$C22:Z22) - 1</f>
        <v>0.78707444949894678</v>
      </c>
      <c r="AA22" s="7" cm="1">
        <f t="array" ref="AA22">PRODUCT(1 + 預測IC!$C22:AA22) - 1</f>
        <v>0.79966978039708558</v>
      </c>
      <c r="AB22" s="7" cm="1">
        <f t="array" ref="AB22">PRODUCT(1 + 預測IC!$C22:AB22) - 1</f>
        <v>0.73078912128131024</v>
      </c>
      <c r="AC22" s="7" cm="1">
        <f t="array" ref="AC22">PRODUCT(1 + 預測IC!$C22:AC22) - 1</f>
        <v>0.42407065347248407</v>
      </c>
      <c r="AD22" s="7" cm="1">
        <f t="array" ref="AD22">PRODUCT(1 + 預測IC!$C22:AD22) - 1</f>
        <v>0.40631633361136266</v>
      </c>
      <c r="AE22" s="7" cm="1">
        <f t="array" ref="AE22">PRODUCT(1 + 預測IC!$C22:AE22) - 1</f>
        <v>0.2865717520798281</v>
      </c>
      <c r="AF22" s="7" cm="1">
        <f t="array" ref="AF22">PRODUCT(1 + 預測IC!$C22:AF22) - 1</f>
        <v>0.22586831691321452</v>
      </c>
      <c r="AG22" s="7" cm="1">
        <f t="array" ref="AG22">PRODUCT(1 + 預測IC!$C22:AG22) - 1</f>
        <v>0.16951047613939574</v>
      </c>
      <c r="AH22" s="7" cm="1">
        <f t="array" ref="AH22">PRODUCT(1 + 預測IC!$C22:AH22) - 1</f>
        <v>0.2933218247481868</v>
      </c>
      <c r="AI22" s="7" cm="1">
        <f t="array" ref="AI22">PRODUCT(1 + 預測IC!$C22:AI22) - 1</f>
        <v>0.43688534710604543</v>
      </c>
      <c r="AJ22" s="7" cm="1">
        <f t="array" ref="AJ22">PRODUCT(1 + 預測IC!$C22:AJ22) - 1</f>
        <v>0.45568202260232149</v>
      </c>
      <c r="AK22" s="7" cm="1">
        <f t="array" ref="AK22">PRODUCT(1 + 預測IC!$C22:AK22) - 1</f>
        <v>0.35630358889866232</v>
      </c>
      <c r="AL22" s="7" cm="1">
        <f t="array" ref="AL22">PRODUCT(1 + 預測IC!$C22:AL22) - 1</f>
        <v>0.41101818695850301</v>
      </c>
      <c r="AM22" s="7" cm="1">
        <f t="array" ref="AM22">PRODUCT(1 + 預測IC!$C22:AM22) - 1</f>
        <v>0.52966915907283063</v>
      </c>
      <c r="AN22" s="7" cm="1">
        <f t="array" ref="AN22">PRODUCT(1 + 預測IC!$C22:AN22) - 1</f>
        <v>0.6996655905762883</v>
      </c>
      <c r="AO22" s="7" cm="1">
        <f t="array" ref="AO22">PRODUCT(1 + 預測IC!$C22:AO22) - 1</f>
        <v>0.82666013915181003</v>
      </c>
      <c r="AP22" s="7" cm="1">
        <f t="array" ref="AP22">PRODUCT(1 + 預測IC!$C22:AP22) - 1</f>
        <v>0.86409338947806091</v>
      </c>
      <c r="AQ22" s="7" cm="1">
        <f t="array" ref="AQ22">PRODUCT(1 + 預測IC!$C22:AQ22) - 1</f>
        <v>1.0121510900218142</v>
      </c>
      <c r="AR22" s="7" cm="1">
        <f t="array" ref="AR22">PRODUCT(1 + 預測IC!$C22:AR22) - 1</f>
        <v>1.516260691464288</v>
      </c>
      <c r="AS22" s="7" cm="1">
        <f t="array" ref="AS22">PRODUCT(1 + 預測IC!$C22:AS22) - 1</f>
        <v>1.7246333437076147</v>
      </c>
      <c r="AT22" s="7" cm="1">
        <f t="array" ref="AT22">PRODUCT(1 + 預測IC!$C22:AT22) - 1</f>
        <v>1.6561459740987794</v>
      </c>
      <c r="AU22" s="7" cm="1">
        <f t="array" ref="AU22">PRODUCT(1 + 預測IC!$C22:AU22) - 1</f>
        <v>1.7451280645723264</v>
      </c>
      <c r="AV22" s="7" cm="1">
        <f t="array" ref="AV22">PRODUCT(1 + 預測IC!$C22:AV22) - 1</f>
        <v>1.5809332346481453</v>
      </c>
      <c r="AW22" s="7" cm="1">
        <f t="array" ref="AW22">PRODUCT(1 + 預測IC!$C22:AW22) - 1</f>
        <v>1.5031196740394339</v>
      </c>
      <c r="AX22" s="7" cm="1">
        <f t="array" ref="AX22">PRODUCT(1 + 預測IC!$C22:AX22) - 1</f>
        <v>1.2333819065451239</v>
      </c>
      <c r="AY22" s="7" cm="1">
        <f t="array" ref="AY22">PRODUCT(1 + 預測IC!$C22:AY22) - 1</f>
        <v>1.3935899514458239</v>
      </c>
      <c r="AZ22" s="7" cm="1">
        <f t="array" ref="AZ22">PRODUCT(1 + 預測IC!$C22:AZ22) - 1</f>
        <v>1.0228138242153229</v>
      </c>
      <c r="BA22" s="7" cm="1">
        <f t="array" ref="BA22">PRODUCT(1 + 預測IC!$C22:BA22) - 1</f>
        <v>0.9305766994241329</v>
      </c>
      <c r="BB22" s="7" cm="1">
        <f t="array" ref="BB22">PRODUCT(1 + 預測IC!$C22:BB22) - 1</f>
        <v>1.5134756152122946</v>
      </c>
      <c r="BC22" s="7" cm="1">
        <f t="array" ref="BC22">PRODUCT(1 + 預測IC!$C22:BC22) - 1</f>
        <v>1.1846201616712069</v>
      </c>
      <c r="BD22" s="7" cm="1">
        <f t="array" ref="BD22">PRODUCT(1 + 預測IC!$C22:BD22) - 1</f>
        <v>1.1361779977724025</v>
      </c>
      <c r="BE22" s="7" cm="1">
        <f t="array" ref="BE22">PRODUCT(1 + 預測IC!$C22:BE22) - 1</f>
        <v>1.1836357199341685</v>
      </c>
      <c r="BF22" s="7" cm="1">
        <f t="array" ref="BF22">PRODUCT(1 + 預測IC!$C22:BF22) - 1</f>
        <v>1.2134179286517806</v>
      </c>
      <c r="BG22" s="7" cm="1">
        <f t="array" ref="BG22">PRODUCT(1 + 預測IC!$C22:BG22) - 1</f>
        <v>1.3158538306145444</v>
      </c>
      <c r="BH22" s="7" cm="1">
        <f t="array" ref="BH22">PRODUCT(1 + 預測IC!$C22:BH22) - 1</f>
        <v>1.0195159184732669</v>
      </c>
      <c r="BI22" s="7" cm="1">
        <f t="array" ref="BI22">PRODUCT(1 + 預測IC!$C22:BI22) - 1</f>
        <v>1.2438613556843845</v>
      </c>
      <c r="BJ22" s="7" cm="1">
        <f t="array" ref="BJ22">PRODUCT(1 + 預測IC!$C22:BJ22) - 1</f>
        <v>1.3672656863422623</v>
      </c>
      <c r="BK22" s="7" cm="1">
        <f t="array" ref="BK22">PRODUCT(1 + 預測IC!$C22:BK22) - 1</f>
        <v>1.2682201518674443</v>
      </c>
      <c r="BL22" s="7" cm="1">
        <f t="array" ref="BL22">PRODUCT(1 + 預測IC!$C22:BL22) - 1</f>
        <v>1.6351735771243145</v>
      </c>
      <c r="BM22" s="7" cm="1">
        <f t="array" ref="BM22">PRODUCT(1 + 預測IC!$C22:BM22) - 1</f>
        <v>2.1405920676695596</v>
      </c>
      <c r="BN22" s="7" cm="1">
        <f t="array" ref="BN22">PRODUCT(1 + 預測IC!$C22:BN22) - 1</f>
        <v>2.0924544793692004</v>
      </c>
      <c r="BO22" s="7" cm="1">
        <f t="array" ref="BO22">PRODUCT(1 + 預測IC!$C22:BO22) - 1</f>
        <v>1.9363336804210785</v>
      </c>
      <c r="BP22" s="7" cm="1">
        <f t="array" ref="BP22">PRODUCT(1 + 預測IC!$C22:BP22) - 1</f>
        <v>2.1560758268343583</v>
      </c>
      <c r="BQ22" s="7" cm="1">
        <f t="array" ref="BQ22">PRODUCT(1 + 預測IC!$C22:BQ22) - 1</f>
        <v>2.2439097244916182</v>
      </c>
      <c r="BR22" s="7" cm="1">
        <f t="array" ref="BR22">PRODUCT(1 + 預測IC!$C22:BR22) - 1</f>
        <v>2.3114271946416154</v>
      </c>
      <c r="BS22" s="7" cm="1">
        <f t="array" ref="BS22">PRODUCT(1 + 預測IC!$C22:BS22) - 1</f>
        <v>2.2572099178271334</v>
      </c>
      <c r="BT22" s="7" cm="1">
        <f t="array" ref="BT22">PRODUCT(1 + 預測IC!$C22:BT22) - 1</f>
        <v>2.6823758193158826</v>
      </c>
      <c r="BU22" s="7" cm="1">
        <f t="array" ref="BU22">PRODUCT(1 + 預測IC!$C22:BU22) - 1</f>
        <v>3.4665332064956447</v>
      </c>
      <c r="BV22" s="7" cm="1">
        <f t="array" ref="BV22">PRODUCT(1 + 預測IC!$C22:BV22) - 1</f>
        <v>4.1746751238992941</v>
      </c>
      <c r="BW22" s="7" cm="1">
        <f t="array" ref="BW22">PRODUCT(1 + 預測IC!$C22:BW22) - 1</f>
        <v>3.2708223927444493</v>
      </c>
      <c r="BX22" s="7" cm="1">
        <f t="array" ref="BX22">PRODUCT(1 + 預測IC!$C22:BX22) - 1</f>
        <v>3.4272944162186842</v>
      </c>
      <c r="BY22" s="7" cm="1">
        <f t="array" ref="BY22">PRODUCT(1 + 預測IC!$C22:BY22) - 1</f>
        <v>3.4062789952828743</v>
      </c>
      <c r="BZ22" s="7" cm="1">
        <f t="array" ref="BZ22">PRODUCT(1 + 預測IC!$C22:BZ22) - 1</f>
        <v>3.6145097641801618</v>
      </c>
      <c r="CA22" s="7" cm="1">
        <f t="array" ref="CA22">PRODUCT(1 + 預測IC!$C22:CA22) - 1</f>
        <v>4.2793624984209702</v>
      </c>
      <c r="CB22" s="7" cm="1">
        <f t="array" ref="CB22">PRODUCT(1 + 預測IC!$C22:CB22) - 1</f>
        <v>3.4927729727326247</v>
      </c>
      <c r="CC22" s="7" cm="1">
        <f t="array" ref="CC22">PRODUCT(1 + 預測IC!$C22:CC22) - 1</f>
        <v>3.425445609348289</v>
      </c>
      <c r="CD22" s="7" cm="1">
        <f t="array" ref="CD22">PRODUCT(1 + 預測IC!$C22:CD22) - 1</f>
        <v>4.9030047009764361</v>
      </c>
      <c r="CE22" s="7" cm="1">
        <f t="array" ref="CE22">PRODUCT(1 + 預測IC!$C22:CE22) - 1</f>
        <v>2.5808373889392708</v>
      </c>
      <c r="CF22" s="7" cm="1">
        <f t="array" ref="CF22">PRODUCT(1 + 預測IC!$C22:CF22) - 1</f>
        <v>3.2568987208133962</v>
      </c>
      <c r="CG22" s="7" cm="1">
        <f t="array" ref="CG22">PRODUCT(1 + 預測IC!$C22:CG22) - 1</f>
        <v>2.3916283236276277</v>
      </c>
      <c r="CH22" s="7" cm="1">
        <f t="array" ref="CH22">PRODUCT(1 + 預測IC!$C22:CH22) - 1</f>
        <v>2.7847817115391171</v>
      </c>
      <c r="CI22" s="7" cm="1">
        <f t="array" ref="CI22">PRODUCT(1 + 預測IC!$C22:CI22) - 1</f>
        <v>2.339011081835066</v>
      </c>
      <c r="CJ22" s="7" cm="1">
        <f t="array" ref="CJ22">PRODUCT(1 + 預測IC!$C22:CJ22) - 1</f>
        <v>1.9938257687063916</v>
      </c>
      <c r="CK22" s="7" cm="1">
        <f t="array" ref="CK22">PRODUCT(1 + 預測IC!$C22:CK22) - 1</f>
        <v>2.1020925156788475</v>
      </c>
      <c r="CL22" s="7" cm="1">
        <f t="array" ref="CL22">PRODUCT(1 + 預測IC!$C22:CL22) - 1</f>
        <v>1.3555683722794551</v>
      </c>
      <c r="CM22" s="7" cm="1">
        <f t="array" ref="CM22">PRODUCT(1 + 預測IC!$C22:CM22) - 1</f>
        <v>2.1103678655619635</v>
      </c>
      <c r="CN22" s="7" cm="1">
        <f t="array" ref="CN22">PRODUCT(1 + 預測IC!$C22:CN22) - 1</f>
        <v>2.0837842611359227</v>
      </c>
      <c r="CO22" s="7" cm="1">
        <f t="array" ref="CO22">PRODUCT(1 + 預測IC!$C22:CO22) - 1</f>
        <v>7.9458733925686476E-2</v>
      </c>
      <c r="CP22" s="7" cm="1">
        <f t="array" ref="CP22">PRODUCT(1 + 預測IC!$C22:CP22) - 1</f>
        <v>0.35947956640136702</v>
      </c>
      <c r="CQ22" s="7" cm="1">
        <f t="array" ref="CQ22">PRODUCT(1 + 預測IC!$C22:CQ22) - 1</f>
        <v>0.34271204543162237</v>
      </c>
      <c r="CR22" s="7" cm="1">
        <f t="array" ref="CR22">PRODUCT(1 + 預測IC!$C22:CR22) - 1</f>
        <v>0.5600305556711842</v>
      </c>
      <c r="CS22" s="7" cm="1">
        <f t="array" ref="CS22">PRODUCT(1 + 預測IC!$C22:CS22) - 1</f>
        <v>0.53631468486484368</v>
      </c>
      <c r="CT22" s="7" cm="1">
        <f t="array" ref="CT22">PRODUCT(1 + 預測IC!$C22:CT22) - 1</f>
        <v>0.62577816256074947</v>
      </c>
      <c r="CU22" s="7" cm="1">
        <f t="array" ref="CU22">PRODUCT(1 + 預測IC!$C22:CU22) - 1</f>
        <v>0.43030807080222511</v>
      </c>
      <c r="CV22" s="7" cm="1">
        <f t="array" ref="CV22">PRODUCT(1 + 預測IC!$C22:CV22) - 1</f>
        <v>0.59083683087283179</v>
      </c>
      <c r="CW22" s="7" cm="1">
        <f t="array" ref="CW22">PRODUCT(1 + 預測IC!$C22:CW22) - 1</f>
        <v>0.64882482719557122</v>
      </c>
      <c r="CX22" s="7" cm="1">
        <f t="array" ref="CX22">PRODUCT(1 + 預測IC!$C22:CX22) - 1</f>
        <v>0.65500724966748569</v>
      </c>
      <c r="CY22" s="7" cm="1">
        <f t="array" ref="CY22">PRODUCT(1 + 預測IC!$C22:CY22) - 1</f>
        <v>0.64178568509599754</v>
      </c>
      <c r="CZ22" s="7" cm="1">
        <f t="array" ref="CZ22">PRODUCT(1 + 預測IC!$C22:CZ22) - 1</f>
        <v>1.0734447730295313</v>
      </c>
      <c r="DA22" s="7" cm="1">
        <f t="array" ref="DA22">PRODUCT(1 + 預測IC!$C22:DA22) - 1</f>
        <v>1.0651680918078354</v>
      </c>
      <c r="DB22" s="7" cm="1">
        <f t="array" ref="DB22">PRODUCT(1 + 預測IC!$C22:DB22) - 1</f>
        <v>0.94459633641778851</v>
      </c>
      <c r="DC22" s="7" cm="1">
        <f t="array" ref="DC22">PRODUCT(1 + 預測IC!$C22:DC22) - 1</f>
        <v>0.90429499651463119</v>
      </c>
      <c r="DD22" s="7" cm="1">
        <f t="array" ref="DD22">PRODUCT(1 + 預測IC!$C22:DD22) - 1</f>
        <v>1.1859289960580428</v>
      </c>
      <c r="DE22" s="7" cm="1">
        <f t="array" ref="DE22">PRODUCT(1 + 預測IC!$C22:DE22) - 1</f>
        <v>1.173924403045965</v>
      </c>
      <c r="DF22" s="7" cm="1">
        <f t="array" ref="DF22">PRODUCT(1 + 預測IC!$C22:DF22) - 1</f>
        <v>1.2109501949403372</v>
      </c>
      <c r="DG22" s="7" cm="1">
        <f t="array" ref="DG22">PRODUCT(1 + 預測IC!$C22:DG22) - 1</f>
        <v>1.2816675321752009</v>
      </c>
      <c r="DH22" s="7" cm="1">
        <f t="array" ref="DH22">PRODUCT(1 + 預測IC!$C22:DH22) - 1</f>
        <v>1.3134861757870451</v>
      </c>
      <c r="DI22" s="7" cm="1">
        <f t="array" ref="DI22">PRODUCT(1 + 預測IC!$C22:DI22) - 1</f>
        <v>1.4605336688994699</v>
      </c>
      <c r="DJ22" s="7" cm="1">
        <f t="array" ref="DJ22">PRODUCT(1 + 預測IC!$C22:DJ22) - 1</f>
        <v>1.3369016798194182</v>
      </c>
      <c r="DK22" s="7" cm="1">
        <f t="array" ref="DK22">PRODUCT(1 + 預測IC!$C22:DK22) - 1</f>
        <v>1.7555218934659838</v>
      </c>
      <c r="DL22" s="7" cm="1">
        <f t="array" ref="DL22">PRODUCT(1 + 預測IC!$C22:DL22) - 1</f>
        <v>2.0998013392120574</v>
      </c>
      <c r="DM22" s="7" cm="1">
        <f t="array" ref="DM22">PRODUCT(1 + 預測IC!$C22:DM22) - 1</f>
        <v>1.9030691892098606</v>
      </c>
      <c r="DN22" s="7" cm="1">
        <f t="array" ref="DN22">PRODUCT(1 + 預測IC!$C22:DN22) - 1</f>
        <v>2.0388263665038231</v>
      </c>
      <c r="DO22" s="7" cm="1">
        <f t="array" ref="DO22">PRODUCT(1 + 預測IC!$C22:DO22) - 1</f>
        <v>2.4139315001049795</v>
      </c>
      <c r="DP22" s="7" cm="1">
        <f t="array" ref="DP22">PRODUCT(1 + 預測IC!$C22:DP22) - 1</f>
        <v>2.448846657848704</v>
      </c>
      <c r="DQ22" s="7" cm="1">
        <f t="array" ref="DQ22">PRODUCT(1 + 預測IC!$C22:DQ22) - 1</f>
        <v>1.9969408182514679</v>
      </c>
      <c r="DR22" s="7" cm="1">
        <f t="array" ref="DR22">PRODUCT(1 + 預測IC!$C22:DR22) - 1</f>
        <v>1.9786817986312766</v>
      </c>
      <c r="DS22" s="7" cm="1">
        <f t="array" ref="DS22">PRODUCT(1 + 預測IC!$C22:DS22) - 1</f>
        <v>1.3917298051699576</v>
      </c>
      <c r="DT22" s="7" cm="1">
        <f t="array" ref="DT22">PRODUCT(1 + 預測IC!$C22:DT22) - 1</f>
        <v>1.2521556074118227</v>
      </c>
      <c r="DU22" s="7" cm="1">
        <f t="array" ref="DU22">PRODUCT(1 + 預測IC!$C22:DU22) - 1</f>
        <v>1.1226670405383015</v>
      </c>
      <c r="DV22" s="7" cm="1">
        <f t="array" ref="DV22">PRODUCT(1 + 預測IC!$C22:DV22) - 1</f>
        <v>1.3894971506607585</v>
      </c>
      <c r="DW22" s="7" cm="1">
        <f t="array" ref="DW22">PRODUCT(1 + 預測IC!$C22:DW22) - 1</f>
        <v>1.5768091720997122</v>
      </c>
      <c r="DX22" s="7" cm="1">
        <f t="array" ref="DX22">PRODUCT(1 + 預測IC!$C22:DX22) - 1</f>
        <v>1.0036170183843613</v>
      </c>
      <c r="DY22" s="7" cm="1">
        <f t="array" ref="DY22">PRODUCT(1 + 預測IC!$C22:DY22) - 1</f>
        <v>0.98729331686266719</v>
      </c>
      <c r="DZ22" s="7" cm="1">
        <f t="array" ref="DZ22">PRODUCT(1 + 預測IC!$C22:DZ22) - 1</f>
        <v>0.78111564769156527</v>
      </c>
      <c r="EA22" s="7" cm="1">
        <f t="array" ref="EA22">PRODUCT(1 + 預測IC!$C22:EA22) - 1</f>
        <v>0.65546034532028608</v>
      </c>
      <c r="EB22" s="7" cm="1">
        <f t="array" ref="EB22">PRODUCT(1 + 預測IC!$C22:EB22) - 1</f>
        <v>0.52203565892298354</v>
      </c>
      <c r="EC22" s="7" cm="1">
        <f t="array" ref="EC22">PRODUCT(1 + 預測IC!$C22:EC22) - 1</f>
        <v>0.55475197001327636</v>
      </c>
      <c r="ED22" s="7" cm="1">
        <f t="array" ref="ED22">PRODUCT(1 + 預測IC!$C22:ED22) - 1</f>
        <v>0.43439307412470618</v>
      </c>
      <c r="EE22" s="7" cm="1">
        <f t="array" ref="EE22">PRODUCT(1 + 預測IC!$C22:EE22) - 1</f>
        <v>0.48236822066801599</v>
      </c>
      <c r="EF22" s="7" cm="1">
        <f t="array" ref="EF22">PRODUCT(1 + 預測IC!$C22:EF22) - 1</f>
        <v>0.43079626505669699</v>
      </c>
    </row>
    <row r="23" spans="1:136" x14ac:dyDescent="0.3">
      <c r="A23" s="1">
        <v>2</v>
      </c>
      <c r="B23" s="1" t="s">
        <v>181</v>
      </c>
      <c r="C23" s="7" cm="1">
        <f t="array" ref="C23">PRODUCT(1 + 預測IC!$C23:C23) - 1</f>
        <v>-3.4987009286289172E-2</v>
      </c>
      <c r="D23" s="7" cm="1">
        <f t="array" ref="D23">PRODUCT(1 + 預測IC!$C23:D23) - 1</f>
        <v>0.21021567704895006</v>
      </c>
      <c r="E23" s="7" cm="1">
        <f t="array" ref="E23">PRODUCT(1 + 預測IC!$C23:E23) - 1</f>
        <v>0.11225940108519805</v>
      </c>
      <c r="F23" s="7" cm="1">
        <f t="array" ref="F23">PRODUCT(1 + 預測IC!$C23:F23) - 1</f>
        <v>0.10809929183330924</v>
      </c>
      <c r="G23" s="7" cm="1">
        <f t="array" ref="G23">PRODUCT(1 + 預測IC!$C23:G23) - 1</f>
        <v>5.0229721777424796E-2</v>
      </c>
      <c r="H23" s="7" cm="1">
        <f t="array" ref="H23">PRODUCT(1 + 預測IC!$C23:H23) - 1</f>
        <v>3.1127649106015509E-2</v>
      </c>
      <c r="I23" s="7" cm="1">
        <f t="array" ref="I23">PRODUCT(1 + 預測IC!$C23:I23) - 1</f>
        <v>-6.3914656180249496E-3</v>
      </c>
      <c r="J23" s="7" cm="1">
        <f t="array" ref="J23">PRODUCT(1 + 預測IC!$C23:J23) - 1</f>
        <v>-0.12053473591903119</v>
      </c>
      <c r="K23" s="7" cm="1">
        <f t="array" ref="K23">PRODUCT(1 + 預測IC!$C23:K23) - 1</f>
        <v>-0.30037612734646313</v>
      </c>
      <c r="L23" s="7" cm="1">
        <f t="array" ref="L23">PRODUCT(1 + 預測IC!$C23:L23) - 1</f>
        <v>-0.26256598375299212</v>
      </c>
      <c r="M23" s="7" cm="1">
        <f t="array" ref="M23">PRODUCT(1 + 預測IC!$C23:M23) - 1</f>
        <v>-0.37118040412635378</v>
      </c>
      <c r="N23" s="7" cm="1">
        <f t="array" ref="N23">PRODUCT(1 + 預測IC!$C23:N23) - 1</f>
        <v>0.2424855470440006</v>
      </c>
      <c r="O23" s="7" cm="1">
        <f t="array" ref="O23">PRODUCT(1 + 預測IC!$C23:O23) - 1</f>
        <v>8.9784436978906035E-2</v>
      </c>
      <c r="P23" s="7" cm="1">
        <f t="array" ref="P23">PRODUCT(1 + 預測IC!$C23:P23) - 1</f>
        <v>0.14937551304161323</v>
      </c>
      <c r="Q23" s="7" cm="1">
        <f t="array" ref="Q23">PRODUCT(1 + 預測IC!$C23:Q23) - 1</f>
        <v>0.48404319647902549</v>
      </c>
      <c r="R23" s="7" cm="1">
        <f t="array" ref="R23">PRODUCT(1 + 預測IC!$C23:R23) - 1</f>
        <v>0.57727372547440536</v>
      </c>
      <c r="S23" s="7" cm="1">
        <f t="array" ref="S23">PRODUCT(1 + 預測IC!$C23:S23) - 1</f>
        <v>0.46280676864965176</v>
      </c>
      <c r="T23" s="7" cm="1">
        <f t="array" ref="T23">PRODUCT(1 + 預測IC!$C23:T23) - 1</f>
        <v>0.33894188559178784</v>
      </c>
      <c r="U23" s="7" cm="1">
        <f t="array" ref="U23">PRODUCT(1 + 預測IC!$C23:U23) - 1</f>
        <v>0.4182631989054455</v>
      </c>
      <c r="V23" s="7" cm="1">
        <f t="array" ref="V23">PRODUCT(1 + 預測IC!$C23:V23) - 1</f>
        <v>8.8549336780006094E-2</v>
      </c>
      <c r="W23" s="7" cm="1">
        <f t="array" ref="W23">PRODUCT(1 + 預測IC!$C23:W23) - 1</f>
        <v>0.37107940383169447</v>
      </c>
      <c r="X23" s="7" cm="1">
        <f t="array" ref="X23">PRODUCT(1 + 預測IC!$C23:X23) - 1</f>
        <v>0.63783176101864547</v>
      </c>
      <c r="Y23" s="7" cm="1">
        <f t="array" ref="Y23">PRODUCT(1 + 預測IC!$C23:Y23) - 1</f>
        <v>0.52654122127760439</v>
      </c>
      <c r="Z23" s="7" cm="1">
        <f t="array" ref="Z23">PRODUCT(1 + 預測IC!$C23:Z23) - 1</f>
        <v>0.58920874038527615</v>
      </c>
      <c r="AA23" s="7" cm="1">
        <f t="array" ref="AA23">PRODUCT(1 + 預測IC!$C23:AA23) - 1</f>
        <v>0.59970751732469529</v>
      </c>
      <c r="AB23" s="7" cm="1">
        <f t="array" ref="AB23">PRODUCT(1 + 預測IC!$C23:AB23) - 1</f>
        <v>0.52332317071328704</v>
      </c>
      <c r="AC23" s="7" cm="1">
        <f t="array" ref="AC23">PRODUCT(1 + 預測IC!$C23:AC23) - 1</f>
        <v>0.16685241627890512</v>
      </c>
      <c r="AD23" s="7" cm="1">
        <f t="array" ref="AD23">PRODUCT(1 + 預測IC!$C23:AD23) - 1</f>
        <v>0.14933691092676238</v>
      </c>
      <c r="AE23" s="7" cm="1">
        <f t="array" ref="AE23">PRODUCT(1 + 預測IC!$C23:AE23) - 1</f>
        <v>-0.10548629464406867</v>
      </c>
      <c r="AF23" s="7" cm="1">
        <f t="array" ref="AF23">PRODUCT(1 + 預測IC!$C23:AF23) - 1</f>
        <v>-0.16533486126845975</v>
      </c>
      <c r="AG23" s="7" cm="1">
        <f t="array" ref="AG23">PRODUCT(1 + 預測IC!$C23:AG23) - 1</f>
        <v>-0.16705233256921936</v>
      </c>
      <c r="AH23" s="7" cm="1">
        <f t="array" ref="AH23">PRODUCT(1 + 預測IC!$C23:AH23) - 1</f>
        <v>-9.6941807576681138E-2</v>
      </c>
      <c r="AI23" s="7" cm="1">
        <f t="array" ref="AI23">PRODUCT(1 + 預測IC!$C23:AI23) - 1</f>
        <v>9.1934257015781728E-2</v>
      </c>
      <c r="AJ23" s="7" cm="1">
        <f t="array" ref="AJ23">PRODUCT(1 + 預測IC!$C23:AJ23) - 1</f>
        <v>0.11769019110814116</v>
      </c>
      <c r="AK23" s="7" cm="1">
        <f t="array" ref="AK23">PRODUCT(1 + 預測IC!$C23:AK23) - 1</f>
        <v>0.13843198472178941</v>
      </c>
      <c r="AL23" s="7" cm="1">
        <f t="array" ref="AL23">PRODUCT(1 + 預測IC!$C23:AL23) - 1</f>
        <v>0.28805805082695257</v>
      </c>
      <c r="AM23" s="7" cm="1">
        <f t="array" ref="AM23">PRODUCT(1 + 預測IC!$C23:AM23) - 1</f>
        <v>0.29806560369048074</v>
      </c>
      <c r="AN23" s="7" cm="1">
        <f t="array" ref="AN23">PRODUCT(1 + 預測IC!$C23:AN23) - 1</f>
        <v>0.61260598019479251</v>
      </c>
      <c r="AO23" s="7" cm="1">
        <f t="array" ref="AO23">PRODUCT(1 + 預測IC!$C23:AO23) - 1</f>
        <v>0.60399957917488845</v>
      </c>
      <c r="AP23" s="7" cm="1">
        <f t="array" ref="AP23">PRODUCT(1 + 預測IC!$C23:AP23) - 1</f>
        <v>0.33891238750020669</v>
      </c>
      <c r="AQ23" s="7" cm="1">
        <f t="array" ref="AQ23">PRODUCT(1 + 預測IC!$C23:AQ23) - 1</f>
        <v>0.45864461738870954</v>
      </c>
      <c r="AR23" s="7" cm="1">
        <f t="array" ref="AR23">PRODUCT(1 + 預測IC!$C23:AR23) - 1</f>
        <v>0.94983450438102524</v>
      </c>
      <c r="AS23" s="7" cm="1">
        <f t="array" ref="AS23">PRODUCT(1 + 預測IC!$C23:AS23) - 1</f>
        <v>0.92115850671167121</v>
      </c>
      <c r="AT23" s="7" cm="1">
        <f t="array" ref="AT23">PRODUCT(1 + 預測IC!$C23:AT23) - 1</f>
        <v>0.84156928653569363</v>
      </c>
      <c r="AU23" s="7" cm="1">
        <f t="array" ref="AU23">PRODUCT(1 + 預測IC!$C23:AU23) - 1</f>
        <v>0.90260906944001351</v>
      </c>
      <c r="AV23" s="7" cm="1">
        <f t="array" ref="AV23">PRODUCT(1 + 預測IC!$C23:AV23) - 1</f>
        <v>0.85002286840988983</v>
      </c>
      <c r="AW23" s="7" cm="1">
        <f t="array" ref="AW23">PRODUCT(1 + 預測IC!$C23:AW23) - 1</f>
        <v>0.7537718954361452</v>
      </c>
      <c r="AX23" s="7" cm="1">
        <f t="array" ref="AX23">PRODUCT(1 + 預測IC!$C23:AX23) - 1</f>
        <v>0.86800760604124916</v>
      </c>
      <c r="AY23" s="7" cm="1">
        <f t="array" ref="AY23">PRODUCT(1 + 預測IC!$C23:AY23) - 1</f>
        <v>1.1860059770581368</v>
      </c>
      <c r="AZ23" s="7" cm="1">
        <f t="array" ref="AZ23">PRODUCT(1 + 預測IC!$C23:AZ23) - 1</f>
        <v>1.0466401883603416</v>
      </c>
      <c r="BA23" s="7" cm="1">
        <f t="array" ref="BA23">PRODUCT(1 + 預測IC!$C23:BA23) - 1</f>
        <v>1.0663836761605499</v>
      </c>
      <c r="BB23" s="7" cm="1">
        <f t="array" ref="BB23">PRODUCT(1 + 預測IC!$C23:BB23) - 1</f>
        <v>0.96089585553393064</v>
      </c>
      <c r="BC23" s="7" cm="1">
        <f t="array" ref="BC23">PRODUCT(1 + 預測IC!$C23:BC23) - 1</f>
        <v>0.37100298850293734</v>
      </c>
      <c r="BD23" s="7" cm="1">
        <f t="array" ref="BD23">PRODUCT(1 + 預測IC!$C23:BD23) - 1</f>
        <v>0.50101641023128796</v>
      </c>
      <c r="BE23" s="7" cm="1">
        <f t="array" ref="BE23">PRODUCT(1 + 預測IC!$C23:BE23) - 1</f>
        <v>0.39379766367761371</v>
      </c>
      <c r="BF23" s="7" cm="1">
        <f t="array" ref="BF23">PRODUCT(1 + 預測IC!$C23:BF23) - 1</f>
        <v>0.36195358155073754</v>
      </c>
      <c r="BG23" s="7" cm="1">
        <f t="array" ref="BG23">PRODUCT(1 + 預測IC!$C23:BG23) - 1</f>
        <v>0.46377523500915707</v>
      </c>
      <c r="BH23" s="7" cm="1">
        <f t="array" ref="BH23">PRODUCT(1 + 預測IC!$C23:BH23) - 1</f>
        <v>0.16592042238022264</v>
      </c>
      <c r="BI23" s="7" cm="1">
        <f t="array" ref="BI23">PRODUCT(1 + 預測IC!$C23:BI23) - 1</f>
        <v>0.38874189862668951</v>
      </c>
      <c r="BJ23" s="7" cm="1">
        <f t="array" ref="BJ23">PRODUCT(1 + 預測IC!$C23:BJ23) - 1</f>
        <v>0.53317566013534057</v>
      </c>
      <c r="BK23" s="7" cm="1">
        <f t="array" ref="BK23">PRODUCT(1 + 預測IC!$C23:BK23) - 1</f>
        <v>0.53629430552690627</v>
      </c>
      <c r="BL23" s="7" cm="1">
        <f t="array" ref="BL23">PRODUCT(1 + 預測IC!$C23:BL23) - 1</f>
        <v>0.76602299333712254</v>
      </c>
      <c r="BM23" s="7" cm="1">
        <f t="array" ref="BM23">PRODUCT(1 + 預測IC!$C23:BM23) - 1</f>
        <v>1.1001204360985448</v>
      </c>
      <c r="BN23" s="7" cm="1">
        <f t="array" ref="BN23">PRODUCT(1 + 預測IC!$C23:BN23) - 1</f>
        <v>1.085530540814895</v>
      </c>
      <c r="BO23" s="7" cm="1">
        <f t="array" ref="BO23">PRODUCT(1 + 預測IC!$C23:BO23) - 1</f>
        <v>1.1617044223276607</v>
      </c>
      <c r="BP23" s="7" cm="1">
        <f t="array" ref="BP23">PRODUCT(1 + 預測IC!$C23:BP23) - 1</f>
        <v>1.3741273320692815</v>
      </c>
      <c r="BQ23" s="7" cm="1">
        <f t="array" ref="BQ23">PRODUCT(1 + 預測IC!$C23:BQ23) - 1</f>
        <v>1.5451782240849807</v>
      </c>
      <c r="BR23" s="7" cm="1">
        <f t="array" ref="BR23">PRODUCT(1 + 預測IC!$C23:BR23) - 1</f>
        <v>1.5905952024986312</v>
      </c>
      <c r="BS23" s="7" cm="1">
        <f t="array" ref="BS23">PRODUCT(1 + 預測IC!$C23:BS23) - 1</f>
        <v>1.4007683321802222</v>
      </c>
      <c r="BT23" s="7" cm="1">
        <f t="array" ref="BT23">PRODUCT(1 + 預測IC!$C23:BT23) - 1</f>
        <v>1.745638237411268</v>
      </c>
      <c r="BU23" s="7" cm="1">
        <f t="array" ref="BU23">PRODUCT(1 + 預測IC!$C23:BU23) - 1</f>
        <v>2.3103823499164453</v>
      </c>
      <c r="BV23" s="7" cm="1">
        <f t="array" ref="BV23">PRODUCT(1 + 預測IC!$C23:BV23) - 1</f>
        <v>2.6860033855039509</v>
      </c>
      <c r="BW23" s="7" cm="1">
        <f t="array" ref="BW23">PRODUCT(1 + 預測IC!$C23:BW23) - 1</f>
        <v>1.9408692006622301</v>
      </c>
      <c r="BX23" s="7" cm="1">
        <f t="array" ref="BX23">PRODUCT(1 + 預測IC!$C23:BX23) - 1</f>
        <v>1.9167154898150001</v>
      </c>
      <c r="BY23" s="7" cm="1">
        <f t="array" ref="BY23">PRODUCT(1 + 預測IC!$C23:BY23) - 1</f>
        <v>1.8869483878491047</v>
      </c>
      <c r="BZ23" s="7" cm="1">
        <f t="array" ref="BZ23">PRODUCT(1 + 預測IC!$C23:BZ23) - 1</f>
        <v>1.9090905961369051</v>
      </c>
      <c r="CA23" s="7" cm="1">
        <f t="array" ref="CA23">PRODUCT(1 + 預測IC!$C23:CA23) - 1</f>
        <v>2.5094475421335156</v>
      </c>
      <c r="CB23" s="7" cm="1">
        <f t="array" ref="CB23">PRODUCT(1 + 預測IC!$C23:CB23) - 1</f>
        <v>1.7457419123083535</v>
      </c>
      <c r="CC23" s="7" cm="1">
        <f t="array" ref="CC23">PRODUCT(1 + 預測IC!$C23:CC23) - 1</f>
        <v>2.3634202443586045</v>
      </c>
      <c r="CD23" s="7" cm="1">
        <f t="array" ref="CD23">PRODUCT(1 + 預測IC!$C23:CD23) - 1</f>
        <v>3.0081087135222244</v>
      </c>
      <c r="CE23" s="7" cm="1">
        <f t="array" ref="CE23">PRODUCT(1 + 預測IC!$C23:CE23) - 1</f>
        <v>2.5406646108102242</v>
      </c>
      <c r="CF23" s="7" cm="1">
        <f t="array" ref="CF23">PRODUCT(1 + 預測IC!$C23:CF23) - 1</f>
        <v>3.0970266250306588</v>
      </c>
      <c r="CG23" s="7" cm="1">
        <f t="array" ref="CG23">PRODUCT(1 + 預測IC!$C23:CG23) - 1</f>
        <v>1.4858963557794453</v>
      </c>
      <c r="CH23" s="7" cm="1">
        <f t="array" ref="CH23">PRODUCT(1 + 預測IC!$C23:CH23) - 1</f>
        <v>1.9338460514776212</v>
      </c>
      <c r="CI23" s="7" cm="1">
        <f t="array" ref="CI23">PRODUCT(1 + 預測IC!$C23:CI23) - 1</f>
        <v>1.0246488701811378</v>
      </c>
      <c r="CJ23" s="7" cm="1">
        <f t="array" ref="CJ23">PRODUCT(1 + 預測IC!$C23:CJ23) - 1</f>
        <v>0.98440822972576436</v>
      </c>
      <c r="CK23" s="7" cm="1">
        <f t="array" ref="CK23">PRODUCT(1 + 預測IC!$C23:CK23) - 1</f>
        <v>1.1751435850804395</v>
      </c>
      <c r="CL23" s="7" cm="1">
        <f t="array" ref="CL23">PRODUCT(1 + 預測IC!$C23:CL23) - 1</f>
        <v>0.28624720490442823</v>
      </c>
      <c r="CM23" s="7" cm="1">
        <f t="array" ref="CM23">PRODUCT(1 + 預測IC!$C23:CM23) - 1</f>
        <v>0.78368137641397428</v>
      </c>
      <c r="CN23" s="7" cm="1">
        <f t="array" ref="CN23">PRODUCT(1 + 預測IC!$C23:CN23) - 1</f>
        <v>0.68913702690225542</v>
      </c>
      <c r="CO23" s="7" cm="1">
        <f t="array" ref="CO23">PRODUCT(1 + 預測IC!$C23:CO23) - 1</f>
        <v>-0.84615895240073191</v>
      </c>
      <c r="CP23" s="7" cm="1">
        <f t="array" ref="CP23">PRODUCT(1 + 預測IC!$C23:CP23) - 1</f>
        <v>-0.79825888949128676</v>
      </c>
      <c r="CQ23" s="7" cm="1">
        <f t="array" ref="CQ23">PRODUCT(1 + 預測IC!$C23:CQ23) - 1</f>
        <v>-0.80011162830530591</v>
      </c>
      <c r="CR23" s="7" cm="1">
        <f t="array" ref="CR23">PRODUCT(1 + 預測IC!$C23:CR23) - 1</f>
        <v>-0.79779336218427599</v>
      </c>
      <c r="CS23" s="7" cm="1">
        <f t="array" ref="CS23">PRODUCT(1 + 預測IC!$C23:CS23) - 1</f>
        <v>-0.8052697946923647</v>
      </c>
      <c r="CT23" s="7" cm="1">
        <f t="array" ref="CT23">PRODUCT(1 + 預測IC!$C23:CT23) - 1</f>
        <v>-0.79637791857006379</v>
      </c>
      <c r="CU23" s="7" cm="1">
        <f t="array" ref="CU23">PRODUCT(1 + 預測IC!$C23:CU23) - 1</f>
        <v>-0.80066550641703194</v>
      </c>
      <c r="CV23" s="7" cm="1">
        <f t="array" ref="CV23">PRODUCT(1 + 預測IC!$C23:CV23) - 1</f>
        <v>-0.80509972963304655</v>
      </c>
      <c r="CW23" s="7" cm="1">
        <f t="array" ref="CW23">PRODUCT(1 + 預測IC!$C23:CW23) - 1</f>
        <v>-0.78543403278436941</v>
      </c>
      <c r="CX23" s="7" cm="1">
        <f t="array" ref="CX23">PRODUCT(1 + 預測IC!$C23:CX23) - 1</f>
        <v>-0.80446968043115397</v>
      </c>
      <c r="CY23" s="7" cm="1">
        <f t="array" ref="CY23">PRODUCT(1 + 預測IC!$C23:CY23) - 1</f>
        <v>-0.80015891522756155</v>
      </c>
      <c r="CZ23" s="7" cm="1">
        <f t="array" ref="CZ23">PRODUCT(1 + 預測IC!$C23:CZ23) - 1</f>
        <v>-0.763788078835833</v>
      </c>
      <c r="DA23" s="7" cm="1">
        <f t="array" ref="DA23">PRODUCT(1 + 預測IC!$C23:DA23) - 1</f>
        <v>-0.77110642875552526</v>
      </c>
      <c r="DB23" s="7" cm="1">
        <f t="array" ref="DB23">PRODUCT(1 + 預測IC!$C23:DB23) - 1</f>
        <v>-0.77475846159057782</v>
      </c>
      <c r="DC23" s="7" cm="1">
        <f t="array" ref="DC23">PRODUCT(1 + 預測IC!$C23:DC23) - 1</f>
        <v>-0.74791181314431099</v>
      </c>
      <c r="DD23" s="7" cm="1">
        <f t="array" ref="DD23">PRODUCT(1 + 預測IC!$C23:DD23) - 1</f>
        <v>-0.69411340990477222</v>
      </c>
      <c r="DE23" s="7" cm="1">
        <f t="array" ref="DE23">PRODUCT(1 + 預測IC!$C23:DE23) - 1</f>
        <v>-0.69698728353429507</v>
      </c>
      <c r="DF23" s="7" cm="1">
        <f t="array" ref="DF23">PRODUCT(1 + 預測IC!$C23:DF23) - 1</f>
        <v>-0.67821803135475445</v>
      </c>
      <c r="DG23" s="7" cm="1">
        <f t="array" ref="DG23">PRODUCT(1 + 預測IC!$C23:DG23) - 1</f>
        <v>-0.66590343159363108</v>
      </c>
      <c r="DH23" s="7" cm="1">
        <f t="array" ref="DH23">PRODUCT(1 + 預測IC!$C23:DH23) - 1</f>
        <v>-0.64738998900421307</v>
      </c>
      <c r="DI23" s="7" cm="1">
        <f t="array" ref="DI23">PRODUCT(1 + 預測IC!$C23:DI23) - 1</f>
        <v>-0.6285325477476047</v>
      </c>
      <c r="DJ23" s="7" cm="1">
        <f t="array" ref="DJ23">PRODUCT(1 + 預測IC!$C23:DJ23) - 1</f>
        <v>-0.66087176424155492</v>
      </c>
      <c r="DK23" s="7" cm="1">
        <f t="array" ref="DK23">PRODUCT(1 + 預測IC!$C23:DK23) - 1</f>
        <v>-0.56665067567486038</v>
      </c>
      <c r="DL23" s="7" cm="1">
        <f t="array" ref="DL23">PRODUCT(1 + 預測IC!$C23:DL23) - 1</f>
        <v>-0.47300342753713609</v>
      </c>
      <c r="DM23" s="7" cm="1">
        <f t="array" ref="DM23">PRODUCT(1 + 預測IC!$C23:DM23) - 1</f>
        <v>-0.48327844040190526</v>
      </c>
      <c r="DN23" s="7" cm="1">
        <f t="array" ref="DN23">PRODUCT(1 + 預測IC!$C23:DN23) - 1</f>
        <v>-0.4799211991290504</v>
      </c>
      <c r="DO23" s="7" cm="1">
        <f t="array" ref="DO23">PRODUCT(1 + 預測IC!$C23:DO23) - 1</f>
        <v>-0.39458079064980722</v>
      </c>
      <c r="DP23" s="7" cm="1">
        <f t="array" ref="DP23">PRODUCT(1 + 預測IC!$C23:DP23) - 1</f>
        <v>-0.36607267006568156</v>
      </c>
      <c r="DQ23" s="7" cm="1">
        <f t="array" ref="DQ23">PRODUCT(1 + 預測IC!$C23:DQ23) - 1</f>
        <v>-0.47397407260462898</v>
      </c>
      <c r="DR23" s="7" cm="1">
        <f t="array" ref="DR23">PRODUCT(1 + 預測IC!$C23:DR23) - 1</f>
        <v>-0.52125644055122744</v>
      </c>
      <c r="DS23" s="7" cm="1">
        <f t="array" ref="DS23">PRODUCT(1 + 預測IC!$C23:DS23) - 1</f>
        <v>-0.65918082125045874</v>
      </c>
      <c r="DT23" s="7" cm="1">
        <f t="array" ref="DT23">PRODUCT(1 + 預測IC!$C23:DT23) - 1</f>
        <v>-0.70142713862190331</v>
      </c>
      <c r="DU23" s="7" cm="1">
        <f t="array" ref="DU23">PRODUCT(1 + 預測IC!$C23:DU23) - 1</f>
        <v>-0.69118991561171783</v>
      </c>
      <c r="DV23" s="7" cm="1">
        <f t="array" ref="DV23">PRODUCT(1 + 預測IC!$C23:DV23) - 1</f>
        <v>-0.60587445692941722</v>
      </c>
      <c r="DW23" s="7" cm="1">
        <f t="array" ref="DW23">PRODUCT(1 + 預測IC!$C23:DW23) - 1</f>
        <v>-0.55021280306580733</v>
      </c>
      <c r="DX23" s="7" cm="1">
        <f t="array" ref="DX23">PRODUCT(1 + 預測IC!$C23:DX23) - 1</f>
        <v>-0.69121803362091483</v>
      </c>
      <c r="DY23" s="7" cm="1">
        <f t="array" ref="DY23">PRODUCT(1 + 預測IC!$C23:DY23) - 1</f>
        <v>-0.63876313242742888</v>
      </c>
      <c r="DZ23" s="7" cm="1">
        <f t="array" ref="DZ23">PRODUCT(1 + 預測IC!$C23:DZ23) - 1</f>
        <v>-0.67592465943380509</v>
      </c>
      <c r="EA23" s="7" cm="1">
        <f t="array" ref="EA23">PRODUCT(1 + 預測IC!$C23:EA23) - 1</f>
        <v>-0.68352387215443189</v>
      </c>
      <c r="EB23" s="7" cm="1">
        <f t="array" ref="EB23">PRODUCT(1 + 預測IC!$C23:EB23) - 1</f>
        <v>-0.70338383776305669</v>
      </c>
      <c r="EC23" s="7" cm="1">
        <f t="array" ref="EC23">PRODUCT(1 + 預測IC!$C23:EC23) - 1</f>
        <v>-0.7142353372696818</v>
      </c>
      <c r="ED23" s="7" cm="1">
        <f t="array" ref="ED23">PRODUCT(1 + 預測IC!$C23:ED23) - 1</f>
        <v>-0.7403616300681678</v>
      </c>
      <c r="EE23" s="7" cm="1">
        <f t="array" ref="EE23">PRODUCT(1 + 預測IC!$C23:EE23) - 1</f>
        <v>-0.72502980676006512</v>
      </c>
      <c r="EF23" s="7" cm="1">
        <f t="array" ref="EF23">PRODUCT(1 + 預測IC!$C23:EF23) - 1</f>
        <v>-0.73816850913785825</v>
      </c>
    </row>
    <row r="24" spans="1:136" x14ac:dyDescent="0.3">
      <c r="A24" s="1">
        <v>1</v>
      </c>
      <c r="B24" s="1" t="s">
        <v>182</v>
      </c>
      <c r="C24" s="7" cm="1">
        <f t="array" ref="C24">PRODUCT(1 + 預測IC!$C24:C24) - 1</f>
        <v>0.16299313693108508</v>
      </c>
      <c r="D24" s="7" cm="1">
        <f t="array" ref="D24">PRODUCT(1 + 預測IC!$C24:D24) - 1</f>
        <v>0.28000177514012226</v>
      </c>
      <c r="E24" s="7" cm="1">
        <f t="array" ref="E24">PRODUCT(1 + 預測IC!$C24:E24) - 1</f>
        <v>0.37139432450241316</v>
      </c>
      <c r="F24" s="7" cm="1">
        <f t="array" ref="F24">PRODUCT(1 + 預測IC!$C24:F24) - 1</f>
        <v>0.47469665062788158</v>
      </c>
      <c r="G24" s="7" cm="1">
        <f t="array" ref="G24">PRODUCT(1 + 預測IC!$C24:G24) - 1</f>
        <v>0.80762420047655703</v>
      </c>
      <c r="H24" s="7" cm="1">
        <f t="array" ref="H24">PRODUCT(1 + 預測IC!$C24:H24) - 1</f>
        <v>0.87243800623742307</v>
      </c>
      <c r="I24" s="7" cm="1">
        <f t="array" ref="I24">PRODUCT(1 + 預測IC!$C24:I24) - 1</f>
        <v>0.90413293135441797</v>
      </c>
      <c r="J24" s="7" cm="1">
        <f t="array" ref="J24">PRODUCT(1 + 預測IC!$C24:J24) - 1</f>
        <v>0.68427641492876767</v>
      </c>
      <c r="K24" s="7" cm="1">
        <f t="array" ref="K24">PRODUCT(1 + 預測IC!$C24:K24) - 1</f>
        <v>0.64803873903488096</v>
      </c>
      <c r="L24" s="7" cm="1">
        <f t="array" ref="L24">PRODUCT(1 + 預測IC!$C24:L24) - 1</f>
        <v>0.80562956022562582</v>
      </c>
      <c r="M24" s="7" cm="1">
        <f t="array" ref="M24">PRODUCT(1 + 預測IC!$C24:M24) - 1</f>
        <v>0.41238931119504674</v>
      </c>
      <c r="N24" s="7" cm="1">
        <f t="array" ref="N24">PRODUCT(1 + 預測IC!$C24:N24) - 1</f>
        <v>2.9109503080983785</v>
      </c>
      <c r="O24" s="7" cm="1">
        <f t="array" ref="O24">PRODUCT(1 + 預測IC!$C24:O24) - 1</f>
        <v>1.955591723018749</v>
      </c>
      <c r="P24" s="7" cm="1">
        <f t="array" ref="P24">PRODUCT(1 + 預測IC!$C24:P24) - 1</f>
        <v>1.9607234840149834</v>
      </c>
      <c r="Q24" s="7" cm="1">
        <f t="array" ref="Q24">PRODUCT(1 + 預測IC!$C24:Q24) - 1</f>
        <v>1.9522939027747905</v>
      </c>
      <c r="R24" s="7" cm="1">
        <f t="array" ref="R24">PRODUCT(1 + 預測IC!$C24:R24) - 1</f>
        <v>1.8701527494608681</v>
      </c>
      <c r="S24" s="7" cm="1">
        <f t="array" ref="S24">PRODUCT(1 + 預測IC!$C24:S24) - 1</f>
        <v>1.8384247601026535</v>
      </c>
      <c r="T24" s="7" cm="1">
        <f t="array" ref="T24">PRODUCT(1 + 預測IC!$C24:T24) - 1</f>
        <v>1.0214789863042908</v>
      </c>
      <c r="U24" s="7" cm="1">
        <f t="array" ref="U24">PRODUCT(1 + 預測IC!$C24:U24) - 1</f>
        <v>1.5993314696045982</v>
      </c>
      <c r="V24" s="7" cm="1">
        <f t="array" ref="V24">PRODUCT(1 + 預測IC!$C24:V24) - 1</f>
        <v>1.3428333099144902</v>
      </c>
      <c r="W24" s="7" cm="1">
        <f t="array" ref="W24">PRODUCT(1 + 預測IC!$C24:W24) - 1</f>
        <v>0.95728607648193864</v>
      </c>
      <c r="X24" s="7" cm="1">
        <f t="array" ref="X24">PRODUCT(1 + 預測IC!$C24:X24) - 1</f>
        <v>0.95552671809248313</v>
      </c>
      <c r="Y24" s="7" cm="1">
        <f t="array" ref="Y24">PRODUCT(1 + 預測IC!$C24:Y24) - 1</f>
        <v>0.72024264575088659</v>
      </c>
      <c r="Z24" s="7" cm="1">
        <f t="array" ref="Z24">PRODUCT(1 + 預測IC!$C24:Z24) - 1</f>
        <v>0.67827810266801669</v>
      </c>
      <c r="AA24" s="7" cm="1">
        <f t="array" ref="AA24">PRODUCT(1 + 預測IC!$C24:AA24) - 1</f>
        <v>0.70101502544116401</v>
      </c>
      <c r="AB24" s="7" cm="1">
        <f t="array" ref="AB24">PRODUCT(1 + 預測IC!$C24:AB24) - 1</f>
        <v>0.38760058702266131</v>
      </c>
      <c r="AC24" s="7" cm="1">
        <f t="array" ref="AC24">PRODUCT(1 + 預測IC!$C24:AC24) - 1</f>
        <v>4.6016395306254676E-2</v>
      </c>
      <c r="AD24" s="7" cm="1">
        <f t="array" ref="AD24">PRODUCT(1 + 預測IC!$C24:AD24) - 1</f>
        <v>3.7834623583119953E-2</v>
      </c>
      <c r="AE24" s="7" cm="1">
        <f t="array" ref="AE24">PRODUCT(1 + 預測IC!$C24:AE24) - 1</f>
        <v>-0.14406542106588438</v>
      </c>
      <c r="AF24" s="7" cm="1">
        <f t="array" ref="AF24">PRODUCT(1 + 預測IC!$C24:AF24) - 1</f>
        <v>-0.16334278824176274</v>
      </c>
      <c r="AG24" s="7" cm="1">
        <f t="array" ref="AG24">PRODUCT(1 + 預測IC!$C24:AG24) - 1</f>
        <v>-7.4740394217450823E-2</v>
      </c>
      <c r="AH24" s="7" cm="1">
        <f t="array" ref="AH24">PRODUCT(1 + 預測IC!$C24:AH24) - 1</f>
        <v>-2.2280617192216634E-2</v>
      </c>
      <c r="AI24" s="7" cm="1">
        <f t="array" ref="AI24">PRODUCT(1 + 預測IC!$C24:AI24) - 1</f>
        <v>0.28121739729096618</v>
      </c>
      <c r="AJ24" s="7" cm="1">
        <f t="array" ref="AJ24">PRODUCT(1 + 預測IC!$C24:AJ24) - 1</f>
        <v>0.39067846416648555</v>
      </c>
      <c r="AK24" s="7" cm="1">
        <f t="array" ref="AK24">PRODUCT(1 + 預測IC!$C24:AK24) - 1</f>
        <v>0.39268239995892706</v>
      </c>
      <c r="AL24" s="7" cm="1">
        <f t="array" ref="AL24">PRODUCT(1 + 預測IC!$C24:AL24) - 1</f>
        <v>0.31653479421742969</v>
      </c>
      <c r="AM24" s="7" cm="1">
        <f t="array" ref="AM24">PRODUCT(1 + 預測IC!$C24:AM24) - 1</f>
        <v>0.29162690194571494</v>
      </c>
      <c r="AN24" s="7" cm="1">
        <f t="array" ref="AN24">PRODUCT(1 + 預測IC!$C24:AN24) - 1</f>
        <v>0.57732116555453805</v>
      </c>
      <c r="AO24" s="7" cm="1">
        <f t="array" ref="AO24">PRODUCT(1 + 預測IC!$C24:AO24) - 1</f>
        <v>0.68156649777627032</v>
      </c>
      <c r="AP24" s="7" cm="1">
        <f t="array" ref="AP24">PRODUCT(1 + 預測IC!$C24:AP24) - 1</f>
        <v>0.40497119195817222</v>
      </c>
      <c r="AQ24" s="7" cm="1">
        <f t="array" ref="AQ24">PRODUCT(1 + 預測IC!$C24:AQ24) - 1</f>
        <v>0.47111298259488499</v>
      </c>
      <c r="AR24" s="7" cm="1">
        <f t="array" ref="AR24">PRODUCT(1 + 預測IC!$C24:AR24) - 1</f>
        <v>0.48529341813289895</v>
      </c>
      <c r="AS24" s="7" cm="1">
        <f t="array" ref="AS24">PRODUCT(1 + 預測IC!$C24:AS24) - 1</f>
        <v>0.44377044057201798</v>
      </c>
      <c r="AT24" s="7" cm="1">
        <f t="array" ref="AT24">PRODUCT(1 + 預測IC!$C24:AT24) - 1</f>
        <v>0.48774654398169015</v>
      </c>
      <c r="AU24" s="7" cm="1">
        <f t="array" ref="AU24">PRODUCT(1 + 預測IC!$C24:AU24) - 1</f>
        <v>0.55334920371694474</v>
      </c>
      <c r="AV24" s="7" cm="1">
        <f t="array" ref="AV24">PRODUCT(1 + 預測IC!$C24:AV24) - 1</f>
        <v>0.41797178818505287</v>
      </c>
      <c r="AW24" s="7" cm="1">
        <f t="array" ref="AW24">PRODUCT(1 + 預測IC!$C24:AW24) - 1</f>
        <v>0.42504398134010835</v>
      </c>
      <c r="AX24" s="7" cm="1">
        <f t="array" ref="AX24">PRODUCT(1 + 預測IC!$C24:AX24) - 1</f>
        <v>0.38861729435251235</v>
      </c>
      <c r="AY24" s="7" cm="1">
        <f t="array" ref="AY24">PRODUCT(1 + 預測IC!$C24:AY24) - 1</f>
        <v>0.62208176229375733</v>
      </c>
      <c r="AZ24" s="7" cm="1">
        <f t="array" ref="AZ24">PRODUCT(1 + 預測IC!$C24:AZ24) - 1</f>
        <v>0.68350525177120947</v>
      </c>
      <c r="BA24" s="7" cm="1">
        <f t="array" ref="BA24">PRODUCT(1 + 預測IC!$C24:BA24) - 1</f>
        <v>0.5929415377891043</v>
      </c>
      <c r="BB24" s="7" cm="1">
        <f t="array" ref="BB24">PRODUCT(1 + 預測IC!$C24:BB24) - 1</f>
        <v>0.45569523463791684</v>
      </c>
      <c r="BC24" s="7" cm="1">
        <f t="array" ref="BC24">PRODUCT(1 + 預測IC!$C24:BC24) - 1</f>
        <v>-0.71354248793565023</v>
      </c>
      <c r="BD24" s="7" cm="1">
        <f t="array" ref="BD24">PRODUCT(1 + 預測IC!$C24:BD24) - 1</f>
        <v>-0.66037734317927876</v>
      </c>
      <c r="BE24" s="7" cm="1">
        <f t="array" ref="BE24">PRODUCT(1 + 預測IC!$C24:BE24) - 1</f>
        <v>-0.67602184148025057</v>
      </c>
      <c r="BF24" s="7" cm="1">
        <f t="array" ref="BF24">PRODUCT(1 + 預測IC!$C24:BF24) - 1</f>
        <v>-0.64762472303365004</v>
      </c>
      <c r="BG24" s="7" cm="1">
        <f t="array" ref="BG24">PRODUCT(1 + 預測IC!$C24:BG24) - 1</f>
        <v>-0.63816839212884924</v>
      </c>
      <c r="BH24" s="7" cm="1">
        <f t="array" ref="BH24">PRODUCT(1 + 預測IC!$C24:BH24) - 1</f>
        <v>-0.77792778173308674</v>
      </c>
      <c r="BI24" s="7" cm="1">
        <f t="array" ref="BI24">PRODUCT(1 + 預測IC!$C24:BI24) - 1</f>
        <v>-0.72826597007906457</v>
      </c>
      <c r="BJ24" s="7" cm="1">
        <f t="array" ref="BJ24">PRODUCT(1 + 預測IC!$C24:BJ24) - 1</f>
        <v>-0.72735611874554196</v>
      </c>
      <c r="BK24" s="7" cm="1">
        <f t="array" ref="BK24">PRODUCT(1 + 預測IC!$C24:BK24) - 1</f>
        <v>-0.72625912330387443</v>
      </c>
      <c r="BL24" s="7" cm="1">
        <f t="array" ref="BL24">PRODUCT(1 + 預測IC!$C24:BL24) - 1</f>
        <v>-0.63943829142821484</v>
      </c>
      <c r="BM24" s="7" cm="1">
        <f t="array" ref="BM24">PRODUCT(1 + 預測IC!$C24:BM24) - 1</f>
        <v>-0.63530156005264682</v>
      </c>
      <c r="BN24" s="7" cm="1">
        <f t="array" ref="BN24">PRODUCT(1 + 預測IC!$C24:BN24) - 1</f>
        <v>-0.63280361576689947</v>
      </c>
      <c r="BO24" s="7" cm="1">
        <f t="array" ref="BO24">PRODUCT(1 + 預測IC!$C24:BO24) - 1</f>
        <v>-0.69196251180213086</v>
      </c>
      <c r="BP24" s="7" cm="1">
        <f t="array" ref="BP24">PRODUCT(1 + 預測IC!$C24:BP24) - 1</f>
        <v>-0.65396572380081419</v>
      </c>
      <c r="BQ24" s="7" cm="1">
        <f t="array" ref="BQ24">PRODUCT(1 + 預測IC!$C24:BQ24) - 1</f>
        <v>-0.67617061642416765</v>
      </c>
      <c r="BR24" s="7" cm="1">
        <f t="array" ref="BR24">PRODUCT(1 + 預測IC!$C24:BR24) - 1</f>
        <v>-0.66245442674122157</v>
      </c>
      <c r="BS24" s="7" cm="1">
        <f t="array" ref="BS24">PRODUCT(1 + 預測IC!$C24:BS24) - 1</f>
        <v>-0.66288807744098821</v>
      </c>
      <c r="BT24" s="7" cm="1">
        <f t="array" ref="BT24">PRODUCT(1 + 預測IC!$C24:BT24) - 1</f>
        <v>-0.62369183955688667</v>
      </c>
      <c r="BU24" s="7" cm="1">
        <f t="array" ref="BU24">PRODUCT(1 + 預測IC!$C24:BU24) - 1</f>
        <v>-0.53777066485439273</v>
      </c>
      <c r="BV24" s="7" cm="1">
        <f t="array" ref="BV24">PRODUCT(1 + 預測IC!$C24:BV24) - 1</f>
        <v>-0.48797541323748628</v>
      </c>
      <c r="BW24" s="7" cm="1">
        <f t="array" ref="BW24">PRODUCT(1 + 預測IC!$C24:BW24) - 1</f>
        <v>-0.51963690600309564</v>
      </c>
      <c r="BX24" s="7" cm="1">
        <f t="array" ref="BX24">PRODUCT(1 + 預測IC!$C24:BX24) - 1</f>
        <v>-0.58350600974217204</v>
      </c>
      <c r="BY24" s="7" cm="1">
        <f t="array" ref="BY24">PRODUCT(1 + 預測IC!$C24:BY24) - 1</f>
        <v>-0.53779759807711891</v>
      </c>
      <c r="BZ24" s="7" cm="1">
        <f t="array" ref="BZ24">PRODUCT(1 + 預測IC!$C24:BZ24) - 1</f>
        <v>-0.41813667838787283</v>
      </c>
      <c r="CA24" s="7" cm="1">
        <f t="array" ref="CA24">PRODUCT(1 + 預測IC!$C24:CA24) - 1</f>
        <v>-0.35993584870112694</v>
      </c>
      <c r="CB24" s="7" cm="1">
        <f t="array" ref="CB24">PRODUCT(1 + 預測IC!$C24:CB24) - 1</f>
        <v>-0.22631479280508493</v>
      </c>
      <c r="CC24" s="7" cm="1">
        <f t="array" ref="CC24">PRODUCT(1 + 預測IC!$C24:CC24) - 1</f>
        <v>0.113994136653776</v>
      </c>
      <c r="CD24" s="7" cm="1">
        <f t="array" ref="CD24">PRODUCT(1 + 預測IC!$C24:CD24) - 1</f>
        <v>0.27475052070271899</v>
      </c>
      <c r="CE24" s="7" cm="1">
        <f t="array" ref="CE24">PRODUCT(1 + 預測IC!$C24:CE24) - 1</f>
        <v>6.8981117247126633E-3</v>
      </c>
      <c r="CF24" s="7" cm="1">
        <f t="array" ref="CF24">PRODUCT(1 + 預測IC!$C24:CF24) - 1</f>
        <v>0.23014893269862524</v>
      </c>
      <c r="CG24" s="7" cm="1">
        <f t="array" ref="CG24">PRODUCT(1 + 預測IC!$C24:CG24) - 1</f>
        <v>-0.16819540858029802</v>
      </c>
      <c r="CH24" s="7" cm="1">
        <f t="array" ref="CH24">PRODUCT(1 + 預測IC!$C24:CH24) - 1</f>
        <v>0.12649407356905673</v>
      </c>
      <c r="CI24" s="7" cm="1">
        <f t="array" ref="CI24">PRODUCT(1 + 預測IC!$C24:CI24) - 1</f>
        <v>0.49649310305100958</v>
      </c>
      <c r="CJ24" s="7" cm="1">
        <f t="array" ref="CJ24">PRODUCT(1 + 預測IC!$C24:CJ24) - 1</f>
        <v>0.5161113575657188</v>
      </c>
      <c r="CK24" s="7" cm="1">
        <f t="array" ref="CK24">PRODUCT(1 + 預測IC!$C24:CK24) - 1</f>
        <v>0.65791337309026887</v>
      </c>
      <c r="CL24" s="7" cm="1">
        <f t="array" ref="CL24">PRODUCT(1 + 預測IC!$C24:CL24) - 1</f>
        <v>0.89293143599547342</v>
      </c>
      <c r="CM24" s="7" cm="1">
        <f t="array" ref="CM24">PRODUCT(1 + 預測IC!$C24:CM24) - 1</f>
        <v>1.9332621532549554</v>
      </c>
      <c r="CN24" s="7" cm="1">
        <f t="array" ref="CN24">PRODUCT(1 + 預測IC!$C24:CN24) - 1</f>
        <v>1.6172361071676375</v>
      </c>
      <c r="CO24" s="7" cm="1">
        <f t="array" ref="CO24">PRODUCT(1 + 預測IC!$C24:CO24) - 1</f>
        <v>-0.41544873860989728</v>
      </c>
      <c r="CP24" s="7" cm="1">
        <f t="array" ref="CP24">PRODUCT(1 + 預測IC!$C24:CP24) - 1</f>
        <v>-0.32171933142878839</v>
      </c>
      <c r="CQ24" s="7" cm="1">
        <f t="array" ref="CQ24">PRODUCT(1 + 預測IC!$C24:CQ24) - 1</f>
        <v>-0.24392923846424863</v>
      </c>
      <c r="CR24" s="7" cm="1">
        <f t="array" ref="CR24">PRODUCT(1 + 預測IC!$C24:CR24) - 1</f>
        <v>-0.19774477829817871</v>
      </c>
      <c r="CS24" s="7" cm="1">
        <f t="array" ref="CS24">PRODUCT(1 + 預測IC!$C24:CS24) - 1</f>
        <v>-0.26665467728859693</v>
      </c>
      <c r="CT24" s="7" cm="1">
        <f t="array" ref="CT24">PRODUCT(1 + 預測IC!$C24:CT24) - 1</f>
        <v>-0.19594624864323151</v>
      </c>
      <c r="CU24" s="7" cm="1">
        <f t="array" ref="CU24">PRODUCT(1 + 預測IC!$C24:CU24) - 1</f>
        <v>-0.25444224264286974</v>
      </c>
      <c r="CV24" s="7" cm="1">
        <f t="array" ref="CV24">PRODUCT(1 + 預測IC!$C24:CV24) - 1</f>
        <v>-0.24321112514269194</v>
      </c>
      <c r="CW24" s="7" cm="1">
        <f t="array" ref="CW24">PRODUCT(1 + 預測IC!$C24:CW24) - 1</f>
        <v>-0.11068440206285701</v>
      </c>
      <c r="CX24" s="7" cm="1">
        <f t="array" ref="CX24">PRODUCT(1 + 預測IC!$C24:CX24) - 1</f>
        <v>-6.1587783579384214E-2</v>
      </c>
      <c r="CY24" s="7" cm="1">
        <f t="array" ref="CY24">PRODUCT(1 + 預測IC!$C24:CY24) - 1</f>
        <v>-0.13672354502155959</v>
      </c>
      <c r="CZ24" s="7" cm="1">
        <f t="array" ref="CZ24">PRODUCT(1 + 預測IC!$C24:CZ24) - 1</f>
        <v>-3.9858204592850499E-2</v>
      </c>
      <c r="DA24" s="7" cm="1">
        <f t="array" ref="DA24">PRODUCT(1 + 預測IC!$C24:DA24) - 1</f>
        <v>-1.632397302043187E-2</v>
      </c>
      <c r="DB24" s="7" cm="1">
        <f t="array" ref="DB24">PRODUCT(1 + 預測IC!$C24:DB24) - 1</f>
        <v>-0.20859395078843412</v>
      </c>
      <c r="DC24" s="7" cm="1">
        <f t="array" ref="DC24">PRODUCT(1 + 預測IC!$C24:DC24) - 1</f>
        <v>-5.7296299309665399E-2</v>
      </c>
      <c r="DD24" s="7" cm="1">
        <f t="array" ref="DD24">PRODUCT(1 + 預測IC!$C24:DD24) - 1</f>
        <v>8.7296895930083052E-2</v>
      </c>
      <c r="DE24" s="7" cm="1">
        <f t="array" ref="DE24">PRODUCT(1 + 預測IC!$C24:DE24) - 1</f>
        <v>-0.10413559379892534</v>
      </c>
      <c r="DF24" s="7" cm="1">
        <f t="array" ref="DF24">PRODUCT(1 + 預測IC!$C24:DF24) - 1</f>
        <v>-0.19790122039163527</v>
      </c>
      <c r="DG24" s="7" cm="1">
        <f t="array" ref="DG24">PRODUCT(1 + 預測IC!$C24:DG24) - 1</f>
        <v>-0.15049250297276451</v>
      </c>
      <c r="DH24" s="7" cm="1">
        <f t="array" ref="DH24">PRODUCT(1 + 預測IC!$C24:DH24) - 1</f>
        <v>-0.14977337358331444</v>
      </c>
      <c r="DI24" s="7" cm="1">
        <f t="array" ref="DI24">PRODUCT(1 + 預測IC!$C24:DI24) - 1</f>
        <v>-2.9147080758910482E-2</v>
      </c>
      <c r="DJ24" s="7" cm="1">
        <f t="array" ref="DJ24">PRODUCT(1 + 預測IC!$C24:DJ24) - 1</f>
        <v>-0.15777403503800158</v>
      </c>
      <c r="DK24" s="7" cm="1">
        <f t="array" ref="DK24">PRODUCT(1 + 預測IC!$C24:DK24) - 1</f>
        <v>0.12816943749871035</v>
      </c>
      <c r="DL24" s="7" cm="1">
        <f t="array" ref="DL24">PRODUCT(1 + 預測IC!$C24:DL24) - 1</f>
        <v>0.36858733823013834</v>
      </c>
      <c r="DM24" s="7" cm="1">
        <f t="array" ref="DM24">PRODUCT(1 + 預測IC!$C24:DM24) - 1</f>
        <v>0.17501499214218041</v>
      </c>
      <c r="DN24" s="7" cm="1">
        <f t="array" ref="DN24">PRODUCT(1 + 預測IC!$C24:DN24) - 1</f>
        <v>0.44918661098750889</v>
      </c>
      <c r="DO24" s="7" cm="1">
        <f t="array" ref="DO24">PRODUCT(1 + 預測IC!$C24:DO24) - 1</f>
        <v>0.71792493929357737</v>
      </c>
      <c r="DP24" s="7" cm="1">
        <f t="array" ref="DP24">PRODUCT(1 + 預測IC!$C24:DP24) - 1</f>
        <v>0.91440989932843619</v>
      </c>
      <c r="DQ24" s="7" cm="1">
        <f t="array" ref="DQ24">PRODUCT(1 + 預測IC!$C24:DQ24) - 1</f>
        <v>0.65983674173582085</v>
      </c>
      <c r="DR24" s="7" cm="1">
        <f t="array" ref="DR24">PRODUCT(1 + 預測IC!$C24:DR24) - 1</f>
        <v>0.62578414493002921</v>
      </c>
      <c r="DS24" s="7" cm="1">
        <f t="array" ref="DS24">PRODUCT(1 + 預測IC!$C24:DS24) - 1</f>
        <v>0.27418956036069386</v>
      </c>
      <c r="DT24" s="7" cm="1">
        <f t="array" ref="DT24">PRODUCT(1 + 預測IC!$C24:DT24) - 1</f>
        <v>0.22530799678120017</v>
      </c>
      <c r="DU24" s="7" cm="1">
        <f t="array" ref="DU24">PRODUCT(1 + 預測IC!$C24:DU24) - 1</f>
        <v>0.16693605483930596</v>
      </c>
      <c r="DV24" s="7" cm="1">
        <f t="array" ref="DV24">PRODUCT(1 + 預測IC!$C24:DV24) - 1</f>
        <v>0.35157416045285661</v>
      </c>
      <c r="DW24" s="7" cm="1">
        <f t="array" ref="DW24">PRODUCT(1 + 預測IC!$C24:DW24) - 1</f>
        <v>0.49870259033207254</v>
      </c>
      <c r="DX24" s="7" cm="1">
        <f t="array" ref="DX24">PRODUCT(1 + 預測IC!$C24:DX24) - 1</f>
        <v>3.1717162579774305E-2</v>
      </c>
      <c r="DY24" s="7" cm="1">
        <f t="array" ref="DY24">PRODUCT(1 + 預測IC!$C24:DY24) - 1</f>
        <v>0.38642594583798484</v>
      </c>
      <c r="DZ24" s="7" cm="1">
        <f t="array" ref="DZ24">PRODUCT(1 + 預測IC!$C24:DZ24) - 1</f>
        <v>0.31645416188907394</v>
      </c>
      <c r="EA24" s="7" cm="1">
        <f t="array" ref="EA24">PRODUCT(1 + 預測IC!$C24:EA24) - 1</f>
        <v>0.41828310538120839</v>
      </c>
      <c r="EB24" s="7" cm="1">
        <f t="array" ref="EB24">PRODUCT(1 + 預測IC!$C24:EB24) - 1</f>
        <v>0.37632720442190459</v>
      </c>
      <c r="EC24" s="7" cm="1">
        <f t="array" ref="EC24">PRODUCT(1 + 預測IC!$C24:EC24) - 1</f>
        <v>0.35663207392475149</v>
      </c>
      <c r="ED24" s="7" cm="1">
        <f t="array" ref="ED24">PRODUCT(1 + 預測IC!$C24:ED24) - 1</f>
        <v>0.28042619030938032</v>
      </c>
      <c r="EE24" s="7" cm="1">
        <f t="array" ref="EE24">PRODUCT(1 + 預測IC!$C24:EE24) - 1</f>
        <v>0.42566421500192209</v>
      </c>
      <c r="EF24" s="7" cm="1">
        <f t="array" ref="EF24">PRODUCT(1 + 預測IC!$C24:EF24) - 1</f>
        <v>0.52157816596774897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5"/>
  <sheetViews>
    <sheetView workbookViewId="0">
      <selection activeCell="A2" sqref="A2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tr">
        <f>預測IC!A1</f>
        <v>NN3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8" x14ac:dyDescent="0.3">
      <c r="A10" s="19" t="s">
        <v>141</v>
      </c>
      <c r="B10" s="20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150</v>
      </c>
      <c r="EH11" t="s">
        <v>151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1</v>
      </c>
      <c r="G12" s="7">
        <f>IF(預測IC!G12&gt;預測IC!G$25,1,0)</f>
        <v>0</v>
      </c>
      <c r="H12" s="7">
        <f>IF(預測IC!H12&gt;預測IC!H$25,1,0)</f>
        <v>1</v>
      </c>
      <c r="I12" s="7">
        <f>IF(預測IC!I12&gt;預測IC!I$25,1,0)</f>
        <v>1</v>
      </c>
      <c r="J12" s="7">
        <f>IF(預測IC!J12&gt;預測IC!J$25,1,0)</f>
        <v>0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1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0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0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0</v>
      </c>
      <c r="AG12" s="7">
        <f>IF(預測IC!AG12&gt;預測IC!AG$25,1,0)</f>
        <v>0</v>
      </c>
      <c r="AH12" s="7">
        <f>IF(預測IC!AH12&gt;預測IC!AH$25,1,0)</f>
        <v>0</v>
      </c>
      <c r="AI12" s="7">
        <f>IF(預測IC!AI12&gt;預測IC!AI$25,1,0)</f>
        <v>1</v>
      </c>
      <c r="AJ12" s="7">
        <f>IF(預測IC!AJ12&gt;預測IC!AJ$25,1,0)</f>
        <v>1</v>
      </c>
      <c r="AK12" s="7">
        <f>IF(預測IC!AK12&gt;預測IC!AK$25,1,0)</f>
        <v>1</v>
      </c>
      <c r="AL12" s="7">
        <f>IF(預測IC!AL12&gt;預測IC!AL$25,1,0)</f>
        <v>1</v>
      </c>
      <c r="AM12" s="7">
        <f>IF(預測IC!AM12&gt;預測IC!AM$25,1,0)</f>
        <v>1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0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0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1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1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1</v>
      </c>
      <c r="CQ12" s="7">
        <f>IF(預測IC!CQ12&gt;預測IC!CQ$25,1,0)</f>
        <v>1</v>
      </c>
      <c r="CR12" s="7">
        <f>IF(預測IC!CR12&gt;預測IC!CR$25,1,0)</f>
        <v>0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0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0</v>
      </c>
      <c r="DC12" s="7">
        <f>IF(預測IC!DC12&gt;預測IC!DC$25,1,0)</f>
        <v>1</v>
      </c>
      <c r="DD12" s="7">
        <f>IF(預測IC!DD12&gt;預測IC!DD$25,1,0)</f>
        <v>1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0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1</v>
      </c>
      <c r="DZ12" s="7">
        <f>IF(預測IC!DZ12&gt;預測IC!DZ$25,1,0)</f>
        <v>0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10">SUM(C12:EF12)</f>
        <v>66</v>
      </c>
      <c r="EH12" s="11">
        <f t="shared" ref="EH12:EH24" si="11">SUM(C12:EE12)/134</f>
        <v>0.48507462686567165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0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1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1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1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0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0</v>
      </c>
      <c r="AG13" s="7">
        <f>IF(預測IC!AG13&gt;預測IC!AG$25,1,0)</f>
        <v>0</v>
      </c>
      <c r="AH13" s="7">
        <f>IF(預測IC!AH13&gt;預測IC!AH$25,1,0)</f>
        <v>0</v>
      </c>
      <c r="AI13" s="7">
        <f>IF(預測IC!AI13&gt;預測IC!AI$25,1,0)</f>
        <v>1</v>
      </c>
      <c r="AJ13" s="7">
        <f>IF(預測IC!AJ13&gt;預測IC!AJ$25,1,0)</f>
        <v>1</v>
      </c>
      <c r="AK13" s="7">
        <f>IF(預測IC!AK13&gt;預測IC!AK$25,1,0)</f>
        <v>1</v>
      </c>
      <c r="AL13" s="7">
        <f>IF(預測IC!AL13&gt;預測IC!AL$25,1,0)</f>
        <v>1</v>
      </c>
      <c r="AM13" s="7">
        <f>IF(預測IC!AM13&gt;預測IC!AM$25,1,0)</f>
        <v>1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0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1</v>
      </c>
      <c r="BF13" s="7">
        <f>IF(預測IC!BF13&gt;預測IC!BF$25,1,0)</f>
        <v>1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0</v>
      </c>
      <c r="CC13" s="7">
        <f>IF(預測IC!CC13&gt;預測IC!CC$25,1,0)</f>
        <v>0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1</v>
      </c>
      <c r="CN13" s="7">
        <f>IF(預測IC!CN13&gt;預測IC!CN$25,1,0)</f>
        <v>0</v>
      </c>
      <c r="CO13" s="7">
        <f>IF(預測IC!CO13&gt;預測IC!CO$25,1,0)</f>
        <v>1</v>
      </c>
      <c r="CP13" s="7">
        <f>IF(預測IC!CP13&gt;預測IC!CP$25,1,0)</f>
        <v>1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0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0</v>
      </c>
      <c r="DC13" s="7">
        <f>IF(預測IC!DC13&gt;預測IC!DC$25,1,0)</f>
        <v>1</v>
      </c>
      <c r="DD13" s="7">
        <f>IF(預測IC!DD13&gt;預測IC!DD$25,1,0)</f>
        <v>1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0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0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0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10"/>
        <v>70</v>
      </c>
      <c r="EH13" s="11">
        <f t="shared" si="11"/>
        <v>0.5149253731343284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1</v>
      </c>
      <c r="G14" s="7">
        <f>IF(預測IC!G14&gt;預測IC!G$25,1,0)</f>
        <v>0</v>
      </c>
      <c r="H14" s="7">
        <f>IF(預測IC!H14&gt;預測IC!H$25,1,0)</f>
        <v>1</v>
      </c>
      <c r="I14" s="7">
        <f>IF(預測IC!I14&gt;預測IC!I$25,1,0)</f>
        <v>1</v>
      </c>
      <c r="J14" s="7">
        <f>IF(預測IC!J14&gt;預測IC!J$25,1,0)</f>
        <v>0</v>
      </c>
      <c r="K14" s="7">
        <f>IF(預測IC!K14&gt;預測IC!K$25,1,0)</f>
        <v>0</v>
      </c>
      <c r="L14" s="7">
        <f>IF(預測IC!L14&gt;預測IC!L$25,1,0)</f>
        <v>1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1</v>
      </c>
      <c r="Q14" s="7">
        <f>IF(預測IC!Q14&gt;預測IC!Q$25,1,0)</f>
        <v>1</v>
      </c>
      <c r="R14" s="7">
        <f>IF(預測IC!R14&gt;預測IC!R$25,1,0)</f>
        <v>0</v>
      </c>
      <c r="S14" s="7">
        <f>IF(預測IC!S14&gt;預測IC!S$25,1,0)</f>
        <v>1</v>
      </c>
      <c r="T14" s="7">
        <f>IF(預測IC!T14&gt;預測IC!T$25,1,0)</f>
        <v>1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0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0</v>
      </c>
      <c r="AL14" s="7">
        <f>IF(預測IC!AL14&gt;預測IC!AL$25,1,0)</f>
        <v>1</v>
      </c>
      <c r="AM14" s="7">
        <f>IF(預測IC!AM14&gt;預測IC!AM$25,1,0)</f>
        <v>1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1</v>
      </c>
      <c r="AQ14" s="7">
        <f>IF(預測IC!AQ14&gt;預測IC!AQ$25,1,0)</f>
        <v>0</v>
      </c>
      <c r="AR14" s="7">
        <f>IF(預測IC!AR14&gt;預測IC!AR$25,1,0)</f>
        <v>1</v>
      </c>
      <c r="AS14" s="7">
        <f>IF(預測IC!AS14&gt;預測IC!AS$25,1,0)</f>
        <v>1</v>
      </c>
      <c r="AT14" s="7">
        <f>IF(預測IC!AT14&gt;預測IC!AT$25,1,0)</f>
        <v>1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0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1</v>
      </c>
      <c r="BF14" s="7">
        <f>IF(預測IC!BF14&gt;預測IC!BF$25,1,0)</f>
        <v>1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1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1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0</v>
      </c>
      <c r="CC14" s="7">
        <f>IF(預測IC!CC14&gt;預測IC!CC$25,1,0)</f>
        <v>0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1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1</v>
      </c>
      <c r="CT14" s="7">
        <f>IF(預測IC!CT14&gt;預測IC!CT$25,1,0)</f>
        <v>0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0</v>
      </c>
      <c r="CX14" s="7">
        <f>IF(預測IC!CX14&gt;預測IC!CX$25,1,0)</f>
        <v>1</v>
      </c>
      <c r="CY14" s="7">
        <f>IF(預測IC!CY14&gt;預測IC!CY$25,1,0)</f>
        <v>0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0</v>
      </c>
      <c r="DC14" s="7">
        <f>IF(預測IC!DC14&gt;預測IC!DC$25,1,0)</f>
        <v>1</v>
      </c>
      <c r="DD14" s="7">
        <f>IF(預測IC!DD14&gt;預測IC!DD$25,1,0)</f>
        <v>1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0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0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1</v>
      </c>
      <c r="DX14" s="7">
        <f>IF(預測IC!DX14&gt;預測IC!DX$25,1,0)</f>
        <v>0</v>
      </c>
      <c r="DY14" s="7">
        <f>IF(預測IC!DY14&gt;預測IC!DY$25,1,0)</f>
        <v>1</v>
      </c>
      <c r="DZ14" s="7">
        <f>IF(預測IC!DZ14&gt;預測IC!DZ$25,1,0)</f>
        <v>0</v>
      </c>
      <c r="EA14" s="7">
        <f>IF(預測IC!EA14&gt;預測IC!EA$25,1,0)</f>
        <v>1</v>
      </c>
      <c r="EB14" s="7">
        <f>IF(預測IC!EB14&gt;預測IC!EB$25,1,0)</f>
        <v>1</v>
      </c>
      <c r="EC14" s="7">
        <f>IF(預測IC!EC14&gt;預測IC!EC$25,1,0)</f>
        <v>1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10"/>
        <v>72</v>
      </c>
      <c r="EH14" s="13">
        <f t="shared" si="11"/>
        <v>0.52985074626865669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1</v>
      </c>
      <c r="E15" s="7">
        <f>IF(預測IC!E15&gt;預測IC!E$25,1,0)</f>
        <v>0</v>
      </c>
      <c r="F15" s="7">
        <f>IF(預測IC!F15&gt;預測IC!F$25,1,0)</f>
        <v>1</v>
      </c>
      <c r="G15" s="7">
        <f>IF(預測IC!G15&gt;預測IC!G$25,1,0)</f>
        <v>0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0</v>
      </c>
      <c r="K15" s="7">
        <f>IF(預測IC!K15&gt;預測IC!K$25,1,0)</f>
        <v>0</v>
      </c>
      <c r="L15" s="7">
        <f>IF(預測IC!L15&gt;預測IC!L$25,1,0)</f>
        <v>1</v>
      </c>
      <c r="M15" s="7">
        <f>IF(預測IC!M15&gt;預測IC!M$25,1,0)</f>
        <v>0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1</v>
      </c>
      <c r="Q15" s="7">
        <f>IF(預測IC!Q15&gt;預測IC!Q$25,1,0)</f>
        <v>1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1</v>
      </c>
      <c r="V15" s="7">
        <f>IF(預測IC!V15&gt;預測IC!V$25,1,0)</f>
        <v>0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0</v>
      </c>
      <c r="AA15" s="7">
        <f>IF(預測IC!AA15&gt;預測IC!AA$25,1,0)</f>
        <v>0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1</v>
      </c>
      <c r="AF15" s="7">
        <f>IF(預測IC!AF15&gt;預測IC!AF$25,1,0)</f>
        <v>0</v>
      </c>
      <c r="AG15" s="7">
        <f>IF(預測IC!AG15&gt;預測IC!AG$25,1,0)</f>
        <v>0</v>
      </c>
      <c r="AH15" s="7">
        <f>IF(預測IC!AH15&gt;預測IC!AH$25,1,0)</f>
        <v>1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0</v>
      </c>
      <c r="AL15" s="7">
        <f>IF(預測IC!AL15&gt;預測IC!AL$25,1,0)</f>
        <v>1</v>
      </c>
      <c r="AM15" s="7">
        <f>IF(預測IC!AM15&gt;預測IC!AM$25,1,0)</f>
        <v>1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1</v>
      </c>
      <c r="AQ15" s="7">
        <f>IF(預測IC!AQ15&gt;預測IC!AQ$25,1,0)</f>
        <v>0</v>
      </c>
      <c r="AR15" s="7">
        <f>IF(預測IC!AR15&gt;預測IC!AR$25,1,0)</f>
        <v>1</v>
      </c>
      <c r="AS15" s="7">
        <f>IF(預測IC!AS15&gt;預測IC!AS$25,1,0)</f>
        <v>1</v>
      </c>
      <c r="AT15" s="7">
        <f>IF(預測IC!AT15&gt;預測IC!AT$25,1,0)</f>
        <v>1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0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1</v>
      </c>
      <c r="BF15" s="7">
        <f>IF(預測IC!BF15&gt;預測IC!BF$25,1,0)</f>
        <v>1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0</v>
      </c>
      <c r="BL15" s="7">
        <f>IF(預測IC!BL15&gt;預測IC!BL$25,1,0)</f>
        <v>1</v>
      </c>
      <c r="BM15" s="7">
        <f>IF(預測IC!BM15&gt;預測IC!BM$25,1,0)</f>
        <v>1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1</v>
      </c>
      <c r="BU15" s="7">
        <f>IF(預測IC!BU15&gt;預測IC!BU$25,1,0)</f>
        <v>1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1</v>
      </c>
      <c r="CB15" s="7">
        <f>IF(預測IC!CB15&gt;預測IC!CB$25,1,0)</f>
        <v>0</v>
      </c>
      <c r="CC15" s="7">
        <f>IF(預測IC!CC15&gt;預測IC!CC$25,1,0)</f>
        <v>0</v>
      </c>
      <c r="CD15" s="7">
        <f>IF(預測IC!CD15&gt;預測IC!CD$25,1,0)</f>
        <v>1</v>
      </c>
      <c r="CE15" s="7">
        <f>IF(預測IC!CE15&gt;預測IC!CE$25,1,0)</f>
        <v>0</v>
      </c>
      <c r="CF15" s="7">
        <f>IF(預測IC!CF15&gt;預測IC!CF$25,1,0)</f>
        <v>1</v>
      </c>
      <c r="CG15" s="7">
        <f>IF(預測IC!CG15&gt;預測IC!CG$25,1,0)</f>
        <v>0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1</v>
      </c>
      <c r="CN15" s="7">
        <f>IF(預測IC!CN15&gt;預測IC!CN$25,1,0)</f>
        <v>0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1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0</v>
      </c>
      <c r="CW15" s="7">
        <f>IF(預測IC!CW15&gt;預測IC!CW$25,1,0)</f>
        <v>0</v>
      </c>
      <c r="CX15" s="7">
        <f>IF(預測IC!CX15&gt;預測IC!CX$25,1,0)</f>
        <v>1</v>
      </c>
      <c r="CY15" s="7">
        <f>IF(預測IC!CY15&gt;預測IC!CY$25,1,0)</f>
        <v>0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0</v>
      </c>
      <c r="DC15" s="7">
        <f>IF(預測IC!DC15&gt;預測IC!DC$25,1,0)</f>
        <v>1</v>
      </c>
      <c r="DD15" s="7">
        <f>IF(預測IC!DD15&gt;預測IC!DD$25,1,0)</f>
        <v>0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0</v>
      </c>
      <c r="DI15" s="7">
        <f>IF(預測IC!DI15&gt;預測IC!DI$25,1,0)</f>
        <v>0</v>
      </c>
      <c r="DJ15" s="7">
        <f>IF(預測IC!DJ15&gt;預測IC!DJ$25,1,0)</f>
        <v>0</v>
      </c>
      <c r="DK15" s="7">
        <f>IF(預測IC!DK15&gt;預測IC!DK$25,1,0)</f>
        <v>1</v>
      </c>
      <c r="DL15" s="7">
        <f>IF(預測IC!DL15&gt;預測IC!DL$25,1,0)</f>
        <v>1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1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0</v>
      </c>
      <c r="EA15" s="7">
        <f>IF(預測IC!EA15&gt;預測IC!EA$25,1,0)</f>
        <v>1</v>
      </c>
      <c r="EB15" s="7">
        <f>IF(預測IC!EB15&gt;預測IC!EB$25,1,0)</f>
        <v>1</v>
      </c>
      <c r="EC15" s="7">
        <f>IF(預測IC!EC15&gt;預測IC!EC$25,1,0)</f>
        <v>1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10"/>
        <v>73</v>
      </c>
      <c r="EH15" s="11">
        <f t="shared" si="11"/>
        <v>0.53731343283582089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1</v>
      </c>
      <c r="E16" s="7">
        <f>IF(預測IC!E16&gt;預測IC!E$25,1,0)</f>
        <v>0</v>
      </c>
      <c r="F16" s="7">
        <f>IF(預測IC!F16&gt;預測IC!F$25,1,0)</f>
        <v>1</v>
      </c>
      <c r="G16" s="7">
        <f>IF(預測IC!G16&gt;預測IC!G$25,1,0)</f>
        <v>0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0</v>
      </c>
      <c r="K16" s="7">
        <f>IF(預測IC!K16&gt;預測IC!K$25,1,0)</f>
        <v>0</v>
      </c>
      <c r="L16" s="7">
        <f>IF(預測IC!L16&gt;預測IC!L$25,1,0)</f>
        <v>1</v>
      </c>
      <c r="M16" s="7">
        <f>IF(預測IC!M16&gt;預測IC!M$25,1,0)</f>
        <v>0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1</v>
      </c>
      <c r="Q16" s="7">
        <f>IF(預測IC!Q16&gt;預測IC!Q$25,1,0)</f>
        <v>1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1</v>
      </c>
      <c r="U16" s="7">
        <f>IF(預測IC!U16&gt;預測IC!U$25,1,0)</f>
        <v>1</v>
      </c>
      <c r="V16" s="7">
        <f>IF(預測IC!V16&gt;預測IC!V$25,1,0)</f>
        <v>0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0</v>
      </c>
      <c r="AA16" s="7">
        <f>IF(預測IC!AA16&gt;預測IC!AA$25,1,0)</f>
        <v>0</v>
      </c>
      <c r="AB16" s="7">
        <f>IF(預測IC!AB16&gt;預測IC!AB$25,1,0)</f>
        <v>0</v>
      </c>
      <c r="AC16" s="7">
        <f>IF(預測IC!AC16&gt;預測IC!AC$25,1,0)</f>
        <v>0</v>
      </c>
      <c r="AD16" s="7">
        <f>IF(預測IC!AD16&gt;預測IC!AD$25,1,0)</f>
        <v>1</v>
      </c>
      <c r="AE16" s="7">
        <f>IF(預測IC!AE16&gt;預測IC!AE$25,1,0)</f>
        <v>1</v>
      </c>
      <c r="AF16" s="7">
        <f>IF(預測IC!AF16&gt;預測IC!AF$25,1,0)</f>
        <v>0</v>
      </c>
      <c r="AG16" s="7">
        <f>IF(預測IC!AG16&gt;預測IC!AG$25,1,0)</f>
        <v>0</v>
      </c>
      <c r="AH16" s="7">
        <f>IF(預測IC!AH16&gt;預測IC!AH$25,1,0)</f>
        <v>1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0</v>
      </c>
      <c r="AL16" s="7">
        <f>IF(預測IC!AL16&gt;預測IC!AL$25,1,0)</f>
        <v>1</v>
      </c>
      <c r="AM16" s="7">
        <f>IF(預測IC!AM16&gt;預測IC!AM$25,1,0)</f>
        <v>1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0</v>
      </c>
      <c r="AQ16" s="7">
        <f>IF(預測IC!AQ16&gt;預測IC!AQ$25,1,0)</f>
        <v>0</v>
      </c>
      <c r="AR16" s="7">
        <f>IF(預測IC!AR16&gt;預測IC!AR$25,1,0)</f>
        <v>1</v>
      </c>
      <c r="AS16" s="7">
        <f>IF(預測IC!AS16&gt;預測IC!AS$25,1,0)</f>
        <v>1</v>
      </c>
      <c r="AT16" s="7">
        <f>IF(預測IC!AT16&gt;預測IC!AT$25,1,0)</f>
        <v>1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1</v>
      </c>
      <c r="AX16" s="7">
        <f>IF(預測IC!AX16&gt;預測IC!AX$25,1,0)</f>
        <v>0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1</v>
      </c>
      <c r="BF16" s="7">
        <f>IF(預測IC!BF16&gt;預測IC!BF$25,1,0)</f>
        <v>1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0</v>
      </c>
      <c r="BL16" s="7">
        <f>IF(預測IC!BL16&gt;預測IC!BL$25,1,0)</f>
        <v>1</v>
      </c>
      <c r="BM16" s="7">
        <f>IF(預測IC!BM16&gt;預測IC!BM$25,1,0)</f>
        <v>1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1</v>
      </c>
      <c r="BU16" s="7">
        <f>IF(預測IC!BU16&gt;預測IC!BU$25,1,0)</f>
        <v>1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1</v>
      </c>
      <c r="CB16" s="7">
        <f>IF(預測IC!CB16&gt;預測IC!CB$25,1,0)</f>
        <v>0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0</v>
      </c>
      <c r="CF16" s="7">
        <f>IF(預測IC!CF16&gt;預測IC!CF$25,1,0)</f>
        <v>1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1</v>
      </c>
      <c r="CT16" s="7">
        <f>IF(預測IC!CT16&gt;預測IC!CT$25,1,0)</f>
        <v>0</v>
      </c>
      <c r="CU16" s="7">
        <f>IF(預測IC!CU16&gt;預測IC!CU$25,1,0)</f>
        <v>0</v>
      </c>
      <c r="CV16" s="7">
        <f>IF(預測IC!CV16&gt;預測IC!CV$25,1,0)</f>
        <v>0</v>
      </c>
      <c r="CW16" s="7">
        <f>IF(預測IC!CW16&gt;預測IC!CW$25,1,0)</f>
        <v>0</v>
      </c>
      <c r="CX16" s="7">
        <f>IF(預測IC!CX16&gt;預測IC!CX$25,1,0)</f>
        <v>1</v>
      </c>
      <c r="CY16" s="7">
        <f>IF(預測IC!CY16&gt;預測IC!CY$25,1,0)</f>
        <v>0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0</v>
      </c>
      <c r="DC16" s="7">
        <f>IF(預測IC!DC16&gt;預測IC!DC$25,1,0)</f>
        <v>1</v>
      </c>
      <c r="DD16" s="7">
        <f>IF(預測IC!DD16&gt;預測IC!DD$25,1,0)</f>
        <v>0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0</v>
      </c>
      <c r="DI16" s="7">
        <f>IF(預測IC!DI16&gt;預測IC!DI$25,1,0)</f>
        <v>0</v>
      </c>
      <c r="DJ16" s="7">
        <f>IF(預測IC!DJ16&gt;預測IC!DJ$25,1,0)</f>
        <v>0</v>
      </c>
      <c r="DK16" s="7">
        <f>IF(預測IC!DK16&gt;預測IC!DK$25,1,0)</f>
        <v>1</v>
      </c>
      <c r="DL16" s="7">
        <f>IF(預測IC!DL16&gt;預測IC!DL$25,1,0)</f>
        <v>1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1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1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0</v>
      </c>
      <c r="EA16" s="7">
        <f>IF(預測IC!EA16&gt;預測IC!EA$25,1,0)</f>
        <v>1</v>
      </c>
      <c r="EB16" s="7">
        <f>IF(預測IC!EB16&gt;預測IC!EB$25,1,0)</f>
        <v>1</v>
      </c>
      <c r="EC16" s="7">
        <f>IF(預測IC!EC16&gt;預測IC!EC$25,1,0)</f>
        <v>1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10"/>
        <v>72</v>
      </c>
      <c r="EH16" s="13">
        <f t="shared" si="11"/>
        <v>0.52985074626865669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1</v>
      </c>
      <c r="E17" s="7">
        <f>IF(預測IC!E17&gt;預測IC!E$25,1,0)</f>
        <v>0</v>
      </c>
      <c r="F17" s="7">
        <f>IF(預測IC!F17&gt;預測IC!F$25,1,0)</f>
        <v>1</v>
      </c>
      <c r="G17" s="7">
        <f>IF(預測IC!G17&gt;預測IC!G$25,1,0)</f>
        <v>0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0</v>
      </c>
      <c r="K17" s="7">
        <f>IF(預測IC!K17&gt;預測IC!K$25,1,0)</f>
        <v>0</v>
      </c>
      <c r="L17" s="7">
        <f>IF(預測IC!L17&gt;預測IC!L$25,1,0)</f>
        <v>1</v>
      </c>
      <c r="M17" s="7">
        <f>IF(預測IC!M17&gt;預測IC!M$25,1,0)</f>
        <v>0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1</v>
      </c>
      <c r="Q17" s="7">
        <f>IF(預測IC!Q17&gt;預測IC!Q$25,1,0)</f>
        <v>1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1</v>
      </c>
      <c r="U17" s="7">
        <f>IF(預測IC!U17&gt;預測IC!U$25,1,0)</f>
        <v>1</v>
      </c>
      <c r="V17" s="7">
        <f>IF(預測IC!V17&gt;預測IC!V$25,1,0)</f>
        <v>0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0</v>
      </c>
      <c r="AA17" s="7">
        <f>IF(預測IC!AA17&gt;預測IC!AA$25,1,0)</f>
        <v>0</v>
      </c>
      <c r="AB17" s="7">
        <f>IF(預測IC!AB17&gt;預測IC!AB$25,1,0)</f>
        <v>0</v>
      </c>
      <c r="AC17" s="7">
        <f>IF(預測IC!AC17&gt;預測IC!AC$25,1,0)</f>
        <v>0</v>
      </c>
      <c r="AD17" s="7">
        <f>IF(預測IC!AD17&gt;預測IC!AD$25,1,0)</f>
        <v>1</v>
      </c>
      <c r="AE17" s="7">
        <f>IF(預測IC!AE17&gt;預測IC!AE$25,1,0)</f>
        <v>1</v>
      </c>
      <c r="AF17" s="7">
        <f>IF(預測IC!AF17&gt;預測IC!AF$25,1,0)</f>
        <v>0</v>
      </c>
      <c r="AG17" s="7">
        <f>IF(預測IC!AG17&gt;預測IC!AG$25,1,0)</f>
        <v>0</v>
      </c>
      <c r="AH17" s="7">
        <f>IF(預測IC!AH17&gt;預測IC!AH$25,1,0)</f>
        <v>1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0</v>
      </c>
      <c r="AL17" s="7">
        <f>IF(預測IC!AL17&gt;預測IC!AL$25,1,0)</f>
        <v>1</v>
      </c>
      <c r="AM17" s="7">
        <f>IF(預測IC!AM17&gt;預測IC!AM$25,1,0)</f>
        <v>1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0</v>
      </c>
      <c r="AQ17" s="7">
        <f>IF(預測IC!AQ17&gt;預測IC!AQ$25,1,0)</f>
        <v>0</v>
      </c>
      <c r="AR17" s="7">
        <f>IF(預測IC!AR17&gt;預測IC!AR$25,1,0)</f>
        <v>1</v>
      </c>
      <c r="AS17" s="7">
        <f>IF(預測IC!AS17&gt;預測IC!AS$25,1,0)</f>
        <v>1</v>
      </c>
      <c r="AT17" s="7">
        <f>IF(預測IC!AT17&gt;預測IC!AT$25,1,0)</f>
        <v>1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1</v>
      </c>
      <c r="BF17" s="7">
        <f>IF(預測IC!BF17&gt;預測IC!BF$25,1,0)</f>
        <v>1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0</v>
      </c>
      <c r="BL17" s="7">
        <f>IF(預測IC!BL17&gt;預測IC!BL$25,1,0)</f>
        <v>1</v>
      </c>
      <c r="BM17" s="7">
        <f>IF(預測IC!BM17&gt;預測IC!BM$25,1,0)</f>
        <v>1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1</v>
      </c>
      <c r="BU17" s="7">
        <f>IF(預測IC!BU17&gt;預測IC!BU$25,1,0)</f>
        <v>1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0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0</v>
      </c>
      <c r="CF17" s="7">
        <f>IF(預測IC!CF17&gt;預測IC!CF$25,1,0)</f>
        <v>1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1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1</v>
      </c>
      <c r="CY17" s="7">
        <f>IF(預測IC!CY17&gt;預測IC!CY$25,1,0)</f>
        <v>0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0</v>
      </c>
      <c r="DC17" s="7">
        <f>IF(預測IC!DC17&gt;預測IC!DC$25,1,0)</f>
        <v>1</v>
      </c>
      <c r="DD17" s="7">
        <f>IF(預測IC!DD17&gt;預測IC!DD$25,1,0)</f>
        <v>0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0</v>
      </c>
      <c r="DI17" s="7">
        <f>IF(預測IC!DI17&gt;預測IC!DI$25,1,0)</f>
        <v>0</v>
      </c>
      <c r="DJ17" s="7">
        <f>IF(預測IC!DJ17&gt;預測IC!DJ$25,1,0)</f>
        <v>0</v>
      </c>
      <c r="DK17" s="7">
        <f>IF(預測IC!DK17&gt;預測IC!DK$25,1,0)</f>
        <v>1</v>
      </c>
      <c r="DL17" s="7">
        <f>IF(預測IC!DL17&gt;預測IC!DL$25,1,0)</f>
        <v>1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1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0</v>
      </c>
      <c r="EA17" s="7">
        <f>IF(預測IC!EA17&gt;預測IC!EA$25,1,0)</f>
        <v>1</v>
      </c>
      <c r="EB17" s="7">
        <f>IF(預測IC!EB17&gt;預測IC!EB$25,1,0)</f>
        <v>1</v>
      </c>
      <c r="EC17" s="7">
        <f>IF(預測IC!EC17&gt;預測IC!EC$25,1,0)</f>
        <v>1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10"/>
        <v>77</v>
      </c>
      <c r="EH17" s="13">
        <f t="shared" si="11"/>
        <v>0.56716417910447758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1</v>
      </c>
      <c r="E18" s="7">
        <f>IF(預測IC!E18&gt;預測IC!E$25,1,0)</f>
        <v>0</v>
      </c>
      <c r="F18" s="7">
        <f>IF(預測IC!F18&gt;預測IC!F$25,1,0)</f>
        <v>1</v>
      </c>
      <c r="G18" s="7">
        <f>IF(預測IC!G18&gt;預測IC!G$25,1,0)</f>
        <v>0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0</v>
      </c>
      <c r="K18" s="7">
        <f>IF(預測IC!K18&gt;預測IC!K$25,1,0)</f>
        <v>0</v>
      </c>
      <c r="L18" s="7">
        <f>IF(預測IC!L18&gt;預測IC!L$25,1,0)</f>
        <v>1</v>
      </c>
      <c r="M18" s="7">
        <f>IF(預測IC!M18&gt;預測IC!M$25,1,0)</f>
        <v>0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1</v>
      </c>
      <c r="Q18" s="7">
        <f>IF(預測IC!Q18&gt;預測IC!Q$25,1,0)</f>
        <v>1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1</v>
      </c>
      <c r="U18" s="7">
        <f>IF(預測IC!U18&gt;預測IC!U$25,1,0)</f>
        <v>1</v>
      </c>
      <c r="V18" s="7">
        <f>IF(預測IC!V18&gt;預測IC!V$25,1,0)</f>
        <v>0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0</v>
      </c>
      <c r="AA18" s="7">
        <f>IF(預測IC!AA18&gt;預測IC!AA$25,1,0)</f>
        <v>0</v>
      </c>
      <c r="AB18" s="7">
        <f>IF(預測IC!AB18&gt;預測IC!AB$25,1,0)</f>
        <v>0</v>
      </c>
      <c r="AC18" s="7">
        <f>IF(預測IC!AC18&gt;預測IC!AC$25,1,0)</f>
        <v>0</v>
      </c>
      <c r="AD18" s="7">
        <f>IF(預測IC!AD18&gt;預測IC!AD$25,1,0)</f>
        <v>1</v>
      </c>
      <c r="AE18" s="7">
        <f>IF(預測IC!AE18&gt;預測IC!AE$25,1,0)</f>
        <v>1</v>
      </c>
      <c r="AF18" s="7">
        <f>IF(預測IC!AF18&gt;預測IC!AF$25,1,0)</f>
        <v>0</v>
      </c>
      <c r="AG18" s="7">
        <f>IF(預測IC!AG18&gt;預測IC!AG$25,1,0)</f>
        <v>0</v>
      </c>
      <c r="AH18" s="7">
        <f>IF(預測IC!AH18&gt;預測IC!AH$25,1,0)</f>
        <v>1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1</v>
      </c>
      <c r="AM18" s="7">
        <f>IF(預測IC!AM18&gt;預測IC!AM$25,1,0)</f>
        <v>1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0</v>
      </c>
      <c r="AQ18" s="7">
        <f>IF(預測IC!AQ18&gt;預測IC!AQ$25,1,0)</f>
        <v>0</v>
      </c>
      <c r="AR18" s="7">
        <f>IF(預測IC!AR18&gt;預測IC!AR$25,1,0)</f>
        <v>1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1</v>
      </c>
      <c r="BF18" s="7">
        <f>IF(預測IC!BF18&gt;預測IC!BF$25,1,0)</f>
        <v>1</v>
      </c>
      <c r="BG18" s="7">
        <f>IF(預測IC!BG18&gt;預測IC!BG$25,1,0)</f>
        <v>0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1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1</v>
      </c>
      <c r="BU18" s="7">
        <f>IF(預測IC!BU18&gt;預測IC!BU$25,1,0)</f>
        <v>1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1</v>
      </c>
      <c r="CA18" s="7">
        <f>IF(預測IC!CA18&gt;預測IC!CA$25,1,0)</f>
        <v>1</v>
      </c>
      <c r="CB18" s="7">
        <f>IF(預測IC!CB18&gt;預測IC!CB$25,1,0)</f>
        <v>0</v>
      </c>
      <c r="CC18" s="7">
        <f>IF(預測IC!CC18&gt;預測IC!CC$25,1,0)</f>
        <v>0</v>
      </c>
      <c r="CD18" s="7">
        <f>IF(預測IC!CD18&gt;預測IC!CD$25,1,0)</f>
        <v>1</v>
      </c>
      <c r="CE18" s="7">
        <f>IF(預測IC!CE18&gt;預測IC!CE$25,1,0)</f>
        <v>0</v>
      </c>
      <c r="CF18" s="7">
        <f>IF(預測IC!CF18&gt;預測IC!CF$25,1,0)</f>
        <v>1</v>
      </c>
      <c r="CG18" s="7">
        <f>IF(預測IC!CG18&gt;預測IC!CG$25,1,0)</f>
        <v>0</v>
      </c>
      <c r="CH18" s="7">
        <f>IF(預測IC!CH18&gt;預測IC!CH$25,1,0)</f>
        <v>1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1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1</v>
      </c>
      <c r="CY18" s="7">
        <f>IF(預測IC!CY18&gt;預測IC!CY$25,1,0)</f>
        <v>0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0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0</v>
      </c>
      <c r="DK18" s="7">
        <f>IF(預測IC!DK18&gt;預測IC!DK$25,1,0)</f>
        <v>1</v>
      </c>
      <c r="DL18" s="7">
        <f>IF(預測IC!DL18&gt;預測IC!DL$25,1,0)</f>
        <v>1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0</v>
      </c>
      <c r="EA18" s="7">
        <f>IF(預測IC!EA18&gt;預測IC!EA$25,1,0)</f>
        <v>0</v>
      </c>
      <c r="EB18" s="7">
        <f>IF(預測IC!EB18&gt;預測IC!EB$25,1,0)</f>
        <v>1</v>
      </c>
      <c r="EC18" s="7">
        <f>IF(預測IC!EC18&gt;預測IC!EC$25,1,0)</f>
        <v>1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10"/>
        <v>75</v>
      </c>
      <c r="EH18" s="13">
        <f t="shared" si="11"/>
        <v>0.55223880597014929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1</v>
      </c>
      <c r="E19" s="7">
        <f>IF(預測IC!E19&gt;預測IC!E$25,1,0)</f>
        <v>0</v>
      </c>
      <c r="F19" s="7">
        <f>IF(預測IC!F19&gt;預測IC!F$25,1,0)</f>
        <v>1</v>
      </c>
      <c r="G19" s="7">
        <f>IF(預測IC!G19&gt;預測IC!G$25,1,0)</f>
        <v>0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0</v>
      </c>
      <c r="K19" s="7">
        <f>IF(預測IC!K19&gt;預測IC!K$25,1,0)</f>
        <v>0</v>
      </c>
      <c r="L19" s="7">
        <f>IF(預測IC!L19&gt;預測IC!L$25,1,0)</f>
        <v>1</v>
      </c>
      <c r="M19" s="7">
        <f>IF(預測IC!M19&gt;預測IC!M$25,1,0)</f>
        <v>0</v>
      </c>
      <c r="N19" s="7">
        <f>IF(預測IC!N19&gt;預測IC!N$25,1,0)</f>
        <v>1</v>
      </c>
      <c r="O19" s="7">
        <f>IF(預測IC!O19&gt;預測IC!O$25,1,0)</f>
        <v>0</v>
      </c>
      <c r="P19" s="7">
        <f>IF(預測IC!P19&gt;預測IC!P$25,1,0)</f>
        <v>0</v>
      </c>
      <c r="Q19" s="7">
        <f>IF(預測IC!Q19&gt;預測IC!Q$25,1,0)</f>
        <v>1</v>
      </c>
      <c r="R19" s="7">
        <f>IF(預測IC!R19&gt;預測IC!R$25,1,0)</f>
        <v>1</v>
      </c>
      <c r="S19" s="7">
        <f>IF(預測IC!S19&gt;預測IC!S$25,1,0)</f>
        <v>0</v>
      </c>
      <c r="T19" s="7">
        <f>IF(預測IC!T19&gt;預測IC!T$25,1,0)</f>
        <v>0</v>
      </c>
      <c r="U19" s="7">
        <f>IF(預測IC!U19&gt;預測IC!U$25,1,0)</f>
        <v>1</v>
      </c>
      <c r="V19" s="7">
        <f>IF(預測IC!V19&gt;預測IC!V$25,1,0)</f>
        <v>0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0</v>
      </c>
      <c r="AA19" s="7">
        <f>IF(預測IC!AA19&gt;預測IC!AA$25,1,0)</f>
        <v>0</v>
      </c>
      <c r="AB19" s="7">
        <f>IF(預測IC!AB19&gt;預測IC!AB$25,1,0)</f>
        <v>0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1</v>
      </c>
      <c r="AF19" s="7">
        <f>IF(預測IC!AF19&gt;預測IC!AF$25,1,0)</f>
        <v>0</v>
      </c>
      <c r="AG19" s="7">
        <f>IF(預測IC!AG19&gt;預測IC!AG$25,1,0)</f>
        <v>0</v>
      </c>
      <c r="AH19" s="7">
        <f>IF(預測IC!AH19&gt;預測IC!AH$25,1,0)</f>
        <v>1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1</v>
      </c>
      <c r="AM19" s="7">
        <f>IF(預測IC!AM19&gt;預測IC!AM$25,1,0)</f>
        <v>1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1</v>
      </c>
      <c r="AQ19" s="7">
        <f>IF(預測IC!AQ19&gt;預測IC!AQ$25,1,0)</f>
        <v>0</v>
      </c>
      <c r="AR19" s="7">
        <f>IF(預測IC!AR19&gt;預測IC!AR$25,1,0)</f>
        <v>1</v>
      </c>
      <c r="AS19" s="7">
        <f>IF(預測IC!AS19&gt;預測IC!AS$25,1,0)</f>
        <v>1</v>
      </c>
      <c r="AT19" s="7">
        <f>IF(預測IC!AT19&gt;預測IC!AT$25,1,0)</f>
        <v>1</v>
      </c>
      <c r="AU19" s="7">
        <f>IF(預測IC!AU19&gt;預測IC!AU$25,1,0)</f>
        <v>1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1</v>
      </c>
      <c r="BF19" s="7">
        <f>IF(預測IC!BF19&gt;預測IC!BF$25,1,0)</f>
        <v>1</v>
      </c>
      <c r="BG19" s="7">
        <f>IF(預測IC!BG19&gt;預測IC!BG$25,1,0)</f>
        <v>0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1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1</v>
      </c>
      <c r="BU19" s="7">
        <f>IF(預測IC!BU19&gt;預測IC!BU$25,1,0)</f>
        <v>1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0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0</v>
      </c>
      <c r="CF19" s="7">
        <f>IF(預測IC!CF19&gt;預測IC!CF$25,1,0)</f>
        <v>1</v>
      </c>
      <c r="CG19" s="7">
        <f>IF(預測IC!CG19&gt;預測IC!CG$25,1,0)</f>
        <v>0</v>
      </c>
      <c r="CH19" s="7">
        <f>IF(預測IC!CH19&gt;預測IC!CH$25,1,0)</f>
        <v>1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0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1</v>
      </c>
      <c r="CT19" s="7">
        <f>IF(預測IC!CT19&gt;預測IC!CT$25,1,0)</f>
        <v>1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1</v>
      </c>
      <c r="CY19" s="7">
        <f>IF(預測IC!CY19&gt;預測IC!CY$25,1,0)</f>
        <v>0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0</v>
      </c>
      <c r="DC19" s="7">
        <f>IF(預測IC!DC19&gt;預測IC!DC$25,1,0)</f>
        <v>1</v>
      </c>
      <c r="DD19" s="7">
        <f>IF(預測IC!DD19&gt;預測IC!DD$25,1,0)</f>
        <v>0</v>
      </c>
      <c r="DE19" s="7">
        <f>IF(預測IC!DE19&gt;預測IC!DE$25,1,0)</f>
        <v>0</v>
      </c>
      <c r="DF19" s="7">
        <f>IF(預測IC!DF19&gt;預測IC!DF$25,1,0)</f>
        <v>0</v>
      </c>
      <c r="DG19" s="7">
        <f>IF(預測IC!DG19&gt;預測IC!DG$25,1,0)</f>
        <v>0</v>
      </c>
      <c r="DH19" s="7">
        <f>IF(預測IC!DH19&gt;預測IC!DH$25,1,0)</f>
        <v>0</v>
      </c>
      <c r="DI19" s="7">
        <f>IF(預測IC!DI19&gt;預測IC!DI$25,1,0)</f>
        <v>0</v>
      </c>
      <c r="DJ19" s="7">
        <f>IF(預測IC!DJ19&gt;預測IC!DJ$25,1,0)</f>
        <v>0</v>
      </c>
      <c r="DK19" s="7">
        <f>IF(預測IC!DK19&gt;預測IC!DK$25,1,0)</f>
        <v>1</v>
      </c>
      <c r="DL19" s="7">
        <f>IF(預測IC!DL19&gt;預測IC!DL$25,1,0)</f>
        <v>1</v>
      </c>
      <c r="DM19" s="7">
        <f>IF(預測IC!DM19&gt;預測IC!DM$25,1,0)</f>
        <v>0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1</v>
      </c>
      <c r="DX19" s="7">
        <f>IF(預測IC!DX19&gt;預測IC!DX$25,1,0)</f>
        <v>0</v>
      </c>
      <c r="DY19" s="7">
        <f>IF(預測IC!DY19&gt;預測IC!DY$25,1,0)</f>
        <v>1</v>
      </c>
      <c r="DZ19" s="7">
        <f>IF(預測IC!DZ19&gt;預測IC!DZ$25,1,0)</f>
        <v>0</v>
      </c>
      <c r="EA19" s="7">
        <f>IF(預測IC!EA19&gt;預測IC!EA$25,1,0)</f>
        <v>0</v>
      </c>
      <c r="EB19" s="7">
        <f>IF(預測IC!EB19&gt;預測IC!EB$25,1,0)</f>
        <v>0</v>
      </c>
      <c r="EC19" s="7">
        <f>IF(預測IC!EC19&gt;預測IC!EC$25,1,0)</f>
        <v>1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10"/>
        <v>74</v>
      </c>
      <c r="EH19" s="11">
        <f t="shared" si="11"/>
        <v>0.54477611940298509</v>
      </c>
    </row>
    <row r="20" spans="1:138" x14ac:dyDescent="0.3">
      <c r="A20" s="1">
        <v>192</v>
      </c>
      <c r="B20" s="1">
        <v>5</v>
      </c>
      <c r="C20" s="7">
        <f>IF(預測IC!C20&gt;預測IC!C$25,1,0)</f>
        <v>0</v>
      </c>
      <c r="D20" s="7">
        <f>IF(預測IC!D20&gt;預測IC!D$25,1,0)</f>
        <v>1</v>
      </c>
      <c r="E20" s="7">
        <f>IF(預測IC!E20&gt;預測IC!E$25,1,0)</f>
        <v>0</v>
      </c>
      <c r="F20" s="7">
        <f>IF(預測IC!F20&gt;預測IC!F$25,1,0)</f>
        <v>1</v>
      </c>
      <c r="G20" s="7">
        <f>IF(預測IC!G20&gt;預測IC!G$25,1,0)</f>
        <v>0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0</v>
      </c>
      <c r="K20" s="7">
        <f>IF(預測IC!K20&gt;預測IC!K$25,1,0)</f>
        <v>0</v>
      </c>
      <c r="L20" s="7">
        <f>IF(預測IC!L20&gt;預測IC!L$25,1,0)</f>
        <v>1</v>
      </c>
      <c r="M20" s="7">
        <f>IF(預測IC!M20&gt;預測IC!M$25,1,0)</f>
        <v>0</v>
      </c>
      <c r="N20" s="7">
        <f>IF(預測IC!N20&gt;預測IC!N$25,1,0)</f>
        <v>1</v>
      </c>
      <c r="O20" s="7">
        <f>IF(預測IC!O20&gt;預測IC!O$25,1,0)</f>
        <v>0</v>
      </c>
      <c r="P20" s="7">
        <f>IF(預測IC!P20&gt;預測IC!P$25,1,0)</f>
        <v>1</v>
      </c>
      <c r="Q20" s="7">
        <f>IF(預測IC!Q20&gt;預測IC!Q$25,1,0)</f>
        <v>1</v>
      </c>
      <c r="R20" s="7">
        <f>IF(預測IC!R20&gt;預測IC!R$25,1,0)</f>
        <v>1</v>
      </c>
      <c r="S20" s="7">
        <f>IF(預測IC!S20&gt;預測IC!S$25,1,0)</f>
        <v>0</v>
      </c>
      <c r="T20" s="7">
        <f>IF(預測IC!T20&gt;預測IC!T$25,1,0)</f>
        <v>0</v>
      </c>
      <c r="U20" s="7">
        <f>IF(預測IC!U20&gt;預測IC!U$25,1,0)</f>
        <v>1</v>
      </c>
      <c r="V20" s="7">
        <f>IF(預測IC!V20&gt;預測IC!V$25,1,0)</f>
        <v>0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0</v>
      </c>
      <c r="AC20" s="7">
        <f>IF(預測IC!AC20&gt;預測IC!AC$25,1,0)</f>
        <v>0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0</v>
      </c>
      <c r="AG20" s="7">
        <f>IF(預測IC!AG20&gt;預測IC!AG$25,1,0)</f>
        <v>0</v>
      </c>
      <c r="AH20" s="7">
        <f>IF(預測IC!AH20&gt;預測IC!AH$25,1,0)</f>
        <v>1</v>
      </c>
      <c r="AI20" s="7">
        <f>IF(預測IC!AI20&gt;預測IC!AI$25,1,0)</f>
        <v>1</v>
      </c>
      <c r="AJ20" s="7">
        <f>IF(預測IC!AJ20&gt;預測IC!AJ$25,1,0)</f>
        <v>1</v>
      </c>
      <c r="AK20" s="7">
        <f>IF(預測IC!AK20&gt;預測IC!AK$25,1,0)</f>
        <v>1</v>
      </c>
      <c r="AL20" s="7">
        <f>IF(預測IC!AL20&gt;預測IC!AL$25,1,0)</f>
        <v>1</v>
      </c>
      <c r="AM20" s="7">
        <f>IF(預測IC!AM20&gt;預測IC!AM$25,1,0)</f>
        <v>1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1</v>
      </c>
      <c r="AQ20" s="7">
        <f>IF(預測IC!AQ20&gt;預測IC!AQ$25,1,0)</f>
        <v>1</v>
      </c>
      <c r="AR20" s="7">
        <f>IF(預測IC!AR20&gt;預測IC!AR$25,1,0)</f>
        <v>1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1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1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1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1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1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0</v>
      </c>
      <c r="CF20" s="7">
        <f>IF(預測IC!CF20&gt;預測IC!CF$25,1,0)</f>
        <v>1</v>
      </c>
      <c r="CG20" s="7">
        <f>IF(預測IC!CG20&gt;預測IC!CG$25,1,0)</f>
        <v>0</v>
      </c>
      <c r="CH20" s="7">
        <f>IF(預測IC!CH20&gt;預測IC!CH$25,1,0)</f>
        <v>1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1</v>
      </c>
      <c r="CT20" s="7">
        <f>IF(預測IC!CT20&gt;預測IC!CT$25,1,0)</f>
        <v>1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1</v>
      </c>
      <c r="CX20" s="7">
        <f>IF(預測IC!CX20&gt;預測IC!CX$25,1,0)</f>
        <v>1</v>
      </c>
      <c r="CY20" s="7">
        <f>IF(預測IC!CY20&gt;預測IC!CY$25,1,0)</f>
        <v>0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0</v>
      </c>
      <c r="DC20" s="7">
        <f>IF(預測IC!DC20&gt;預測IC!DC$25,1,0)</f>
        <v>1</v>
      </c>
      <c r="DD20" s="7">
        <f>IF(預測IC!DD20&gt;預測IC!DD$25,1,0)</f>
        <v>0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0</v>
      </c>
      <c r="DI20" s="7">
        <f>IF(預測IC!DI20&gt;預測IC!DI$25,1,0)</f>
        <v>0</v>
      </c>
      <c r="DJ20" s="7">
        <f>IF(預測IC!DJ20&gt;預測IC!DJ$25,1,0)</f>
        <v>0</v>
      </c>
      <c r="DK20" s="7">
        <f>IF(預測IC!DK20&gt;預測IC!DK$25,1,0)</f>
        <v>1</v>
      </c>
      <c r="DL20" s="7">
        <f>IF(預測IC!DL20&gt;預測IC!DL$25,1,0)</f>
        <v>1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1</v>
      </c>
      <c r="DW20" s="7">
        <f>IF(預測IC!DW20&gt;預測IC!DW$25,1,0)</f>
        <v>1</v>
      </c>
      <c r="DX20" s="7">
        <f>IF(預測IC!DX20&gt;預測IC!DX$25,1,0)</f>
        <v>0</v>
      </c>
      <c r="DY20" s="7">
        <f>IF(預測IC!DY20&gt;預測IC!DY$25,1,0)</f>
        <v>1</v>
      </c>
      <c r="DZ20" s="7">
        <f>IF(預測IC!DZ20&gt;預測IC!DZ$25,1,0)</f>
        <v>0</v>
      </c>
      <c r="EA20" s="7">
        <f>IF(預測IC!EA20&gt;預測IC!EA$25,1,0)</f>
        <v>1</v>
      </c>
      <c r="EB20" s="7">
        <f>IF(預測IC!EB20&gt;預測IC!EB$25,1,0)</f>
        <v>1</v>
      </c>
      <c r="EC20" s="7">
        <f>IF(預測IC!EC20&gt;預測IC!EC$25,1,0)</f>
        <v>1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10"/>
        <v>79</v>
      </c>
      <c r="EH20" s="11">
        <f t="shared" si="11"/>
        <v>0.58208955223880599</v>
      </c>
    </row>
    <row r="21" spans="1:138" x14ac:dyDescent="0.3">
      <c r="A21" s="1">
        <v>241</v>
      </c>
      <c r="B21" s="1">
        <v>4</v>
      </c>
      <c r="C21" s="7">
        <f>IF(預測IC!C21&gt;預測IC!C$25,1,0)</f>
        <v>0</v>
      </c>
      <c r="D21" s="7">
        <f>IF(預測IC!D21&gt;預測IC!D$25,1,0)</f>
        <v>1</v>
      </c>
      <c r="E21" s="7">
        <f>IF(預測IC!E21&gt;預測IC!E$25,1,0)</f>
        <v>0</v>
      </c>
      <c r="F21" s="7">
        <f>IF(預測IC!F21&gt;預測IC!F$25,1,0)</f>
        <v>1</v>
      </c>
      <c r="G21" s="7">
        <f>IF(預測IC!G21&gt;預測IC!G$25,1,0)</f>
        <v>0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0</v>
      </c>
      <c r="K21" s="7">
        <f>IF(預測IC!K21&gt;預測IC!K$25,1,0)</f>
        <v>0</v>
      </c>
      <c r="L21" s="7">
        <f>IF(預測IC!L21&gt;預測IC!L$25,1,0)</f>
        <v>1</v>
      </c>
      <c r="M21" s="7">
        <f>IF(預測IC!M21&gt;預測IC!M$25,1,0)</f>
        <v>0</v>
      </c>
      <c r="N21" s="7">
        <f>IF(預測IC!N21&gt;預測IC!N$25,1,0)</f>
        <v>1</v>
      </c>
      <c r="O21" s="7">
        <f>IF(預測IC!O21&gt;預測IC!O$25,1,0)</f>
        <v>0</v>
      </c>
      <c r="P21" s="7">
        <f>IF(預測IC!P21&gt;預測IC!P$25,1,0)</f>
        <v>1</v>
      </c>
      <c r="Q21" s="7">
        <f>IF(預測IC!Q21&gt;預測IC!Q$25,1,0)</f>
        <v>1</v>
      </c>
      <c r="R21" s="7">
        <f>IF(預測IC!R21&gt;預測IC!R$25,1,0)</f>
        <v>1</v>
      </c>
      <c r="S21" s="7">
        <f>IF(預測IC!S21&gt;預測IC!S$25,1,0)</f>
        <v>0</v>
      </c>
      <c r="T21" s="7">
        <f>IF(預測IC!T21&gt;預測IC!T$25,1,0)</f>
        <v>0</v>
      </c>
      <c r="U21" s="7">
        <f>IF(預測IC!U21&gt;預測IC!U$25,1,0)</f>
        <v>1</v>
      </c>
      <c r="V21" s="7">
        <f>IF(預測IC!V21&gt;預測IC!V$25,1,0)</f>
        <v>0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0</v>
      </c>
      <c r="AC21" s="7">
        <f>IF(預測IC!AC21&gt;預測IC!AC$25,1,0)</f>
        <v>0</v>
      </c>
      <c r="AD21" s="7">
        <f>IF(預測IC!AD21&gt;預測IC!AD$25,1,0)</f>
        <v>0</v>
      </c>
      <c r="AE21" s="7">
        <f>IF(預測IC!AE21&gt;預測IC!AE$25,1,0)</f>
        <v>0</v>
      </c>
      <c r="AF21" s="7">
        <f>IF(預測IC!AF21&gt;預測IC!AF$25,1,0)</f>
        <v>0</v>
      </c>
      <c r="AG21" s="7">
        <f>IF(預測IC!AG21&gt;預測IC!AG$25,1,0)</f>
        <v>0</v>
      </c>
      <c r="AH21" s="7">
        <f>IF(預測IC!AH21&gt;預測IC!AH$25,1,0)</f>
        <v>1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1</v>
      </c>
      <c r="AL21" s="7">
        <f>IF(預測IC!AL21&gt;預測IC!AL$25,1,0)</f>
        <v>1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1</v>
      </c>
      <c r="AQ21" s="7">
        <f>IF(預測IC!AQ21&gt;預測IC!AQ$25,1,0)</f>
        <v>1</v>
      </c>
      <c r="AR21" s="7">
        <f>IF(預測IC!AR21&gt;預測IC!AR$25,1,0)</f>
        <v>1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1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1</v>
      </c>
      <c r="BG21" s="7">
        <f>IF(預測IC!BG21&gt;預測IC!BG$25,1,0)</f>
        <v>1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1</v>
      </c>
      <c r="BN21" s="7">
        <f>IF(預測IC!BN21&gt;預測IC!BN$25,1,0)</f>
        <v>1</v>
      </c>
      <c r="BO21" s="7">
        <f>IF(預測IC!BO21&gt;預測IC!BO$25,1,0)</f>
        <v>0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1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1</v>
      </c>
      <c r="CB21" s="7">
        <f>IF(預測IC!CB21&gt;預測IC!CB$25,1,0)</f>
        <v>0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0</v>
      </c>
      <c r="CF21" s="7">
        <f>IF(預測IC!CF21&gt;預測IC!CF$25,1,0)</f>
        <v>1</v>
      </c>
      <c r="CG21" s="7">
        <f>IF(預測IC!CG21&gt;預測IC!CG$25,1,0)</f>
        <v>0</v>
      </c>
      <c r="CH21" s="7">
        <f>IF(預測IC!CH21&gt;預測IC!CH$25,1,0)</f>
        <v>1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1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1</v>
      </c>
      <c r="CX21" s="7">
        <f>IF(預測IC!CX21&gt;預測IC!CX$25,1,0)</f>
        <v>1</v>
      </c>
      <c r="CY21" s="7">
        <f>IF(預測IC!CY21&gt;預測IC!CY$25,1,0)</f>
        <v>0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0</v>
      </c>
      <c r="DC21" s="7">
        <f>IF(預測IC!DC21&gt;預測IC!DC$25,1,0)</f>
        <v>1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0</v>
      </c>
      <c r="DK21" s="7">
        <f>IF(預測IC!DK21&gt;預測IC!DK$25,1,0)</f>
        <v>1</v>
      </c>
      <c r="DL21" s="7">
        <f>IF(預測IC!DL21&gt;預測IC!DL$25,1,0)</f>
        <v>1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1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1</v>
      </c>
      <c r="DW21" s="7">
        <f>IF(預測IC!DW21&gt;預測IC!DW$25,1,0)</f>
        <v>1</v>
      </c>
      <c r="DX21" s="7">
        <f>IF(預測IC!DX21&gt;預測IC!DX$25,1,0)</f>
        <v>0</v>
      </c>
      <c r="DY21" s="7">
        <f>IF(預測IC!DY21&gt;預測IC!DY$25,1,0)</f>
        <v>1</v>
      </c>
      <c r="DZ21" s="7">
        <f>IF(預測IC!DZ21&gt;預測IC!DZ$25,1,0)</f>
        <v>0</v>
      </c>
      <c r="EA21" s="7">
        <f>IF(預測IC!EA21&gt;預測IC!EA$25,1,0)</f>
        <v>0</v>
      </c>
      <c r="EB21" s="7">
        <f>IF(預測IC!EB21&gt;預測IC!EB$25,1,0)</f>
        <v>0</v>
      </c>
      <c r="EC21" s="7">
        <f>IF(預測IC!EC21&gt;預測IC!EC$25,1,0)</f>
        <v>1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10"/>
        <v>78</v>
      </c>
      <c r="EH21" s="11">
        <f t="shared" si="11"/>
        <v>0.57462686567164178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1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0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0</v>
      </c>
      <c r="K22" s="7">
        <f>IF(預測IC!K22&gt;預測IC!K$25,1,0)</f>
        <v>0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0</v>
      </c>
      <c r="P22" s="7">
        <f>IF(預測IC!P22&gt;預測IC!P$25,1,0)</f>
        <v>1</v>
      </c>
      <c r="Q22" s="7">
        <f>IF(預測IC!Q22&gt;預測IC!Q$25,1,0)</f>
        <v>1</v>
      </c>
      <c r="R22" s="7">
        <f>IF(預測IC!R22&gt;預測IC!R$25,1,0)</f>
        <v>1</v>
      </c>
      <c r="S22" s="7">
        <f>IF(預測IC!S22&gt;預測IC!S$25,1,0)</f>
        <v>0</v>
      </c>
      <c r="T22" s="7">
        <f>IF(預測IC!T22&gt;預測IC!T$25,1,0)</f>
        <v>0</v>
      </c>
      <c r="U22" s="7">
        <f>IF(預測IC!U22&gt;預測IC!U$25,1,0)</f>
        <v>1</v>
      </c>
      <c r="V22" s="7">
        <f>IF(預測IC!V22&gt;預測IC!V$25,1,0)</f>
        <v>0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0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0</v>
      </c>
      <c r="AC22" s="7">
        <f>IF(預測IC!AC22&gt;預測IC!AC$25,1,0)</f>
        <v>0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0</v>
      </c>
      <c r="AG22" s="7">
        <f>IF(預測IC!AG22&gt;預測IC!AG$25,1,0)</f>
        <v>0</v>
      </c>
      <c r="AH22" s="7">
        <f>IF(預測IC!AH22&gt;預測IC!AH$25,1,0)</f>
        <v>1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0</v>
      </c>
      <c r="AL22" s="7">
        <f>IF(預測IC!AL22&gt;預測IC!AL$25,1,0)</f>
        <v>1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1</v>
      </c>
      <c r="AQ22" s="7">
        <f>IF(預測IC!AQ22&gt;預測IC!AQ$25,1,0)</f>
        <v>1</v>
      </c>
      <c r="AR22" s="7">
        <f>IF(預測IC!AR22&gt;預測IC!AR$25,1,0)</f>
        <v>1</v>
      </c>
      <c r="AS22" s="7">
        <f>IF(預測IC!AS22&gt;預測IC!AS$25,1,0)</f>
        <v>1</v>
      </c>
      <c r="AT22" s="7">
        <f>IF(預測IC!AT22&gt;預測IC!AT$25,1,0)</f>
        <v>0</v>
      </c>
      <c r="AU22" s="7">
        <f>IF(預測IC!AU22&gt;預測IC!AU$25,1,0)</f>
        <v>1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0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1</v>
      </c>
      <c r="BF22" s="7">
        <f>IF(預測IC!BF22&gt;預測IC!BF$25,1,0)</f>
        <v>1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1</v>
      </c>
      <c r="BN22" s="7">
        <f>IF(預測IC!BN22&gt;預測IC!BN$25,1,0)</f>
        <v>0</v>
      </c>
      <c r="BO22" s="7">
        <f>IF(預測IC!BO22&gt;預測IC!BO$25,1,0)</f>
        <v>0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1</v>
      </c>
      <c r="BU22" s="7">
        <f>IF(預測IC!BU22&gt;預測IC!BU$25,1,0)</f>
        <v>1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1</v>
      </c>
      <c r="CB22" s="7">
        <f>IF(預測IC!CB22&gt;預測IC!CB$25,1,0)</f>
        <v>0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0</v>
      </c>
      <c r="CF22" s="7">
        <f>IF(預測IC!CF22&gt;預測IC!CF$25,1,0)</f>
        <v>1</v>
      </c>
      <c r="CG22" s="7">
        <f>IF(預測IC!CG22&gt;預測IC!CG$25,1,0)</f>
        <v>0</v>
      </c>
      <c r="CH22" s="7">
        <f>IF(預測IC!CH22&gt;預測IC!CH$25,1,0)</f>
        <v>1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1</v>
      </c>
      <c r="CS22" s="7">
        <f>IF(預測IC!CS22&gt;預測IC!CS$25,1,0)</f>
        <v>0</v>
      </c>
      <c r="CT22" s="7">
        <f>IF(預測IC!CT22&gt;預測IC!CT$25,1,0)</f>
        <v>1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1</v>
      </c>
      <c r="CX22" s="7">
        <f>IF(預測IC!CX22&gt;預測IC!CX$25,1,0)</f>
        <v>1</v>
      </c>
      <c r="CY22" s="7">
        <f>IF(預測IC!CY22&gt;預測IC!CY$25,1,0)</f>
        <v>0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0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0</v>
      </c>
      <c r="DH22" s="7">
        <f>IF(預測IC!DH22&gt;預測IC!DH$25,1,0)</f>
        <v>0</v>
      </c>
      <c r="DI22" s="7">
        <f>IF(預測IC!DI22&gt;預測IC!DI$25,1,0)</f>
        <v>1</v>
      </c>
      <c r="DJ22" s="7">
        <f>IF(預測IC!DJ22&gt;預測IC!DJ$25,1,0)</f>
        <v>0</v>
      </c>
      <c r="DK22" s="7">
        <f>IF(預測IC!DK22&gt;預測IC!DK$25,1,0)</f>
        <v>1</v>
      </c>
      <c r="DL22" s="7">
        <f>IF(預測IC!DL22&gt;預測IC!DL$25,1,0)</f>
        <v>1</v>
      </c>
      <c r="DM22" s="7">
        <f>IF(預測IC!DM22&gt;預測IC!DM$25,1,0)</f>
        <v>0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1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1</v>
      </c>
      <c r="DX22" s="7">
        <f>IF(預測IC!DX22&gt;預測IC!DX$25,1,0)</f>
        <v>0</v>
      </c>
      <c r="DY22" s="7">
        <f>IF(預測IC!DY22&gt;預測IC!DY$25,1,0)</f>
        <v>1</v>
      </c>
      <c r="DZ22" s="7">
        <f>IF(預測IC!DZ22&gt;預測IC!DZ$25,1,0)</f>
        <v>0</v>
      </c>
      <c r="EA22" s="7">
        <f>IF(預測IC!EA22&gt;預測IC!EA$25,1,0)</f>
        <v>0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1</v>
      </c>
      <c r="EF22" s="7">
        <f>IF(預測IC!EF22&gt;預測IC!EF$25,1,0)</f>
        <v>0</v>
      </c>
      <c r="EG22">
        <f t="shared" si="10"/>
        <v>71</v>
      </c>
      <c r="EH22" s="11">
        <f t="shared" si="11"/>
        <v>0.52985074626865669</v>
      </c>
    </row>
    <row r="23" spans="1:138" x14ac:dyDescent="0.3">
      <c r="A23" s="1">
        <v>482</v>
      </c>
      <c r="B23" s="1">
        <v>2</v>
      </c>
      <c r="C23" s="7">
        <f>IF(預測IC!C23&gt;預測IC!C$25,1,0)</f>
        <v>0</v>
      </c>
      <c r="D23" s="7">
        <f>IF(預測IC!D23&gt;預測IC!D$25,1,0)</f>
        <v>1</v>
      </c>
      <c r="E23" s="7">
        <f>IF(預測IC!E23&gt;預測IC!E$25,1,0)</f>
        <v>0</v>
      </c>
      <c r="F23" s="7">
        <f>IF(預測IC!F23&gt;預測IC!F$25,1,0)</f>
        <v>1</v>
      </c>
      <c r="G23" s="7">
        <f>IF(預測IC!G23&gt;預測IC!G$25,1,0)</f>
        <v>0</v>
      </c>
      <c r="H23" s="7">
        <f>IF(預測IC!H23&gt;預測IC!H$25,1,0)</f>
        <v>0</v>
      </c>
      <c r="I23" s="7">
        <f>IF(預測IC!I23&gt;預測IC!I$25,1,0)</f>
        <v>0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0</v>
      </c>
      <c r="P23" s="7">
        <f>IF(預測IC!P23&gt;預測IC!P$25,1,0)</f>
        <v>1</v>
      </c>
      <c r="Q23" s="7">
        <f>IF(預測IC!Q23&gt;預測IC!Q$25,1,0)</f>
        <v>1</v>
      </c>
      <c r="R23" s="7">
        <f>IF(預測IC!R23&gt;預測IC!R$25,1,0)</f>
        <v>1</v>
      </c>
      <c r="S23" s="7">
        <f>IF(預測IC!S23&gt;預測IC!S$25,1,0)</f>
        <v>0</v>
      </c>
      <c r="T23" s="7">
        <f>IF(預測IC!T23&gt;預測IC!T$25,1,0)</f>
        <v>0</v>
      </c>
      <c r="U23" s="7">
        <f>IF(預測IC!U23&gt;預測IC!U$25,1,0)</f>
        <v>1</v>
      </c>
      <c r="V23" s="7">
        <f>IF(預測IC!V23&gt;預測IC!V$25,1,0)</f>
        <v>0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0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0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0</v>
      </c>
      <c r="AG23" s="7">
        <f>IF(預測IC!AG23&gt;預測IC!AG$25,1,0)</f>
        <v>0</v>
      </c>
      <c r="AH23" s="7">
        <f>IF(預測IC!AH23&gt;預測IC!AH$25,1,0)</f>
        <v>1</v>
      </c>
      <c r="AI23" s="7">
        <f>IF(預測IC!AI23&gt;預測IC!AI$25,1,0)</f>
        <v>1</v>
      </c>
      <c r="AJ23" s="7">
        <f>IF(預測IC!AJ23&gt;預測IC!AJ$25,1,0)</f>
        <v>1</v>
      </c>
      <c r="AK23" s="7">
        <f>IF(預測IC!AK23&gt;預測IC!AK$25,1,0)</f>
        <v>1</v>
      </c>
      <c r="AL23" s="7">
        <f>IF(預測IC!AL23&gt;預測IC!AL$25,1,0)</f>
        <v>1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1</v>
      </c>
      <c r="AS23" s="7">
        <f>IF(預測IC!AS23&gt;預測IC!AS$25,1,0)</f>
        <v>0</v>
      </c>
      <c r="AT23" s="7">
        <f>IF(預測IC!AT23&gt;預測IC!AT$25,1,0)</f>
        <v>0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0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1</v>
      </c>
      <c r="BH23" s="7">
        <f>IF(預測IC!BH23&gt;預測IC!BH$25,1,0)</f>
        <v>0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1</v>
      </c>
      <c r="BU23" s="7">
        <f>IF(預測IC!BU23&gt;預測IC!BU$25,1,0)</f>
        <v>1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1</v>
      </c>
      <c r="CB23" s="7">
        <f>IF(預測IC!CB23&gt;預測IC!CB$25,1,0)</f>
        <v>0</v>
      </c>
      <c r="CC23" s="7">
        <f>IF(預測IC!CC23&gt;預測IC!CC$25,1,0)</f>
        <v>1</v>
      </c>
      <c r="CD23" s="7">
        <f>IF(預測IC!CD23&gt;預測IC!CD$25,1,0)</f>
        <v>1</v>
      </c>
      <c r="CE23" s="7">
        <f>IF(預測IC!CE23&gt;預測IC!CE$25,1,0)</f>
        <v>0</v>
      </c>
      <c r="CF23" s="7">
        <f>IF(預測IC!CF23&gt;預測IC!CF$25,1,0)</f>
        <v>1</v>
      </c>
      <c r="CG23" s="7">
        <f>IF(預測IC!CG23&gt;預測IC!CG$25,1,0)</f>
        <v>0</v>
      </c>
      <c r="CH23" s="7">
        <f>IF(預測IC!CH23&gt;預測IC!CH$25,1,0)</f>
        <v>1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0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1</v>
      </c>
      <c r="CS23" s="7">
        <f>IF(預測IC!CS23&gt;預測IC!CS$25,1,0)</f>
        <v>0</v>
      </c>
      <c r="CT23" s="7">
        <f>IF(預測IC!CT23&gt;預測IC!CT$25,1,0)</f>
        <v>1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1</v>
      </c>
      <c r="CX23" s="7">
        <f>IF(預測IC!CX23&gt;預測IC!CX$25,1,0)</f>
        <v>0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0</v>
      </c>
      <c r="DC23" s="7">
        <f>IF(預測IC!DC23&gt;預測IC!DC$25,1,0)</f>
        <v>1</v>
      </c>
      <c r="DD23" s="7">
        <f>IF(預測IC!DD23&gt;預測IC!DD$25,1,0)</f>
        <v>1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0</v>
      </c>
      <c r="DK23" s="7">
        <f>IF(預測IC!DK23&gt;預測IC!DK$25,1,0)</f>
        <v>1</v>
      </c>
      <c r="DL23" s="7">
        <f>IF(預測IC!DL23&gt;預測IC!DL$25,1,0)</f>
        <v>1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1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1</v>
      </c>
      <c r="DX23" s="7">
        <f>IF(預測IC!DX23&gt;預測IC!DX$25,1,0)</f>
        <v>0</v>
      </c>
      <c r="DY23" s="7">
        <f>IF(預測IC!DY23&gt;預測IC!DY$25,1,0)</f>
        <v>1</v>
      </c>
      <c r="DZ23" s="7">
        <f>IF(預測IC!DZ23&gt;預測IC!DZ$25,1,0)</f>
        <v>0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0</v>
      </c>
      <c r="ED23" s="7">
        <f>IF(預測IC!ED23&gt;預測IC!ED$25,1,0)</f>
        <v>0</v>
      </c>
      <c r="EE23" s="7">
        <f>IF(預測IC!EE23&gt;預測IC!EE$25,1,0)</f>
        <v>1</v>
      </c>
      <c r="EF23" s="7">
        <f>IF(預測IC!EF23&gt;預測IC!EF$25,1,0)</f>
        <v>0</v>
      </c>
      <c r="EG23">
        <f t="shared" si="10"/>
        <v>69</v>
      </c>
      <c r="EH23" s="11">
        <f t="shared" si="11"/>
        <v>0.5149253731343284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1</v>
      </c>
      <c r="E24" s="7">
        <f>IF(預測IC!E24&gt;預測IC!E$25,1,0)</f>
        <v>1</v>
      </c>
      <c r="F24" s="7">
        <f>IF(預測IC!F24&gt;預測IC!F$25,1,0)</f>
        <v>1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0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1</v>
      </c>
      <c r="T24" s="7">
        <f>IF(預測IC!T24&gt;預測IC!T$25,1,0)</f>
        <v>0</v>
      </c>
      <c r="U24" s="7">
        <f>IF(預測IC!U24&gt;預測IC!U$25,1,0)</f>
        <v>1</v>
      </c>
      <c r="V24" s="7">
        <f>IF(預測IC!V24&gt;預測IC!V$25,1,0)</f>
        <v>0</v>
      </c>
      <c r="W24" s="7">
        <f>IF(預測IC!W24&gt;預測IC!W$25,1,0)</f>
        <v>0</v>
      </c>
      <c r="X24" s="7">
        <f>IF(預測IC!X24&gt;預測IC!X$25,1,0)</f>
        <v>0</v>
      </c>
      <c r="Y24" s="7">
        <f>IF(預測IC!Y24&gt;預測IC!Y$25,1,0)</f>
        <v>0</v>
      </c>
      <c r="Z24" s="7">
        <f>IF(預測IC!Z24&gt;預測IC!Z$25,1,0)</f>
        <v>0</v>
      </c>
      <c r="AA24" s="7">
        <f>IF(預測IC!AA24&gt;預測IC!AA$25,1,0)</f>
        <v>1</v>
      </c>
      <c r="AB24" s="7">
        <f>IF(預測IC!AB24&gt;預測IC!AB$25,1,0)</f>
        <v>0</v>
      </c>
      <c r="AC24" s="7">
        <f>IF(預測IC!AC24&gt;預測IC!AC$25,1,0)</f>
        <v>0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0</v>
      </c>
      <c r="AG24" s="7">
        <f>IF(預測IC!AG24&gt;預測IC!AG$25,1,0)</f>
        <v>1</v>
      </c>
      <c r="AH24" s="7">
        <f>IF(預測IC!AH24&gt;預測IC!AH$25,1,0)</f>
        <v>1</v>
      </c>
      <c r="AI24" s="7">
        <f>IF(預測IC!AI24&gt;預測IC!AI$25,1,0)</f>
        <v>1</v>
      </c>
      <c r="AJ24" s="7">
        <f>IF(預測IC!AJ24&gt;預測IC!AJ$25,1,0)</f>
        <v>1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0</v>
      </c>
      <c r="AT24" s="7">
        <f>IF(預測IC!AT24&gt;預測IC!AT$25,1,0)</f>
        <v>1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0</v>
      </c>
      <c r="AY24" s="7">
        <f>IF(預測IC!AY24&gt;預測IC!AY$25,1,0)</f>
        <v>1</v>
      </c>
      <c r="AZ24" s="7">
        <f>IF(預測IC!AZ24&gt;預測IC!AZ$25,1,0)</f>
        <v>1</v>
      </c>
      <c r="BA24" s="7">
        <f>IF(預測IC!BA24&gt;預測IC!BA$25,1,0)</f>
        <v>0</v>
      </c>
      <c r="BB24" s="7">
        <f>IF(預測IC!BB24&gt;預測IC!BB$25,1,0)</f>
        <v>0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0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1</v>
      </c>
      <c r="BU24" s="7">
        <f>IF(預測IC!BU24&gt;預測IC!BU$25,1,0)</f>
        <v>1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1</v>
      </c>
      <c r="CA24" s="7">
        <f>IF(預測IC!CA24&gt;預測IC!CA$25,1,0)</f>
        <v>1</v>
      </c>
      <c r="CB24" s="7">
        <f>IF(預測IC!CB24&gt;預測IC!CB$25,1,0)</f>
        <v>1</v>
      </c>
      <c r="CC24" s="7">
        <f>IF(預測IC!CC24&gt;預測IC!CC$25,1,0)</f>
        <v>1</v>
      </c>
      <c r="CD24" s="7">
        <f>IF(預測IC!CD24&gt;預測IC!CD$25,1,0)</f>
        <v>1</v>
      </c>
      <c r="CE24" s="7">
        <f>IF(預測IC!CE24&gt;預測IC!CE$25,1,0)</f>
        <v>0</v>
      </c>
      <c r="CF24" s="7">
        <f>IF(預測IC!CF24&gt;預測IC!CF$25,1,0)</f>
        <v>1</v>
      </c>
      <c r="CG24" s="7">
        <f>IF(預測IC!CG24&gt;預測IC!CG$25,1,0)</f>
        <v>0</v>
      </c>
      <c r="CH24" s="7">
        <f>IF(預測IC!CH24&gt;預測IC!CH$25,1,0)</f>
        <v>1</v>
      </c>
      <c r="CI24" s="7">
        <f>IF(預測IC!CI24&gt;預測IC!CI$25,1,0)</f>
        <v>1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1</v>
      </c>
      <c r="CN24" s="7">
        <f>IF(預測IC!CN24&gt;預測IC!CN$25,1,0)</f>
        <v>0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1</v>
      </c>
      <c r="CR24" s="7">
        <f>IF(預測IC!CR24&gt;預測IC!CR$25,1,0)</f>
        <v>1</v>
      </c>
      <c r="CS24" s="7">
        <f>IF(預測IC!CS24&gt;預測IC!CS$25,1,0)</f>
        <v>0</v>
      </c>
      <c r="CT24" s="7">
        <f>IF(預測IC!CT24&gt;預測IC!CT$25,1,0)</f>
        <v>1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1</v>
      </c>
      <c r="CX24" s="7">
        <f>IF(預測IC!CX24&gt;預測IC!CX$25,1,0)</f>
        <v>1</v>
      </c>
      <c r="CY24" s="7">
        <f>IF(預測IC!CY24&gt;預測IC!CY$25,1,0)</f>
        <v>0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0</v>
      </c>
      <c r="DC24" s="7">
        <f>IF(預測IC!DC24&gt;預測IC!DC$25,1,0)</f>
        <v>1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0</v>
      </c>
      <c r="DI24" s="7">
        <f>IF(預測IC!DI24&gt;預測IC!DI$25,1,0)</f>
        <v>1</v>
      </c>
      <c r="DJ24" s="7">
        <f>IF(預測IC!DJ24&gt;預測IC!DJ$25,1,0)</f>
        <v>0</v>
      </c>
      <c r="DK24" s="7">
        <f>IF(預測IC!DK24&gt;預測IC!DK$25,1,0)</f>
        <v>1</v>
      </c>
      <c r="DL24" s="7">
        <f>IF(預測IC!DL24&gt;預測IC!DL$25,1,0)</f>
        <v>1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1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0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1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1</v>
      </c>
      <c r="EF24" s="7">
        <f>IF(預測IC!EF24&gt;預測IC!EF$25,1,0)</f>
        <v>1</v>
      </c>
      <c r="EG24">
        <f t="shared" si="10"/>
        <v>75</v>
      </c>
      <c r="EH24" s="11">
        <f t="shared" si="11"/>
        <v>0.55223880597014929</v>
      </c>
    </row>
    <row r="25" spans="1:138" s="12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79" workbookViewId="0"/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tr">
        <f>預測IC!A1</f>
        <v>NN3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0.19934197579322305</v>
      </c>
      <c r="E12" s="7">
        <f>D12+預測IC!E12</f>
        <v>0.19258794743486513</v>
      </c>
      <c r="F12" s="7">
        <f>E12+預測IC!F12</f>
        <v>0.20600905182442358</v>
      </c>
      <c r="G12" s="7">
        <f>F12+預測IC!G12</f>
        <v>0.21391339857035194</v>
      </c>
      <c r="H12" s="7">
        <f>G12+預測IC!H12</f>
        <v>0.25244391082023987</v>
      </c>
      <c r="I12" s="7">
        <f>H12+預測IC!I12</f>
        <v>0.26525369951340538</v>
      </c>
      <c r="J12" s="7">
        <f>I12+預測IC!J12</f>
        <v>0.23584557667441552</v>
      </c>
      <c r="K12" s="7">
        <f>J12+預測IC!K12</f>
        <v>0.22485717282159343</v>
      </c>
      <c r="L12" s="7">
        <f>K12+預測IC!L12</f>
        <v>0.22257994204063017</v>
      </c>
      <c r="M12" s="7">
        <f>L12+預測IC!M12</f>
        <v>0.22218346503270711</v>
      </c>
      <c r="N12" s="7">
        <f>M12+預測IC!N12</f>
        <v>0.29151045181105995</v>
      </c>
      <c r="O12" s="7">
        <f>N12+預測IC!O12</f>
        <v>0.30875119086611252</v>
      </c>
      <c r="P12" s="7">
        <f>O12+預測IC!P12</f>
        <v>0.30898116215404708</v>
      </c>
      <c r="Q12" s="7">
        <f>P12+預測IC!Q12</f>
        <v>0.34425104760652547</v>
      </c>
      <c r="R12" s="7">
        <f>Q12+預測IC!R12</f>
        <v>0.35091393140176236</v>
      </c>
      <c r="S12" s="7">
        <f>R12+預測IC!S12</f>
        <v>0.33444153665983034</v>
      </c>
      <c r="T12" s="7">
        <f>S12+預測IC!T12</f>
        <v>0.32670173659081736</v>
      </c>
      <c r="U12" s="7">
        <f>T12+預測IC!U12</f>
        <v>0.31052313770793849</v>
      </c>
      <c r="V12" s="7">
        <f>U12+預測IC!V12</f>
        <v>0.31672760777728293</v>
      </c>
      <c r="W12" s="7">
        <f>V12+預測IC!W12</f>
        <v>0.38076702276266394</v>
      </c>
      <c r="X12" s="7">
        <f>W12+預測IC!X12</f>
        <v>0.40784091318721105</v>
      </c>
      <c r="Y12" s="7">
        <f>X12+預測IC!Y12</f>
        <v>0.42328128160077183</v>
      </c>
      <c r="Z12" s="7">
        <f>Y12+預測IC!Z12</f>
        <v>0.42844718921057534</v>
      </c>
      <c r="AA12" s="7">
        <f>Z12+預測IC!AA12</f>
        <v>0.38904352780946355</v>
      </c>
      <c r="AB12" s="7">
        <f>AA12+預測IC!AB12</f>
        <v>0.38533210939413015</v>
      </c>
      <c r="AC12" s="7">
        <f>AB12+預測IC!AC12</f>
        <v>0.39049948915458671</v>
      </c>
      <c r="AD12" s="7">
        <f>AC12+預測IC!AD12</f>
        <v>0.3846523791553495</v>
      </c>
      <c r="AE12" s="7">
        <f>AD12+預測IC!AE12</f>
        <v>0.32633541608425065</v>
      </c>
      <c r="AF12" s="7">
        <f>AE12+預測IC!AF12</f>
        <v>0.30590326478038571</v>
      </c>
      <c r="AG12" s="7">
        <f>AF12+預測IC!AG12</f>
        <v>0.31798239274358708</v>
      </c>
      <c r="AH12" s="7">
        <f>AG12+預測IC!AH12</f>
        <v>0.30457658809395383</v>
      </c>
      <c r="AI12" s="7">
        <f>AH12+預測IC!AI12</f>
        <v>0.32782304727281841</v>
      </c>
      <c r="AJ12" s="7">
        <f>AI12+預測IC!AJ12</f>
        <v>0.34888530996649197</v>
      </c>
      <c r="AK12" s="7">
        <f>AJ12+預測IC!AK12</f>
        <v>0.35838881782051696</v>
      </c>
      <c r="AL12" s="7">
        <f>AK12+預測IC!AL12</f>
        <v>0.37624782084243902</v>
      </c>
      <c r="AM12" s="7">
        <f>AL12+預測IC!AM12</f>
        <v>0.40633393645503696</v>
      </c>
      <c r="AN12" s="7">
        <f>AM12+預測IC!AN12</f>
        <v>0.4755671707684655</v>
      </c>
      <c r="AO12" s="7">
        <f>AN12+預測IC!AO12</f>
        <v>0.47779596380813855</v>
      </c>
      <c r="AP12" s="7">
        <f>AO12+預測IC!AP12</f>
        <v>0.47316202728030943</v>
      </c>
      <c r="AQ12" s="7">
        <f>AP12+預測IC!AQ12</f>
        <v>0.4655400908917256</v>
      </c>
      <c r="AR12" s="7">
        <f>AQ12+預測IC!AR12</f>
        <v>0.47906635034169198</v>
      </c>
      <c r="AS12" s="7">
        <f>AR12+預測IC!AS12</f>
        <v>0.49816606879639258</v>
      </c>
      <c r="AT12" s="7">
        <f>AS12+預測IC!AT12</f>
        <v>0.51200097350406382</v>
      </c>
      <c r="AU12" s="7">
        <f>AT12+預測IC!AU12</f>
        <v>0.53270963218493927</v>
      </c>
      <c r="AV12" s="7">
        <f>AU12+預測IC!AV12</f>
        <v>0.49134954743991427</v>
      </c>
      <c r="AW12" s="7">
        <f>AV12+預測IC!AW12</f>
        <v>0.49197102445793034</v>
      </c>
      <c r="AX12" s="7">
        <f>AW12+預測IC!AX12</f>
        <v>0.48331293921567342</v>
      </c>
      <c r="AY12" s="7">
        <f>AX12+預測IC!AY12</f>
        <v>0.50826823228334672</v>
      </c>
      <c r="AZ12" s="7">
        <f>AY12+預測IC!AZ12</f>
        <v>0.50596820621168903</v>
      </c>
      <c r="BA12" s="7">
        <f>AZ12+預測IC!BA12</f>
        <v>0.51090609439493084</v>
      </c>
      <c r="BB12" s="7">
        <f>BA12+預測IC!BB12</f>
        <v>0.52618069964739023</v>
      </c>
      <c r="BC12" s="7">
        <f>BB12+預測IC!BC12</f>
        <v>0.53845348868586673</v>
      </c>
      <c r="BD12" s="7">
        <f>BC12+預測IC!BD12</f>
        <v>0.55208404562751934</v>
      </c>
      <c r="BE12" s="7">
        <f>BD12+預測IC!BE12</f>
        <v>0.57069285546690462</v>
      </c>
      <c r="BF12" s="7">
        <f>BE12+預測IC!BF12</f>
        <v>0.63848520795010477</v>
      </c>
      <c r="BG12" s="7">
        <f>BF12+預測IC!BG12</f>
        <v>0.6721560703913676</v>
      </c>
      <c r="BH12" s="7">
        <f>BG12+預測IC!BH12</f>
        <v>0.68637943040268956</v>
      </c>
      <c r="BI12" s="7">
        <f>BH12+預測IC!BI12</f>
        <v>0.73640068343368037</v>
      </c>
      <c r="BJ12" s="7">
        <f>BI12+預測IC!BJ12</f>
        <v>0.7356046901137625</v>
      </c>
      <c r="BK12" s="7">
        <f>BJ12+預測IC!BK12</f>
        <v>0.71432002515362858</v>
      </c>
      <c r="BL12" s="7">
        <f>BK12+預測IC!BL12</f>
        <v>0.73902927098377724</v>
      </c>
      <c r="BM12" s="7">
        <f>BL12+預測IC!BM12</f>
        <v>0.73386017902754741</v>
      </c>
      <c r="BN12" s="7">
        <f>BM12+預測IC!BN12</f>
        <v>0.74537671453964394</v>
      </c>
      <c r="BO12" s="7">
        <f>BN12+預測IC!BO12</f>
        <v>0.76962302479588085</v>
      </c>
      <c r="BP12" s="7">
        <f>BO12+預測IC!BP12</f>
        <v>0.75911403949058676</v>
      </c>
      <c r="BQ12" s="7">
        <f>BP12+預測IC!BQ12</f>
        <v>0.77301078910933341</v>
      </c>
      <c r="BR12" s="7">
        <f>BQ12+預測IC!BR12</f>
        <v>0.77074978065593458</v>
      </c>
      <c r="BS12" s="7">
        <f>BR12+預測IC!BS12</f>
        <v>0.78961307404033054</v>
      </c>
      <c r="BT12" s="7">
        <f>BS12+預測IC!BT12</f>
        <v>0.81164454271777475</v>
      </c>
      <c r="BU12" s="7">
        <f>BT12+預測IC!BU12</f>
        <v>0.8204260598578712</v>
      </c>
      <c r="BV12" s="7">
        <f>BU12+預測IC!BV12</f>
        <v>0.84348851559106219</v>
      </c>
      <c r="BW12" s="7">
        <f>BV12+預測IC!BW12</f>
        <v>0.81400474687153268</v>
      </c>
      <c r="BX12" s="7">
        <f>BW12+預測IC!BX12</f>
        <v>0.82548190887548278</v>
      </c>
      <c r="BY12" s="7">
        <f>BX12+預測IC!BY12</f>
        <v>0.79211110854391131</v>
      </c>
      <c r="BZ12" s="7">
        <f>BY12+預測IC!BZ12</f>
        <v>0.83746805423518433</v>
      </c>
      <c r="CA12" s="7">
        <f>BZ12+預測IC!CA12</f>
        <v>0.85204861178858715</v>
      </c>
      <c r="CB12" s="7">
        <f>CA12+預測IC!CB12</f>
        <v>0.85399185392035004</v>
      </c>
      <c r="CC12" s="7">
        <f>CB12+預測IC!CC12</f>
        <v>0.83722088952623985</v>
      </c>
      <c r="CD12" s="7">
        <f>CC12+預測IC!CD12</f>
        <v>0.94815452311069237</v>
      </c>
      <c r="CE12" s="7">
        <f>CD12+預測IC!CE12</f>
        <v>0.95977393155292157</v>
      </c>
      <c r="CF12" s="7">
        <f>CE12+預測IC!CF12</f>
        <v>0.98754151496669373</v>
      </c>
      <c r="CG12" s="7">
        <f>CF12+預測IC!CG12</f>
        <v>1.0293987490167569</v>
      </c>
      <c r="CH12" s="7">
        <f>CG12+預測IC!CH12</f>
        <v>1.0926961213947168</v>
      </c>
      <c r="CI12" s="7">
        <f>CH12+預測IC!CI12</f>
        <v>1.0580402089825112</v>
      </c>
      <c r="CJ12" s="7">
        <f>CI12+預測IC!CJ12</f>
        <v>1.0734853894612</v>
      </c>
      <c r="CK12" s="7">
        <f>CJ12+預測IC!CK12</f>
        <v>1.0862885336160348</v>
      </c>
      <c r="CL12" s="7">
        <f>CK12+預測IC!CL12</f>
        <v>1.2043041412856452</v>
      </c>
      <c r="CM12" s="7">
        <f>CL12+預測IC!CM12</f>
        <v>1.1890844151183044</v>
      </c>
      <c r="CN12" s="7">
        <f>CM12+預測IC!CN12</f>
        <v>1.1620007139037452</v>
      </c>
      <c r="CO12" s="7">
        <f>CN12+預測IC!CO12</f>
        <v>1.1347345870236394</v>
      </c>
      <c r="CP12" s="7">
        <f>CO12+預測IC!CP12</f>
        <v>1.1800336084911331</v>
      </c>
      <c r="CQ12" s="7">
        <f>CP12+預測IC!CQ12</f>
        <v>1.2166058034010667</v>
      </c>
      <c r="CR12" s="7">
        <f>CQ12+預測IC!CR12</f>
        <v>1.2187236818317191</v>
      </c>
      <c r="CS12" s="7">
        <f>CR12+預測IC!CS12</f>
        <v>1.2035220341446735</v>
      </c>
      <c r="CT12" s="7">
        <f>CS12+預測IC!CT12</f>
        <v>1.2026979981211425</v>
      </c>
      <c r="CU12" s="7">
        <f>CT12+預測IC!CU12</f>
        <v>1.2383217137833378</v>
      </c>
      <c r="CV12" s="7">
        <f>CU12+預測IC!CV12</f>
        <v>1.2464343401588749</v>
      </c>
      <c r="CW12" s="7">
        <f>CV12+預測IC!CW12</f>
        <v>1.2519822649034071</v>
      </c>
      <c r="CX12" s="7">
        <f>CW12+預測IC!CX12</f>
        <v>1.3129721474403988</v>
      </c>
      <c r="CY12" s="7">
        <f>CX12+預測IC!CY12</f>
        <v>1.3069892052289083</v>
      </c>
      <c r="CZ12" s="7">
        <f>CY12+預測IC!CZ12</f>
        <v>1.384781532568409</v>
      </c>
      <c r="DA12" s="7">
        <f>CZ12+預測IC!DA12</f>
        <v>1.3903853166387694</v>
      </c>
      <c r="DB12" s="7">
        <f>DA12+預測IC!DB12</f>
        <v>1.3674034406846425</v>
      </c>
      <c r="DC12" s="7">
        <f>DB12+預測IC!DC12</f>
        <v>1.4013766435594173</v>
      </c>
      <c r="DD12" s="7">
        <f>DC12+預測IC!DD12</f>
        <v>1.4262656216166578</v>
      </c>
      <c r="DE12" s="7">
        <f>DD12+預測IC!DE12</f>
        <v>1.427463729997879</v>
      </c>
      <c r="DF12" s="7">
        <f>DE12+預測IC!DF12</f>
        <v>1.4206292042618385</v>
      </c>
      <c r="DG12" s="7">
        <f>DF12+預測IC!DG12</f>
        <v>1.4196814953225216</v>
      </c>
      <c r="DH12" s="7">
        <f>DG12+預測IC!DH12</f>
        <v>1.415858813351089</v>
      </c>
      <c r="DI12" s="7">
        <f>DH12+預測IC!DI12</f>
        <v>1.3614156403589566</v>
      </c>
      <c r="DJ12" s="7">
        <f>DI12+預測IC!DJ12</f>
        <v>1.369478238613727</v>
      </c>
      <c r="DK12" s="7">
        <f>DJ12+預測IC!DK12</f>
        <v>1.3535322854867107</v>
      </c>
      <c r="DL12" s="7">
        <f>DK12+預測IC!DL12</f>
        <v>1.3531776094640668</v>
      </c>
      <c r="DM12" s="7">
        <f>DL12+預測IC!DM12</f>
        <v>1.3483372602189869</v>
      </c>
      <c r="DN12" s="7">
        <f>DM12+預測IC!DN12</f>
        <v>1.3907476256050517</v>
      </c>
      <c r="DO12" s="7">
        <f>DN12+預測IC!DO12</f>
        <v>1.4133473592853805</v>
      </c>
      <c r="DP12" s="7">
        <f>DO12+預測IC!DP12</f>
        <v>1.4459318088856776</v>
      </c>
      <c r="DQ12" s="7">
        <f>DP12+預測IC!DQ12</f>
        <v>1.4231619439766416</v>
      </c>
      <c r="DR12" s="7">
        <f>DQ12+預測IC!DR12</f>
        <v>1.4419408872560286</v>
      </c>
      <c r="DS12" s="7">
        <f>DR12+預測IC!DS12</f>
        <v>1.4062147318043308</v>
      </c>
      <c r="DT12" s="7">
        <f>DS12+預測IC!DT12</f>
        <v>1.3609168484099303</v>
      </c>
      <c r="DU12" s="7">
        <f>DT12+預測IC!DU12</f>
        <v>1.3746694964963129</v>
      </c>
      <c r="DV12" s="7">
        <f>DU12+預測IC!DV12</f>
        <v>1.4232203209738437</v>
      </c>
      <c r="DW12" s="7">
        <f>DV12+預測IC!DW12</f>
        <v>1.466945885193881</v>
      </c>
      <c r="DX12" s="7">
        <f>DW12+預測IC!DX12</f>
        <v>1.4167938046515194</v>
      </c>
      <c r="DY12" s="7">
        <f>DX12+預測IC!DY12</f>
        <v>1.4321510747700144</v>
      </c>
      <c r="DZ12" s="7">
        <f>DY12+預測IC!DZ12</f>
        <v>1.4280153492898369</v>
      </c>
      <c r="EA12" s="7">
        <f>DZ12+預測IC!EA12</f>
        <v>1.4920192906130338</v>
      </c>
      <c r="EB12" s="7">
        <f>EA12+預測IC!EB12</f>
        <v>1.4948476173878866</v>
      </c>
      <c r="EC12" s="7">
        <f>EB12+預測IC!EC12</f>
        <v>1.521499126967552</v>
      </c>
      <c r="ED12" s="7">
        <f>EC12+預測IC!ED12</f>
        <v>1.4609909741590679</v>
      </c>
      <c r="EE12" s="7">
        <f>ED12+預測IC!EE12</f>
        <v>1.4729080704315554</v>
      </c>
      <c r="EF12" s="7">
        <f>EE12+預測IC!EF12</f>
        <v>1.512141418470351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0.22785777904553428</v>
      </c>
      <c r="E13" s="7">
        <f>D13+預測IC!E13</f>
        <v>0.19336115955418123</v>
      </c>
      <c r="F13" s="7">
        <f>E13+預測IC!F13</f>
        <v>0.18190591967880443</v>
      </c>
      <c r="G13" s="7">
        <f>F13+預測IC!G13</f>
        <v>0.16699793992150103</v>
      </c>
      <c r="H13" s="7">
        <f>G13+預測IC!H13</f>
        <v>0.1969875716472223</v>
      </c>
      <c r="I13" s="7">
        <f>H13+預測IC!I13</f>
        <v>0.22611816657091993</v>
      </c>
      <c r="J13" s="7">
        <f>I13+預測IC!J13</f>
        <v>0.18221893949350781</v>
      </c>
      <c r="K13" s="7">
        <f>J13+預測IC!K13</f>
        <v>0.1368879492512888</v>
      </c>
      <c r="L13" s="7">
        <f>K13+預測IC!L13</f>
        <v>0.10775228021384334</v>
      </c>
      <c r="M13" s="7">
        <f>L13+預測IC!M13</f>
        <v>0.13343938236007866</v>
      </c>
      <c r="N13" s="7">
        <f>M13+預測IC!N13</f>
        <v>0.23324629931674923</v>
      </c>
      <c r="O13" s="7">
        <f>N13+預測IC!O13</f>
        <v>0.27303559094338165</v>
      </c>
      <c r="P13" s="7">
        <f>O13+預測IC!P13</f>
        <v>0.28982721868147227</v>
      </c>
      <c r="Q13" s="7">
        <f>P13+預測IC!Q13</f>
        <v>0.36305158716902969</v>
      </c>
      <c r="R13" s="7">
        <f>Q13+預測IC!R13</f>
        <v>0.37721153165506621</v>
      </c>
      <c r="S13" s="7">
        <f>R13+預測IC!S13</f>
        <v>0.3649678604461532</v>
      </c>
      <c r="T13" s="7">
        <f>S13+預測IC!T13</f>
        <v>0.34286384002698095</v>
      </c>
      <c r="U13" s="7">
        <f>T13+預測IC!U13</f>
        <v>0.34446085626016676</v>
      </c>
      <c r="V13" s="7">
        <f>U13+預測IC!V13</f>
        <v>0.32436652824629225</v>
      </c>
      <c r="W13" s="7">
        <f>V13+預測IC!W13</f>
        <v>0.39984309010644248</v>
      </c>
      <c r="X13" s="7">
        <f>W13+預測IC!X13</f>
        <v>0.45311998483238614</v>
      </c>
      <c r="Y13" s="7">
        <f>X13+預測IC!Y13</f>
        <v>0.46704097739003481</v>
      </c>
      <c r="Z13" s="7">
        <f>Y13+預測IC!Z13</f>
        <v>0.48762473855916305</v>
      </c>
      <c r="AA13" s="7">
        <f>Z13+預測IC!AA13</f>
        <v>0.45550522822069178</v>
      </c>
      <c r="AB13" s="7">
        <f>AA13+預測IC!AB13</f>
        <v>0.43946912953547085</v>
      </c>
      <c r="AC13" s="7">
        <f>AB13+預測IC!AC13</f>
        <v>0.44750056933142124</v>
      </c>
      <c r="AD13" s="7">
        <f>AC13+預測IC!AD13</f>
        <v>0.44092152412888047</v>
      </c>
      <c r="AE13" s="7">
        <f>AD13+預測IC!AE13</f>
        <v>0.37520214210127001</v>
      </c>
      <c r="AF13" s="7">
        <f>AE13+預測IC!AF13</f>
        <v>0.34326167826696879</v>
      </c>
      <c r="AG13" s="7">
        <f>AF13+預測IC!AG13</f>
        <v>0.34654398844792128</v>
      </c>
      <c r="AH13" s="7">
        <f>AG13+預測IC!AH13</f>
        <v>0.3369026492084049</v>
      </c>
      <c r="AI13" s="7">
        <f>AH13+預測IC!AI13</f>
        <v>0.35681255942881834</v>
      </c>
      <c r="AJ13" s="7">
        <f>AI13+預測IC!AJ13</f>
        <v>0.37669888345999603</v>
      </c>
      <c r="AK13" s="7">
        <f>AJ13+預測IC!AK13</f>
        <v>0.38001732823143658</v>
      </c>
      <c r="AL13" s="7">
        <f>AK13+預測IC!AL13</f>
        <v>0.40316875682660763</v>
      </c>
      <c r="AM13" s="7">
        <f>AL13+預測IC!AM13</f>
        <v>0.44945120036343655</v>
      </c>
      <c r="AN13" s="7">
        <f>AM13+預測IC!AN13</f>
        <v>0.5547814384994707</v>
      </c>
      <c r="AO13" s="7">
        <f>AN13+預測IC!AO13</f>
        <v>0.56409262639888569</v>
      </c>
      <c r="AP13" s="7">
        <f>AO13+預測IC!AP13</f>
        <v>0.55750463649124293</v>
      </c>
      <c r="AQ13" s="7">
        <f>AP13+預測IC!AQ13</f>
        <v>0.55145534772234328</v>
      </c>
      <c r="AR13" s="7">
        <f>AQ13+預測IC!AR13</f>
        <v>0.56214453325827896</v>
      </c>
      <c r="AS13" s="7">
        <f>AR13+預測IC!AS13</f>
        <v>0.60345765174251309</v>
      </c>
      <c r="AT13" s="7">
        <f>AS13+預測IC!AT13</f>
        <v>0.64392073959695284</v>
      </c>
      <c r="AU13" s="7">
        <f>AT13+預測IC!AU13</f>
        <v>0.68489686607293165</v>
      </c>
      <c r="AV13" s="7">
        <f>AU13+預測IC!AV13</f>
        <v>0.67542139343337859</v>
      </c>
      <c r="AW13" s="7">
        <f>AV13+預測IC!AW13</f>
        <v>0.67950140701644202</v>
      </c>
      <c r="AX13" s="7">
        <f>AW13+預測IC!AX13</f>
        <v>0.6676204387310094</v>
      </c>
      <c r="AY13" s="7">
        <f>AX13+預測IC!AY13</f>
        <v>0.68518478507963432</v>
      </c>
      <c r="AZ13" s="7">
        <f>AY13+預測IC!AZ13</f>
        <v>0.6770813176101349</v>
      </c>
      <c r="BA13" s="7">
        <f>AZ13+預測IC!BA13</f>
        <v>0.68362225521719588</v>
      </c>
      <c r="BB13" s="7">
        <f>BA13+預測IC!BB13</f>
        <v>0.72649762971400678</v>
      </c>
      <c r="BC13" s="7">
        <f>BB13+預測IC!BC13</f>
        <v>0.73778139682566446</v>
      </c>
      <c r="BD13" s="7">
        <f>BC13+預測IC!BD13</f>
        <v>0.74112582520934578</v>
      </c>
      <c r="BE13" s="7">
        <f>BD13+預測IC!BE13</f>
        <v>0.76851763151498731</v>
      </c>
      <c r="BF13" s="7">
        <f>BE13+預測IC!BF13</f>
        <v>0.85244704682248407</v>
      </c>
      <c r="BG13" s="7">
        <f>BF13+預測IC!BG13</f>
        <v>0.89901350916119571</v>
      </c>
      <c r="BH13" s="7">
        <f>BG13+預測IC!BH13</f>
        <v>0.90748923897281475</v>
      </c>
      <c r="BI13" s="7">
        <f>BH13+預測IC!BI13</f>
        <v>0.95989837142951617</v>
      </c>
      <c r="BJ13" s="7">
        <f>BI13+預測IC!BJ13</f>
        <v>0.94305128543925132</v>
      </c>
      <c r="BK13" s="7">
        <f>BJ13+預測IC!BK13</f>
        <v>0.9246602605595019</v>
      </c>
      <c r="BL13" s="7">
        <f>BK13+預測IC!BL13</f>
        <v>0.9566081207726771</v>
      </c>
      <c r="BM13" s="7">
        <f>BL13+預測IC!BM13</f>
        <v>0.97352673639155873</v>
      </c>
      <c r="BN13" s="7">
        <f>BM13+預測IC!BN13</f>
        <v>0.984579278266835</v>
      </c>
      <c r="BO13" s="7">
        <f>BN13+預測IC!BO13</f>
        <v>1.015457994500309</v>
      </c>
      <c r="BP13" s="7">
        <f>BO13+預測IC!BP13</f>
        <v>1.0248906901949606</v>
      </c>
      <c r="BQ13" s="7">
        <f>BP13+預測IC!BQ13</f>
        <v>1.0665437539843863</v>
      </c>
      <c r="BR13" s="7">
        <f>BQ13+預測IC!BR13</f>
        <v>1.0598623365008288</v>
      </c>
      <c r="BS13" s="7">
        <f>BR13+預測IC!BS13</f>
        <v>1.0672818083410485</v>
      </c>
      <c r="BT13" s="7">
        <f>BS13+預測IC!BT13</f>
        <v>1.1056253139575212</v>
      </c>
      <c r="BU13" s="7">
        <f>BT13+預測IC!BU13</f>
        <v>1.123331868994075</v>
      </c>
      <c r="BV13" s="7">
        <f>BU13+預測IC!BV13</f>
        <v>1.1439854658702837</v>
      </c>
      <c r="BW13" s="7">
        <f>BV13+預測IC!BW13</f>
        <v>1.1457487036809608</v>
      </c>
      <c r="BX13" s="7">
        <f>BW13+預測IC!BX13</f>
        <v>1.1668267712049873</v>
      </c>
      <c r="BY13" s="7">
        <f>BX13+預測IC!BY13</f>
        <v>1.1523143735344969</v>
      </c>
      <c r="BZ13" s="7">
        <f>BY13+預測IC!BZ13</f>
        <v>1.228452496593547</v>
      </c>
      <c r="CA13" s="7">
        <f>BZ13+預測IC!CA13</f>
        <v>1.2524651703856717</v>
      </c>
      <c r="CB13" s="7">
        <f>CA13+預測IC!CB13</f>
        <v>1.2458693436604515</v>
      </c>
      <c r="CC13" s="7">
        <f>CB13+預測IC!CC13</f>
        <v>1.2333384314478182</v>
      </c>
      <c r="CD13" s="7">
        <f>CC13+預測IC!CD13</f>
        <v>1.3384242643401456</v>
      </c>
      <c r="CE13" s="7">
        <f>CD13+預測IC!CE13</f>
        <v>1.3476452486655595</v>
      </c>
      <c r="CF13" s="7">
        <f>CE13+預測IC!CF13</f>
        <v>1.3921595153906288</v>
      </c>
      <c r="CG13" s="7">
        <f>CF13+預測IC!CG13</f>
        <v>1.4326085783595839</v>
      </c>
      <c r="CH13" s="7">
        <f>CG13+預測IC!CH13</f>
        <v>1.4909431901867911</v>
      </c>
      <c r="CI13" s="7">
        <f>CH13+預測IC!CI13</f>
        <v>1.4390896810525278</v>
      </c>
      <c r="CJ13" s="7">
        <f>CI13+預測IC!CJ13</f>
        <v>1.4359835930805767</v>
      </c>
      <c r="CK13" s="7">
        <f>CJ13+預測IC!CK13</f>
        <v>1.4680288623170406</v>
      </c>
      <c r="CL13" s="7">
        <f>CK13+預測IC!CL13</f>
        <v>1.5494822284192213</v>
      </c>
      <c r="CM13" s="7">
        <f>CL13+預測IC!CM13</f>
        <v>1.5391854246628263</v>
      </c>
      <c r="CN13" s="7">
        <f>CM13+預測IC!CN13</f>
        <v>1.5122978586639739</v>
      </c>
      <c r="CO13" s="7">
        <f>CN13+預測IC!CO13</f>
        <v>1.4988404001007465</v>
      </c>
      <c r="CP13" s="7">
        <f>CO13+預測IC!CP13</f>
        <v>1.5685669403784808</v>
      </c>
      <c r="CQ13" s="7">
        <f>CP13+預測IC!CQ13</f>
        <v>1.6067518905746405</v>
      </c>
      <c r="CR13" s="7">
        <f>CQ13+預測IC!CR13</f>
        <v>1.615031671572289</v>
      </c>
      <c r="CS13" s="7">
        <f>CR13+預測IC!CS13</f>
        <v>1.6258647226875635</v>
      </c>
      <c r="CT13" s="7">
        <f>CS13+預測IC!CT13</f>
        <v>1.6339355220039422</v>
      </c>
      <c r="CU13" s="7">
        <f>CT13+預測IC!CU13</f>
        <v>1.6710969242862534</v>
      </c>
      <c r="CV13" s="7">
        <f>CU13+預測IC!CV13</f>
        <v>1.6681436121129956</v>
      </c>
      <c r="CW13" s="7">
        <f>CV13+預測IC!CW13</f>
        <v>1.6741206429692417</v>
      </c>
      <c r="CX13" s="7">
        <f>CW13+預測IC!CX13</f>
        <v>1.7341538982092948</v>
      </c>
      <c r="CY13" s="7">
        <f>CX13+預測IC!CY13</f>
        <v>1.7210351580942822</v>
      </c>
      <c r="CZ13" s="7">
        <f>CY13+預測IC!CZ13</f>
        <v>1.7782593784477674</v>
      </c>
      <c r="DA13" s="7">
        <f>CZ13+預測IC!DA13</f>
        <v>1.7726757015219461</v>
      </c>
      <c r="DB13" s="7">
        <f>DA13+預測IC!DB13</f>
        <v>1.7309141318051615</v>
      </c>
      <c r="DC13" s="7">
        <f>DB13+預測IC!DC13</f>
        <v>1.7606896976834545</v>
      </c>
      <c r="DD13" s="7">
        <f>DC13+預測IC!DD13</f>
        <v>1.7713872982841903</v>
      </c>
      <c r="DE13" s="7">
        <f>DD13+預測IC!DE13</f>
        <v>1.7773162554102653</v>
      </c>
      <c r="DF13" s="7">
        <f>DE13+預測IC!DF13</f>
        <v>1.7487974586166306</v>
      </c>
      <c r="DG13" s="7">
        <f>DF13+預測IC!DG13</f>
        <v>1.7471668014437407</v>
      </c>
      <c r="DH13" s="7">
        <f>DG13+預測IC!DH13</f>
        <v>1.7584625693256557</v>
      </c>
      <c r="DI13" s="7">
        <f>DH13+預測IC!DI13</f>
        <v>1.712485544230979</v>
      </c>
      <c r="DJ13" s="7">
        <f>DI13+預測IC!DJ13</f>
        <v>1.7091537880514682</v>
      </c>
      <c r="DK13" s="7">
        <f>DJ13+預測IC!DK13</f>
        <v>1.7215628622700958</v>
      </c>
      <c r="DL13" s="7">
        <f>DK13+預測IC!DL13</f>
        <v>1.7052626157787814</v>
      </c>
      <c r="DM13" s="7">
        <f>DL13+預測IC!DM13</f>
        <v>1.6986037467303374</v>
      </c>
      <c r="DN13" s="7">
        <f>DM13+預測IC!DN13</f>
        <v>1.7101033246528505</v>
      </c>
      <c r="DO13" s="7">
        <f>DN13+預測IC!DO13</f>
        <v>1.7569947370409822</v>
      </c>
      <c r="DP13" s="7">
        <f>DO13+預測IC!DP13</f>
        <v>1.8057813728972516</v>
      </c>
      <c r="DQ13" s="7">
        <f>DP13+預測IC!DQ13</f>
        <v>1.7793512914801228</v>
      </c>
      <c r="DR13" s="7">
        <f>DQ13+預測IC!DR13</f>
        <v>1.7931225007524347</v>
      </c>
      <c r="DS13" s="7">
        <f>DR13+預測IC!DS13</f>
        <v>1.7542348729127648</v>
      </c>
      <c r="DT13" s="7">
        <f>DS13+預測IC!DT13</f>
        <v>1.7188085718651001</v>
      </c>
      <c r="DU13" s="7">
        <f>DT13+預測IC!DU13</f>
        <v>1.7375137355022447</v>
      </c>
      <c r="DV13" s="7">
        <f>DU13+預測IC!DV13</f>
        <v>1.8171338795264333</v>
      </c>
      <c r="DW13" s="7">
        <f>DV13+預測IC!DW13</f>
        <v>1.8615516691507836</v>
      </c>
      <c r="DX13" s="7">
        <f>DW13+預測IC!DX13</f>
        <v>1.7970282895722876</v>
      </c>
      <c r="DY13" s="7">
        <f>DX13+預測IC!DY13</f>
        <v>1.832414334226121</v>
      </c>
      <c r="DZ13" s="7">
        <f>DY13+預測IC!DZ13</f>
        <v>1.8178055197389027</v>
      </c>
      <c r="EA13" s="7">
        <f>DZ13+預測IC!EA13</f>
        <v>1.8910483887815848</v>
      </c>
      <c r="EB13" s="7">
        <f>EA13+預測IC!EB13</f>
        <v>1.9124216069809712</v>
      </c>
      <c r="EC13" s="7">
        <f>EB13+預測IC!EC13</f>
        <v>1.9540813604162002</v>
      </c>
      <c r="ED13" s="7">
        <f>EC13+預測IC!ED13</f>
        <v>1.8883992667569651</v>
      </c>
      <c r="EE13" s="7">
        <f>ED13+預測IC!EE13</f>
        <v>1.8963518603319296</v>
      </c>
      <c r="EF13" s="7">
        <f>EE13+預測IC!EF13</f>
        <v>1.9629290756954858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0.34224993829333211</v>
      </c>
      <c r="E14" s="7">
        <f>D14+預測IC!E14</f>
        <v>0.2947239950260761</v>
      </c>
      <c r="F14" s="7">
        <f>E14+預測IC!F14</f>
        <v>0.32926645919177572</v>
      </c>
      <c r="G14" s="7">
        <f>F14+預測IC!G14</f>
        <v>0.28824654269385025</v>
      </c>
      <c r="H14" s="7">
        <f>G14+預測IC!H14</f>
        <v>0.34783434912929034</v>
      </c>
      <c r="I14" s="7">
        <f>H14+預測IC!I14</f>
        <v>0.4249493115606553</v>
      </c>
      <c r="J14" s="7">
        <f>I14+預測IC!J14</f>
        <v>0.31985492477794708</v>
      </c>
      <c r="K14" s="7">
        <f>J14+預測IC!K14</f>
        <v>0.18567622106389359</v>
      </c>
      <c r="L14" s="7">
        <f>K14+預測IC!L14</f>
        <v>0.19052341825160041</v>
      </c>
      <c r="M14" s="7">
        <f>L14+預測IC!M14</f>
        <v>0.11457187526755563</v>
      </c>
      <c r="N14" s="7">
        <f>M14+預測IC!N14</f>
        <v>0.31940445040878152</v>
      </c>
      <c r="O14" s="7">
        <f>N14+預測IC!O14</f>
        <v>0.35904675847831591</v>
      </c>
      <c r="P14" s="7">
        <f>O14+預測IC!P14</f>
        <v>0.40682652276112319</v>
      </c>
      <c r="Q14" s="7">
        <f>P14+預測IC!Q14</f>
        <v>0.46506446891575803</v>
      </c>
      <c r="R14" s="7">
        <f>Q14+預測IC!R14</f>
        <v>0.45091267261023343</v>
      </c>
      <c r="S14" s="7">
        <f>R14+預測IC!S14</f>
        <v>0.48944677213625115</v>
      </c>
      <c r="T14" s="7">
        <f>S14+預測IC!T14</f>
        <v>0.47208604090169148</v>
      </c>
      <c r="U14" s="7">
        <f>T14+預測IC!U14</f>
        <v>0.50866517042139336</v>
      </c>
      <c r="V14" s="7">
        <f>U14+預測IC!V14</f>
        <v>0.4702896241568888</v>
      </c>
      <c r="W14" s="7">
        <f>V14+預測IC!W14</f>
        <v>0.58645541468878548</v>
      </c>
      <c r="X14" s="7">
        <f>W14+預測IC!X14</f>
        <v>0.64003712320296868</v>
      </c>
      <c r="Y14" s="7">
        <f>X14+預測IC!Y14</f>
        <v>0.62327445984627927</v>
      </c>
      <c r="Z14" s="7">
        <f>Y14+預測IC!Z14</f>
        <v>0.64452666094973021</v>
      </c>
      <c r="AA14" s="7">
        <f>Z14+預測IC!AA14</f>
        <v>0.60507648064764807</v>
      </c>
      <c r="AB14" s="7">
        <f>AA14+預測IC!AB14</f>
        <v>0.53009356787552786</v>
      </c>
      <c r="AC14" s="7">
        <f>AB14+預測IC!AC14</f>
        <v>0.50080148410996417</v>
      </c>
      <c r="AD14" s="7">
        <f>AC14+預測IC!AD14</f>
        <v>0.51372159072118251</v>
      </c>
      <c r="AE14" s="7">
        <f>AD14+預測IC!AE14</f>
        <v>0.50970268389830198</v>
      </c>
      <c r="AF14" s="7">
        <f>AE14+預測IC!AF14</f>
        <v>0.46928198135590288</v>
      </c>
      <c r="AG14" s="7">
        <f>AF14+預測IC!AG14</f>
        <v>0.47567218236979592</v>
      </c>
      <c r="AH14" s="7">
        <f>AG14+預測IC!AH14</f>
        <v>0.47042190443928988</v>
      </c>
      <c r="AI14" s="7">
        <f>AH14+預測IC!AI14</f>
        <v>0.48138647512186378</v>
      </c>
      <c r="AJ14" s="7">
        <f>AI14+預測IC!AJ14</f>
        <v>0.57768145183064801</v>
      </c>
      <c r="AK14" s="7">
        <f>AJ14+預測IC!AK14</f>
        <v>0.56617198889347287</v>
      </c>
      <c r="AL14" s="7">
        <f>AK14+預測IC!AL14</f>
        <v>0.60414117861593364</v>
      </c>
      <c r="AM14" s="7">
        <f>AL14+預測IC!AM14</f>
        <v>0.66538334499455887</v>
      </c>
      <c r="AN14" s="7">
        <f>AM14+預測IC!AN14</f>
        <v>0.76397801176410263</v>
      </c>
      <c r="AO14" s="7">
        <f>AN14+預測IC!AO14</f>
        <v>0.82488371722951259</v>
      </c>
      <c r="AP14" s="7">
        <f>AO14+預測IC!AP14</f>
        <v>0.83193854576627746</v>
      </c>
      <c r="AQ14" s="7">
        <f>AP14+預測IC!AQ14</f>
        <v>0.83157057802851753</v>
      </c>
      <c r="AR14" s="7">
        <f>AQ14+預測IC!AR14</f>
        <v>0.8692164177907804</v>
      </c>
      <c r="AS14" s="7">
        <f>AR14+預測IC!AS14</f>
        <v>0.95459340374382717</v>
      </c>
      <c r="AT14" s="7">
        <f>AS14+預測IC!AT14</f>
        <v>0.98909998342897165</v>
      </c>
      <c r="AU14" s="7">
        <f>AT14+預測IC!AU14</f>
        <v>1.0290916324322754</v>
      </c>
      <c r="AV14" s="7">
        <f>AU14+預測IC!AV14</f>
        <v>1.0104087469986582</v>
      </c>
      <c r="AW14" s="7">
        <f>AV14+預測IC!AW14</f>
        <v>0.99204581549270077</v>
      </c>
      <c r="AX14" s="7">
        <f>AW14+預測IC!AX14</f>
        <v>0.99286740353982783</v>
      </c>
      <c r="AY14" s="7">
        <f>AX14+預測IC!AY14</f>
        <v>1.0079355223115893</v>
      </c>
      <c r="AZ14" s="7">
        <f>AY14+預測IC!AZ14</f>
        <v>0.95458695313943331</v>
      </c>
      <c r="BA14" s="7">
        <f>AZ14+預測IC!BA14</f>
        <v>0.97220859868367648</v>
      </c>
      <c r="BB14" s="7">
        <f>BA14+預測IC!BB14</f>
        <v>1.0339428806853512</v>
      </c>
      <c r="BC14" s="7">
        <f>BB14+預測IC!BC14</f>
        <v>1.0241218817300739</v>
      </c>
      <c r="BD14" s="7">
        <f>BC14+預測IC!BD14</f>
        <v>1.0674496633974793</v>
      </c>
      <c r="BE14" s="7">
        <f>BD14+預測IC!BE14</f>
        <v>1.1112367259329663</v>
      </c>
      <c r="BF14" s="7">
        <f>BE14+預測IC!BF14</f>
        <v>1.152007247478656</v>
      </c>
      <c r="BG14" s="7">
        <f>BF14+預測IC!BG14</f>
        <v>1.1933815115525888</v>
      </c>
      <c r="BH14" s="7">
        <f>BG14+預測IC!BH14</f>
        <v>1.1987242671211895</v>
      </c>
      <c r="BI14" s="7">
        <f>BH14+預測IC!BI14</f>
        <v>1.2489094800120433</v>
      </c>
      <c r="BJ14" s="7">
        <f>BI14+預測IC!BJ14</f>
        <v>1.22889225634081</v>
      </c>
      <c r="BK14" s="7">
        <f>BJ14+預測IC!BK14</f>
        <v>1.2232985046837372</v>
      </c>
      <c r="BL14" s="7">
        <f>BK14+預測IC!BL14</f>
        <v>1.2830362715261077</v>
      </c>
      <c r="BM14" s="7">
        <f>BL14+預測IC!BM14</f>
        <v>1.3222934867325347</v>
      </c>
      <c r="BN14" s="7">
        <f>BM14+預測IC!BN14</f>
        <v>1.3432300248050861</v>
      </c>
      <c r="BO14" s="7">
        <f>BN14+預測IC!BO14</f>
        <v>1.3768390704823505</v>
      </c>
      <c r="BP14" s="7">
        <f>BO14+預測IC!BP14</f>
        <v>1.3925128039753096</v>
      </c>
      <c r="BQ14" s="7">
        <f>BP14+預測IC!BQ14</f>
        <v>1.4083563278452604</v>
      </c>
      <c r="BR14" s="7">
        <f>BQ14+預測IC!BR14</f>
        <v>1.3804268983126424</v>
      </c>
      <c r="BS14" s="7">
        <f>BR14+預測IC!BS14</f>
        <v>1.3389329431680645</v>
      </c>
      <c r="BT14" s="7">
        <f>BS14+預測IC!BT14</f>
        <v>1.4129459055043758</v>
      </c>
      <c r="BU14" s="7">
        <f>BT14+預測IC!BU14</f>
        <v>1.4040910701463449</v>
      </c>
      <c r="BV14" s="7">
        <f>BU14+預測IC!BV14</f>
        <v>1.4298182521627723</v>
      </c>
      <c r="BW14" s="7">
        <f>BV14+預測IC!BW14</f>
        <v>1.4423262004203656</v>
      </c>
      <c r="BX14" s="7">
        <f>BW14+預測IC!BX14</f>
        <v>1.4972969605423188</v>
      </c>
      <c r="BY14" s="7">
        <f>BX14+預測IC!BY14</f>
        <v>1.4907006671773537</v>
      </c>
      <c r="BZ14" s="7">
        <f>BY14+預測IC!BZ14</f>
        <v>1.550734724006136</v>
      </c>
      <c r="CA14" s="7">
        <f>BZ14+預測IC!CA14</f>
        <v>1.5841898822442917</v>
      </c>
      <c r="CB14" s="7">
        <f>CA14+預測IC!CB14</f>
        <v>1.6063174987864666</v>
      </c>
      <c r="CC14" s="7">
        <f>CB14+預測IC!CC14</f>
        <v>1.5935234180012881</v>
      </c>
      <c r="CD14" s="7">
        <f>CC14+預測IC!CD14</f>
        <v>1.6915401279334858</v>
      </c>
      <c r="CE14" s="7">
        <f>CD14+預測IC!CE14</f>
        <v>1.619383408721788</v>
      </c>
      <c r="CF14" s="7">
        <f>CE14+預測IC!CF14</f>
        <v>1.7117140920038496</v>
      </c>
      <c r="CG14" s="7">
        <f>CF14+預測IC!CG14</f>
        <v>1.7647811202996886</v>
      </c>
      <c r="CH14" s="7">
        <f>CG14+預測IC!CH14</f>
        <v>1.8294425125779057</v>
      </c>
      <c r="CI14" s="7">
        <f>CH14+預測IC!CI14</f>
        <v>1.7235577352145468</v>
      </c>
      <c r="CJ14" s="7">
        <f>CI14+預測IC!CJ14</f>
        <v>1.6948898802703722</v>
      </c>
      <c r="CK14" s="7">
        <f>CJ14+預測IC!CK14</f>
        <v>1.7089062446610184</v>
      </c>
      <c r="CL14" s="7">
        <f>CK14+預測IC!CL14</f>
        <v>1.7711761995398549</v>
      </c>
      <c r="CM14" s="7">
        <f>CL14+預測IC!CM14</f>
        <v>1.8032162099081721</v>
      </c>
      <c r="CN14" s="7">
        <f>CM14+預測IC!CN14</f>
        <v>1.7801895212372461</v>
      </c>
      <c r="CO14" s="7">
        <f>CN14+預測IC!CO14</f>
        <v>1.706601801198353</v>
      </c>
      <c r="CP14" s="7">
        <f>CO14+預測IC!CP14</f>
        <v>1.8064111326801058</v>
      </c>
      <c r="CQ14" s="7">
        <f>CP14+預測IC!CQ14</f>
        <v>1.8596227607717803</v>
      </c>
      <c r="CR14" s="7">
        <f>CQ14+預測IC!CR14</f>
        <v>1.9155318983962817</v>
      </c>
      <c r="CS14" s="7">
        <f>CR14+預測IC!CS14</f>
        <v>1.9745590186599373</v>
      </c>
      <c r="CT14" s="7">
        <f>CS14+預測IC!CT14</f>
        <v>1.9936595952106222</v>
      </c>
      <c r="CU14" s="7">
        <f>CT14+預測IC!CU14</f>
        <v>1.9497424925134075</v>
      </c>
      <c r="CV14" s="7">
        <f>CU14+預測IC!CV14</f>
        <v>1.9724882076516628</v>
      </c>
      <c r="CW14" s="7">
        <f>CV14+預測IC!CW14</f>
        <v>1.9690898251881921</v>
      </c>
      <c r="CX14" s="7">
        <f>CW14+預測IC!CX14</f>
        <v>2.0053892340764312</v>
      </c>
      <c r="CY14" s="7">
        <f>CX14+預測IC!CY14</f>
        <v>1.9766301137849569</v>
      </c>
      <c r="CZ14" s="7">
        <f>CY14+預測IC!CZ14</f>
        <v>2.0406936771353403</v>
      </c>
      <c r="DA14" s="7">
        <f>CZ14+預測IC!DA14</f>
        <v>2.0163893879647556</v>
      </c>
      <c r="DB14" s="7">
        <f>DA14+預測IC!DB14</f>
        <v>1.9928283147765649</v>
      </c>
      <c r="DC14" s="7">
        <f>DB14+預測IC!DC14</f>
        <v>2.0164609239814122</v>
      </c>
      <c r="DD14" s="7">
        <f>DC14+預測IC!DD14</f>
        <v>1.9997023741889957</v>
      </c>
      <c r="DE14" s="7">
        <f>DD14+預測IC!DE14</f>
        <v>2.0050866737967601</v>
      </c>
      <c r="DF14" s="7">
        <f>DE14+預測IC!DF14</f>
        <v>1.9692300432396976</v>
      </c>
      <c r="DG14" s="7">
        <f>DF14+預測IC!DG14</f>
        <v>1.9806765996330149</v>
      </c>
      <c r="DH14" s="7">
        <f>DG14+預測IC!DH14</f>
        <v>1.9854514368759264</v>
      </c>
      <c r="DI14" s="7">
        <f>DH14+預測IC!DI14</f>
        <v>1.9268536171670094</v>
      </c>
      <c r="DJ14" s="7">
        <f>DI14+預測IC!DJ14</f>
        <v>1.9278773414343069</v>
      </c>
      <c r="DK14" s="7">
        <f>DJ14+預測IC!DK14</f>
        <v>1.9469484045519627</v>
      </c>
      <c r="DL14" s="7">
        <f>DK14+預測IC!DL14</f>
        <v>1.9317832429970743</v>
      </c>
      <c r="DM14" s="7">
        <f>DL14+預測IC!DM14</f>
        <v>1.9372875120907247</v>
      </c>
      <c r="DN14" s="7">
        <f>DM14+預測IC!DN14</f>
        <v>1.9799500079839889</v>
      </c>
      <c r="DO14" s="7">
        <f>DN14+預測IC!DO14</f>
        <v>2.021325653146786</v>
      </c>
      <c r="DP14" s="7">
        <f>DO14+預測IC!DP14</f>
        <v>2.0648653695044379</v>
      </c>
      <c r="DQ14" s="7">
        <f>DP14+預測IC!DQ14</f>
        <v>1.975497509463626</v>
      </c>
      <c r="DR14" s="7">
        <f>DQ14+預測IC!DR14</f>
        <v>2.0281200289226256</v>
      </c>
      <c r="DS14" s="7">
        <f>DR14+預測IC!DS14</f>
        <v>1.9930751226517087</v>
      </c>
      <c r="DT14" s="7">
        <f>DS14+預測IC!DT14</f>
        <v>1.9485581690542535</v>
      </c>
      <c r="DU14" s="7">
        <f>DT14+預測IC!DU14</f>
        <v>1.9036432204352716</v>
      </c>
      <c r="DV14" s="7">
        <f>DU14+預測IC!DV14</f>
        <v>2.0119055749653789</v>
      </c>
      <c r="DW14" s="7">
        <f>DV14+預測IC!DW14</f>
        <v>2.1102499419831569</v>
      </c>
      <c r="DX14" s="7">
        <f>DW14+預測IC!DX14</f>
        <v>2.0083184364307356</v>
      </c>
      <c r="DY14" s="7">
        <f>DX14+預測IC!DY14</f>
        <v>2.0463155163775841</v>
      </c>
      <c r="DZ14" s="7">
        <f>DY14+預測IC!DZ14</f>
        <v>2.0244339430591221</v>
      </c>
      <c r="EA14" s="7">
        <f>DZ14+預測IC!EA14</f>
        <v>2.1025392089470585</v>
      </c>
      <c r="EB14" s="7">
        <f>EA14+預測IC!EB14</f>
        <v>2.1357165420596491</v>
      </c>
      <c r="EC14" s="7">
        <f>EB14+預測IC!EC14</f>
        <v>2.141795924207782</v>
      </c>
      <c r="ED14" s="7">
        <f>EC14+預測IC!ED14</f>
        <v>2.039166215021595</v>
      </c>
      <c r="EE14" s="7">
        <f>ED14+預測IC!EE14</f>
        <v>2.0580333718664874</v>
      </c>
      <c r="EF14" s="7">
        <f>EE14+預測IC!EF14</f>
        <v>2.1279897923650455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0.60035387438778398</v>
      </c>
      <c r="E15" s="7">
        <f>D15+預測IC!E15</f>
        <v>0.59015544811570042</v>
      </c>
      <c r="F15" s="7">
        <f>E15+預測IC!F15</f>
        <v>0.68045916112545712</v>
      </c>
      <c r="G15" s="7">
        <f>F15+預測IC!G15</f>
        <v>0.61982223245392287</v>
      </c>
      <c r="H15" s="7">
        <f>G15+預測IC!H15</f>
        <v>0.73866593616128218</v>
      </c>
      <c r="I15" s="7">
        <f>H15+預測IC!I15</f>
        <v>0.86539467728079411</v>
      </c>
      <c r="J15" s="7">
        <f>I15+預測IC!J15</f>
        <v>0.80086998717103863</v>
      </c>
      <c r="K15" s="7">
        <f>J15+預測IC!K15</f>
        <v>0.51427535943466807</v>
      </c>
      <c r="L15" s="7">
        <f>K15+預測IC!L15</f>
        <v>0.54683386459185268</v>
      </c>
      <c r="M15" s="7">
        <f>L15+預測IC!M15</f>
        <v>0.35834181488109618</v>
      </c>
      <c r="N15" s="7">
        <f>M15+預測IC!N15</f>
        <v>0.68865115174590319</v>
      </c>
      <c r="O15" s="7">
        <f>N15+預測IC!O15</f>
        <v>0.73475464499902854</v>
      </c>
      <c r="P15" s="7">
        <f>O15+預測IC!P15</f>
        <v>0.78773792819138411</v>
      </c>
      <c r="Q15" s="7">
        <f>P15+預測IC!Q15</f>
        <v>0.88811327777527493</v>
      </c>
      <c r="R15" s="7">
        <f>Q15+預測IC!R15</f>
        <v>0.90486871406589309</v>
      </c>
      <c r="S15" s="7">
        <f>R15+預測IC!S15</f>
        <v>0.86183478029256178</v>
      </c>
      <c r="T15" s="7">
        <f>S15+預測IC!T15</f>
        <v>0.81249610763204672</v>
      </c>
      <c r="U15" s="7">
        <f>T15+預測IC!U15</f>
        <v>0.85928635079067839</v>
      </c>
      <c r="V15" s="7">
        <f>U15+預測IC!V15</f>
        <v>0.77360546891180493</v>
      </c>
      <c r="W15" s="7">
        <f>V15+預測IC!W15</f>
        <v>0.88054002406973819</v>
      </c>
      <c r="X15" s="7">
        <f>W15+預測IC!X15</f>
        <v>0.9589764365153256</v>
      </c>
      <c r="Y15" s="7">
        <f>X15+預測IC!Y15</f>
        <v>0.93478781796817068</v>
      </c>
      <c r="Z15" s="7">
        <f>Y15+預測IC!Z15</f>
        <v>0.91113139928249987</v>
      </c>
      <c r="AA15" s="7">
        <f>Z15+預測IC!AA15</f>
        <v>0.85705025225446618</v>
      </c>
      <c r="AB15" s="7">
        <f>AA15+預測IC!AB15</f>
        <v>0.78305430047028257</v>
      </c>
      <c r="AC15" s="7">
        <f>AB15+預測IC!AC15</f>
        <v>0.74299917090016643</v>
      </c>
      <c r="AD15" s="7">
        <f>AC15+預測IC!AD15</f>
        <v>0.72406288786934803</v>
      </c>
      <c r="AE15" s="7">
        <f>AD15+預測IC!AE15</f>
        <v>0.77134936411505151</v>
      </c>
      <c r="AF15" s="7">
        <f>AE15+預測IC!AF15</f>
        <v>0.70552975161801168</v>
      </c>
      <c r="AG15" s="7">
        <f>AF15+預測IC!AG15</f>
        <v>0.69578444101610692</v>
      </c>
      <c r="AH15" s="7">
        <f>AG15+預測IC!AH15</f>
        <v>0.72938881437378345</v>
      </c>
      <c r="AI15" s="7">
        <f>AH15+預測IC!AI15</f>
        <v>0.80366577458386534</v>
      </c>
      <c r="AJ15" s="7">
        <f>AI15+預測IC!AJ15</f>
        <v>0.80785020921619854</v>
      </c>
      <c r="AK15" s="7">
        <f>AJ15+預測IC!AK15</f>
        <v>0.77085089745946855</v>
      </c>
      <c r="AL15" s="7">
        <f>AK15+預測IC!AL15</f>
        <v>0.81528255995528309</v>
      </c>
      <c r="AM15" s="7">
        <f>AL15+預測IC!AM15</f>
        <v>0.87040518208991025</v>
      </c>
      <c r="AN15" s="7">
        <f>AM15+預測IC!AN15</f>
        <v>0.97209388800229379</v>
      </c>
      <c r="AO15" s="7">
        <f>AN15+預測IC!AO15</f>
        <v>1.035463700465761</v>
      </c>
      <c r="AP15" s="7">
        <f>AO15+預測IC!AP15</f>
        <v>1.0480456454214067</v>
      </c>
      <c r="AQ15" s="7">
        <f>AP15+預測IC!AQ15</f>
        <v>1.0106785186252849</v>
      </c>
      <c r="AR15" s="7">
        <f>AQ15+預測IC!AR15</f>
        <v>1.1009723741012016</v>
      </c>
      <c r="AS15" s="7">
        <f>AR15+預測IC!AS15</f>
        <v>1.1547935531383156</v>
      </c>
      <c r="AT15" s="7">
        <f>AS15+預測IC!AT15</f>
        <v>1.2200485437907442</v>
      </c>
      <c r="AU15" s="7">
        <f>AT15+預測IC!AU15</f>
        <v>1.2599918048802106</v>
      </c>
      <c r="AV15" s="7">
        <f>AU15+預測IC!AV15</f>
        <v>1.2127649865527717</v>
      </c>
      <c r="AW15" s="7">
        <f>AV15+預測IC!AW15</f>
        <v>1.2284249258073525</v>
      </c>
      <c r="AX15" s="7">
        <f>AW15+預測IC!AX15</f>
        <v>1.2325846175186115</v>
      </c>
      <c r="AY15" s="7">
        <f>AX15+預測IC!AY15</f>
        <v>1.2606016816286445</v>
      </c>
      <c r="AZ15" s="7">
        <f>AY15+預測IC!AZ15</f>
        <v>1.169278401560141</v>
      </c>
      <c r="BA15" s="7">
        <f>AZ15+預測IC!BA15</f>
        <v>1.1798919163677939</v>
      </c>
      <c r="BB15" s="7">
        <f>BA15+預測IC!BB15</f>
        <v>1.292616782446607</v>
      </c>
      <c r="BC15" s="7">
        <f>BB15+預測IC!BC15</f>
        <v>1.3547719261144373</v>
      </c>
      <c r="BD15" s="7">
        <f>BC15+預測IC!BD15</f>
        <v>1.4078152000192334</v>
      </c>
      <c r="BE15" s="7">
        <f>BD15+預測IC!BE15</f>
        <v>1.4562579210368967</v>
      </c>
      <c r="BF15" s="7">
        <f>BE15+預測IC!BF15</f>
        <v>1.5039209004936489</v>
      </c>
      <c r="BG15" s="7">
        <f>BF15+預測IC!BG15</f>
        <v>1.506410439228214</v>
      </c>
      <c r="BH15" s="7">
        <f>BG15+預測IC!BH15</f>
        <v>1.5408522847099035</v>
      </c>
      <c r="BI15" s="7">
        <f>BH15+預測IC!BI15</f>
        <v>1.6094389438248733</v>
      </c>
      <c r="BJ15" s="7">
        <f>BI15+預測IC!BJ15</f>
        <v>1.598173916737428</v>
      </c>
      <c r="BK15" s="7">
        <f>BJ15+預測IC!BK15</f>
        <v>1.5989976690052341</v>
      </c>
      <c r="BL15" s="7">
        <f>BK15+預測IC!BL15</f>
        <v>1.6584015403465826</v>
      </c>
      <c r="BM15" s="7">
        <f>BL15+預測IC!BM15</f>
        <v>1.7252263617133119</v>
      </c>
      <c r="BN15" s="7">
        <f>BM15+預測IC!BN15</f>
        <v>1.7653689314465018</v>
      </c>
      <c r="BO15" s="7">
        <f>BN15+預測IC!BO15</f>
        <v>1.7931034074014327</v>
      </c>
      <c r="BP15" s="7">
        <f>BO15+預測IC!BP15</f>
        <v>1.8072876281092374</v>
      </c>
      <c r="BQ15" s="7">
        <f>BP15+預測IC!BQ15</f>
        <v>1.8200905593995651</v>
      </c>
      <c r="BR15" s="7">
        <f>BQ15+預測IC!BR15</f>
        <v>1.7699331302775054</v>
      </c>
      <c r="BS15" s="7">
        <f>BR15+預測IC!BS15</f>
        <v>1.753109352827219</v>
      </c>
      <c r="BT15" s="7">
        <f>BS15+預測IC!BT15</f>
        <v>1.8421695585585534</v>
      </c>
      <c r="BU15" s="7">
        <f>BT15+預測IC!BU15</f>
        <v>1.8616459783543469</v>
      </c>
      <c r="BV15" s="7">
        <f>BU15+預測IC!BV15</f>
        <v>1.9205609461068955</v>
      </c>
      <c r="BW15" s="7">
        <f>BV15+預測IC!BW15</f>
        <v>1.8846150559774919</v>
      </c>
      <c r="BX15" s="7">
        <f>BW15+預測IC!BX15</f>
        <v>1.9132509510432234</v>
      </c>
      <c r="BY15" s="7">
        <f>BX15+預測IC!BY15</f>
        <v>1.8515568595641636</v>
      </c>
      <c r="BZ15" s="7">
        <f>BY15+預測IC!BZ15</f>
        <v>1.9544633285415109</v>
      </c>
      <c r="CA15" s="7">
        <f>BZ15+預測IC!CA15</f>
        <v>1.9844273377665884</v>
      </c>
      <c r="CB15" s="7">
        <f>CA15+預測IC!CB15</f>
        <v>1.9994842317784129</v>
      </c>
      <c r="CC15" s="7">
        <f>CB15+預測IC!CC15</f>
        <v>1.8471659667242515</v>
      </c>
      <c r="CD15" s="7">
        <f>CC15+預測IC!CD15</f>
        <v>1.9673180506873358</v>
      </c>
      <c r="CE15" s="7">
        <f>CD15+預測IC!CE15</f>
        <v>1.8508014816172151</v>
      </c>
      <c r="CF15" s="7">
        <f>CE15+預測IC!CF15</f>
        <v>1.9451581320106353</v>
      </c>
      <c r="CG15" s="7">
        <f>CF15+預測IC!CG15</f>
        <v>1.940859252757271</v>
      </c>
      <c r="CH15" s="7">
        <f>CG15+預測IC!CH15</f>
        <v>2.0037452110409721</v>
      </c>
      <c r="CI15" s="7">
        <f>CH15+預測IC!CI15</f>
        <v>1.9649467961459914</v>
      </c>
      <c r="CJ15" s="7">
        <f>CI15+預測IC!CJ15</f>
        <v>1.8779024400732733</v>
      </c>
      <c r="CK15" s="7">
        <f>CJ15+預測IC!CK15</f>
        <v>1.9345750858453727</v>
      </c>
      <c r="CL15" s="7">
        <f>CK15+預測IC!CL15</f>
        <v>1.965997060838621</v>
      </c>
      <c r="CM15" s="7">
        <f>CL15+預測IC!CM15</f>
        <v>2.0406281769670747</v>
      </c>
      <c r="CN15" s="7">
        <f>CM15+預測IC!CN15</f>
        <v>1.9979940611679143</v>
      </c>
      <c r="CO15" s="7">
        <f>CN15+預測IC!CO15</f>
        <v>1.8685450362858729</v>
      </c>
      <c r="CP15" s="7">
        <f>CO15+預測IC!CP15</f>
        <v>1.9960808717188225</v>
      </c>
      <c r="CQ15" s="7">
        <f>CP15+預測IC!CQ15</f>
        <v>2.0334588824839517</v>
      </c>
      <c r="CR15" s="7">
        <f>CQ15+預測IC!CR15</f>
        <v>2.0816959527721162</v>
      </c>
      <c r="CS15" s="7">
        <f>CR15+預測IC!CS15</f>
        <v>2.1418811252357108</v>
      </c>
      <c r="CT15" s="7">
        <f>CS15+預測IC!CT15</f>
        <v>2.1492757002111658</v>
      </c>
      <c r="CU15" s="7">
        <f>CT15+預測IC!CU15</f>
        <v>2.086097040296393</v>
      </c>
      <c r="CV15" s="7">
        <f>CU15+預測IC!CV15</f>
        <v>2.0799551933915841</v>
      </c>
      <c r="CW15" s="7">
        <f>CV15+預測IC!CW15</f>
        <v>2.0674705332111438</v>
      </c>
      <c r="CX15" s="7">
        <f>CW15+預測IC!CX15</f>
        <v>2.0915101402644747</v>
      </c>
      <c r="CY15" s="7">
        <f>CX15+預測IC!CY15</f>
        <v>2.0490394671867125</v>
      </c>
      <c r="CZ15" s="7">
        <f>CY15+預測IC!CZ15</f>
        <v>2.1289264151310547</v>
      </c>
      <c r="DA15" s="7">
        <f>CZ15+預測IC!DA15</f>
        <v>2.1025505796891784</v>
      </c>
      <c r="DB15" s="7">
        <f>DA15+預測IC!DB15</f>
        <v>2.0723239614750546</v>
      </c>
      <c r="DC15" s="7">
        <f>DB15+預測IC!DC15</f>
        <v>2.1073991114496367</v>
      </c>
      <c r="DD15" s="7">
        <f>DC15+預測IC!DD15</f>
        <v>2.058005420949752</v>
      </c>
      <c r="DE15" s="7">
        <f>DD15+預測IC!DE15</f>
        <v>2.0829541356947949</v>
      </c>
      <c r="DF15" s="7">
        <f>DE15+預測IC!DF15</f>
        <v>2.0405628292954003</v>
      </c>
      <c r="DG15" s="7">
        <f>DF15+預測IC!DG15</f>
        <v>2.0567595609136413</v>
      </c>
      <c r="DH15" s="7">
        <f>DG15+預測IC!DH15</f>
        <v>2.0380505498697494</v>
      </c>
      <c r="DI15" s="7">
        <f>DH15+預測IC!DI15</f>
        <v>2.0263321008602917</v>
      </c>
      <c r="DJ15" s="7">
        <f>DI15+預測IC!DJ15</f>
        <v>1.9744782477658849</v>
      </c>
      <c r="DK15" s="7">
        <f>DJ15+預測IC!DK15</f>
        <v>2.0762530818173528</v>
      </c>
      <c r="DL15" s="7">
        <f>DK15+預測IC!DL15</f>
        <v>2.1388885759057907</v>
      </c>
      <c r="DM15" s="7">
        <f>DL15+預測IC!DM15</f>
        <v>2.115080029038122</v>
      </c>
      <c r="DN15" s="7">
        <f>DM15+預測IC!DN15</f>
        <v>2.1590765264617415</v>
      </c>
      <c r="DO15" s="7">
        <f>DN15+預測IC!DO15</f>
        <v>2.2053732536955422</v>
      </c>
      <c r="DP15" s="7">
        <f>DO15+預測IC!DP15</f>
        <v>2.2291088557024348</v>
      </c>
      <c r="DQ15" s="7">
        <f>DP15+預測IC!DQ15</f>
        <v>2.1340679482430063</v>
      </c>
      <c r="DR15" s="7">
        <f>DQ15+預測IC!DR15</f>
        <v>2.2040785148609445</v>
      </c>
      <c r="DS15" s="7">
        <f>DR15+預測IC!DS15</f>
        <v>2.1278366064491472</v>
      </c>
      <c r="DT15" s="7">
        <f>DS15+預測IC!DT15</f>
        <v>2.0556729747309843</v>
      </c>
      <c r="DU15" s="7">
        <f>DT15+預測IC!DU15</f>
        <v>2.0099022457793034</v>
      </c>
      <c r="DV15" s="7">
        <f>DU15+預測IC!DV15</f>
        <v>2.1496706027201746</v>
      </c>
      <c r="DW15" s="7">
        <f>DV15+預測IC!DW15</f>
        <v>2.1752092298670074</v>
      </c>
      <c r="DX15" s="7">
        <f>DW15+預測IC!DX15</f>
        <v>2.056592979217021</v>
      </c>
      <c r="DY15" s="7">
        <f>DX15+預測IC!DY15</f>
        <v>2.1631321458180306</v>
      </c>
      <c r="DZ15" s="7">
        <f>DY15+預測IC!DZ15</f>
        <v>2.1442119017486463</v>
      </c>
      <c r="EA15" s="7">
        <f>DZ15+預測IC!EA15</f>
        <v>2.171550627958486</v>
      </c>
      <c r="EB15" s="7">
        <f>EA15+預測IC!EB15</f>
        <v>2.2200692010897307</v>
      </c>
      <c r="EC15" s="7">
        <f>EB15+預測IC!EC15</f>
        <v>2.2861510571376771</v>
      </c>
      <c r="ED15" s="7">
        <f>EC15+預測IC!ED15</f>
        <v>2.1727940012023659</v>
      </c>
      <c r="EE15" s="7">
        <f>ED15+預測IC!EE15</f>
        <v>2.1565485866662777</v>
      </c>
      <c r="EF15" s="7">
        <f>EE15+預測IC!EF15</f>
        <v>2.2222495778051199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0.61606975581550971</v>
      </c>
      <c r="E16" s="7">
        <f>D16+預測IC!E16</f>
        <v>0.61323957920542438</v>
      </c>
      <c r="F16" s="7">
        <f>E16+預測IC!F16</f>
        <v>0.73749936711312358</v>
      </c>
      <c r="G16" s="7">
        <f>F16+預測IC!G16</f>
        <v>0.66380310198619974</v>
      </c>
      <c r="H16" s="7">
        <f>G16+預測IC!H16</f>
        <v>0.7366511582738472</v>
      </c>
      <c r="I16" s="7">
        <f>H16+預測IC!I16</f>
        <v>0.84844346025375439</v>
      </c>
      <c r="J16" s="7">
        <f>I16+預測IC!J16</f>
        <v>0.77974942700052674</v>
      </c>
      <c r="K16" s="7">
        <f>J16+預測IC!K16</f>
        <v>0.49507887677399465</v>
      </c>
      <c r="L16" s="7">
        <f>K16+預測IC!L16</f>
        <v>0.50496541136186346</v>
      </c>
      <c r="M16" s="7">
        <f>L16+預測IC!M16</f>
        <v>0.31008900641946996</v>
      </c>
      <c r="N16" s="7">
        <f>M16+預測IC!N16</f>
        <v>0.67707661554205634</v>
      </c>
      <c r="O16" s="7">
        <f>N16+預測IC!O16</f>
        <v>0.69269770776736683</v>
      </c>
      <c r="P16" s="7">
        <f>O16+預測IC!P16</f>
        <v>0.75467744304827467</v>
      </c>
      <c r="Q16" s="7">
        <f>P16+預測IC!Q16</f>
        <v>0.85129561622318439</v>
      </c>
      <c r="R16" s="7">
        <f>Q16+預測IC!R16</f>
        <v>0.87047837847881948</v>
      </c>
      <c r="S16" s="7">
        <f>R16+預測IC!S16</f>
        <v>0.82806319526786543</v>
      </c>
      <c r="T16" s="7">
        <f>S16+預測IC!T16</f>
        <v>0.80483641032372588</v>
      </c>
      <c r="U16" s="7">
        <f>T16+預測IC!U16</f>
        <v>0.85348792611652768</v>
      </c>
      <c r="V16" s="7">
        <f>U16+預測IC!V16</f>
        <v>0.749171750515086</v>
      </c>
      <c r="W16" s="7">
        <f>V16+預測IC!W16</f>
        <v>0.82754523854272388</v>
      </c>
      <c r="X16" s="7">
        <f>W16+預測IC!X16</f>
        <v>0.90122351620019103</v>
      </c>
      <c r="Y16" s="7">
        <f>X16+預測IC!Y16</f>
        <v>0.89693606910845458</v>
      </c>
      <c r="Z16" s="7">
        <f>Y16+預測IC!Z16</f>
        <v>0.87686027423002977</v>
      </c>
      <c r="AA16" s="7">
        <f>Z16+預測IC!AA16</f>
        <v>0.83337263839403763</v>
      </c>
      <c r="AB16" s="7">
        <f>AA16+預測IC!AB16</f>
        <v>0.76235651197670051</v>
      </c>
      <c r="AC16" s="7">
        <f>AB16+預測IC!AC16</f>
        <v>0.72131598926761742</v>
      </c>
      <c r="AD16" s="7">
        <f>AC16+預測IC!AD16</f>
        <v>0.72019396341854114</v>
      </c>
      <c r="AE16" s="7">
        <f>AD16+預測IC!AE16</f>
        <v>0.77172895530044305</v>
      </c>
      <c r="AF16" s="7">
        <f>AE16+預測IC!AF16</f>
        <v>0.7080431127188539</v>
      </c>
      <c r="AG16" s="7">
        <f>AF16+預測IC!AG16</f>
        <v>0.69974120511596782</v>
      </c>
      <c r="AH16" s="7">
        <f>AG16+預測IC!AH16</f>
        <v>0.73150660556540836</v>
      </c>
      <c r="AI16" s="7">
        <f>AH16+預測IC!AI16</f>
        <v>0.82202925478256317</v>
      </c>
      <c r="AJ16" s="7">
        <f>AI16+預測IC!AJ16</f>
        <v>0.80440001305952802</v>
      </c>
      <c r="AK16" s="7">
        <f>AJ16+預測IC!AK16</f>
        <v>0.79641284532960321</v>
      </c>
      <c r="AL16" s="7">
        <f>AK16+預測IC!AL16</f>
        <v>0.84510177843412648</v>
      </c>
      <c r="AM16" s="7">
        <f>AL16+預測IC!AM16</f>
        <v>0.91117850903592446</v>
      </c>
      <c r="AN16" s="7">
        <f>AM16+預測IC!AN16</f>
        <v>1.0176347091256002</v>
      </c>
      <c r="AO16" s="7">
        <f>AN16+預測IC!AO16</f>
        <v>1.0790593809515125</v>
      </c>
      <c r="AP16" s="7">
        <f>AO16+預測IC!AP16</f>
        <v>1.0842992705148575</v>
      </c>
      <c r="AQ16" s="7">
        <f>AP16+預測IC!AQ16</f>
        <v>1.045833070368789</v>
      </c>
      <c r="AR16" s="7">
        <f>AQ16+預測IC!AR16</f>
        <v>1.1491242494292815</v>
      </c>
      <c r="AS16" s="7">
        <f>AR16+預測IC!AS16</f>
        <v>1.2141924749032509</v>
      </c>
      <c r="AT16" s="7">
        <f>AS16+預測IC!AT16</f>
        <v>1.2637396302216208</v>
      </c>
      <c r="AU16" s="7">
        <f>AT16+預測IC!AU16</f>
        <v>1.305566468476516</v>
      </c>
      <c r="AV16" s="7">
        <f>AU16+預測IC!AV16</f>
        <v>1.2964939616964972</v>
      </c>
      <c r="AW16" s="7">
        <f>AV16+預測IC!AW16</f>
        <v>1.3357468917711479</v>
      </c>
      <c r="AX16" s="7">
        <f>AW16+預測IC!AX16</f>
        <v>1.3288890365583217</v>
      </c>
      <c r="AY16" s="7">
        <f>AX16+預測IC!AY16</f>
        <v>1.3627016264026677</v>
      </c>
      <c r="AZ16" s="7">
        <f>AY16+預測IC!AZ16</f>
        <v>1.2577919912239555</v>
      </c>
      <c r="BA16" s="7">
        <f>AZ16+預測IC!BA16</f>
        <v>1.2727150962815414</v>
      </c>
      <c r="BB16" s="7">
        <f>BA16+預測IC!BB16</f>
        <v>1.3807540204342796</v>
      </c>
      <c r="BC16" s="7">
        <f>BB16+預測IC!BC16</f>
        <v>1.4478754865419714</v>
      </c>
      <c r="BD16" s="7">
        <f>BC16+預測IC!BD16</f>
        <v>1.4838121980878753</v>
      </c>
      <c r="BE16" s="7">
        <f>BD16+預測IC!BE16</f>
        <v>1.5352231924823503</v>
      </c>
      <c r="BF16" s="7">
        <f>BE16+預測IC!BF16</f>
        <v>1.5994912468020686</v>
      </c>
      <c r="BG16" s="7">
        <f>BF16+預測IC!BG16</f>
        <v>1.6129645288500252</v>
      </c>
      <c r="BH16" s="7">
        <f>BG16+預測IC!BH16</f>
        <v>1.5991889143660634</v>
      </c>
      <c r="BI16" s="7">
        <f>BH16+預測IC!BI16</f>
        <v>1.6406327221293253</v>
      </c>
      <c r="BJ16" s="7">
        <f>BI16+預測IC!BJ16</f>
        <v>1.6201289058461177</v>
      </c>
      <c r="BK16" s="7">
        <f>BJ16+預測IC!BK16</f>
        <v>1.6231008961413147</v>
      </c>
      <c r="BL16" s="7">
        <f>BK16+預測IC!BL16</f>
        <v>1.6937244618488378</v>
      </c>
      <c r="BM16" s="7">
        <f>BL16+預測IC!BM16</f>
        <v>1.775248336890803</v>
      </c>
      <c r="BN16" s="7">
        <f>BM16+預測IC!BN16</f>
        <v>1.8231541694948301</v>
      </c>
      <c r="BO16" s="7">
        <f>BN16+預測IC!BO16</f>
        <v>1.8450445294484878</v>
      </c>
      <c r="BP16" s="7">
        <f>BO16+預測IC!BP16</f>
        <v>1.8658877129960685</v>
      </c>
      <c r="BQ16" s="7">
        <f>BP16+預測IC!BQ16</f>
        <v>1.882365729250997</v>
      </c>
      <c r="BR16" s="7">
        <f>BQ16+預測IC!BR16</f>
        <v>1.8560688812295525</v>
      </c>
      <c r="BS16" s="7">
        <f>BR16+預測IC!BS16</f>
        <v>1.8428773080820884</v>
      </c>
      <c r="BT16" s="7">
        <f>BS16+預測IC!BT16</f>
        <v>1.928360499349888</v>
      </c>
      <c r="BU16" s="7">
        <f>BT16+預測IC!BU16</f>
        <v>1.9861256095346884</v>
      </c>
      <c r="BV16" s="7">
        <f>BU16+預測IC!BV16</f>
        <v>2.0468368489815294</v>
      </c>
      <c r="BW16" s="7">
        <f>BV16+預測IC!BW16</f>
        <v>1.9810959215549948</v>
      </c>
      <c r="BX16" s="7">
        <f>BW16+預測IC!BX16</f>
        <v>2.0126551590761257</v>
      </c>
      <c r="BY16" s="7">
        <f>BX16+預測IC!BY16</f>
        <v>1.9620914262288827</v>
      </c>
      <c r="BZ16" s="7">
        <f>BY16+預測IC!BZ16</f>
        <v>2.0736172747305317</v>
      </c>
      <c r="CA16" s="7">
        <f>BZ16+預測IC!CA16</f>
        <v>2.1010494443822259</v>
      </c>
      <c r="CB16" s="7">
        <f>CA16+預測IC!CB16</f>
        <v>2.0996213993930084</v>
      </c>
      <c r="CC16" s="7">
        <f>CB16+預測IC!CC16</f>
        <v>1.940548884909074</v>
      </c>
      <c r="CD16" s="7">
        <f>CC16+預測IC!CD16</f>
        <v>2.0956201565354355</v>
      </c>
      <c r="CE16" s="7">
        <f>CD16+預測IC!CE16</f>
        <v>1.9630250957419242</v>
      </c>
      <c r="CF16" s="7">
        <f>CE16+預測IC!CF16</f>
        <v>2.0682263597516752</v>
      </c>
      <c r="CG16" s="7">
        <f>CF16+預測IC!CG16</f>
        <v>2.062847840720345</v>
      </c>
      <c r="CH16" s="7">
        <f>CG16+預測IC!CH16</f>
        <v>2.1045452554233721</v>
      </c>
      <c r="CI16" s="7">
        <f>CH16+預測IC!CI16</f>
        <v>2.0658353735948545</v>
      </c>
      <c r="CJ16" s="7">
        <f>CI16+預測IC!CJ16</f>
        <v>2.0203118228071877</v>
      </c>
      <c r="CK16" s="7">
        <f>CJ16+預測IC!CK16</f>
        <v>2.096784806524878</v>
      </c>
      <c r="CL16" s="7">
        <f>CK16+預測IC!CL16</f>
        <v>2.1126634888595874</v>
      </c>
      <c r="CM16" s="7">
        <f>CL16+預測IC!CM16</f>
        <v>2.201652117009099</v>
      </c>
      <c r="CN16" s="7">
        <f>CM16+預測IC!CN16</f>
        <v>2.1685946018681492</v>
      </c>
      <c r="CO16" s="7">
        <f>CN16+預測IC!CO16</f>
        <v>1.9861426473283199</v>
      </c>
      <c r="CP16" s="7">
        <f>CO16+預測IC!CP16</f>
        <v>2.1227743368104113</v>
      </c>
      <c r="CQ16" s="7">
        <f>CP16+預測IC!CQ16</f>
        <v>2.1642099424698218</v>
      </c>
      <c r="CR16" s="7">
        <f>CQ16+預測IC!CR16</f>
        <v>2.2125097091531383</v>
      </c>
      <c r="CS16" s="7">
        <f>CR16+預測IC!CS16</f>
        <v>2.2790688690272121</v>
      </c>
      <c r="CT16" s="7">
        <f>CS16+預測IC!CT16</f>
        <v>2.284136275528053</v>
      </c>
      <c r="CU16" s="7">
        <f>CT16+預測IC!CU16</f>
        <v>2.2207016211690784</v>
      </c>
      <c r="CV16" s="7">
        <f>CU16+預測IC!CV16</f>
        <v>2.2039505370883576</v>
      </c>
      <c r="CW16" s="7">
        <f>CV16+預測IC!CW16</f>
        <v>2.1947563775557359</v>
      </c>
      <c r="CX16" s="7">
        <f>CW16+預測IC!CX16</f>
        <v>2.2069966623099857</v>
      </c>
      <c r="CY16" s="7">
        <f>CX16+預測IC!CY16</f>
        <v>2.1578796131933604</v>
      </c>
      <c r="CZ16" s="7">
        <f>CY16+預測IC!CZ16</f>
        <v>2.2605128723714931</v>
      </c>
      <c r="DA16" s="7">
        <f>CZ16+預測IC!DA16</f>
        <v>2.2307080784042577</v>
      </c>
      <c r="DB16" s="7">
        <f>DA16+預測IC!DB16</f>
        <v>2.1879959086240315</v>
      </c>
      <c r="DC16" s="7">
        <f>DB16+預測IC!DC16</f>
        <v>2.2309382709445318</v>
      </c>
      <c r="DD16" s="7">
        <f>DC16+預測IC!DD16</f>
        <v>2.1608673358871742</v>
      </c>
      <c r="DE16" s="7">
        <f>DD16+預測IC!DE16</f>
        <v>2.1953117082284028</v>
      </c>
      <c r="DF16" s="7">
        <f>DE16+預測IC!DF16</f>
        <v>2.1721652750028437</v>
      </c>
      <c r="DG16" s="7">
        <f>DF16+預測IC!DG16</f>
        <v>2.1866182226342823</v>
      </c>
      <c r="DH16" s="7">
        <f>DG16+預測IC!DH16</f>
        <v>2.1674888792163114</v>
      </c>
      <c r="DI16" s="7">
        <f>DH16+預測IC!DI16</f>
        <v>2.1542554535037892</v>
      </c>
      <c r="DJ16" s="7">
        <f>DI16+預測IC!DJ16</f>
        <v>2.1251140474231596</v>
      </c>
      <c r="DK16" s="7">
        <f>DJ16+預測IC!DK16</f>
        <v>2.2587084040487402</v>
      </c>
      <c r="DL16" s="7">
        <f>DK16+預測IC!DL16</f>
        <v>2.3238214401773849</v>
      </c>
      <c r="DM16" s="7">
        <f>DL16+預測IC!DM16</f>
        <v>2.2934904904190438</v>
      </c>
      <c r="DN16" s="7">
        <f>DM16+預測IC!DN16</f>
        <v>2.335928343778451</v>
      </c>
      <c r="DO16" s="7">
        <f>DN16+預測IC!DO16</f>
        <v>2.3891502513345948</v>
      </c>
      <c r="DP16" s="7">
        <f>DO16+預測IC!DP16</f>
        <v>2.4089921999138206</v>
      </c>
      <c r="DQ16" s="7">
        <f>DP16+預測IC!DQ16</f>
        <v>2.3259585418368043</v>
      </c>
      <c r="DR16" s="7">
        <f>DQ16+預測IC!DR16</f>
        <v>2.3811497934863195</v>
      </c>
      <c r="DS16" s="7">
        <f>DR16+預測IC!DS16</f>
        <v>2.2873977284965652</v>
      </c>
      <c r="DT16" s="7">
        <f>DS16+預測IC!DT16</f>
        <v>2.1868636006720994</v>
      </c>
      <c r="DU16" s="7">
        <f>DT16+預測IC!DU16</f>
        <v>2.1223898669025609</v>
      </c>
      <c r="DV16" s="7">
        <f>DU16+預測IC!DV16</f>
        <v>2.2593435989203545</v>
      </c>
      <c r="DW16" s="7">
        <f>DV16+預測IC!DW16</f>
        <v>2.3002613286200453</v>
      </c>
      <c r="DX16" s="7">
        <f>DW16+預測IC!DX16</f>
        <v>2.174976622296068</v>
      </c>
      <c r="DY16" s="7">
        <f>DX16+預測IC!DY16</f>
        <v>2.2913309572064113</v>
      </c>
      <c r="DZ16" s="7">
        <f>DY16+預測IC!DZ16</f>
        <v>2.2600538773817349</v>
      </c>
      <c r="EA16" s="7">
        <f>DZ16+預測IC!EA16</f>
        <v>2.3067152489374618</v>
      </c>
      <c r="EB16" s="7">
        <f>EA16+預測IC!EB16</f>
        <v>2.3853258876805952</v>
      </c>
      <c r="EC16" s="7">
        <f>EB16+預測IC!EC16</f>
        <v>2.448857954315165</v>
      </c>
      <c r="ED16" s="7">
        <f>EC16+預測IC!ED16</f>
        <v>2.3334412068162438</v>
      </c>
      <c r="EE16" s="7">
        <f>ED16+預測IC!EE16</f>
        <v>2.3103504952916323</v>
      </c>
      <c r="EF16" s="7">
        <f>EE16+預測IC!EF16</f>
        <v>2.3528248967855396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0.64568067700382725</v>
      </c>
      <c r="E17" s="7">
        <f>D17+預測IC!E17</f>
        <v>0.6530596784991286</v>
      </c>
      <c r="F17" s="7">
        <f>E17+預測IC!F17</f>
        <v>0.7998314928116409</v>
      </c>
      <c r="G17" s="7">
        <f>F17+預測IC!G17</f>
        <v>0.72860872593345916</v>
      </c>
      <c r="H17" s="7">
        <f>G17+預測IC!H17</f>
        <v>0.83360277956120021</v>
      </c>
      <c r="I17" s="7">
        <f>H17+預測IC!I17</f>
        <v>0.90109243464754141</v>
      </c>
      <c r="J17" s="7">
        <f>I17+預測IC!J17</f>
        <v>0.78579336140559153</v>
      </c>
      <c r="K17" s="7">
        <f>J17+預測IC!K17</f>
        <v>0.48896681030502914</v>
      </c>
      <c r="L17" s="7">
        <f>K17+預測IC!L17</f>
        <v>0.49867769981318716</v>
      </c>
      <c r="M17" s="7">
        <f>L17+預測IC!M17</f>
        <v>0.27173706252086438</v>
      </c>
      <c r="N17" s="7">
        <f>M17+預測IC!N17</f>
        <v>0.67684507146032657</v>
      </c>
      <c r="O17" s="7">
        <f>N17+預測IC!O17</f>
        <v>0.70147712667227224</v>
      </c>
      <c r="P17" s="7">
        <f>O17+預測IC!P17</f>
        <v>0.77839273017517319</v>
      </c>
      <c r="Q17" s="7">
        <f>P17+預測IC!Q17</f>
        <v>0.88482298346165</v>
      </c>
      <c r="R17" s="7">
        <f>Q17+預測IC!R17</f>
        <v>0.88679823474231945</v>
      </c>
      <c r="S17" s="7">
        <f>R17+預測IC!S17</f>
        <v>0.83166620900434707</v>
      </c>
      <c r="T17" s="7">
        <f>S17+預測IC!T17</f>
        <v>0.80815862035278607</v>
      </c>
      <c r="U17" s="7">
        <f>T17+預測IC!U17</f>
        <v>0.86044885429960227</v>
      </c>
      <c r="V17" s="7">
        <f>U17+預測IC!V17</f>
        <v>0.74409255227420212</v>
      </c>
      <c r="W17" s="7">
        <f>V17+預測IC!W17</f>
        <v>0.82323454107621941</v>
      </c>
      <c r="X17" s="7">
        <f>W17+預測IC!X17</f>
        <v>0.9234205080802077</v>
      </c>
      <c r="Y17" s="7">
        <f>X17+預測IC!Y17</f>
        <v>0.92492100940674493</v>
      </c>
      <c r="Z17" s="7">
        <f>Y17+預測IC!Z17</f>
        <v>0.9033125196124786</v>
      </c>
      <c r="AA17" s="7">
        <f>Z17+預測IC!AA17</f>
        <v>0.86810273003027949</v>
      </c>
      <c r="AB17" s="7">
        <f>AA17+預測IC!AB17</f>
        <v>0.80976856933950137</v>
      </c>
      <c r="AC17" s="7">
        <f>AB17+預測IC!AC17</f>
        <v>0.76896955835181924</v>
      </c>
      <c r="AD17" s="7">
        <f>AC17+預測IC!AD17</f>
        <v>0.74705671417817865</v>
      </c>
      <c r="AE17" s="7">
        <f>AD17+預測IC!AE17</f>
        <v>0.80650021387387105</v>
      </c>
      <c r="AF17" s="7">
        <f>AE17+預測IC!AF17</f>
        <v>0.74507090375193097</v>
      </c>
      <c r="AG17" s="7">
        <f>AF17+預測IC!AG17</f>
        <v>0.74371923294611919</v>
      </c>
      <c r="AH17" s="7">
        <f>AG17+預測IC!AH17</f>
        <v>0.77919185211900799</v>
      </c>
      <c r="AI17" s="7">
        <f>AH17+預測IC!AI17</f>
        <v>0.89405629751729454</v>
      </c>
      <c r="AJ17" s="7">
        <f>AI17+預測IC!AJ17</f>
        <v>0.87184883799254809</v>
      </c>
      <c r="AK17" s="7">
        <f>AJ17+預測IC!AK17</f>
        <v>0.85852312524018448</v>
      </c>
      <c r="AL17" s="7">
        <f>AK17+預測IC!AL17</f>
        <v>0.909247530988741</v>
      </c>
      <c r="AM17" s="7">
        <f>AL17+預測IC!AM17</f>
        <v>0.984616898576398</v>
      </c>
      <c r="AN17" s="7">
        <f>AM17+預測IC!AN17</f>
        <v>1.0979040189223157</v>
      </c>
      <c r="AO17" s="7">
        <f>AN17+預測IC!AO17</f>
        <v>1.1105363535180399</v>
      </c>
      <c r="AP17" s="7">
        <f>AO17+預測IC!AP17</f>
        <v>1.1142944251068905</v>
      </c>
      <c r="AQ17" s="7">
        <f>AP17+預測IC!AQ17</f>
        <v>1.0537672877053914</v>
      </c>
      <c r="AR17" s="7">
        <f>AQ17+預測IC!AR17</f>
        <v>1.1676979976002086</v>
      </c>
      <c r="AS17" s="7">
        <f>AR17+預測IC!AS17</f>
        <v>1.2240215596346844</v>
      </c>
      <c r="AT17" s="7">
        <f>AS17+預測IC!AT17</f>
        <v>1.2762893660844066</v>
      </c>
      <c r="AU17" s="7">
        <f>AT17+預測IC!AU17</f>
        <v>1.3308448733710945</v>
      </c>
      <c r="AV17" s="7">
        <f>AU17+預測IC!AV17</f>
        <v>1.3096389705888261</v>
      </c>
      <c r="AW17" s="7">
        <f>AV17+預測IC!AW17</f>
        <v>1.3180608586306628</v>
      </c>
      <c r="AX17" s="7">
        <f>AW17+預測IC!AX17</f>
        <v>1.3286512469851488</v>
      </c>
      <c r="AY17" s="7">
        <f>AX17+預測IC!AY17</f>
        <v>1.3560749436757498</v>
      </c>
      <c r="AZ17" s="7">
        <f>AY17+預測IC!AZ17</f>
        <v>1.2309173414155588</v>
      </c>
      <c r="BA17" s="7">
        <f>AZ17+預測IC!BA17</f>
        <v>1.2407425205226716</v>
      </c>
      <c r="BB17" s="7">
        <f>BA17+預測IC!BB17</f>
        <v>1.364506583636516</v>
      </c>
      <c r="BC17" s="7">
        <f>BB17+預測IC!BC17</f>
        <v>1.4483697788143297</v>
      </c>
      <c r="BD17" s="7">
        <f>BC17+預測IC!BD17</f>
        <v>1.4707262610605345</v>
      </c>
      <c r="BE17" s="7">
        <f>BD17+預測IC!BE17</f>
        <v>1.5480765032985948</v>
      </c>
      <c r="BF17" s="7">
        <f>BE17+預測IC!BF17</f>
        <v>1.6032739999075485</v>
      </c>
      <c r="BG17" s="7">
        <f>BF17+預測IC!BG17</f>
        <v>1.5678797638195112</v>
      </c>
      <c r="BH17" s="7">
        <f>BG17+預測IC!BH17</f>
        <v>1.5813992246712643</v>
      </c>
      <c r="BI17" s="7">
        <f>BH17+預測IC!BI17</f>
        <v>1.6685111701112114</v>
      </c>
      <c r="BJ17" s="7">
        <f>BI17+預測IC!BJ17</f>
        <v>1.658653105837975</v>
      </c>
      <c r="BK17" s="7">
        <f>BJ17+預測IC!BK17</f>
        <v>1.6448301537678696</v>
      </c>
      <c r="BL17" s="7">
        <f>BK17+預測IC!BL17</f>
        <v>1.7223131205678157</v>
      </c>
      <c r="BM17" s="7">
        <f>BL17+預測IC!BM17</f>
        <v>1.7983108910136756</v>
      </c>
      <c r="BN17" s="7">
        <f>BM17+預測IC!BN17</f>
        <v>1.8452264166075536</v>
      </c>
      <c r="BO17" s="7">
        <f>BN17+預測IC!BO17</f>
        <v>1.8804060320242773</v>
      </c>
      <c r="BP17" s="7">
        <f>BO17+預測IC!BP17</f>
        <v>1.9164020116787581</v>
      </c>
      <c r="BQ17" s="7">
        <f>BP17+預測IC!BQ17</f>
        <v>1.9277785221252097</v>
      </c>
      <c r="BR17" s="7">
        <f>BQ17+預測IC!BR17</f>
        <v>1.9181321470004598</v>
      </c>
      <c r="BS17" s="7">
        <f>BR17+預測IC!BS17</f>
        <v>1.9140286778898532</v>
      </c>
      <c r="BT17" s="7">
        <f>BS17+預測IC!BT17</f>
        <v>2.0234450567602766</v>
      </c>
      <c r="BU17" s="7">
        <f>BT17+預測IC!BU17</f>
        <v>2.0945728755110289</v>
      </c>
      <c r="BV17" s="7">
        <f>BU17+預測IC!BV17</f>
        <v>2.1647831785306573</v>
      </c>
      <c r="BW17" s="7">
        <f>BV17+預測IC!BW17</f>
        <v>2.0843514659313915</v>
      </c>
      <c r="BX17" s="7">
        <f>BW17+預測IC!BX17</f>
        <v>2.1131744305510645</v>
      </c>
      <c r="BY17" s="7">
        <f>BX17+預測IC!BY17</f>
        <v>2.0289289629223699</v>
      </c>
      <c r="BZ17" s="7">
        <f>BY17+預測IC!BZ17</f>
        <v>2.1495071188034554</v>
      </c>
      <c r="CA17" s="7">
        <f>BZ17+預測IC!CA17</f>
        <v>2.17670390318137</v>
      </c>
      <c r="CB17" s="7">
        <f>CA17+預測IC!CB17</f>
        <v>2.1662261956893776</v>
      </c>
      <c r="CC17" s="7">
        <f>CB17+預測IC!CC17</f>
        <v>1.9912682216996966</v>
      </c>
      <c r="CD17" s="7">
        <f>CC17+預測IC!CD17</f>
        <v>2.1642279629188454</v>
      </c>
      <c r="CE17" s="7">
        <f>CD17+預測IC!CE17</f>
        <v>1.9891117174127939</v>
      </c>
      <c r="CF17" s="7">
        <f>CE17+預測IC!CF17</f>
        <v>2.0878579148389926</v>
      </c>
      <c r="CG17" s="7">
        <f>CF17+預測IC!CG17</f>
        <v>2.0723308097639155</v>
      </c>
      <c r="CH17" s="7">
        <f>CG17+預測IC!CH17</f>
        <v>2.1309672563709654</v>
      </c>
      <c r="CI17" s="7">
        <f>CH17+預測IC!CI17</f>
        <v>2.116436071381377</v>
      </c>
      <c r="CJ17" s="7">
        <f>CI17+預測IC!CJ17</f>
        <v>2.0656937498969348</v>
      </c>
      <c r="CK17" s="7">
        <f>CJ17+預測IC!CK17</f>
        <v>2.1574323225548477</v>
      </c>
      <c r="CL17" s="7">
        <f>CK17+預測IC!CL17</f>
        <v>2.1480059777858163</v>
      </c>
      <c r="CM17" s="7">
        <f>CL17+預測IC!CM17</f>
        <v>2.2825753222173906</v>
      </c>
      <c r="CN17" s="7">
        <f>CM17+預測IC!CN17</f>
        <v>2.2558572610664034</v>
      </c>
      <c r="CO17" s="7">
        <f>CN17+預測IC!CO17</f>
        <v>2.0533186338034137</v>
      </c>
      <c r="CP17" s="7">
        <f>CO17+預測IC!CP17</f>
        <v>2.2014779030007574</v>
      </c>
      <c r="CQ17" s="7">
        <f>CP17+預測IC!CQ17</f>
        <v>2.2425658361841609</v>
      </c>
      <c r="CR17" s="7">
        <f>CQ17+預測IC!CR17</f>
        <v>2.293242326886384</v>
      </c>
      <c r="CS17" s="7">
        <f>CR17+預測IC!CS17</f>
        <v>2.3900839581859539</v>
      </c>
      <c r="CT17" s="7">
        <f>CS17+預測IC!CT17</f>
        <v>2.439344014575147</v>
      </c>
      <c r="CU17" s="7">
        <f>CT17+預測IC!CU17</f>
        <v>2.364935706991893</v>
      </c>
      <c r="CV17" s="7">
        <f>CU17+預測IC!CV17</f>
        <v>2.3688153149318203</v>
      </c>
      <c r="CW17" s="7">
        <f>CV17+預測IC!CW17</f>
        <v>2.3490534610224674</v>
      </c>
      <c r="CX17" s="7">
        <f>CW17+預測IC!CX17</f>
        <v>2.3598258555464153</v>
      </c>
      <c r="CY17" s="7">
        <f>CX17+預測IC!CY17</f>
        <v>2.3104425568303251</v>
      </c>
      <c r="CZ17" s="7">
        <f>CY17+預測IC!CZ17</f>
        <v>2.4346913946779454</v>
      </c>
      <c r="DA17" s="7">
        <f>CZ17+預測IC!DA17</f>
        <v>2.3907955355328112</v>
      </c>
      <c r="DB17" s="7">
        <f>DA17+預測IC!DB17</f>
        <v>2.3559125247403432</v>
      </c>
      <c r="DC17" s="7">
        <f>DB17+預測IC!DC17</f>
        <v>2.3992759937178425</v>
      </c>
      <c r="DD17" s="7">
        <f>DC17+預測IC!DD17</f>
        <v>2.3141420606336887</v>
      </c>
      <c r="DE17" s="7">
        <f>DD17+預測IC!DE17</f>
        <v>2.357865476416992</v>
      </c>
      <c r="DF17" s="7">
        <f>DE17+預測IC!DF17</f>
        <v>2.3466341060903328</v>
      </c>
      <c r="DG17" s="7">
        <f>DF17+預測IC!DG17</f>
        <v>2.3447948241614243</v>
      </c>
      <c r="DH17" s="7">
        <f>DG17+預測IC!DH17</f>
        <v>2.3060681732234114</v>
      </c>
      <c r="DI17" s="7">
        <f>DH17+預測IC!DI17</f>
        <v>2.3007749288996289</v>
      </c>
      <c r="DJ17" s="7">
        <f>DI17+預測IC!DJ17</f>
        <v>2.2554387713588091</v>
      </c>
      <c r="DK17" s="7">
        <f>DJ17+預測IC!DK17</f>
        <v>2.4114751994753552</v>
      </c>
      <c r="DL17" s="7">
        <f>DK17+預測IC!DL17</f>
        <v>2.4849908004125263</v>
      </c>
      <c r="DM17" s="7">
        <f>DL17+預測IC!DM17</f>
        <v>2.4327378898302103</v>
      </c>
      <c r="DN17" s="7">
        <f>DM17+預測IC!DN17</f>
        <v>2.4682269225445492</v>
      </c>
      <c r="DO17" s="7">
        <f>DN17+預測IC!DO17</f>
        <v>2.5216782928844528</v>
      </c>
      <c r="DP17" s="7">
        <f>DO17+預測IC!DP17</f>
        <v>2.5051597846278293</v>
      </c>
      <c r="DQ17" s="7">
        <f>DP17+預測IC!DQ17</f>
        <v>2.3974573158311987</v>
      </c>
      <c r="DR17" s="7">
        <f>DQ17+預測IC!DR17</f>
        <v>2.4533421307075272</v>
      </c>
      <c r="DS17" s="7">
        <f>DR17+預測IC!DS17</f>
        <v>2.3290259709027161</v>
      </c>
      <c r="DT17" s="7">
        <f>DS17+預測IC!DT17</f>
        <v>2.2358870212175646</v>
      </c>
      <c r="DU17" s="7">
        <f>DT17+預測IC!DU17</f>
        <v>2.1641563151670593</v>
      </c>
      <c r="DV17" s="7">
        <f>DU17+預測IC!DV17</f>
        <v>2.2819217132780136</v>
      </c>
      <c r="DW17" s="7">
        <f>DV17+預測IC!DW17</f>
        <v>2.3306031966921639</v>
      </c>
      <c r="DX17" s="7">
        <f>DW17+預測IC!DX17</f>
        <v>2.2010642140956898</v>
      </c>
      <c r="DY17" s="7">
        <f>DX17+預測IC!DY17</f>
        <v>2.3132026689017637</v>
      </c>
      <c r="DZ17" s="7">
        <f>DY17+預測IC!DZ17</f>
        <v>2.2813744963019778</v>
      </c>
      <c r="EA17" s="7">
        <f>DZ17+預測IC!EA17</f>
        <v>2.2931924201676903</v>
      </c>
      <c r="EB17" s="7">
        <f>EA17+預測IC!EB17</f>
        <v>2.3802927693624296</v>
      </c>
      <c r="EC17" s="7">
        <f>EB17+預測IC!EC17</f>
        <v>2.3967179865784902</v>
      </c>
      <c r="ED17" s="7">
        <f>EC17+預測IC!ED17</f>
        <v>2.2683935426495774</v>
      </c>
      <c r="EE17" s="7">
        <f>ED17+預測IC!EE17</f>
        <v>2.2429801823395437</v>
      </c>
      <c r="EF17" s="7">
        <f>EE17+預測IC!EF17</f>
        <v>2.2906899493493955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0.59163480391442624</v>
      </c>
      <c r="E18" s="7">
        <f>D18+預測IC!E18</f>
        <v>0.53263414681621846</v>
      </c>
      <c r="F18" s="7">
        <f>E18+預測IC!F18</f>
        <v>0.74472479797426094</v>
      </c>
      <c r="G18" s="7">
        <f>F18+預測IC!G18</f>
        <v>0.66393055095340103</v>
      </c>
      <c r="H18" s="7">
        <f>G18+預測IC!H18</f>
        <v>0.7924701127279723</v>
      </c>
      <c r="I18" s="7">
        <f>H18+預測IC!I18</f>
        <v>0.84742277563677393</v>
      </c>
      <c r="J18" s="7">
        <f>I18+預測IC!J18</f>
        <v>0.72226098254823212</v>
      </c>
      <c r="K18" s="7">
        <f>J18+預測IC!K18</f>
        <v>0.3635788840403324</v>
      </c>
      <c r="L18" s="7">
        <f>K18+預測IC!L18</f>
        <v>0.37656137088731401</v>
      </c>
      <c r="M18" s="7">
        <f>L18+預測IC!M18</f>
        <v>0.12304817687465353</v>
      </c>
      <c r="N18" s="7">
        <f>M18+預測IC!N18</f>
        <v>0.58486819494526676</v>
      </c>
      <c r="O18" s="7">
        <f>N18+預測IC!O18</f>
        <v>0.60919206978808649</v>
      </c>
      <c r="P18" s="7">
        <f>O18+預測IC!P18</f>
        <v>0.66376168289907056</v>
      </c>
      <c r="Q18" s="7">
        <f>P18+預測IC!Q18</f>
        <v>0.78549805456370569</v>
      </c>
      <c r="R18" s="7">
        <f>Q18+預測IC!R18</f>
        <v>0.80482425349056208</v>
      </c>
      <c r="S18" s="7">
        <f>R18+預測IC!S18</f>
        <v>0.73581091309685343</v>
      </c>
      <c r="T18" s="7">
        <f>S18+預測IC!T18</f>
        <v>0.73078277292358873</v>
      </c>
      <c r="U18" s="7">
        <f>T18+預測IC!U18</f>
        <v>0.75891830055617937</v>
      </c>
      <c r="V18" s="7">
        <f>U18+預測IC!V18</f>
        <v>0.62766437361673844</v>
      </c>
      <c r="W18" s="7">
        <f>V18+預測IC!W18</f>
        <v>0.70496065367647709</v>
      </c>
      <c r="X18" s="7">
        <f>W18+預測IC!X18</f>
        <v>0.83208346230196739</v>
      </c>
      <c r="Y18" s="7">
        <f>X18+預測IC!Y18</f>
        <v>0.8562972700225483</v>
      </c>
      <c r="Z18" s="7">
        <f>Y18+預測IC!Z18</f>
        <v>0.83939155383516439</v>
      </c>
      <c r="AA18" s="7">
        <f>Z18+預測IC!AA18</f>
        <v>0.79768630865244028</v>
      </c>
      <c r="AB18" s="7">
        <f>AA18+預測IC!AB18</f>
        <v>0.7359724579787168</v>
      </c>
      <c r="AC18" s="7">
        <f>AB18+預測IC!AC18</f>
        <v>0.66125263459945016</v>
      </c>
      <c r="AD18" s="7">
        <f>AC18+預測IC!AD18</f>
        <v>0.63465704422036995</v>
      </c>
      <c r="AE18" s="7">
        <f>AD18+預測IC!AE18</f>
        <v>0.71185863583924969</v>
      </c>
      <c r="AF18" s="7">
        <f>AE18+預測IC!AF18</f>
        <v>0.67998521767862408</v>
      </c>
      <c r="AG18" s="7">
        <f>AF18+預測IC!AG18</f>
        <v>0.67136685329848034</v>
      </c>
      <c r="AH18" s="7">
        <f>AG18+預測IC!AH18</f>
        <v>0.71156431426699507</v>
      </c>
      <c r="AI18" s="7">
        <f>AH18+預測IC!AI18</f>
        <v>0.82965004882499527</v>
      </c>
      <c r="AJ18" s="7">
        <f>AI18+預測IC!AJ18</f>
        <v>0.82232260493580578</v>
      </c>
      <c r="AK18" s="7">
        <f>AJ18+預測IC!AK18</f>
        <v>0.84961253223284894</v>
      </c>
      <c r="AL18" s="7">
        <f>AK18+預測IC!AL18</f>
        <v>0.89714029586510669</v>
      </c>
      <c r="AM18" s="7">
        <f>AL18+預測IC!AM18</f>
        <v>0.96378370128987789</v>
      </c>
      <c r="AN18" s="7">
        <f>AM18+預測IC!AN18</f>
        <v>1.0430783412450797</v>
      </c>
      <c r="AO18" s="7">
        <f>AN18+預測IC!AO18</f>
        <v>1.0485058762127726</v>
      </c>
      <c r="AP18" s="7">
        <f>AO18+預測IC!AP18</f>
        <v>1.0505203076606808</v>
      </c>
      <c r="AQ18" s="7">
        <f>AP18+預測IC!AQ18</f>
        <v>0.97428946233423086</v>
      </c>
      <c r="AR18" s="7">
        <f>AQ18+預測IC!AR18</f>
        <v>1.098834968697175</v>
      </c>
      <c r="AS18" s="7">
        <f>AR18+預測IC!AS18</f>
        <v>1.1846615202511441</v>
      </c>
      <c r="AT18" s="7">
        <f>AS18+預測IC!AT18</f>
        <v>1.2279871700717229</v>
      </c>
      <c r="AU18" s="7">
        <f>AT18+預測IC!AU18</f>
        <v>1.2925628141513144</v>
      </c>
      <c r="AV18" s="7">
        <f>AU18+預測IC!AV18</f>
        <v>1.2637940582695972</v>
      </c>
      <c r="AW18" s="7">
        <f>AV18+預測IC!AW18</f>
        <v>1.2883320925107047</v>
      </c>
      <c r="AX18" s="7">
        <f>AW18+預測IC!AX18</f>
        <v>1.3219341602861949</v>
      </c>
      <c r="AY18" s="7">
        <f>AX18+預測IC!AY18</f>
        <v>1.3567174389273431</v>
      </c>
      <c r="AZ18" s="7">
        <f>AY18+預測IC!AZ18</f>
        <v>1.208308356538444</v>
      </c>
      <c r="BA18" s="7">
        <f>AZ18+預測IC!BA18</f>
        <v>1.2089406674631296</v>
      </c>
      <c r="BB18" s="7">
        <f>BA18+預測IC!BB18</f>
        <v>1.3465967096204667</v>
      </c>
      <c r="BC18" s="7">
        <f>BB18+預測IC!BC18</f>
        <v>1.4297982822137874</v>
      </c>
      <c r="BD18" s="7">
        <f>BC18+預測IC!BD18</f>
        <v>1.4057820105264869</v>
      </c>
      <c r="BE18" s="7">
        <f>BD18+預測IC!BE18</f>
        <v>1.4741432237646497</v>
      </c>
      <c r="BF18" s="7">
        <f>BE18+預測IC!BF18</f>
        <v>1.5200277600642285</v>
      </c>
      <c r="BG18" s="7">
        <f>BF18+預測IC!BG18</f>
        <v>1.5032215188380242</v>
      </c>
      <c r="BH18" s="7">
        <f>BG18+預測IC!BH18</f>
        <v>1.5237253719018298</v>
      </c>
      <c r="BI18" s="7">
        <f>BH18+預測IC!BI18</f>
        <v>1.6327253788204954</v>
      </c>
      <c r="BJ18" s="7">
        <f>BI18+預測IC!BJ18</f>
        <v>1.6386814428709549</v>
      </c>
      <c r="BK18" s="7">
        <f>BJ18+預測IC!BK18</f>
        <v>1.5806781987007523</v>
      </c>
      <c r="BL18" s="7">
        <f>BK18+預測IC!BL18</f>
        <v>1.6618358725209563</v>
      </c>
      <c r="BM18" s="7">
        <f>BL18+預測IC!BM18</f>
        <v>1.764609811584396</v>
      </c>
      <c r="BN18" s="7">
        <f>BM18+預測IC!BN18</f>
        <v>1.8173842012082262</v>
      </c>
      <c r="BO18" s="7">
        <f>BN18+預測IC!BO18</f>
        <v>1.8376116973146008</v>
      </c>
      <c r="BP18" s="7">
        <f>BO18+預測IC!BP18</f>
        <v>1.8844692376492829</v>
      </c>
      <c r="BQ18" s="7">
        <f>BP18+預測IC!BQ18</f>
        <v>1.8863860217591319</v>
      </c>
      <c r="BR18" s="7">
        <f>BQ18+預測IC!BR18</f>
        <v>1.8806378281751772</v>
      </c>
      <c r="BS18" s="7">
        <f>BR18+預測IC!BS18</f>
        <v>1.876654203078058</v>
      </c>
      <c r="BT18" s="7">
        <f>BS18+預測IC!BT18</f>
        <v>1.9918909511139447</v>
      </c>
      <c r="BU18" s="7">
        <f>BT18+預測IC!BU18</f>
        <v>2.0725683951539855</v>
      </c>
      <c r="BV18" s="7">
        <f>BU18+預測IC!BV18</f>
        <v>2.153491790431028</v>
      </c>
      <c r="BW18" s="7">
        <f>BV18+預測IC!BW18</f>
        <v>2.0681807034978323</v>
      </c>
      <c r="BX18" s="7">
        <f>BW18+預測IC!BX18</f>
        <v>2.0871991782138681</v>
      </c>
      <c r="BY18" s="7">
        <f>BX18+預測IC!BY18</f>
        <v>1.9641242023898433</v>
      </c>
      <c r="BZ18" s="7">
        <f>BY18+預測IC!BZ18</f>
        <v>2.1174441901924412</v>
      </c>
      <c r="CA18" s="7">
        <f>BZ18+預測IC!CA18</f>
        <v>2.1507303550929704</v>
      </c>
      <c r="CB18" s="7">
        <f>CA18+預測IC!CB18</f>
        <v>2.1261529984805221</v>
      </c>
      <c r="CC18" s="7">
        <f>CB18+預測IC!CC18</f>
        <v>2.0979795544611219</v>
      </c>
      <c r="CD18" s="7">
        <f>CC18+預測IC!CD18</f>
        <v>2.2916963731079525</v>
      </c>
      <c r="CE18" s="7">
        <f>CD18+預測IC!CE18</f>
        <v>2.1137700167990752</v>
      </c>
      <c r="CF18" s="7">
        <f>CE18+預測IC!CF18</f>
        <v>2.1855876084994494</v>
      </c>
      <c r="CG18" s="7">
        <f>CF18+預測IC!CG18</f>
        <v>2.1827862495600341</v>
      </c>
      <c r="CH18" s="7">
        <f>CG18+預測IC!CH18</f>
        <v>2.3454432962472671</v>
      </c>
      <c r="CI18" s="7">
        <f>CH18+預測IC!CI18</f>
        <v>2.3065741563695776</v>
      </c>
      <c r="CJ18" s="7">
        <f>CI18+預測IC!CJ18</f>
        <v>2.244260478544668</v>
      </c>
      <c r="CK18" s="7">
        <f>CJ18+預測IC!CK18</f>
        <v>2.3349282628369519</v>
      </c>
      <c r="CL18" s="7">
        <f>CK18+預測IC!CL18</f>
        <v>2.3039387177787587</v>
      </c>
      <c r="CM18" s="7">
        <f>CL18+預測IC!CM18</f>
        <v>2.4475872609431524</v>
      </c>
      <c r="CN18" s="7">
        <f>CM18+預測IC!CN18</f>
        <v>2.4125010069649759</v>
      </c>
      <c r="CO18" s="7">
        <f>CN18+預測IC!CO18</f>
        <v>2.1809271284155467</v>
      </c>
      <c r="CP18" s="7">
        <f>CO18+預測IC!CP18</f>
        <v>2.3437662373635573</v>
      </c>
      <c r="CQ18" s="7">
        <f>CP18+預測IC!CQ18</f>
        <v>2.3917427737718246</v>
      </c>
      <c r="CR18" s="7">
        <f>CQ18+預測IC!CR18</f>
        <v>2.4468989024884165</v>
      </c>
      <c r="CS18" s="7">
        <f>CR18+預測IC!CS18</f>
        <v>2.5249261492203878</v>
      </c>
      <c r="CT18" s="7">
        <f>CS18+預測IC!CT18</f>
        <v>2.6154415782226375</v>
      </c>
      <c r="CU18" s="7">
        <f>CT18+預測IC!CU18</f>
        <v>2.5437928870175273</v>
      </c>
      <c r="CV18" s="7">
        <f>CU18+預測IC!CV18</f>
        <v>2.6348331692478157</v>
      </c>
      <c r="CW18" s="7">
        <f>CV18+預測IC!CW18</f>
        <v>2.6263770836832898</v>
      </c>
      <c r="CX18" s="7">
        <f>CW18+預測IC!CX18</f>
        <v>2.687937269517068</v>
      </c>
      <c r="CY18" s="7">
        <f>CX18+預測IC!CY18</f>
        <v>2.6365798557422857</v>
      </c>
      <c r="CZ18" s="7">
        <f>CY18+預測IC!CZ18</f>
        <v>2.7694227190440572</v>
      </c>
      <c r="DA18" s="7">
        <f>CZ18+預測IC!DA18</f>
        <v>2.7220417795253637</v>
      </c>
      <c r="DB18" s="7">
        <f>DA18+預測IC!DB18</f>
        <v>2.6763065708466045</v>
      </c>
      <c r="DC18" s="7">
        <f>DB18+預測IC!DC18</f>
        <v>2.7127153523421108</v>
      </c>
      <c r="DD18" s="7">
        <f>DC18+預測IC!DD18</f>
        <v>2.6302529988466965</v>
      </c>
      <c r="DE18" s="7">
        <f>DD18+預測IC!DE18</f>
        <v>2.6794264437383375</v>
      </c>
      <c r="DF18" s="7">
        <f>DE18+預測IC!DF18</f>
        <v>2.6443836649559671</v>
      </c>
      <c r="DG18" s="7">
        <f>DF18+預測IC!DG18</f>
        <v>2.6367641917983393</v>
      </c>
      <c r="DH18" s="7">
        <f>DG18+預測IC!DH18</f>
        <v>2.6087261785496905</v>
      </c>
      <c r="DI18" s="7">
        <f>DH18+預測IC!DI18</f>
        <v>2.5926115493116635</v>
      </c>
      <c r="DJ18" s="7">
        <f>DI18+預測IC!DJ18</f>
        <v>2.5474075095263742</v>
      </c>
      <c r="DK18" s="7">
        <f>DJ18+預測IC!DK18</f>
        <v>2.7059211366188016</v>
      </c>
      <c r="DL18" s="7">
        <f>DK18+預測IC!DL18</f>
        <v>2.787318879535043</v>
      </c>
      <c r="DM18" s="7">
        <f>DL18+預測IC!DM18</f>
        <v>2.7208107388030047</v>
      </c>
      <c r="DN18" s="7">
        <f>DM18+預測IC!DN18</f>
        <v>2.7040886747249835</v>
      </c>
      <c r="DO18" s="7">
        <f>DN18+預測IC!DO18</f>
        <v>2.7461935822756138</v>
      </c>
      <c r="DP18" s="7">
        <f>DO18+預測IC!DP18</f>
        <v>2.7255888958087482</v>
      </c>
      <c r="DQ18" s="7">
        <f>DP18+預測IC!DQ18</f>
        <v>2.6248616175029165</v>
      </c>
      <c r="DR18" s="7">
        <f>DQ18+預測IC!DR18</f>
        <v>2.7017022722748774</v>
      </c>
      <c r="DS18" s="7">
        <f>DR18+預測IC!DS18</f>
        <v>2.5539802738231447</v>
      </c>
      <c r="DT18" s="7">
        <f>DS18+預測IC!DT18</f>
        <v>2.4379628837121676</v>
      </c>
      <c r="DU18" s="7">
        <f>DT18+預測IC!DU18</f>
        <v>2.3410676976352631</v>
      </c>
      <c r="DV18" s="7">
        <f>DU18+預測IC!DV18</f>
        <v>2.4467083064353252</v>
      </c>
      <c r="DW18" s="7">
        <f>DV18+預測IC!DW18</f>
        <v>2.5286169987196985</v>
      </c>
      <c r="DX18" s="7">
        <f>DW18+預測IC!DX18</f>
        <v>2.3750140212572166</v>
      </c>
      <c r="DY18" s="7">
        <f>DX18+預測IC!DY18</f>
        <v>2.4724420582331663</v>
      </c>
      <c r="DZ18" s="7">
        <f>DY18+預測IC!DZ18</f>
        <v>2.3969256989368009</v>
      </c>
      <c r="EA18" s="7">
        <f>DZ18+預測IC!EA18</f>
        <v>2.3905641361928192</v>
      </c>
      <c r="EB18" s="7">
        <f>EA18+預測IC!EB18</f>
        <v>2.4904105141711397</v>
      </c>
      <c r="EC18" s="7">
        <f>EB18+預測IC!EC18</f>
        <v>2.4931746295965111</v>
      </c>
      <c r="ED18" s="7">
        <f>EC18+預測IC!ED18</f>
        <v>2.3826966077307454</v>
      </c>
      <c r="EE18" s="7">
        <f>ED18+預測IC!EE18</f>
        <v>2.3688428537562385</v>
      </c>
      <c r="EF18" s="7">
        <f>EE18+預測IC!EF18</f>
        <v>2.417797870866655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0.60412097540112364</v>
      </c>
      <c r="E19" s="7">
        <f>D19+預測IC!E19</f>
        <v>0.54922288163371147</v>
      </c>
      <c r="F19" s="7">
        <f>E19+預測IC!F19</f>
        <v>0.78539334700944574</v>
      </c>
      <c r="G19" s="7">
        <f>F19+預測IC!G19</f>
        <v>0.68788125644784559</v>
      </c>
      <c r="H19" s="7">
        <f>G19+預測IC!H19</f>
        <v>0.86549157527049758</v>
      </c>
      <c r="I19" s="7">
        <f>H19+預測IC!I19</f>
        <v>0.91295498060689717</v>
      </c>
      <c r="J19" s="7">
        <f>I19+預測IC!J19</f>
        <v>0.75672462752069325</v>
      </c>
      <c r="K19" s="7">
        <f>J19+預測IC!K19</f>
        <v>0.33838677655105903</v>
      </c>
      <c r="L19" s="7">
        <f>K19+預測IC!L19</f>
        <v>0.38143573418622506</v>
      </c>
      <c r="M19" s="7">
        <f>L19+預測IC!M19</f>
        <v>0.11989389187123828</v>
      </c>
      <c r="N19" s="7">
        <f>M19+預測IC!N19</f>
        <v>0.65226792955947954</v>
      </c>
      <c r="O19" s="7">
        <f>N19+預測IC!O19</f>
        <v>0.63247049555809465</v>
      </c>
      <c r="P19" s="7">
        <f>O19+預測IC!P19</f>
        <v>0.65525570867018801</v>
      </c>
      <c r="Q19" s="7">
        <f>P19+預測IC!Q19</f>
        <v>0.82571800075020607</v>
      </c>
      <c r="R19" s="7">
        <f>Q19+預測IC!R19</f>
        <v>0.86766063019942208</v>
      </c>
      <c r="S19" s="7">
        <f>R19+預測IC!S19</f>
        <v>0.78896436888626131</v>
      </c>
      <c r="T19" s="7">
        <f>S19+預測IC!T19</f>
        <v>0.6794385073503395</v>
      </c>
      <c r="U19" s="7">
        <f>T19+預測IC!U19</f>
        <v>0.72362536534866451</v>
      </c>
      <c r="V19" s="7">
        <f>U19+預測IC!V19</f>
        <v>0.60494090682974344</v>
      </c>
      <c r="W19" s="7">
        <f>V19+預測IC!W19</f>
        <v>0.67735647614924244</v>
      </c>
      <c r="X19" s="7">
        <f>W19+預測IC!X19</f>
        <v>0.80027962239495942</v>
      </c>
      <c r="Y19" s="7">
        <f>X19+預測IC!Y19</f>
        <v>0.82434392774001719</v>
      </c>
      <c r="Z19" s="7">
        <f>Y19+預測IC!Z19</f>
        <v>0.80212068844111484</v>
      </c>
      <c r="AA19" s="7">
        <f>Z19+預測IC!AA19</f>
        <v>0.76055050390295909</v>
      </c>
      <c r="AB19" s="7">
        <f>AA19+預測IC!AB19</f>
        <v>0.69978815243640535</v>
      </c>
      <c r="AC19" s="7">
        <f>AB19+預測IC!AC19</f>
        <v>0.61627528554352673</v>
      </c>
      <c r="AD19" s="7">
        <f>AC19+預測IC!AD19</f>
        <v>0.58118635695557641</v>
      </c>
      <c r="AE19" s="7">
        <f>AD19+預測IC!AE19</f>
        <v>0.69641822691864319</v>
      </c>
      <c r="AF19" s="7">
        <f>AE19+預測IC!AF19</f>
        <v>0.65763256010974347</v>
      </c>
      <c r="AG19" s="7">
        <f>AF19+預測IC!AG19</f>
        <v>0.67693010533377829</v>
      </c>
      <c r="AH19" s="7">
        <f>AG19+預測IC!AH19</f>
        <v>0.73348782055548178</v>
      </c>
      <c r="AI19" s="7">
        <f>AH19+預測IC!AI19</f>
        <v>0.82503648348015624</v>
      </c>
      <c r="AJ19" s="7">
        <f>AI19+預測IC!AJ19</f>
        <v>0.8372036750561368</v>
      </c>
      <c r="AK19" s="7">
        <f>AJ19+預測IC!AK19</f>
        <v>0.8862624596900277</v>
      </c>
      <c r="AL19" s="7">
        <f>AK19+預測IC!AL19</f>
        <v>0.9565334053608332</v>
      </c>
      <c r="AM19" s="7">
        <f>AL19+預測IC!AM19</f>
        <v>0.99963941717223814</v>
      </c>
      <c r="AN19" s="7">
        <f>AM19+預測IC!AN19</f>
        <v>1.0832077115379202</v>
      </c>
      <c r="AO19" s="7">
        <f>AN19+預測IC!AO19</f>
        <v>1.1091006145833346</v>
      </c>
      <c r="AP19" s="7">
        <f>AO19+預測IC!AP19</f>
        <v>1.1188127355249347</v>
      </c>
      <c r="AQ19" s="7">
        <f>AP19+預測IC!AQ19</f>
        <v>1.030559978464284</v>
      </c>
      <c r="AR19" s="7">
        <f>AQ19+預測IC!AR19</f>
        <v>1.1840775407771416</v>
      </c>
      <c r="AS19" s="7">
        <f>AR19+預測IC!AS19</f>
        <v>1.281874496045456</v>
      </c>
      <c r="AT19" s="7">
        <f>AS19+預測IC!AT19</f>
        <v>1.3311694778111574</v>
      </c>
      <c r="AU19" s="7">
        <f>AT19+預測IC!AU19</f>
        <v>1.4075981935248114</v>
      </c>
      <c r="AV19" s="7">
        <f>AU19+預測IC!AV19</f>
        <v>1.3575651728278335</v>
      </c>
      <c r="AW19" s="7">
        <f>AV19+預測IC!AW19</f>
        <v>1.3799213409819699</v>
      </c>
      <c r="AX19" s="7">
        <f>AW19+預測IC!AX19</f>
        <v>1.4439834512127641</v>
      </c>
      <c r="AY19" s="7">
        <f>AX19+預測IC!AY19</f>
        <v>1.4735124216061439</v>
      </c>
      <c r="AZ19" s="7">
        <f>AY19+預測IC!AZ19</f>
        <v>1.2866328034379697</v>
      </c>
      <c r="BA19" s="7">
        <f>AZ19+預測IC!BA19</f>
        <v>1.2522689194838967</v>
      </c>
      <c r="BB19" s="7">
        <f>BA19+預測IC!BB19</f>
        <v>1.4120151185563283</v>
      </c>
      <c r="BC19" s="7">
        <f>BB19+預測IC!BC19</f>
        <v>1.4760706049025141</v>
      </c>
      <c r="BD19" s="7">
        <f>BC19+預測IC!BD19</f>
        <v>1.4728362122724459</v>
      </c>
      <c r="BE19" s="7">
        <f>BD19+預測IC!BE19</f>
        <v>1.5239680862361125</v>
      </c>
      <c r="BF19" s="7">
        <f>BE19+預測IC!BF19</f>
        <v>1.537539060385251</v>
      </c>
      <c r="BG19" s="7">
        <f>BF19+預測IC!BG19</f>
        <v>1.5211954020524088</v>
      </c>
      <c r="BH19" s="7">
        <f>BG19+預測IC!BH19</f>
        <v>1.5232136037538397</v>
      </c>
      <c r="BI19" s="7">
        <f>BH19+預測IC!BI19</f>
        <v>1.6510122325730585</v>
      </c>
      <c r="BJ19" s="7">
        <f>BI19+預測IC!BJ19</f>
        <v>1.6727195341116377</v>
      </c>
      <c r="BK19" s="7">
        <f>BJ19+預測IC!BK19</f>
        <v>1.6209700080196452</v>
      </c>
      <c r="BL19" s="7">
        <f>BK19+預測IC!BL19</f>
        <v>1.7009346661661482</v>
      </c>
      <c r="BM19" s="7">
        <f>BL19+預測IC!BM19</f>
        <v>1.8151852664248438</v>
      </c>
      <c r="BN19" s="7">
        <f>BM19+預測IC!BN19</f>
        <v>1.8824379138921157</v>
      </c>
      <c r="BO19" s="7">
        <f>BN19+預測IC!BO19</f>
        <v>1.9081668751572312</v>
      </c>
      <c r="BP19" s="7">
        <f>BO19+預測IC!BP19</f>
        <v>1.9709856826913632</v>
      </c>
      <c r="BQ19" s="7">
        <f>BP19+預測IC!BQ19</f>
        <v>1.9809197271456862</v>
      </c>
      <c r="BR19" s="7">
        <f>BQ19+預測IC!BR19</f>
        <v>1.9875949731692062</v>
      </c>
      <c r="BS19" s="7">
        <f>BR19+預測IC!BS19</f>
        <v>1.9633386344247241</v>
      </c>
      <c r="BT19" s="7">
        <f>BS19+預測IC!BT19</f>
        <v>2.1049713142782975</v>
      </c>
      <c r="BU19" s="7">
        <f>BT19+預測IC!BU19</f>
        <v>2.1809075655125354</v>
      </c>
      <c r="BV19" s="7">
        <f>BU19+預測IC!BV19</f>
        <v>2.2745628066658816</v>
      </c>
      <c r="BW19" s="7">
        <f>BV19+預測IC!BW19</f>
        <v>2.1655958452822368</v>
      </c>
      <c r="BX19" s="7">
        <f>BW19+預測IC!BX19</f>
        <v>2.199683630554095</v>
      </c>
      <c r="BY19" s="7">
        <f>BX19+預測IC!BY19</f>
        <v>2.0920338939984466</v>
      </c>
      <c r="BZ19" s="7">
        <f>BY19+預測IC!BZ19</f>
        <v>2.1607360188205007</v>
      </c>
      <c r="CA19" s="7">
        <f>BZ19+預測IC!CA19</f>
        <v>2.1963458141098995</v>
      </c>
      <c r="CB19" s="7">
        <f>CA19+預測IC!CB19</f>
        <v>2.1483046456016548</v>
      </c>
      <c r="CC19" s="7">
        <f>CB19+預測IC!CC19</f>
        <v>2.1235813928358271</v>
      </c>
      <c r="CD19" s="7">
        <f>CC19+預測IC!CD19</f>
        <v>2.3392005909295452</v>
      </c>
      <c r="CE19" s="7">
        <f>CD19+預測IC!CE19</f>
        <v>2.140934761752586</v>
      </c>
      <c r="CF19" s="7">
        <f>CE19+預測IC!CF19</f>
        <v>2.2208391589586354</v>
      </c>
      <c r="CG19" s="7">
        <f>CF19+預測IC!CG19</f>
        <v>2.1702056289439819</v>
      </c>
      <c r="CH19" s="7">
        <f>CG19+預測IC!CH19</f>
        <v>2.3230954959939081</v>
      </c>
      <c r="CI19" s="7">
        <f>CH19+預測IC!CI19</f>
        <v>2.2860285498337127</v>
      </c>
      <c r="CJ19" s="7">
        <f>CI19+預測IC!CJ19</f>
        <v>2.2240880498676767</v>
      </c>
      <c r="CK19" s="7">
        <f>CJ19+預測IC!CK19</f>
        <v>2.3280557676847748</v>
      </c>
      <c r="CL19" s="7">
        <f>CK19+預測IC!CL19</f>
        <v>2.2848154877099849</v>
      </c>
      <c r="CM19" s="7">
        <f>CL19+預測IC!CM19</f>
        <v>2.4601631292916997</v>
      </c>
      <c r="CN19" s="7">
        <f>CM19+預測IC!CN19</f>
        <v>2.3832304746243964</v>
      </c>
      <c r="CO19" s="7">
        <f>CN19+預測IC!CO19</f>
        <v>2.11077606999589</v>
      </c>
      <c r="CP19" s="7">
        <f>CO19+預測IC!CP19</f>
        <v>2.2698086689782229</v>
      </c>
      <c r="CQ19" s="7">
        <f>CP19+預測IC!CQ19</f>
        <v>2.2670787608236611</v>
      </c>
      <c r="CR19" s="7">
        <f>CQ19+預測IC!CR19</f>
        <v>2.3167729503760639</v>
      </c>
      <c r="CS19" s="7">
        <f>CR19+預測IC!CS19</f>
        <v>2.3774738012746019</v>
      </c>
      <c r="CT19" s="7">
        <f>CS19+預測IC!CT19</f>
        <v>2.5000942279046328</v>
      </c>
      <c r="CU19" s="7">
        <f>CT19+預測IC!CU19</f>
        <v>2.4166578307907396</v>
      </c>
      <c r="CV19" s="7">
        <f>CU19+預測IC!CV19</f>
        <v>2.5186376923071432</v>
      </c>
      <c r="CW19" s="7">
        <f>CV19+預測IC!CW19</f>
        <v>2.4967358845252448</v>
      </c>
      <c r="CX19" s="7">
        <f>CW19+預測IC!CX19</f>
        <v>2.5543706108934296</v>
      </c>
      <c r="CY19" s="7">
        <f>CX19+預測IC!CY19</f>
        <v>2.48344874132906</v>
      </c>
      <c r="CZ19" s="7">
        <f>CY19+預測IC!CZ19</f>
        <v>2.5963005699705239</v>
      </c>
      <c r="DA19" s="7">
        <f>CZ19+預測IC!DA19</f>
        <v>2.5380766932672874</v>
      </c>
      <c r="DB19" s="7">
        <f>DA19+預測IC!DB19</f>
        <v>2.5023557942420718</v>
      </c>
      <c r="DC19" s="7">
        <f>DB19+預測IC!DC19</f>
        <v>2.4671763943399778</v>
      </c>
      <c r="DD19" s="7">
        <f>DC19+預測IC!DD19</f>
        <v>2.3609190583851771</v>
      </c>
      <c r="DE19" s="7">
        <f>DD19+預測IC!DE19</f>
        <v>2.4149440137677867</v>
      </c>
      <c r="DF19" s="7">
        <f>DE19+預測IC!DF19</f>
        <v>2.3452509668747639</v>
      </c>
      <c r="DG19" s="7">
        <f>DF19+預測IC!DG19</f>
        <v>2.3325044919641149</v>
      </c>
      <c r="DH19" s="7">
        <f>DG19+預測IC!DH19</f>
        <v>2.3323475088347103</v>
      </c>
      <c r="DI19" s="7">
        <f>DH19+預測IC!DI19</f>
        <v>2.3360139332771315</v>
      </c>
      <c r="DJ19" s="7">
        <f>DI19+預測IC!DJ19</f>
        <v>2.2874995825541546</v>
      </c>
      <c r="DK19" s="7">
        <f>DJ19+預測IC!DK19</f>
        <v>2.4116441703383624</v>
      </c>
      <c r="DL19" s="7">
        <f>DK19+預測IC!DL19</f>
        <v>2.4818115781382319</v>
      </c>
      <c r="DM19" s="7">
        <f>DL19+預測IC!DM19</f>
        <v>2.3998593231042378</v>
      </c>
      <c r="DN19" s="7">
        <f>DM19+預測IC!DN19</f>
        <v>2.4023344462018761</v>
      </c>
      <c r="DO19" s="7">
        <f>DN19+預測IC!DO19</f>
        <v>2.4574610096018201</v>
      </c>
      <c r="DP19" s="7">
        <f>DO19+預測IC!DP19</f>
        <v>2.4852990240848141</v>
      </c>
      <c r="DQ19" s="7">
        <f>DP19+預測IC!DQ19</f>
        <v>2.3648096447241791</v>
      </c>
      <c r="DR19" s="7">
        <f>DQ19+預測IC!DR19</f>
        <v>2.4407719980492271</v>
      </c>
      <c r="DS19" s="7">
        <f>DR19+預測IC!DS19</f>
        <v>2.2627764510952568</v>
      </c>
      <c r="DT19" s="7">
        <f>DS19+預測IC!DT19</f>
        <v>2.1296479504759076</v>
      </c>
      <c r="DU19" s="7">
        <f>DT19+預測IC!DU19</f>
        <v>1.9868172524214673</v>
      </c>
      <c r="DV19" s="7">
        <f>DU19+預測IC!DV19</f>
        <v>2.098341958862072</v>
      </c>
      <c r="DW19" s="7">
        <f>DV19+預測IC!DW19</f>
        <v>2.1589510982027562</v>
      </c>
      <c r="DX19" s="7">
        <f>DW19+預測IC!DX19</f>
        <v>2.0205859639645785</v>
      </c>
      <c r="DY19" s="7">
        <f>DX19+預測IC!DY19</f>
        <v>2.0906955416525017</v>
      </c>
      <c r="DZ19" s="7">
        <f>DY19+預測IC!DZ19</f>
        <v>1.9787747127885087</v>
      </c>
      <c r="EA19" s="7">
        <f>DZ19+預測IC!EA19</f>
        <v>1.9506953593128413</v>
      </c>
      <c r="EB19" s="7">
        <f>EA19+預測IC!EB19</f>
        <v>1.9724681293256199</v>
      </c>
      <c r="EC19" s="7">
        <f>EB19+預測IC!EC19</f>
        <v>1.9602780861019178</v>
      </c>
      <c r="ED19" s="7">
        <f>EC19+預測IC!ED19</f>
        <v>1.809342769111761</v>
      </c>
      <c r="EE19" s="7">
        <f>ED19+預測IC!EE19</f>
        <v>1.8219768120521833</v>
      </c>
      <c r="EF19" s="7">
        <f>EE19+預測IC!EF19</f>
        <v>1.8389547669269524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0.58357606791126559</v>
      </c>
      <c r="E20" s="7">
        <f>D20+預測IC!E20</f>
        <v>0.59907605605559955</v>
      </c>
      <c r="F20" s="7">
        <f>E20+預測IC!F20</f>
        <v>0.78149567474874071</v>
      </c>
      <c r="G20" s="7">
        <f>F20+預測IC!G20</f>
        <v>0.68112976282987681</v>
      </c>
      <c r="H20" s="7">
        <f>G20+預測IC!H20</f>
        <v>0.82506204508555214</v>
      </c>
      <c r="I20" s="7">
        <f>H20+預測IC!I20</f>
        <v>0.85299758672995507</v>
      </c>
      <c r="J20" s="7">
        <f>I20+預測IC!J20</f>
        <v>0.7197902936529279</v>
      </c>
      <c r="K20" s="7">
        <f>J20+預測IC!K20</f>
        <v>0.62968163953025391</v>
      </c>
      <c r="L20" s="7">
        <f>K20+預測IC!L20</f>
        <v>0.72539027503478959</v>
      </c>
      <c r="M20" s="7">
        <f>L20+預測IC!M20</f>
        <v>0.45669644989681329</v>
      </c>
      <c r="N20" s="7">
        <f>M20+預測IC!N20</f>
        <v>0.95670792790628734</v>
      </c>
      <c r="O20" s="7">
        <f>N20+預測IC!O20</f>
        <v>0.84659340280298012</v>
      </c>
      <c r="P20" s="7">
        <f>O20+預測IC!P20</f>
        <v>0.88662189755475018</v>
      </c>
      <c r="Q20" s="7">
        <f>P20+預測IC!Q20</f>
        <v>1.1114467085471453</v>
      </c>
      <c r="R20" s="7">
        <f>Q20+預測IC!R20</f>
        <v>1.1779163416360019</v>
      </c>
      <c r="S20" s="7">
        <f>R20+預測IC!S20</f>
        <v>1.1205752590632008</v>
      </c>
      <c r="T20" s="7">
        <f>S20+預測IC!T20</f>
        <v>1.019729726019728</v>
      </c>
      <c r="U20" s="7">
        <f>T20+預測IC!U20</f>
        <v>1.0519673844392352</v>
      </c>
      <c r="V20" s="7">
        <f>U20+預測IC!V20</f>
        <v>0.9156793210716585</v>
      </c>
      <c r="W20" s="7">
        <f>V20+預測IC!W20</f>
        <v>1.0067641905042033</v>
      </c>
      <c r="X20" s="7">
        <f>W20+預測IC!X20</f>
        <v>1.156806502131742</v>
      </c>
      <c r="Y20" s="7">
        <f>X20+預測IC!Y20</f>
        <v>1.1519507442714263</v>
      </c>
      <c r="Z20" s="7">
        <f>Y20+預測IC!Z20</f>
        <v>1.1811080943257728</v>
      </c>
      <c r="AA20" s="7">
        <f>Z20+預測IC!AA20</f>
        <v>1.1595135409384756</v>
      </c>
      <c r="AB20" s="7">
        <f>AA20+預測IC!AB20</f>
        <v>1.0990899166504455</v>
      </c>
      <c r="AC20" s="7">
        <f>AB20+預測IC!AC20</f>
        <v>1.0027808738251465</v>
      </c>
      <c r="AD20" s="7">
        <f>AC20+預測IC!AD20</f>
        <v>0.96832697097331677</v>
      </c>
      <c r="AE20" s="7">
        <f>AD20+預測IC!AE20</f>
        <v>0.98563812060035416</v>
      </c>
      <c r="AF20" s="7">
        <f>AE20+預測IC!AF20</f>
        <v>0.94659344221277419</v>
      </c>
      <c r="AG20" s="7">
        <f>AF20+預測IC!AG20</f>
        <v>0.94035170184062622</v>
      </c>
      <c r="AH20" s="7">
        <f>AG20+預測IC!AH20</f>
        <v>1.0305299025554089</v>
      </c>
      <c r="AI20" s="7">
        <f>AH20+預測IC!AI20</f>
        <v>1.1468666576107325</v>
      </c>
      <c r="AJ20" s="7">
        <f>AI20+預測IC!AJ20</f>
        <v>1.1641083733268338</v>
      </c>
      <c r="AK20" s="7">
        <f>AJ20+預測IC!AK20</f>
        <v>1.231074734469479</v>
      </c>
      <c r="AL20" s="7">
        <f>AK20+預測IC!AL20</f>
        <v>1.3039681865064559</v>
      </c>
      <c r="AM20" s="7">
        <f>AL20+預測IC!AM20</f>
        <v>1.3370641672552586</v>
      </c>
      <c r="AN20" s="7">
        <f>AM20+預測IC!AN20</f>
        <v>1.4125343607742569</v>
      </c>
      <c r="AO20" s="7">
        <f>AN20+預測IC!AO20</f>
        <v>1.4578194427389453</v>
      </c>
      <c r="AP20" s="7">
        <f>AO20+預測IC!AP20</f>
        <v>1.4704239587021117</v>
      </c>
      <c r="AQ20" s="7">
        <f>AP20+預測IC!AQ20</f>
        <v>1.4978764440350627</v>
      </c>
      <c r="AR20" s="7">
        <f>AQ20+預測IC!AR20</f>
        <v>1.667925448713987</v>
      </c>
      <c r="AS20" s="7">
        <f>AR20+預測IC!AS20</f>
        <v>1.780021258396804</v>
      </c>
      <c r="AT20" s="7">
        <f>AS20+預測IC!AT20</f>
        <v>1.7858800321570099</v>
      </c>
      <c r="AU20" s="7">
        <f>AT20+預測IC!AU20</f>
        <v>1.8615724190521357</v>
      </c>
      <c r="AV20" s="7">
        <f>AU20+預測IC!AV20</f>
        <v>1.8069467052696575</v>
      </c>
      <c r="AW20" s="7">
        <f>AV20+預測IC!AW20</f>
        <v>1.8138119734488085</v>
      </c>
      <c r="AX20" s="7">
        <f>AW20+預測IC!AX20</f>
        <v>1.8996981486364191</v>
      </c>
      <c r="AY20" s="7">
        <f>AX20+預測IC!AY20</f>
        <v>1.9383728470793284</v>
      </c>
      <c r="AZ20" s="7">
        <f>AY20+預測IC!AZ20</f>
        <v>1.7245704159022397</v>
      </c>
      <c r="BA20" s="7">
        <f>AZ20+預測IC!BA20</f>
        <v>1.6877715510416993</v>
      </c>
      <c r="BB20" s="7">
        <f>BA20+預測IC!BB20</f>
        <v>1.8554269744182685</v>
      </c>
      <c r="BC20" s="7">
        <f>BB20+預測IC!BC20</f>
        <v>1.9260325420960087</v>
      </c>
      <c r="BD20" s="7">
        <f>BC20+預測IC!BD20</f>
        <v>1.8726027288744114</v>
      </c>
      <c r="BE20" s="7">
        <f>BD20+預測IC!BE20</f>
        <v>1.866655931735151</v>
      </c>
      <c r="BF20" s="7">
        <f>BE20+預測IC!BF20</f>
        <v>1.8723445140664796</v>
      </c>
      <c r="BG20" s="7">
        <f>BF20+預測IC!BG20</f>
        <v>1.8654183713577863</v>
      </c>
      <c r="BH20" s="7">
        <f>BG20+預測IC!BH20</f>
        <v>1.7938119242436754</v>
      </c>
      <c r="BI20" s="7">
        <f>BH20+預測IC!BI20</f>
        <v>1.9255571913288503</v>
      </c>
      <c r="BJ20" s="7">
        <f>BI20+預測IC!BJ20</f>
        <v>1.9471867031620369</v>
      </c>
      <c r="BK20" s="7">
        <f>BJ20+預測IC!BK20</f>
        <v>1.8879535353192096</v>
      </c>
      <c r="BL20" s="7">
        <f>BK20+預測IC!BL20</f>
        <v>1.9742457664956643</v>
      </c>
      <c r="BM20" s="7">
        <f>BL20+預測IC!BM20</f>
        <v>2.1111634278241027</v>
      </c>
      <c r="BN20" s="7">
        <f>BM20+預測IC!BN20</f>
        <v>2.229720669269474</v>
      </c>
      <c r="BO20" s="7">
        <f>BN20+預測IC!BO20</f>
        <v>2.1912589517534946</v>
      </c>
      <c r="BP20" s="7">
        <f>BO20+預測IC!BP20</f>
        <v>2.2516664725164497</v>
      </c>
      <c r="BQ20" s="7">
        <f>BP20+預測IC!BQ20</f>
        <v>2.2671181794772925</v>
      </c>
      <c r="BR20" s="7">
        <f>BQ20+預測IC!BR20</f>
        <v>2.2791918112077649</v>
      </c>
      <c r="BS20" s="7">
        <f>BR20+預測IC!BS20</f>
        <v>2.2845993173989561</v>
      </c>
      <c r="BT20" s="7">
        <f>BS20+預測IC!BT20</f>
        <v>2.4324023505776031</v>
      </c>
      <c r="BU20" s="7">
        <f>BT20+預測IC!BU20</f>
        <v>2.5311572999453098</v>
      </c>
      <c r="BV20" s="7">
        <f>BU20+預測IC!BV20</f>
        <v>2.6470756315083817</v>
      </c>
      <c r="BW20" s="7">
        <f>BV20+預測IC!BW20</f>
        <v>2.5115723796959055</v>
      </c>
      <c r="BX20" s="7">
        <f>BW20+預測IC!BX20</f>
        <v>2.5422660163791497</v>
      </c>
      <c r="BY20" s="7">
        <f>BX20+預測IC!BY20</f>
        <v>2.4370320500098464</v>
      </c>
      <c r="BZ20" s="7">
        <f>BY20+預測IC!BZ20</f>
        <v>2.5273034542701298</v>
      </c>
      <c r="CA20" s="7">
        <f>BZ20+預測IC!CA20</f>
        <v>2.5775202803612038</v>
      </c>
      <c r="CB20" s="7">
        <f>CA20+預測IC!CB20</f>
        <v>2.5392683303502759</v>
      </c>
      <c r="CC20" s="7">
        <f>CB20+預測IC!CC20</f>
        <v>2.5132252965672106</v>
      </c>
      <c r="CD20" s="7">
        <f>CC20+預測IC!CD20</f>
        <v>2.6942527940578076</v>
      </c>
      <c r="CE20" s="7">
        <f>CD20+預測IC!CE20</f>
        <v>2.4502889985880745</v>
      </c>
      <c r="CF20" s="7">
        <f>CE20+預測IC!CF20</f>
        <v>2.5312469357867511</v>
      </c>
      <c r="CG20" s="7">
        <f>CF20+預測IC!CG20</f>
        <v>2.4321940472566621</v>
      </c>
      <c r="CH20" s="7">
        <f>CG20+預測IC!CH20</f>
        <v>2.5040580728538004</v>
      </c>
      <c r="CI20" s="7">
        <f>CH20+預測IC!CI20</f>
        <v>2.4736633990847183</v>
      </c>
      <c r="CJ20" s="7">
        <f>CI20+預測IC!CJ20</f>
        <v>2.3502230791973675</v>
      </c>
      <c r="CK20" s="7">
        <f>CJ20+預測IC!CK20</f>
        <v>2.4412014759474743</v>
      </c>
      <c r="CL20" s="7">
        <f>CK20+預測IC!CL20</f>
        <v>2.3490165417583455</v>
      </c>
      <c r="CM20" s="7">
        <f>CL20+預測IC!CM20</f>
        <v>2.5380677069289663</v>
      </c>
      <c r="CN20" s="7">
        <f>CM20+預測IC!CN20</f>
        <v>2.5602271182994509</v>
      </c>
      <c r="CO20" s="7">
        <f>CN20+預測IC!CO20</f>
        <v>2.1442557831304385</v>
      </c>
      <c r="CP20" s="7">
        <f>CO20+預測IC!CP20</f>
        <v>2.3362869882394657</v>
      </c>
      <c r="CQ20" s="7">
        <f>CP20+預測IC!CQ20</f>
        <v>2.3423983461685278</v>
      </c>
      <c r="CR20" s="7">
        <f>CQ20+預測IC!CR20</f>
        <v>2.4155145906743782</v>
      </c>
      <c r="CS20" s="7">
        <f>CR20+預測IC!CS20</f>
        <v>2.5038788676866397</v>
      </c>
      <c r="CT20" s="7">
        <f>CS20+預測IC!CT20</f>
        <v>2.594352905100906</v>
      </c>
      <c r="CU20" s="7">
        <f>CT20+預測IC!CU20</f>
        <v>2.4994852468343938</v>
      </c>
      <c r="CV20" s="7">
        <f>CU20+預測IC!CV20</f>
        <v>2.5919963225298197</v>
      </c>
      <c r="CW20" s="7">
        <f>CV20+預測IC!CW20</f>
        <v>2.6019493854511024</v>
      </c>
      <c r="CX20" s="7">
        <f>CW20+預測IC!CX20</f>
        <v>2.6922479363188669</v>
      </c>
      <c r="CY20" s="7">
        <f>CX20+預測IC!CY20</f>
        <v>2.6797682036505699</v>
      </c>
      <c r="CZ20" s="7">
        <f>CY20+預測IC!CZ20</f>
        <v>2.8349298487997681</v>
      </c>
      <c r="DA20" s="7">
        <f>CZ20+預測IC!DA20</f>
        <v>2.7874579556445904</v>
      </c>
      <c r="DB20" s="7">
        <f>DA20+預測IC!DB20</f>
        <v>2.7305552458874565</v>
      </c>
      <c r="DC20" s="7">
        <f>DB20+預測IC!DC20</f>
        <v>2.6809421766519006</v>
      </c>
      <c r="DD20" s="7">
        <f>DC20+預測IC!DD20</f>
        <v>2.5328333623130779</v>
      </c>
      <c r="DE20" s="7">
        <f>DD20+預測IC!DE20</f>
        <v>2.5060834983921492</v>
      </c>
      <c r="DF20" s="7">
        <f>DE20+預測IC!DF20</f>
        <v>2.5069426199245699</v>
      </c>
      <c r="DG20" s="7">
        <f>DF20+預測IC!DG20</f>
        <v>2.5027404093041992</v>
      </c>
      <c r="DH20" s="7">
        <f>DG20+預測IC!DH20</f>
        <v>2.4917649975616722</v>
      </c>
      <c r="DI20" s="7">
        <f>DH20+預測IC!DI20</f>
        <v>2.4688882657766196</v>
      </c>
      <c r="DJ20" s="7">
        <f>DI20+預測IC!DJ20</f>
        <v>2.429428319507732</v>
      </c>
      <c r="DK20" s="7">
        <f>DJ20+預測IC!DK20</f>
        <v>2.5143823009537867</v>
      </c>
      <c r="DL20" s="7">
        <f>DK20+預測IC!DL20</f>
        <v>2.5902089371323291</v>
      </c>
      <c r="DM20" s="7">
        <f>DL20+預測IC!DM20</f>
        <v>2.599492587411766</v>
      </c>
      <c r="DN20" s="7">
        <f>DM20+預測IC!DN20</f>
        <v>2.6575117940659654</v>
      </c>
      <c r="DO20" s="7">
        <f>DN20+預測IC!DO20</f>
        <v>2.7233275959039358</v>
      </c>
      <c r="DP20" s="7">
        <f>DO20+預測IC!DP20</f>
        <v>2.7331581272948231</v>
      </c>
      <c r="DQ20" s="7">
        <f>DP20+預測IC!DQ20</f>
        <v>2.5459508095602823</v>
      </c>
      <c r="DR20" s="7">
        <f>DQ20+預測IC!DR20</f>
        <v>2.6244634695885729</v>
      </c>
      <c r="DS20" s="7">
        <f>DR20+預測IC!DS20</f>
        <v>2.4183823720102184</v>
      </c>
      <c r="DT20" s="7">
        <f>DS20+預測IC!DT20</f>
        <v>2.28494638738808</v>
      </c>
      <c r="DU20" s="7">
        <f>DT20+預測IC!DU20</f>
        <v>2.1128772801822104</v>
      </c>
      <c r="DV20" s="7">
        <f>DU20+預測IC!DV20</f>
        <v>2.2422227520210694</v>
      </c>
      <c r="DW20" s="7">
        <f>DV20+預測IC!DW20</f>
        <v>2.311282955979109</v>
      </c>
      <c r="DX20" s="7">
        <f>DW20+預測IC!DX20</f>
        <v>2.1574166263727945</v>
      </c>
      <c r="DY20" s="7">
        <f>DX20+預測IC!DY20</f>
        <v>2.2110352357244434</v>
      </c>
      <c r="DZ20" s="7">
        <f>DY20+預測IC!DZ20</f>
        <v>2.1265606574147511</v>
      </c>
      <c r="EA20" s="7">
        <f>DZ20+預測IC!EA20</f>
        <v>2.1414776828423747</v>
      </c>
      <c r="EB20" s="7">
        <f>EA20+預測IC!EB20</f>
        <v>2.1805453161933399</v>
      </c>
      <c r="EC20" s="7">
        <f>EB20+預測IC!EC20</f>
        <v>2.2145948976072818</v>
      </c>
      <c r="ED20" s="7">
        <f>EC20+預測IC!ED20</f>
        <v>2.0376760365402715</v>
      </c>
      <c r="EE20" s="7">
        <f>ED20+預測IC!EE20</f>
        <v>2.0400432674676536</v>
      </c>
      <c r="EF20" s="7">
        <f>EE20+預測IC!EF20</f>
        <v>2.060324684083561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0.34101749657377678</v>
      </c>
      <c r="E21" s="7">
        <f>D21+預測IC!E21</f>
        <v>0.34073814430298494</v>
      </c>
      <c r="F21" s="7">
        <f>E21+預測IC!F21</f>
        <v>0.54415164186231235</v>
      </c>
      <c r="G21" s="7">
        <f>F21+預測IC!G21</f>
        <v>0.5368555038344609</v>
      </c>
      <c r="H21" s="7">
        <f>G21+預測IC!H21</f>
        <v>0.69901959162829885</v>
      </c>
      <c r="I21" s="7">
        <f>H21+預測IC!I21</f>
        <v>0.71313087010928078</v>
      </c>
      <c r="J21" s="7">
        <f>I21+預測IC!J21</f>
        <v>0.57638795476942417</v>
      </c>
      <c r="K21" s="7">
        <f>J21+預測IC!K21</f>
        <v>0.48741493741540209</v>
      </c>
      <c r="L21" s="7">
        <f>K21+預測IC!L21</f>
        <v>0.59709454486963198</v>
      </c>
      <c r="M21" s="7">
        <f>L21+預測IC!M21</f>
        <v>0.3972095701791164</v>
      </c>
      <c r="N21" s="7">
        <f>M21+預測IC!N21</f>
        <v>0.98210083479984167</v>
      </c>
      <c r="O21" s="7">
        <f>N21+預測IC!O21</f>
        <v>0.84282334135285253</v>
      </c>
      <c r="P21" s="7">
        <f>O21+預測IC!P21</f>
        <v>0.88825053437035562</v>
      </c>
      <c r="Q21" s="7">
        <f>P21+預測IC!Q21</f>
        <v>1.1623339796410452</v>
      </c>
      <c r="R21" s="7">
        <f>Q21+預測IC!R21</f>
        <v>1.2472392108343859</v>
      </c>
      <c r="S21" s="7">
        <f>R21+預測IC!S21</f>
        <v>1.210675919177689</v>
      </c>
      <c r="T21" s="7">
        <f>S21+預測IC!T21</f>
        <v>1.0795555582392617</v>
      </c>
      <c r="U21" s="7">
        <f>T21+預測IC!U21</f>
        <v>1.0697309175048648</v>
      </c>
      <c r="V21" s="7">
        <f>U21+預測IC!V21</f>
        <v>0.93798042885236244</v>
      </c>
      <c r="W21" s="7">
        <f>V21+預測IC!W21</f>
        <v>1.0624790476808705</v>
      </c>
      <c r="X21" s="7">
        <f>W21+預測IC!X21</f>
        <v>1.2702803150342084</v>
      </c>
      <c r="Y21" s="7">
        <f>X21+預測IC!Y21</f>
        <v>1.2601366546610058</v>
      </c>
      <c r="Z21" s="7">
        <f>Y21+預測IC!Z21</f>
        <v>1.2995943703409629</v>
      </c>
      <c r="AA21" s="7">
        <f>Z21+預測IC!AA21</f>
        <v>1.3190854138810568</v>
      </c>
      <c r="AB21" s="7">
        <f>AA21+預測IC!AB21</f>
        <v>1.253797818850191</v>
      </c>
      <c r="AC21" s="7">
        <f>AB21+預測IC!AC21</f>
        <v>1.0942555463859893</v>
      </c>
      <c r="AD21" s="7">
        <f>AC21+預測IC!AD21</f>
        <v>1.0475581218332437</v>
      </c>
      <c r="AE21" s="7">
        <f>AD21+預測IC!AE21</f>
        <v>1.0578697325273037</v>
      </c>
      <c r="AF21" s="7">
        <f>AE21+預測IC!AF21</f>
        <v>1.0047441226407408</v>
      </c>
      <c r="AG21" s="7">
        <f>AF21+預測IC!AG21</f>
        <v>0.9941733696007824</v>
      </c>
      <c r="AH21" s="7">
        <f>AG21+預測IC!AH21</f>
        <v>1.1017547321655807</v>
      </c>
      <c r="AI21" s="7">
        <f>AH21+預測IC!AI21</f>
        <v>1.2038784076770646</v>
      </c>
      <c r="AJ21" s="7">
        <f>AI21+預測IC!AJ21</f>
        <v>1.2090643333227655</v>
      </c>
      <c r="AK21" s="7">
        <f>AJ21+預測IC!AK21</f>
        <v>1.314052943475059</v>
      </c>
      <c r="AL21" s="7">
        <f>AK21+預測IC!AL21</f>
        <v>1.3794327662081696</v>
      </c>
      <c r="AM21" s="7">
        <f>AL21+預測IC!AM21</f>
        <v>1.4479685736558001</v>
      </c>
      <c r="AN21" s="7">
        <f>AM21+預測IC!AN21</f>
        <v>1.5599246297188945</v>
      </c>
      <c r="AO21" s="7">
        <f>AN21+預測IC!AO21</f>
        <v>1.6076510253626211</v>
      </c>
      <c r="AP21" s="7">
        <f>AO21+預測IC!AP21</f>
        <v>1.626593404278794</v>
      </c>
      <c r="AQ21" s="7">
        <f>AP21+預測IC!AQ21</f>
        <v>1.7034589112893417</v>
      </c>
      <c r="AR21" s="7">
        <f>AQ21+預測IC!AR21</f>
        <v>1.908641189519823</v>
      </c>
      <c r="AS21" s="7">
        <f>AR21+預測IC!AS21</f>
        <v>1.9730970581664524</v>
      </c>
      <c r="AT21" s="7">
        <f>AS21+預測IC!AT21</f>
        <v>1.9706041468892974</v>
      </c>
      <c r="AU21" s="7">
        <f>AT21+預測IC!AU21</f>
        <v>2.0184137783982545</v>
      </c>
      <c r="AV21" s="7">
        <f>AU21+預測IC!AV21</f>
        <v>1.9628929983361207</v>
      </c>
      <c r="AW21" s="7">
        <f>AV21+預測IC!AW21</f>
        <v>1.9726840282902181</v>
      </c>
      <c r="AX21" s="7">
        <f>AW21+預測IC!AX21</f>
        <v>2.0386900805077017</v>
      </c>
      <c r="AY21" s="7">
        <f>AX21+預測IC!AY21</f>
        <v>2.0857113714857398</v>
      </c>
      <c r="AZ21" s="7">
        <f>AY21+預測IC!AZ21</f>
        <v>1.8308001015886033</v>
      </c>
      <c r="BA21" s="7">
        <f>AZ21+預測IC!BA21</f>
        <v>1.7597679199405174</v>
      </c>
      <c r="BB21" s="7">
        <f>BA21+預測IC!BB21</f>
        <v>1.9851140549788555</v>
      </c>
      <c r="BC21" s="7">
        <f>BB21+預測IC!BC21</f>
        <v>2.0234352027040492</v>
      </c>
      <c r="BD21" s="7">
        <f>BC21+預測IC!BD21</f>
        <v>2.0016843393334214</v>
      </c>
      <c r="BE21" s="7">
        <f>BD21+預測IC!BE21</f>
        <v>2.008034872730823</v>
      </c>
      <c r="BF21" s="7">
        <f>BE21+預測IC!BF21</f>
        <v>2.0116119729112576</v>
      </c>
      <c r="BG21" s="7">
        <f>BF21+預測IC!BG21</f>
        <v>2.04824716212807</v>
      </c>
      <c r="BH21" s="7">
        <f>BG21+預測IC!BH21</f>
        <v>1.9719257989893146</v>
      </c>
      <c r="BI21" s="7">
        <f>BH21+預測IC!BI21</f>
        <v>2.1378953951677064</v>
      </c>
      <c r="BJ21" s="7">
        <f>BI21+預測IC!BJ21</f>
        <v>2.1614744213494239</v>
      </c>
      <c r="BK21" s="7">
        <f>BJ21+預測IC!BK21</f>
        <v>2.0930245409698891</v>
      </c>
      <c r="BL21" s="7">
        <f>BK21+預測IC!BL21</f>
        <v>2.2357456336162391</v>
      </c>
      <c r="BM21" s="7">
        <f>BL21+預測IC!BM21</f>
        <v>2.3908656375373392</v>
      </c>
      <c r="BN21" s="7">
        <f>BM21+預測IC!BN21</f>
        <v>2.454513585529587</v>
      </c>
      <c r="BO21" s="7">
        <f>BN21+預測IC!BO21</f>
        <v>2.3906563491159067</v>
      </c>
      <c r="BP21" s="7">
        <f>BO21+預測IC!BP21</f>
        <v>2.4951654785353212</v>
      </c>
      <c r="BQ21" s="7">
        <f>BP21+預測IC!BQ21</f>
        <v>2.5497077093698262</v>
      </c>
      <c r="BR21" s="7">
        <f>BQ21+預測IC!BR21</f>
        <v>2.5620315715536908</v>
      </c>
      <c r="BS21" s="7">
        <f>BR21+預測IC!BS21</f>
        <v>2.5678917443088669</v>
      </c>
      <c r="BT21" s="7">
        <f>BS21+預測IC!BT21</f>
        <v>2.7001364382833097</v>
      </c>
      <c r="BU21" s="7">
        <f>BT21+預測IC!BU21</f>
        <v>2.8356329004818788</v>
      </c>
      <c r="BV21" s="7">
        <f>BU21+預測IC!BV21</f>
        <v>2.9777759006673321</v>
      </c>
      <c r="BW21" s="7">
        <f>BV21+預測IC!BW21</f>
        <v>2.831096703731601</v>
      </c>
      <c r="BX21" s="7">
        <f>BW21+預測IC!BX21</f>
        <v>2.8281058844471869</v>
      </c>
      <c r="BY21" s="7">
        <f>BX21+預測IC!BY21</f>
        <v>2.7777260332290705</v>
      </c>
      <c r="BZ21" s="7">
        <f>BY21+預測IC!BZ21</f>
        <v>2.8253889619497863</v>
      </c>
      <c r="CA21" s="7">
        <f>BZ21+預測IC!CA21</f>
        <v>2.9204483957973455</v>
      </c>
      <c r="CB21" s="7">
        <f>CA21+預測IC!CB21</f>
        <v>2.8570270045990873</v>
      </c>
      <c r="CC21" s="7">
        <f>CB21+預測IC!CC21</f>
        <v>2.8103334551301242</v>
      </c>
      <c r="CD21" s="7">
        <f>CC21+預測IC!CD21</f>
        <v>3.0983895194925974</v>
      </c>
      <c r="CE21" s="7">
        <f>CD21+預測IC!CE21</f>
        <v>2.703313577027552</v>
      </c>
      <c r="CF21" s="7">
        <f>CE21+預測IC!CF21</f>
        <v>2.8345792538286245</v>
      </c>
      <c r="CG21" s="7">
        <f>CF21+預測IC!CG21</f>
        <v>2.6908280646709386</v>
      </c>
      <c r="CH21" s="7">
        <f>CG21+預測IC!CH21</f>
        <v>2.7709283857471503</v>
      </c>
      <c r="CI21" s="7">
        <f>CH21+預測IC!CI21</f>
        <v>2.6904287693561679</v>
      </c>
      <c r="CJ21" s="7">
        <f>CI21+預測IC!CJ21</f>
        <v>2.6048010123396654</v>
      </c>
      <c r="CK21" s="7">
        <f>CJ21+預測IC!CK21</f>
        <v>2.7318515590697996</v>
      </c>
      <c r="CL21" s="7">
        <f>CK21+預測IC!CL21</f>
        <v>2.5979611344468347</v>
      </c>
      <c r="CM21" s="7">
        <f>CL21+預測IC!CM21</f>
        <v>2.823464122850206</v>
      </c>
      <c r="CN21" s="7">
        <f>CM21+預測IC!CN21</f>
        <v>2.8540030130539815</v>
      </c>
      <c r="CO21" s="7">
        <f>CN21+預測IC!CO21</f>
        <v>2.3391377644563889</v>
      </c>
      <c r="CP21" s="7">
        <f>CO21+預測IC!CP21</f>
        <v>2.5618378253343015</v>
      </c>
      <c r="CQ21" s="7">
        <f>CP21+預測IC!CQ21</f>
        <v>2.5651259170593921</v>
      </c>
      <c r="CR21" s="7">
        <f>CQ21+預測IC!CR21</f>
        <v>2.6559501950390718</v>
      </c>
      <c r="CS21" s="7">
        <f>CR21+預測IC!CS21</f>
        <v>2.7255965911858437</v>
      </c>
      <c r="CT21" s="7">
        <f>CS21+預測IC!CT21</f>
        <v>2.8078894640401826</v>
      </c>
      <c r="CU21" s="7">
        <f>CT21+預測IC!CU21</f>
        <v>2.7452159038706911</v>
      </c>
      <c r="CV21" s="7">
        <f>CU21+預測IC!CV21</f>
        <v>2.8434415358920782</v>
      </c>
      <c r="CW21" s="7">
        <f>CV21+預測IC!CW21</f>
        <v>2.9084469531730668</v>
      </c>
      <c r="CX21" s="7">
        <f>CW21+預測IC!CX21</f>
        <v>3.0105691288304737</v>
      </c>
      <c r="CY21" s="7">
        <f>CX21+預測IC!CY21</f>
        <v>3.0020872124265594</v>
      </c>
      <c r="CZ21" s="7">
        <f>CY21+預測IC!CZ21</f>
        <v>3.2395385832523895</v>
      </c>
      <c r="DA21" s="7">
        <f>CZ21+預測IC!DA21</f>
        <v>3.2407308397091215</v>
      </c>
      <c r="DB21" s="7">
        <f>DA21+預測IC!DB21</f>
        <v>3.189106406032967</v>
      </c>
      <c r="DC21" s="7">
        <f>DB21+預測IC!DC21</f>
        <v>3.1440588468096764</v>
      </c>
      <c r="DD21" s="7">
        <f>DC21+預測IC!DD21</f>
        <v>3.2653815356783253</v>
      </c>
      <c r="DE21" s="7">
        <f>DD21+預測IC!DE21</f>
        <v>3.2776196442666441</v>
      </c>
      <c r="DF21" s="7">
        <f>DE21+預測IC!DF21</f>
        <v>3.2991805249645187</v>
      </c>
      <c r="DG21" s="7">
        <f>DF21+預測IC!DG21</f>
        <v>3.3070269030930519</v>
      </c>
      <c r="DH21" s="7">
        <f>DG21+預測IC!DH21</f>
        <v>3.3211037233055065</v>
      </c>
      <c r="DI21" s="7">
        <f>DH21+預測IC!DI21</f>
        <v>3.3555112015856858</v>
      </c>
      <c r="DJ21" s="7">
        <f>DI21+預測IC!DJ21</f>
        <v>3.3175998883951259</v>
      </c>
      <c r="DK21" s="7">
        <f>DJ21+預測IC!DK21</f>
        <v>3.4571025952140304</v>
      </c>
      <c r="DL21" s="7">
        <f>DK21+預測IC!DL21</f>
        <v>3.555467534053407</v>
      </c>
      <c r="DM21" s="7">
        <f>DL21+預測IC!DM21</f>
        <v>3.5256334144111667</v>
      </c>
      <c r="DN21" s="7">
        <f>DM21+預測IC!DN21</f>
        <v>3.5968310269051598</v>
      </c>
      <c r="DO21" s="7">
        <f>DN21+預測IC!DO21</f>
        <v>3.6792768192358394</v>
      </c>
      <c r="DP21" s="7">
        <f>DO21+預測IC!DP21</f>
        <v>3.7035429743294053</v>
      </c>
      <c r="DQ21" s="7">
        <f>DP21+預測IC!DQ21</f>
        <v>3.5488017883000698</v>
      </c>
      <c r="DR21" s="7">
        <f>DQ21+預測IC!DR21</f>
        <v>3.5989726473371504</v>
      </c>
      <c r="DS21" s="7">
        <f>DR21+預測IC!DS21</f>
        <v>3.398133173499855</v>
      </c>
      <c r="DT21" s="7">
        <f>DS21+預測IC!DT21</f>
        <v>3.2275623708143941</v>
      </c>
      <c r="DU21" s="7">
        <f>DT21+預測IC!DU21</f>
        <v>3.1994720768180156</v>
      </c>
      <c r="DV21" s="7">
        <f>DU21+預測IC!DV21</f>
        <v>3.3397480536878934</v>
      </c>
      <c r="DW21" s="7">
        <f>DV21+預測IC!DW21</f>
        <v>3.4679959223520145</v>
      </c>
      <c r="DX21" s="7">
        <f>DW21+預測IC!DX21</f>
        <v>3.282029708320831</v>
      </c>
      <c r="DY21" s="7">
        <f>DX21+預測IC!DY21</f>
        <v>3.3066257038588471</v>
      </c>
      <c r="DZ21" s="7">
        <f>DY21+預測IC!DZ21</f>
        <v>3.2537816372985584</v>
      </c>
      <c r="EA21" s="7">
        <f>DZ21+預測IC!EA21</f>
        <v>3.2289161148501302</v>
      </c>
      <c r="EB21" s="7">
        <f>EA21+預測IC!EB21</f>
        <v>3.2373242610207162</v>
      </c>
      <c r="EC21" s="7">
        <f>EB21+預測IC!EC21</f>
        <v>3.2513613161187584</v>
      </c>
      <c r="ED21" s="7">
        <f>EC21+預測IC!ED21</f>
        <v>3.1968624597705779</v>
      </c>
      <c r="EE21" s="7">
        <f>ED21+預測IC!EE21</f>
        <v>3.2112913118789961</v>
      </c>
      <c r="EF21" s="7">
        <f>EE21+預測IC!EF21</f>
        <v>3.1925200478368772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0.34770815311437386</v>
      </c>
      <c r="E22" s="7">
        <f>D22+預測IC!E22</f>
        <v>0.30668062111375483</v>
      </c>
      <c r="F22" s="7">
        <f>E22+預測IC!F22</f>
        <v>0.16681317080436783</v>
      </c>
      <c r="G22" s="7">
        <f>F22+預測IC!G22</f>
        <v>0.13385834655456921</v>
      </c>
      <c r="H22" s="7">
        <f>G22+預測IC!H22</f>
        <v>0.2580364095152155</v>
      </c>
      <c r="I22" s="7">
        <f>H22+預測IC!I22</f>
        <v>0.27547375272150565</v>
      </c>
      <c r="J22" s="7">
        <f>I22+預測IC!J22</f>
        <v>0.17122024998487614</v>
      </c>
      <c r="K22" s="7">
        <f>J22+預測IC!K22</f>
        <v>1.7933479330366847E-2</v>
      </c>
      <c r="L22" s="7">
        <f>K22+預測IC!L22</f>
        <v>0.18911683875626806</v>
      </c>
      <c r="M22" s="7">
        <f>L22+預測IC!M22</f>
        <v>4.4540514133179498E-3</v>
      </c>
      <c r="N22" s="7">
        <f>M22+預測IC!N22</f>
        <v>0.76059749453065684</v>
      </c>
      <c r="O22" s="7">
        <f>N22+預測IC!O22</f>
        <v>0.69415516236570263</v>
      </c>
      <c r="P22" s="7">
        <f>O22+預測IC!P22</f>
        <v>0.78478603679233694</v>
      </c>
      <c r="Q22" s="7">
        <f>P22+預測IC!Q22</f>
        <v>0.91205692702372709</v>
      </c>
      <c r="R22" s="7">
        <f>Q22+預測IC!R22</f>
        <v>0.97875521963005874</v>
      </c>
      <c r="S22" s="7">
        <f>R22+預測IC!S22</f>
        <v>0.9395210760928796</v>
      </c>
      <c r="T22" s="7">
        <f>S22+預測IC!T22</f>
        <v>0.83467210893624966</v>
      </c>
      <c r="U22" s="7">
        <f>T22+預測IC!U22</f>
        <v>0.88716101543187142</v>
      </c>
      <c r="V22" s="7">
        <f>U22+預測IC!V22</f>
        <v>0.71153611296145902</v>
      </c>
      <c r="W22" s="7">
        <f>V22+預測IC!W22</f>
        <v>0.86958386612540972</v>
      </c>
      <c r="X22" s="7">
        <f>W22+預測IC!X22</f>
        <v>1.1267862173389067</v>
      </c>
      <c r="Y22" s="7">
        <f>X22+預測IC!Y22</f>
        <v>1.056932885636106</v>
      </c>
      <c r="Z22" s="7">
        <f>Y22+預測IC!Z22</f>
        <v>1.0807990074264624</v>
      </c>
      <c r="AA22" s="7">
        <f>Z22+預測IC!AA22</f>
        <v>1.0878470243133191</v>
      </c>
      <c r="AB22" s="7">
        <f>AA22+預測IC!AB22</f>
        <v>1.049572969891748</v>
      </c>
      <c r="AC22" s="7">
        <f>AB22+預測IC!AC22</f>
        <v>0.87235989174288531</v>
      </c>
      <c r="AD22" s="7">
        <f>AC22+預測IC!AD22</f>
        <v>0.85989258907231281</v>
      </c>
      <c r="AE22" s="7">
        <f>AD22+預測IC!AE22</f>
        <v>0.77474490311460564</v>
      </c>
      <c r="AF22" s="7">
        <f>AE22+預測IC!AF22</f>
        <v>0.72756258695658149</v>
      </c>
      <c r="AG22" s="7">
        <f>AF22+預測IC!AG22</f>
        <v>0.68158877394889239</v>
      </c>
      <c r="AH22" s="7">
        <f>AG22+預測IC!AH22</f>
        <v>0.78745473336936511</v>
      </c>
      <c r="AI22" s="7">
        <f>AH22+預測IC!AI22</f>
        <v>0.89845844459631408</v>
      </c>
      <c r="AJ22" s="7">
        <f>AI22+預測IC!AJ22</f>
        <v>0.91153998623367105</v>
      </c>
      <c r="AK22" s="7">
        <f>AJ22+預測IC!AK22</f>
        <v>0.84327065806954327</v>
      </c>
      <c r="AL22" s="7">
        <f>AK22+預測IC!AL22</f>
        <v>0.88361162487644362</v>
      </c>
      <c r="AM22" s="7">
        <f>AL22+預測IC!AM22</f>
        <v>0.96770052834414721</v>
      </c>
      <c r="AN22" s="7">
        <f>AM22+預測IC!AN22</f>
        <v>1.0788333380077064</v>
      </c>
      <c r="AO22" s="7">
        <f>AN22+預測IC!AO22</f>
        <v>1.1535507114014121</v>
      </c>
      <c r="AP22" s="7">
        <f>AO22+預測IC!AP22</f>
        <v>1.1740434399193906</v>
      </c>
      <c r="AQ22" s="7">
        <f>AP22+預測IC!AQ22</f>
        <v>1.2534695573979837</v>
      </c>
      <c r="AR22" s="7">
        <f>AQ22+預測IC!AR22</f>
        <v>1.5040022355563663</v>
      </c>
      <c r="AS22" s="7">
        <f>AR22+預測IC!AS22</f>
        <v>1.5868126744549162</v>
      </c>
      <c r="AT22" s="7">
        <f>AS22+預測IC!AT22</f>
        <v>1.5616763126148898</v>
      </c>
      <c r="AU22" s="7">
        <f>AT22+預測IC!AU22</f>
        <v>1.5951767645257597</v>
      </c>
      <c r="AV22" s="7">
        <f>AU22+預測IC!AV22</f>
        <v>1.5353635878498797</v>
      </c>
      <c r="AW22" s="7">
        <f>AV22+預測IC!AW22</f>
        <v>1.5052141986428706</v>
      </c>
      <c r="AX22" s="7">
        <f>AW22+預測IC!AX22</f>
        <v>1.3974535628683062</v>
      </c>
      <c r="AY22" s="7">
        <f>AX22+預測IC!AY22</f>
        <v>1.4691869482025368</v>
      </c>
      <c r="AZ22" s="7">
        <f>AY22+預測IC!AZ22</f>
        <v>1.3142831698813846</v>
      </c>
      <c r="BA22" s="7">
        <f>AZ22+預測IC!BA22</f>
        <v>1.2686847447139227</v>
      </c>
      <c r="BB22" s="7">
        <f>BA22+預測IC!BB22</f>
        <v>1.5706146892543456</v>
      </c>
      <c r="BC22" s="7">
        <f>BB22+預測IC!BC22</f>
        <v>1.4397777511313903</v>
      </c>
      <c r="BD22" s="7">
        <f>BC22+預測IC!BD22</f>
        <v>1.417603569665562</v>
      </c>
      <c r="BE22" s="7">
        <f>BD22+預測IC!BE22</f>
        <v>1.4398197530600425</v>
      </c>
      <c r="BF22" s="7">
        <f>BE22+預測IC!BF22</f>
        <v>1.4534585703983622</v>
      </c>
      <c r="BG22" s="7">
        <f>BF22+預測IC!BG22</f>
        <v>1.4997380825667483</v>
      </c>
      <c r="BH22" s="7">
        <f>BG22+預測IC!BH22</f>
        <v>1.3717775402286165</v>
      </c>
      <c r="BI22" s="7">
        <f>BH22+預測IC!BI22</f>
        <v>1.4828662596385236</v>
      </c>
      <c r="BJ22" s="7">
        <f>BI22+預測IC!BJ22</f>
        <v>1.5378626747892445</v>
      </c>
      <c r="BK22" s="7">
        <f>BJ22+預測IC!BK22</f>
        <v>1.4960230388555793</v>
      </c>
      <c r="BL22" s="7">
        <f>BK22+預測IC!BL22</f>
        <v>1.6578033779266146</v>
      </c>
      <c r="BM22" s="7">
        <f>BL22+預測IC!BM22</f>
        <v>1.8496004173826617</v>
      </c>
      <c r="BN22" s="7">
        <f>BM22+預測IC!BN22</f>
        <v>1.8342728653596194</v>
      </c>
      <c r="BO22" s="7">
        <f>BN22+預測IC!BO22</f>
        <v>1.783788436246869</v>
      </c>
      <c r="BP22" s="7">
        <f>BO22+預測IC!BP22</f>
        <v>1.8586239864019753</v>
      </c>
      <c r="BQ22" s="7">
        <f>BP22+預測IC!BQ22</f>
        <v>1.8864540838002879</v>
      </c>
      <c r="BR22" s="7">
        <f>BQ22+預測IC!BR22</f>
        <v>1.9072676932667407</v>
      </c>
      <c r="BS22" s="7">
        <f>BR22+預測IC!BS22</f>
        <v>1.8908949108899415</v>
      </c>
      <c r="BT22" s="7">
        <f>BS22+預測IC!BT22</f>
        <v>2.0214256142264877</v>
      </c>
      <c r="BU22" s="7">
        <f>BT22+預測IC!BU22</f>
        <v>2.234374380364498</v>
      </c>
      <c r="BV22" s="7">
        <f>BU22+預測IC!BV22</f>
        <v>2.392918352762107</v>
      </c>
      <c r="BW22" s="7">
        <f>BV22+預測IC!BW22</f>
        <v>2.2182498548344998</v>
      </c>
      <c r="BX22" s="7">
        <f>BW22+預測IC!BX22</f>
        <v>2.2548873005264722</v>
      </c>
      <c r="BY22" s="7">
        <f>BX22+預測IC!BY22</f>
        <v>2.2501405141237374</v>
      </c>
      <c r="BZ22" s="7">
        <f>BY22+預測IC!BZ22</f>
        <v>2.2973982499866294</v>
      </c>
      <c r="CA22" s="7">
        <f>BZ22+預測IC!CA22</f>
        <v>2.4414769860208847</v>
      </c>
      <c r="CB22" s="7">
        <f>CA22+預測IC!CB22</f>
        <v>2.292483707774958</v>
      </c>
      <c r="CC22" s="7">
        <f>CB22+預測IC!CC22</f>
        <v>2.2774980043368016</v>
      </c>
      <c r="CD22" s="7">
        <f>CC22+預測IC!CD22</f>
        <v>2.6113760410495246</v>
      </c>
      <c r="CE22" s="7">
        <f>CD22+預測IC!CE22</f>
        <v>2.2179887019452464</v>
      </c>
      <c r="CF22" s="7">
        <f>CE22+預測IC!CF22</f>
        <v>2.4067884877055237</v>
      </c>
      <c r="CG22" s="7">
        <f>CF22+預測IC!CG22</f>
        <v>2.2035253955029366</v>
      </c>
      <c r="CH22" s="7">
        <f>CG22+預測IC!CH22</f>
        <v>2.3194441667823846</v>
      </c>
      <c r="CI22" s="7">
        <f>CH22+預測IC!CI22</f>
        <v>2.2016644205040254</v>
      </c>
      <c r="CJ22" s="7">
        <f>CI22+預測IC!CJ22</f>
        <v>2.0982849154144629</v>
      </c>
      <c r="CK22" s="7">
        <f>CJ22+預測IC!CK22</f>
        <v>2.1344482580191455</v>
      </c>
      <c r="CL22" s="7">
        <f>CK22+預測IC!CL22</f>
        <v>1.8937964593941048</v>
      </c>
      <c r="CM22" s="7">
        <f>CL22+預測IC!CM22</f>
        <v>2.21422846305193</v>
      </c>
      <c r="CN22" s="7">
        <f>CM22+預測IC!CN22</f>
        <v>2.2056816912310224</v>
      </c>
      <c r="CO22" s="7">
        <f>CN22+預測IC!CO22</f>
        <v>1.5557252229818668</v>
      </c>
      <c r="CP22" s="7">
        <f>CO22+預測IC!CP22</f>
        <v>1.8151337799512692</v>
      </c>
      <c r="CQ22" s="7">
        <f>CP22+預測IC!CQ22</f>
        <v>1.8028000006256046</v>
      </c>
      <c r="CR22" s="7">
        <f>CQ22+預測IC!CR22</f>
        <v>1.9646504219269967</v>
      </c>
      <c r="CS22" s="7">
        <f>CR22+預測IC!CS22</f>
        <v>1.9494482384055738</v>
      </c>
      <c r="CT22" s="7">
        <f>CS22+預測IC!CT22</f>
        <v>2.0076807597615591</v>
      </c>
      <c r="CU22" s="7">
        <f>CT22+預測IC!CU22</f>
        <v>1.8874490477974613</v>
      </c>
      <c r="CV22" s="7">
        <f>CU22+預測IC!CV22</f>
        <v>1.9996827430045154</v>
      </c>
      <c r="CW22" s="7">
        <f>CV22+預測IC!CW22</f>
        <v>2.0361339963306806</v>
      </c>
      <c r="CX22" s="7">
        <f>CW22+預測IC!CX22</f>
        <v>2.0398835895985297</v>
      </c>
      <c r="CY22" s="7">
        <f>CX22+預測IC!CY22</f>
        <v>2.0318947638250204</v>
      </c>
      <c r="CZ22" s="7">
        <f>CY22+預測IC!CZ22</f>
        <v>2.2948152484242597</v>
      </c>
      <c r="DA22" s="7">
        <f>CZ22+預測IC!DA22</f>
        <v>2.2908234945423356</v>
      </c>
      <c r="DB22" s="7">
        <f>DA22+預測IC!DB22</f>
        <v>2.2324399877138434</v>
      </c>
      <c r="DC22" s="7">
        <f>DB22+預測IC!DC22</f>
        <v>2.2117152032696858</v>
      </c>
      <c r="DD22" s="7">
        <f>DC22+預測IC!DD22</f>
        <v>2.3596093058424894</v>
      </c>
      <c r="DE22" s="7">
        <f>DD22+預測IC!DE22</f>
        <v>2.3541175478605392</v>
      </c>
      <c r="DF22" s="7">
        <f>DE22+預測IC!DF22</f>
        <v>2.3711493231340923</v>
      </c>
      <c r="DG22" s="7">
        <f>DF22+預測IC!DG22</f>
        <v>2.4031343662149798</v>
      </c>
      <c r="DH22" s="7">
        <f>DG22+預測IC!DH22</f>
        <v>2.4170797123984835</v>
      </c>
      <c r="DI22" s="7">
        <f>DH22+預測IC!DI22</f>
        <v>2.4806407116607327</v>
      </c>
      <c r="DJ22" s="7">
        <f>DI22+預測IC!DJ22</f>
        <v>2.4303947058276369</v>
      </c>
      <c r="DK22" s="7">
        <f>DJ22+預測IC!DK22</f>
        <v>2.6095294196504772</v>
      </c>
      <c r="DL22" s="7">
        <f>DK22+預測IC!DL22</f>
        <v>2.7344710673878603</v>
      </c>
      <c r="DM22" s="7">
        <f>DL22+預測IC!DM22</f>
        <v>2.6710050163498269</v>
      </c>
      <c r="DN22" s="7">
        <f>DM22+預測IC!DN22</f>
        <v>2.7177683445538343</v>
      </c>
      <c r="DO22" s="7">
        <f>DN22+預測IC!DO22</f>
        <v>2.8412058458654723</v>
      </c>
      <c r="DP22" s="7">
        <f>DO22+預測IC!DP22</f>
        <v>2.8514331037183762</v>
      </c>
      <c r="DQ22" s="7">
        <f>DP22+預測IC!DQ22</f>
        <v>2.7204020998989362</v>
      </c>
      <c r="DR22" s="7">
        <f>DQ22+預測IC!DR22</f>
        <v>2.7143095472836181</v>
      </c>
      <c r="DS22" s="7">
        <f>DR22+預測IC!DS22</f>
        <v>2.5172586257212588</v>
      </c>
      <c r="DT22" s="7">
        <f>DS22+預測IC!DT22</f>
        <v>2.4589016167244937</v>
      </c>
      <c r="DU22" s="7">
        <f>DT22+預測IC!DU22</f>
        <v>2.4014062258876545</v>
      </c>
      <c r="DV22" s="7">
        <f>DU22+預測IC!DV22</f>
        <v>2.5271113435658323</v>
      </c>
      <c r="DW22" s="7">
        <f>DV22+預測IC!DW22</f>
        <v>2.6055010672728294</v>
      </c>
      <c r="DX22" s="7">
        <f>DW22+預測IC!DX22</f>
        <v>2.3830584588245345</v>
      </c>
      <c r="DY22" s="7">
        <f>DX22+預測IC!DY22</f>
        <v>2.3749113421989945</v>
      </c>
      <c r="DZ22" s="7">
        <f>DY22+預測IC!DZ22</f>
        <v>2.271163361253437</v>
      </c>
      <c r="EA22" s="7">
        <f>DZ22+預測IC!EA22</f>
        <v>2.2006147124140782</v>
      </c>
      <c r="EB22" s="7">
        <f>EA22+預測IC!EB22</f>
        <v>2.1200179848787601</v>
      </c>
      <c r="EC22" s="7">
        <f>EB22+預測IC!EC22</f>
        <v>2.1415130864543985</v>
      </c>
      <c r="ED22" s="7">
        <f>EC22+預測IC!ED22</f>
        <v>2.064099519396791</v>
      </c>
      <c r="EE22" s="7">
        <f>ED22+預測IC!EE22</f>
        <v>2.0975458232090043</v>
      </c>
      <c r="EF22" s="7">
        <f>EE22+預測IC!EF22</f>
        <v>2.0627555768368318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0.53708189314779009</v>
      </c>
      <c r="E23" s="7">
        <f>D23+預測IC!E23</f>
        <v>0.45614072057711785</v>
      </c>
      <c r="F23" s="7">
        <f>E23+預測IC!F23</f>
        <v>0.45240048763520718</v>
      </c>
      <c r="G23" s="7">
        <f>F23+預測IC!G23</f>
        <v>0.40017631378870883</v>
      </c>
      <c r="H23" s="7">
        <f>G23+預測IC!H23</f>
        <v>0.38198784294722415</v>
      </c>
      <c r="I23" s="7">
        <f>H23+預測IC!I23</f>
        <v>0.34560135408081705</v>
      </c>
      <c r="J23" s="7">
        <f>I23+預測IC!J23</f>
        <v>0.23072384815037195</v>
      </c>
      <c r="K23" s="7">
        <f>J23+預測IC!K23</f>
        <v>2.6234371678138357E-2</v>
      </c>
      <c r="L23" s="7">
        <f>K23+預測IC!L23</f>
        <v>8.0277901453736977E-2</v>
      </c>
      <c r="M23" s="7">
        <f>L23+預測IC!M23</f>
        <v>-6.7009066573759934E-2</v>
      </c>
      <c r="N23" s="7">
        <f>M23+預測IC!N23</f>
        <v>0.9088923766975201</v>
      </c>
      <c r="O23" s="7">
        <f>N23+預測IC!O23</f>
        <v>0.78599266939035173</v>
      </c>
      <c r="P23" s="7">
        <f>O23+預測IC!P23</f>
        <v>0.84067419542489963</v>
      </c>
      <c r="Q23" s="7">
        <f>P23+預測IC!Q23</f>
        <v>1.1318476888916043</v>
      </c>
      <c r="R23" s="7">
        <f>Q23+預測IC!R23</f>
        <v>1.1946696668613659</v>
      </c>
      <c r="S23" s="7">
        <f>R23+預測IC!S23</f>
        <v>1.1220970024113037</v>
      </c>
      <c r="T23" s="7">
        <f>S23+預測IC!T23</f>
        <v>1.0374208266425751</v>
      </c>
      <c r="U23" s="7">
        <f>T23+預測IC!U23</f>
        <v>1.0966626161236765</v>
      </c>
      <c r="V23" s="7">
        <f>U23+預測IC!V23</f>
        <v>0.86418541275275185</v>
      </c>
      <c r="W23" s="7">
        <f>V23+預測IC!W23</f>
        <v>1.1237327364298111</v>
      </c>
      <c r="X23" s="7">
        <f>W23+預測IC!X23</f>
        <v>1.3182891978874554</v>
      </c>
      <c r="Y23" s="7">
        <f>X23+預測IC!Y23</f>
        <v>1.2503392762961045</v>
      </c>
      <c r="Z23" s="7">
        <f>Y23+預測IC!Z23</f>
        <v>1.2913912428163559</v>
      </c>
      <c r="AA23" s="7">
        <f>Z23+預測IC!AA23</f>
        <v>1.2979975347858261</v>
      </c>
      <c r="AB23" s="7">
        <f>AA23+預測IC!AB23</f>
        <v>1.2502485895666706</v>
      </c>
      <c r="AC23" s="7">
        <f>AB23+預測IC!AC23</f>
        <v>1.0162399686202259</v>
      </c>
      <c r="AD23" s="7">
        <f>AC23+預測IC!AD23</f>
        <v>1.0012290682631786</v>
      </c>
      <c r="AE23" s="7">
        <f>AD23+預測IC!AE23</f>
        <v>0.77951583244152944</v>
      </c>
      <c r="AF23" s="7">
        <f>AE23+預測IC!AF23</f>
        <v>0.71260957235177813</v>
      </c>
      <c r="AG23" s="7">
        <f>AF23+預測IC!AG23</f>
        <v>0.71055189530135077</v>
      </c>
      <c r="AH23" s="7">
        <f>AG23+預測IC!AH23</f>
        <v>0.79472347982453395</v>
      </c>
      <c r="AI23" s="7">
        <f>AH23+預測IC!AI23</f>
        <v>1.0038750784447976</v>
      </c>
      <c r="AJ23" s="7">
        <f>AI23+預測IC!AJ23</f>
        <v>1.0274625187388218</v>
      </c>
      <c r="AK23" s="7">
        <f>AJ23+預測IC!AK23</f>
        <v>1.0460202494755331</v>
      </c>
      <c r="AL23" s="7">
        <f>AK23+預測IC!AL23</f>
        <v>1.1774519626680686</v>
      </c>
      <c r="AM23" s="7">
        <f>AL23+預測IC!AM23</f>
        <v>1.1852214516729338</v>
      </c>
      <c r="AN23" s="7">
        <f>AM23+預測IC!AN23</f>
        <v>1.4275361510302345</v>
      </c>
      <c r="AO23" s="7">
        <f>AN23+預測IC!AO23</f>
        <v>1.4221991988388103</v>
      </c>
      <c r="AP23" s="7">
        <f>AO23+預測IC!AP23</f>
        <v>1.2569328265053181</v>
      </c>
      <c r="AQ23" s="7">
        <f>AP23+預測IC!AQ23</f>
        <v>1.3463578187649288</v>
      </c>
      <c r="AR23" s="7">
        <f>AQ23+預測IC!AR23</f>
        <v>1.6831018626099965</v>
      </c>
      <c r="AS23" s="7">
        <f>AR23+預測IC!AS23</f>
        <v>1.668394974612619</v>
      </c>
      <c r="AT23" s="7">
        <f>AS23+預測IC!AT23</f>
        <v>1.6269672527989694</v>
      </c>
      <c r="AU23" s="7">
        <f>AT23+預測IC!AU23</f>
        <v>1.6601127789274737</v>
      </c>
      <c r="AV23" s="7">
        <f>AU23+預測IC!AV23</f>
        <v>1.6324737847300996</v>
      </c>
      <c r="AW23" s="7">
        <f>AV23+預測IC!AW23</f>
        <v>1.5804468748916969</v>
      </c>
      <c r="AX23" s="7">
        <f>AW23+預測IC!AX23</f>
        <v>1.6455840292173993</v>
      </c>
      <c r="AY23" s="7">
        <f>AX23+預測IC!AY23</f>
        <v>1.8158180100579815</v>
      </c>
      <c r="AZ23" s="7">
        <f>AY23+預測IC!AZ23</f>
        <v>1.7520643926569213</v>
      </c>
      <c r="BA23" s="7">
        <f>AZ23+預測IC!BA23</f>
        <v>1.761711172737022</v>
      </c>
      <c r="BB23" s="7">
        <f>BA23+預測IC!BB23</f>
        <v>1.7106616886341368</v>
      </c>
      <c r="BC23" s="7">
        <f>BB23+預測IC!BC23</f>
        <v>1.409833439461071</v>
      </c>
      <c r="BD23" s="7">
        <f>BC23+預測IC!BD23</f>
        <v>1.5046643208075212</v>
      </c>
      <c r="BE23" s="7">
        <f>BD23+預測IC!BE23</f>
        <v>1.4332335584102247</v>
      </c>
      <c r="BF23" s="7">
        <f>BE23+預測IC!BF23</f>
        <v>1.4103865678055385</v>
      </c>
      <c r="BG23" s="7">
        <f>BF23+預測IC!BG23</f>
        <v>1.4851480390022911</v>
      </c>
      <c r="BH23" s="7">
        <f>BG23+預測IC!BH23</f>
        <v>1.281664057647004</v>
      </c>
      <c r="BI23" s="7">
        <f>BH23+預測IC!BI23</f>
        <v>1.472776136970203</v>
      </c>
      <c r="BJ23" s="7">
        <f>BI23+預測IC!BJ23</f>
        <v>1.57677945223813</v>
      </c>
      <c r="BK23" s="7">
        <f>BJ23+預測IC!BK23</f>
        <v>1.5788135605746074</v>
      </c>
      <c r="BL23" s="7">
        <f>BK23+預測IC!BL23</f>
        <v>1.7283478568248469</v>
      </c>
      <c r="BM23" s="7">
        <f>BL23+預測IC!BM23</f>
        <v>1.9175285436120009</v>
      </c>
      <c r="BN23" s="7">
        <f>BM23+預測IC!BN23</f>
        <v>1.9105813728531877</v>
      </c>
      <c r="BO23" s="7">
        <f>BN23+預測IC!BO23</f>
        <v>1.9471063145991869</v>
      </c>
      <c r="BP23" s="7">
        <f>BO23+預測IC!BP23</f>
        <v>2.0453727138106435</v>
      </c>
      <c r="BQ23" s="7">
        <f>BP23+預測IC!BQ23</f>
        <v>2.1174206152459094</v>
      </c>
      <c r="BR23" s="7">
        <f>BQ23+預測IC!BR23</f>
        <v>2.1352649367098722</v>
      </c>
      <c r="BS23" s="7">
        <f>BR23+預測IC!BS23</f>
        <v>2.0619895480519603</v>
      </c>
      <c r="BT23" s="7">
        <f>BS23+預測IC!BT23</f>
        <v>2.2056393540779573</v>
      </c>
      <c r="BU23" s="7">
        <f>BT23+預測IC!BU23</f>
        <v>2.411327089923903</v>
      </c>
      <c r="BV23" s="7">
        <f>BU23+預測IC!BV23</f>
        <v>2.5247946582840917</v>
      </c>
      <c r="BW23" s="7">
        <f>BV23+預測IC!BW23</f>
        <v>2.3226423250084003</v>
      </c>
      <c r="BX23" s="7">
        <f>BW23+預測IC!BX23</f>
        <v>2.3144292052811473</v>
      </c>
      <c r="BY23" s="7">
        <f>BX23+預測IC!BY23</f>
        <v>2.3042235125867996</v>
      </c>
      <c r="BZ23" s="7">
        <f>BY23+預測IC!BZ23</f>
        <v>2.3118932750186443</v>
      </c>
      <c r="CA23" s="7">
        <f>BZ23+預測IC!CA23</f>
        <v>2.518265997406131</v>
      </c>
      <c r="CB23" s="7">
        <f>CA23+預測IC!CB23</f>
        <v>2.3006517944136911</v>
      </c>
      <c r="CC23" s="7">
        <f>CB23+預測IC!CC23</f>
        <v>2.5256104219093714</v>
      </c>
      <c r="CD23" s="7">
        <f>CC23+預測IC!CD23</f>
        <v>2.7172868769241565</v>
      </c>
      <c r="CE23" s="7">
        <f>CD23+預測IC!CE23</f>
        <v>2.6006622701276951</v>
      </c>
      <c r="CF23" s="7">
        <f>CE23+預測IC!CF23</f>
        <v>2.7577971799188603</v>
      </c>
      <c r="CG23" s="7">
        <f>CF23+預測IC!CG23</f>
        <v>2.3645533919951838</v>
      </c>
      <c r="CH23" s="7">
        <f>CG23+預測IC!CH23</f>
        <v>2.5447498409166123</v>
      </c>
      <c r="CI23" s="7">
        <f>CH23+預測IC!CI23</f>
        <v>2.2348504237885152</v>
      </c>
      <c r="CJ23" s="7">
        <f>CI23+預測IC!CJ23</f>
        <v>2.2149750562381048</v>
      </c>
      <c r="CK23" s="7">
        <f>CJ23+預測IC!CK23</f>
        <v>2.3110920509660664</v>
      </c>
      <c r="CL23" s="7">
        <f>CK23+預測IC!CL23</f>
        <v>1.902431038298648</v>
      </c>
      <c r="CM23" s="7">
        <f>CL23+預測IC!CM23</f>
        <v>2.2891639848215575</v>
      </c>
      <c r="CN23" s="7">
        <f>CM23+預測IC!CN23</f>
        <v>2.2361588064517544</v>
      </c>
      <c r="CO23" s="7">
        <f>CN23+預測IC!CO23</f>
        <v>1.3272355190861345</v>
      </c>
      <c r="CP23" s="7">
        <f>CO23+預測IC!CP23</f>
        <v>1.6385962622488912</v>
      </c>
      <c r="CQ23" s="7">
        <f>CP23+預測IC!CQ23</f>
        <v>1.6294125177490852</v>
      </c>
      <c r="CR23" s="7">
        <f>CQ23+預測IC!CR23</f>
        <v>1.6410103215701639</v>
      </c>
      <c r="CS23" s="7">
        <f>CR23+預測IC!CS23</f>
        <v>1.6040361025788854</v>
      </c>
      <c r="CT23" s="7">
        <f>CS23+預測IC!CT23</f>
        <v>1.6496986442901393</v>
      </c>
      <c r="CU23" s="7">
        <f>CT23+預測IC!CU23</f>
        <v>1.6286420485768522</v>
      </c>
      <c r="CV23" s="7">
        <f>CU23+預測IC!CV23</f>
        <v>1.6063969110880465</v>
      </c>
      <c r="CW23" s="7">
        <f>CV23+預測IC!CW23</f>
        <v>1.7072982428904651</v>
      </c>
      <c r="CX23" s="7">
        <f>CW23+預測IC!CX23</f>
        <v>1.6185812487939386</v>
      </c>
      <c r="CY23" s="7">
        <f>CX23+預測IC!CY23</f>
        <v>1.6406277795473172</v>
      </c>
      <c r="CZ23" s="7">
        <f>CY23+預測IC!CZ23</f>
        <v>1.8226265734046685</v>
      </c>
      <c r="DA23" s="7">
        <f>CZ23+預測IC!DA23</f>
        <v>1.7916444371787581</v>
      </c>
      <c r="DB23" s="7">
        <f>DA23+預測IC!DB23</f>
        <v>1.7756892803117617</v>
      </c>
      <c r="DC23" s="7">
        <f>DB23+預測IC!DC23</f>
        <v>1.8948797663821759</v>
      </c>
      <c r="DD23" s="7">
        <f>DC23+預測IC!DD23</f>
        <v>2.1082908107891725</v>
      </c>
      <c r="DE23" s="7">
        <f>DD23+預測IC!DE23</f>
        <v>2.0988955848375275</v>
      </c>
      <c r="DF23" s="7">
        <f>DE23+預測IC!DF23</f>
        <v>2.1608377118824329</v>
      </c>
      <c r="DG23" s="7">
        <f>DF23+預測IC!DG23</f>
        <v>2.1991077237571499</v>
      </c>
      <c r="DH23" s="7">
        <f>DG23+預測IC!DH23</f>
        <v>2.2545211710658926</v>
      </c>
      <c r="DI23" s="7">
        <f>DH23+預測IC!DI23</f>
        <v>2.3080007679819134</v>
      </c>
      <c r="DJ23" s="7">
        <f>DI23+預測IC!DJ23</f>
        <v>2.2209427598095655</v>
      </c>
      <c r="DK23" s="7">
        <f>DJ23+預測IC!DK23</f>
        <v>2.4987759763684085</v>
      </c>
      <c r="DL23" s="7">
        <f>DK23+預測IC!DL23</f>
        <v>2.7148770359086822</v>
      </c>
      <c r="DM23" s="7">
        <f>DL23+預測IC!DM23</f>
        <v>2.6953797309893162</v>
      </c>
      <c r="DN23" s="7">
        <f>DM23+預測IC!DN23</f>
        <v>2.7018769270332865</v>
      </c>
      <c r="DO23" s="7">
        <f>DN23+預測IC!DO23</f>
        <v>2.8659682307671206</v>
      </c>
      <c r="DP23" s="7">
        <f>DO23+預測IC!DP23</f>
        <v>2.9130564634228433</v>
      </c>
      <c r="DQ23" s="7">
        <f>DP23+預測IC!DQ23</f>
        <v>2.7428454669193054</v>
      </c>
      <c r="DR23" s="7">
        <f>DQ23+預測IC!DR23</f>
        <v>2.6529594641879988</v>
      </c>
      <c r="DS23" s="7">
        <f>DR23+預測IC!DS23</f>
        <v>2.3648628872689526</v>
      </c>
      <c r="DT23" s="7">
        <f>DS23+預測IC!DT23</f>
        <v>2.2409076640727537</v>
      </c>
      <c r="DU23" s="7">
        <f>DT23+預測IC!DU23</f>
        <v>2.2751948493277512</v>
      </c>
      <c r="DV23" s="7">
        <f>DU23+預測IC!DV23</f>
        <v>2.5514664576571908</v>
      </c>
      <c r="DW23" s="7">
        <f>DV23+預測IC!DW23</f>
        <v>2.6926946902400295</v>
      </c>
      <c r="DX23" s="7">
        <f>DW23+預測IC!DX23</f>
        <v>2.3792014838610633</v>
      </c>
      <c r="DY23" s="7">
        <f>DX23+預測IC!DY23</f>
        <v>2.5490783125133176</v>
      </c>
      <c r="DZ23" s="7">
        <f>DY23+預測IC!DZ23</f>
        <v>2.4462052938868051</v>
      </c>
      <c r="EA23" s="7">
        <f>DZ23+預測IC!EA23</f>
        <v>2.4227563862736856</v>
      </c>
      <c r="EB23" s="7">
        <f>EA23+預測IC!EB23</f>
        <v>2.3600029465630104</v>
      </c>
      <c r="EC23" s="7">
        <f>EB23+預測IC!EC23</f>
        <v>2.3234186302371969</v>
      </c>
      <c r="ED23" s="7">
        <f>EC23+預測IC!ED23</f>
        <v>2.2319927256174159</v>
      </c>
      <c r="EE23" s="7">
        <f>ED23+預測IC!EE23</f>
        <v>2.2910434095056562</v>
      </c>
      <c r="EF23" s="7">
        <f>EE23+預測IC!EF23</f>
        <v>2.2432611309139965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0.19972327710611135</v>
      </c>
      <c r="E24" s="7">
        <f>D24+預測IC!E24</f>
        <v>0.27112360727540824</v>
      </c>
      <c r="F24" s="7">
        <f>E24+預測IC!F24</f>
        <v>0.34645010110711494</v>
      </c>
      <c r="G24" s="7">
        <f>F24+預測IC!G24</f>
        <v>0.57221012416468731</v>
      </c>
      <c r="H24" s="7">
        <f>G24+預測IC!H24</f>
        <v>0.60806592081964395</v>
      </c>
      <c r="I24" s="7">
        <f>H24+預測IC!I24</f>
        <v>0.62499301000038776</v>
      </c>
      <c r="J24" s="7">
        <f>I24+預測IC!J24</f>
        <v>0.50953021178636526</v>
      </c>
      <c r="K24" s="7">
        <f>J24+預測IC!K24</f>
        <v>0.48801493343140517</v>
      </c>
      <c r="L24" s="7">
        <f>K24+預測IC!L24</f>
        <v>0.58363818394008726</v>
      </c>
      <c r="M24" s="7">
        <f>L24+預測IC!M24</f>
        <v>0.36585251090234577</v>
      </c>
      <c r="N24" s="7">
        <f>M24+預測IC!N24</f>
        <v>2.1348838800149146</v>
      </c>
      <c r="O24" s="7">
        <f>N24+預測IC!O24</f>
        <v>1.8906060166267311</v>
      </c>
      <c r="P24" s="7">
        <f>O24+預測IC!P24</f>
        <v>1.8923423054910784</v>
      </c>
      <c r="Q24" s="7">
        <f>P24+預測IC!Q24</f>
        <v>1.889495169888681</v>
      </c>
      <c r="R24" s="7">
        <f>Q24+預測IC!R24</f>
        <v>1.8616723460035929</v>
      </c>
      <c r="S24" s="7">
        <f>R24+預測IC!S24</f>
        <v>1.8506178857961442</v>
      </c>
      <c r="T24" s="7">
        <f>S24+預測IC!T24</f>
        <v>1.5628012822766564</v>
      </c>
      <c r="U24" s="7">
        <f>T24+預測IC!U24</f>
        <v>1.8486575722580572</v>
      </c>
      <c r="V24" s="7">
        <f>U24+預測IC!V24</f>
        <v>1.7499790609987271</v>
      </c>
      <c r="W24" s="7">
        <f>V24+預測IC!W24</f>
        <v>1.585414543411847</v>
      </c>
      <c r="X24" s="7">
        <f>W24+預測IC!X24</f>
        <v>1.5845156669468297</v>
      </c>
      <c r="Y24" s="7">
        <f>X24+預測IC!Y24</f>
        <v>1.4641981738822991</v>
      </c>
      <c r="Z24" s="7">
        <f>Y24+預測IC!Z24</f>
        <v>1.4398036251327229</v>
      </c>
      <c r="AA24" s="7">
        <f>Z24+預測IC!AA24</f>
        <v>1.4533513933703002</v>
      </c>
      <c r="AB24" s="7">
        <f>AA24+預測IC!AB24</f>
        <v>1.2690999707015218</v>
      </c>
      <c r="AC24" s="7">
        <f>AB24+預測IC!AC24</f>
        <v>1.022931011916822</v>
      </c>
      <c r="AD24" s="7">
        <f>AC24+預測IC!AD24</f>
        <v>1.0151091730241923</v>
      </c>
      <c r="AE24" s="7">
        <f>AD24+預測IC!AE24</f>
        <v>0.83984035801685031</v>
      </c>
      <c r="AF24" s="7">
        <f>AE24+預測IC!AF24</f>
        <v>0.81731834798205982</v>
      </c>
      <c r="AG24" s="7">
        <f>AF24+預測IC!AG24</f>
        <v>0.92321882045646053</v>
      </c>
      <c r="AH24" s="7">
        <f>AG24+預測IC!AH24</f>
        <v>0.97991618052425011</v>
      </c>
      <c r="AI24" s="7">
        <f>AH24+預測IC!AI24</f>
        <v>1.2903304157535924</v>
      </c>
      <c r="AJ24" s="7">
        <f>AI24+預測IC!AJ24</f>
        <v>1.3757656175444566</v>
      </c>
      <c r="AK24" s="7">
        <f>AJ24+預測IC!AK24</f>
        <v>1.3772065946244048</v>
      </c>
      <c r="AL24" s="7">
        <f>AK24+預測IC!AL24</f>
        <v>1.3225296591337694</v>
      </c>
      <c r="AM24" s="7">
        <f>AL24+預測IC!AM24</f>
        <v>1.3036103777132426</v>
      </c>
      <c r="AN24" s="7">
        <f>AM24+預測IC!AN24</f>
        <v>1.524799842858674</v>
      </c>
      <c r="AO24" s="7">
        <f>AN24+預測IC!AO24</f>
        <v>1.590889954687664</v>
      </c>
      <c r="AP24" s="7">
        <f>AO24+預測IC!AP24</f>
        <v>1.4264032655297436</v>
      </c>
      <c r="AQ24" s="7">
        <f>AP24+預測IC!AQ24</f>
        <v>1.4734802383639893</v>
      </c>
      <c r="AR24" s="7">
        <f>AQ24+預測IC!AR24</f>
        <v>1.4831194949715962</v>
      </c>
      <c r="AS24" s="7">
        <f>AR24+預測IC!AS24</f>
        <v>1.4551634177050061</v>
      </c>
      <c r="AT24" s="7">
        <f>AS24+預測IC!AT24</f>
        <v>1.4856226251897149</v>
      </c>
      <c r="AU24" s="7">
        <f>AT24+預測IC!AU24</f>
        <v>1.5297179450549392</v>
      </c>
      <c r="AV24" s="7">
        <f>AU24+預測IC!AV24</f>
        <v>1.4425659928680432</v>
      </c>
      <c r="AW24" s="7">
        <f>AV24+預測IC!AW24</f>
        <v>1.4475535343790824</v>
      </c>
      <c r="AX24" s="7">
        <f>AW24+預測IC!AX24</f>
        <v>1.4219917359612255</v>
      </c>
      <c r="AY24" s="7">
        <f>AX24+預測IC!AY24</f>
        <v>1.590119029846115</v>
      </c>
      <c r="AZ24" s="7">
        <f>AY24+預測IC!AZ24</f>
        <v>1.6279861034457801</v>
      </c>
      <c r="BA24" s="7">
        <f>AZ24+預測IC!BA24</f>
        <v>1.5741913713611468</v>
      </c>
      <c r="BB24" s="7">
        <f>BA24+預測IC!BB24</f>
        <v>1.488032337965812</v>
      </c>
      <c r="BC24" s="7">
        <f>BB24+預測IC!BC24</f>
        <v>0.68481632492143463</v>
      </c>
      <c r="BD24" s="7">
        <f>BC24+預測IC!BD24</f>
        <v>0.87041154416786981</v>
      </c>
      <c r="BE24" s="7">
        <f>BD24+預測IC!BE24</f>
        <v>0.82434719013618296</v>
      </c>
      <c r="BF24" s="7">
        <f>BE24+預測IC!BF24</f>
        <v>0.91199852619027522</v>
      </c>
      <c r="BG24" s="7">
        <f>BF24+預測IC!BG24</f>
        <v>0.93883449205658609</v>
      </c>
      <c r="BH24" s="7">
        <f>BG24+預測IC!BH24</f>
        <v>0.55257915514305112</v>
      </c>
      <c r="BI24" s="7">
        <f>BH24+預測IC!BI24</f>
        <v>0.77620826121309827</v>
      </c>
      <c r="BJ24" s="7">
        <f>BI24+預測IC!BJ24</f>
        <v>0.77955657696798286</v>
      </c>
      <c r="BK24" s="7">
        <f>BJ24+預測IC!BK24</f>
        <v>0.78358012386226905</v>
      </c>
      <c r="BL24" s="7">
        <f>BK24+預測IC!BL24</f>
        <v>1.1007444177869856</v>
      </c>
      <c r="BM24" s="7">
        <f>BL24+預測IC!BM24</f>
        <v>1.1122174369047229</v>
      </c>
      <c r="BN24" s="7">
        <f>BM24+預測IC!BN24</f>
        <v>1.1190667787502977</v>
      </c>
      <c r="BO24" s="7">
        <f>BN24+預測IC!BO24</f>
        <v>0.95795708765465581</v>
      </c>
      <c r="BP24" s="7">
        <f>BO24+預測IC!BP24</f>
        <v>1.0813082687839777</v>
      </c>
      <c r="BQ24" s="7">
        <f>BP24+預測IC!BQ24</f>
        <v>1.0171386354538627</v>
      </c>
      <c r="BR24" s="7">
        <f>BQ24+預測IC!BR24</f>
        <v>1.0594948587572806</v>
      </c>
      <c r="BS24" s="7">
        <f>BR24+預測IC!BS24</f>
        <v>1.0582101412728235</v>
      </c>
      <c r="BT24" s="7">
        <f>BS24+預測IC!BT24</f>
        <v>1.1744808373270108</v>
      </c>
      <c r="BU24" s="7">
        <f>BT24+預測IC!BU24</f>
        <v>1.4028074688869516</v>
      </c>
      <c r="BV24" s="7">
        <f>BU24+預測IC!BV24</f>
        <v>1.5105359227749344</v>
      </c>
      <c r="BW24" s="7">
        <f>BV24+預測IC!BW24</f>
        <v>1.4487000391393412</v>
      </c>
      <c r="BX24" s="7">
        <f>BW24+預測IC!BX24</f>
        <v>1.3157399834288834</v>
      </c>
      <c r="BY24" s="7">
        <f>BX24+預測IC!BY24</f>
        <v>1.4254856525963007</v>
      </c>
      <c r="BZ24" s="7">
        <f>BY24+預測IC!BZ24</f>
        <v>1.6843785514462977</v>
      </c>
      <c r="CA24" s="7">
        <f>BZ24+預測IC!CA24</f>
        <v>1.7844034671352484</v>
      </c>
      <c r="CB24" s="7">
        <f>CA24+預測IC!CB24</f>
        <v>1.9931654414231175</v>
      </c>
      <c r="CC24" s="7">
        <f>CB24+預測IC!CC24</f>
        <v>2.4330199536900512</v>
      </c>
      <c r="CD24" s="7">
        <f>CC24+預測IC!CD24</f>
        <v>2.5773262644322461</v>
      </c>
      <c r="CE24" s="7">
        <f>CD24+預測IC!CE24</f>
        <v>2.3672048291961576</v>
      </c>
      <c r="CF24" s="7">
        <f>CE24+預測IC!CF24</f>
        <v>2.588926191441546</v>
      </c>
      <c r="CG24" s="7">
        <f>CF24+預測IC!CG24</f>
        <v>2.2651082124224855</v>
      </c>
      <c r="CH24" s="7">
        <f>CG24+預測IC!CH24</f>
        <v>2.6193855092649887</v>
      </c>
      <c r="CI24" s="7">
        <f>CH24+預測IC!CI24</f>
        <v>2.9478373299742531</v>
      </c>
      <c r="CJ24" s="7">
        <f>CI24+預測IC!CJ24</f>
        <v>2.9609468153936724</v>
      </c>
      <c r="CK24" s="7">
        <f>CJ24+預測IC!CK24</f>
        <v>3.054476894709369</v>
      </c>
      <c r="CL24" s="7">
        <f>CK24+預測IC!CL24</f>
        <v>3.1962322280819095</v>
      </c>
      <c r="CM24" s="7">
        <f>CL24+預測IC!CM24</f>
        <v>3.7458193380410099</v>
      </c>
      <c r="CN24" s="7">
        <f>CM24+預測IC!CN24</f>
        <v>3.6380805715837967</v>
      </c>
      <c r="CO24" s="7">
        <f>CN24+預測IC!CO24</f>
        <v>2.8614273532475654</v>
      </c>
      <c r="CP24" s="7">
        <f>CO24+預測IC!CP24</f>
        <v>3.0217715580624076</v>
      </c>
      <c r="CQ24" s="7">
        <f>CP24+預測IC!CQ24</f>
        <v>3.1364587319257042</v>
      </c>
      <c r="CR24" s="7">
        <f>CQ24+預測IC!CR24</f>
        <v>3.1975435701652608</v>
      </c>
      <c r="CS24" s="7">
        <f>CR24+預測IC!CS24</f>
        <v>3.1116483374184551</v>
      </c>
      <c r="CT24" s="7">
        <f>CS24+預測IC!CT24</f>
        <v>3.2080673455658508</v>
      </c>
      <c r="CU24" s="7">
        <f>CT24+預測IC!CU24</f>
        <v>3.135315997909141</v>
      </c>
      <c r="CV24" s="7">
        <f>CU24+預測IC!CV24</f>
        <v>3.1503800454485162</v>
      </c>
      <c r="CW24" s="7">
        <f>CV24+預測IC!CW24</f>
        <v>3.3254972115205237</v>
      </c>
      <c r="CX24" s="7">
        <f>CW24+預測IC!CX24</f>
        <v>3.3807044052292108</v>
      </c>
      <c r="CY24" s="7">
        <f>CX24+預測IC!CY24</f>
        <v>3.300637500592392</v>
      </c>
      <c r="CZ24" s="7">
        <f>CY24+預測IC!CZ24</f>
        <v>3.4128441290369591</v>
      </c>
      <c r="DA24" s="7">
        <f>CZ24+預測IC!DA24</f>
        <v>3.4373553331997138</v>
      </c>
      <c r="DB24" s="7">
        <f>DA24+預測IC!DB24</f>
        <v>3.2418946606870596</v>
      </c>
      <c r="DC24" s="7">
        <f>DB24+預測IC!DC24</f>
        <v>3.4330704188575942</v>
      </c>
      <c r="DD24" s="7">
        <f>DC24+預測IC!DD24</f>
        <v>3.5864517995967002</v>
      </c>
      <c r="DE24" s="7">
        <f>DD24+預測IC!DE24</f>
        <v>3.4103890420871652</v>
      </c>
      <c r="DF24" s="7">
        <f>DE24+預測IC!DF24</f>
        <v>3.3057240660666039</v>
      </c>
      <c r="DG24" s="7">
        <f>DF24+預測IC!DG24</f>
        <v>3.3648299001909479</v>
      </c>
      <c r="DH24" s="7">
        <f>DG24+預測IC!DH24</f>
        <v>3.3656764252563143</v>
      </c>
      <c r="DI24" s="7">
        <f>DH24+預測IC!DI24</f>
        <v>3.5075518841945836</v>
      </c>
      <c r="DJ24" s="7">
        <f>DI24+預測IC!DJ24</f>
        <v>3.3750632736853441</v>
      </c>
      <c r="DK24" s="7">
        <f>DJ24+預測IC!DK24</f>
        <v>3.7145724843157879</v>
      </c>
      <c r="DL24" s="7">
        <f>DK24+預測IC!DL24</f>
        <v>3.9276769106016691</v>
      </c>
      <c r="DM24" s="7">
        <f>DL24+預測IC!DM24</f>
        <v>3.7862373833747944</v>
      </c>
      <c r="DN24" s="7">
        <f>DM24+預測IC!DN24</f>
        <v>4.019571954149491</v>
      </c>
      <c r="DO24" s="7">
        <f>DN24+預測IC!DO24</f>
        <v>4.2050127567821791</v>
      </c>
      <c r="DP24" s="7">
        <f>DO24+預測IC!DP24</f>
        <v>4.3193861822681932</v>
      </c>
      <c r="DQ24" s="7">
        <f>DP24+預測IC!DQ24</f>
        <v>4.1864088310322227</v>
      </c>
      <c r="DR24" s="7">
        <f>DQ24+預測IC!DR24</f>
        <v>4.1658932008201939</v>
      </c>
      <c r="DS24" s="7">
        <f>DR24+預測IC!DS24</f>
        <v>3.9496316597873484</v>
      </c>
      <c r="DT24" s="7">
        <f>DS24+預測IC!DT24</f>
        <v>3.9112687936172188</v>
      </c>
      <c r="DU24" s="7">
        <f>DT24+預測IC!DU24</f>
        <v>3.8636302063434611</v>
      </c>
      <c r="DV24" s="7">
        <f>DU24+預測IC!DV24</f>
        <v>4.0218549049872756</v>
      </c>
      <c r="DW24" s="7">
        <f>DV24+預測IC!DW24</f>
        <v>4.130711994878606</v>
      </c>
      <c r="DX24" s="7">
        <f>DW24+預測IC!DX24</f>
        <v>3.819118867086102</v>
      </c>
      <c r="DY24" s="7">
        <f>DX24+預測IC!DY24</f>
        <v>4.1629231538843108</v>
      </c>
      <c r="DZ24" s="7">
        <f>DY24+預測IC!DZ24</f>
        <v>4.1124539714811945</v>
      </c>
      <c r="EA24" s="7">
        <f>DZ24+預測IC!EA24</f>
        <v>4.1898048937085299</v>
      </c>
      <c r="EB24" s="7">
        <f>EA24+預測IC!EB24</f>
        <v>4.1602227173432356</v>
      </c>
      <c r="EC24" s="7">
        <f>EB24+預測IC!EC24</f>
        <v>4.1459127985725566</v>
      </c>
      <c r="ED24" s="7">
        <f>EC24+預測IC!ED24</f>
        <v>4.0897399532741945</v>
      </c>
      <c r="EE24" s="7">
        <f>ED24+預測IC!EE24</f>
        <v>4.203169392465413</v>
      </c>
      <c r="EF24" s="7">
        <f>EE24+預測IC!EF24</f>
        <v>4.2704460695093811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zoomScale="118" workbookViewId="0"/>
  </sheetViews>
  <sheetFormatPr defaultRowHeight="15" x14ac:dyDescent="0.3"/>
  <cols>
    <col min="137" max="137" width="10" bestFit="1" customWidth="1"/>
  </cols>
  <sheetData>
    <row r="1" spans="1:137" x14ac:dyDescent="0.3">
      <c r="A1" t="str">
        <f>預測IC!A1</f>
        <v>NN3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138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139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FF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B12" s="1" t="s">
        <v>152</v>
      </c>
      <c r="C12" s="7">
        <v>8.4653346747999555E-2</v>
      </c>
      <c r="D12" s="7">
        <f>C12+預測IC!D12</f>
        <v>0.19934197579322305</v>
      </c>
      <c r="E12" s="7">
        <f>D12+預測IC!E12</f>
        <v>0.19258794743486513</v>
      </c>
      <c r="F12" s="7">
        <f>E12+預測IC!F12</f>
        <v>0.20600905182442358</v>
      </c>
      <c r="G12" s="7">
        <f>F12+預測IC!G12</f>
        <v>0.21391339857035194</v>
      </c>
      <c r="H12" s="7">
        <f>G12+預測IC!H12</f>
        <v>0.25244391082023987</v>
      </c>
      <c r="I12" s="7">
        <f>H12+預測IC!I12</f>
        <v>0.26525369951340538</v>
      </c>
      <c r="J12" s="7">
        <f>I12+預測IC!J12</f>
        <v>0.23584557667441552</v>
      </c>
      <c r="K12" s="7">
        <f>J12+預測IC!K12</f>
        <v>0.22485717282159343</v>
      </c>
      <c r="L12" s="7">
        <f>K12+預測IC!L12</f>
        <v>0.22257994204063017</v>
      </c>
      <c r="M12" s="7">
        <f>L12+預測IC!M12</f>
        <v>0.22218346503270711</v>
      </c>
      <c r="N12" s="7">
        <f>M12+預測IC!N12</f>
        <v>0.29151045181105995</v>
      </c>
      <c r="O12" s="7">
        <f>N12+預測IC!O12</f>
        <v>0.30875119086611252</v>
      </c>
      <c r="P12" s="7">
        <f>O12+預測IC!P12</f>
        <v>0.30898116215404708</v>
      </c>
      <c r="Q12" s="7">
        <f>P12+預測IC!Q12</f>
        <v>0.34425104760652547</v>
      </c>
      <c r="R12" s="7">
        <f>Q12+預測IC!R12</f>
        <v>0.35091393140176236</v>
      </c>
      <c r="S12" s="7">
        <f>R12+預測IC!S12</f>
        <v>0.33444153665983034</v>
      </c>
      <c r="T12" s="7">
        <f>S12+預測IC!T12</f>
        <v>0.32670173659081736</v>
      </c>
      <c r="U12" s="7">
        <f>T12+預測IC!U12</f>
        <v>0.31052313770793849</v>
      </c>
      <c r="V12" s="7">
        <f>U12+預測IC!V12</f>
        <v>0.31672760777728293</v>
      </c>
      <c r="W12" s="7">
        <f>V12+預測IC!W12</f>
        <v>0.38076702276266394</v>
      </c>
      <c r="X12" s="7">
        <f>W12+預測IC!X12</f>
        <v>0.40784091318721105</v>
      </c>
      <c r="Y12" s="7">
        <f>X12+預測IC!Y12</f>
        <v>0.42328128160077183</v>
      </c>
      <c r="Z12" s="7">
        <f>Y12+預測IC!Z12</f>
        <v>0.42844718921057534</v>
      </c>
      <c r="AA12" s="7">
        <f>Z12+預測IC!AA12</f>
        <v>0.38904352780946355</v>
      </c>
      <c r="AB12" s="7">
        <f>AA12+預測IC!AB12</f>
        <v>0.38533210939413015</v>
      </c>
      <c r="AC12" s="7">
        <f>AB12+預測IC!AC12</f>
        <v>0.39049948915458671</v>
      </c>
      <c r="AD12" s="7">
        <f>AC12+預測IC!AD12</f>
        <v>0.3846523791553495</v>
      </c>
      <c r="AE12" s="7">
        <f>AD12+預測IC!AE12</f>
        <v>0.32633541608425065</v>
      </c>
      <c r="AF12" s="7">
        <f>AE12+預測IC!AF12</f>
        <v>0.30590326478038571</v>
      </c>
      <c r="AG12" s="7">
        <f>AF12+預測IC!AG12</f>
        <v>0.31798239274358708</v>
      </c>
      <c r="AH12" s="7">
        <f>AG12+預測IC!AH12</f>
        <v>0.30457658809395383</v>
      </c>
      <c r="AI12" s="7">
        <f>AH12+預測IC!AI12</f>
        <v>0.32782304727281841</v>
      </c>
      <c r="AJ12" s="7">
        <f>AI12+預測IC!AJ12</f>
        <v>0.34888530996649197</v>
      </c>
      <c r="AK12" s="7">
        <f>AJ12+預測IC!AK12</f>
        <v>0.35838881782051696</v>
      </c>
      <c r="AL12" s="7">
        <f>AK12+預測IC!AL12</f>
        <v>0.37624782084243902</v>
      </c>
      <c r="AM12" s="7">
        <f>AL12+預測IC!AM12</f>
        <v>0.40633393645503696</v>
      </c>
      <c r="AN12" s="7">
        <f>AM12+預測IC!AN12</f>
        <v>0.4755671707684655</v>
      </c>
      <c r="AO12" s="7">
        <f>AN12+預測IC!AO12</f>
        <v>0.47779596380813855</v>
      </c>
      <c r="AP12" s="7">
        <f>AO12+預測IC!AP12</f>
        <v>0.47316202728030943</v>
      </c>
      <c r="AQ12" s="7">
        <f>AP12+預測IC!AQ12</f>
        <v>0.4655400908917256</v>
      </c>
      <c r="AR12" s="7">
        <f>AQ12+預測IC!AR12</f>
        <v>0.47906635034169198</v>
      </c>
      <c r="AS12" s="7">
        <f>AR12+預測IC!AS12</f>
        <v>0.49816606879639258</v>
      </c>
      <c r="AT12" s="7">
        <f>AS12+預測IC!AT12</f>
        <v>0.51200097350406382</v>
      </c>
      <c r="AU12" s="7">
        <f>AT12+預測IC!AU12</f>
        <v>0.53270963218493927</v>
      </c>
      <c r="AV12" s="7">
        <f>AU12+預測IC!AV12</f>
        <v>0.49134954743991427</v>
      </c>
      <c r="AW12" s="7">
        <f>AV12+預測IC!AW12</f>
        <v>0.49197102445793034</v>
      </c>
      <c r="AX12" s="7">
        <f>AW12+預測IC!AX12</f>
        <v>0.48331293921567342</v>
      </c>
      <c r="AY12" s="7">
        <f>AX12+預測IC!AY12</f>
        <v>0.50826823228334672</v>
      </c>
      <c r="AZ12" s="7">
        <f>AY12+預測IC!AZ12</f>
        <v>0.50596820621168903</v>
      </c>
      <c r="BA12" s="7">
        <f>AZ12+預測IC!BA12</f>
        <v>0.51090609439493084</v>
      </c>
      <c r="BB12" s="7">
        <f>BA12+預測IC!BB12</f>
        <v>0.52618069964739023</v>
      </c>
      <c r="BC12" s="7">
        <f>BB12+預測IC!BC12</f>
        <v>0.53845348868586673</v>
      </c>
      <c r="BD12" s="7">
        <f>BC12+預測IC!BD12</f>
        <v>0.55208404562751934</v>
      </c>
      <c r="BE12" s="7">
        <f>BD12+預測IC!BE12</f>
        <v>0.57069285546690462</v>
      </c>
      <c r="BF12" s="7">
        <f>BE12+預測IC!BF12</f>
        <v>0.63848520795010477</v>
      </c>
      <c r="BG12" s="7">
        <f>BF12+預測IC!BG12</f>
        <v>0.6721560703913676</v>
      </c>
      <c r="BH12" s="7">
        <f>BG12+預測IC!BH12</f>
        <v>0.68637943040268956</v>
      </c>
      <c r="BI12" s="7">
        <f>BH12+預測IC!BI12</f>
        <v>0.73640068343368037</v>
      </c>
      <c r="BJ12" s="7">
        <f>BI12+預測IC!BJ12</f>
        <v>0.7356046901137625</v>
      </c>
      <c r="BK12" s="7">
        <f>BJ12+預測IC!BK12</f>
        <v>0.71432002515362858</v>
      </c>
      <c r="BL12" s="7">
        <f>BK12+預測IC!BL12</f>
        <v>0.73902927098377724</v>
      </c>
      <c r="BM12" s="7">
        <f>BL12+預測IC!BM12</f>
        <v>0.73386017902754741</v>
      </c>
      <c r="BN12" s="7">
        <f>BM12+預測IC!BN12</f>
        <v>0.74537671453964394</v>
      </c>
      <c r="BO12" s="7">
        <f>BN12+預測IC!BO12</f>
        <v>0.76962302479588085</v>
      </c>
      <c r="BP12" s="7">
        <f>BO12+預測IC!BP12</f>
        <v>0.75911403949058676</v>
      </c>
      <c r="BQ12" s="7">
        <f>BP12+預測IC!BQ12</f>
        <v>0.77301078910933341</v>
      </c>
      <c r="BR12" s="7">
        <f>BQ12+預測IC!BR12</f>
        <v>0.77074978065593458</v>
      </c>
      <c r="BS12" s="7">
        <f>BR12+預測IC!BS12</f>
        <v>0.78961307404033054</v>
      </c>
      <c r="BT12" s="7">
        <f>BS12+預測IC!BT12</f>
        <v>0.81164454271777475</v>
      </c>
      <c r="BU12" s="7">
        <f>BT12+預測IC!BU12</f>
        <v>0.8204260598578712</v>
      </c>
      <c r="BV12" s="7">
        <f>BU12+預測IC!BV12</f>
        <v>0.84348851559106219</v>
      </c>
      <c r="BW12" s="7">
        <f>BV12+預測IC!BW12</f>
        <v>0.81400474687153268</v>
      </c>
      <c r="BX12" s="7">
        <f>BW12+預測IC!BX12</f>
        <v>0.82548190887548278</v>
      </c>
      <c r="BY12" s="7">
        <f>BX12+預測IC!BY12</f>
        <v>0.79211110854391131</v>
      </c>
      <c r="BZ12" s="7">
        <f>BY12+預測IC!BZ12</f>
        <v>0.83746805423518433</v>
      </c>
      <c r="CA12" s="7">
        <f>BZ12+預測IC!CA12</f>
        <v>0.85204861178858715</v>
      </c>
      <c r="CB12" s="7">
        <f>CA12+預測IC!CB12</f>
        <v>0.85399185392035004</v>
      </c>
      <c r="CC12" s="7">
        <f>CB12+預測IC!CC12</f>
        <v>0.83722088952623985</v>
      </c>
      <c r="CD12" s="7">
        <f>CC12+預測IC!CD12</f>
        <v>0.94815452311069237</v>
      </c>
      <c r="CE12" s="7">
        <f>CD12+預測IC!CE12</f>
        <v>0.95977393155292157</v>
      </c>
      <c r="CF12" s="7">
        <f>CE12+預測IC!CF12</f>
        <v>0.98754151496669373</v>
      </c>
      <c r="CG12" s="7">
        <f>CF12+預測IC!CG12</f>
        <v>1.0293987490167569</v>
      </c>
      <c r="CH12" s="7">
        <f>CG12+預測IC!CH12</f>
        <v>1.0926961213947168</v>
      </c>
      <c r="CI12" s="7">
        <f>CH12+預測IC!CI12</f>
        <v>1.0580402089825112</v>
      </c>
      <c r="CJ12" s="7">
        <f>CI12+預測IC!CJ12</f>
        <v>1.0734853894612</v>
      </c>
      <c r="CK12" s="7">
        <f>CJ12+預測IC!CK12</f>
        <v>1.0862885336160348</v>
      </c>
      <c r="CL12" s="7">
        <f>CK12+預測IC!CL12</f>
        <v>1.2043041412856452</v>
      </c>
      <c r="CM12" s="7">
        <f>CL12+預測IC!CM12</f>
        <v>1.1890844151183044</v>
      </c>
      <c r="CN12" s="7">
        <f>CM12+預測IC!CN12</f>
        <v>1.1620007139037452</v>
      </c>
      <c r="CO12" s="7">
        <f>CN12+預測IC!CO12</f>
        <v>1.1347345870236394</v>
      </c>
      <c r="CP12" s="7">
        <f>CO12+預測IC!CP12</f>
        <v>1.1800336084911331</v>
      </c>
      <c r="CQ12" s="7">
        <f>CP12+預測IC!CQ12</f>
        <v>1.2166058034010667</v>
      </c>
      <c r="CR12" s="7">
        <f>CQ12+預測IC!CR12</f>
        <v>1.2187236818317191</v>
      </c>
      <c r="CS12" s="7">
        <f>CR12+預測IC!CS12</f>
        <v>1.2035220341446735</v>
      </c>
      <c r="CT12" s="7">
        <f>CS12+預測IC!CT12</f>
        <v>1.2026979981211425</v>
      </c>
      <c r="CU12" s="7">
        <f>CT12+預測IC!CU12</f>
        <v>1.2383217137833378</v>
      </c>
      <c r="CV12" s="7">
        <f>CU12+預測IC!CV12</f>
        <v>1.2464343401588749</v>
      </c>
      <c r="CW12" s="7">
        <f>CV12+預測IC!CW12</f>
        <v>1.2519822649034071</v>
      </c>
      <c r="CX12" s="7">
        <f>CW12+預測IC!CX12</f>
        <v>1.3129721474403988</v>
      </c>
      <c r="CY12" s="7">
        <f>CX12+預測IC!CY12</f>
        <v>1.3069892052289083</v>
      </c>
      <c r="CZ12" s="7">
        <f>CY12+預測IC!CZ12</f>
        <v>1.384781532568409</v>
      </c>
      <c r="DA12" s="7">
        <f>CZ12+預測IC!DA12</f>
        <v>1.3903853166387694</v>
      </c>
      <c r="DB12" s="7">
        <f>DA12+預測IC!DB12</f>
        <v>1.3674034406846425</v>
      </c>
      <c r="DC12" s="7">
        <f>DB12+預測IC!DC12</f>
        <v>1.4013766435594173</v>
      </c>
      <c r="DD12" s="7">
        <f>DC12+預測IC!DD12</f>
        <v>1.4262656216166578</v>
      </c>
      <c r="DE12" s="7">
        <f>DD12+預測IC!DE12</f>
        <v>1.427463729997879</v>
      </c>
      <c r="DF12" s="7">
        <f>DE12+預測IC!DF12</f>
        <v>1.4206292042618385</v>
      </c>
      <c r="DG12" s="7">
        <f>DF12+預測IC!DG12</f>
        <v>1.4196814953225216</v>
      </c>
      <c r="DH12" s="7">
        <f>DG12+預測IC!DH12</f>
        <v>1.415858813351089</v>
      </c>
      <c r="DI12" s="7">
        <f>DH12+預測IC!DI12</f>
        <v>1.3614156403589566</v>
      </c>
      <c r="DJ12" s="7">
        <f>DI12+預測IC!DJ12</f>
        <v>1.369478238613727</v>
      </c>
      <c r="DK12" s="7">
        <f>DJ12+預測IC!DK12</f>
        <v>1.3535322854867107</v>
      </c>
      <c r="DL12" s="7">
        <f>DK12+預測IC!DL12</f>
        <v>1.3531776094640668</v>
      </c>
      <c r="DM12" s="7">
        <f>DL12+預測IC!DM12</f>
        <v>1.3483372602189869</v>
      </c>
      <c r="DN12" s="7">
        <f>DM12+預測IC!DN12</f>
        <v>1.3907476256050517</v>
      </c>
      <c r="DO12" s="7">
        <f>DN12+預測IC!DO12</f>
        <v>1.4133473592853805</v>
      </c>
      <c r="DP12" s="7">
        <f>DO12+預測IC!DP12</f>
        <v>1.4459318088856776</v>
      </c>
      <c r="DQ12" s="7">
        <f>DP12+預測IC!DQ12</f>
        <v>1.4231619439766416</v>
      </c>
      <c r="DR12" s="7">
        <f>DQ12+預測IC!DR12</f>
        <v>1.4419408872560286</v>
      </c>
      <c r="DS12" s="7">
        <f>DR12+預測IC!DS12</f>
        <v>1.4062147318043308</v>
      </c>
      <c r="DT12" s="7">
        <f>DS12+預測IC!DT12</f>
        <v>1.3609168484099303</v>
      </c>
      <c r="DU12" s="7">
        <f>DT12+預測IC!DU12</f>
        <v>1.3746694964963129</v>
      </c>
      <c r="DV12" s="7">
        <f>DU12+預測IC!DV12</f>
        <v>1.4232203209738437</v>
      </c>
      <c r="DW12" s="7">
        <f>DV12+預測IC!DW12</f>
        <v>1.466945885193881</v>
      </c>
      <c r="DX12" s="7">
        <f>DW12+預測IC!DX12</f>
        <v>1.4167938046515194</v>
      </c>
      <c r="DY12" s="7">
        <f>DX12+預測IC!DY12</f>
        <v>1.4321510747700144</v>
      </c>
      <c r="DZ12" s="7">
        <f>DY12+預測IC!DZ12</f>
        <v>1.4280153492898369</v>
      </c>
      <c r="EA12" s="7">
        <f>DZ12+預測IC!EA12</f>
        <v>1.4920192906130338</v>
      </c>
      <c r="EB12" s="7">
        <f>EA12+預測IC!EB12</f>
        <v>1.4948476173878866</v>
      </c>
      <c r="EC12" s="7">
        <f>EB12+預測IC!EC12</f>
        <v>1.521499126967552</v>
      </c>
      <c r="ED12" s="7">
        <f>EC12+預測IC!ED12</f>
        <v>1.4609909741590679</v>
      </c>
      <c r="EE12" s="7">
        <f>ED12+預測IC!EE12</f>
        <v>1.4729080704315554</v>
      </c>
      <c r="EF12" s="7">
        <f>EE12+預測IC!EF12</f>
        <v>1.512141418470351</v>
      </c>
    </row>
    <row r="13" spans="1:137" x14ac:dyDescent="0.3">
      <c r="B13" s="1" t="s">
        <v>153</v>
      </c>
      <c r="C13" s="7">
        <v>0.104112750252762</v>
      </c>
      <c r="D13" s="7">
        <f>C13+預測IC!D13</f>
        <v>0.22785777904553428</v>
      </c>
      <c r="E13" s="7">
        <f>D13+預測IC!E13</f>
        <v>0.19336115955418123</v>
      </c>
      <c r="F13" s="7">
        <f>E13+預測IC!F13</f>
        <v>0.18190591967880443</v>
      </c>
      <c r="G13" s="7">
        <f>F13+預測IC!G13</f>
        <v>0.16699793992150103</v>
      </c>
      <c r="H13" s="7">
        <f>G13+預測IC!H13</f>
        <v>0.1969875716472223</v>
      </c>
      <c r="I13" s="7">
        <f>H13+預測IC!I13</f>
        <v>0.22611816657091993</v>
      </c>
      <c r="J13" s="7">
        <f>I13+預測IC!J13</f>
        <v>0.18221893949350781</v>
      </c>
      <c r="K13" s="7">
        <f>J13+預測IC!K13</f>
        <v>0.1368879492512888</v>
      </c>
      <c r="L13" s="7">
        <f>K13+預測IC!L13</f>
        <v>0.10775228021384334</v>
      </c>
      <c r="M13" s="7">
        <f>L13+預測IC!M13</f>
        <v>0.13343938236007866</v>
      </c>
      <c r="N13" s="7">
        <f>M13+預測IC!N13</f>
        <v>0.23324629931674923</v>
      </c>
      <c r="O13" s="7">
        <f>N13+預測IC!O13</f>
        <v>0.27303559094338165</v>
      </c>
      <c r="P13" s="7">
        <f>O13+預測IC!P13</f>
        <v>0.28982721868147227</v>
      </c>
      <c r="Q13" s="7">
        <f>P13+預測IC!Q13</f>
        <v>0.36305158716902969</v>
      </c>
      <c r="R13" s="7">
        <f>Q13+預測IC!R13</f>
        <v>0.37721153165506621</v>
      </c>
      <c r="S13" s="7">
        <f>R13+預測IC!S13</f>
        <v>0.3649678604461532</v>
      </c>
      <c r="T13" s="7">
        <f>S13+預測IC!T13</f>
        <v>0.34286384002698095</v>
      </c>
      <c r="U13" s="7">
        <f>T13+預測IC!U13</f>
        <v>0.34446085626016676</v>
      </c>
      <c r="V13" s="7">
        <f>U13+預測IC!V13</f>
        <v>0.32436652824629225</v>
      </c>
      <c r="W13" s="7">
        <f>V13+預測IC!W13</f>
        <v>0.39984309010644248</v>
      </c>
      <c r="X13" s="7">
        <f>W13+預測IC!X13</f>
        <v>0.45311998483238614</v>
      </c>
      <c r="Y13" s="7">
        <f>X13+預測IC!Y13</f>
        <v>0.46704097739003481</v>
      </c>
      <c r="Z13" s="7">
        <f>Y13+預測IC!Z13</f>
        <v>0.48762473855916305</v>
      </c>
      <c r="AA13" s="7">
        <f>Z13+預測IC!AA13</f>
        <v>0.45550522822069178</v>
      </c>
      <c r="AB13" s="7">
        <f>AA13+預測IC!AB13</f>
        <v>0.43946912953547085</v>
      </c>
      <c r="AC13" s="7">
        <f>AB13+預測IC!AC13</f>
        <v>0.44750056933142124</v>
      </c>
      <c r="AD13" s="7">
        <f>AC13+預測IC!AD13</f>
        <v>0.44092152412888047</v>
      </c>
      <c r="AE13" s="7">
        <f>AD13+預測IC!AE13</f>
        <v>0.37520214210127001</v>
      </c>
      <c r="AF13" s="7">
        <f>AE13+預測IC!AF13</f>
        <v>0.34326167826696879</v>
      </c>
      <c r="AG13" s="7">
        <f>AF13+預測IC!AG13</f>
        <v>0.34654398844792128</v>
      </c>
      <c r="AH13" s="7">
        <f>AG13+預測IC!AH13</f>
        <v>0.3369026492084049</v>
      </c>
      <c r="AI13" s="7">
        <f>AH13+預測IC!AI13</f>
        <v>0.35681255942881834</v>
      </c>
      <c r="AJ13" s="7">
        <f>AI13+預測IC!AJ13</f>
        <v>0.37669888345999603</v>
      </c>
      <c r="AK13" s="7">
        <f>AJ13+預測IC!AK13</f>
        <v>0.38001732823143658</v>
      </c>
      <c r="AL13" s="7">
        <f>AK13+預測IC!AL13</f>
        <v>0.40316875682660763</v>
      </c>
      <c r="AM13" s="7">
        <f>AL13+預測IC!AM13</f>
        <v>0.44945120036343655</v>
      </c>
      <c r="AN13" s="7">
        <f>AM13+預測IC!AN13</f>
        <v>0.5547814384994707</v>
      </c>
      <c r="AO13" s="7">
        <f>AN13+預測IC!AO13</f>
        <v>0.56409262639888569</v>
      </c>
      <c r="AP13" s="7">
        <f>AO13+預測IC!AP13</f>
        <v>0.55750463649124293</v>
      </c>
      <c r="AQ13" s="7">
        <f>AP13+預測IC!AQ13</f>
        <v>0.55145534772234328</v>
      </c>
      <c r="AR13" s="7">
        <f>AQ13+預測IC!AR13</f>
        <v>0.56214453325827896</v>
      </c>
      <c r="AS13" s="7">
        <f>AR13+預測IC!AS13</f>
        <v>0.60345765174251309</v>
      </c>
      <c r="AT13" s="7">
        <f>AS13+預測IC!AT13</f>
        <v>0.64392073959695284</v>
      </c>
      <c r="AU13" s="7">
        <f>AT13+預測IC!AU13</f>
        <v>0.68489686607293165</v>
      </c>
      <c r="AV13" s="7">
        <f>AU13+預測IC!AV13</f>
        <v>0.67542139343337859</v>
      </c>
      <c r="AW13" s="7">
        <f>AV13+預測IC!AW13</f>
        <v>0.67950140701644202</v>
      </c>
      <c r="AX13" s="7">
        <f>AW13+預測IC!AX13</f>
        <v>0.6676204387310094</v>
      </c>
      <c r="AY13" s="7">
        <f>AX13+預測IC!AY13</f>
        <v>0.68518478507963432</v>
      </c>
      <c r="AZ13" s="7">
        <f>AY13+預測IC!AZ13</f>
        <v>0.6770813176101349</v>
      </c>
      <c r="BA13" s="7">
        <f>AZ13+預測IC!BA13</f>
        <v>0.68362225521719588</v>
      </c>
      <c r="BB13" s="7">
        <f>BA13+預測IC!BB13</f>
        <v>0.72649762971400678</v>
      </c>
      <c r="BC13" s="7">
        <f>BB13+預測IC!BC13</f>
        <v>0.73778139682566446</v>
      </c>
      <c r="BD13" s="7">
        <f>BC13+預測IC!BD13</f>
        <v>0.74112582520934578</v>
      </c>
      <c r="BE13" s="7">
        <f>BD13+預測IC!BE13</f>
        <v>0.76851763151498731</v>
      </c>
      <c r="BF13" s="7">
        <f>BE13+預測IC!BF13</f>
        <v>0.85244704682248407</v>
      </c>
      <c r="BG13" s="7">
        <f>BF13+預測IC!BG13</f>
        <v>0.89901350916119571</v>
      </c>
      <c r="BH13" s="7">
        <f>BG13+預測IC!BH13</f>
        <v>0.90748923897281475</v>
      </c>
      <c r="BI13" s="7">
        <f>BH13+預測IC!BI13</f>
        <v>0.95989837142951617</v>
      </c>
      <c r="BJ13" s="7">
        <f>BI13+預測IC!BJ13</f>
        <v>0.94305128543925132</v>
      </c>
      <c r="BK13" s="7">
        <f>BJ13+預測IC!BK13</f>
        <v>0.9246602605595019</v>
      </c>
      <c r="BL13" s="7">
        <f>BK13+預測IC!BL13</f>
        <v>0.9566081207726771</v>
      </c>
      <c r="BM13" s="7">
        <f>BL13+預測IC!BM13</f>
        <v>0.97352673639155873</v>
      </c>
      <c r="BN13" s="7">
        <f>BM13+預測IC!BN13</f>
        <v>0.984579278266835</v>
      </c>
      <c r="BO13" s="7">
        <f>BN13+預測IC!BO13</f>
        <v>1.015457994500309</v>
      </c>
      <c r="BP13" s="7">
        <f>BO13+預測IC!BP13</f>
        <v>1.0248906901949606</v>
      </c>
      <c r="BQ13" s="7">
        <f>BP13+預測IC!BQ13</f>
        <v>1.0665437539843863</v>
      </c>
      <c r="BR13" s="7">
        <f>BQ13+預測IC!BR13</f>
        <v>1.0598623365008288</v>
      </c>
      <c r="BS13" s="7">
        <f>BR13+預測IC!BS13</f>
        <v>1.0672818083410485</v>
      </c>
      <c r="BT13" s="7">
        <f>BS13+預測IC!BT13</f>
        <v>1.1056253139575212</v>
      </c>
      <c r="BU13" s="7">
        <f>BT13+預測IC!BU13</f>
        <v>1.123331868994075</v>
      </c>
      <c r="BV13" s="7">
        <f>BU13+預測IC!BV13</f>
        <v>1.1439854658702837</v>
      </c>
      <c r="BW13" s="7">
        <f>BV13+預測IC!BW13</f>
        <v>1.1457487036809608</v>
      </c>
      <c r="BX13" s="7">
        <f>BW13+預測IC!BX13</f>
        <v>1.1668267712049873</v>
      </c>
      <c r="BY13" s="7">
        <f>BX13+預測IC!BY13</f>
        <v>1.1523143735344969</v>
      </c>
      <c r="BZ13" s="7">
        <f>BY13+預測IC!BZ13</f>
        <v>1.228452496593547</v>
      </c>
      <c r="CA13" s="7">
        <f>BZ13+預測IC!CA13</f>
        <v>1.2524651703856717</v>
      </c>
      <c r="CB13" s="7">
        <f>CA13+預測IC!CB13</f>
        <v>1.2458693436604515</v>
      </c>
      <c r="CC13" s="7">
        <f>CB13+預測IC!CC13</f>
        <v>1.2333384314478182</v>
      </c>
      <c r="CD13" s="7">
        <f>CC13+預測IC!CD13</f>
        <v>1.3384242643401456</v>
      </c>
      <c r="CE13" s="7">
        <f>CD13+預測IC!CE13</f>
        <v>1.3476452486655595</v>
      </c>
      <c r="CF13" s="7">
        <f>CE13+預測IC!CF13</f>
        <v>1.3921595153906288</v>
      </c>
      <c r="CG13" s="7">
        <f>CF13+預測IC!CG13</f>
        <v>1.4326085783595839</v>
      </c>
      <c r="CH13" s="7">
        <f>CG13+預測IC!CH13</f>
        <v>1.4909431901867911</v>
      </c>
      <c r="CI13" s="7">
        <f>CH13+預測IC!CI13</f>
        <v>1.4390896810525278</v>
      </c>
      <c r="CJ13" s="7">
        <f>CI13+預測IC!CJ13</f>
        <v>1.4359835930805767</v>
      </c>
      <c r="CK13" s="7">
        <f>CJ13+預測IC!CK13</f>
        <v>1.4680288623170406</v>
      </c>
      <c r="CL13" s="7">
        <f>CK13+預測IC!CL13</f>
        <v>1.5494822284192213</v>
      </c>
      <c r="CM13" s="7">
        <f>CL13+預測IC!CM13</f>
        <v>1.5391854246628263</v>
      </c>
      <c r="CN13" s="7">
        <f>CM13+預測IC!CN13</f>
        <v>1.5122978586639739</v>
      </c>
      <c r="CO13" s="7">
        <f>CN13+預測IC!CO13</f>
        <v>1.4988404001007465</v>
      </c>
      <c r="CP13" s="7">
        <f>CO13+預測IC!CP13</f>
        <v>1.5685669403784808</v>
      </c>
      <c r="CQ13" s="7">
        <f>CP13+預測IC!CQ13</f>
        <v>1.6067518905746405</v>
      </c>
      <c r="CR13" s="7">
        <f>CQ13+預測IC!CR13</f>
        <v>1.615031671572289</v>
      </c>
      <c r="CS13" s="7">
        <f>CR13+預測IC!CS13</f>
        <v>1.6258647226875635</v>
      </c>
      <c r="CT13" s="7">
        <f>CS13+預測IC!CT13</f>
        <v>1.6339355220039422</v>
      </c>
      <c r="CU13" s="7">
        <f>CT13+預測IC!CU13</f>
        <v>1.6710969242862534</v>
      </c>
      <c r="CV13" s="7">
        <f>CU13+預測IC!CV13</f>
        <v>1.6681436121129956</v>
      </c>
      <c r="CW13" s="7">
        <f>CV13+預測IC!CW13</f>
        <v>1.6741206429692417</v>
      </c>
      <c r="CX13" s="7">
        <f>CW13+預測IC!CX13</f>
        <v>1.7341538982092948</v>
      </c>
      <c r="CY13" s="7">
        <f>CX13+預測IC!CY13</f>
        <v>1.7210351580942822</v>
      </c>
      <c r="CZ13" s="7">
        <f>CY13+預測IC!CZ13</f>
        <v>1.7782593784477674</v>
      </c>
      <c r="DA13" s="7">
        <f>CZ13+預測IC!DA13</f>
        <v>1.7726757015219461</v>
      </c>
      <c r="DB13" s="7">
        <f>DA13+預測IC!DB13</f>
        <v>1.7309141318051615</v>
      </c>
      <c r="DC13" s="7">
        <f>DB13+預測IC!DC13</f>
        <v>1.7606896976834545</v>
      </c>
      <c r="DD13" s="7">
        <f>DC13+預測IC!DD13</f>
        <v>1.7713872982841903</v>
      </c>
      <c r="DE13" s="7">
        <f>DD13+預測IC!DE13</f>
        <v>1.7773162554102653</v>
      </c>
      <c r="DF13" s="7">
        <f>DE13+預測IC!DF13</f>
        <v>1.7487974586166306</v>
      </c>
      <c r="DG13" s="7">
        <f>DF13+預測IC!DG13</f>
        <v>1.7471668014437407</v>
      </c>
      <c r="DH13" s="7">
        <f>DG13+預測IC!DH13</f>
        <v>1.7584625693256557</v>
      </c>
      <c r="DI13" s="7">
        <f>DH13+預測IC!DI13</f>
        <v>1.712485544230979</v>
      </c>
      <c r="DJ13" s="7">
        <f>DI13+預測IC!DJ13</f>
        <v>1.7091537880514682</v>
      </c>
      <c r="DK13" s="7">
        <f>DJ13+預測IC!DK13</f>
        <v>1.7215628622700958</v>
      </c>
      <c r="DL13" s="7">
        <f>DK13+預測IC!DL13</f>
        <v>1.7052626157787814</v>
      </c>
      <c r="DM13" s="7">
        <f>DL13+預測IC!DM13</f>
        <v>1.6986037467303374</v>
      </c>
      <c r="DN13" s="7">
        <f>DM13+預測IC!DN13</f>
        <v>1.7101033246528505</v>
      </c>
      <c r="DO13" s="7">
        <f>DN13+預測IC!DO13</f>
        <v>1.7569947370409822</v>
      </c>
      <c r="DP13" s="7">
        <f>DO13+預測IC!DP13</f>
        <v>1.8057813728972516</v>
      </c>
      <c r="DQ13" s="7">
        <f>DP13+預測IC!DQ13</f>
        <v>1.7793512914801228</v>
      </c>
      <c r="DR13" s="7">
        <f>DQ13+預測IC!DR13</f>
        <v>1.7931225007524347</v>
      </c>
      <c r="DS13" s="7">
        <f>DR13+預測IC!DS13</f>
        <v>1.7542348729127648</v>
      </c>
      <c r="DT13" s="7">
        <f>DS13+預測IC!DT13</f>
        <v>1.7188085718651001</v>
      </c>
      <c r="DU13" s="7">
        <f>DT13+預測IC!DU13</f>
        <v>1.7375137355022447</v>
      </c>
      <c r="DV13" s="7">
        <f>DU13+預測IC!DV13</f>
        <v>1.8171338795264333</v>
      </c>
      <c r="DW13" s="7">
        <f>DV13+預測IC!DW13</f>
        <v>1.8615516691507836</v>
      </c>
      <c r="DX13" s="7">
        <f>DW13+預測IC!DX13</f>
        <v>1.7970282895722876</v>
      </c>
      <c r="DY13" s="7">
        <f>DX13+預測IC!DY13</f>
        <v>1.832414334226121</v>
      </c>
      <c r="DZ13" s="7">
        <f>DY13+預測IC!DZ13</f>
        <v>1.8178055197389027</v>
      </c>
      <c r="EA13" s="7">
        <f>DZ13+預測IC!EA13</f>
        <v>1.8910483887815848</v>
      </c>
      <c r="EB13" s="7">
        <f>EA13+預測IC!EB13</f>
        <v>1.9124216069809712</v>
      </c>
      <c r="EC13" s="7">
        <f>EB13+預測IC!EC13</f>
        <v>1.9540813604162002</v>
      </c>
      <c r="ED13" s="7">
        <f>EC13+預測IC!ED13</f>
        <v>1.8883992667569651</v>
      </c>
      <c r="EE13" s="7">
        <f>ED13+預測IC!EE13</f>
        <v>1.8963518603319296</v>
      </c>
      <c r="EF13" s="7">
        <f>EE13+預測IC!EF13</f>
        <v>1.9629290756954858</v>
      </c>
    </row>
    <row r="14" spans="1:137" x14ac:dyDescent="0.3">
      <c r="B14" s="1" t="s">
        <v>154</v>
      </c>
      <c r="C14" s="7">
        <v>0.1199414897527061</v>
      </c>
      <c r="D14" s="7">
        <f>C14+預測IC!D14</f>
        <v>0.34224993829333211</v>
      </c>
      <c r="E14" s="7">
        <f>D14+預測IC!E14</f>
        <v>0.2947239950260761</v>
      </c>
      <c r="F14" s="7">
        <f>E14+預測IC!F14</f>
        <v>0.32926645919177572</v>
      </c>
      <c r="G14" s="7">
        <f>F14+預測IC!G14</f>
        <v>0.28824654269385025</v>
      </c>
      <c r="H14" s="7">
        <f>G14+預測IC!H14</f>
        <v>0.34783434912929034</v>
      </c>
      <c r="I14" s="7">
        <f>H14+預測IC!I14</f>
        <v>0.4249493115606553</v>
      </c>
      <c r="J14" s="7">
        <f>I14+預測IC!J14</f>
        <v>0.31985492477794708</v>
      </c>
      <c r="K14" s="7">
        <f>J14+預測IC!K14</f>
        <v>0.18567622106389359</v>
      </c>
      <c r="L14" s="7">
        <f>K14+預測IC!L14</f>
        <v>0.19052341825160041</v>
      </c>
      <c r="M14" s="7">
        <f>L14+預測IC!M14</f>
        <v>0.11457187526755563</v>
      </c>
      <c r="N14" s="7">
        <f>M14+預測IC!N14</f>
        <v>0.31940445040878152</v>
      </c>
      <c r="O14" s="7">
        <f>N14+預測IC!O14</f>
        <v>0.35904675847831591</v>
      </c>
      <c r="P14" s="7">
        <f>O14+預測IC!P14</f>
        <v>0.40682652276112319</v>
      </c>
      <c r="Q14" s="7">
        <f>P14+預測IC!Q14</f>
        <v>0.46506446891575803</v>
      </c>
      <c r="R14" s="7">
        <f>Q14+預測IC!R14</f>
        <v>0.45091267261023343</v>
      </c>
      <c r="S14" s="7">
        <f>R14+預測IC!S14</f>
        <v>0.48944677213625115</v>
      </c>
      <c r="T14" s="7">
        <f>S14+預測IC!T14</f>
        <v>0.47208604090169148</v>
      </c>
      <c r="U14" s="7">
        <f>T14+預測IC!U14</f>
        <v>0.50866517042139336</v>
      </c>
      <c r="V14" s="7">
        <f>U14+預測IC!V14</f>
        <v>0.4702896241568888</v>
      </c>
      <c r="W14" s="7">
        <f>V14+預測IC!W14</f>
        <v>0.58645541468878548</v>
      </c>
      <c r="X14" s="7">
        <f>W14+預測IC!X14</f>
        <v>0.64003712320296868</v>
      </c>
      <c r="Y14" s="7">
        <f>X14+預測IC!Y14</f>
        <v>0.62327445984627927</v>
      </c>
      <c r="Z14" s="7">
        <f>Y14+預測IC!Z14</f>
        <v>0.64452666094973021</v>
      </c>
      <c r="AA14" s="7">
        <f>Z14+預測IC!AA14</f>
        <v>0.60507648064764807</v>
      </c>
      <c r="AB14" s="7">
        <f>AA14+預測IC!AB14</f>
        <v>0.53009356787552786</v>
      </c>
      <c r="AC14" s="7">
        <f>AB14+預測IC!AC14</f>
        <v>0.50080148410996417</v>
      </c>
      <c r="AD14" s="7">
        <f>AC14+預測IC!AD14</f>
        <v>0.51372159072118251</v>
      </c>
      <c r="AE14" s="7">
        <f>AD14+預測IC!AE14</f>
        <v>0.50970268389830198</v>
      </c>
      <c r="AF14" s="7">
        <f>AE14+預測IC!AF14</f>
        <v>0.46928198135590288</v>
      </c>
      <c r="AG14" s="7">
        <f>AF14+預測IC!AG14</f>
        <v>0.47567218236979592</v>
      </c>
      <c r="AH14" s="7">
        <f>AG14+預測IC!AH14</f>
        <v>0.47042190443928988</v>
      </c>
      <c r="AI14" s="7">
        <f>AH14+預測IC!AI14</f>
        <v>0.48138647512186378</v>
      </c>
      <c r="AJ14" s="7">
        <f>AI14+預測IC!AJ14</f>
        <v>0.57768145183064801</v>
      </c>
      <c r="AK14" s="7">
        <f>AJ14+預測IC!AK14</f>
        <v>0.56617198889347287</v>
      </c>
      <c r="AL14" s="7">
        <f>AK14+預測IC!AL14</f>
        <v>0.60414117861593364</v>
      </c>
      <c r="AM14" s="7">
        <f>AL14+預測IC!AM14</f>
        <v>0.66538334499455887</v>
      </c>
      <c r="AN14" s="7">
        <f>AM14+預測IC!AN14</f>
        <v>0.76397801176410263</v>
      </c>
      <c r="AO14" s="7">
        <f>AN14+預測IC!AO14</f>
        <v>0.82488371722951259</v>
      </c>
      <c r="AP14" s="7">
        <f>AO14+預測IC!AP14</f>
        <v>0.83193854576627746</v>
      </c>
      <c r="AQ14" s="7">
        <f>AP14+預測IC!AQ14</f>
        <v>0.83157057802851753</v>
      </c>
      <c r="AR14" s="7">
        <f>AQ14+預測IC!AR14</f>
        <v>0.8692164177907804</v>
      </c>
      <c r="AS14" s="7">
        <f>AR14+預測IC!AS14</f>
        <v>0.95459340374382717</v>
      </c>
      <c r="AT14" s="7">
        <f>AS14+預測IC!AT14</f>
        <v>0.98909998342897165</v>
      </c>
      <c r="AU14" s="7">
        <f>AT14+預測IC!AU14</f>
        <v>1.0290916324322754</v>
      </c>
      <c r="AV14" s="7">
        <f>AU14+預測IC!AV14</f>
        <v>1.0104087469986582</v>
      </c>
      <c r="AW14" s="7">
        <f>AV14+預測IC!AW14</f>
        <v>0.99204581549270077</v>
      </c>
      <c r="AX14" s="7">
        <f>AW14+預測IC!AX14</f>
        <v>0.99286740353982783</v>
      </c>
      <c r="AY14" s="7">
        <f>AX14+預測IC!AY14</f>
        <v>1.0079355223115893</v>
      </c>
      <c r="AZ14" s="7">
        <f>AY14+預測IC!AZ14</f>
        <v>0.95458695313943331</v>
      </c>
      <c r="BA14" s="7">
        <f>AZ14+預測IC!BA14</f>
        <v>0.97220859868367648</v>
      </c>
      <c r="BB14" s="7">
        <f>BA14+預測IC!BB14</f>
        <v>1.0339428806853512</v>
      </c>
      <c r="BC14" s="7">
        <f>BB14+預測IC!BC14</f>
        <v>1.0241218817300739</v>
      </c>
      <c r="BD14" s="7">
        <f>BC14+預測IC!BD14</f>
        <v>1.0674496633974793</v>
      </c>
      <c r="BE14" s="7">
        <f>BD14+預測IC!BE14</f>
        <v>1.1112367259329663</v>
      </c>
      <c r="BF14" s="7">
        <f>BE14+預測IC!BF14</f>
        <v>1.152007247478656</v>
      </c>
      <c r="BG14" s="7">
        <f>BF14+預測IC!BG14</f>
        <v>1.1933815115525888</v>
      </c>
      <c r="BH14" s="7">
        <f>BG14+預測IC!BH14</f>
        <v>1.1987242671211895</v>
      </c>
      <c r="BI14" s="7">
        <f>BH14+預測IC!BI14</f>
        <v>1.2489094800120433</v>
      </c>
      <c r="BJ14" s="7">
        <f>BI14+預測IC!BJ14</f>
        <v>1.22889225634081</v>
      </c>
      <c r="BK14" s="7">
        <f>BJ14+預測IC!BK14</f>
        <v>1.2232985046837372</v>
      </c>
      <c r="BL14" s="7">
        <f>BK14+預測IC!BL14</f>
        <v>1.2830362715261077</v>
      </c>
      <c r="BM14" s="7">
        <f>BL14+預測IC!BM14</f>
        <v>1.3222934867325347</v>
      </c>
      <c r="BN14" s="7">
        <f>BM14+預測IC!BN14</f>
        <v>1.3432300248050861</v>
      </c>
      <c r="BO14" s="7">
        <f>BN14+預測IC!BO14</f>
        <v>1.3768390704823505</v>
      </c>
      <c r="BP14" s="7">
        <f>BO14+預測IC!BP14</f>
        <v>1.3925128039753096</v>
      </c>
      <c r="BQ14" s="7">
        <f>BP14+預測IC!BQ14</f>
        <v>1.4083563278452604</v>
      </c>
      <c r="BR14" s="7">
        <f>BQ14+預測IC!BR14</f>
        <v>1.3804268983126424</v>
      </c>
      <c r="BS14" s="7">
        <f>BR14+預測IC!BS14</f>
        <v>1.3389329431680645</v>
      </c>
      <c r="BT14" s="7">
        <f>BS14+預測IC!BT14</f>
        <v>1.4129459055043758</v>
      </c>
      <c r="BU14" s="7">
        <f>BT14+預測IC!BU14</f>
        <v>1.4040910701463449</v>
      </c>
      <c r="BV14" s="7">
        <f>BU14+預測IC!BV14</f>
        <v>1.4298182521627723</v>
      </c>
      <c r="BW14" s="7">
        <f>BV14+預測IC!BW14</f>
        <v>1.4423262004203656</v>
      </c>
      <c r="BX14" s="7">
        <f>BW14+預測IC!BX14</f>
        <v>1.4972969605423188</v>
      </c>
      <c r="BY14" s="7">
        <f>BX14+預測IC!BY14</f>
        <v>1.4907006671773537</v>
      </c>
      <c r="BZ14" s="7">
        <f>BY14+預測IC!BZ14</f>
        <v>1.550734724006136</v>
      </c>
      <c r="CA14" s="7">
        <f>BZ14+預測IC!CA14</f>
        <v>1.5841898822442917</v>
      </c>
      <c r="CB14" s="7">
        <f>CA14+預測IC!CB14</f>
        <v>1.6063174987864666</v>
      </c>
      <c r="CC14" s="7">
        <f>CB14+預測IC!CC14</f>
        <v>1.5935234180012881</v>
      </c>
      <c r="CD14" s="7">
        <f>CC14+預測IC!CD14</f>
        <v>1.6915401279334858</v>
      </c>
      <c r="CE14" s="7">
        <f>CD14+預測IC!CE14</f>
        <v>1.619383408721788</v>
      </c>
      <c r="CF14" s="7">
        <f>CE14+預測IC!CF14</f>
        <v>1.7117140920038496</v>
      </c>
      <c r="CG14" s="7">
        <f>CF14+預測IC!CG14</f>
        <v>1.7647811202996886</v>
      </c>
      <c r="CH14" s="7">
        <f>CG14+預測IC!CH14</f>
        <v>1.8294425125779057</v>
      </c>
      <c r="CI14" s="7">
        <f>CH14+預測IC!CI14</f>
        <v>1.7235577352145468</v>
      </c>
      <c r="CJ14" s="7">
        <f>CI14+預測IC!CJ14</f>
        <v>1.6948898802703722</v>
      </c>
      <c r="CK14" s="7">
        <f>CJ14+預測IC!CK14</f>
        <v>1.7089062446610184</v>
      </c>
      <c r="CL14" s="7">
        <f>CK14+預測IC!CL14</f>
        <v>1.7711761995398549</v>
      </c>
      <c r="CM14" s="7">
        <f>CL14+預測IC!CM14</f>
        <v>1.8032162099081721</v>
      </c>
      <c r="CN14" s="7">
        <f>CM14+預測IC!CN14</f>
        <v>1.7801895212372461</v>
      </c>
      <c r="CO14" s="7">
        <f>CN14+預測IC!CO14</f>
        <v>1.706601801198353</v>
      </c>
      <c r="CP14" s="7">
        <f>CO14+預測IC!CP14</f>
        <v>1.8064111326801058</v>
      </c>
      <c r="CQ14" s="7">
        <f>CP14+預測IC!CQ14</f>
        <v>1.8596227607717803</v>
      </c>
      <c r="CR14" s="7">
        <f>CQ14+預測IC!CR14</f>
        <v>1.9155318983962817</v>
      </c>
      <c r="CS14" s="7">
        <f>CR14+預測IC!CS14</f>
        <v>1.9745590186599373</v>
      </c>
      <c r="CT14" s="7">
        <f>CS14+預測IC!CT14</f>
        <v>1.9936595952106222</v>
      </c>
      <c r="CU14" s="7">
        <f>CT14+預測IC!CU14</f>
        <v>1.9497424925134075</v>
      </c>
      <c r="CV14" s="7">
        <f>CU14+預測IC!CV14</f>
        <v>1.9724882076516628</v>
      </c>
      <c r="CW14" s="7">
        <f>CV14+預測IC!CW14</f>
        <v>1.9690898251881921</v>
      </c>
      <c r="CX14" s="7">
        <f>CW14+預測IC!CX14</f>
        <v>2.0053892340764312</v>
      </c>
      <c r="CY14" s="7">
        <f>CX14+預測IC!CY14</f>
        <v>1.9766301137849569</v>
      </c>
      <c r="CZ14" s="7">
        <f>CY14+預測IC!CZ14</f>
        <v>2.0406936771353403</v>
      </c>
      <c r="DA14" s="7">
        <f>CZ14+預測IC!DA14</f>
        <v>2.0163893879647556</v>
      </c>
      <c r="DB14" s="7">
        <f>DA14+預測IC!DB14</f>
        <v>1.9928283147765649</v>
      </c>
      <c r="DC14" s="7">
        <f>DB14+預測IC!DC14</f>
        <v>2.0164609239814122</v>
      </c>
      <c r="DD14" s="7">
        <f>DC14+預測IC!DD14</f>
        <v>1.9997023741889957</v>
      </c>
      <c r="DE14" s="7">
        <f>DD14+預測IC!DE14</f>
        <v>2.0050866737967601</v>
      </c>
      <c r="DF14" s="7">
        <f>DE14+預測IC!DF14</f>
        <v>1.9692300432396976</v>
      </c>
      <c r="DG14" s="7">
        <f>DF14+預測IC!DG14</f>
        <v>1.9806765996330149</v>
      </c>
      <c r="DH14" s="7">
        <f>DG14+預測IC!DH14</f>
        <v>1.9854514368759264</v>
      </c>
      <c r="DI14" s="7">
        <f>DH14+預測IC!DI14</f>
        <v>1.9268536171670094</v>
      </c>
      <c r="DJ14" s="7">
        <f>DI14+預測IC!DJ14</f>
        <v>1.9278773414343069</v>
      </c>
      <c r="DK14" s="7">
        <f>DJ14+預測IC!DK14</f>
        <v>1.9469484045519627</v>
      </c>
      <c r="DL14" s="7">
        <f>DK14+預測IC!DL14</f>
        <v>1.9317832429970743</v>
      </c>
      <c r="DM14" s="7">
        <f>DL14+預測IC!DM14</f>
        <v>1.9372875120907247</v>
      </c>
      <c r="DN14" s="7">
        <f>DM14+預測IC!DN14</f>
        <v>1.9799500079839889</v>
      </c>
      <c r="DO14" s="7">
        <f>DN14+預測IC!DO14</f>
        <v>2.021325653146786</v>
      </c>
      <c r="DP14" s="7">
        <f>DO14+預測IC!DP14</f>
        <v>2.0648653695044379</v>
      </c>
      <c r="DQ14" s="7">
        <f>DP14+預測IC!DQ14</f>
        <v>1.975497509463626</v>
      </c>
      <c r="DR14" s="7">
        <f>DQ14+預測IC!DR14</f>
        <v>2.0281200289226256</v>
      </c>
      <c r="DS14" s="7">
        <f>DR14+預測IC!DS14</f>
        <v>1.9930751226517087</v>
      </c>
      <c r="DT14" s="7">
        <f>DS14+預測IC!DT14</f>
        <v>1.9485581690542535</v>
      </c>
      <c r="DU14" s="7">
        <f>DT14+預測IC!DU14</f>
        <v>1.9036432204352716</v>
      </c>
      <c r="DV14" s="7">
        <f>DU14+預測IC!DV14</f>
        <v>2.0119055749653789</v>
      </c>
      <c r="DW14" s="7">
        <f>DV14+預測IC!DW14</f>
        <v>2.1102499419831569</v>
      </c>
      <c r="DX14" s="7">
        <f>DW14+預測IC!DX14</f>
        <v>2.0083184364307356</v>
      </c>
      <c r="DY14" s="7">
        <f>DX14+預測IC!DY14</f>
        <v>2.0463155163775841</v>
      </c>
      <c r="DZ14" s="7">
        <f>DY14+預測IC!DZ14</f>
        <v>2.0244339430591221</v>
      </c>
      <c r="EA14" s="7">
        <f>DZ14+預測IC!EA14</f>
        <v>2.1025392089470585</v>
      </c>
      <c r="EB14" s="7">
        <f>EA14+預測IC!EB14</f>
        <v>2.1357165420596491</v>
      </c>
      <c r="EC14" s="7">
        <f>EB14+預測IC!EC14</f>
        <v>2.141795924207782</v>
      </c>
      <c r="ED14" s="7">
        <f>EC14+預測IC!ED14</f>
        <v>2.039166215021595</v>
      </c>
      <c r="EE14" s="7">
        <f>ED14+預測IC!EE14</f>
        <v>2.0580333718664874</v>
      </c>
      <c r="EF14" s="7">
        <f>EE14+預測IC!EF14</f>
        <v>2.1279897923650455</v>
      </c>
    </row>
    <row r="15" spans="1:137" x14ac:dyDescent="0.3">
      <c r="B15" s="1" t="s">
        <v>155</v>
      </c>
      <c r="C15" s="7">
        <v>0.22764465877785839</v>
      </c>
      <c r="D15" s="7">
        <f>C15+預測IC!D15</f>
        <v>0.60035387438778398</v>
      </c>
      <c r="E15" s="7">
        <f>D15+預測IC!E15</f>
        <v>0.59015544811570042</v>
      </c>
      <c r="F15" s="7">
        <f>E15+預測IC!F15</f>
        <v>0.68045916112545712</v>
      </c>
      <c r="G15" s="7">
        <f>F15+預測IC!G15</f>
        <v>0.61982223245392287</v>
      </c>
      <c r="H15" s="7">
        <f>G15+預測IC!H15</f>
        <v>0.73866593616128218</v>
      </c>
      <c r="I15" s="7">
        <f>H15+預測IC!I15</f>
        <v>0.86539467728079411</v>
      </c>
      <c r="J15" s="7">
        <f>I15+預測IC!J15</f>
        <v>0.80086998717103863</v>
      </c>
      <c r="K15" s="7">
        <f>J15+預測IC!K15</f>
        <v>0.51427535943466807</v>
      </c>
      <c r="L15" s="7">
        <f>K15+預測IC!L15</f>
        <v>0.54683386459185268</v>
      </c>
      <c r="M15" s="7">
        <f>L15+預測IC!M15</f>
        <v>0.35834181488109618</v>
      </c>
      <c r="N15" s="7">
        <f>M15+預測IC!N15</f>
        <v>0.68865115174590319</v>
      </c>
      <c r="O15" s="7">
        <f>N15+預測IC!O15</f>
        <v>0.73475464499902854</v>
      </c>
      <c r="P15" s="7">
        <f>O15+預測IC!P15</f>
        <v>0.78773792819138411</v>
      </c>
      <c r="Q15" s="7">
        <f>P15+預測IC!Q15</f>
        <v>0.88811327777527493</v>
      </c>
      <c r="R15" s="7">
        <f>Q15+預測IC!R15</f>
        <v>0.90486871406589309</v>
      </c>
      <c r="S15" s="7">
        <f>R15+預測IC!S15</f>
        <v>0.86183478029256178</v>
      </c>
      <c r="T15" s="7">
        <f>S15+預測IC!T15</f>
        <v>0.81249610763204672</v>
      </c>
      <c r="U15" s="7">
        <f>T15+預測IC!U15</f>
        <v>0.85928635079067839</v>
      </c>
      <c r="V15" s="7">
        <f>U15+預測IC!V15</f>
        <v>0.77360546891180493</v>
      </c>
      <c r="W15" s="7">
        <f>V15+預測IC!W15</f>
        <v>0.88054002406973819</v>
      </c>
      <c r="X15" s="7">
        <f>W15+預測IC!X15</f>
        <v>0.9589764365153256</v>
      </c>
      <c r="Y15" s="7">
        <f>X15+預測IC!Y15</f>
        <v>0.93478781796817068</v>
      </c>
      <c r="Z15" s="7">
        <f>Y15+預測IC!Z15</f>
        <v>0.91113139928249987</v>
      </c>
      <c r="AA15" s="7">
        <f>Z15+預測IC!AA15</f>
        <v>0.85705025225446618</v>
      </c>
      <c r="AB15" s="7">
        <f>AA15+預測IC!AB15</f>
        <v>0.78305430047028257</v>
      </c>
      <c r="AC15" s="7">
        <f>AB15+預測IC!AC15</f>
        <v>0.74299917090016643</v>
      </c>
      <c r="AD15" s="7">
        <f>AC15+預測IC!AD15</f>
        <v>0.72406288786934803</v>
      </c>
      <c r="AE15" s="7">
        <f>AD15+預測IC!AE15</f>
        <v>0.77134936411505151</v>
      </c>
      <c r="AF15" s="7">
        <f>AE15+預測IC!AF15</f>
        <v>0.70552975161801168</v>
      </c>
      <c r="AG15" s="7">
        <f>AF15+預測IC!AG15</f>
        <v>0.69578444101610692</v>
      </c>
      <c r="AH15" s="7">
        <f>AG15+預測IC!AH15</f>
        <v>0.72938881437378345</v>
      </c>
      <c r="AI15" s="7">
        <f>AH15+預測IC!AI15</f>
        <v>0.80366577458386534</v>
      </c>
      <c r="AJ15" s="7">
        <f>AI15+預測IC!AJ15</f>
        <v>0.80785020921619854</v>
      </c>
      <c r="AK15" s="7">
        <f>AJ15+預測IC!AK15</f>
        <v>0.77085089745946855</v>
      </c>
      <c r="AL15" s="7">
        <f>AK15+預測IC!AL15</f>
        <v>0.81528255995528309</v>
      </c>
      <c r="AM15" s="7">
        <f>AL15+預測IC!AM15</f>
        <v>0.87040518208991025</v>
      </c>
      <c r="AN15" s="7">
        <f>AM15+預測IC!AN15</f>
        <v>0.97209388800229379</v>
      </c>
      <c r="AO15" s="7">
        <f>AN15+預測IC!AO15</f>
        <v>1.035463700465761</v>
      </c>
      <c r="AP15" s="7">
        <f>AO15+預測IC!AP15</f>
        <v>1.0480456454214067</v>
      </c>
      <c r="AQ15" s="7">
        <f>AP15+預測IC!AQ15</f>
        <v>1.0106785186252849</v>
      </c>
      <c r="AR15" s="7">
        <f>AQ15+預測IC!AR15</f>
        <v>1.1009723741012016</v>
      </c>
      <c r="AS15" s="7">
        <f>AR15+預測IC!AS15</f>
        <v>1.1547935531383156</v>
      </c>
      <c r="AT15" s="7">
        <f>AS15+預測IC!AT15</f>
        <v>1.2200485437907442</v>
      </c>
      <c r="AU15" s="7">
        <f>AT15+預測IC!AU15</f>
        <v>1.2599918048802106</v>
      </c>
      <c r="AV15" s="7">
        <f>AU15+預測IC!AV15</f>
        <v>1.2127649865527717</v>
      </c>
      <c r="AW15" s="7">
        <f>AV15+預測IC!AW15</f>
        <v>1.2284249258073525</v>
      </c>
      <c r="AX15" s="7">
        <f>AW15+預測IC!AX15</f>
        <v>1.2325846175186115</v>
      </c>
      <c r="AY15" s="7">
        <f>AX15+預測IC!AY15</f>
        <v>1.2606016816286445</v>
      </c>
      <c r="AZ15" s="7">
        <f>AY15+預測IC!AZ15</f>
        <v>1.169278401560141</v>
      </c>
      <c r="BA15" s="7">
        <f>AZ15+預測IC!BA15</f>
        <v>1.1798919163677939</v>
      </c>
      <c r="BB15" s="7">
        <f>BA15+預測IC!BB15</f>
        <v>1.292616782446607</v>
      </c>
      <c r="BC15" s="7">
        <f>BB15+預測IC!BC15</f>
        <v>1.3547719261144373</v>
      </c>
      <c r="BD15" s="7">
        <f>BC15+預測IC!BD15</f>
        <v>1.4078152000192334</v>
      </c>
      <c r="BE15" s="7">
        <f>BD15+預測IC!BE15</f>
        <v>1.4562579210368967</v>
      </c>
      <c r="BF15" s="7">
        <f>BE15+預測IC!BF15</f>
        <v>1.5039209004936489</v>
      </c>
      <c r="BG15" s="7">
        <f>BF15+預測IC!BG15</f>
        <v>1.506410439228214</v>
      </c>
      <c r="BH15" s="7">
        <f>BG15+預測IC!BH15</f>
        <v>1.5408522847099035</v>
      </c>
      <c r="BI15" s="7">
        <f>BH15+預測IC!BI15</f>
        <v>1.6094389438248733</v>
      </c>
      <c r="BJ15" s="7">
        <f>BI15+預測IC!BJ15</f>
        <v>1.598173916737428</v>
      </c>
      <c r="BK15" s="7">
        <f>BJ15+預測IC!BK15</f>
        <v>1.5989976690052341</v>
      </c>
      <c r="BL15" s="7">
        <f>BK15+預測IC!BL15</f>
        <v>1.6584015403465826</v>
      </c>
      <c r="BM15" s="7">
        <f>BL15+預測IC!BM15</f>
        <v>1.7252263617133119</v>
      </c>
      <c r="BN15" s="7">
        <f>BM15+預測IC!BN15</f>
        <v>1.7653689314465018</v>
      </c>
      <c r="BO15" s="7">
        <f>BN15+預測IC!BO15</f>
        <v>1.7931034074014327</v>
      </c>
      <c r="BP15" s="7">
        <f>BO15+預測IC!BP15</f>
        <v>1.8072876281092374</v>
      </c>
      <c r="BQ15" s="7">
        <f>BP15+預測IC!BQ15</f>
        <v>1.8200905593995651</v>
      </c>
      <c r="BR15" s="7">
        <f>BQ15+預測IC!BR15</f>
        <v>1.7699331302775054</v>
      </c>
      <c r="BS15" s="7">
        <f>BR15+預測IC!BS15</f>
        <v>1.753109352827219</v>
      </c>
      <c r="BT15" s="7">
        <f>BS15+預測IC!BT15</f>
        <v>1.8421695585585534</v>
      </c>
      <c r="BU15" s="7">
        <f>BT15+預測IC!BU15</f>
        <v>1.8616459783543469</v>
      </c>
      <c r="BV15" s="7">
        <f>BU15+預測IC!BV15</f>
        <v>1.9205609461068955</v>
      </c>
      <c r="BW15" s="7">
        <f>BV15+預測IC!BW15</f>
        <v>1.8846150559774919</v>
      </c>
      <c r="BX15" s="7">
        <f>BW15+預測IC!BX15</f>
        <v>1.9132509510432234</v>
      </c>
      <c r="BY15" s="7">
        <f>BX15+預測IC!BY15</f>
        <v>1.8515568595641636</v>
      </c>
      <c r="BZ15" s="7">
        <f>BY15+預測IC!BZ15</f>
        <v>1.9544633285415109</v>
      </c>
      <c r="CA15" s="7">
        <f>BZ15+預測IC!CA15</f>
        <v>1.9844273377665884</v>
      </c>
      <c r="CB15" s="7">
        <f>CA15+預測IC!CB15</f>
        <v>1.9994842317784129</v>
      </c>
      <c r="CC15" s="7">
        <f>CB15+預測IC!CC15</f>
        <v>1.8471659667242515</v>
      </c>
      <c r="CD15" s="7">
        <f>CC15+預測IC!CD15</f>
        <v>1.9673180506873358</v>
      </c>
      <c r="CE15" s="7">
        <f>CD15+預測IC!CE15</f>
        <v>1.8508014816172151</v>
      </c>
      <c r="CF15" s="7">
        <f>CE15+預測IC!CF15</f>
        <v>1.9451581320106353</v>
      </c>
      <c r="CG15" s="7">
        <f>CF15+預測IC!CG15</f>
        <v>1.940859252757271</v>
      </c>
      <c r="CH15" s="7">
        <f>CG15+預測IC!CH15</f>
        <v>2.0037452110409721</v>
      </c>
      <c r="CI15" s="7">
        <f>CH15+預測IC!CI15</f>
        <v>1.9649467961459914</v>
      </c>
      <c r="CJ15" s="7">
        <f>CI15+預測IC!CJ15</f>
        <v>1.8779024400732733</v>
      </c>
      <c r="CK15" s="7">
        <f>CJ15+預測IC!CK15</f>
        <v>1.9345750858453727</v>
      </c>
      <c r="CL15" s="7">
        <f>CK15+預測IC!CL15</f>
        <v>1.965997060838621</v>
      </c>
      <c r="CM15" s="7">
        <f>CL15+預測IC!CM15</f>
        <v>2.0406281769670747</v>
      </c>
      <c r="CN15" s="7">
        <f>CM15+預測IC!CN15</f>
        <v>1.9979940611679143</v>
      </c>
      <c r="CO15" s="7">
        <f>CN15+預測IC!CO15</f>
        <v>1.8685450362858729</v>
      </c>
      <c r="CP15" s="7">
        <f>CO15+預測IC!CP15</f>
        <v>1.9960808717188225</v>
      </c>
      <c r="CQ15" s="7">
        <f>CP15+預測IC!CQ15</f>
        <v>2.0334588824839517</v>
      </c>
      <c r="CR15" s="7">
        <f>CQ15+預測IC!CR15</f>
        <v>2.0816959527721162</v>
      </c>
      <c r="CS15" s="7">
        <f>CR15+預測IC!CS15</f>
        <v>2.1418811252357108</v>
      </c>
      <c r="CT15" s="7">
        <f>CS15+預測IC!CT15</f>
        <v>2.1492757002111658</v>
      </c>
      <c r="CU15" s="7">
        <f>CT15+預測IC!CU15</f>
        <v>2.086097040296393</v>
      </c>
      <c r="CV15" s="7">
        <f>CU15+預測IC!CV15</f>
        <v>2.0799551933915841</v>
      </c>
      <c r="CW15" s="7">
        <f>CV15+預測IC!CW15</f>
        <v>2.0674705332111438</v>
      </c>
      <c r="CX15" s="7">
        <f>CW15+預測IC!CX15</f>
        <v>2.0915101402644747</v>
      </c>
      <c r="CY15" s="7">
        <f>CX15+預測IC!CY15</f>
        <v>2.0490394671867125</v>
      </c>
      <c r="CZ15" s="7">
        <f>CY15+預測IC!CZ15</f>
        <v>2.1289264151310547</v>
      </c>
      <c r="DA15" s="7">
        <f>CZ15+預測IC!DA15</f>
        <v>2.1025505796891784</v>
      </c>
      <c r="DB15" s="7">
        <f>DA15+預測IC!DB15</f>
        <v>2.0723239614750546</v>
      </c>
      <c r="DC15" s="7">
        <f>DB15+預測IC!DC15</f>
        <v>2.1073991114496367</v>
      </c>
      <c r="DD15" s="7">
        <f>DC15+預測IC!DD15</f>
        <v>2.058005420949752</v>
      </c>
      <c r="DE15" s="7">
        <f>DD15+預測IC!DE15</f>
        <v>2.0829541356947949</v>
      </c>
      <c r="DF15" s="7">
        <f>DE15+預測IC!DF15</f>
        <v>2.0405628292954003</v>
      </c>
      <c r="DG15" s="7">
        <f>DF15+預測IC!DG15</f>
        <v>2.0567595609136413</v>
      </c>
      <c r="DH15" s="7">
        <f>DG15+預測IC!DH15</f>
        <v>2.0380505498697494</v>
      </c>
      <c r="DI15" s="7">
        <f>DH15+預測IC!DI15</f>
        <v>2.0263321008602917</v>
      </c>
      <c r="DJ15" s="7">
        <f>DI15+預測IC!DJ15</f>
        <v>1.9744782477658849</v>
      </c>
      <c r="DK15" s="7">
        <f>DJ15+預測IC!DK15</f>
        <v>2.0762530818173528</v>
      </c>
      <c r="DL15" s="7">
        <f>DK15+預測IC!DL15</f>
        <v>2.1388885759057907</v>
      </c>
      <c r="DM15" s="7">
        <f>DL15+預測IC!DM15</f>
        <v>2.115080029038122</v>
      </c>
      <c r="DN15" s="7">
        <f>DM15+預測IC!DN15</f>
        <v>2.1590765264617415</v>
      </c>
      <c r="DO15" s="7">
        <f>DN15+預測IC!DO15</f>
        <v>2.2053732536955422</v>
      </c>
      <c r="DP15" s="7">
        <f>DO15+預測IC!DP15</f>
        <v>2.2291088557024348</v>
      </c>
      <c r="DQ15" s="7">
        <f>DP15+預測IC!DQ15</f>
        <v>2.1340679482430063</v>
      </c>
      <c r="DR15" s="7">
        <f>DQ15+預測IC!DR15</f>
        <v>2.2040785148609445</v>
      </c>
      <c r="DS15" s="7">
        <f>DR15+預測IC!DS15</f>
        <v>2.1278366064491472</v>
      </c>
      <c r="DT15" s="7">
        <f>DS15+預測IC!DT15</f>
        <v>2.0556729747309843</v>
      </c>
      <c r="DU15" s="7">
        <f>DT15+預測IC!DU15</f>
        <v>2.0099022457793034</v>
      </c>
      <c r="DV15" s="7">
        <f>DU15+預測IC!DV15</f>
        <v>2.1496706027201746</v>
      </c>
      <c r="DW15" s="7">
        <f>DV15+預測IC!DW15</f>
        <v>2.1752092298670074</v>
      </c>
      <c r="DX15" s="7">
        <f>DW15+預測IC!DX15</f>
        <v>2.056592979217021</v>
      </c>
      <c r="DY15" s="7">
        <f>DX15+預測IC!DY15</f>
        <v>2.1631321458180306</v>
      </c>
      <c r="DZ15" s="7">
        <f>DY15+預測IC!DZ15</f>
        <v>2.1442119017486463</v>
      </c>
      <c r="EA15" s="7">
        <f>DZ15+預測IC!EA15</f>
        <v>2.171550627958486</v>
      </c>
      <c r="EB15" s="7">
        <f>EA15+預測IC!EB15</f>
        <v>2.2200692010897307</v>
      </c>
      <c r="EC15" s="7">
        <f>EB15+預測IC!EC15</f>
        <v>2.2861510571376771</v>
      </c>
      <c r="ED15" s="7">
        <f>EC15+預測IC!ED15</f>
        <v>2.1727940012023659</v>
      </c>
      <c r="EE15" s="7">
        <f>ED15+預測IC!EE15</f>
        <v>2.1565485866662777</v>
      </c>
      <c r="EF15" s="7">
        <f>EE15+預測IC!EF15</f>
        <v>2.2222495778051199</v>
      </c>
    </row>
    <row r="16" spans="1:137" x14ac:dyDescent="0.3">
      <c r="B16" s="1" t="s">
        <v>156</v>
      </c>
      <c r="C16" s="7">
        <v>0.20787477708292909</v>
      </c>
      <c r="D16" s="7">
        <f>C16+預測IC!D16</f>
        <v>0.61606975581550971</v>
      </c>
      <c r="E16" s="7">
        <f>D16+預測IC!E16</f>
        <v>0.61323957920542438</v>
      </c>
      <c r="F16" s="7">
        <f>E16+預測IC!F16</f>
        <v>0.73749936711312358</v>
      </c>
      <c r="G16" s="7">
        <f>F16+預測IC!G16</f>
        <v>0.66380310198619974</v>
      </c>
      <c r="H16" s="7">
        <f>G16+預測IC!H16</f>
        <v>0.7366511582738472</v>
      </c>
      <c r="I16" s="7">
        <f>H16+預測IC!I16</f>
        <v>0.84844346025375439</v>
      </c>
      <c r="J16" s="7">
        <f>I16+預測IC!J16</f>
        <v>0.77974942700052674</v>
      </c>
      <c r="K16" s="7">
        <f>J16+預測IC!K16</f>
        <v>0.49507887677399465</v>
      </c>
      <c r="L16" s="7">
        <f>K16+預測IC!L16</f>
        <v>0.50496541136186346</v>
      </c>
      <c r="M16" s="7">
        <f>L16+預測IC!M16</f>
        <v>0.31008900641946996</v>
      </c>
      <c r="N16" s="7">
        <f>M16+預測IC!N16</f>
        <v>0.67707661554205634</v>
      </c>
      <c r="O16" s="7">
        <f>N16+預測IC!O16</f>
        <v>0.69269770776736683</v>
      </c>
      <c r="P16" s="7">
        <f>O16+預測IC!P16</f>
        <v>0.75467744304827467</v>
      </c>
      <c r="Q16" s="7">
        <f>P16+預測IC!Q16</f>
        <v>0.85129561622318439</v>
      </c>
      <c r="R16" s="7">
        <f>Q16+預測IC!R16</f>
        <v>0.87047837847881948</v>
      </c>
      <c r="S16" s="7">
        <f>R16+預測IC!S16</f>
        <v>0.82806319526786543</v>
      </c>
      <c r="T16" s="7">
        <f>S16+預測IC!T16</f>
        <v>0.80483641032372588</v>
      </c>
      <c r="U16" s="7">
        <f>T16+預測IC!U16</f>
        <v>0.85348792611652768</v>
      </c>
      <c r="V16" s="7">
        <f>U16+預測IC!V16</f>
        <v>0.749171750515086</v>
      </c>
      <c r="W16" s="7">
        <f>V16+預測IC!W16</f>
        <v>0.82754523854272388</v>
      </c>
      <c r="X16" s="7">
        <f>W16+預測IC!X16</f>
        <v>0.90122351620019103</v>
      </c>
      <c r="Y16" s="7">
        <f>X16+預測IC!Y16</f>
        <v>0.89693606910845458</v>
      </c>
      <c r="Z16" s="7">
        <f>Y16+預測IC!Z16</f>
        <v>0.87686027423002977</v>
      </c>
      <c r="AA16" s="7">
        <f>Z16+預測IC!AA16</f>
        <v>0.83337263839403763</v>
      </c>
      <c r="AB16" s="7">
        <f>AA16+預測IC!AB16</f>
        <v>0.76235651197670051</v>
      </c>
      <c r="AC16" s="7">
        <f>AB16+預測IC!AC16</f>
        <v>0.72131598926761742</v>
      </c>
      <c r="AD16" s="7">
        <f>AC16+預測IC!AD16</f>
        <v>0.72019396341854114</v>
      </c>
      <c r="AE16" s="7">
        <f>AD16+預測IC!AE16</f>
        <v>0.77172895530044305</v>
      </c>
      <c r="AF16" s="7">
        <f>AE16+預測IC!AF16</f>
        <v>0.7080431127188539</v>
      </c>
      <c r="AG16" s="7">
        <f>AF16+預測IC!AG16</f>
        <v>0.69974120511596782</v>
      </c>
      <c r="AH16" s="7">
        <f>AG16+預測IC!AH16</f>
        <v>0.73150660556540836</v>
      </c>
      <c r="AI16" s="7">
        <f>AH16+預測IC!AI16</f>
        <v>0.82202925478256317</v>
      </c>
      <c r="AJ16" s="7">
        <f>AI16+預測IC!AJ16</f>
        <v>0.80440001305952802</v>
      </c>
      <c r="AK16" s="7">
        <f>AJ16+預測IC!AK16</f>
        <v>0.79641284532960321</v>
      </c>
      <c r="AL16" s="7">
        <f>AK16+預測IC!AL16</f>
        <v>0.84510177843412648</v>
      </c>
      <c r="AM16" s="7">
        <f>AL16+預測IC!AM16</f>
        <v>0.91117850903592446</v>
      </c>
      <c r="AN16" s="7">
        <f>AM16+預測IC!AN16</f>
        <v>1.0176347091256002</v>
      </c>
      <c r="AO16" s="7">
        <f>AN16+預測IC!AO16</f>
        <v>1.0790593809515125</v>
      </c>
      <c r="AP16" s="7">
        <f>AO16+預測IC!AP16</f>
        <v>1.0842992705148575</v>
      </c>
      <c r="AQ16" s="7">
        <f>AP16+預測IC!AQ16</f>
        <v>1.045833070368789</v>
      </c>
      <c r="AR16" s="7">
        <f>AQ16+預測IC!AR16</f>
        <v>1.1491242494292815</v>
      </c>
      <c r="AS16" s="7">
        <f>AR16+預測IC!AS16</f>
        <v>1.2141924749032509</v>
      </c>
      <c r="AT16" s="7">
        <f>AS16+預測IC!AT16</f>
        <v>1.2637396302216208</v>
      </c>
      <c r="AU16" s="7">
        <f>AT16+預測IC!AU16</f>
        <v>1.305566468476516</v>
      </c>
      <c r="AV16" s="7">
        <f>AU16+預測IC!AV16</f>
        <v>1.2964939616964972</v>
      </c>
      <c r="AW16" s="7">
        <f>AV16+預測IC!AW16</f>
        <v>1.3357468917711479</v>
      </c>
      <c r="AX16" s="7">
        <f>AW16+預測IC!AX16</f>
        <v>1.3288890365583217</v>
      </c>
      <c r="AY16" s="7">
        <f>AX16+預測IC!AY16</f>
        <v>1.3627016264026677</v>
      </c>
      <c r="AZ16" s="7">
        <f>AY16+預測IC!AZ16</f>
        <v>1.2577919912239555</v>
      </c>
      <c r="BA16" s="7">
        <f>AZ16+預測IC!BA16</f>
        <v>1.2727150962815414</v>
      </c>
      <c r="BB16" s="7">
        <f>BA16+預測IC!BB16</f>
        <v>1.3807540204342796</v>
      </c>
      <c r="BC16" s="7">
        <f>BB16+預測IC!BC16</f>
        <v>1.4478754865419714</v>
      </c>
      <c r="BD16" s="7">
        <f>BC16+預測IC!BD16</f>
        <v>1.4838121980878753</v>
      </c>
      <c r="BE16" s="7">
        <f>BD16+預測IC!BE16</f>
        <v>1.5352231924823503</v>
      </c>
      <c r="BF16" s="7">
        <f>BE16+預測IC!BF16</f>
        <v>1.5994912468020686</v>
      </c>
      <c r="BG16" s="7">
        <f>BF16+預測IC!BG16</f>
        <v>1.6129645288500252</v>
      </c>
      <c r="BH16" s="7">
        <f>BG16+預測IC!BH16</f>
        <v>1.5991889143660634</v>
      </c>
      <c r="BI16" s="7">
        <f>BH16+預測IC!BI16</f>
        <v>1.6406327221293253</v>
      </c>
      <c r="BJ16" s="7">
        <f>BI16+預測IC!BJ16</f>
        <v>1.6201289058461177</v>
      </c>
      <c r="BK16" s="7">
        <f>BJ16+預測IC!BK16</f>
        <v>1.6231008961413147</v>
      </c>
      <c r="BL16" s="7">
        <f>BK16+預測IC!BL16</f>
        <v>1.6937244618488378</v>
      </c>
      <c r="BM16" s="7">
        <f>BL16+預測IC!BM16</f>
        <v>1.775248336890803</v>
      </c>
      <c r="BN16" s="7">
        <f>BM16+預測IC!BN16</f>
        <v>1.8231541694948301</v>
      </c>
      <c r="BO16" s="7">
        <f>BN16+預測IC!BO16</f>
        <v>1.8450445294484878</v>
      </c>
      <c r="BP16" s="7">
        <f>BO16+預測IC!BP16</f>
        <v>1.8658877129960685</v>
      </c>
      <c r="BQ16" s="7">
        <f>BP16+預測IC!BQ16</f>
        <v>1.882365729250997</v>
      </c>
      <c r="BR16" s="7">
        <f>BQ16+預測IC!BR16</f>
        <v>1.8560688812295525</v>
      </c>
      <c r="BS16" s="7">
        <f>BR16+預測IC!BS16</f>
        <v>1.8428773080820884</v>
      </c>
      <c r="BT16" s="7">
        <f>BS16+預測IC!BT16</f>
        <v>1.928360499349888</v>
      </c>
      <c r="BU16" s="7">
        <f>BT16+預測IC!BU16</f>
        <v>1.9861256095346884</v>
      </c>
      <c r="BV16" s="7">
        <f>BU16+預測IC!BV16</f>
        <v>2.0468368489815294</v>
      </c>
      <c r="BW16" s="7">
        <f>BV16+預測IC!BW16</f>
        <v>1.9810959215549948</v>
      </c>
      <c r="BX16" s="7">
        <f>BW16+預測IC!BX16</f>
        <v>2.0126551590761257</v>
      </c>
      <c r="BY16" s="7">
        <f>BX16+預測IC!BY16</f>
        <v>1.9620914262288827</v>
      </c>
      <c r="BZ16" s="7">
        <f>BY16+預測IC!BZ16</f>
        <v>2.0736172747305317</v>
      </c>
      <c r="CA16" s="7">
        <f>BZ16+預測IC!CA16</f>
        <v>2.1010494443822259</v>
      </c>
      <c r="CB16" s="7">
        <f>CA16+預測IC!CB16</f>
        <v>2.0996213993930084</v>
      </c>
      <c r="CC16" s="7">
        <f>CB16+預測IC!CC16</f>
        <v>1.940548884909074</v>
      </c>
      <c r="CD16" s="7">
        <f>CC16+預測IC!CD16</f>
        <v>2.0956201565354355</v>
      </c>
      <c r="CE16" s="7">
        <f>CD16+預測IC!CE16</f>
        <v>1.9630250957419242</v>
      </c>
      <c r="CF16" s="7">
        <f>CE16+預測IC!CF16</f>
        <v>2.0682263597516752</v>
      </c>
      <c r="CG16" s="7">
        <f>CF16+預測IC!CG16</f>
        <v>2.062847840720345</v>
      </c>
      <c r="CH16" s="7">
        <f>CG16+預測IC!CH16</f>
        <v>2.1045452554233721</v>
      </c>
      <c r="CI16" s="7">
        <f>CH16+預測IC!CI16</f>
        <v>2.0658353735948545</v>
      </c>
      <c r="CJ16" s="7">
        <f>CI16+預測IC!CJ16</f>
        <v>2.0203118228071877</v>
      </c>
      <c r="CK16" s="7">
        <f>CJ16+預測IC!CK16</f>
        <v>2.096784806524878</v>
      </c>
      <c r="CL16" s="7">
        <f>CK16+預測IC!CL16</f>
        <v>2.1126634888595874</v>
      </c>
      <c r="CM16" s="7">
        <f>CL16+預測IC!CM16</f>
        <v>2.201652117009099</v>
      </c>
      <c r="CN16" s="7">
        <f>CM16+預測IC!CN16</f>
        <v>2.1685946018681492</v>
      </c>
      <c r="CO16" s="7">
        <f>CN16+預測IC!CO16</f>
        <v>1.9861426473283199</v>
      </c>
      <c r="CP16" s="7">
        <f>CO16+預測IC!CP16</f>
        <v>2.1227743368104113</v>
      </c>
      <c r="CQ16" s="7">
        <f>CP16+預測IC!CQ16</f>
        <v>2.1642099424698218</v>
      </c>
      <c r="CR16" s="7">
        <f>CQ16+預測IC!CR16</f>
        <v>2.2125097091531383</v>
      </c>
      <c r="CS16" s="7">
        <f>CR16+預測IC!CS16</f>
        <v>2.2790688690272121</v>
      </c>
      <c r="CT16" s="7">
        <f>CS16+預測IC!CT16</f>
        <v>2.284136275528053</v>
      </c>
      <c r="CU16" s="7">
        <f>CT16+預測IC!CU16</f>
        <v>2.2207016211690784</v>
      </c>
      <c r="CV16" s="7">
        <f>CU16+預測IC!CV16</f>
        <v>2.2039505370883576</v>
      </c>
      <c r="CW16" s="7">
        <f>CV16+預測IC!CW16</f>
        <v>2.1947563775557359</v>
      </c>
      <c r="CX16" s="7">
        <f>CW16+預測IC!CX16</f>
        <v>2.2069966623099857</v>
      </c>
      <c r="CY16" s="7">
        <f>CX16+預測IC!CY16</f>
        <v>2.1578796131933604</v>
      </c>
      <c r="CZ16" s="7">
        <f>CY16+預測IC!CZ16</f>
        <v>2.2605128723714931</v>
      </c>
      <c r="DA16" s="7">
        <f>CZ16+預測IC!DA16</f>
        <v>2.2307080784042577</v>
      </c>
      <c r="DB16" s="7">
        <f>DA16+預測IC!DB16</f>
        <v>2.1879959086240315</v>
      </c>
      <c r="DC16" s="7">
        <f>DB16+預測IC!DC16</f>
        <v>2.2309382709445318</v>
      </c>
      <c r="DD16" s="7">
        <f>DC16+預測IC!DD16</f>
        <v>2.1608673358871742</v>
      </c>
      <c r="DE16" s="7">
        <f>DD16+預測IC!DE16</f>
        <v>2.1953117082284028</v>
      </c>
      <c r="DF16" s="7">
        <f>DE16+預測IC!DF16</f>
        <v>2.1721652750028437</v>
      </c>
      <c r="DG16" s="7">
        <f>DF16+預測IC!DG16</f>
        <v>2.1866182226342823</v>
      </c>
      <c r="DH16" s="7">
        <f>DG16+預測IC!DH16</f>
        <v>2.1674888792163114</v>
      </c>
      <c r="DI16" s="7">
        <f>DH16+預測IC!DI16</f>
        <v>2.1542554535037892</v>
      </c>
      <c r="DJ16" s="7">
        <f>DI16+預測IC!DJ16</f>
        <v>2.1251140474231596</v>
      </c>
      <c r="DK16" s="7">
        <f>DJ16+預測IC!DK16</f>
        <v>2.2587084040487402</v>
      </c>
      <c r="DL16" s="7">
        <f>DK16+預測IC!DL16</f>
        <v>2.3238214401773849</v>
      </c>
      <c r="DM16" s="7">
        <f>DL16+預測IC!DM16</f>
        <v>2.2934904904190438</v>
      </c>
      <c r="DN16" s="7">
        <f>DM16+預測IC!DN16</f>
        <v>2.335928343778451</v>
      </c>
      <c r="DO16" s="7">
        <f>DN16+預測IC!DO16</f>
        <v>2.3891502513345948</v>
      </c>
      <c r="DP16" s="7">
        <f>DO16+預測IC!DP16</f>
        <v>2.4089921999138206</v>
      </c>
      <c r="DQ16" s="7">
        <f>DP16+預測IC!DQ16</f>
        <v>2.3259585418368043</v>
      </c>
      <c r="DR16" s="7">
        <f>DQ16+預測IC!DR16</f>
        <v>2.3811497934863195</v>
      </c>
      <c r="DS16" s="7">
        <f>DR16+預測IC!DS16</f>
        <v>2.2873977284965652</v>
      </c>
      <c r="DT16" s="7">
        <f>DS16+預測IC!DT16</f>
        <v>2.1868636006720994</v>
      </c>
      <c r="DU16" s="7">
        <f>DT16+預測IC!DU16</f>
        <v>2.1223898669025609</v>
      </c>
      <c r="DV16" s="7">
        <f>DU16+預測IC!DV16</f>
        <v>2.2593435989203545</v>
      </c>
      <c r="DW16" s="7">
        <f>DV16+預測IC!DW16</f>
        <v>2.3002613286200453</v>
      </c>
      <c r="DX16" s="7">
        <f>DW16+預測IC!DX16</f>
        <v>2.174976622296068</v>
      </c>
      <c r="DY16" s="7">
        <f>DX16+預測IC!DY16</f>
        <v>2.2913309572064113</v>
      </c>
      <c r="DZ16" s="7">
        <f>DY16+預測IC!DZ16</f>
        <v>2.2600538773817349</v>
      </c>
      <c r="EA16" s="7">
        <f>DZ16+預測IC!EA16</f>
        <v>2.3067152489374618</v>
      </c>
      <c r="EB16" s="7">
        <f>EA16+預測IC!EB16</f>
        <v>2.3853258876805952</v>
      </c>
      <c r="EC16" s="7">
        <f>EB16+預測IC!EC16</f>
        <v>2.448857954315165</v>
      </c>
      <c r="ED16" s="7">
        <f>EC16+預測IC!ED16</f>
        <v>2.3334412068162438</v>
      </c>
      <c r="EE16" s="7">
        <f>ED16+預測IC!EE16</f>
        <v>2.3103504952916323</v>
      </c>
      <c r="EF16" s="7">
        <f>EE16+預測IC!EF16</f>
        <v>2.3528248967855396</v>
      </c>
    </row>
    <row r="17" spans="1:136" x14ac:dyDescent="0.3">
      <c r="B17" s="1" t="s">
        <v>157</v>
      </c>
      <c r="C17" s="7">
        <v>0.2060921883792059</v>
      </c>
      <c r="D17" s="7">
        <f>C17+預測IC!D17</f>
        <v>0.64568067700382725</v>
      </c>
      <c r="E17" s="7">
        <f>D17+預測IC!E17</f>
        <v>0.6530596784991286</v>
      </c>
      <c r="F17" s="7">
        <f>E17+預測IC!F17</f>
        <v>0.7998314928116409</v>
      </c>
      <c r="G17" s="7">
        <f>F17+預測IC!G17</f>
        <v>0.72860872593345916</v>
      </c>
      <c r="H17" s="7">
        <f>G17+預測IC!H17</f>
        <v>0.83360277956120021</v>
      </c>
      <c r="I17" s="7">
        <f>H17+預測IC!I17</f>
        <v>0.90109243464754141</v>
      </c>
      <c r="J17" s="7"/>
      <c r="K17" s="7">
        <f>J17+預測IC!K17</f>
        <v>-0.29682655110056239</v>
      </c>
      <c r="L17" s="7">
        <f>K17+預測IC!L17</f>
        <v>-0.28711566159240437</v>
      </c>
      <c r="M17" s="7">
        <f>L17+預測IC!M17</f>
        <v>-0.51405629888472715</v>
      </c>
      <c r="N17" s="7">
        <f>M17+預測IC!N17</f>
        <v>-0.10894828994526495</v>
      </c>
      <c r="O17" s="7">
        <f>N17+預測IC!O17</f>
        <v>-8.4316234733319312E-2</v>
      </c>
      <c r="P17" s="7">
        <f>O17+預測IC!P17</f>
        <v>-7.4006312304183697E-3</v>
      </c>
      <c r="Q17" s="7">
        <f>P17+預測IC!Q17</f>
        <v>9.9029622056058433E-2</v>
      </c>
      <c r="R17" s="7">
        <f>Q17+預測IC!R17</f>
        <v>0.10100487333672788</v>
      </c>
      <c r="S17" s="7">
        <f>R17+預測IC!S17</f>
        <v>4.5872847598755477E-2</v>
      </c>
      <c r="T17" s="7">
        <f>S17+預測IC!T17</f>
        <v>2.2365258947194488E-2</v>
      </c>
      <c r="U17" s="7">
        <f>T17+預測IC!U17</f>
        <v>7.4655492894010647E-2</v>
      </c>
      <c r="V17" s="7">
        <f>U17+預測IC!V17</f>
        <v>-4.1700809131389446E-2</v>
      </c>
      <c r="W17" s="7">
        <f>V17+預測IC!W17</f>
        <v>3.7441179670627836E-2</v>
      </c>
      <c r="X17" s="7">
        <f>W17+預測IC!X17</f>
        <v>0.13762714667461612</v>
      </c>
      <c r="Y17" s="7">
        <f>X17+預測IC!Y17</f>
        <v>0.13912764800115332</v>
      </c>
      <c r="Z17" s="7">
        <f>Y17+預測IC!Z17</f>
        <v>0.11751915820688694</v>
      </c>
      <c r="AA17" s="7">
        <f>Z17+預測IC!AA17</f>
        <v>8.2309368624687851E-2</v>
      </c>
      <c r="AB17" s="7">
        <f>AA17+預測IC!AB17</f>
        <v>2.397520793390974E-2</v>
      </c>
      <c r="AC17" s="7">
        <f>AB17+預測IC!AC17</f>
        <v>-1.6823803053772443E-2</v>
      </c>
      <c r="AD17" s="7">
        <f>AC17+預測IC!AD17</f>
        <v>-3.8736647227413046E-2</v>
      </c>
      <c r="AE17" s="7">
        <f>AD17+預測IC!AE17</f>
        <v>2.0706852468279323E-2</v>
      </c>
      <c r="AF17" s="7">
        <f>AE17+預測IC!AF17</f>
        <v>-4.0722457653660817E-2</v>
      </c>
      <c r="AG17" s="7">
        <f>AF17+預測IC!AG17</f>
        <v>-4.2074128459472615E-2</v>
      </c>
      <c r="AH17" s="7">
        <f>AG17+預測IC!AH17</f>
        <v>-6.6015092865837621E-3</v>
      </c>
      <c r="AI17" s="7">
        <f>AH17+預測IC!AI17</f>
        <v>0.10826293611170283</v>
      </c>
      <c r="AJ17" s="7">
        <f>AI17+預測IC!AJ17</f>
        <v>8.6055476586956392E-2</v>
      </c>
      <c r="AK17" s="7">
        <f>AJ17+預測IC!AK17</f>
        <v>7.2729763834592731E-2</v>
      </c>
      <c r="AL17" s="7">
        <f>AK17+預測IC!AL17</f>
        <v>0.12345416958314924</v>
      </c>
      <c r="AM17" s="7">
        <f>AL17+預測IC!AM17</f>
        <v>0.1988235371708062</v>
      </c>
      <c r="AN17" s="7">
        <f>AM17+預測IC!AN17</f>
        <v>0.3121106575167239</v>
      </c>
      <c r="AO17" s="7">
        <f>AN17+預測IC!AO17</f>
        <v>0.32474299211244811</v>
      </c>
      <c r="AP17" s="7">
        <f>AO17+預測IC!AP17</f>
        <v>0.32850106370129867</v>
      </c>
      <c r="AQ17" s="7">
        <f>AP17+預測IC!AQ17</f>
        <v>0.26797392629979966</v>
      </c>
      <c r="AR17" s="7">
        <f>AQ17+預測IC!AR17</f>
        <v>0.38190463619461695</v>
      </c>
      <c r="AS17" s="7">
        <f>AR17+預測IC!AS17</f>
        <v>0.43822819822909265</v>
      </c>
      <c r="AT17" s="7">
        <f>AS17+預測IC!AT17</f>
        <v>0.49049600467881488</v>
      </c>
      <c r="AU17" s="7">
        <f>AT17+預測IC!AU17</f>
        <v>0.54505151196550261</v>
      </c>
      <c r="AV17" s="7">
        <f>AU17+預測IC!AV17</f>
        <v>0.5238456091832342</v>
      </c>
      <c r="AW17" s="7">
        <f>AV17+預測IC!AW17</f>
        <v>0.53226749722507094</v>
      </c>
      <c r="AX17" s="7">
        <f>AW17+預測IC!AX17</f>
        <v>0.54285788557955694</v>
      </c>
      <c r="AY17" s="7">
        <f>AX17+預測IC!AY17</f>
        <v>0.57028158227015779</v>
      </c>
      <c r="AZ17" s="7">
        <f>AY17+預測IC!AZ17</f>
        <v>0.44512398000996667</v>
      </c>
      <c r="BA17" s="7">
        <f>AZ17+預測IC!BA17</f>
        <v>0.45494915911707962</v>
      </c>
      <c r="BB17" s="7">
        <f>BA17+預測IC!BB17</f>
        <v>0.57871322223092403</v>
      </c>
      <c r="BC17" s="7">
        <f>BB17+預測IC!BC17</f>
        <v>0.66257641740873763</v>
      </c>
      <c r="BD17" s="7">
        <f>BC17+預測IC!BD17</f>
        <v>0.68493289965494242</v>
      </c>
      <c r="BE17" s="7">
        <f>BD17+預測IC!BE17</f>
        <v>0.76228314189300284</v>
      </c>
      <c r="BF17" s="7">
        <f>BE17+預測IC!BF17</f>
        <v>0.81748063850195651</v>
      </c>
      <c r="BG17" s="7">
        <f>BF17+預測IC!BG17</f>
        <v>0.78208640241391925</v>
      </c>
      <c r="BH17" s="7">
        <f>BG17+預測IC!BH17</f>
        <v>0.79560586326567229</v>
      </c>
      <c r="BI17" s="7">
        <f>BH17+預測IC!BI17</f>
        <v>0.88271780870561956</v>
      </c>
      <c r="BJ17" s="7">
        <f>BI17+預測IC!BJ17</f>
        <v>0.87285974443238312</v>
      </c>
      <c r="BK17" s="7">
        <f>BJ17+預測IC!BK17</f>
        <v>0.85903679236227759</v>
      </c>
      <c r="BL17" s="7">
        <f>BK17+預測IC!BL17</f>
        <v>0.93651975916222374</v>
      </c>
      <c r="BM17" s="7">
        <f>BL17+預測IC!BM17</f>
        <v>1.0125175296080837</v>
      </c>
      <c r="BN17" s="7">
        <f>BM17+預測IC!BN17</f>
        <v>1.0594330552019617</v>
      </c>
      <c r="BO17" s="7">
        <f>BN17+預測IC!BO17</f>
        <v>1.0946126706186854</v>
      </c>
      <c r="BP17" s="7">
        <f>BO17+預測IC!BP17</f>
        <v>1.1306086502731663</v>
      </c>
      <c r="BQ17" s="7">
        <f>BP17+預測IC!BQ17</f>
        <v>1.1419851607196179</v>
      </c>
      <c r="BR17" s="7">
        <f>BQ17+預測IC!BR17</f>
        <v>1.1323387855948679</v>
      </c>
      <c r="BS17" s="7">
        <f>BR17+預測IC!BS17</f>
        <v>1.1282353164842613</v>
      </c>
      <c r="BT17" s="7">
        <f>BS17+預測IC!BT17</f>
        <v>1.2376516953546846</v>
      </c>
      <c r="BU17" s="7">
        <f>BT17+預測IC!BU17</f>
        <v>1.308779514105437</v>
      </c>
      <c r="BV17" s="7">
        <f>BU17+預測IC!BV17</f>
        <v>1.3789898171250654</v>
      </c>
      <c r="BW17" s="7">
        <f>BV17+預測IC!BW17</f>
        <v>1.2985581045257995</v>
      </c>
      <c r="BX17" s="7">
        <f>BW17+預測IC!BX17</f>
        <v>1.3273810691454722</v>
      </c>
      <c r="BY17" s="7">
        <f>BX17+預測IC!BY17</f>
        <v>1.2431356015167778</v>
      </c>
      <c r="BZ17" s="7">
        <f>BY17+預測IC!BZ17</f>
        <v>1.363713757397863</v>
      </c>
      <c r="CA17" s="7">
        <f>BZ17+預測IC!CA17</f>
        <v>1.3909105417757777</v>
      </c>
      <c r="CB17" s="7">
        <f>CA17+預測IC!CB17</f>
        <v>1.380432834283785</v>
      </c>
      <c r="CC17" s="7">
        <f>CB17+預測IC!CC17</f>
        <v>1.2054748602941041</v>
      </c>
      <c r="CD17" s="7">
        <f>CC17+預測IC!CD17</f>
        <v>1.3784346015132527</v>
      </c>
      <c r="CE17" s="7">
        <f>CD17+預測IC!CE17</f>
        <v>1.2033183560072012</v>
      </c>
      <c r="CF17" s="7">
        <f>CE17+預測IC!CF17</f>
        <v>1.3020645534333997</v>
      </c>
      <c r="CG17" s="7">
        <f>CF17+預測IC!CG17</f>
        <v>1.2865374483583225</v>
      </c>
      <c r="CH17" s="7">
        <f>CG17+預測IC!CH17</f>
        <v>1.3451738949653724</v>
      </c>
      <c r="CI17" s="7">
        <f>CH17+預測IC!CI17</f>
        <v>1.3306427099757838</v>
      </c>
      <c r="CJ17" s="7">
        <f>CI17+預測IC!CJ17</f>
        <v>1.2799003884913418</v>
      </c>
      <c r="CK17" s="7">
        <f>CJ17+預測IC!CK17</f>
        <v>1.3716389611492548</v>
      </c>
      <c r="CL17" s="7">
        <f>CK17+預測IC!CL17</f>
        <v>1.3622126163802235</v>
      </c>
      <c r="CM17" s="7">
        <f>CL17+預測IC!CM17</f>
        <v>1.4967819608117978</v>
      </c>
      <c r="CN17" s="7">
        <f>CM17+預測IC!CN17</f>
        <v>1.4700638996608109</v>
      </c>
      <c r="CO17" s="7">
        <f>CN17+預測IC!CO17</f>
        <v>1.2675252723978214</v>
      </c>
      <c r="CP17" s="7">
        <f>CO17+預測IC!CP17</f>
        <v>1.4156845415951651</v>
      </c>
      <c r="CQ17" s="7">
        <f>CP17+預測IC!CQ17</f>
        <v>1.4567724747785684</v>
      </c>
      <c r="CR17" s="7">
        <f>CQ17+預測IC!CR17</f>
        <v>1.5074489654807917</v>
      </c>
      <c r="CS17" s="7">
        <f>CR17+預測IC!CS17</f>
        <v>1.6042905967803613</v>
      </c>
      <c r="CT17" s="7">
        <f>CS17+預測IC!CT17</f>
        <v>1.6535506531695545</v>
      </c>
      <c r="CU17" s="7">
        <f>CT17+預測IC!CU17</f>
        <v>1.5791423455863005</v>
      </c>
      <c r="CV17" s="7">
        <f>CU17+預測IC!CV17</f>
        <v>1.583021953526228</v>
      </c>
      <c r="CW17" s="7">
        <f>CV17+預測IC!CW17</f>
        <v>1.5632600996168751</v>
      </c>
      <c r="CX17" s="7">
        <f>CW17+預測IC!CX17</f>
        <v>1.5740324941408228</v>
      </c>
      <c r="CY17" s="7">
        <f>CX17+預測IC!CY17</f>
        <v>1.5246491954247328</v>
      </c>
      <c r="CZ17" s="7">
        <f>CY17+預測IC!CZ17</f>
        <v>1.6488980332723533</v>
      </c>
      <c r="DA17" s="7">
        <f>CZ17+預測IC!DA17</f>
        <v>1.6050021741272191</v>
      </c>
      <c r="DB17" s="7">
        <f>DA17+預測IC!DB17</f>
        <v>1.5701191633347511</v>
      </c>
      <c r="DC17" s="7">
        <f>DB17+預測IC!DC17</f>
        <v>1.6134826323122504</v>
      </c>
      <c r="DD17" s="7">
        <f>DC17+預測IC!DD17</f>
        <v>1.5283486992280966</v>
      </c>
      <c r="DE17" s="7">
        <f>DD17+預測IC!DE17</f>
        <v>1.5720721150113999</v>
      </c>
      <c r="DF17" s="7">
        <f>DE17+預測IC!DF17</f>
        <v>1.5608407446847405</v>
      </c>
      <c r="DG17" s="7">
        <f>DF17+預測IC!DG17</f>
        <v>1.5590014627558322</v>
      </c>
      <c r="DH17" s="7">
        <f>DG17+預測IC!DH17</f>
        <v>1.5202748118178195</v>
      </c>
      <c r="DI17" s="7">
        <f>DH17+預測IC!DI17</f>
        <v>1.514981567494037</v>
      </c>
      <c r="DJ17" s="7">
        <f>DI17+預測IC!DJ17</f>
        <v>1.469645409953217</v>
      </c>
      <c r="DK17" s="7">
        <f>DJ17+預測IC!DK17</f>
        <v>1.6256818380697633</v>
      </c>
      <c r="DL17" s="7">
        <f>DK17+預測IC!DL17</f>
        <v>1.6991974390069344</v>
      </c>
      <c r="DM17" s="7">
        <f>DL17+預測IC!DM17</f>
        <v>1.6469445284246185</v>
      </c>
      <c r="DN17" s="7">
        <f>DM17+預測IC!DN17</f>
        <v>1.6824335611389576</v>
      </c>
      <c r="DO17" s="7">
        <f>DN17+預測IC!DO17</f>
        <v>1.7358849314788609</v>
      </c>
      <c r="DP17" s="7">
        <f>DO17+預測IC!DP17</f>
        <v>1.7193664232222374</v>
      </c>
      <c r="DQ17" s="7">
        <f>DP17+預測IC!DQ17</f>
        <v>1.6116639544256066</v>
      </c>
      <c r="DR17" s="7">
        <f>DQ17+預測IC!DR17</f>
        <v>1.6675487693019349</v>
      </c>
      <c r="DS17" s="7">
        <f>DR17+預測IC!DS17</f>
        <v>1.543232609497124</v>
      </c>
      <c r="DT17" s="7">
        <f>DS17+預測IC!DT17</f>
        <v>1.4500936598119725</v>
      </c>
      <c r="DU17" s="7">
        <f>DT17+預測IC!DU17</f>
        <v>1.3783629537614672</v>
      </c>
      <c r="DV17" s="7">
        <f>DU17+預測IC!DV17</f>
        <v>1.4961283518724215</v>
      </c>
      <c r="DW17" s="7">
        <f>DV17+預測IC!DW17</f>
        <v>1.5448098352865718</v>
      </c>
      <c r="DX17" s="7">
        <f>DW17+預測IC!DX17</f>
        <v>1.4152708526900977</v>
      </c>
      <c r="DY17" s="7">
        <f>DX17+預測IC!DY17</f>
        <v>1.5274093074961717</v>
      </c>
      <c r="DZ17" s="7">
        <f>DY17+預測IC!DZ17</f>
        <v>1.4955811348963854</v>
      </c>
      <c r="EA17" s="7">
        <f>DZ17+預測IC!EA17</f>
        <v>1.507399058762098</v>
      </c>
      <c r="EB17" s="7">
        <f>EA17+預測IC!EB17</f>
        <v>1.5944994079568373</v>
      </c>
      <c r="EC17" s="7">
        <f>EB17+預測IC!EC17</f>
        <v>1.6109246251728979</v>
      </c>
      <c r="ED17" s="7">
        <f>EC17+預測IC!ED17</f>
        <v>1.4826001812439853</v>
      </c>
      <c r="EE17" s="7">
        <f>ED17+預測IC!EE17</f>
        <v>1.4571868209339514</v>
      </c>
      <c r="EF17" s="7">
        <f>EE17+預測IC!EF17</f>
        <v>1.5048965879438032</v>
      </c>
    </row>
    <row r="18" spans="1:136" x14ac:dyDescent="0.3">
      <c r="B18" s="1" t="s">
        <v>158</v>
      </c>
      <c r="C18" s="7">
        <v>0.18975112249235829</v>
      </c>
      <c r="D18" s="7">
        <f>C18+預測IC!D18</f>
        <v>0.59163480391442624</v>
      </c>
      <c r="E18" s="7">
        <f>D18+預測IC!E18</f>
        <v>0.53263414681621846</v>
      </c>
      <c r="F18" s="7">
        <f>E18+預測IC!F18</f>
        <v>0.74472479797426094</v>
      </c>
      <c r="G18" s="7">
        <f>F18+預測IC!G18</f>
        <v>0.66393055095340103</v>
      </c>
      <c r="H18" s="7">
        <f>G18+預測IC!H18</f>
        <v>0.7924701127279723</v>
      </c>
      <c r="I18" s="7">
        <f>H18+預測IC!I18</f>
        <v>0.84742277563677393</v>
      </c>
      <c r="J18" s="7">
        <f>I18+預測IC!J18</f>
        <v>0.72226098254823212</v>
      </c>
      <c r="K18" s="7">
        <f>J18+預測IC!K18</f>
        <v>0.3635788840403324</v>
      </c>
      <c r="L18" s="7">
        <f>K18+預測IC!L18</f>
        <v>0.37656137088731401</v>
      </c>
      <c r="M18" s="7">
        <f>L18+預測IC!M18</f>
        <v>0.12304817687465353</v>
      </c>
      <c r="N18" s="7">
        <f>M18+預測IC!N18</f>
        <v>0.58486819494526676</v>
      </c>
      <c r="O18" s="7">
        <f>N18+預測IC!O18</f>
        <v>0.60919206978808649</v>
      </c>
      <c r="P18" s="7">
        <f>O18+預測IC!P18</f>
        <v>0.66376168289907056</v>
      </c>
      <c r="Q18" s="7">
        <f>P18+預測IC!Q18</f>
        <v>0.78549805456370569</v>
      </c>
      <c r="R18" s="7">
        <f>Q18+預測IC!R18</f>
        <v>0.80482425349056208</v>
      </c>
      <c r="S18" s="7">
        <f>R18+預測IC!S18</f>
        <v>0.73581091309685343</v>
      </c>
      <c r="T18" s="7">
        <f>S18+預測IC!T18</f>
        <v>0.73078277292358873</v>
      </c>
      <c r="U18" s="7">
        <f>T18+預測IC!U18</f>
        <v>0.75891830055617937</v>
      </c>
      <c r="V18" s="7">
        <f>U18+預測IC!V18</f>
        <v>0.62766437361673844</v>
      </c>
      <c r="W18" s="7">
        <f>V18+預測IC!W18</f>
        <v>0.70496065367647709</v>
      </c>
      <c r="X18" s="7">
        <f>W18+預測IC!X18</f>
        <v>0.83208346230196739</v>
      </c>
      <c r="Y18" s="7">
        <f>X18+預測IC!Y18</f>
        <v>0.8562972700225483</v>
      </c>
      <c r="Z18" s="7">
        <f>Y18+預測IC!Z18</f>
        <v>0.83939155383516439</v>
      </c>
      <c r="AA18" s="7">
        <f>Z18+預測IC!AA18</f>
        <v>0.79768630865244028</v>
      </c>
      <c r="AB18" s="7">
        <f>AA18+預測IC!AB18</f>
        <v>0.7359724579787168</v>
      </c>
      <c r="AC18" s="7">
        <f>AB18+預測IC!AC18</f>
        <v>0.66125263459945016</v>
      </c>
      <c r="AD18" s="7">
        <f>AC18+預測IC!AD18</f>
        <v>0.63465704422036995</v>
      </c>
      <c r="AE18" s="7">
        <f>AD18+預測IC!AE18</f>
        <v>0.71185863583924969</v>
      </c>
      <c r="AF18" s="7">
        <f>AE18+預測IC!AF18</f>
        <v>0.67998521767862408</v>
      </c>
      <c r="AG18" s="7">
        <f>AF18+預測IC!AG18</f>
        <v>0.67136685329848034</v>
      </c>
      <c r="AH18" s="7">
        <f>AG18+預測IC!AH18</f>
        <v>0.71156431426699507</v>
      </c>
      <c r="AI18" s="7">
        <f>AH18+預測IC!AI18</f>
        <v>0.82965004882499527</v>
      </c>
      <c r="AJ18" s="7">
        <f>AI18+預測IC!AJ18</f>
        <v>0.82232260493580578</v>
      </c>
      <c r="AK18" s="7">
        <f>AJ18+預測IC!AK18</f>
        <v>0.84961253223284894</v>
      </c>
      <c r="AL18" s="7">
        <f>AK18+預測IC!AL18</f>
        <v>0.89714029586510669</v>
      </c>
      <c r="AM18" s="7">
        <f>AL18+預測IC!AM18</f>
        <v>0.96378370128987789</v>
      </c>
      <c r="AN18" s="7">
        <f>AM18+預測IC!AN18</f>
        <v>1.0430783412450797</v>
      </c>
      <c r="AO18" s="7">
        <f>AN18+預測IC!AO18</f>
        <v>1.0485058762127726</v>
      </c>
      <c r="AP18" s="7">
        <f>AO18+預測IC!AP18</f>
        <v>1.0505203076606808</v>
      </c>
      <c r="AQ18" s="7">
        <f>AP18+預測IC!AQ18</f>
        <v>0.97428946233423086</v>
      </c>
      <c r="AR18" s="7">
        <f>AQ18+預測IC!AR18</f>
        <v>1.098834968697175</v>
      </c>
      <c r="AS18" s="7">
        <f>AR18+預測IC!AS18</f>
        <v>1.1846615202511441</v>
      </c>
      <c r="AT18" s="7">
        <f>AS18+預測IC!AT18</f>
        <v>1.2279871700717229</v>
      </c>
      <c r="AU18" s="7">
        <f>AT18+預測IC!AU18</f>
        <v>1.2925628141513144</v>
      </c>
      <c r="AV18" s="7">
        <f>AU18+預測IC!AV18</f>
        <v>1.2637940582695972</v>
      </c>
      <c r="AW18" s="7">
        <f>AV18+預測IC!AW18</f>
        <v>1.2883320925107047</v>
      </c>
      <c r="AX18" s="7">
        <f>AW18+預測IC!AX18</f>
        <v>1.3219341602861949</v>
      </c>
      <c r="AY18" s="7">
        <f>AX18+預測IC!AY18</f>
        <v>1.3567174389273431</v>
      </c>
      <c r="AZ18" s="7">
        <f>AY18+預測IC!AZ18</f>
        <v>1.208308356538444</v>
      </c>
      <c r="BA18" s="7">
        <f>AZ18+預測IC!BA18</f>
        <v>1.2089406674631296</v>
      </c>
      <c r="BB18" s="7">
        <f>BA18+預測IC!BB18</f>
        <v>1.3465967096204667</v>
      </c>
      <c r="BC18" s="7">
        <f>BB18+預測IC!BC18</f>
        <v>1.4297982822137874</v>
      </c>
      <c r="BD18" s="7">
        <f>BC18+預測IC!BD18</f>
        <v>1.4057820105264869</v>
      </c>
      <c r="BE18" s="7">
        <f>BD18+預測IC!BE18</f>
        <v>1.4741432237646497</v>
      </c>
      <c r="BF18" s="7">
        <f>BE18+預測IC!BF18</f>
        <v>1.5200277600642285</v>
      </c>
      <c r="BG18" s="7">
        <f>BF18+預測IC!BG18</f>
        <v>1.5032215188380242</v>
      </c>
      <c r="BH18" s="7">
        <f>BG18+預測IC!BH18</f>
        <v>1.5237253719018298</v>
      </c>
      <c r="BI18" s="7">
        <f>BH18+預測IC!BI18</f>
        <v>1.6327253788204954</v>
      </c>
      <c r="BJ18" s="7">
        <f>BI18+預測IC!BJ18</f>
        <v>1.6386814428709549</v>
      </c>
      <c r="BK18" s="7">
        <f>BJ18+預測IC!BK18</f>
        <v>1.5806781987007523</v>
      </c>
      <c r="BL18" s="7">
        <f>BK18+預測IC!BL18</f>
        <v>1.6618358725209563</v>
      </c>
      <c r="BM18" s="7">
        <f>BL18+預測IC!BM18</f>
        <v>1.764609811584396</v>
      </c>
      <c r="BN18" s="7">
        <f>BM18+預測IC!BN18</f>
        <v>1.8173842012082262</v>
      </c>
      <c r="BO18" s="7">
        <f>BN18+預測IC!BO18</f>
        <v>1.8376116973146008</v>
      </c>
      <c r="BP18" s="7">
        <f>BO18+預測IC!BP18</f>
        <v>1.8844692376492829</v>
      </c>
      <c r="BQ18" s="7">
        <f>BP18+預測IC!BQ18</f>
        <v>1.8863860217591319</v>
      </c>
      <c r="BR18" s="7">
        <f>BQ18+預測IC!BR18</f>
        <v>1.8806378281751772</v>
      </c>
      <c r="BS18" s="7">
        <f>BR18+預測IC!BS18</f>
        <v>1.876654203078058</v>
      </c>
      <c r="BT18" s="7">
        <f>BS18+預測IC!BT18</f>
        <v>1.9918909511139447</v>
      </c>
      <c r="BU18" s="7">
        <f>BT18+預測IC!BU18</f>
        <v>2.0725683951539855</v>
      </c>
      <c r="BV18" s="7">
        <f>BU18+預測IC!BV18</f>
        <v>2.153491790431028</v>
      </c>
      <c r="BW18" s="7">
        <f>BV18+預測IC!BW18</f>
        <v>2.0681807034978323</v>
      </c>
      <c r="BX18" s="7">
        <f>BW18+預測IC!BX18</f>
        <v>2.0871991782138681</v>
      </c>
      <c r="BY18" s="7">
        <f>BX18+預測IC!BY18</f>
        <v>1.9641242023898433</v>
      </c>
      <c r="BZ18" s="7">
        <f>BY18+預測IC!BZ18</f>
        <v>2.1174441901924412</v>
      </c>
      <c r="CA18" s="7">
        <f>BZ18+預測IC!CA18</f>
        <v>2.1507303550929704</v>
      </c>
      <c r="CB18" s="7">
        <f>CA18+預測IC!CB18</f>
        <v>2.1261529984805221</v>
      </c>
      <c r="CC18" s="7">
        <f>CB18+預測IC!CC18</f>
        <v>2.0979795544611219</v>
      </c>
      <c r="CD18" s="7">
        <f>CC18+預測IC!CD18</f>
        <v>2.2916963731079525</v>
      </c>
      <c r="CE18" s="7">
        <f>CD18+預測IC!CE18</f>
        <v>2.1137700167990752</v>
      </c>
      <c r="CF18" s="7">
        <f>CE18+預測IC!CF18</f>
        <v>2.1855876084994494</v>
      </c>
      <c r="CG18" s="7">
        <f>CF18+預測IC!CG18</f>
        <v>2.1827862495600341</v>
      </c>
      <c r="CH18" s="7">
        <f>CG18+預測IC!CH18</f>
        <v>2.3454432962472671</v>
      </c>
      <c r="CI18" s="7">
        <f>CH18+預測IC!CI18</f>
        <v>2.3065741563695776</v>
      </c>
      <c r="CJ18" s="7">
        <f>CI18+預測IC!CJ18</f>
        <v>2.244260478544668</v>
      </c>
      <c r="CK18" s="7">
        <f>CJ18+預測IC!CK18</f>
        <v>2.3349282628369519</v>
      </c>
      <c r="CL18" s="7">
        <f>CK18+預測IC!CL18</f>
        <v>2.3039387177787587</v>
      </c>
      <c r="CM18" s="7">
        <f>CL18+預測IC!CM18</f>
        <v>2.4475872609431524</v>
      </c>
      <c r="CN18" s="7">
        <f>CM18+預測IC!CN18</f>
        <v>2.4125010069649759</v>
      </c>
      <c r="CO18" s="7">
        <f>CN18+預測IC!CO18</f>
        <v>2.1809271284155467</v>
      </c>
      <c r="CP18" s="7">
        <f>CO18+預測IC!CP18</f>
        <v>2.3437662373635573</v>
      </c>
      <c r="CQ18" s="7">
        <f>CP18+預測IC!CQ18</f>
        <v>2.3917427737718246</v>
      </c>
      <c r="CR18" s="7">
        <f>CQ18+預測IC!CR18</f>
        <v>2.4468989024884165</v>
      </c>
      <c r="CS18" s="7">
        <f>CR18+預測IC!CS18</f>
        <v>2.5249261492203878</v>
      </c>
      <c r="CT18" s="7">
        <f>CS18+預測IC!CT18</f>
        <v>2.6154415782226375</v>
      </c>
      <c r="CU18" s="7">
        <f>CT18+預測IC!CU18</f>
        <v>2.5437928870175273</v>
      </c>
      <c r="CV18" s="7">
        <f>CU18+預測IC!CV18</f>
        <v>2.6348331692478157</v>
      </c>
      <c r="CW18" s="7">
        <f>CV18+預測IC!CW18</f>
        <v>2.6263770836832898</v>
      </c>
      <c r="CX18" s="7">
        <f>CW18+預測IC!CX18</f>
        <v>2.687937269517068</v>
      </c>
      <c r="CY18" s="7">
        <f>CX18+預測IC!CY18</f>
        <v>2.6365798557422857</v>
      </c>
      <c r="CZ18" s="7">
        <f>CY18+預測IC!CZ18</f>
        <v>2.7694227190440572</v>
      </c>
      <c r="DA18" s="7">
        <f>CZ18+預測IC!DA18</f>
        <v>2.7220417795253637</v>
      </c>
      <c r="DB18" s="7">
        <f>DA18+預測IC!DB18</f>
        <v>2.6763065708466045</v>
      </c>
      <c r="DC18" s="7">
        <f>DB18+預測IC!DC18</f>
        <v>2.7127153523421108</v>
      </c>
      <c r="DD18" s="7">
        <f>DC18+預測IC!DD18</f>
        <v>2.6302529988466965</v>
      </c>
      <c r="DE18" s="7">
        <f>DD18+預測IC!DE18</f>
        <v>2.6794264437383375</v>
      </c>
      <c r="DF18" s="7">
        <f>DE18+預測IC!DF18</f>
        <v>2.6443836649559671</v>
      </c>
      <c r="DG18" s="7">
        <f>DF18+預測IC!DG18</f>
        <v>2.6367641917983393</v>
      </c>
      <c r="DH18" s="7">
        <f>DG18+預測IC!DH18</f>
        <v>2.6087261785496905</v>
      </c>
      <c r="DI18" s="7">
        <f>DH18+預測IC!DI18</f>
        <v>2.5926115493116635</v>
      </c>
      <c r="DJ18" s="7">
        <f>DI18+預測IC!DJ18</f>
        <v>2.5474075095263742</v>
      </c>
      <c r="DK18" s="7">
        <f>DJ18+預測IC!DK18</f>
        <v>2.7059211366188016</v>
      </c>
      <c r="DL18" s="7">
        <f>DK18+預測IC!DL18</f>
        <v>2.787318879535043</v>
      </c>
      <c r="DM18" s="7">
        <f>DL18+預測IC!DM18</f>
        <v>2.7208107388030047</v>
      </c>
      <c r="DN18" s="7">
        <f>DM18+預測IC!DN18</f>
        <v>2.7040886747249835</v>
      </c>
      <c r="DO18" s="7">
        <f>DN18+預測IC!DO18</f>
        <v>2.7461935822756138</v>
      </c>
      <c r="DP18" s="7">
        <f>DO18+預測IC!DP18</f>
        <v>2.7255888958087482</v>
      </c>
      <c r="DQ18" s="7">
        <f>DP18+預測IC!DQ18</f>
        <v>2.6248616175029165</v>
      </c>
      <c r="DR18" s="7">
        <f>DQ18+預測IC!DR18</f>
        <v>2.7017022722748774</v>
      </c>
      <c r="DS18" s="7">
        <f>DR18+預測IC!DS18</f>
        <v>2.5539802738231447</v>
      </c>
      <c r="DT18" s="7">
        <f>DS18+預測IC!DT18</f>
        <v>2.4379628837121676</v>
      </c>
      <c r="DU18" s="7">
        <f>DT18+預測IC!DU18</f>
        <v>2.3410676976352631</v>
      </c>
      <c r="DV18" s="7">
        <f>DU18+預測IC!DV18</f>
        <v>2.4467083064353252</v>
      </c>
      <c r="DW18" s="7">
        <f>DV18+預測IC!DW18</f>
        <v>2.5286169987196985</v>
      </c>
      <c r="DX18" s="7">
        <f>DW18+預測IC!DX18</f>
        <v>2.3750140212572166</v>
      </c>
      <c r="DY18" s="7">
        <f>DX18+預測IC!DY18</f>
        <v>2.4724420582331663</v>
      </c>
      <c r="DZ18" s="7">
        <f>DY18+預測IC!DZ18</f>
        <v>2.3969256989368009</v>
      </c>
      <c r="EA18" s="7">
        <f>DZ18+預測IC!EA18</f>
        <v>2.3905641361928192</v>
      </c>
      <c r="EB18" s="7">
        <f>EA18+預測IC!EB18</f>
        <v>2.4904105141711397</v>
      </c>
      <c r="EC18" s="7">
        <f>EB18+預測IC!EC18</f>
        <v>2.4931746295965111</v>
      </c>
      <c r="ED18" s="7">
        <f>EC18+預測IC!ED18</f>
        <v>2.3826966077307454</v>
      </c>
      <c r="EE18" s="7">
        <f>ED18+預測IC!EE18</f>
        <v>2.3688428537562385</v>
      </c>
      <c r="EF18" s="7">
        <f>EE18+預測IC!EF18</f>
        <v>2.417797870866655</v>
      </c>
    </row>
    <row r="19" spans="1:136" x14ac:dyDescent="0.3">
      <c r="B19" s="1" t="s">
        <v>159</v>
      </c>
      <c r="C19" s="7">
        <v>0.19660026531165431</v>
      </c>
      <c r="D19" s="7">
        <f>C19+預測IC!D19</f>
        <v>0.60412097540112364</v>
      </c>
      <c r="E19" s="7">
        <f>D19+預測IC!E19</f>
        <v>0.54922288163371147</v>
      </c>
      <c r="F19" s="7">
        <f>E19+預測IC!F19</f>
        <v>0.78539334700944574</v>
      </c>
      <c r="G19" s="7">
        <f>F19+預測IC!G19</f>
        <v>0.68788125644784559</v>
      </c>
      <c r="H19" s="7">
        <f>G19+預測IC!H19</f>
        <v>0.86549157527049758</v>
      </c>
      <c r="I19" s="7">
        <f>H19+預測IC!I19</f>
        <v>0.91295498060689717</v>
      </c>
      <c r="J19" s="7">
        <f>I19+預測IC!J19</f>
        <v>0.75672462752069325</v>
      </c>
      <c r="K19" s="7">
        <f>J19+預測IC!K19</f>
        <v>0.33838677655105903</v>
      </c>
      <c r="L19" s="7">
        <f>K19+預測IC!L19</f>
        <v>0.38143573418622506</v>
      </c>
      <c r="M19" s="7">
        <f>L19+預測IC!M19</f>
        <v>0.11989389187123828</v>
      </c>
      <c r="N19" s="7">
        <f>M19+預測IC!N19</f>
        <v>0.65226792955947954</v>
      </c>
      <c r="O19" s="7">
        <f>N19+預測IC!O19</f>
        <v>0.63247049555809465</v>
      </c>
      <c r="P19" s="7">
        <f>O19+預測IC!P19</f>
        <v>0.65525570867018801</v>
      </c>
      <c r="Q19" s="7">
        <f>P19+預測IC!Q19</f>
        <v>0.82571800075020607</v>
      </c>
      <c r="R19" s="7">
        <f>Q19+預測IC!R19</f>
        <v>0.86766063019942208</v>
      </c>
      <c r="S19" s="7">
        <f>R19+預測IC!S19</f>
        <v>0.78896436888626131</v>
      </c>
      <c r="T19" s="7">
        <f>S19+預測IC!T19</f>
        <v>0.6794385073503395</v>
      </c>
      <c r="U19" s="7">
        <f>T19+預測IC!U19</f>
        <v>0.72362536534866451</v>
      </c>
      <c r="V19" s="7">
        <f>U19+預測IC!V19</f>
        <v>0.60494090682974344</v>
      </c>
      <c r="W19" s="7">
        <f>V19+預測IC!W19</f>
        <v>0.67735647614924244</v>
      </c>
      <c r="X19" s="7">
        <f>W19+預測IC!X19</f>
        <v>0.80027962239495942</v>
      </c>
      <c r="Y19" s="7">
        <f>X19+預測IC!Y19</f>
        <v>0.82434392774001719</v>
      </c>
      <c r="Z19" s="7">
        <f>Y19+預測IC!Z19</f>
        <v>0.80212068844111484</v>
      </c>
      <c r="AA19" s="7">
        <f>Z19+預測IC!AA19</f>
        <v>0.76055050390295909</v>
      </c>
      <c r="AB19" s="7">
        <f>AA19+預測IC!AB19</f>
        <v>0.69978815243640535</v>
      </c>
      <c r="AC19" s="7">
        <f>AB19+預測IC!AC19</f>
        <v>0.61627528554352673</v>
      </c>
      <c r="AD19" s="7">
        <f>AC19+預測IC!AD19</f>
        <v>0.58118635695557641</v>
      </c>
      <c r="AE19" s="7">
        <f>AD19+預測IC!AE19</f>
        <v>0.69641822691864319</v>
      </c>
      <c r="AF19" s="7">
        <f>AE19+預測IC!AF19</f>
        <v>0.65763256010974347</v>
      </c>
      <c r="AG19" s="7">
        <f>AF19+預測IC!AG19</f>
        <v>0.67693010533377829</v>
      </c>
      <c r="AH19" s="7">
        <f>AG19+預測IC!AH19</f>
        <v>0.73348782055548178</v>
      </c>
      <c r="AI19" s="7">
        <f>AH19+預測IC!AI19</f>
        <v>0.82503648348015624</v>
      </c>
      <c r="AJ19" s="7">
        <f>AI19+預測IC!AJ19</f>
        <v>0.8372036750561368</v>
      </c>
      <c r="AK19" s="7">
        <f>AJ19+預測IC!AK19</f>
        <v>0.8862624596900277</v>
      </c>
      <c r="AL19" s="7">
        <f>AK19+預測IC!AL19</f>
        <v>0.9565334053608332</v>
      </c>
      <c r="AM19" s="7">
        <f>AL19+預測IC!AM19</f>
        <v>0.99963941717223814</v>
      </c>
      <c r="AN19" s="7">
        <f>AM19+預測IC!AN19</f>
        <v>1.0832077115379202</v>
      </c>
      <c r="AO19" s="7">
        <f>AN19+預測IC!AO19</f>
        <v>1.1091006145833346</v>
      </c>
      <c r="AP19" s="7">
        <f>AO19+預測IC!AP19</f>
        <v>1.1188127355249347</v>
      </c>
      <c r="AQ19" s="7">
        <f>AP19+預測IC!AQ19</f>
        <v>1.030559978464284</v>
      </c>
      <c r="AR19" s="7">
        <f>AQ19+預測IC!AR19</f>
        <v>1.1840775407771416</v>
      </c>
      <c r="AS19" s="7">
        <f>AR19+預測IC!AS19</f>
        <v>1.281874496045456</v>
      </c>
      <c r="AT19" s="7">
        <f>AS19+預測IC!AT19</f>
        <v>1.3311694778111574</v>
      </c>
      <c r="AU19" s="7">
        <f>AT19+預測IC!AU19</f>
        <v>1.4075981935248114</v>
      </c>
      <c r="AV19" s="7">
        <f>AU19+預測IC!AV19</f>
        <v>1.3575651728278335</v>
      </c>
      <c r="AW19" s="7">
        <f>AV19+預測IC!AW19</f>
        <v>1.3799213409819699</v>
      </c>
      <c r="AX19" s="7">
        <f>AW19+預測IC!AX19</f>
        <v>1.4439834512127641</v>
      </c>
      <c r="AY19" s="7">
        <f>AX19+預測IC!AY19</f>
        <v>1.4735124216061439</v>
      </c>
      <c r="AZ19" s="7">
        <f>AY19+預測IC!AZ19</f>
        <v>1.2866328034379697</v>
      </c>
      <c r="BA19" s="7">
        <f>AZ19+預測IC!BA19</f>
        <v>1.2522689194838967</v>
      </c>
      <c r="BB19" s="7">
        <f>BA19+預測IC!BB19</f>
        <v>1.4120151185563283</v>
      </c>
      <c r="BC19" s="7">
        <f>BB19+預測IC!BC19</f>
        <v>1.4760706049025141</v>
      </c>
      <c r="BD19" s="7">
        <f>BC19+預測IC!BD19</f>
        <v>1.4728362122724459</v>
      </c>
      <c r="BE19" s="7">
        <f>BD19+預測IC!BE19</f>
        <v>1.5239680862361125</v>
      </c>
      <c r="BF19" s="7">
        <f>BE19+預測IC!BF19</f>
        <v>1.537539060385251</v>
      </c>
      <c r="BG19" s="7">
        <f>BF19+預測IC!BG19</f>
        <v>1.5211954020524088</v>
      </c>
      <c r="BH19" s="7">
        <f>BG19+預測IC!BH19</f>
        <v>1.5232136037538397</v>
      </c>
      <c r="BI19" s="7">
        <f>BH19+預測IC!BI19</f>
        <v>1.6510122325730585</v>
      </c>
      <c r="BJ19" s="7">
        <f>BI19+預測IC!BJ19</f>
        <v>1.6727195341116377</v>
      </c>
      <c r="BK19" s="7">
        <f>BJ19+預測IC!BK19</f>
        <v>1.6209700080196452</v>
      </c>
      <c r="BL19" s="7">
        <f>BK19+預測IC!BL19</f>
        <v>1.7009346661661482</v>
      </c>
      <c r="BM19" s="7">
        <f>BL19+預測IC!BM19</f>
        <v>1.8151852664248438</v>
      </c>
      <c r="BN19" s="7">
        <f>BM19+預測IC!BN19</f>
        <v>1.8824379138921157</v>
      </c>
      <c r="BO19" s="7">
        <f>BN19+預測IC!BO19</f>
        <v>1.9081668751572312</v>
      </c>
      <c r="BP19" s="7">
        <f>BO19+預測IC!BP19</f>
        <v>1.9709856826913632</v>
      </c>
      <c r="BQ19" s="7">
        <f>BP19+預測IC!BQ19</f>
        <v>1.9809197271456862</v>
      </c>
      <c r="BR19" s="7">
        <f>BQ19+預測IC!BR19</f>
        <v>1.9875949731692062</v>
      </c>
      <c r="BS19" s="7">
        <f>BR19+預測IC!BS19</f>
        <v>1.9633386344247241</v>
      </c>
      <c r="BT19" s="7">
        <f>BS19+預測IC!BT19</f>
        <v>2.1049713142782975</v>
      </c>
      <c r="BU19" s="7">
        <f>BT19+預測IC!BU19</f>
        <v>2.1809075655125354</v>
      </c>
      <c r="BV19" s="7">
        <f>BU19+預測IC!BV19</f>
        <v>2.2745628066658816</v>
      </c>
      <c r="BW19" s="7">
        <f>BV19+預測IC!BW19</f>
        <v>2.1655958452822368</v>
      </c>
      <c r="BX19" s="7">
        <f>BW19+預測IC!BX19</f>
        <v>2.199683630554095</v>
      </c>
      <c r="BY19" s="7">
        <f>BX19+預測IC!BY19</f>
        <v>2.0920338939984466</v>
      </c>
      <c r="BZ19" s="7">
        <f>BY19+預測IC!BZ19</f>
        <v>2.1607360188205007</v>
      </c>
      <c r="CA19" s="7">
        <f>BZ19+預測IC!CA19</f>
        <v>2.1963458141098995</v>
      </c>
      <c r="CB19" s="7">
        <f>CA19+預測IC!CB19</f>
        <v>2.1483046456016548</v>
      </c>
      <c r="CC19" s="7">
        <f>CB19+預測IC!CC19</f>
        <v>2.1235813928358271</v>
      </c>
      <c r="CD19" s="7">
        <f>CC19+預測IC!CD19</f>
        <v>2.3392005909295452</v>
      </c>
      <c r="CE19" s="7">
        <f>CD19+預測IC!CE19</f>
        <v>2.140934761752586</v>
      </c>
      <c r="CF19" s="7">
        <f>CE19+預測IC!CF19</f>
        <v>2.2208391589586354</v>
      </c>
      <c r="CG19" s="7">
        <f>CF19+預測IC!CG19</f>
        <v>2.1702056289439819</v>
      </c>
      <c r="CH19" s="7">
        <f>CG19+預測IC!CH19</f>
        <v>2.3230954959939081</v>
      </c>
      <c r="CI19" s="7">
        <f>CH19+預測IC!CI19</f>
        <v>2.2860285498337127</v>
      </c>
      <c r="CJ19" s="7">
        <f>CI19+預測IC!CJ19</f>
        <v>2.2240880498676767</v>
      </c>
      <c r="CK19" s="7">
        <f>CJ19+預測IC!CK19</f>
        <v>2.3280557676847748</v>
      </c>
      <c r="CL19" s="7">
        <f>CK19+預測IC!CL19</f>
        <v>2.2848154877099849</v>
      </c>
      <c r="CM19" s="7">
        <f>CL19+預測IC!CM19</f>
        <v>2.4601631292916997</v>
      </c>
      <c r="CN19" s="7">
        <f>CM19+預測IC!CN19</f>
        <v>2.3832304746243964</v>
      </c>
      <c r="CO19" s="7">
        <f>CN19+預測IC!CO19</f>
        <v>2.11077606999589</v>
      </c>
      <c r="CP19" s="7">
        <f>CO19+預測IC!CP19</f>
        <v>2.2698086689782229</v>
      </c>
      <c r="CQ19" s="7">
        <f>CP19+預測IC!CQ19</f>
        <v>2.2670787608236611</v>
      </c>
      <c r="CR19" s="7">
        <f>CQ19+預測IC!CR19</f>
        <v>2.3167729503760639</v>
      </c>
      <c r="CS19" s="7">
        <f>CR19+預測IC!CS19</f>
        <v>2.3774738012746019</v>
      </c>
      <c r="CT19" s="7">
        <f>CS19+預測IC!CT19</f>
        <v>2.5000942279046328</v>
      </c>
      <c r="CU19" s="7">
        <f>CT19+預測IC!CU19</f>
        <v>2.4166578307907396</v>
      </c>
      <c r="CV19" s="7">
        <f>CU19+預測IC!CV19</f>
        <v>2.5186376923071432</v>
      </c>
      <c r="CW19" s="7">
        <f>CV19+預測IC!CW19</f>
        <v>2.4967358845252448</v>
      </c>
      <c r="CX19" s="7">
        <f>CW19+預測IC!CX19</f>
        <v>2.5543706108934296</v>
      </c>
      <c r="CY19" s="7">
        <f>CX19+預測IC!CY19</f>
        <v>2.48344874132906</v>
      </c>
      <c r="CZ19" s="7">
        <f>CY19+預測IC!CZ19</f>
        <v>2.5963005699705239</v>
      </c>
      <c r="DA19" s="7">
        <f>CZ19+預測IC!DA19</f>
        <v>2.5380766932672874</v>
      </c>
      <c r="DB19" s="7">
        <f>DA19+預測IC!DB19</f>
        <v>2.5023557942420718</v>
      </c>
      <c r="DC19" s="7">
        <f>DB19+預測IC!DC19</f>
        <v>2.4671763943399778</v>
      </c>
      <c r="DD19" s="7">
        <f>DC19+預測IC!DD19</f>
        <v>2.3609190583851771</v>
      </c>
      <c r="DE19" s="7">
        <f>DD19+預測IC!DE19</f>
        <v>2.4149440137677867</v>
      </c>
      <c r="DF19" s="7">
        <f>DE19+預測IC!DF19</f>
        <v>2.3452509668747639</v>
      </c>
      <c r="DG19" s="7">
        <f>DF19+預測IC!DG19</f>
        <v>2.3325044919641149</v>
      </c>
      <c r="DH19" s="7">
        <f>DG19+預測IC!DH19</f>
        <v>2.3323475088347103</v>
      </c>
      <c r="DI19" s="7">
        <f>DH19+預測IC!DI19</f>
        <v>2.3360139332771315</v>
      </c>
      <c r="DJ19" s="7">
        <f>DI19+預測IC!DJ19</f>
        <v>2.2874995825541546</v>
      </c>
      <c r="DK19" s="7">
        <f>DJ19+預測IC!DK19</f>
        <v>2.4116441703383624</v>
      </c>
      <c r="DL19" s="7">
        <f>DK19+預測IC!DL19</f>
        <v>2.4818115781382319</v>
      </c>
      <c r="DM19" s="7">
        <f>DL19+預測IC!DM19</f>
        <v>2.3998593231042378</v>
      </c>
      <c r="DN19" s="7">
        <f>DM19+預測IC!DN19</f>
        <v>2.4023344462018761</v>
      </c>
      <c r="DO19" s="7">
        <f>DN19+預測IC!DO19</f>
        <v>2.4574610096018201</v>
      </c>
      <c r="DP19" s="7">
        <f>DO19+預測IC!DP19</f>
        <v>2.4852990240848141</v>
      </c>
      <c r="DQ19" s="7">
        <f>DP19+預測IC!DQ19</f>
        <v>2.3648096447241791</v>
      </c>
      <c r="DR19" s="7">
        <f>DQ19+預測IC!DR19</f>
        <v>2.4407719980492271</v>
      </c>
      <c r="DS19" s="7">
        <f>DR19+預測IC!DS19</f>
        <v>2.2627764510952568</v>
      </c>
      <c r="DT19" s="7">
        <f>DS19+預測IC!DT19</f>
        <v>2.1296479504759076</v>
      </c>
      <c r="DU19" s="7">
        <f>DT19+預測IC!DU19</f>
        <v>1.9868172524214673</v>
      </c>
      <c r="DV19" s="7">
        <f>DU19+預測IC!DV19</f>
        <v>2.098341958862072</v>
      </c>
      <c r="DW19" s="7">
        <f>DV19+預測IC!DW19</f>
        <v>2.1589510982027562</v>
      </c>
      <c r="DX19" s="7">
        <f>DW19+預測IC!DX19</f>
        <v>2.0205859639645785</v>
      </c>
      <c r="DY19" s="7">
        <f>DX19+預測IC!DY19</f>
        <v>2.0906955416525017</v>
      </c>
      <c r="DZ19" s="7">
        <f>DY19+預測IC!DZ19</f>
        <v>1.9787747127885087</v>
      </c>
      <c r="EA19" s="7">
        <f>DZ19+預測IC!EA19</f>
        <v>1.9506953593128413</v>
      </c>
      <c r="EB19" s="7">
        <f>EA19+預測IC!EB19</f>
        <v>1.9724681293256199</v>
      </c>
      <c r="EC19" s="7">
        <f>EB19+預測IC!EC19</f>
        <v>1.9602780861019178</v>
      </c>
      <c r="ED19" s="7">
        <f>EC19+預測IC!ED19</f>
        <v>1.809342769111761</v>
      </c>
      <c r="EE19" s="7">
        <f>ED19+預測IC!EE19</f>
        <v>1.8219768120521833</v>
      </c>
      <c r="EF19" s="7">
        <f>EE19+預測IC!EF19</f>
        <v>1.8389547669269524</v>
      </c>
    </row>
    <row r="20" spans="1:136" x14ac:dyDescent="0.3">
      <c r="B20" s="1" t="s">
        <v>160</v>
      </c>
      <c r="C20" s="7">
        <v>0.2015510478639157</v>
      </c>
      <c r="D20" s="7">
        <f>C20+預測IC!D20</f>
        <v>0.58357606791126559</v>
      </c>
      <c r="E20" s="7">
        <f>D20+預測IC!E20</f>
        <v>0.59907605605559955</v>
      </c>
      <c r="F20" s="7">
        <f>E20+預測IC!F20</f>
        <v>0.78149567474874071</v>
      </c>
      <c r="G20" s="7">
        <f>F20+預測IC!G20</f>
        <v>0.68112976282987681</v>
      </c>
      <c r="H20" s="7">
        <f>G20+預測IC!H20</f>
        <v>0.82506204508555214</v>
      </c>
      <c r="I20" s="7">
        <f>H20+預測IC!I20</f>
        <v>0.85299758672995507</v>
      </c>
      <c r="J20" s="7">
        <f>I20+預測IC!J20</f>
        <v>0.7197902936529279</v>
      </c>
      <c r="K20" s="7">
        <f>J20+預測IC!K20</f>
        <v>0.62968163953025391</v>
      </c>
      <c r="L20" s="7">
        <f>K20+預測IC!L20</f>
        <v>0.72539027503478959</v>
      </c>
      <c r="M20" s="7">
        <f>L20+預測IC!M20</f>
        <v>0.45669644989681329</v>
      </c>
      <c r="N20" s="7">
        <f>M20+預測IC!N20</f>
        <v>0.95670792790628734</v>
      </c>
      <c r="O20" s="7">
        <f>N20+預測IC!O20</f>
        <v>0.84659340280298012</v>
      </c>
      <c r="P20" s="7">
        <f>O20+預測IC!P20</f>
        <v>0.88662189755475018</v>
      </c>
      <c r="Q20" s="7">
        <f>P20+預測IC!Q20</f>
        <v>1.1114467085471453</v>
      </c>
      <c r="R20" s="7">
        <f>Q20+預測IC!R20</f>
        <v>1.1779163416360019</v>
      </c>
      <c r="S20" s="7">
        <f>R20+預測IC!S20</f>
        <v>1.1205752590632008</v>
      </c>
      <c r="T20" s="7">
        <f>S20+預測IC!T20</f>
        <v>1.019729726019728</v>
      </c>
      <c r="U20" s="7">
        <f>T20+預測IC!U20</f>
        <v>1.0519673844392352</v>
      </c>
      <c r="V20" s="7">
        <f>U20+預測IC!V20</f>
        <v>0.9156793210716585</v>
      </c>
      <c r="W20" s="7">
        <f>V20+預測IC!W20</f>
        <v>1.0067641905042033</v>
      </c>
      <c r="X20" s="7">
        <f>W20+預測IC!X20</f>
        <v>1.156806502131742</v>
      </c>
      <c r="Y20" s="7">
        <f>X20+預測IC!Y20</f>
        <v>1.1519507442714263</v>
      </c>
      <c r="Z20" s="7">
        <f>Y20+預測IC!Z20</f>
        <v>1.1811080943257728</v>
      </c>
      <c r="AA20" s="7">
        <f>Z20+預測IC!AA20</f>
        <v>1.1595135409384756</v>
      </c>
      <c r="AB20" s="7">
        <f>AA20+預測IC!AB20</f>
        <v>1.0990899166504455</v>
      </c>
      <c r="AC20" s="7">
        <f>AB20+預測IC!AC20</f>
        <v>1.0027808738251465</v>
      </c>
      <c r="AD20" s="7">
        <f>AC20+預測IC!AD20</f>
        <v>0.96832697097331677</v>
      </c>
      <c r="AE20" s="7">
        <f>AD20+預測IC!AE20</f>
        <v>0.98563812060035416</v>
      </c>
      <c r="AF20" s="7">
        <f>AE20+預測IC!AF20</f>
        <v>0.94659344221277419</v>
      </c>
      <c r="AG20" s="7">
        <f>AF20+預測IC!AG20</f>
        <v>0.94035170184062622</v>
      </c>
      <c r="AH20" s="7">
        <f>AG20+預測IC!AH20</f>
        <v>1.0305299025554089</v>
      </c>
      <c r="AI20" s="7">
        <f>AH20+預測IC!AI20</f>
        <v>1.1468666576107325</v>
      </c>
      <c r="AJ20" s="7">
        <f>AI20+預測IC!AJ20</f>
        <v>1.1641083733268338</v>
      </c>
      <c r="AK20" s="7">
        <f>AJ20+預測IC!AK20</f>
        <v>1.231074734469479</v>
      </c>
      <c r="AL20" s="7">
        <f>AK20+預測IC!AL20</f>
        <v>1.3039681865064559</v>
      </c>
      <c r="AM20" s="7">
        <f>AL20+預測IC!AM20</f>
        <v>1.3370641672552586</v>
      </c>
      <c r="AN20" s="7">
        <f>AM20+預測IC!AN20</f>
        <v>1.4125343607742569</v>
      </c>
      <c r="AO20" s="7">
        <f>AN20+預測IC!AO20</f>
        <v>1.4578194427389453</v>
      </c>
      <c r="AP20" s="7">
        <f>AO20+預測IC!AP20</f>
        <v>1.4704239587021117</v>
      </c>
      <c r="AQ20" s="7">
        <f>AP20+預測IC!AQ20</f>
        <v>1.4978764440350627</v>
      </c>
      <c r="AR20" s="7">
        <f>AQ20+預測IC!AR20</f>
        <v>1.667925448713987</v>
      </c>
      <c r="AS20" s="7">
        <f>AR20+預測IC!AS20</f>
        <v>1.780021258396804</v>
      </c>
      <c r="AT20" s="7">
        <f>AS20+預測IC!AT20</f>
        <v>1.7858800321570099</v>
      </c>
      <c r="AU20" s="7">
        <f>AT20+預測IC!AU20</f>
        <v>1.8615724190521357</v>
      </c>
      <c r="AV20" s="7">
        <f>AU20+預測IC!AV20</f>
        <v>1.8069467052696575</v>
      </c>
      <c r="AW20" s="7">
        <f>AV20+預測IC!AW20</f>
        <v>1.8138119734488085</v>
      </c>
      <c r="AX20" s="7">
        <f>AW20+預測IC!AX20</f>
        <v>1.8996981486364191</v>
      </c>
      <c r="AY20" s="7">
        <f>AX20+預測IC!AY20</f>
        <v>1.9383728470793284</v>
      </c>
      <c r="AZ20" s="7">
        <f>AY20+預測IC!AZ20</f>
        <v>1.7245704159022397</v>
      </c>
      <c r="BA20" s="7">
        <f>AZ20+預測IC!BA20</f>
        <v>1.6877715510416993</v>
      </c>
      <c r="BB20" s="7">
        <f>BA20+預測IC!BB20</f>
        <v>1.8554269744182685</v>
      </c>
      <c r="BC20" s="7">
        <f>BB20+預測IC!BC20</f>
        <v>1.9260325420960087</v>
      </c>
      <c r="BD20" s="7">
        <f>BC20+預測IC!BD20</f>
        <v>1.8726027288744114</v>
      </c>
      <c r="BE20" s="7">
        <f>BD20+預測IC!BE20</f>
        <v>1.866655931735151</v>
      </c>
      <c r="BF20" s="7">
        <f>BE20+預測IC!BF20</f>
        <v>1.8723445140664796</v>
      </c>
      <c r="BG20" s="7">
        <f>BF20+預測IC!BG20</f>
        <v>1.8654183713577863</v>
      </c>
      <c r="BH20" s="7">
        <f>BG20+預測IC!BH20</f>
        <v>1.7938119242436754</v>
      </c>
      <c r="BI20" s="7">
        <f>BH20+預測IC!BI20</f>
        <v>1.9255571913288503</v>
      </c>
      <c r="BJ20" s="7">
        <f>BI20+預測IC!BJ20</f>
        <v>1.9471867031620369</v>
      </c>
      <c r="BK20" s="7">
        <f>BJ20+預測IC!BK20</f>
        <v>1.8879535353192096</v>
      </c>
      <c r="BL20" s="7">
        <f>BK20+預測IC!BL20</f>
        <v>1.9742457664956643</v>
      </c>
      <c r="BM20" s="7">
        <f>BL20+預測IC!BM20</f>
        <v>2.1111634278241027</v>
      </c>
      <c r="BN20" s="7">
        <f>BM20+預測IC!BN20</f>
        <v>2.229720669269474</v>
      </c>
      <c r="BO20" s="7">
        <f>BN20+預測IC!BO20</f>
        <v>2.1912589517534946</v>
      </c>
      <c r="BP20" s="7">
        <f>BO20+預測IC!BP20</f>
        <v>2.2516664725164497</v>
      </c>
      <c r="BQ20" s="7">
        <f>BP20+預測IC!BQ20</f>
        <v>2.2671181794772925</v>
      </c>
      <c r="BR20" s="7">
        <f>BQ20+預測IC!BR20</f>
        <v>2.2791918112077649</v>
      </c>
      <c r="BS20" s="7">
        <f>BR20+預測IC!BS20</f>
        <v>2.2845993173989561</v>
      </c>
      <c r="BT20" s="7">
        <f>BS20+預測IC!BT20</f>
        <v>2.4324023505776031</v>
      </c>
      <c r="BU20" s="7">
        <f>BT20+預測IC!BU20</f>
        <v>2.5311572999453098</v>
      </c>
      <c r="BV20" s="7">
        <f>BU20+預測IC!BV20</f>
        <v>2.6470756315083817</v>
      </c>
      <c r="BW20" s="7">
        <f>BV20+預測IC!BW20</f>
        <v>2.5115723796959055</v>
      </c>
      <c r="BX20" s="7">
        <f>BW20+預測IC!BX20</f>
        <v>2.5422660163791497</v>
      </c>
      <c r="BY20" s="7">
        <f>BX20+預測IC!BY20</f>
        <v>2.4370320500098464</v>
      </c>
      <c r="BZ20" s="7">
        <f>BY20+預測IC!BZ20</f>
        <v>2.5273034542701298</v>
      </c>
      <c r="CA20" s="7">
        <f>BZ20+預測IC!CA20</f>
        <v>2.5775202803612038</v>
      </c>
      <c r="CB20" s="7">
        <f>CA20+預測IC!CB20</f>
        <v>2.5392683303502759</v>
      </c>
      <c r="CC20" s="7">
        <f>CB20+預測IC!CC20</f>
        <v>2.5132252965672106</v>
      </c>
      <c r="CD20" s="7">
        <f>CC20+預測IC!CD20</f>
        <v>2.6942527940578076</v>
      </c>
      <c r="CE20" s="7">
        <f>CD20+預測IC!CE20</f>
        <v>2.4502889985880745</v>
      </c>
      <c r="CF20" s="7">
        <f>CE20+預測IC!CF20</f>
        <v>2.5312469357867511</v>
      </c>
      <c r="CG20" s="7">
        <f>CF20+預測IC!CG20</f>
        <v>2.4321940472566621</v>
      </c>
      <c r="CH20" s="7">
        <f>CG20+預測IC!CH20</f>
        <v>2.5040580728538004</v>
      </c>
      <c r="CI20" s="7">
        <f>CH20+預測IC!CI20</f>
        <v>2.4736633990847183</v>
      </c>
      <c r="CJ20" s="7">
        <f>CI20+預測IC!CJ20</f>
        <v>2.3502230791973675</v>
      </c>
      <c r="CK20" s="7">
        <f>CJ20+預測IC!CK20</f>
        <v>2.4412014759474743</v>
      </c>
      <c r="CL20" s="7">
        <f>CK20+預測IC!CL20</f>
        <v>2.3490165417583455</v>
      </c>
      <c r="CM20" s="7">
        <f>CL20+預測IC!CM20</f>
        <v>2.5380677069289663</v>
      </c>
      <c r="CN20" s="7">
        <f>CM20+預測IC!CN20</f>
        <v>2.5602271182994509</v>
      </c>
      <c r="CO20" s="7">
        <f>CN20+預測IC!CO20</f>
        <v>2.1442557831304385</v>
      </c>
      <c r="CP20" s="7">
        <f>CO20+預測IC!CP20</f>
        <v>2.3362869882394657</v>
      </c>
      <c r="CQ20" s="7">
        <f>CP20+預測IC!CQ20</f>
        <v>2.3423983461685278</v>
      </c>
      <c r="CR20" s="7">
        <f>CQ20+預測IC!CR20</f>
        <v>2.4155145906743782</v>
      </c>
      <c r="CS20" s="7">
        <f>CR20+預測IC!CS20</f>
        <v>2.5038788676866397</v>
      </c>
      <c r="CT20" s="7">
        <f>CS20+預測IC!CT20</f>
        <v>2.594352905100906</v>
      </c>
      <c r="CU20" s="7">
        <f>CT20+預測IC!CU20</f>
        <v>2.4994852468343938</v>
      </c>
      <c r="CV20" s="7">
        <f>CU20+預測IC!CV20</f>
        <v>2.5919963225298197</v>
      </c>
      <c r="CW20" s="7">
        <f>CV20+預測IC!CW20</f>
        <v>2.6019493854511024</v>
      </c>
      <c r="CX20" s="7">
        <f>CW20+預測IC!CX20</f>
        <v>2.6922479363188669</v>
      </c>
      <c r="CY20" s="7">
        <f>CX20+預測IC!CY20</f>
        <v>2.6797682036505699</v>
      </c>
      <c r="CZ20" s="7">
        <f>CY20+預測IC!CZ20</f>
        <v>2.8349298487997681</v>
      </c>
      <c r="DA20" s="7">
        <f>CZ20+預測IC!DA20</f>
        <v>2.7874579556445904</v>
      </c>
      <c r="DB20" s="7">
        <f>DA20+預測IC!DB20</f>
        <v>2.7305552458874565</v>
      </c>
      <c r="DC20" s="7">
        <f>DB20+預測IC!DC20</f>
        <v>2.6809421766519006</v>
      </c>
      <c r="DD20" s="7">
        <f>DC20+預測IC!DD20</f>
        <v>2.5328333623130779</v>
      </c>
      <c r="DE20" s="7">
        <f>DD20+預測IC!DE20</f>
        <v>2.5060834983921492</v>
      </c>
      <c r="DF20" s="7">
        <f>DE20+預測IC!DF20</f>
        <v>2.5069426199245699</v>
      </c>
      <c r="DG20" s="7">
        <f>DF20+預測IC!DG20</f>
        <v>2.5027404093041992</v>
      </c>
      <c r="DH20" s="7">
        <f>DG20+預測IC!DH20</f>
        <v>2.4917649975616722</v>
      </c>
      <c r="DI20" s="7">
        <f>DH20+預測IC!DI20</f>
        <v>2.4688882657766196</v>
      </c>
      <c r="DJ20" s="7">
        <f>DI20+預測IC!DJ20</f>
        <v>2.429428319507732</v>
      </c>
      <c r="DK20" s="7">
        <f>DJ20+預測IC!DK20</f>
        <v>2.5143823009537867</v>
      </c>
      <c r="DL20" s="7">
        <f>DK20+預測IC!DL20</f>
        <v>2.5902089371323291</v>
      </c>
      <c r="DM20" s="7">
        <f>DL20+預測IC!DM20</f>
        <v>2.599492587411766</v>
      </c>
      <c r="DN20" s="7">
        <f>DM20+預測IC!DN20</f>
        <v>2.6575117940659654</v>
      </c>
      <c r="DO20" s="7">
        <f>DN20+預測IC!DO20</f>
        <v>2.7233275959039358</v>
      </c>
      <c r="DP20" s="7">
        <f>DO20+預測IC!DP20</f>
        <v>2.7331581272948231</v>
      </c>
      <c r="DQ20" s="7">
        <f>DP20+預測IC!DQ20</f>
        <v>2.5459508095602823</v>
      </c>
      <c r="DR20" s="7">
        <f>DQ20+預測IC!DR20</f>
        <v>2.6244634695885729</v>
      </c>
      <c r="DS20" s="7">
        <f>DR20+預測IC!DS20</f>
        <v>2.4183823720102184</v>
      </c>
      <c r="DT20" s="7">
        <f>DS20+預測IC!DT20</f>
        <v>2.28494638738808</v>
      </c>
      <c r="DU20" s="7">
        <f>DT20+預測IC!DU20</f>
        <v>2.1128772801822104</v>
      </c>
      <c r="DV20" s="7">
        <f>DU20+預測IC!DV20</f>
        <v>2.2422227520210694</v>
      </c>
      <c r="DW20" s="7">
        <f>DV20+預測IC!DW20</f>
        <v>2.311282955979109</v>
      </c>
      <c r="DX20" s="7">
        <f>DW20+預測IC!DX20</f>
        <v>2.1574166263727945</v>
      </c>
      <c r="DY20" s="7">
        <f>DX20+預測IC!DY20</f>
        <v>2.2110352357244434</v>
      </c>
      <c r="DZ20" s="7">
        <f>DY20+預測IC!DZ20</f>
        <v>2.1265606574147511</v>
      </c>
      <c r="EA20" s="7">
        <f>DZ20+預測IC!EA20</f>
        <v>2.1414776828423747</v>
      </c>
      <c r="EB20" s="7">
        <f>EA20+預測IC!EB20</f>
        <v>2.1805453161933399</v>
      </c>
      <c r="EC20" s="7">
        <f>EB20+預測IC!EC20</f>
        <v>2.2145948976072818</v>
      </c>
      <c r="ED20" s="7">
        <f>EC20+預測IC!ED20</f>
        <v>2.0376760365402715</v>
      </c>
      <c r="EE20" s="7">
        <f>ED20+預測IC!EE20</f>
        <v>2.0400432674676536</v>
      </c>
      <c r="EF20" s="7">
        <f>EE20+預測IC!EF20</f>
        <v>2.060324684083561</v>
      </c>
    </row>
    <row r="21" spans="1:136" x14ac:dyDescent="0.3">
      <c r="B21" s="1" t="s">
        <v>161</v>
      </c>
      <c r="C21" s="7">
        <v>0.21462957980695321</v>
      </c>
      <c r="D21" s="7">
        <f>C21+預測IC!D21</f>
        <v>0.34101749657377678</v>
      </c>
      <c r="E21" s="7">
        <f>D21+預測IC!E21</f>
        <v>0.34073814430298494</v>
      </c>
      <c r="F21" s="7">
        <f>E21+預測IC!F21</f>
        <v>0.54415164186231235</v>
      </c>
      <c r="G21" s="7">
        <f>F21+預測IC!G21</f>
        <v>0.5368555038344609</v>
      </c>
      <c r="H21" s="7">
        <f>G21+預測IC!H21</f>
        <v>0.69901959162829885</v>
      </c>
      <c r="I21" s="7">
        <f>H21+預測IC!I21</f>
        <v>0.71313087010928078</v>
      </c>
      <c r="J21" s="7">
        <f>I21+預測IC!J21</f>
        <v>0.57638795476942417</v>
      </c>
      <c r="K21" s="7">
        <f>J21+預測IC!K21</f>
        <v>0.48741493741540209</v>
      </c>
      <c r="L21" s="7">
        <f>K21+預測IC!L21</f>
        <v>0.59709454486963198</v>
      </c>
      <c r="M21" s="7">
        <f>L21+預測IC!M21</f>
        <v>0.3972095701791164</v>
      </c>
      <c r="N21" s="7">
        <f>M21+預測IC!N21</f>
        <v>0.98210083479984167</v>
      </c>
      <c r="O21" s="7">
        <f>N21+預測IC!O21</f>
        <v>0.84282334135285253</v>
      </c>
      <c r="P21" s="7">
        <f>O21+預測IC!P21</f>
        <v>0.88825053437035562</v>
      </c>
      <c r="Q21" s="7">
        <f>P21+預測IC!Q21</f>
        <v>1.1623339796410452</v>
      </c>
      <c r="R21" s="7">
        <f>Q21+預測IC!R21</f>
        <v>1.2472392108343859</v>
      </c>
      <c r="S21" s="7">
        <f>R21+預測IC!S21</f>
        <v>1.210675919177689</v>
      </c>
      <c r="T21" s="7">
        <f>S21+預測IC!T21</f>
        <v>1.0795555582392617</v>
      </c>
      <c r="U21" s="7">
        <f>T21+預測IC!U21</f>
        <v>1.0697309175048648</v>
      </c>
      <c r="V21" s="7">
        <f>U21+預測IC!V21</f>
        <v>0.93798042885236244</v>
      </c>
      <c r="W21" s="7">
        <f>V21+預測IC!W21</f>
        <v>1.0624790476808705</v>
      </c>
      <c r="X21" s="7">
        <f>W21+預測IC!X21</f>
        <v>1.2702803150342084</v>
      </c>
      <c r="Y21" s="7">
        <f>X21+預測IC!Y21</f>
        <v>1.2601366546610058</v>
      </c>
      <c r="Z21" s="7">
        <f>Y21+預測IC!Z21</f>
        <v>1.2995943703409629</v>
      </c>
      <c r="AA21" s="7">
        <f>Z21+預測IC!AA21</f>
        <v>1.3190854138810568</v>
      </c>
      <c r="AB21" s="7">
        <f>AA21+預測IC!AB21</f>
        <v>1.253797818850191</v>
      </c>
      <c r="AC21" s="7">
        <f>AB21+預測IC!AC21</f>
        <v>1.0942555463859893</v>
      </c>
      <c r="AD21" s="7">
        <f>AC21+預測IC!AD21</f>
        <v>1.0475581218332437</v>
      </c>
      <c r="AE21" s="7">
        <f>AD21+預測IC!AE21</f>
        <v>1.0578697325273037</v>
      </c>
      <c r="AF21" s="7">
        <f>AE21+預測IC!AF21</f>
        <v>1.0047441226407408</v>
      </c>
      <c r="AG21" s="7">
        <f>AF21+預測IC!AG21</f>
        <v>0.9941733696007824</v>
      </c>
      <c r="AH21" s="7">
        <f>AG21+預測IC!AH21</f>
        <v>1.1017547321655807</v>
      </c>
      <c r="AI21" s="7">
        <f>AH21+預測IC!AI21</f>
        <v>1.2038784076770646</v>
      </c>
      <c r="AJ21" s="7">
        <f>AI21+預測IC!AJ21</f>
        <v>1.2090643333227655</v>
      </c>
      <c r="AK21" s="7">
        <f>AJ21+預測IC!AK21</f>
        <v>1.314052943475059</v>
      </c>
      <c r="AL21" s="7">
        <f>AK21+預測IC!AL21</f>
        <v>1.3794327662081696</v>
      </c>
      <c r="AM21" s="7">
        <f>AL21+預測IC!AM21</f>
        <v>1.4479685736558001</v>
      </c>
      <c r="AN21" s="7">
        <f>AM21+預測IC!AN21</f>
        <v>1.5599246297188945</v>
      </c>
      <c r="AO21" s="7">
        <f>AN21+預測IC!AO21</f>
        <v>1.6076510253626211</v>
      </c>
      <c r="AP21" s="7">
        <f>AO21+預測IC!AP21</f>
        <v>1.626593404278794</v>
      </c>
      <c r="AQ21" s="7">
        <f>AP21+預測IC!AQ21</f>
        <v>1.7034589112893417</v>
      </c>
      <c r="AR21" s="7">
        <f>AQ21+預測IC!AR21</f>
        <v>1.908641189519823</v>
      </c>
      <c r="AS21" s="7">
        <f>AR21+預測IC!AS21</f>
        <v>1.9730970581664524</v>
      </c>
      <c r="AT21" s="7">
        <f>AS21+預測IC!AT21</f>
        <v>1.9706041468892974</v>
      </c>
      <c r="AU21" s="7">
        <f>AT21+預測IC!AU21</f>
        <v>2.0184137783982545</v>
      </c>
      <c r="AV21" s="7">
        <f>AU21+預測IC!AV21</f>
        <v>1.9628929983361207</v>
      </c>
      <c r="AW21" s="7">
        <f>AV21+預測IC!AW21</f>
        <v>1.9726840282902181</v>
      </c>
      <c r="AX21" s="7">
        <f>AW21+預測IC!AX21</f>
        <v>2.0386900805077017</v>
      </c>
      <c r="AY21" s="7">
        <f>AX21+預測IC!AY21</f>
        <v>2.0857113714857398</v>
      </c>
      <c r="AZ21" s="7">
        <f>AY21+預測IC!AZ21</f>
        <v>1.8308001015886033</v>
      </c>
      <c r="BA21" s="7">
        <f>AZ21+預測IC!BA21</f>
        <v>1.7597679199405174</v>
      </c>
      <c r="BB21" s="7">
        <f>BA21+預測IC!BB21</f>
        <v>1.9851140549788555</v>
      </c>
      <c r="BC21" s="7">
        <f>BB21+預測IC!BC21</f>
        <v>2.0234352027040492</v>
      </c>
      <c r="BD21" s="7">
        <f>BC21+預測IC!BD21</f>
        <v>2.0016843393334214</v>
      </c>
      <c r="BE21" s="7">
        <f>BD21+預測IC!BE21</f>
        <v>2.008034872730823</v>
      </c>
      <c r="BF21" s="7">
        <f>BE21+預測IC!BF21</f>
        <v>2.0116119729112576</v>
      </c>
      <c r="BG21" s="7">
        <f>BF21+預測IC!BG21</f>
        <v>2.04824716212807</v>
      </c>
      <c r="BH21" s="7">
        <f>BG21+預測IC!BH21</f>
        <v>1.9719257989893146</v>
      </c>
      <c r="BI21" s="7">
        <f>BH21+預測IC!BI21</f>
        <v>2.1378953951677064</v>
      </c>
      <c r="BJ21" s="7">
        <f>BI21+預測IC!BJ21</f>
        <v>2.1614744213494239</v>
      </c>
      <c r="BK21" s="7">
        <f>BJ21+預測IC!BK21</f>
        <v>2.0930245409698891</v>
      </c>
      <c r="BL21" s="7">
        <f>BK21+預測IC!BL21</f>
        <v>2.2357456336162391</v>
      </c>
      <c r="BM21" s="7">
        <f>BL21+預測IC!BM21</f>
        <v>2.3908656375373392</v>
      </c>
      <c r="BN21" s="7">
        <f>BM21+預測IC!BN21</f>
        <v>2.454513585529587</v>
      </c>
      <c r="BO21" s="7">
        <f>BN21+預測IC!BO21</f>
        <v>2.3906563491159067</v>
      </c>
      <c r="BP21" s="7">
        <f>BO21+預測IC!BP21</f>
        <v>2.4951654785353212</v>
      </c>
      <c r="BQ21" s="7">
        <f>BP21+預測IC!BQ21</f>
        <v>2.5497077093698262</v>
      </c>
      <c r="BR21" s="7">
        <f>BQ21+預測IC!BR21</f>
        <v>2.5620315715536908</v>
      </c>
      <c r="BS21" s="7">
        <f>BR21+預測IC!BS21</f>
        <v>2.5678917443088669</v>
      </c>
      <c r="BT21" s="7">
        <f>BS21+預測IC!BT21</f>
        <v>2.7001364382833097</v>
      </c>
      <c r="BU21" s="7">
        <f>BT21+預測IC!BU21</f>
        <v>2.8356329004818788</v>
      </c>
      <c r="BV21" s="7">
        <f>BU21+預測IC!BV21</f>
        <v>2.9777759006673321</v>
      </c>
      <c r="BW21" s="7">
        <f>BV21+預測IC!BW21</f>
        <v>2.831096703731601</v>
      </c>
      <c r="BX21" s="7">
        <f>BW21+預測IC!BX21</f>
        <v>2.8281058844471869</v>
      </c>
      <c r="BY21" s="7">
        <f>BX21+預測IC!BY21</f>
        <v>2.7777260332290705</v>
      </c>
      <c r="BZ21" s="7">
        <f>BY21+預測IC!BZ21</f>
        <v>2.8253889619497863</v>
      </c>
      <c r="CA21" s="7">
        <f>BZ21+預測IC!CA21</f>
        <v>2.9204483957973455</v>
      </c>
      <c r="CB21" s="7">
        <f>CA21+預測IC!CB21</f>
        <v>2.8570270045990873</v>
      </c>
      <c r="CC21" s="7">
        <f>CB21+預測IC!CC21</f>
        <v>2.8103334551301242</v>
      </c>
      <c r="CD21" s="7">
        <f>CC21+預測IC!CD21</f>
        <v>3.0983895194925974</v>
      </c>
      <c r="CE21" s="7">
        <f>CD21+預測IC!CE21</f>
        <v>2.703313577027552</v>
      </c>
      <c r="CF21" s="7">
        <f>CE21+預測IC!CF21</f>
        <v>2.8345792538286245</v>
      </c>
      <c r="CG21" s="7">
        <f>CF21+預測IC!CG21</f>
        <v>2.6908280646709386</v>
      </c>
      <c r="CH21" s="7">
        <f>CG21+預測IC!CH21</f>
        <v>2.7709283857471503</v>
      </c>
      <c r="CI21" s="7">
        <f>CH21+預測IC!CI21</f>
        <v>2.6904287693561679</v>
      </c>
      <c r="CJ21" s="7">
        <f>CI21+預測IC!CJ21</f>
        <v>2.6048010123396654</v>
      </c>
      <c r="CK21" s="7">
        <f>CJ21+預測IC!CK21</f>
        <v>2.7318515590697996</v>
      </c>
      <c r="CL21" s="7">
        <f>CK21+預測IC!CL21</f>
        <v>2.5979611344468347</v>
      </c>
      <c r="CM21" s="7">
        <f>CL21+預測IC!CM21</f>
        <v>2.823464122850206</v>
      </c>
      <c r="CN21" s="7">
        <f>CM21+預測IC!CN21</f>
        <v>2.8540030130539815</v>
      </c>
      <c r="CO21" s="7">
        <f>CN21+預測IC!CO21</f>
        <v>2.3391377644563889</v>
      </c>
      <c r="CP21" s="7">
        <f>CO21+預測IC!CP21</f>
        <v>2.5618378253343015</v>
      </c>
      <c r="CQ21" s="7">
        <f>CP21+預測IC!CQ21</f>
        <v>2.5651259170593921</v>
      </c>
      <c r="CR21" s="7">
        <f>CQ21+預測IC!CR21</f>
        <v>2.6559501950390718</v>
      </c>
      <c r="CS21" s="7">
        <f>CR21+預測IC!CS21</f>
        <v>2.7255965911858437</v>
      </c>
      <c r="CT21" s="7">
        <f>CS21+預測IC!CT21</f>
        <v>2.8078894640401826</v>
      </c>
      <c r="CU21" s="7">
        <f>CT21+預測IC!CU21</f>
        <v>2.7452159038706911</v>
      </c>
      <c r="CV21" s="7">
        <f>CU21+預測IC!CV21</f>
        <v>2.8434415358920782</v>
      </c>
      <c r="CW21" s="7">
        <f>CV21+預測IC!CW21</f>
        <v>2.9084469531730668</v>
      </c>
      <c r="CX21" s="7">
        <f>CW21+預測IC!CX21</f>
        <v>3.0105691288304737</v>
      </c>
      <c r="CY21" s="7">
        <f>CX21+預測IC!CY21</f>
        <v>3.0020872124265594</v>
      </c>
      <c r="CZ21" s="7">
        <f>CY21+預測IC!CZ21</f>
        <v>3.2395385832523895</v>
      </c>
      <c r="DA21" s="7">
        <f>CZ21+預測IC!DA21</f>
        <v>3.2407308397091215</v>
      </c>
      <c r="DB21" s="7">
        <f>DA21+預測IC!DB21</f>
        <v>3.189106406032967</v>
      </c>
      <c r="DC21" s="7">
        <f>DB21+預測IC!DC21</f>
        <v>3.1440588468096764</v>
      </c>
      <c r="DD21" s="7">
        <f>DC21+預測IC!DD21</f>
        <v>3.2653815356783253</v>
      </c>
      <c r="DE21" s="7">
        <f>DD21+預測IC!DE21</f>
        <v>3.2776196442666441</v>
      </c>
      <c r="DF21" s="7">
        <f>DE21+預測IC!DF21</f>
        <v>3.2991805249645187</v>
      </c>
      <c r="DG21" s="7">
        <f>DF21+預測IC!DG21</f>
        <v>3.3070269030930519</v>
      </c>
      <c r="DH21" s="7">
        <f>DG21+預測IC!DH21</f>
        <v>3.3211037233055065</v>
      </c>
      <c r="DI21" s="7">
        <f>DH21+預測IC!DI21</f>
        <v>3.3555112015856858</v>
      </c>
      <c r="DJ21" s="7">
        <f>DI21+預測IC!DJ21</f>
        <v>3.3175998883951259</v>
      </c>
      <c r="DK21" s="7">
        <f>DJ21+預測IC!DK21</f>
        <v>3.4571025952140304</v>
      </c>
      <c r="DL21" s="7">
        <f>DK21+預測IC!DL21</f>
        <v>3.555467534053407</v>
      </c>
      <c r="DM21" s="7">
        <f>DL21+預測IC!DM21</f>
        <v>3.5256334144111667</v>
      </c>
      <c r="DN21" s="7">
        <f>DM21+預測IC!DN21</f>
        <v>3.5968310269051598</v>
      </c>
      <c r="DO21" s="7">
        <f>DN21+預測IC!DO21</f>
        <v>3.6792768192358394</v>
      </c>
      <c r="DP21" s="7">
        <f>DO21+預測IC!DP21</f>
        <v>3.7035429743294053</v>
      </c>
      <c r="DQ21" s="7">
        <f>DP21+預測IC!DQ21</f>
        <v>3.5488017883000698</v>
      </c>
      <c r="DR21" s="7">
        <f>DQ21+預測IC!DR21</f>
        <v>3.5989726473371504</v>
      </c>
      <c r="DS21" s="7">
        <f>DR21+預測IC!DS21</f>
        <v>3.398133173499855</v>
      </c>
      <c r="DT21" s="7">
        <f>DS21+預測IC!DT21</f>
        <v>3.2275623708143941</v>
      </c>
      <c r="DU21" s="7">
        <f>DT21+預測IC!DU21</f>
        <v>3.1994720768180156</v>
      </c>
      <c r="DV21" s="7">
        <f>DU21+預測IC!DV21</f>
        <v>3.3397480536878934</v>
      </c>
      <c r="DW21" s="7">
        <f>DV21+預測IC!DW21</f>
        <v>3.4679959223520145</v>
      </c>
      <c r="DX21" s="7">
        <f>DW21+預測IC!DX21</f>
        <v>3.282029708320831</v>
      </c>
      <c r="DY21" s="7">
        <f>DX21+預測IC!DY21</f>
        <v>3.3066257038588471</v>
      </c>
      <c r="DZ21" s="7">
        <f>DY21+預測IC!DZ21</f>
        <v>3.2537816372985584</v>
      </c>
      <c r="EA21" s="7">
        <f>DZ21+預測IC!EA21</f>
        <v>3.2289161148501302</v>
      </c>
      <c r="EB21" s="7">
        <f>EA21+預測IC!EB21</f>
        <v>3.2373242610207162</v>
      </c>
      <c r="EC21" s="7">
        <f>EB21+預測IC!EC21</f>
        <v>3.2513613161187584</v>
      </c>
      <c r="ED21" s="7">
        <f>EC21+預測IC!ED21</f>
        <v>3.1968624597705779</v>
      </c>
      <c r="EE21" s="7">
        <f>ED21+預測IC!EE21</f>
        <v>3.2112913118789961</v>
      </c>
      <c r="EF21" s="7">
        <f>EE21+預測IC!EF21</f>
        <v>3.1925200478368772</v>
      </c>
    </row>
    <row r="22" spans="1:136" x14ac:dyDescent="0.3">
      <c r="B22" s="1" t="s">
        <v>162</v>
      </c>
      <c r="C22" s="7">
        <v>0.20528030103697539</v>
      </c>
      <c r="D22" s="7">
        <f>C22+預測IC!D22</f>
        <v>0.34770815311437386</v>
      </c>
      <c r="E22" s="7">
        <f>D22+預測IC!E22</f>
        <v>0.30668062111375483</v>
      </c>
      <c r="F22" s="7">
        <f>E22+預測IC!F22</f>
        <v>0.16681317080436783</v>
      </c>
      <c r="G22" s="7">
        <f>F22+預測IC!G22</f>
        <v>0.13385834655456921</v>
      </c>
      <c r="H22" s="7">
        <f>G22+預測IC!H22</f>
        <v>0.2580364095152155</v>
      </c>
      <c r="I22" s="7">
        <f>H22+預測IC!I22</f>
        <v>0.27547375272150565</v>
      </c>
      <c r="J22" s="7">
        <f>I22+預測IC!J22</f>
        <v>0.17122024998487614</v>
      </c>
      <c r="K22" s="7">
        <f>J22+預測IC!K22</f>
        <v>1.7933479330366847E-2</v>
      </c>
      <c r="L22" s="7">
        <f>K22+預測IC!L22</f>
        <v>0.18911683875626806</v>
      </c>
      <c r="M22" s="7">
        <f>L22+預測IC!M22</f>
        <v>4.4540514133179498E-3</v>
      </c>
      <c r="N22" s="7">
        <f>M22+預測IC!N22</f>
        <v>0.76059749453065684</v>
      </c>
      <c r="O22" s="7">
        <f>N22+預測IC!O22</f>
        <v>0.69415516236570263</v>
      </c>
      <c r="P22" s="7">
        <f>O22+預測IC!P22</f>
        <v>0.78478603679233694</v>
      </c>
      <c r="Q22" s="7">
        <f>P22+預測IC!Q22</f>
        <v>0.91205692702372709</v>
      </c>
      <c r="R22" s="7">
        <f>Q22+預測IC!R22</f>
        <v>0.97875521963005874</v>
      </c>
      <c r="S22" s="7">
        <f>R22+預測IC!S22</f>
        <v>0.9395210760928796</v>
      </c>
      <c r="T22" s="7">
        <f>S22+預測IC!T22</f>
        <v>0.83467210893624966</v>
      </c>
      <c r="U22" s="7">
        <f>T22+預測IC!U22</f>
        <v>0.88716101543187142</v>
      </c>
      <c r="V22" s="7">
        <f>U22+預測IC!V22</f>
        <v>0.71153611296145902</v>
      </c>
      <c r="W22" s="7">
        <f>V22+預測IC!W22</f>
        <v>0.86958386612540972</v>
      </c>
      <c r="X22" s="7">
        <f>W22+預測IC!X22</f>
        <v>1.1267862173389067</v>
      </c>
      <c r="Y22" s="7">
        <f>X22+預測IC!Y22</f>
        <v>1.056932885636106</v>
      </c>
      <c r="Z22" s="7">
        <f>Y22+預測IC!Z22</f>
        <v>1.0807990074264624</v>
      </c>
      <c r="AA22" s="7">
        <f>Z22+預測IC!AA22</f>
        <v>1.0878470243133191</v>
      </c>
      <c r="AB22" s="7">
        <f>AA22+預測IC!AB22</f>
        <v>1.049572969891748</v>
      </c>
      <c r="AC22" s="7">
        <f>AB22+預測IC!AC22</f>
        <v>0.87235989174288531</v>
      </c>
      <c r="AD22" s="7">
        <f>AC22+預測IC!AD22</f>
        <v>0.85989258907231281</v>
      </c>
      <c r="AE22" s="7">
        <f>AD22+預測IC!AE22</f>
        <v>0.77474490311460564</v>
      </c>
      <c r="AF22" s="7">
        <f>AE22+預測IC!AF22</f>
        <v>0.72756258695658149</v>
      </c>
      <c r="AG22" s="7">
        <f>AF22+預測IC!AG22</f>
        <v>0.68158877394889239</v>
      </c>
      <c r="AH22" s="7">
        <f>AG22+預測IC!AH22</f>
        <v>0.78745473336936511</v>
      </c>
      <c r="AI22" s="7">
        <f>AH22+預測IC!AI22</f>
        <v>0.89845844459631408</v>
      </c>
      <c r="AJ22" s="7">
        <f>AI22+預測IC!AJ22</f>
        <v>0.91153998623367105</v>
      </c>
      <c r="AK22" s="7">
        <f>AJ22+預測IC!AK22</f>
        <v>0.84327065806954327</v>
      </c>
      <c r="AL22" s="7">
        <f>AK22+預測IC!AL22</f>
        <v>0.88361162487644362</v>
      </c>
      <c r="AM22" s="7">
        <f>AL22+預測IC!AM22</f>
        <v>0.96770052834414721</v>
      </c>
      <c r="AN22" s="7">
        <f>AM22+預測IC!AN22</f>
        <v>1.0788333380077064</v>
      </c>
      <c r="AO22" s="7">
        <f>AN22+預測IC!AO22</f>
        <v>1.1535507114014121</v>
      </c>
      <c r="AP22" s="7">
        <f>AO22+預測IC!AP22</f>
        <v>1.1740434399193906</v>
      </c>
      <c r="AQ22" s="7">
        <f>AP22+預測IC!AQ22</f>
        <v>1.2534695573979837</v>
      </c>
      <c r="AR22" s="7">
        <f>AQ22+預測IC!AR22</f>
        <v>1.5040022355563663</v>
      </c>
      <c r="AS22" s="7">
        <f>AR22+預測IC!AS22</f>
        <v>1.5868126744549162</v>
      </c>
      <c r="AT22" s="7">
        <f>AS22+預測IC!AT22</f>
        <v>1.5616763126148898</v>
      </c>
      <c r="AU22" s="7">
        <f>AT22+預測IC!AU22</f>
        <v>1.5951767645257597</v>
      </c>
      <c r="AV22" s="7">
        <f>AU22+預測IC!AV22</f>
        <v>1.5353635878498797</v>
      </c>
      <c r="AW22" s="7">
        <f>AV22+預測IC!AW22</f>
        <v>1.5052141986428706</v>
      </c>
      <c r="AX22" s="7">
        <f>AW22+預測IC!AX22</f>
        <v>1.3974535628683062</v>
      </c>
      <c r="AY22" s="7">
        <f>AX22+預測IC!AY22</f>
        <v>1.4691869482025368</v>
      </c>
      <c r="AZ22" s="7">
        <f>AY22+預測IC!AZ22</f>
        <v>1.3142831698813846</v>
      </c>
      <c r="BA22" s="7">
        <f>AZ22+預測IC!BA22</f>
        <v>1.2686847447139227</v>
      </c>
      <c r="BB22" s="7">
        <f>BA22+預測IC!BB22</f>
        <v>1.5706146892543456</v>
      </c>
      <c r="BC22" s="7">
        <f>BB22+預測IC!BC22</f>
        <v>1.4397777511313903</v>
      </c>
      <c r="BD22" s="7">
        <f>BC22+預測IC!BD22</f>
        <v>1.417603569665562</v>
      </c>
      <c r="BE22" s="7">
        <f>BD22+預測IC!BE22</f>
        <v>1.4398197530600425</v>
      </c>
      <c r="BF22" s="7">
        <f>BE22+預測IC!BF22</f>
        <v>1.4534585703983622</v>
      </c>
      <c r="BG22" s="7">
        <f>BF22+預測IC!BG22</f>
        <v>1.4997380825667483</v>
      </c>
      <c r="BH22" s="7">
        <f>BG22+預測IC!BH22</f>
        <v>1.3717775402286165</v>
      </c>
      <c r="BI22" s="7">
        <f>BH22+預測IC!BI22</f>
        <v>1.4828662596385236</v>
      </c>
      <c r="BJ22" s="7">
        <f>BI22+預測IC!BJ22</f>
        <v>1.5378626747892445</v>
      </c>
      <c r="BK22" s="7">
        <f>BJ22+預測IC!BK22</f>
        <v>1.4960230388555793</v>
      </c>
      <c r="BL22" s="7">
        <f>BK22+預測IC!BL22</f>
        <v>1.6578033779266146</v>
      </c>
      <c r="BM22" s="7">
        <f>BL22+預測IC!BM22</f>
        <v>1.8496004173826617</v>
      </c>
      <c r="BN22" s="7">
        <f>BM22+預測IC!BN22</f>
        <v>1.8342728653596194</v>
      </c>
      <c r="BO22" s="7">
        <f>BN22+預測IC!BO22</f>
        <v>1.783788436246869</v>
      </c>
      <c r="BP22" s="7">
        <f>BO22+預測IC!BP22</f>
        <v>1.8586239864019753</v>
      </c>
      <c r="BQ22" s="7">
        <f>BP22+預測IC!BQ22</f>
        <v>1.8864540838002879</v>
      </c>
      <c r="BR22" s="7">
        <f>BQ22+預測IC!BR22</f>
        <v>1.9072676932667407</v>
      </c>
      <c r="BS22" s="7">
        <f>BR22+預測IC!BS22</f>
        <v>1.8908949108899415</v>
      </c>
      <c r="BT22" s="7">
        <f>BS22+預測IC!BT22</f>
        <v>2.0214256142264877</v>
      </c>
      <c r="BU22" s="7">
        <f>BT22+預測IC!BU22</f>
        <v>2.234374380364498</v>
      </c>
      <c r="BV22" s="7">
        <f>BU22+預測IC!BV22</f>
        <v>2.392918352762107</v>
      </c>
      <c r="BW22" s="7">
        <f>BV22+預測IC!BW22</f>
        <v>2.2182498548344998</v>
      </c>
      <c r="BX22" s="7">
        <f>BW22+預測IC!BX22</f>
        <v>2.2548873005264722</v>
      </c>
      <c r="BY22" s="7">
        <f>BX22+預測IC!BY22</f>
        <v>2.2501405141237374</v>
      </c>
      <c r="BZ22" s="7">
        <f>BY22+預測IC!BZ22</f>
        <v>2.2973982499866294</v>
      </c>
      <c r="CA22" s="7">
        <f>BZ22+預測IC!CA22</f>
        <v>2.4414769860208847</v>
      </c>
      <c r="CB22" s="7">
        <f>CA22+預測IC!CB22</f>
        <v>2.292483707774958</v>
      </c>
      <c r="CC22" s="7">
        <f>CB22+預測IC!CC22</f>
        <v>2.2774980043368016</v>
      </c>
      <c r="CD22" s="7">
        <f>CC22+預測IC!CD22</f>
        <v>2.6113760410495246</v>
      </c>
      <c r="CE22" s="7">
        <f>CD22+預測IC!CE22</f>
        <v>2.2179887019452464</v>
      </c>
      <c r="CF22" s="7">
        <f>CE22+預測IC!CF22</f>
        <v>2.4067884877055237</v>
      </c>
      <c r="CG22" s="7">
        <f>CF22+預測IC!CG22</f>
        <v>2.2035253955029366</v>
      </c>
      <c r="CH22" s="7">
        <f>CG22+預測IC!CH22</f>
        <v>2.3194441667823846</v>
      </c>
      <c r="CI22" s="7">
        <f>CH22+預測IC!CI22</f>
        <v>2.2016644205040254</v>
      </c>
      <c r="CJ22" s="7">
        <f>CI22+預測IC!CJ22</f>
        <v>2.0982849154144629</v>
      </c>
      <c r="CK22" s="7">
        <f>CJ22+預測IC!CK22</f>
        <v>2.1344482580191455</v>
      </c>
      <c r="CL22" s="7">
        <f>CK22+預測IC!CL22</f>
        <v>1.8937964593941048</v>
      </c>
      <c r="CM22" s="7">
        <f>CL22+預測IC!CM22</f>
        <v>2.21422846305193</v>
      </c>
      <c r="CN22" s="7">
        <f>CM22+預測IC!CN22</f>
        <v>2.2056816912310224</v>
      </c>
      <c r="CO22" s="7">
        <f>CN22+預測IC!CO22</f>
        <v>1.5557252229818668</v>
      </c>
      <c r="CP22" s="7">
        <f>CO22+預測IC!CP22</f>
        <v>1.8151337799512692</v>
      </c>
      <c r="CQ22" s="7">
        <f>CP22+預測IC!CQ22</f>
        <v>1.8028000006256046</v>
      </c>
      <c r="CR22" s="7">
        <f>CQ22+預測IC!CR22</f>
        <v>1.9646504219269967</v>
      </c>
      <c r="CS22" s="7">
        <f>CR22+預測IC!CS22</f>
        <v>1.9494482384055738</v>
      </c>
      <c r="CT22" s="7">
        <f>CS22+預測IC!CT22</f>
        <v>2.0076807597615591</v>
      </c>
      <c r="CU22" s="7">
        <f>CT22+預測IC!CU22</f>
        <v>1.8874490477974613</v>
      </c>
      <c r="CV22" s="7">
        <f>CU22+預測IC!CV22</f>
        <v>1.9996827430045154</v>
      </c>
      <c r="CW22" s="7">
        <f>CV22+預測IC!CW22</f>
        <v>2.0361339963306806</v>
      </c>
      <c r="CX22" s="7">
        <f>CW22+預測IC!CX22</f>
        <v>2.0398835895985297</v>
      </c>
      <c r="CY22" s="7">
        <f>CX22+預測IC!CY22</f>
        <v>2.0318947638250204</v>
      </c>
      <c r="CZ22" s="7">
        <f>CY22+預測IC!CZ22</f>
        <v>2.2948152484242597</v>
      </c>
      <c r="DA22" s="7">
        <f>CZ22+預測IC!DA22</f>
        <v>2.2908234945423356</v>
      </c>
      <c r="DB22" s="7">
        <f>DA22+預測IC!DB22</f>
        <v>2.2324399877138434</v>
      </c>
      <c r="DC22" s="7">
        <f>DB22+預測IC!DC22</f>
        <v>2.2117152032696858</v>
      </c>
      <c r="DD22" s="7">
        <f>DC22+預測IC!DD22</f>
        <v>2.3596093058424894</v>
      </c>
      <c r="DE22" s="7">
        <f>DD22+預測IC!DE22</f>
        <v>2.3541175478605392</v>
      </c>
      <c r="DF22" s="7">
        <f>DE22+預測IC!DF22</f>
        <v>2.3711493231340923</v>
      </c>
      <c r="DG22" s="7">
        <f>DF22+預測IC!DG22</f>
        <v>2.4031343662149798</v>
      </c>
      <c r="DH22" s="7">
        <f>DG22+預測IC!DH22</f>
        <v>2.4170797123984835</v>
      </c>
      <c r="DI22" s="7">
        <f>DH22+預測IC!DI22</f>
        <v>2.4806407116607327</v>
      </c>
      <c r="DJ22" s="7">
        <f>DI22+預測IC!DJ22</f>
        <v>2.4303947058276369</v>
      </c>
      <c r="DK22" s="7">
        <f>DJ22+預測IC!DK22</f>
        <v>2.6095294196504772</v>
      </c>
      <c r="DL22" s="7">
        <f>DK22+預測IC!DL22</f>
        <v>2.7344710673878603</v>
      </c>
      <c r="DM22" s="7">
        <f>DL22+預測IC!DM22</f>
        <v>2.6710050163498269</v>
      </c>
      <c r="DN22" s="7">
        <f>DM22+預測IC!DN22</f>
        <v>2.7177683445538343</v>
      </c>
      <c r="DO22" s="7">
        <f>DN22+預測IC!DO22</f>
        <v>2.8412058458654723</v>
      </c>
      <c r="DP22" s="7">
        <f>DO22+預測IC!DP22</f>
        <v>2.8514331037183762</v>
      </c>
      <c r="DQ22" s="7">
        <f>DP22+預測IC!DQ22</f>
        <v>2.7204020998989362</v>
      </c>
      <c r="DR22" s="7">
        <f>DQ22+預測IC!DR22</f>
        <v>2.7143095472836181</v>
      </c>
      <c r="DS22" s="7">
        <f>DR22+預測IC!DS22</f>
        <v>2.5172586257212588</v>
      </c>
      <c r="DT22" s="7">
        <f>DS22+預測IC!DT22</f>
        <v>2.4589016167244937</v>
      </c>
      <c r="DU22" s="7">
        <f>DT22+預測IC!DU22</f>
        <v>2.4014062258876545</v>
      </c>
      <c r="DV22" s="7">
        <f>DU22+預測IC!DV22</f>
        <v>2.5271113435658323</v>
      </c>
      <c r="DW22" s="7">
        <f>DV22+預測IC!DW22</f>
        <v>2.6055010672728294</v>
      </c>
      <c r="DX22" s="7">
        <f>DW22+預測IC!DX22</f>
        <v>2.3830584588245345</v>
      </c>
      <c r="DY22" s="7">
        <f>DX22+預測IC!DY22</f>
        <v>2.3749113421989945</v>
      </c>
      <c r="DZ22" s="7">
        <f>DY22+預測IC!DZ22</f>
        <v>2.271163361253437</v>
      </c>
      <c r="EA22" s="7">
        <f>DZ22+預測IC!EA22</f>
        <v>2.2006147124140782</v>
      </c>
      <c r="EB22" s="7">
        <f>EA22+預測IC!EB22</f>
        <v>2.1200179848787601</v>
      </c>
      <c r="EC22" s="7">
        <f>EB22+預測IC!EC22</f>
        <v>2.1415130864543985</v>
      </c>
      <c r="ED22" s="7">
        <f>EC22+預測IC!ED22</f>
        <v>2.064099519396791</v>
      </c>
      <c r="EE22" s="7">
        <f>ED22+預測IC!EE22</f>
        <v>2.0975458232090043</v>
      </c>
      <c r="EF22" s="7">
        <f>EE22+預測IC!EF22</f>
        <v>2.0627555768368318</v>
      </c>
    </row>
    <row r="23" spans="1:136" x14ac:dyDescent="0.3">
      <c r="B23" s="1" t="s">
        <v>163</v>
      </c>
      <c r="C23" s="7">
        <v>0.28298926569632887</v>
      </c>
      <c r="D23" s="7">
        <f>C23+預測IC!D23</f>
        <v>0.53708189314779009</v>
      </c>
      <c r="E23" s="7">
        <f>D23+預測IC!E23</f>
        <v>0.45614072057711785</v>
      </c>
      <c r="F23" s="7">
        <f>E23+預測IC!F23</f>
        <v>0.45240048763520718</v>
      </c>
      <c r="G23" s="7">
        <f>F23+預測IC!G23</f>
        <v>0.40017631378870883</v>
      </c>
      <c r="H23" s="7">
        <f>G23+預測IC!H23</f>
        <v>0.38198784294722415</v>
      </c>
      <c r="I23" s="7">
        <f>H23+預測IC!I23</f>
        <v>0.34560135408081705</v>
      </c>
      <c r="J23" s="7">
        <f>I23+預測IC!J23</f>
        <v>0.23072384815037195</v>
      </c>
      <c r="K23" s="7">
        <f>J23+預測IC!K23</f>
        <v>2.6234371678138357E-2</v>
      </c>
      <c r="L23" s="7">
        <f>K23+預測IC!L23</f>
        <v>8.0277901453736977E-2</v>
      </c>
      <c r="M23" s="7">
        <f>L23+預測IC!M23</f>
        <v>-6.7009066573759934E-2</v>
      </c>
      <c r="N23" s="7">
        <f>M23+預測IC!N23</f>
        <v>0.9088923766975201</v>
      </c>
      <c r="O23" s="7">
        <f>N23+預測IC!O23</f>
        <v>0.78599266939035173</v>
      </c>
      <c r="P23" s="7">
        <f>O23+預測IC!P23</f>
        <v>0.84067419542489963</v>
      </c>
      <c r="Q23" s="7">
        <f>P23+預測IC!Q23</f>
        <v>1.1318476888916043</v>
      </c>
      <c r="R23" s="7">
        <f>Q23+預測IC!R23</f>
        <v>1.1946696668613659</v>
      </c>
      <c r="S23" s="7">
        <f>R23+預測IC!S23</f>
        <v>1.1220970024113037</v>
      </c>
      <c r="T23" s="7">
        <f>S23+預測IC!T23</f>
        <v>1.0374208266425751</v>
      </c>
      <c r="U23" s="7">
        <f>T23+預測IC!U23</f>
        <v>1.0966626161236765</v>
      </c>
      <c r="V23" s="7">
        <f>U23+預測IC!V23</f>
        <v>0.86418541275275185</v>
      </c>
      <c r="W23" s="7">
        <f>V23+預測IC!W23</f>
        <v>1.1237327364298111</v>
      </c>
      <c r="X23" s="7">
        <f>W23+預測IC!X23</f>
        <v>1.3182891978874554</v>
      </c>
      <c r="Y23" s="7">
        <f>X23+預測IC!Y23</f>
        <v>1.2503392762961045</v>
      </c>
      <c r="Z23" s="7">
        <f>Y23+預測IC!Z23</f>
        <v>1.2913912428163559</v>
      </c>
      <c r="AA23" s="7">
        <f>Z23+預測IC!AA23</f>
        <v>1.2979975347858261</v>
      </c>
      <c r="AB23" s="7">
        <f>AA23+預測IC!AB23</f>
        <v>1.2502485895666706</v>
      </c>
      <c r="AC23" s="7">
        <f>AB23+預測IC!AC23</f>
        <v>1.0162399686202259</v>
      </c>
      <c r="AD23" s="7">
        <f>AC23+預測IC!AD23</f>
        <v>1.0012290682631786</v>
      </c>
      <c r="AE23" s="7">
        <f>AD23+預測IC!AE23</f>
        <v>0.77951583244152944</v>
      </c>
      <c r="AF23" s="7">
        <f>AE23+預測IC!AF23</f>
        <v>0.71260957235177813</v>
      </c>
      <c r="AG23" s="7">
        <f>AF23+預測IC!AG23</f>
        <v>0.71055189530135077</v>
      </c>
      <c r="AH23" s="7">
        <f>AG23+預測IC!AH23</f>
        <v>0.79472347982453395</v>
      </c>
      <c r="AI23" s="7">
        <f>AH23+預測IC!AI23</f>
        <v>1.0038750784447976</v>
      </c>
      <c r="AJ23" s="7">
        <f>AI23+預測IC!AJ23</f>
        <v>1.0274625187388218</v>
      </c>
      <c r="AK23" s="7">
        <f>AJ23+預測IC!AK23</f>
        <v>1.0460202494755331</v>
      </c>
      <c r="AL23" s="7">
        <f>AK23+預測IC!AL23</f>
        <v>1.1774519626680686</v>
      </c>
      <c r="AM23" s="7">
        <f>AL23+預測IC!AM23</f>
        <v>1.1852214516729338</v>
      </c>
      <c r="AN23" s="7">
        <f>AM23+預測IC!AN23</f>
        <v>1.4275361510302345</v>
      </c>
      <c r="AO23" s="7">
        <f>AN23+預測IC!AO23</f>
        <v>1.4221991988388103</v>
      </c>
      <c r="AP23" s="7">
        <f>AO23+預測IC!AP23</f>
        <v>1.2569328265053181</v>
      </c>
      <c r="AQ23" s="7">
        <f>AP23+預測IC!AQ23</f>
        <v>1.3463578187649288</v>
      </c>
      <c r="AR23" s="7">
        <f>AQ23+預測IC!AR23</f>
        <v>1.6831018626099965</v>
      </c>
      <c r="AS23" s="7">
        <f>AR23+預測IC!AS23</f>
        <v>1.668394974612619</v>
      </c>
      <c r="AT23" s="7">
        <f>AS23+預測IC!AT23</f>
        <v>1.6269672527989694</v>
      </c>
      <c r="AU23" s="7">
        <f>AT23+預測IC!AU23</f>
        <v>1.6601127789274737</v>
      </c>
      <c r="AV23" s="7">
        <f>AU23+預測IC!AV23</f>
        <v>1.6324737847300996</v>
      </c>
      <c r="AW23" s="7">
        <f>AV23+預測IC!AW23</f>
        <v>1.5804468748916969</v>
      </c>
      <c r="AX23" s="7">
        <f>AW23+預測IC!AX23</f>
        <v>1.6455840292173993</v>
      </c>
      <c r="AY23" s="7">
        <f>AX23+預測IC!AY23</f>
        <v>1.8158180100579815</v>
      </c>
      <c r="AZ23" s="7">
        <f>AY23+預測IC!AZ23</f>
        <v>1.7520643926569213</v>
      </c>
      <c r="BA23" s="7">
        <f>AZ23+預測IC!BA23</f>
        <v>1.761711172737022</v>
      </c>
      <c r="BB23" s="7">
        <f>BA23+預測IC!BB23</f>
        <v>1.7106616886341368</v>
      </c>
      <c r="BC23" s="7">
        <f>BB23+預測IC!BC23</f>
        <v>1.409833439461071</v>
      </c>
      <c r="BD23" s="7">
        <f>BC23+預測IC!BD23</f>
        <v>1.5046643208075212</v>
      </c>
      <c r="BE23" s="7">
        <f>BD23+預測IC!BE23</f>
        <v>1.4332335584102247</v>
      </c>
      <c r="BF23" s="7">
        <f>BE23+預測IC!BF23</f>
        <v>1.4103865678055385</v>
      </c>
      <c r="BG23" s="7">
        <f>BF23+預測IC!BG23</f>
        <v>1.4851480390022911</v>
      </c>
      <c r="BH23" s="7">
        <f>BG23+預測IC!BH23</f>
        <v>1.281664057647004</v>
      </c>
      <c r="BI23" s="7">
        <f>BH23+預測IC!BI23</f>
        <v>1.472776136970203</v>
      </c>
      <c r="BJ23" s="7">
        <f>BI23+預測IC!BJ23</f>
        <v>1.57677945223813</v>
      </c>
      <c r="BK23" s="7">
        <f>BJ23+預測IC!BK23</f>
        <v>1.5788135605746074</v>
      </c>
      <c r="BL23" s="7">
        <f>BK23+預測IC!BL23</f>
        <v>1.7283478568248469</v>
      </c>
      <c r="BM23" s="7">
        <f>BL23+預測IC!BM23</f>
        <v>1.9175285436120009</v>
      </c>
      <c r="BN23" s="7">
        <f>BM23+預測IC!BN23</f>
        <v>1.9105813728531877</v>
      </c>
      <c r="BO23" s="7">
        <f>BN23+預測IC!BO23</f>
        <v>1.9471063145991869</v>
      </c>
      <c r="BP23" s="7">
        <f>BO23+預測IC!BP23</f>
        <v>2.0453727138106435</v>
      </c>
      <c r="BQ23" s="7">
        <f>BP23+預測IC!BQ23</f>
        <v>2.1174206152459094</v>
      </c>
      <c r="BR23" s="7">
        <f>BQ23+預測IC!BR23</f>
        <v>2.1352649367098722</v>
      </c>
      <c r="BS23" s="7">
        <f>BR23+預測IC!BS23</f>
        <v>2.0619895480519603</v>
      </c>
      <c r="BT23" s="7">
        <f>BS23+預測IC!BT23</f>
        <v>2.2056393540779573</v>
      </c>
      <c r="BU23" s="7">
        <f>BT23+預測IC!BU23</f>
        <v>2.411327089923903</v>
      </c>
      <c r="BV23" s="7">
        <f>BU23+預測IC!BV23</f>
        <v>2.5247946582840917</v>
      </c>
      <c r="BW23" s="7">
        <f>BV23+預測IC!BW23</f>
        <v>2.3226423250084003</v>
      </c>
      <c r="BX23" s="7">
        <f>BW23+預測IC!BX23</f>
        <v>2.3144292052811473</v>
      </c>
      <c r="BY23" s="7">
        <f>BX23+預測IC!BY23</f>
        <v>2.3042235125867996</v>
      </c>
      <c r="BZ23" s="7">
        <f>BY23+預測IC!BZ23</f>
        <v>2.3118932750186443</v>
      </c>
      <c r="CA23" s="7">
        <f>BZ23+預測IC!CA23</f>
        <v>2.518265997406131</v>
      </c>
      <c r="CB23" s="7">
        <f>CA23+預測IC!CB23</f>
        <v>2.3006517944136911</v>
      </c>
      <c r="CC23" s="7">
        <f>CB23+預測IC!CC23</f>
        <v>2.5256104219093714</v>
      </c>
      <c r="CD23" s="7">
        <f>CC23+預測IC!CD23</f>
        <v>2.7172868769241565</v>
      </c>
      <c r="CE23" s="7">
        <f>CD23+預測IC!CE23</f>
        <v>2.6006622701276951</v>
      </c>
      <c r="CF23" s="7">
        <f>CE23+預測IC!CF23</f>
        <v>2.7577971799188603</v>
      </c>
      <c r="CG23" s="7">
        <f>CF23+預測IC!CG23</f>
        <v>2.3645533919951838</v>
      </c>
      <c r="CH23" s="7">
        <f>CG23+預測IC!CH23</f>
        <v>2.5447498409166123</v>
      </c>
      <c r="CI23" s="7">
        <f>CH23+預測IC!CI23</f>
        <v>2.2348504237885152</v>
      </c>
      <c r="CJ23" s="7">
        <f>CI23+預測IC!CJ23</f>
        <v>2.2149750562381048</v>
      </c>
      <c r="CK23" s="7">
        <f>CJ23+預測IC!CK23</f>
        <v>2.3110920509660664</v>
      </c>
      <c r="CL23" s="7">
        <f>CK23+預測IC!CL23</f>
        <v>1.902431038298648</v>
      </c>
      <c r="CM23" s="7">
        <f>CL23+預測IC!CM23</f>
        <v>2.2891639848215575</v>
      </c>
      <c r="CN23" s="7">
        <f>CM23+預測IC!CN23</f>
        <v>2.2361588064517544</v>
      </c>
      <c r="CO23" s="7">
        <f>CN23+預測IC!CO23</f>
        <v>1.3272355190861345</v>
      </c>
      <c r="CP23" s="7">
        <f>CO23+預測IC!CP23</f>
        <v>1.6385962622488912</v>
      </c>
      <c r="CQ23" s="7">
        <f>CP23+預測IC!CQ23</f>
        <v>1.6294125177490852</v>
      </c>
      <c r="CR23" s="7">
        <f>CQ23+預測IC!CR23</f>
        <v>1.6410103215701639</v>
      </c>
      <c r="CS23" s="7">
        <f>CR23+預測IC!CS23</f>
        <v>1.6040361025788854</v>
      </c>
      <c r="CT23" s="7">
        <f>CS23+預測IC!CT23</f>
        <v>1.6496986442901393</v>
      </c>
      <c r="CU23" s="7">
        <f>CT23+預測IC!CU23</f>
        <v>1.6286420485768522</v>
      </c>
      <c r="CV23" s="7">
        <f>CU23+預測IC!CV23</f>
        <v>1.6063969110880465</v>
      </c>
      <c r="CW23" s="7">
        <f>CV23+預測IC!CW23</f>
        <v>1.7072982428904651</v>
      </c>
      <c r="CX23" s="7">
        <f>CW23+預測IC!CX23</f>
        <v>1.6185812487939386</v>
      </c>
      <c r="CY23" s="7">
        <f>CX23+預測IC!CY23</f>
        <v>1.6406277795473172</v>
      </c>
      <c r="CZ23" s="7">
        <f>CY23+預測IC!CZ23</f>
        <v>1.8226265734046685</v>
      </c>
      <c r="DA23" s="7">
        <f>CZ23+預測IC!DA23</f>
        <v>1.7916444371787581</v>
      </c>
      <c r="DB23" s="7">
        <f>DA23+預測IC!DB23</f>
        <v>1.7756892803117617</v>
      </c>
      <c r="DC23" s="7">
        <f>DB23+預測IC!DC23</f>
        <v>1.8948797663821759</v>
      </c>
      <c r="DD23" s="7">
        <f>DC23+預測IC!DD23</f>
        <v>2.1082908107891725</v>
      </c>
      <c r="DE23" s="7">
        <f>DD23+預測IC!DE23</f>
        <v>2.0988955848375275</v>
      </c>
      <c r="DF23" s="7">
        <f>DE23+預測IC!DF23</f>
        <v>2.1608377118824329</v>
      </c>
      <c r="DG23" s="7">
        <f>DF23+預測IC!DG23</f>
        <v>2.1991077237571499</v>
      </c>
      <c r="DH23" s="7">
        <f>DG23+預測IC!DH23</f>
        <v>2.2545211710658926</v>
      </c>
      <c r="DI23" s="7">
        <f>DH23+預測IC!DI23</f>
        <v>2.3080007679819134</v>
      </c>
      <c r="DJ23" s="7">
        <f>DI23+預測IC!DJ23</f>
        <v>2.2209427598095655</v>
      </c>
      <c r="DK23" s="7">
        <f>DJ23+預測IC!DK23</f>
        <v>2.4987759763684085</v>
      </c>
      <c r="DL23" s="7">
        <f>DK23+預測IC!DL23</f>
        <v>2.7148770359086822</v>
      </c>
      <c r="DM23" s="7">
        <f>DL23+預測IC!DM23</f>
        <v>2.6953797309893162</v>
      </c>
      <c r="DN23" s="7">
        <f>DM23+預測IC!DN23</f>
        <v>2.7018769270332865</v>
      </c>
      <c r="DO23" s="7">
        <f>DN23+預測IC!DO23</f>
        <v>2.8659682307671206</v>
      </c>
      <c r="DP23" s="7">
        <f>DO23+預測IC!DP23</f>
        <v>2.9130564634228433</v>
      </c>
      <c r="DQ23" s="7">
        <f>DP23+預測IC!DQ23</f>
        <v>2.7428454669193054</v>
      </c>
      <c r="DR23" s="7">
        <f>DQ23+預測IC!DR23</f>
        <v>2.6529594641879988</v>
      </c>
      <c r="DS23" s="7">
        <f>DR23+預測IC!DS23</f>
        <v>2.3648628872689526</v>
      </c>
      <c r="DT23" s="7">
        <f>DS23+預測IC!DT23</f>
        <v>2.2409076640727537</v>
      </c>
      <c r="DU23" s="7">
        <f>DT23+預測IC!DU23</f>
        <v>2.2751948493277512</v>
      </c>
      <c r="DV23" s="7">
        <f>DU23+預測IC!DV23</f>
        <v>2.5514664576571908</v>
      </c>
      <c r="DW23" s="7">
        <f>DV23+預測IC!DW23</f>
        <v>2.6926946902400295</v>
      </c>
      <c r="DX23" s="7">
        <f>DW23+預測IC!DX23</f>
        <v>2.3792014838610633</v>
      </c>
      <c r="DY23" s="7">
        <f>DX23+預測IC!DY23</f>
        <v>2.5490783125133176</v>
      </c>
      <c r="DZ23" s="7">
        <f>DY23+預測IC!DZ23</f>
        <v>2.4462052938868051</v>
      </c>
      <c r="EA23" s="7">
        <f>DZ23+預測IC!EA23</f>
        <v>2.4227563862736856</v>
      </c>
      <c r="EB23" s="7">
        <f>EA23+預測IC!EB23</f>
        <v>2.3600029465630104</v>
      </c>
      <c r="EC23" s="7">
        <f>EB23+預測IC!EC23</f>
        <v>2.3234186302371969</v>
      </c>
      <c r="ED23" s="7">
        <f>EC23+預測IC!ED23</f>
        <v>2.2319927256174159</v>
      </c>
      <c r="EE23" s="7">
        <f>ED23+預測IC!EE23</f>
        <v>2.2910434095056562</v>
      </c>
      <c r="EF23" s="7">
        <f>EE23+預測IC!EF23</f>
        <v>2.2432611309139965</v>
      </c>
    </row>
    <row r="24" spans="1:136" x14ac:dyDescent="0.3">
      <c r="B24" s="1" t="s">
        <v>164</v>
      </c>
      <c r="C24" s="7">
        <v>9.9113364206882743E-2</v>
      </c>
      <c r="D24" s="7">
        <f>C24+預測IC!D24</f>
        <v>0.19972327710611135</v>
      </c>
      <c r="E24" s="7">
        <f>D24+預測IC!E24</f>
        <v>0.27112360727540824</v>
      </c>
      <c r="F24" s="7">
        <f>E24+預測IC!F24</f>
        <v>0.34645010110711494</v>
      </c>
      <c r="G24" s="7">
        <f>F24+預測IC!G24</f>
        <v>0.57221012416468731</v>
      </c>
      <c r="H24" s="7">
        <f>G24+預測IC!H24</f>
        <v>0.60806592081964395</v>
      </c>
      <c r="I24" s="7">
        <f>H24+預測IC!I24</f>
        <v>0.62499301000038776</v>
      </c>
      <c r="J24" s="7">
        <f>I24+預測IC!J24</f>
        <v>0.50953021178636526</v>
      </c>
      <c r="K24" s="7">
        <f>J24+預測IC!K24</f>
        <v>0.48801493343140517</v>
      </c>
      <c r="L24" s="7">
        <f>K24+預測IC!L24</f>
        <v>0.58363818394008726</v>
      </c>
      <c r="M24" s="7">
        <f>L24+預測IC!M24</f>
        <v>0.36585251090234577</v>
      </c>
      <c r="N24" s="7">
        <f>M24+預測IC!N24</f>
        <v>2.1348838800149146</v>
      </c>
      <c r="O24" s="7">
        <f>N24+預測IC!O24</f>
        <v>1.8906060166267311</v>
      </c>
      <c r="P24" s="7">
        <f>O24+預測IC!P24</f>
        <v>1.8923423054910784</v>
      </c>
      <c r="Q24" s="7">
        <f>P24+預測IC!Q24</f>
        <v>1.889495169888681</v>
      </c>
      <c r="R24" s="7">
        <f>Q24+預測IC!R24</f>
        <v>1.8616723460035929</v>
      </c>
      <c r="S24" s="7">
        <f>R24+預測IC!S24</f>
        <v>1.8506178857961442</v>
      </c>
      <c r="T24" s="7">
        <f>S24+預測IC!T24</f>
        <v>1.5628012822766564</v>
      </c>
      <c r="U24" s="7">
        <f>T24+預測IC!U24</f>
        <v>1.8486575722580572</v>
      </c>
      <c r="V24" s="7">
        <f>U24+預測IC!V24</f>
        <v>1.7499790609987271</v>
      </c>
      <c r="W24" s="7">
        <f>V24+預測IC!W24</f>
        <v>1.585414543411847</v>
      </c>
      <c r="X24" s="7">
        <f>W24+預測IC!X24</f>
        <v>1.5845156669468297</v>
      </c>
      <c r="Y24" s="7">
        <f>X24+預測IC!Y24</f>
        <v>1.4641981738822991</v>
      </c>
      <c r="Z24" s="7">
        <f>Y24+預測IC!Z24</f>
        <v>1.4398036251327229</v>
      </c>
      <c r="AA24" s="7">
        <f>Z24+預測IC!AA24</f>
        <v>1.4533513933703002</v>
      </c>
      <c r="AB24" s="7">
        <f>AA24+預測IC!AB24</f>
        <v>1.2690999707015218</v>
      </c>
      <c r="AC24" s="7">
        <f>AB24+預測IC!AC24</f>
        <v>1.022931011916822</v>
      </c>
      <c r="AD24" s="7">
        <f>AC24+預測IC!AD24</f>
        <v>1.0151091730241923</v>
      </c>
      <c r="AE24" s="7">
        <f>AD24+預測IC!AE24</f>
        <v>0.83984035801685031</v>
      </c>
      <c r="AF24" s="7">
        <f>AE24+預測IC!AF24</f>
        <v>0.81731834798205982</v>
      </c>
      <c r="AG24" s="7">
        <f>AF24+預測IC!AG24</f>
        <v>0.92321882045646053</v>
      </c>
      <c r="AH24" s="7">
        <f>AG24+預測IC!AH24</f>
        <v>0.97991618052425011</v>
      </c>
      <c r="AI24" s="7">
        <f>AH24+預測IC!AI24</f>
        <v>1.2903304157535924</v>
      </c>
      <c r="AJ24" s="7">
        <f>AI24+預測IC!AJ24</f>
        <v>1.3757656175444566</v>
      </c>
      <c r="AK24" s="7">
        <f>AJ24+預測IC!AK24</f>
        <v>1.3772065946244048</v>
      </c>
      <c r="AL24" s="7">
        <f>AK24+預測IC!AL24</f>
        <v>1.3225296591337694</v>
      </c>
      <c r="AM24" s="7">
        <f>AL24+預測IC!AM24</f>
        <v>1.3036103777132426</v>
      </c>
      <c r="AN24" s="7">
        <f>AM24+預測IC!AN24</f>
        <v>1.524799842858674</v>
      </c>
      <c r="AO24" s="7">
        <f>AN24+預測IC!AO24</f>
        <v>1.590889954687664</v>
      </c>
      <c r="AP24" s="7">
        <f>AO24+預測IC!AP24</f>
        <v>1.4264032655297436</v>
      </c>
      <c r="AQ24" s="7">
        <f>AP24+預測IC!AQ24</f>
        <v>1.4734802383639893</v>
      </c>
      <c r="AR24" s="7">
        <f>AQ24+預測IC!AR24</f>
        <v>1.4831194949715962</v>
      </c>
      <c r="AS24" s="7">
        <f>AR24+預測IC!AS24</f>
        <v>1.4551634177050061</v>
      </c>
      <c r="AT24" s="7">
        <f>AS24+預測IC!AT24</f>
        <v>1.4856226251897149</v>
      </c>
      <c r="AU24" s="7">
        <f>AT24+預測IC!AU24</f>
        <v>1.5297179450549392</v>
      </c>
      <c r="AV24" s="7">
        <f>AU24+預測IC!AV24</f>
        <v>1.4425659928680432</v>
      </c>
      <c r="AW24" s="7">
        <f>AV24+預測IC!AW24</f>
        <v>1.4475535343790824</v>
      </c>
      <c r="AX24" s="7">
        <f>AW24+預測IC!AX24</f>
        <v>1.4219917359612255</v>
      </c>
      <c r="AY24" s="7">
        <f>AX24+預測IC!AY24</f>
        <v>1.590119029846115</v>
      </c>
      <c r="AZ24" s="7">
        <f>AY24+預測IC!AZ24</f>
        <v>1.6279861034457801</v>
      </c>
      <c r="BA24" s="7">
        <f>AZ24+預測IC!BA24</f>
        <v>1.5741913713611468</v>
      </c>
      <c r="BB24" s="7">
        <f>BA24+預測IC!BB24</f>
        <v>1.488032337965812</v>
      </c>
      <c r="BC24" s="7">
        <f>BB24+預測IC!BC24</f>
        <v>0.68481632492143463</v>
      </c>
      <c r="BD24" s="7">
        <f>BC24+預測IC!BD24</f>
        <v>0.87041154416786981</v>
      </c>
      <c r="BE24" s="7">
        <f>BD24+預測IC!BE24</f>
        <v>0.82434719013618296</v>
      </c>
      <c r="BF24" s="7">
        <f>BE24+預測IC!BF24</f>
        <v>0.91199852619027522</v>
      </c>
      <c r="BG24" s="7">
        <f>BF24+預測IC!BG24</f>
        <v>0.93883449205658609</v>
      </c>
      <c r="BH24" s="7">
        <f>BG24+預測IC!BH24</f>
        <v>0.55257915514305112</v>
      </c>
      <c r="BI24" s="7">
        <f>BH24+預測IC!BI24</f>
        <v>0.77620826121309827</v>
      </c>
      <c r="BJ24" s="7">
        <f>BI24+預測IC!BJ24</f>
        <v>0.77955657696798286</v>
      </c>
      <c r="BK24" s="7">
        <f>BJ24+預測IC!BK24</f>
        <v>0.78358012386226905</v>
      </c>
      <c r="BL24" s="7">
        <f>BK24+預測IC!BL24</f>
        <v>1.1007444177869856</v>
      </c>
      <c r="BM24" s="7">
        <f>BL24+預測IC!BM24</f>
        <v>1.1122174369047229</v>
      </c>
      <c r="BN24" s="7">
        <f>BM24+預測IC!BN24</f>
        <v>1.1190667787502977</v>
      </c>
      <c r="BO24" s="7">
        <f>BN24+預測IC!BO24</f>
        <v>0.95795708765465581</v>
      </c>
      <c r="BP24" s="7">
        <f>BO24+預測IC!BP24</f>
        <v>1.0813082687839777</v>
      </c>
      <c r="BQ24" s="7">
        <f>BP24+預測IC!BQ24</f>
        <v>1.0171386354538627</v>
      </c>
      <c r="BR24" s="7">
        <f>BQ24+預測IC!BR24</f>
        <v>1.0594948587572806</v>
      </c>
      <c r="BS24" s="7">
        <f>BR24+預測IC!BS24</f>
        <v>1.0582101412728235</v>
      </c>
      <c r="BT24" s="7">
        <f>BS24+預測IC!BT24</f>
        <v>1.1744808373270108</v>
      </c>
      <c r="BU24" s="7">
        <f>BT24+預測IC!BU24</f>
        <v>1.4028074688869516</v>
      </c>
      <c r="BV24" s="7">
        <f>BU24+預測IC!BV24</f>
        <v>1.5105359227749344</v>
      </c>
      <c r="BW24" s="7">
        <f>BV24+預測IC!BW24</f>
        <v>1.4487000391393412</v>
      </c>
      <c r="BX24" s="7">
        <f>BW24+預測IC!BX24</f>
        <v>1.3157399834288834</v>
      </c>
      <c r="BY24" s="7">
        <f>BX24+預測IC!BY24</f>
        <v>1.4254856525963007</v>
      </c>
      <c r="BZ24" s="7">
        <f>BY24+預測IC!BZ24</f>
        <v>1.6843785514462977</v>
      </c>
      <c r="CA24" s="7">
        <f>BZ24+預測IC!CA24</f>
        <v>1.7844034671352484</v>
      </c>
      <c r="CB24" s="7">
        <f>CA24+預測IC!CB24</f>
        <v>1.9931654414231175</v>
      </c>
      <c r="CC24" s="7">
        <f>CB24+預測IC!CC24</f>
        <v>2.4330199536900512</v>
      </c>
      <c r="CD24" s="7">
        <f>CC24+預測IC!CD24</f>
        <v>2.5773262644322461</v>
      </c>
      <c r="CE24" s="7">
        <f>CD24+預測IC!CE24</f>
        <v>2.3672048291961576</v>
      </c>
      <c r="CF24" s="7">
        <f>CE24+預測IC!CF24</f>
        <v>2.588926191441546</v>
      </c>
      <c r="CG24" s="7">
        <f>CF24+預測IC!CG24</f>
        <v>2.2651082124224855</v>
      </c>
      <c r="CH24" s="7">
        <f>CG24+預測IC!CH24</f>
        <v>2.6193855092649887</v>
      </c>
      <c r="CI24" s="7">
        <f>CH24+預測IC!CI24</f>
        <v>2.9478373299742531</v>
      </c>
      <c r="CJ24" s="7">
        <f>CI24+預測IC!CJ24</f>
        <v>2.9609468153936724</v>
      </c>
      <c r="CK24" s="7">
        <f>CJ24+預測IC!CK24</f>
        <v>3.054476894709369</v>
      </c>
      <c r="CL24" s="7">
        <f>CK24+預測IC!CL24</f>
        <v>3.1962322280819095</v>
      </c>
      <c r="CM24" s="7">
        <f>CL24+預測IC!CM24</f>
        <v>3.7458193380410099</v>
      </c>
      <c r="CN24" s="7">
        <f>CM24+預測IC!CN24</f>
        <v>3.6380805715837967</v>
      </c>
      <c r="CO24" s="7">
        <f>CN24+預測IC!CO24</f>
        <v>2.8614273532475654</v>
      </c>
      <c r="CP24" s="7">
        <f>CO24+預測IC!CP24</f>
        <v>3.0217715580624076</v>
      </c>
      <c r="CQ24" s="7">
        <f>CP24+預測IC!CQ24</f>
        <v>3.1364587319257042</v>
      </c>
      <c r="CR24" s="7">
        <f>CQ24+預測IC!CR24</f>
        <v>3.1975435701652608</v>
      </c>
      <c r="CS24" s="7">
        <f>CR24+預測IC!CS24</f>
        <v>3.1116483374184551</v>
      </c>
      <c r="CT24" s="7">
        <f>CS24+預測IC!CT24</f>
        <v>3.2080673455658508</v>
      </c>
      <c r="CU24" s="7">
        <f>CT24+預測IC!CU24</f>
        <v>3.135315997909141</v>
      </c>
      <c r="CV24" s="7">
        <f>CU24+預測IC!CV24</f>
        <v>3.1503800454485162</v>
      </c>
      <c r="CW24" s="7">
        <f>CV24+預測IC!CW24</f>
        <v>3.3254972115205237</v>
      </c>
      <c r="CX24" s="7">
        <f>CW24+預測IC!CX24</f>
        <v>3.3807044052292108</v>
      </c>
      <c r="CY24" s="7">
        <f>CX24+預測IC!CY24</f>
        <v>3.300637500592392</v>
      </c>
      <c r="CZ24" s="7">
        <f>CY24+預測IC!CZ24</f>
        <v>3.4128441290369591</v>
      </c>
      <c r="DA24" s="7">
        <f>CZ24+預測IC!DA24</f>
        <v>3.4373553331997138</v>
      </c>
      <c r="DB24" s="7">
        <f>DA24+預測IC!DB24</f>
        <v>3.2418946606870596</v>
      </c>
      <c r="DC24" s="7">
        <f>DB24+預測IC!DC24</f>
        <v>3.4330704188575942</v>
      </c>
      <c r="DD24" s="7">
        <f>DC24+預測IC!DD24</f>
        <v>3.5864517995967002</v>
      </c>
      <c r="DE24" s="7">
        <f>DD24+預測IC!DE24</f>
        <v>3.4103890420871652</v>
      </c>
      <c r="DF24" s="7">
        <f>DE24+預測IC!DF24</f>
        <v>3.3057240660666039</v>
      </c>
      <c r="DG24" s="7">
        <f>DF24+預測IC!DG24</f>
        <v>3.3648299001909479</v>
      </c>
      <c r="DH24" s="7">
        <f>DG24+預測IC!DH24</f>
        <v>3.3656764252563143</v>
      </c>
      <c r="DI24" s="7">
        <f>DH24+預測IC!DI24</f>
        <v>3.5075518841945836</v>
      </c>
      <c r="DJ24" s="7">
        <f>DI24+預測IC!DJ24</f>
        <v>3.3750632736853441</v>
      </c>
      <c r="DK24" s="7">
        <f>DJ24+預測IC!DK24</f>
        <v>3.7145724843157879</v>
      </c>
      <c r="DL24" s="7">
        <f>DK24+預測IC!DL24</f>
        <v>3.9276769106016691</v>
      </c>
      <c r="DM24" s="7">
        <f>DL24+預測IC!DM24</f>
        <v>3.7862373833747944</v>
      </c>
      <c r="DN24" s="7">
        <f>DM24+預測IC!DN24</f>
        <v>4.019571954149491</v>
      </c>
      <c r="DO24" s="7">
        <f>DN24+預測IC!DO24</f>
        <v>4.2050127567821791</v>
      </c>
      <c r="DP24" s="7">
        <f>DO24+預測IC!DP24</f>
        <v>4.3193861822681932</v>
      </c>
      <c r="DQ24" s="7">
        <f>DP24+預測IC!DQ24</f>
        <v>4.1864088310322227</v>
      </c>
      <c r="DR24" s="7">
        <f>DQ24+預測IC!DR24</f>
        <v>4.1658932008201939</v>
      </c>
      <c r="DS24" s="7">
        <f>DR24+預測IC!DS24</f>
        <v>3.9496316597873484</v>
      </c>
      <c r="DT24" s="7">
        <f>DS24+預測IC!DT24</f>
        <v>3.9112687936172188</v>
      </c>
      <c r="DU24" s="7">
        <f>DT24+預測IC!DU24</f>
        <v>3.8636302063434611</v>
      </c>
      <c r="DV24" s="7">
        <f>DU24+預測IC!DV24</f>
        <v>4.0218549049872756</v>
      </c>
      <c r="DW24" s="7">
        <f>DV24+預測IC!DW24</f>
        <v>4.130711994878606</v>
      </c>
      <c r="DX24" s="7">
        <f>DW24+預測IC!DX24</f>
        <v>3.819118867086102</v>
      </c>
      <c r="DY24" s="7">
        <f>DX24+預測IC!DY24</f>
        <v>4.1629231538843108</v>
      </c>
      <c r="DZ24" s="7">
        <f>DY24+預測IC!DZ24</f>
        <v>4.1124539714811945</v>
      </c>
      <c r="EA24" s="7">
        <f>DZ24+預測IC!EA24</f>
        <v>4.1898048937085299</v>
      </c>
      <c r="EB24" s="7">
        <f>EA24+預測IC!EB24</f>
        <v>4.1602227173432356</v>
      </c>
      <c r="EC24" s="7">
        <f>EB24+預測IC!EC24</f>
        <v>4.1459127985725566</v>
      </c>
      <c r="ED24" s="7">
        <f>EC24+預測IC!ED24</f>
        <v>4.0897399532741945</v>
      </c>
      <c r="EE24" s="7">
        <f>ED24+預測IC!EE24</f>
        <v>4.203169392465413</v>
      </c>
      <c r="EF24" s="7">
        <f>EE24+預測IC!EF24</f>
        <v>4.2704460695093811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/>
  </sheetViews>
  <sheetFormatPr defaultRowHeight="15" x14ac:dyDescent="0.3"/>
  <cols>
    <col min="1" max="1" width="16.375" bestFit="1" customWidth="1"/>
  </cols>
  <sheetData>
    <row r="1" spans="1:137" x14ac:dyDescent="0.3">
      <c r="A1" t="str">
        <f>預測IC!A1</f>
        <v>NN3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165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137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138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139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166</v>
      </c>
      <c r="B13" s="1" t="s">
        <v>137</v>
      </c>
      <c r="C13" s="7">
        <f t="shared" ref="C13:AH13" si="0">(C3-C9)^2</f>
        <v>5.1996813799186142E-3</v>
      </c>
      <c r="D13" s="7">
        <f t="shared" si="0"/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ref="AI13:BN13" si="1">(AI3-AI9)^2</f>
        <v>1.428190816057953E-5</v>
      </c>
      <c r="AJ13" s="7">
        <f t="shared" si="1"/>
        <v>6.319946996907329E-5</v>
      </c>
      <c r="AK13" s="7">
        <f t="shared" si="1"/>
        <v>1.0627051012025795E-2</v>
      </c>
      <c r="AL13" s="7">
        <f t="shared" si="1"/>
        <v>5.6636500009581251E-6</v>
      </c>
      <c r="AM13" s="7">
        <f t="shared" si="1"/>
        <v>8.4577683009452887E-3</v>
      </c>
      <c r="AN13" s="7">
        <f t="shared" si="1"/>
        <v>2.9134850613342721E-2</v>
      </c>
      <c r="AO13" s="7">
        <f t="shared" si="1"/>
        <v>5.5690117600416585E-3</v>
      </c>
      <c r="AP13" s="7">
        <f t="shared" si="1"/>
        <v>3.4772888090034586E-2</v>
      </c>
      <c r="AQ13" s="7">
        <f t="shared" si="1"/>
        <v>3.3242821077860275E-3</v>
      </c>
      <c r="AR13" s="7">
        <f t="shared" si="1"/>
        <v>1.6336343510028715E-4</v>
      </c>
      <c r="AS13" s="7">
        <f t="shared" si="1"/>
        <v>3.5942871483349788E-5</v>
      </c>
      <c r="AT13" s="7">
        <f t="shared" si="1"/>
        <v>1.6021175433399901E-3</v>
      </c>
      <c r="AU13" s="7">
        <f t="shared" si="1"/>
        <v>1.9156406625396089E-4</v>
      </c>
      <c r="AV13" s="7">
        <f t="shared" si="1"/>
        <v>1.1081404926974067E-2</v>
      </c>
      <c r="AW13" s="7">
        <f t="shared" si="1"/>
        <v>2.879489779995489E-6</v>
      </c>
      <c r="AX13" s="7">
        <f t="shared" si="1"/>
        <v>8.7796166595132258E-3</v>
      </c>
      <c r="AY13" s="7">
        <f t="shared" si="1"/>
        <v>1.9807650166994363E-3</v>
      </c>
      <c r="AZ13" s="7">
        <f t="shared" si="1"/>
        <v>3.1593314819808047E-3</v>
      </c>
      <c r="BA13" s="7">
        <f t="shared" si="1"/>
        <v>9.3503798071668137E-4</v>
      </c>
      <c r="BB13" s="7">
        <f t="shared" si="1"/>
        <v>4.4450052281279333E-3</v>
      </c>
      <c r="BC13" s="7">
        <f t="shared" si="1"/>
        <v>5.7681700020622434E-5</v>
      </c>
      <c r="BD13" s="7">
        <f t="shared" si="1"/>
        <v>5.1701448172159718E-4</v>
      </c>
      <c r="BE13" s="7">
        <f t="shared" si="1"/>
        <v>1.3359609029332763E-3</v>
      </c>
      <c r="BF13" s="7">
        <f t="shared" si="1"/>
        <v>1.6545875574042614E-2</v>
      </c>
      <c r="BG13" s="7">
        <f t="shared" si="1"/>
        <v>1.3947679273956598E-2</v>
      </c>
      <c r="BH13" s="7">
        <f t="shared" si="1"/>
        <v>2.5353844699813971E-4</v>
      </c>
      <c r="BI13" s="7">
        <f t="shared" si="1"/>
        <v>3.0608345589578528E-3</v>
      </c>
      <c r="BJ13" s="7">
        <f t="shared" si="1"/>
        <v>9.1144456194463958E-3</v>
      </c>
      <c r="BK13" s="7">
        <f t="shared" si="1"/>
        <v>1.5331565763291767E-2</v>
      </c>
      <c r="BL13" s="7">
        <f t="shared" si="1"/>
        <v>3.3934770021981134E-3</v>
      </c>
      <c r="BM13" s="7">
        <f t="shared" si="1"/>
        <v>3.5879726004166956E-3</v>
      </c>
      <c r="BN13" s="7">
        <f t="shared" si="1"/>
        <v>2.3059722750382752E-4</v>
      </c>
      <c r="BO13" s="7">
        <f t="shared" ref="BO13:CT13" si="2">(BO3-BO9)^2</f>
        <v>2.5768196525653136E-3</v>
      </c>
      <c r="BP13" s="7">
        <f t="shared" si="2"/>
        <v>2.7993127472971347E-3</v>
      </c>
      <c r="BQ13" s="7">
        <f t="shared" si="2"/>
        <v>1.1465619014837207E-3</v>
      </c>
      <c r="BR13" s="7">
        <f t="shared" si="2"/>
        <v>1.1036800119850543E-3</v>
      </c>
      <c r="BS13" s="7">
        <f t="shared" si="2"/>
        <v>1.5054362677075022E-3</v>
      </c>
      <c r="BT13" s="7">
        <f t="shared" si="2"/>
        <v>4.2676104531932104E-5</v>
      </c>
      <c r="BU13" s="7">
        <f t="shared" si="2"/>
        <v>2.3796622565370565E-4</v>
      </c>
      <c r="BV13" s="7">
        <f t="shared" si="2"/>
        <v>3.9841213406552863E-3</v>
      </c>
      <c r="BW13" s="7">
        <f t="shared" si="2"/>
        <v>3.7909276846222169E-3</v>
      </c>
      <c r="BX13" s="7">
        <f t="shared" si="2"/>
        <v>4.5677820231987691E-4</v>
      </c>
      <c r="BY13" s="7">
        <f t="shared" si="2"/>
        <v>9.6909135501075435E-3</v>
      </c>
      <c r="BZ13" s="7">
        <f t="shared" si="2"/>
        <v>6.8683719042463651E-3</v>
      </c>
      <c r="CA13" s="7">
        <f t="shared" si="2"/>
        <v>2.0928499826830992E-2</v>
      </c>
      <c r="CB13" s="7">
        <f t="shared" si="2"/>
        <v>1.7510532472383292E-4</v>
      </c>
      <c r="CC13" s="7">
        <f t="shared" si="2"/>
        <v>1.5637797193320884E-3</v>
      </c>
      <c r="CD13" s="7">
        <f t="shared" si="2"/>
        <v>3.2611169702490374E-2</v>
      </c>
      <c r="CE13" s="7">
        <f t="shared" si="2"/>
        <v>1.0921771147353616E-3</v>
      </c>
      <c r="CF13" s="7">
        <f t="shared" si="2"/>
        <v>1.607519380586402E-3</v>
      </c>
      <c r="CG13" s="7">
        <f t="shared" si="2"/>
        <v>4.5452983652325089E-3</v>
      </c>
      <c r="CH13" s="7">
        <f t="shared" si="2"/>
        <v>9.0464292745178303E-3</v>
      </c>
      <c r="CI13" s="7">
        <f t="shared" si="2"/>
        <v>1.7633516937132464E-2</v>
      </c>
      <c r="CJ13" s="7">
        <f t="shared" si="2"/>
        <v>4.2565052483562545E-4</v>
      </c>
      <c r="CK13" s="7">
        <f t="shared" si="2"/>
        <v>5.0056536403316875E-4</v>
      </c>
      <c r="CL13" s="7">
        <f t="shared" si="2"/>
        <v>5.1810792684756642E-2</v>
      </c>
      <c r="CM13" s="7">
        <f t="shared" si="2"/>
        <v>2.7062304443338427E-3</v>
      </c>
      <c r="CN13" s="7">
        <f t="shared" si="2"/>
        <v>4.6288709683154905E-3</v>
      </c>
      <c r="CO13" s="7">
        <f t="shared" si="2"/>
        <v>3.6334553157072571E-3</v>
      </c>
      <c r="CP13" s="7">
        <f t="shared" si="2"/>
        <v>8.5928775877290899E-3</v>
      </c>
      <c r="CQ13" s="7">
        <f t="shared" si="2"/>
        <v>1.8951644038637271E-2</v>
      </c>
      <c r="CR13" s="7">
        <f t="shared" si="2"/>
        <v>8.9759144062833047E-4</v>
      </c>
      <c r="CS13" s="7">
        <f t="shared" si="2"/>
        <v>3.1224240084575558E-3</v>
      </c>
      <c r="CT13" s="7">
        <f t="shared" si="2"/>
        <v>8.2317106091032662E-4</v>
      </c>
      <c r="CU13" s="7">
        <f t="shared" ref="CU13:DZ13" si="3">(CU3-CU9)^2</f>
        <v>6.0641428859623484E-3</v>
      </c>
      <c r="CV13" s="7">
        <f t="shared" si="3"/>
        <v>2.1320290874023056E-3</v>
      </c>
      <c r="CW13" s="7">
        <f t="shared" si="3"/>
        <v>2.2166447811572091E-6</v>
      </c>
      <c r="CX13" s="7">
        <f t="shared" si="3"/>
        <v>1.0000613438025059E-2</v>
      </c>
      <c r="CY13" s="7">
        <f t="shared" si="3"/>
        <v>3.4401902182973122E-3</v>
      </c>
      <c r="CZ13" s="7">
        <f t="shared" si="3"/>
        <v>3.3242797906358999E-2</v>
      </c>
      <c r="DA13" s="7">
        <f t="shared" si="3"/>
        <v>1.0501524901709282E-2</v>
      </c>
      <c r="DB13" s="7">
        <f t="shared" si="3"/>
        <v>2.8544547184288158E-3</v>
      </c>
      <c r="DC13" s="7">
        <f t="shared" si="3"/>
        <v>5.7794473643209806E-3</v>
      </c>
      <c r="DD13" s="7">
        <f t="shared" si="3"/>
        <v>1.2529659470906641E-3</v>
      </c>
      <c r="DE13" s="7">
        <f t="shared" si="3"/>
        <v>1.8398674641594676E-3</v>
      </c>
      <c r="DF13" s="7">
        <f t="shared" si="3"/>
        <v>1.6800389933388728E-3</v>
      </c>
      <c r="DG13" s="7">
        <f t="shared" si="3"/>
        <v>1.2851021218355229E-2</v>
      </c>
      <c r="DH13" s="7">
        <f t="shared" si="3"/>
        <v>3.676304924673184E-3</v>
      </c>
      <c r="DI13" s="7">
        <f t="shared" si="3"/>
        <v>1.9156903334821073E-2</v>
      </c>
      <c r="DJ13" s="7">
        <f t="shared" si="3"/>
        <v>3.5874753230731818E-5</v>
      </c>
      <c r="DK13" s="7">
        <f t="shared" si="3"/>
        <v>7.3739390789208901E-3</v>
      </c>
      <c r="DL13" s="7">
        <f t="shared" si="3"/>
        <v>1.3860696400704781E-3</v>
      </c>
      <c r="DM13" s="7">
        <f t="shared" si="3"/>
        <v>4.3091396783038272E-3</v>
      </c>
      <c r="DN13" s="7">
        <f t="shared" si="3"/>
        <v>6.2359839943271003E-3</v>
      </c>
      <c r="DO13" s="7">
        <f t="shared" si="3"/>
        <v>6.9914120169814009E-5</v>
      </c>
      <c r="DP13" s="7">
        <f t="shared" si="3"/>
        <v>2.4467360170529044E-3</v>
      </c>
      <c r="DQ13" s="7">
        <f t="shared" si="3"/>
        <v>2.1605474223694927E-2</v>
      </c>
      <c r="DR13" s="7">
        <f t="shared" si="3"/>
        <v>3.6257605275531149E-3</v>
      </c>
      <c r="DS13" s="7">
        <f t="shared" si="3"/>
        <v>1.1798914078723773E-2</v>
      </c>
      <c r="DT13" s="7">
        <f t="shared" si="3"/>
        <v>1.7177890780536317E-2</v>
      </c>
      <c r="DU13" s="7">
        <f t="shared" si="3"/>
        <v>4.4184154618383183E-4</v>
      </c>
      <c r="DV13" s="7">
        <f t="shared" si="3"/>
        <v>1.1832322834727068E-2</v>
      </c>
      <c r="DW13" s="7">
        <f t="shared" si="3"/>
        <v>3.5489801359718095E-3</v>
      </c>
      <c r="DX13" s="7">
        <f t="shared" si="3"/>
        <v>1.8517266719152714E-2</v>
      </c>
      <c r="DY13" s="7">
        <f t="shared" si="3"/>
        <v>2.7566629698304542E-3</v>
      </c>
      <c r="DZ13" s="7">
        <f t="shared" si="3"/>
        <v>3.616633400846986E-3</v>
      </c>
      <c r="EA13" s="7">
        <f t="shared" ref="EA13:EG13" si="4">(EA3-EA9)^2</f>
        <v>1.6876789500486301E-2</v>
      </c>
      <c r="EB13" s="7">
        <f t="shared" si="4"/>
        <v>7.3047400107600425E-4</v>
      </c>
      <c r="EC13" s="7">
        <f t="shared" si="4"/>
        <v>1.6517997946211668E-3</v>
      </c>
      <c r="ED13" s="7">
        <f t="shared" si="4"/>
        <v>3.6696590205193523E-2</v>
      </c>
      <c r="EE13" s="7">
        <f t="shared" si="4"/>
        <v>2.926419672873294E-3</v>
      </c>
      <c r="EF13" s="7">
        <f t="shared" si="4"/>
        <v>1.4751064845341983E-3</v>
      </c>
      <c r="EG13" s="7">
        <f t="shared" si="4"/>
        <v>2.0252323028349079E-2</v>
      </c>
    </row>
    <row r="14" spans="1:137" x14ac:dyDescent="0.3">
      <c r="B14" s="1" t="s">
        <v>138</v>
      </c>
      <c r="C14" s="7">
        <f t="shared" ref="C14:AH14" si="5">(C4-C10)^2</f>
        <v>3.9175644269373755E-2</v>
      </c>
      <c r="D14" s="7">
        <f t="shared" si="5"/>
        <v>4.4200790352970531E-2</v>
      </c>
      <c r="E14" s="7">
        <f t="shared" si="5"/>
        <v>1.2446813427734085E-4</v>
      </c>
      <c r="F14" s="7">
        <f t="shared" si="5"/>
        <v>9.8682128065271171E-3</v>
      </c>
      <c r="G14" s="7">
        <f t="shared" si="5"/>
        <v>5.3660238871035932E-4</v>
      </c>
      <c r="H14" s="7">
        <f t="shared" si="5"/>
        <v>4.4366190268049083E-3</v>
      </c>
      <c r="I14" s="7">
        <f t="shared" si="5"/>
        <v>1.1335483371339697E-3</v>
      </c>
      <c r="J14" s="7">
        <f t="shared" si="5"/>
        <v>1.5603732868216454E-2</v>
      </c>
      <c r="K14" s="7">
        <f t="shared" si="5"/>
        <v>1.3798751794180235E-4</v>
      </c>
      <c r="L14" s="7">
        <f t="shared" si="5"/>
        <v>1.6697441339335817E-2</v>
      </c>
      <c r="M14" s="7">
        <f t="shared" si="5"/>
        <v>2.4556899043494618E-4</v>
      </c>
      <c r="N14" s="7">
        <f t="shared" si="5"/>
        <v>3.1112308791386926E-2</v>
      </c>
      <c r="O14" s="7">
        <f t="shared" si="5"/>
        <v>4.0874572462974864E-4</v>
      </c>
      <c r="P14" s="7">
        <f t="shared" si="5"/>
        <v>1.2881283911286994E-2</v>
      </c>
      <c r="Q14" s="7">
        <f t="shared" si="5"/>
        <v>1.121503823372956E-3</v>
      </c>
      <c r="R14" s="7">
        <f t="shared" si="5"/>
        <v>2.5188965042704558E-3</v>
      </c>
      <c r="S14" s="7">
        <f t="shared" si="5"/>
        <v>1.745279291590799E-2</v>
      </c>
      <c r="T14" s="7">
        <f t="shared" si="5"/>
        <v>2.4928798988249315E-3</v>
      </c>
      <c r="U14" s="7">
        <f t="shared" si="5"/>
        <v>2.7919212143956646E-3</v>
      </c>
      <c r="V14" s="7">
        <f t="shared" si="5"/>
        <v>1.2836474638295895E-3</v>
      </c>
      <c r="W14" s="7">
        <f t="shared" si="5"/>
        <v>1.0467287615892816E-2</v>
      </c>
      <c r="X14" s="7">
        <f t="shared" si="5"/>
        <v>9.6017843416955958E-5</v>
      </c>
      <c r="Y14" s="7">
        <f t="shared" si="5"/>
        <v>1.4699466732228318E-3</v>
      </c>
      <c r="Z14" s="7">
        <f t="shared" si="5"/>
        <v>8.9902372187629842E-4</v>
      </c>
      <c r="AA14" s="7">
        <f t="shared" si="5"/>
        <v>5.6820194858651545E-3</v>
      </c>
      <c r="AB14" s="7">
        <f t="shared" si="5"/>
        <v>2.2068825013907807E-4</v>
      </c>
      <c r="AC14" s="7">
        <f t="shared" si="5"/>
        <v>6.0868334489718769E-4</v>
      </c>
      <c r="AD14" s="7">
        <f t="shared" si="5"/>
        <v>1.0907460839452304E-3</v>
      </c>
      <c r="AE14" s="7">
        <f t="shared" si="5"/>
        <v>2.9856599119717348E-2</v>
      </c>
      <c r="AF14" s="7">
        <f t="shared" si="5"/>
        <v>9.7868536792326041E-3</v>
      </c>
      <c r="AG14" s="7">
        <f t="shared" si="5"/>
        <v>3.2832331170464627E-5</v>
      </c>
      <c r="AH14" s="7">
        <f t="shared" si="5"/>
        <v>4.0588321407821138E-4</v>
      </c>
      <c r="AI14" s="7">
        <f t="shared" ref="AI14:BN14" si="6">(AI4-AI10)^2</f>
        <v>4.3870203277319476E-4</v>
      </c>
      <c r="AJ14" s="7">
        <f t="shared" si="6"/>
        <v>7.0220362588522135E-4</v>
      </c>
      <c r="AK14" s="7">
        <f t="shared" si="6"/>
        <v>5.3974909681424636E-4</v>
      </c>
      <c r="AL14" s="7">
        <f t="shared" si="6"/>
        <v>6.5811935076129126E-3</v>
      </c>
      <c r="AM14" s="7">
        <f t="shared" si="6"/>
        <v>1.0802205745972615E-4</v>
      </c>
      <c r="AN14" s="7">
        <f t="shared" si="6"/>
        <v>8.9666685151176869E-3</v>
      </c>
      <c r="AO14" s="7">
        <f t="shared" si="6"/>
        <v>4.0830587645303951E-4</v>
      </c>
      <c r="AP14" s="7">
        <f t="shared" si="6"/>
        <v>4.8674703019560767E-4</v>
      </c>
      <c r="AQ14" s="7">
        <f t="shared" si="6"/>
        <v>3.5250293848851527E-3</v>
      </c>
      <c r="AR14" s="7">
        <f t="shared" si="6"/>
        <v>4.9521885777286685E-3</v>
      </c>
      <c r="AS14" s="7">
        <f t="shared" si="6"/>
        <v>4.1856946508117374E-6</v>
      </c>
      <c r="AT14" s="7">
        <f t="shared" si="6"/>
        <v>1.3173546496325774E-4</v>
      </c>
      <c r="AU14" s="7">
        <f t="shared" si="6"/>
        <v>1.9310016760507465E-2</v>
      </c>
      <c r="AV14" s="7">
        <f t="shared" si="6"/>
        <v>1.3484600303550057E-3</v>
      </c>
      <c r="AW14" s="7">
        <f t="shared" si="6"/>
        <v>8.9045707702789815E-5</v>
      </c>
      <c r="AX14" s="7">
        <f t="shared" si="6"/>
        <v>3.53346262780251E-4</v>
      </c>
      <c r="AY14" s="7">
        <f t="shared" si="6"/>
        <v>2.8348395005948711E-3</v>
      </c>
      <c r="AZ14" s="7">
        <f t="shared" si="6"/>
        <v>1.3959226678496167E-2</v>
      </c>
      <c r="BA14" s="7">
        <f t="shared" si="6"/>
        <v>1.1551489377154403E-2</v>
      </c>
      <c r="BB14" s="7">
        <f t="shared" si="6"/>
        <v>1.4959700995582914E-3</v>
      </c>
      <c r="BC14" s="7">
        <f t="shared" si="6"/>
        <v>2.2780406351339513E-3</v>
      </c>
      <c r="BD14" s="7">
        <f t="shared" si="6"/>
        <v>8.5814766124508515E-3</v>
      </c>
      <c r="BE14" s="7">
        <f t="shared" si="6"/>
        <v>2.7795296139707899E-2</v>
      </c>
      <c r="BF14" s="7">
        <f t="shared" si="6"/>
        <v>4.2605715815932409E-3</v>
      </c>
      <c r="BG14" s="7">
        <f t="shared" si="6"/>
        <v>1.0178929410137656E-4</v>
      </c>
      <c r="BH14" s="7">
        <f t="shared" si="6"/>
        <v>4.2394967172838345E-3</v>
      </c>
      <c r="BI14" s="7">
        <f t="shared" si="6"/>
        <v>3.9057563922559801E-3</v>
      </c>
      <c r="BJ14" s="7">
        <f t="shared" si="6"/>
        <v>6.3278817754078252E-3</v>
      </c>
      <c r="BK14" s="7">
        <f t="shared" si="6"/>
        <v>1.3712854958125978E-2</v>
      </c>
      <c r="BL14" s="7">
        <f t="shared" si="6"/>
        <v>1.7746900743427152E-4</v>
      </c>
      <c r="BM14" s="7">
        <f t="shared" si="6"/>
        <v>6.5060688733550491E-3</v>
      </c>
      <c r="BN14" s="7">
        <f t="shared" si="6"/>
        <v>9.0433539745741719E-3</v>
      </c>
      <c r="BO14" s="7">
        <f t="shared" ref="BO14:CT14" si="7">(BO4-BO10)^2</f>
        <v>1.4728522402663308E-6</v>
      </c>
      <c r="BP14" s="7">
        <f t="shared" si="7"/>
        <v>1.4138774864529349E-2</v>
      </c>
      <c r="BQ14" s="7">
        <f t="shared" si="7"/>
        <v>7.4961362961495977E-4</v>
      </c>
      <c r="BR14" s="7">
        <f t="shared" si="7"/>
        <v>2.4192562968297993E-3</v>
      </c>
      <c r="BS14" s="7">
        <f t="shared" si="7"/>
        <v>3.0570806927332135E-3</v>
      </c>
      <c r="BT14" s="7">
        <f t="shared" si="7"/>
        <v>1.3216390094427793E-2</v>
      </c>
      <c r="BU14" s="7">
        <f t="shared" si="7"/>
        <v>1.6933073797895184E-2</v>
      </c>
      <c r="BV14" s="7">
        <f t="shared" si="7"/>
        <v>8.7584359810285988E-3</v>
      </c>
      <c r="BW14" s="7">
        <f t="shared" si="7"/>
        <v>1.3308948800734874E-2</v>
      </c>
      <c r="BX14" s="7">
        <f t="shared" si="7"/>
        <v>9.5140679189656418E-4</v>
      </c>
      <c r="BY14" s="7">
        <f t="shared" si="7"/>
        <v>1.4542656412368878E-2</v>
      </c>
      <c r="BZ14" s="7">
        <f t="shared" si="7"/>
        <v>4.6326044742821823E-4</v>
      </c>
      <c r="CA14" s="7">
        <f t="shared" si="7"/>
        <v>4.2351850997595902E-3</v>
      </c>
      <c r="CB14" s="7">
        <f t="shared" si="7"/>
        <v>1.8366649364414154E-2</v>
      </c>
      <c r="CC14" s="7">
        <f t="shared" si="7"/>
        <v>8.9644665648134494E-4</v>
      </c>
      <c r="CD14" s="7">
        <f t="shared" si="7"/>
        <v>1.7090151074337122E-3</v>
      </c>
      <c r="CE14" s="7">
        <f t="shared" si="7"/>
        <v>4.2627124443387399E-2</v>
      </c>
      <c r="CF14" s="7">
        <f t="shared" si="7"/>
        <v>8.8211064278138525E-3</v>
      </c>
      <c r="CG14" s="7">
        <f t="shared" si="7"/>
        <v>3.3169179063906678E-3</v>
      </c>
      <c r="CH14" s="7">
        <f t="shared" si="7"/>
        <v>5.7954533822292937E-4</v>
      </c>
      <c r="CI14" s="7">
        <f t="shared" si="7"/>
        <v>4.3112919574686617E-3</v>
      </c>
      <c r="CJ14" s="7">
        <f t="shared" si="7"/>
        <v>6.7930092833262665E-5</v>
      </c>
      <c r="CK14" s="7">
        <f t="shared" si="7"/>
        <v>3.5757565783185578E-3</v>
      </c>
      <c r="CL14" s="7">
        <f t="shared" si="7"/>
        <v>8.3294905785859903E-4</v>
      </c>
      <c r="CM14" s="7">
        <f t="shared" si="7"/>
        <v>3.9255579935579994E-2</v>
      </c>
      <c r="CN14" s="7">
        <f t="shared" si="7"/>
        <v>2.4963678379687658E-3</v>
      </c>
      <c r="CO14" s="7">
        <f t="shared" si="7"/>
        <v>2.0613731338723906E-2</v>
      </c>
      <c r="CP14" s="7">
        <f t="shared" si="7"/>
        <v>5.2125630545471592E-3</v>
      </c>
      <c r="CQ14" s="7">
        <f t="shared" si="7"/>
        <v>3.2586458133545347E-2</v>
      </c>
      <c r="CR14" s="7">
        <f t="shared" si="7"/>
        <v>4.8238598039694316E-3</v>
      </c>
      <c r="CS14" s="7">
        <f t="shared" si="7"/>
        <v>3.8989432314765745E-6</v>
      </c>
      <c r="CT14" s="7">
        <f t="shared" si="7"/>
        <v>8.3338596720373571E-3</v>
      </c>
      <c r="CU14" s="7">
        <f t="shared" ref="CU14:DZ14" si="8">(CU4-CU10)^2</f>
        <v>1.4140106131453811E-3</v>
      </c>
      <c r="CV14" s="7">
        <f t="shared" si="8"/>
        <v>4.1360419784279979E-4</v>
      </c>
      <c r="CW14" s="7">
        <f t="shared" si="8"/>
        <v>1.3035996631558103E-3</v>
      </c>
      <c r="CX14" s="7">
        <f t="shared" si="8"/>
        <v>7.3090094521827209E-3</v>
      </c>
      <c r="CY14" s="7">
        <f t="shared" si="8"/>
        <v>5.0291966692893103E-3</v>
      </c>
      <c r="CZ14" s="7">
        <f t="shared" si="8"/>
        <v>3.2444440397064019E-2</v>
      </c>
      <c r="DA14" s="7">
        <f t="shared" si="8"/>
        <v>4.4538504075452212E-3</v>
      </c>
      <c r="DB14" s="7">
        <f t="shared" si="8"/>
        <v>2.1343943092456824E-2</v>
      </c>
      <c r="DC14" s="7">
        <f t="shared" si="8"/>
        <v>2.5032898092659885E-3</v>
      </c>
      <c r="DD14" s="7">
        <f t="shared" si="8"/>
        <v>2.0920422642574737E-2</v>
      </c>
      <c r="DE14" s="7">
        <f t="shared" si="8"/>
        <v>1.3471457365169208E-2</v>
      </c>
      <c r="DF14" s="7">
        <f t="shared" si="8"/>
        <v>1.9514158896816413E-2</v>
      </c>
      <c r="DG14" s="7">
        <f t="shared" si="8"/>
        <v>6.63013835490949E-2</v>
      </c>
      <c r="DH14" s="7">
        <f t="shared" si="8"/>
        <v>1.8460535749105222E-2</v>
      </c>
      <c r="DI14" s="7">
        <f t="shared" si="8"/>
        <v>6.9304296293935608E-3</v>
      </c>
      <c r="DJ14" s="7">
        <f t="shared" si="8"/>
        <v>3.9478447042668252E-3</v>
      </c>
      <c r="DK14" s="7">
        <f t="shared" si="8"/>
        <v>1.4599075620800293E-2</v>
      </c>
      <c r="DL14" s="7">
        <f t="shared" si="8"/>
        <v>6.9484280904047067E-4</v>
      </c>
      <c r="DM14" s="7">
        <f t="shared" si="8"/>
        <v>1.0109860400483563E-2</v>
      </c>
      <c r="DN14" s="7">
        <f t="shared" si="8"/>
        <v>5.2885363016682077E-4</v>
      </c>
      <c r="DO14" s="7">
        <f t="shared" si="8"/>
        <v>5.5659979183301442E-3</v>
      </c>
      <c r="DP14" s="7">
        <f t="shared" si="8"/>
        <v>1.0221529562949253E-2</v>
      </c>
      <c r="DQ14" s="7">
        <f t="shared" si="8"/>
        <v>7.449962936409333E-3</v>
      </c>
      <c r="DR14" s="7">
        <f t="shared" si="8"/>
        <v>9.2233763004232017E-5</v>
      </c>
      <c r="DS14" s="7">
        <f t="shared" si="8"/>
        <v>1.7119260981561159E-2</v>
      </c>
      <c r="DT14" s="7">
        <f t="shared" si="8"/>
        <v>1.4309594095382563E-3</v>
      </c>
      <c r="DU14" s="7">
        <f t="shared" si="8"/>
        <v>4.0557016597374679E-2</v>
      </c>
      <c r="DV14" s="7">
        <f t="shared" si="8"/>
        <v>2.7040590626861564E-4</v>
      </c>
      <c r="DW14" s="7">
        <f t="shared" si="8"/>
        <v>6.9335189314339825E-3</v>
      </c>
      <c r="DX14" s="7">
        <f t="shared" si="8"/>
        <v>6.5815346207697301E-4</v>
      </c>
      <c r="DY14" s="7">
        <f t="shared" si="8"/>
        <v>5.4181294632484594E-3</v>
      </c>
      <c r="DZ14" s="7">
        <f t="shared" si="8"/>
        <v>1.4595696137373736E-3</v>
      </c>
      <c r="EA14" s="7">
        <f t="shared" ref="EA14:EG14" si="9">(EA4-EA10)^2</f>
        <v>8.9357957746704665E-3</v>
      </c>
      <c r="EB14" s="7">
        <f t="shared" si="9"/>
        <v>7.9786177940049886E-4</v>
      </c>
      <c r="EC14" s="7">
        <f t="shared" si="9"/>
        <v>8.5553796447068627E-3</v>
      </c>
      <c r="ED14" s="7">
        <f t="shared" si="9"/>
        <v>4.2904602823733489E-3</v>
      </c>
      <c r="EE14" s="7">
        <f t="shared" si="9"/>
        <v>3.2671846836402833E-2</v>
      </c>
      <c r="EF14" s="7">
        <f t="shared" si="9"/>
        <v>1.3400178420845659E-2</v>
      </c>
      <c r="EG14" s="7">
        <f t="shared" si="9"/>
        <v>2.526811904387603E-2</v>
      </c>
    </row>
    <row r="15" spans="1:137" x14ac:dyDescent="0.3">
      <c r="B15" s="1" t="s">
        <v>139</v>
      </c>
      <c r="C15" s="7">
        <f t="shared" ref="C15:AH15" si="10">(C5-C11)^2</f>
        <v>3.3445774266807797E-3</v>
      </c>
      <c r="D15" s="7">
        <f t="shared" si="10"/>
        <v>1.8054664086030437E-3</v>
      </c>
      <c r="E15" s="7">
        <f t="shared" si="10"/>
        <v>6.6375830113139746E-4</v>
      </c>
      <c r="F15" s="7">
        <f t="shared" si="10"/>
        <v>9.0494721488881286E-3</v>
      </c>
      <c r="G15" s="7">
        <f t="shared" si="10"/>
        <v>1.0594347934893892E-2</v>
      </c>
      <c r="H15" s="7">
        <f t="shared" si="10"/>
        <v>4.3889857583746603E-5</v>
      </c>
      <c r="I15" s="7">
        <f t="shared" si="10"/>
        <v>9.1852463310217376E-4</v>
      </c>
      <c r="J15" s="7">
        <f t="shared" si="10"/>
        <v>2.6129282932566526E-4</v>
      </c>
      <c r="K15" s="7">
        <f t="shared" si="10"/>
        <v>3.6804070853811116E-3</v>
      </c>
      <c r="L15" s="7">
        <f t="shared" si="10"/>
        <v>9.7172651042362474E-5</v>
      </c>
      <c r="M15" s="7">
        <f t="shared" si="10"/>
        <v>1.1492225233322643E-3</v>
      </c>
      <c r="N15" s="7">
        <f t="shared" si="10"/>
        <v>7.7513430173740162E-3</v>
      </c>
      <c r="O15" s="7">
        <f t="shared" si="10"/>
        <v>2.6515058242642512E-3</v>
      </c>
      <c r="P15" s="7">
        <f t="shared" si="10"/>
        <v>1.6274225659941441E-4</v>
      </c>
      <c r="Q15" s="7">
        <f t="shared" si="10"/>
        <v>3.6973425509449717E-5</v>
      </c>
      <c r="R15" s="7">
        <f t="shared" si="10"/>
        <v>3.5822169819186639E-4</v>
      </c>
      <c r="S15" s="7">
        <f t="shared" si="10"/>
        <v>4.0027821594814934E-4</v>
      </c>
      <c r="T15" s="7">
        <f t="shared" si="10"/>
        <v>1.2837734447198887E-2</v>
      </c>
      <c r="U15" s="7">
        <f t="shared" si="10"/>
        <v>1.500202959968062E-4</v>
      </c>
      <c r="V15" s="7">
        <f t="shared" si="10"/>
        <v>1.9233855709457144E-5</v>
      </c>
      <c r="W15" s="7">
        <f t="shared" si="10"/>
        <v>1.8870996976421663E-2</v>
      </c>
      <c r="X15" s="7">
        <f t="shared" si="10"/>
        <v>0.10411550050746329</v>
      </c>
      <c r="Y15" s="7">
        <f t="shared" si="10"/>
        <v>9.083713280516971E-3</v>
      </c>
      <c r="Z15" s="7">
        <f t="shared" si="10"/>
        <v>3.2087745428731392E-2</v>
      </c>
      <c r="AA15" s="7">
        <f t="shared" si="10"/>
        <v>1.2564306816642543E-2</v>
      </c>
      <c r="AB15" s="7">
        <f t="shared" si="10"/>
        <v>2.4282364518411199E-3</v>
      </c>
      <c r="AC15" s="7">
        <f t="shared" si="10"/>
        <v>8.926817581861755E-3</v>
      </c>
      <c r="AD15" s="7">
        <f t="shared" si="10"/>
        <v>4.8304550069429748E-3</v>
      </c>
      <c r="AE15" s="7">
        <f t="shared" si="10"/>
        <v>3.8941554416002042E-2</v>
      </c>
      <c r="AF15" s="7">
        <f t="shared" si="10"/>
        <v>2.6896794555651769E-2</v>
      </c>
      <c r="AG15" s="7">
        <f t="shared" si="10"/>
        <v>2.101634157510987E-4</v>
      </c>
      <c r="AH15" s="7">
        <f t="shared" si="10"/>
        <v>4.1404488440995593E-6</v>
      </c>
      <c r="AI15" s="7">
        <f t="shared" ref="AI15:BN15" si="11">(AI5-AI11)^2</f>
        <v>5.4206397290241495E-4</v>
      </c>
      <c r="AJ15" s="7">
        <f t="shared" si="11"/>
        <v>7.9054923488952036E-4</v>
      </c>
      <c r="AK15" s="7">
        <f t="shared" si="11"/>
        <v>2.9607405422707876E-3</v>
      </c>
      <c r="AL15" s="7">
        <f t="shared" si="11"/>
        <v>9.9372479680188038E-3</v>
      </c>
      <c r="AM15" s="7">
        <f t="shared" si="11"/>
        <v>6.4910418381203142E-4</v>
      </c>
      <c r="AN15" s="7">
        <f t="shared" si="11"/>
        <v>3.1526896347508428E-3</v>
      </c>
      <c r="AO15" s="7">
        <f t="shared" si="11"/>
        <v>4.5783229756529318E-3</v>
      </c>
      <c r="AP15" s="7">
        <f t="shared" si="11"/>
        <v>9.5514986292402257E-4</v>
      </c>
      <c r="AQ15" s="7">
        <f t="shared" si="11"/>
        <v>1.0923650811337983E-4</v>
      </c>
      <c r="AR15" s="7">
        <f t="shared" si="11"/>
        <v>1.0563164667923733E-3</v>
      </c>
      <c r="AS15" s="7">
        <f t="shared" si="11"/>
        <v>1.5151188576839408E-3</v>
      </c>
      <c r="AT15" s="7">
        <f t="shared" si="11"/>
        <v>1.9677657021547636E-2</v>
      </c>
      <c r="AU15" s="7">
        <f t="shared" si="11"/>
        <v>2.5855158135816288E-3</v>
      </c>
      <c r="AV15" s="7">
        <f t="shared" si="11"/>
        <v>1.6338245348061154E-2</v>
      </c>
      <c r="AW15" s="7">
        <f t="shared" si="11"/>
        <v>2.1608302637360914E-3</v>
      </c>
      <c r="AX15" s="7">
        <f t="shared" si="11"/>
        <v>2.6138748985644712E-2</v>
      </c>
      <c r="AY15" s="7">
        <f t="shared" si="11"/>
        <v>3.7948809946807063E-3</v>
      </c>
      <c r="AZ15" s="7">
        <f t="shared" si="11"/>
        <v>4.8683940311457586E-3</v>
      </c>
      <c r="BA15" s="7">
        <f t="shared" si="11"/>
        <v>8.7970058863424144E-5</v>
      </c>
      <c r="BB15" s="7">
        <f t="shared" si="11"/>
        <v>2.435384022378765E-2</v>
      </c>
      <c r="BC15" s="7">
        <f t="shared" si="11"/>
        <v>3.936736049193112E-3</v>
      </c>
      <c r="BD15" s="7">
        <f t="shared" si="11"/>
        <v>2.376649395190964E-4</v>
      </c>
      <c r="BE15" s="7">
        <f t="shared" si="11"/>
        <v>2.0820604248184982E-2</v>
      </c>
      <c r="BF15" s="7">
        <f t="shared" si="11"/>
        <v>4.3145661869509189E-2</v>
      </c>
      <c r="BG15" s="7">
        <f t="shared" si="11"/>
        <v>3.2663034532763847E-2</v>
      </c>
      <c r="BH15" s="7">
        <f t="shared" si="11"/>
        <v>5.4353464337775492E-3</v>
      </c>
      <c r="BI15" s="7">
        <f t="shared" si="11"/>
        <v>3.8768124844020596E-3</v>
      </c>
      <c r="BJ15" s="7">
        <f t="shared" si="11"/>
        <v>1.9438610178895154E-4</v>
      </c>
      <c r="BK15" s="7">
        <f t="shared" si="11"/>
        <v>2.1129429583325377E-5</v>
      </c>
      <c r="BL15" s="7">
        <f t="shared" si="11"/>
        <v>2.3920910173574735E-2</v>
      </c>
      <c r="BM15" s="7">
        <f t="shared" si="11"/>
        <v>2.9132825127745929E-2</v>
      </c>
      <c r="BN15" s="7">
        <f t="shared" si="11"/>
        <v>6.6922890830006234E-4</v>
      </c>
      <c r="BO15" s="7">
        <f t="shared" ref="BO15:CT15" si="12">(BO5-BO11)^2</f>
        <v>8.3168599013039746E-4</v>
      </c>
      <c r="BP15" s="7">
        <f t="shared" si="12"/>
        <v>2.1403162596611543E-3</v>
      </c>
      <c r="BQ15" s="7">
        <f t="shared" si="12"/>
        <v>5.774657014534474E-4</v>
      </c>
      <c r="BR15" s="7">
        <f t="shared" si="12"/>
        <v>3.3939687301992531E-2</v>
      </c>
      <c r="BS15" s="7">
        <f t="shared" si="12"/>
        <v>1.2788384898096637E-2</v>
      </c>
      <c r="BT15" s="7">
        <f t="shared" si="12"/>
        <v>1.2479164126446875E-3</v>
      </c>
      <c r="BU15" s="7">
        <f t="shared" si="12"/>
        <v>2.4110648486338859E-3</v>
      </c>
      <c r="BV15" s="7">
        <f t="shared" si="12"/>
        <v>1.5252129602537818E-2</v>
      </c>
      <c r="BW15" s="7">
        <f t="shared" si="12"/>
        <v>2.152248840096144E-2</v>
      </c>
      <c r="BX15" s="7">
        <f t="shared" si="12"/>
        <v>8.2130938930655052E-6</v>
      </c>
      <c r="BY15" s="7">
        <f t="shared" si="12"/>
        <v>1.8105795794529107E-2</v>
      </c>
      <c r="BZ15" s="7">
        <f t="shared" si="12"/>
        <v>9.2018028752670865E-4</v>
      </c>
      <c r="CA15" s="7">
        <f t="shared" si="12"/>
        <v>7.9607957630029003E-4</v>
      </c>
      <c r="CB15" s="7">
        <f t="shared" si="12"/>
        <v>3.3874008345532937E-3</v>
      </c>
      <c r="CC15" s="7">
        <f t="shared" si="12"/>
        <v>2.2890411845555001E-3</v>
      </c>
      <c r="CD15" s="7">
        <f t="shared" si="12"/>
        <v>5.9071885840278459E-3</v>
      </c>
      <c r="CE15" s="7">
        <f t="shared" si="12"/>
        <v>7.0262074370944947E-3</v>
      </c>
      <c r="CF15" s="7">
        <f t="shared" si="12"/>
        <v>1.2464239991566077E-6</v>
      </c>
      <c r="CG15" s="7">
        <f t="shared" si="12"/>
        <v>1.3799186375289062E-2</v>
      </c>
      <c r="CH15" s="7">
        <f t="shared" si="12"/>
        <v>6.1526903071588534E-4</v>
      </c>
      <c r="CI15" s="7">
        <f t="shared" si="12"/>
        <v>4.7438113673342807E-3</v>
      </c>
      <c r="CJ15" s="7">
        <f t="shared" si="12"/>
        <v>5.6612035000661698E-2</v>
      </c>
      <c r="CK15" s="7">
        <f t="shared" si="12"/>
        <v>1.7975617261428788E-2</v>
      </c>
      <c r="CL15" s="7">
        <f t="shared" si="12"/>
        <v>1.7382733940297865E-2</v>
      </c>
      <c r="CM15" s="7">
        <f t="shared" si="12"/>
        <v>1.3877790570487415E-2</v>
      </c>
      <c r="CN15" s="7">
        <f t="shared" si="12"/>
        <v>4.8671296218745615E-2</v>
      </c>
      <c r="CO15" s="7">
        <f t="shared" si="12"/>
        <v>1.4801271417349085E-2</v>
      </c>
      <c r="CP15" s="7">
        <f t="shared" si="12"/>
        <v>6.6792360757934757E-4</v>
      </c>
      <c r="CQ15" s="7">
        <f t="shared" si="12"/>
        <v>4.6758338125014877E-2</v>
      </c>
      <c r="CR15" s="7">
        <f t="shared" si="12"/>
        <v>1.7629611659978825E-2</v>
      </c>
      <c r="CS15" s="7">
        <f t="shared" si="12"/>
        <v>8.9706984047041964E-3</v>
      </c>
      <c r="CT15" s="7">
        <f t="shared" si="12"/>
        <v>6.1942351292729625E-4</v>
      </c>
      <c r="CU15" s="7">
        <f t="shared" ref="CU15:DZ15" si="13">(CU5-CU11)^2</f>
        <v>8.0203931133498579E-2</v>
      </c>
      <c r="CV15" s="7">
        <f t="shared" si="13"/>
        <v>7.2106562465344665E-2</v>
      </c>
      <c r="CW15" s="7">
        <f t="shared" si="13"/>
        <v>1.1018731683034945E-2</v>
      </c>
      <c r="CX15" s="7">
        <f t="shared" si="13"/>
        <v>1.6671842624490969E-2</v>
      </c>
      <c r="CY15" s="7">
        <f t="shared" si="13"/>
        <v>7.5080455872947507E-3</v>
      </c>
      <c r="CZ15" s="7">
        <f t="shared" si="13"/>
        <v>2.2642905508848885E-3</v>
      </c>
      <c r="DA15" s="7">
        <f t="shared" si="13"/>
        <v>6.7667244806491958E-3</v>
      </c>
      <c r="DB15" s="7">
        <f t="shared" si="13"/>
        <v>2.1005570866122359E-2</v>
      </c>
      <c r="DC15" s="7">
        <f t="shared" si="13"/>
        <v>5.5949916095976481E-3</v>
      </c>
      <c r="DD15" s="7">
        <f t="shared" si="13"/>
        <v>3.0216446848658068E-2</v>
      </c>
      <c r="DE15" s="7">
        <f t="shared" si="13"/>
        <v>1.0562274257460825E-2</v>
      </c>
      <c r="DF15" s="7">
        <f t="shared" si="13"/>
        <v>4.3039402690599905E-3</v>
      </c>
      <c r="DG15" s="7">
        <f t="shared" si="13"/>
        <v>4.8223378571655512E-2</v>
      </c>
      <c r="DH15" s="7">
        <f t="shared" si="13"/>
        <v>5.8773693966677077E-3</v>
      </c>
      <c r="DI15" s="7">
        <f t="shared" si="13"/>
        <v>5.5908054671486469E-3</v>
      </c>
      <c r="DJ15" s="7">
        <f t="shared" si="13"/>
        <v>1.4534920469182819E-2</v>
      </c>
      <c r="DK15" s="7">
        <f t="shared" si="13"/>
        <v>1.5792128908244004E-5</v>
      </c>
      <c r="DL15" s="7">
        <f t="shared" si="13"/>
        <v>4.4166833407060201E-3</v>
      </c>
      <c r="DM15" s="7">
        <f t="shared" si="13"/>
        <v>3.0300033946846971E-4</v>
      </c>
      <c r="DN15" s="7">
        <f t="shared" si="13"/>
        <v>1.3460242828675223E-3</v>
      </c>
      <c r="DO15" s="7">
        <f t="shared" si="13"/>
        <v>1.0100799449732563E-2</v>
      </c>
      <c r="DP15" s="7">
        <f t="shared" si="13"/>
        <v>5.4383301566762111E-2</v>
      </c>
      <c r="DQ15" s="7">
        <f t="shared" si="13"/>
        <v>6.192573299961119E-2</v>
      </c>
      <c r="DR15" s="7">
        <f t="shared" si="13"/>
        <v>5.5051415422837567E-5</v>
      </c>
      <c r="DS15" s="7">
        <f t="shared" si="13"/>
        <v>1.8117402846172841E-2</v>
      </c>
      <c r="DT15" s="7">
        <f t="shared" si="13"/>
        <v>1.3195317902847772E-2</v>
      </c>
      <c r="DU15" s="7">
        <f t="shared" si="13"/>
        <v>9.3530108341017843E-3</v>
      </c>
      <c r="DV15" s="7">
        <f t="shared" si="13"/>
        <v>3.768525240520397E-3</v>
      </c>
      <c r="DW15" s="7">
        <f t="shared" si="13"/>
        <v>8.7135751244992257E-4</v>
      </c>
      <c r="DX15" s="7">
        <f t="shared" si="13"/>
        <v>2.9148659335190416E-3</v>
      </c>
      <c r="DY15" s="7">
        <f t="shared" si="13"/>
        <v>4.2781032468901482E-3</v>
      </c>
      <c r="DZ15" s="7">
        <f t="shared" si="13"/>
        <v>1.2602203824954987E-4</v>
      </c>
      <c r="EA15" s="7">
        <f t="shared" ref="EA15:EG15" si="14">(EA5-EA11)^2</f>
        <v>8.9644207206630799E-2</v>
      </c>
      <c r="EB15" s="7">
        <f t="shared" si="14"/>
        <v>1.5343091243110136E-2</v>
      </c>
      <c r="EC15" s="7">
        <f t="shared" si="14"/>
        <v>7.5284157412192242E-5</v>
      </c>
      <c r="ED15" s="7">
        <f t="shared" si="14"/>
        <v>4.5498816419546955E-3</v>
      </c>
      <c r="EE15" s="7">
        <f t="shared" si="14"/>
        <v>1.7540690875588103E-2</v>
      </c>
      <c r="EF15" s="7">
        <f t="shared" si="14"/>
        <v>6.8703278408362564E-3</v>
      </c>
      <c r="EG15" s="7">
        <f t="shared" si="14"/>
        <v>0</v>
      </c>
    </row>
    <row r="17" spans="1:137" x14ac:dyDescent="0.3">
      <c r="A17" t="s">
        <v>167</v>
      </c>
      <c r="B17" s="1" t="s">
        <v>137</v>
      </c>
      <c r="C17" s="7">
        <f t="shared" ref="C17:AH17" si="15">C9^2</f>
        <v>1.1904082139988901E-2</v>
      </c>
      <c r="D17" s="7">
        <f t="shared" si="15"/>
        <v>2.1247668449640001E-4</v>
      </c>
      <c r="E17" s="7">
        <f t="shared" si="15"/>
        <v>1.3071406393600003E-3</v>
      </c>
      <c r="F17" s="7">
        <f t="shared" si="15"/>
        <v>2.2492254759999996E-5</v>
      </c>
      <c r="G17" s="7">
        <f t="shared" si="15"/>
        <v>3.3037204839999999E-5</v>
      </c>
      <c r="H17" s="7">
        <f t="shared" si="15"/>
        <v>2.4381888591204002E-3</v>
      </c>
      <c r="I17" s="7">
        <f t="shared" si="15"/>
        <v>3.3581211208132906E-2</v>
      </c>
      <c r="J17" s="7">
        <f t="shared" si="15"/>
        <v>1.3569060417416099E-2</v>
      </c>
      <c r="K17" s="7">
        <f t="shared" si="15"/>
        <v>9.3604790601000006E-4</v>
      </c>
      <c r="L17" s="7">
        <f t="shared" si="15"/>
        <v>3.9315156680250001E-4</v>
      </c>
      <c r="M17" s="7">
        <f t="shared" si="15"/>
        <v>4.4095800100000003E-4</v>
      </c>
      <c r="N17" s="7">
        <f t="shared" si="15"/>
        <v>2.2433874655536399E-2</v>
      </c>
      <c r="O17" s="7">
        <f t="shared" si="15"/>
        <v>2.3911704882810002E-4</v>
      </c>
      <c r="P17" s="7">
        <f t="shared" si="15"/>
        <v>8.425826339289998E-3</v>
      </c>
      <c r="Q17" s="7">
        <f t="shared" si="15"/>
        <v>5.9921532810000011E-3</v>
      </c>
      <c r="R17" s="7">
        <f t="shared" si="15"/>
        <v>3.0004759075600001E-3</v>
      </c>
      <c r="S17" s="7">
        <f t="shared" si="15"/>
        <v>1.5708711823360002E-2</v>
      </c>
      <c r="T17" s="7">
        <f t="shared" si="15"/>
        <v>1.4173712051560001E-2</v>
      </c>
      <c r="U17" s="7">
        <f t="shared" si="15"/>
        <v>1.4265804540100002E-3</v>
      </c>
      <c r="V17" s="7">
        <f t="shared" si="15"/>
        <v>6.5908126297924002E-3</v>
      </c>
      <c r="W17" s="7">
        <f t="shared" si="15"/>
        <v>7.0575070404609004E-3</v>
      </c>
      <c r="X17" s="7">
        <f t="shared" si="15"/>
        <v>2.1612339969049602E-2</v>
      </c>
      <c r="Y17" s="7">
        <f t="shared" si="15"/>
        <v>1.5715254960250002E-2</v>
      </c>
      <c r="Z17" s="7">
        <f t="shared" si="15"/>
        <v>3.6846165357602503E-2</v>
      </c>
      <c r="AA17" s="7">
        <f t="shared" si="15"/>
        <v>7.118431892639999E-3</v>
      </c>
      <c r="AB17" s="7">
        <f t="shared" si="15"/>
        <v>5.3140615437121006E-3</v>
      </c>
      <c r="AC17" s="7">
        <f t="shared" si="15"/>
        <v>1.05276957327936E-2</v>
      </c>
      <c r="AD17" s="7">
        <f t="shared" si="15"/>
        <v>2.4869826182889997E-4</v>
      </c>
      <c r="AE17" s="7">
        <f t="shared" si="15"/>
        <v>2.3106188851840001E-2</v>
      </c>
      <c r="AF17" s="7">
        <f t="shared" si="15"/>
        <v>3.5105921250624997E-3</v>
      </c>
      <c r="AG17" s="7">
        <f t="shared" si="15"/>
        <v>1.6915301862145602E-2</v>
      </c>
      <c r="AH17" s="7">
        <f t="shared" si="15"/>
        <v>1.3284037740959998E-2</v>
      </c>
      <c r="AI17" s="7">
        <f t="shared" ref="AI17:BN17" si="16">AI9^2</f>
        <v>1.0631916678244002E-3</v>
      </c>
      <c r="AJ17" s="7">
        <f t="shared" si="16"/>
        <v>7.8395016079210007E-4</v>
      </c>
      <c r="AK17" s="7">
        <f t="shared" si="16"/>
        <v>2.1482888018976402E-2</v>
      </c>
      <c r="AL17" s="7">
        <f t="shared" si="16"/>
        <v>1.6680624292863997E-3</v>
      </c>
      <c r="AM17" s="7">
        <f t="shared" si="16"/>
        <v>1.7259750594376899E-2</v>
      </c>
      <c r="AN17" s="7">
        <f t="shared" si="16"/>
        <v>4.9032555774361608E-2</v>
      </c>
      <c r="AO17" s="7">
        <f t="shared" si="16"/>
        <v>4.3852548100000008E-4</v>
      </c>
      <c r="AP17" s="7">
        <f t="shared" si="16"/>
        <v>1.8812865600000003E-2</v>
      </c>
      <c r="AQ17" s="7">
        <f t="shared" si="16"/>
        <v>6.1915871240999999E-4</v>
      </c>
      <c r="AR17" s="7">
        <f t="shared" si="16"/>
        <v>2.4068326516090002E-4</v>
      </c>
      <c r="AS17" s="7">
        <f t="shared" si="16"/>
        <v>1.1815058788416E-3</v>
      </c>
      <c r="AT17" s="7">
        <f t="shared" si="16"/>
        <v>3.9810660965760997E-3</v>
      </c>
      <c r="AU17" s="7">
        <f t="shared" si="16"/>
        <v>1.8694987012899996E-3</v>
      </c>
      <c r="AV17" s="7">
        <f t="shared" si="16"/>
        <v>5.5101522841600001E-3</v>
      </c>
      <c r="AW17" s="7">
        <f t="shared" si="16"/>
        <v>7.8371050672889991E-4</v>
      </c>
      <c r="AX17" s="7">
        <f t="shared" si="16"/>
        <v>1.4367479181936401E-2</v>
      </c>
      <c r="AY17" s="7">
        <f t="shared" si="16"/>
        <v>5.861367758584899E-3</v>
      </c>
      <c r="AZ17" s="7">
        <f t="shared" si="16"/>
        <v>4.7221028416000004E-4</v>
      </c>
      <c r="BA17" s="7">
        <f t="shared" si="16"/>
        <v>1.5537622499999999E-6</v>
      </c>
      <c r="BB17" s="7">
        <f t="shared" si="16"/>
        <v>1.02001556574724E-2</v>
      </c>
      <c r="BC17" s="7">
        <f t="shared" si="16"/>
        <v>8.8964575322490009E-4</v>
      </c>
      <c r="BD17" s="7">
        <f t="shared" si="16"/>
        <v>7.5268985092899991E-5</v>
      </c>
      <c r="BE17" s="7">
        <f t="shared" si="16"/>
        <v>4.7000910429840989E-3</v>
      </c>
      <c r="BF17" s="7">
        <f t="shared" si="16"/>
        <v>2.4621564038760004E-2</v>
      </c>
      <c r="BG17" s="7">
        <f t="shared" si="16"/>
        <v>2.5345827645912897E-2</v>
      </c>
      <c r="BH17" s="7">
        <f t="shared" si="16"/>
        <v>3.7358585435889003E-3</v>
      </c>
      <c r="BI17" s="7">
        <f t="shared" si="16"/>
        <v>9.392100495122499E-3</v>
      </c>
      <c r="BJ17" s="7">
        <f t="shared" si="16"/>
        <v>2.9971464144400001E-3</v>
      </c>
      <c r="BK17" s="7">
        <f t="shared" si="16"/>
        <v>7.6550250490000004E-3</v>
      </c>
      <c r="BL17" s="7">
        <f t="shared" si="16"/>
        <v>8.9164111155625014E-3</v>
      </c>
      <c r="BM17" s="7">
        <f t="shared" si="16"/>
        <v>4.9244491920999998E-4</v>
      </c>
      <c r="BN17" s="7">
        <f t="shared" si="16"/>
        <v>2.4425345053210001E-4</v>
      </c>
      <c r="BO17" s="7">
        <f t="shared" ref="BO17:CT17" si="17">BO9^2</f>
        <v>6.6289298046976006E-3</v>
      </c>
      <c r="BP17" s="7">
        <f t="shared" si="17"/>
        <v>3.4257937920999991E-4</v>
      </c>
      <c r="BQ17" s="7">
        <f t="shared" si="17"/>
        <v>4.7237537923849006E-3</v>
      </c>
      <c r="BR17" s="7">
        <f t="shared" si="17"/>
        <v>9.6246375696000012E-6</v>
      </c>
      <c r="BS17" s="7">
        <f t="shared" si="17"/>
        <v>5.6196642659364004E-3</v>
      </c>
      <c r="BT17" s="7">
        <f t="shared" si="17"/>
        <v>2.0431837385280999E-3</v>
      </c>
      <c r="BU17" s="7">
        <f t="shared" si="17"/>
        <v>6.5932527592890006E-4</v>
      </c>
      <c r="BV17" s="7">
        <f t="shared" si="17"/>
        <v>8.4279799242408995E-3</v>
      </c>
      <c r="BW17" s="7">
        <f t="shared" si="17"/>
        <v>6.9453331599999993E-4</v>
      </c>
      <c r="BX17" s="7">
        <f t="shared" si="17"/>
        <v>3.7615943072889991E-4</v>
      </c>
      <c r="BY17" s="7">
        <f t="shared" si="17"/>
        <v>5.9042165532099998E-3</v>
      </c>
      <c r="BZ17" s="7">
        <f t="shared" si="17"/>
        <v>1.2838999732676099E-2</v>
      </c>
      <c r="CA17" s="7">
        <f t="shared" si="17"/>
        <v>1.1525074554010001E-2</v>
      </c>
      <c r="CB17" s="7">
        <f t="shared" si="17"/>
        <v>1.6682968701440999E-3</v>
      </c>
      <c r="CC17" s="7">
        <f t="shared" si="17"/>
        <v>3.9210732288999994E-4</v>
      </c>
      <c r="CD17" s="7">
        <f t="shared" si="17"/>
        <v>3.5485928036868099E-2</v>
      </c>
      <c r="CE17" s="7">
        <f t="shared" si="17"/>
        <v>3.0885706215080999E-3</v>
      </c>
      <c r="CF17" s="7">
        <f t="shared" si="17"/>
        <v>5.6058268660848995E-3</v>
      </c>
      <c r="CG17" s="7">
        <f t="shared" si="17"/>
        <v>1.0000038000036101E-2</v>
      </c>
      <c r="CH17" s="7">
        <f t="shared" si="17"/>
        <v>1.8501908311758405E-2</v>
      </c>
      <c r="CI17" s="7">
        <f t="shared" si="17"/>
        <v>8.7873750810000002E-3</v>
      </c>
      <c r="CJ17" s="7">
        <f t="shared" si="17"/>
        <v>1.5449616360000003E-5</v>
      </c>
      <c r="CK17" s="7">
        <f t="shared" si="17"/>
        <v>3.1931292005284002E-3</v>
      </c>
      <c r="CL17" s="7">
        <f t="shared" si="17"/>
        <v>6.9456378155808407E-2</v>
      </c>
      <c r="CM17" s="7">
        <f t="shared" si="17"/>
        <v>9.1305669160000001E-5</v>
      </c>
      <c r="CN17" s="7">
        <f t="shared" si="17"/>
        <v>9.9299984161000006E-4</v>
      </c>
      <c r="CO17" s="7">
        <f t="shared" si="17"/>
        <v>5.1161916100000006E-4</v>
      </c>
      <c r="CP17" s="7">
        <f t="shared" si="17"/>
        <v>1.7597510864472102E-2</v>
      </c>
      <c r="CQ17" s="7">
        <f t="shared" si="17"/>
        <v>1.7708364776928401E-2</v>
      </c>
      <c r="CR17" s="7">
        <f t="shared" si="17"/>
        <v>2.2369390096000001E-4</v>
      </c>
      <c r="CS17" s="7">
        <f t="shared" si="17"/>
        <v>1.1168897160100002E-3</v>
      </c>
      <c r="CT17" s="7">
        <f t="shared" si="17"/>
        <v>1.5082811906410001E-4</v>
      </c>
      <c r="CU17" s="7">
        <f t="shared" ref="CU17:DZ17" si="18">CU9^2</f>
        <v>1.36457395524004E-2</v>
      </c>
      <c r="CV17" s="7">
        <f t="shared" si="18"/>
        <v>9.9786492100000001E-6</v>
      </c>
      <c r="CW17" s="7">
        <f t="shared" si="18"/>
        <v>1.4605971794176002E-3</v>
      </c>
      <c r="CX17" s="7">
        <f t="shared" si="18"/>
        <v>1.93694273273281E-2</v>
      </c>
      <c r="CY17" s="7">
        <f t="shared" si="18"/>
        <v>5.6227317128999994E-4</v>
      </c>
      <c r="CZ17" s="7">
        <f t="shared" si="18"/>
        <v>4.7677993305468104E-2</v>
      </c>
      <c r="DA17" s="7">
        <f t="shared" si="18"/>
        <v>3.3602194627600003E-3</v>
      </c>
      <c r="DB17" s="7">
        <f t="shared" si="18"/>
        <v>1.9892845764000002E-4</v>
      </c>
      <c r="DC17" s="7">
        <f t="shared" si="18"/>
        <v>1.29859881689664E-2</v>
      </c>
      <c r="DD17" s="7">
        <f t="shared" si="18"/>
        <v>5.5461175095075999E-3</v>
      </c>
      <c r="DE17" s="7">
        <f t="shared" si="18"/>
        <v>8.0946009000000001E-7</v>
      </c>
      <c r="DF17" s="7">
        <f t="shared" si="18"/>
        <v>9.5466578489999995E-7</v>
      </c>
      <c r="DG17" s="7">
        <f t="shared" si="18"/>
        <v>5.326094996010001E-3</v>
      </c>
      <c r="DH17" s="7">
        <f t="shared" si="18"/>
        <v>5.6859833208999994E-4</v>
      </c>
      <c r="DI17" s="7">
        <f t="shared" si="18"/>
        <v>1.030848304249E-2</v>
      </c>
      <c r="DJ17" s="7">
        <f t="shared" si="18"/>
        <v>7.6687677165160014E-4</v>
      </c>
      <c r="DK17" s="7">
        <f t="shared" si="18"/>
        <v>2.4339619590400003E-3</v>
      </c>
      <c r="DL17" s="7">
        <f t="shared" si="18"/>
        <v>3.2483160360000005E-5</v>
      </c>
      <c r="DM17" s="7">
        <f t="shared" si="18"/>
        <v>1.3676535312400003E-3</v>
      </c>
      <c r="DN17" s="7">
        <f t="shared" si="18"/>
        <v>1.2058892772740099E-2</v>
      </c>
      <c r="DO17" s="7">
        <f t="shared" si="18"/>
        <v>1.7670950764488997E-3</v>
      </c>
      <c r="DP17" s="7">
        <f t="shared" si="18"/>
        <v>7.1515216748888992E-3</v>
      </c>
      <c r="DQ17" s="7">
        <f t="shared" si="18"/>
        <v>1.2161634288039999E-2</v>
      </c>
      <c r="DR17" s="7">
        <f t="shared" si="18"/>
        <v>8.8979055302640993E-3</v>
      </c>
      <c r="DS17" s="7">
        <f t="shared" si="18"/>
        <v>5.1706022676099991E-3</v>
      </c>
      <c r="DT17" s="7">
        <f t="shared" si="18"/>
        <v>9.2614446849600008E-3</v>
      </c>
      <c r="DU17" s="7">
        <f t="shared" si="18"/>
        <v>5.5016048025000004E-6</v>
      </c>
      <c r="DV17" s="7">
        <f t="shared" si="18"/>
        <v>1.7960668863456399E-2</v>
      </c>
      <c r="DW17" s="7">
        <f t="shared" si="18"/>
        <v>8.9742503455504004E-3</v>
      </c>
      <c r="DX17" s="7">
        <f t="shared" si="18"/>
        <v>1.0768877038239999E-2</v>
      </c>
      <c r="DY17" s="7">
        <f t="shared" si="18"/>
        <v>5.7399033726224999E-3</v>
      </c>
      <c r="DZ17" s="7">
        <f t="shared" si="18"/>
        <v>1.0131298020900001E-3</v>
      </c>
      <c r="EA17" s="7">
        <f t="shared" ref="EA17:EG17" si="19">EA9^2</f>
        <v>2.6020277316320398E-2</v>
      </c>
      <c r="EB17" s="7">
        <f t="shared" si="19"/>
        <v>1.0411202446090002E-4</v>
      </c>
      <c r="EC17" s="7">
        <f t="shared" si="19"/>
        <v>5.4742877738648988E-3</v>
      </c>
      <c r="ED17" s="7">
        <f t="shared" si="19"/>
        <v>2.4767488653609997E-2</v>
      </c>
      <c r="EE17" s="7">
        <f t="shared" si="19"/>
        <v>6.2627518200025004E-3</v>
      </c>
      <c r="EF17" s="7">
        <f t="shared" si="19"/>
        <v>5.2603905651024997E-3</v>
      </c>
      <c r="EG17" s="7">
        <f t="shared" si="19"/>
        <v>2.0252323028349079E-2</v>
      </c>
    </row>
    <row r="18" spans="1:137" x14ac:dyDescent="0.3">
      <c r="B18" s="1" t="s">
        <v>138</v>
      </c>
      <c r="C18" s="7">
        <f t="shared" ref="C18:AH18" si="20">C10^2</f>
        <v>6.1300164367690001E-2</v>
      </c>
      <c r="D18" s="7">
        <f t="shared" si="20"/>
        <v>7.5456409064889984E-2</v>
      </c>
      <c r="E18" s="7">
        <f t="shared" si="20"/>
        <v>7.1653516225599996E-3</v>
      </c>
      <c r="F18" s="7">
        <f t="shared" si="20"/>
        <v>5.127792678369E-4</v>
      </c>
      <c r="G18" s="7">
        <f t="shared" si="20"/>
        <v>2.4681024000000004E-3</v>
      </c>
      <c r="H18" s="7">
        <f t="shared" si="20"/>
        <v>1.015249699216E-2</v>
      </c>
      <c r="I18" s="7">
        <f t="shared" si="20"/>
        <v>1.5681801528999998E-4</v>
      </c>
      <c r="J18" s="7">
        <f t="shared" si="20"/>
        <v>6.1994427311715993E-3</v>
      </c>
      <c r="K18" s="7">
        <f t="shared" si="20"/>
        <v>1.1686210620100001E-3</v>
      </c>
      <c r="L18" s="7">
        <f t="shared" si="20"/>
        <v>7.8157605181040993E-3</v>
      </c>
      <c r="M18" s="7">
        <f t="shared" si="20"/>
        <v>9.385032249999999E-6</v>
      </c>
      <c r="N18" s="7">
        <f t="shared" si="20"/>
        <v>4.5036479523999993E-2</v>
      </c>
      <c r="O18" s="7">
        <f t="shared" si="20"/>
        <v>1.3546374691600002E-3</v>
      </c>
      <c r="P18" s="7">
        <f t="shared" si="20"/>
        <v>5.0457041369344011E-3</v>
      </c>
      <c r="Q18" s="7">
        <f t="shared" si="20"/>
        <v>5.0781443732099991E-3</v>
      </c>
      <c r="R18" s="7">
        <f t="shared" si="20"/>
        <v>4.6485300420249994E-4</v>
      </c>
      <c r="S18" s="7">
        <f t="shared" si="20"/>
        <v>1.0223486898787599E-2</v>
      </c>
      <c r="T18" s="7">
        <f t="shared" si="20"/>
        <v>1.8683772835729002E-3</v>
      </c>
      <c r="U18" s="7">
        <f t="shared" si="20"/>
        <v>2.214724358025E-4</v>
      </c>
      <c r="V18" s="7">
        <f t="shared" si="20"/>
        <v>4.0018529040399998E-5</v>
      </c>
      <c r="W18" s="7">
        <f t="shared" si="20"/>
        <v>2.0607463808999995E-2</v>
      </c>
      <c r="X18" s="7">
        <f t="shared" si="20"/>
        <v>4.1322012368399993E-3</v>
      </c>
      <c r="Y18" s="7">
        <f t="shared" si="20"/>
        <v>3.6230076964000003E-4</v>
      </c>
      <c r="Z18" s="7">
        <f t="shared" si="20"/>
        <v>4.2619950915999996E-4</v>
      </c>
      <c r="AA18" s="7">
        <f t="shared" si="20"/>
        <v>1.0929325238208999E-3</v>
      </c>
      <c r="AB18" s="7">
        <f t="shared" si="20"/>
        <v>3.7706649124000002E-4</v>
      </c>
      <c r="AC18" s="7">
        <f t="shared" si="20"/>
        <v>3.9849928782399995E-3</v>
      </c>
      <c r="AD18" s="7">
        <f t="shared" si="20"/>
        <v>4.3072575220899998E-3</v>
      </c>
      <c r="AE18" s="7">
        <f t="shared" si="20"/>
        <v>1.9042807698662404E-2</v>
      </c>
      <c r="AF18" s="7">
        <f t="shared" si="20"/>
        <v>1.011390251041E-2</v>
      </c>
      <c r="AG18" s="7">
        <f t="shared" si="20"/>
        <v>1.4416525548099999E-3</v>
      </c>
      <c r="AH18" s="7">
        <f t="shared" si="20"/>
        <v>2.10125976025E-3</v>
      </c>
      <c r="AI18" s="7">
        <f t="shared" ref="AI18:BN18" si="21">AI10^2</f>
        <v>2.6044793628099997E-3</v>
      </c>
      <c r="AJ18" s="7">
        <f t="shared" si="21"/>
        <v>1.0370976159999999E-5</v>
      </c>
      <c r="AK18" s="7">
        <f t="shared" si="21"/>
        <v>2.3962983040000003E-7</v>
      </c>
      <c r="AL18" s="7">
        <f t="shared" si="21"/>
        <v>1.1330899940890002E-2</v>
      </c>
      <c r="AM18" s="7">
        <f t="shared" si="21"/>
        <v>1.8834817599999999E-4</v>
      </c>
      <c r="AN18" s="7">
        <f t="shared" si="21"/>
        <v>1.487538804609E-2</v>
      </c>
      <c r="AO18" s="7">
        <f t="shared" si="21"/>
        <v>2.36095894609E-3</v>
      </c>
      <c r="AP18" s="7">
        <f t="shared" si="21"/>
        <v>3.6221702400000003E-6</v>
      </c>
      <c r="AQ18" s="7">
        <f t="shared" si="21"/>
        <v>8.4491897490010005E-4</v>
      </c>
      <c r="AR18" s="7">
        <f t="shared" si="21"/>
        <v>2.7705242834928996E-3</v>
      </c>
      <c r="AS18" s="7">
        <f t="shared" si="21"/>
        <v>1.6623718489E-4</v>
      </c>
      <c r="AT18" s="7">
        <f t="shared" si="21"/>
        <v>4.5415872099999998E-6</v>
      </c>
      <c r="AU18" s="7">
        <f t="shared" si="21"/>
        <v>2.4144311763360002E-2</v>
      </c>
      <c r="AV18" s="7">
        <f t="shared" si="21"/>
        <v>1.608275439684E-4</v>
      </c>
      <c r="AW18" s="7">
        <f t="shared" si="21"/>
        <v>1.4261852928999999E-4</v>
      </c>
      <c r="AX18" s="7">
        <f t="shared" si="21"/>
        <v>1.8094814440000002E-5</v>
      </c>
      <c r="AY18" s="7">
        <f t="shared" si="21"/>
        <v>8.5854098275690003E-4</v>
      </c>
      <c r="AZ18" s="7">
        <f t="shared" si="21"/>
        <v>1.7990186256250002E-2</v>
      </c>
      <c r="BA18" s="7">
        <f t="shared" si="21"/>
        <v>1.8799563432249998E-2</v>
      </c>
      <c r="BB18" s="7">
        <f t="shared" si="21"/>
        <v>3.0788317155999996E-6</v>
      </c>
      <c r="BC18" s="7">
        <f t="shared" si="21"/>
        <v>6.3086971709439997E-4</v>
      </c>
      <c r="BD18" s="7">
        <f t="shared" si="21"/>
        <v>1.4304614483609999E-2</v>
      </c>
      <c r="BE18" s="7">
        <f t="shared" si="21"/>
        <v>1.8431225610722503E-2</v>
      </c>
      <c r="BF18" s="7">
        <f t="shared" si="21"/>
        <v>2.2175782919689E-3</v>
      </c>
      <c r="BG18" s="7">
        <f t="shared" si="21"/>
        <v>6.7860771001000003E-4</v>
      </c>
      <c r="BH18" s="7">
        <f t="shared" si="21"/>
        <v>1.9143040076176E-3</v>
      </c>
      <c r="BI18" s="7">
        <f t="shared" si="21"/>
        <v>6.6246251072400002E-3</v>
      </c>
      <c r="BJ18" s="7">
        <f t="shared" si="21"/>
        <v>1.0120520960640001E-2</v>
      </c>
      <c r="BK18" s="7">
        <f t="shared" si="21"/>
        <v>8.1884527686049008E-3</v>
      </c>
      <c r="BL18" s="7">
        <f t="shared" si="21"/>
        <v>9.5471730224999988E-4</v>
      </c>
      <c r="BM18" s="7">
        <f t="shared" si="21"/>
        <v>3.4591065927889E-3</v>
      </c>
      <c r="BN18" s="7">
        <f t="shared" si="21"/>
        <v>6.6171115200969006E-3</v>
      </c>
      <c r="BO18" s="7">
        <f t="shared" ref="BO18:CT18" si="22">BO10^2</f>
        <v>5.9542828960000002E-5</v>
      </c>
      <c r="BP18" s="7">
        <f t="shared" si="22"/>
        <v>1.1392332473916899E-2</v>
      </c>
      <c r="BQ18" s="7">
        <f t="shared" si="22"/>
        <v>7.3746462969000008E-4</v>
      </c>
      <c r="BR18" s="7">
        <f t="shared" si="22"/>
        <v>2.9627337609999999E-3</v>
      </c>
      <c r="BS18" s="7">
        <f t="shared" si="22"/>
        <v>4.6552373784900011E-3</v>
      </c>
      <c r="BT18" s="7">
        <f t="shared" si="22"/>
        <v>9.7243699333284007E-3</v>
      </c>
      <c r="BU18" s="7">
        <f t="shared" si="22"/>
        <v>1.6486185074131601E-2</v>
      </c>
      <c r="BV18" s="7">
        <f t="shared" si="22"/>
        <v>6.1469520062500003E-3</v>
      </c>
      <c r="BW18" s="7">
        <f t="shared" si="22"/>
        <v>1.4192838475689999E-2</v>
      </c>
      <c r="BX18" s="7">
        <f t="shared" si="22"/>
        <v>2.1986814780099997E-3</v>
      </c>
      <c r="BY18" s="7">
        <f t="shared" si="22"/>
        <v>1.0342554392722501E-2</v>
      </c>
      <c r="BZ18" s="7">
        <f t="shared" si="22"/>
        <v>6.5946753601000001E-4</v>
      </c>
      <c r="CA18" s="7">
        <f t="shared" si="22"/>
        <v>6.9391898832399995E-3</v>
      </c>
      <c r="CB18" s="7">
        <f t="shared" si="22"/>
        <v>2.4909551321760003E-2</v>
      </c>
      <c r="CC18" s="7">
        <f t="shared" si="22"/>
        <v>5.048471966759999E-3</v>
      </c>
      <c r="CD18" s="7">
        <f t="shared" si="22"/>
        <v>5.4575895002499999E-3</v>
      </c>
      <c r="CE18" s="7">
        <f t="shared" si="22"/>
        <v>5.6067846582250003E-2</v>
      </c>
      <c r="CF18" s="7">
        <f t="shared" si="22"/>
        <v>1.0645674598440999E-3</v>
      </c>
      <c r="CG18" s="7">
        <f t="shared" si="22"/>
        <v>1.801793451481E-4</v>
      </c>
      <c r="CH18" s="7">
        <f t="shared" si="22"/>
        <v>7.8215308899999996E-6</v>
      </c>
      <c r="CI18" s="7">
        <f t="shared" si="22"/>
        <v>2.2968727204900003E-3</v>
      </c>
      <c r="CJ18" s="7">
        <f t="shared" si="22"/>
        <v>1.0575504000000002E-5</v>
      </c>
      <c r="CK18" s="7">
        <f t="shared" si="22"/>
        <v>5.7317315472400002E-3</v>
      </c>
      <c r="CL18" s="7">
        <f t="shared" si="22"/>
        <v>1.9711202472899999E-3</v>
      </c>
      <c r="CM18" s="7">
        <f t="shared" si="22"/>
        <v>3.20369153501881E-2</v>
      </c>
      <c r="CN18" s="7">
        <f t="shared" si="22"/>
        <v>3.3633353528328999E-3</v>
      </c>
      <c r="CO18" s="7">
        <f t="shared" si="22"/>
        <v>1.9429627856039997E-2</v>
      </c>
      <c r="CP18" s="7">
        <f t="shared" si="22"/>
        <v>4.1879885132089E-3</v>
      </c>
      <c r="CQ18" s="7">
        <f t="shared" si="22"/>
        <v>3.2829055106410002E-2</v>
      </c>
      <c r="CR18" s="7">
        <f t="shared" si="22"/>
        <v>7.8558973222500016E-3</v>
      </c>
      <c r="CS18" s="7">
        <f t="shared" si="22"/>
        <v>6.4119355523999989E-4</v>
      </c>
      <c r="CT18" s="7">
        <f t="shared" si="22"/>
        <v>1.2786882856810001E-2</v>
      </c>
      <c r="CU18" s="7">
        <f t="shared" ref="CU18:DZ18" si="23">CU10^2</f>
        <v>6.5544568321599994E-5</v>
      </c>
      <c r="CV18" s="7">
        <f t="shared" si="23"/>
        <v>2.0430580800400002E-3</v>
      </c>
      <c r="CW18" s="7">
        <f t="shared" si="23"/>
        <v>3.4740650574399999E-3</v>
      </c>
      <c r="CX18" s="7">
        <f t="shared" si="23"/>
        <v>1.160538662089E-2</v>
      </c>
      <c r="CY18" s="7">
        <f t="shared" si="23"/>
        <v>9.3129255122500008E-3</v>
      </c>
      <c r="CZ18" s="7">
        <f t="shared" si="23"/>
        <v>4.424893152849E-2</v>
      </c>
      <c r="DA18" s="7">
        <f t="shared" si="23"/>
        <v>1.2091443513210001E-2</v>
      </c>
      <c r="DB18" s="7">
        <f t="shared" si="23"/>
        <v>3.6412463220250005E-2</v>
      </c>
      <c r="DC18" s="7">
        <f t="shared" si="23"/>
        <v>4.2962096529000003E-4</v>
      </c>
      <c r="DD18" s="7">
        <f t="shared" si="23"/>
        <v>7.5740625062281006E-3</v>
      </c>
      <c r="DE18" s="7">
        <f t="shared" si="23"/>
        <v>6.7280333646680991E-3</v>
      </c>
      <c r="DF18" s="7">
        <f t="shared" si="23"/>
        <v>2.7847833002889996E-2</v>
      </c>
      <c r="DG18" s="7">
        <f t="shared" si="23"/>
        <v>4.9478703882848099E-2</v>
      </c>
      <c r="DH18" s="7">
        <f t="shared" si="23"/>
        <v>2.082185508484E-2</v>
      </c>
      <c r="DI18" s="7">
        <f t="shared" si="23"/>
        <v>1.430892047601E-2</v>
      </c>
      <c r="DJ18" s="7">
        <f t="shared" si="23"/>
        <v>1.0321097011839999E-2</v>
      </c>
      <c r="DK18" s="7">
        <f t="shared" si="23"/>
        <v>8.6220621676036009E-3</v>
      </c>
      <c r="DL18" s="7">
        <f t="shared" si="23"/>
        <v>1.8173595302500001E-3</v>
      </c>
      <c r="DM18" s="7">
        <f t="shared" si="23"/>
        <v>6.8445954064849006E-3</v>
      </c>
      <c r="DN18" s="7">
        <f t="shared" si="23"/>
        <v>9.6407145025000009E-4</v>
      </c>
      <c r="DO18" s="7">
        <f t="shared" si="23"/>
        <v>9.6318521639999991E-3</v>
      </c>
      <c r="DP18" s="7">
        <f t="shared" si="23"/>
        <v>1.7053460803210001E-2</v>
      </c>
      <c r="DQ18" s="7">
        <f t="shared" si="23"/>
        <v>2.3673790887184E-3</v>
      </c>
      <c r="DR18" s="7">
        <f t="shared" si="23"/>
        <v>1.5407116536099998E-3</v>
      </c>
      <c r="DS18" s="7">
        <f t="shared" si="23"/>
        <v>2.5930725312040003E-2</v>
      </c>
      <c r="DT18" s="7">
        <f t="shared" si="23"/>
        <v>6.2226854559999994E-3</v>
      </c>
      <c r="DU18" s="7">
        <f t="shared" si="23"/>
        <v>2.6921311152122502E-2</v>
      </c>
      <c r="DV18" s="7">
        <f t="shared" si="23"/>
        <v>5.6328927667599998E-5</v>
      </c>
      <c r="DW18" s="7">
        <f t="shared" si="23"/>
        <v>1.0331746683040001E-2</v>
      </c>
      <c r="DX18" s="7">
        <f t="shared" si="23"/>
        <v>3.14051522409E-3</v>
      </c>
      <c r="DY18" s="7">
        <f t="shared" si="23"/>
        <v>1.1375651654889999E-2</v>
      </c>
      <c r="DZ18" s="7">
        <f t="shared" si="23"/>
        <v>4.7867856195600005E-3</v>
      </c>
      <c r="EA18" s="7">
        <f t="shared" ref="EA18:EG18" si="24">EA10^2</f>
        <v>1.5923588007689997E-2</v>
      </c>
      <c r="EB18" s="7">
        <f t="shared" si="24"/>
        <v>4.1908921164100004E-3</v>
      </c>
      <c r="EC18" s="7">
        <f t="shared" si="24"/>
        <v>2.6446427326880999E-3</v>
      </c>
      <c r="ED18" s="7">
        <f t="shared" si="24"/>
        <v>1.1900243806929002E-3</v>
      </c>
      <c r="EE18" s="7">
        <f t="shared" si="24"/>
        <v>2.486222554176E-2</v>
      </c>
      <c r="EF18" s="7">
        <f t="shared" si="24"/>
        <v>1.6174752399999996E-2</v>
      </c>
      <c r="EG18" s="7">
        <f t="shared" si="24"/>
        <v>2.526811904387603E-2</v>
      </c>
    </row>
    <row r="19" spans="1:137" x14ac:dyDescent="0.3">
      <c r="B19" s="1" t="s">
        <v>139</v>
      </c>
      <c r="C19" s="7">
        <f t="shared" ref="C19:AH19" si="25">C11^2</f>
        <v>2.9419775999999995E-3</v>
      </c>
      <c r="D19" s="7">
        <f t="shared" si="25"/>
        <v>2.0590721290000003E-3</v>
      </c>
      <c r="E19" s="7">
        <f t="shared" si="25"/>
        <v>3.1506249999999997E-4</v>
      </c>
      <c r="F19" s="7">
        <f t="shared" si="25"/>
        <v>7.6895361000000008E-3</v>
      </c>
      <c r="G19" s="7">
        <f t="shared" si="25"/>
        <v>1.0559412081000001E-2</v>
      </c>
      <c r="H19" s="7">
        <f t="shared" si="25"/>
        <v>6.3051210000000008E-6</v>
      </c>
      <c r="I19" s="7">
        <f t="shared" si="25"/>
        <v>3.3489000000000001E-4</v>
      </c>
      <c r="J19" s="7">
        <f t="shared" si="25"/>
        <v>4.8889632099999997E-4</v>
      </c>
      <c r="K19" s="7">
        <f t="shared" si="25"/>
        <v>5.9687985639999986E-3</v>
      </c>
      <c r="L19" s="7">
        <f t="shared" si="25"/>
        <v>8.7310336000000002E-5</v>
      </c>
      <c r="M19" s="7">
        <f t="shared" si="25"/>
        <v>2.8731744039999997E-3</v>
      </c>
      <c r="N19" s="7">
        <f t="shared" si="25"/>
        <v>4.6076943999999991E-3</v>
      </c>
      <c r="O19" s="7">
        <f t="shared" si="25"/>
        <v>4.2159049000000002E-3</v>
      </c>
      <c r="P19" s="7">
        <f t="shared" si="25"/>
        <v>2.3824160999999998E-5</v>
      </c>
      <c r="Q19" s="7">
        <f t="shared" si="25"/>
        <v>3.6856320399999997E-4</v>
      </c>
      <c r="R19" s="7">
        <f t="shared" si="25"/>
        <v>2.99209E-5</v>
      </c>
      <c r="S19" s="7">
        <f t="shared" si="25"/>
        <v>1.3359756010000001E-3</v>
      </c>
      <c r="T19" s="7">
        <f t="shared" si="25"/>
        <v>1.6688764225E-2</v>
      </c>
      <c r="U19" s="7">
        <f t="shared" si="25"/>
        <v>1.8747086399999998E-4</v>
      </c>
      <c r="V19" s="7">
        <f t="shared" si="25"/>
        <v>2.3393702499999999E-4</v>
      </c>
      <c r="W19" s="7">
        <f t="shared" si="25"/>
        <v>1.0959996100000001E-2</v>
      </c>
      <c r="X19" s="7">
        <f t="shared" si="25"/>
        <v>8.6347822500000004E-2</v>
      </c>
      <c r="Y19" s="7">
        <f t="shared" si="25"/>
        <v>3.5060609440000002E-3</v>
      </c>
      <c r="Z19" s="7">
        <f t="shared" si="25"/>
        <v>3.4206502499999999E-2</v>
      </c>
      <c r="AA19" s="7">
        <f t="shared" si="25"/>
        <v>9.6524730090000004E-3</v>
      </c>
      <c r="AB19" s="7">
        <f t="shared" si="25"/>
        <v>4.3560000000000001E-7</v>
      </c>
      <c r="AC19" s="7">
        <f t="shared" si="25"/>
        <v>1.0751616100000002E-2</v>
      </c>
      <c r="AD19" s="7">
        <f t="shared" si="25"/>
        <v>1.2567025E-5</v>
      </c>
      <c r="AE19" s="7">
        <f t="shared" si="25"/>
        <v>3.0835711201000003E-2</v>
      </c>
      <c r="AF19" s="7">
        <f t="shared" si="25"/>
        <v>2.40343009E-2</v>
      </c>
      <c r="AG19" s="7">
        <f t="shared" si="25"/>
        <v>6.9326890000000001E-4</v>
      </c>
      <c r="AH19" s="7">
        <f t="shared" si="25"/>
        <v>2.5000000000000001E-5</v>
      </c>
      <c r="AI19" s="7">
        <f t="shared" ref="AI19:BN19" si="26">AI11^2</f>
        <v>7.8781262399999993E-4</v>
      </c>
      <c r="AJ19" s="7">
        <f t="shared" si="26"/>
        <v>5.0086439999999998E-4</v>
      </c>
      <c r="AK19" s="7">
        <f t="shared" si="26"/>
        <v>2.2108803999999998E-3</v>
      </c>
      <c r="AL19" s="7">
        <f t="shared" si="26"/>
        <v>1.0314433599999999E-2</v>
      </c>
      <c r="AM19" s="7">
        <f t="shared" si="26"/>
        <v>5.5342562500000007E-4</v>
      </c>
      <c r="AN19" s="7">
        <f t="shared" si="26"/>
        <v>2.7588756250000001E-3</v>
      </c>
      <c r="AO19" s="7">
        <f t="shared" si="26"/>
        <v>3.4226010089999999E-3</v>
      </c>
      <c r="AP19" s="7">
        <f t="shared" si="26"/>
        <v>1.1187018089999997E-3</v>
      </c>
      <c r="AQ19" s="7">
        <f t="shared" si="26"/>
        <v>2.0449000000000002E-4</v>
      </c>
      <c r="AR19" s="7">
        <f t="shared" si="26"/>
        <v>1.2890972159999999E-3</v>
      </c>
      <c r="AS19" s="7">
        <f t="shared" si="26"/>
        <v>1.5826075239999998E-3</v>
      </c>
      <c r="AT19" s="7">
        <f t="shared" si="26"/>
        <v>2.2039183936E-2</v>
      </c>
      <c r="AU19" s="7">
        <f t="shared" si="26"/>
        <v>1.6638241E-3</v>
      </c>
      <c r="AV19" s="7">
        <f t="shared" si="26"/>
        <v>1.9309603681000001E-2</v>
      </c>
      <c r="AW19" s="7">
        <f t="shared" si="26"/>
        <v>3.583578769E-3</v>
      </c>
      <c r="AX19" s="7">
        <f t="shared" si="26"/>
        <v>2.2437044100000001E-2</v>
      </c>
      <c r="AY19" s="7">
        <f t="shared" si="26"/>
        <v>3.7940672159999999E-3</v>
      </c>
      <c r="AZ19" s="7">
        <f t="shared" si="26"/>
        <v>3.8378024999999997E-3</v>
      </c>
      <c r="BA19" s="7">
        <f t="shared" si="26"/>
        <v>5.7121000000000008E-6</v>
      </c>
      <c r="BB19" s="7">
        <f t="shared" si="26"/>
        <v>2.21622769E-2</v>
      </c>
      <c r="BC19" s="7">
        <f t="shared" si="26"/>
        <v>3.6422432010000004E-3</v>
      </c>
      <c r="BD19" s="7">
        <f t="shared" si="26"/>
        <v>2.1579609999999999E-4</v>
      </c>
      <c r="BE19" s="7">
        <f t="shared" si="26"/>
        <v>2.1468110400000004E-2</v>
      </c>
      <c r="BF19" s="7">
        <f t="shared" si="26"/>
        <v>4.3580737600000002E-2</v>
      </c>
      <c r="BG19" s="7">
        <f t="shared" si="26"/>
        <v>4.05780736E-2</v>
      </c>
      <c r="BH19" s="7">
        <f t="shared" si="26"/>
        <v>1.39358025E-2</v>
      </c>
      <c r="BI19" s="7">
        <f t="shared" si="26"/>
        <v>5.9336209000000004E-3</v>
      </c>
      <c r="BJ19" s="7">
        <f t="shared" si="26"/>
        <v>1.3118884000000001E-3</v>
      </c>
      <c r="BK19" s="7">
        <f t="shared" si="26"/>
        <v>3.5758809999999997E-4</v>
      </c>
      <c r="BL19" s="7">
        <f t="shared" si="26"/>
        <v>2.9329987599999999E-2</v>
      </c>
      <c r="BM19" s="7">
        <f t="shared" si="26"/>
        <v>1.7666928889E-2</v>
      </c>
      <c r="BN19" s="7">
        <f t="shared" si="26"/>
        <v>1.2895280999999999E-3</v>
      </c>
      <c r="BO19" s="7">
        <f t="shared" ref="BO19:CT19" si="27">BO11^2</f>
        <v>4.5560902499999995E-4</v>
      </c>
      <c r="BP19" s="7">
        <f t="shared" si="27"/>
        <v>2.4636332249999998E-3</v>
      </c>
      <c r="BQ19" s="7">
        <f t="shared" si="27"/>
        <v>2.9618409999999999E-4</v>
      </c>
      <c r="BR19" s="7">
        <f t="shared" si="27"/>
        <v>3.6034289928999999E-2</v>
      </c>
      <c r="BS19" s="7">
        <f t="shared" si="27"/>
        <v>9.5277121000000003E-3</v>
      </c>
      <c r="BT19" s="7">
        <f t="shared" si="27"/>
        <v>1.4311845609999998E-3</v>
      </c>
      <c r="BU19" s="7">
        <f t="shared" si="27"/>
        <v>3.1368960640000003E-3</v>
      </c>
      <c r="BV19" s="7">
        <f t="shared" si="27"/>
        <v>1.3628227599999999E-2</v>
      </c>
      <c r="BW19" s="7">
        <f t="shared" si="27"/>
        <v>1.9971342400000001E-2</v>
      </c>
      <c r="BX19" s="7">
        <f t="shared" si="27"/>
        <v>1.1424400000000002E-5</v>
      </c>
      <c r="BY19" s="7">
        <f t="shared" si="27"/>
        <v>1.6987472896000003E-2</v>
      </c>
      <c r="BZ19" s="7">
        <f t="shared" si="27"/>
        <v>1.0047632039999997E-3</v>
      </c>
      <c r="CA19" s="7">
        <f t="shared" si="27"/>
        <v>1.6447080250000001E-3</v>
      </c>
      <c r="CB19" s="7">
        <f t="shared" si="27"/>
        <v>1.7673616E-3</v>
      </c>
      <c r="CC19" s="7">
        <f t="shared" si="27"/>
        <v>2.5014001960000005E-3</v>
      </c>
      <c r="CD19" s="7">
        <f t="shared" si="27"/>
        <v>4.6867715999999986E-3</v>
      </c>
      <c r="CE19" s="7">
        <f t="shared" si="27"/>
        <v>6.5334888999999995E-3</v>
      </c>
      <c r="CF19" s="7">
        <f t="shared" si="27"/>
        <v>3.8024999999999996E-6</v>
      </c>
      <c r="CG19" s="7">
        <f t="shared" si="27"/>
        <v>1.3973604099999998E-2</v>
      </c>
      <c r="CH19" s="7">
        <f t="shared" si="27"/>
        <v>1.3483584000000002E-3</v>
      </c>
      <c r="CI19" s="7">
        <f t="shared" si="27"/>
        <v>6.9438889000000004E-3</v>
      </c>
      <c r="CJ19" s="7">
        <f t="shared" si="27"/>
        <v>5.3210032928999992E-2</v>
      </c>
      <c r="CK19" s="7">
        <f t="shared" si="27"/>
        <v>1.7630262841000003E-2</v>
      </c>
      <c r="CL19" s="7">
        <f t="shared" si="27"/>
        <v>1.9962016369E-2</v>
      </c>
      <c r="CM19" s="7">
        <f t="shared" si="27"/>
        <v>1.26990361E-2</v>
      </c>
      <c r="CN19" s="7">
        <f t="shared" si="27"/>
        <v>4.9947333120999998E-2</v>
      </c>
      <c r="CO19" s="7">
        <f t="shared" si="27"/>
        <v>1.09035364E-2</v>
      </c>
      <c r="CP19" s="7">
        <f t="shared" si="27"/>
        <v>2.082249E-4</v>
      </c>
      <c r="CQ19" s="7">
        <f t="shared" si="27"/>
        <v>4.2944272899999997E-2</v>
      </c>
      <c r="CR19" s="7">
        <f t="shared" si="27"/>
        <v>1.8187219600000002E-2</v>
      </c>
      <c r="CS19" s="7">
        <f t="shared" si="27"/>
        <v>5.3301680640000003E-3</v>
      </c>
      <c r="CT19" s="7">
        <f t="shared" si="27"/>
        <v>9.132484E-4</v>
      </c>
      <c r="CU19" s="7">
        <f t="shared" ref="CU19:DZ19" si="28">CU11^2</f>
        <v>8.2305872099999983E-2</v>
      </c>
      <c r="CV19" s="7">
        <f t="shared" si="28"/>
        <v>5.3236794360999998E-2</v>
      </c>
      <c r="CW19" s="7">
        <f t="shared" si="28"/>
        <v>8.2948377760000015E-3</v>
      </c>
      <c r="CX19" s="7">
        <f t="shared" si="28"/>
        <v>1.5003800100000001E-2</v>
      </c>
      <c r="CY19" s="7">
        <f t="shared" si="28"/>
        <v>6.1437379239999987E-3</v>
      </c>
      <c r="CZ19" s="7">
        <f t="shared" si="28"/>
        <v>2.1114024999999998E-3</v>
      </c>
      <c r="DA19" s="7">
        <f t="shared" si="28"/>
        <v>6.8343288999999988E-3</v>
      </c>
      <c r="DB19" s="7">
        <f t="shared" si="28"/>
        <v>2.2305123801000002E-2</v>
      </c>
      <c r="DC19" s="7">
        <f t="shared" si="28"/>
        <v>2.2848400000000002E-3</v>
      </c>
      <c r="DD19" s="7">
        <f t="shared" si="28"/>
        <v>2.7063540099999995E-2</v>
      </c>
      <c r="DE19" s="7">
        <f t="shared" si="28"/>
        <v>1.22257249E-2</v>
      </c>
      <c r="DF19" s="7">
        <f t="shared" si="28"/>
        <v>3.2967118890000003E-3</v>
      </c>
      <c r="DG19" s="7">
        <f t="shared" si="28"/>
        <v>4.6177712099999997E-2</v>
      </c>
      <c r="DH19" s="7">
        <f t="shared" si="28"/>
        <v>3.9686220089999993E-3</v>
      </c>
      <c r="DI19" s="7">
        <f t="shared" si="28"/>
        <v>4.5861338410000006E-3</v>
      </c>
      <c r="DJ19" s="7">
        <f t="shared" si="28"/>
        <v>1.4113915204E-2</v>
      </c>
      <c r="DK19" s="7">
        <f t="shared" si="28"/>
        <v>5.3042089000000008E-5</v>
      </c>
      <c r="DL19" s="7">
        <f t="shared" si="28"/>
        <v>5.086685040999999E-3</v>
      </c>
      <c r="DM19" s="7">
        <f t="shared" si="28"/>
        <v>4.4192448399999997E-4</v>
      </c>
      <c r="DN19" s="7">
        <f t="shared" si="28"/>
        <v>9.2416000000000004E-4</v>
      </c>
      <c r="DO19" s="7">
        <f t="shared" si="28"/>
        <v>9.3993024999999997E-3</v>
      </c>
      <c r="DP19" s="7">
        <f t="shared" si="28"/>
        <v>5.3213262399999996E-2</v>
      </c>
      <c r="DQ19" s="7">
        <f t="shared" si="28"/>
        <v>5.6731617856000005E-2</v>
      </c>
      <c r="DR19" s="7">
        <f t="shared" si="28"/>
        <v>1.2780625000000001E-5</v>
      </c>
      <c r="DS19" s="7">
        <f t="shared" si="28"/>
        <v>1.7944209935999999E-2</v>
      </c>
      <c r="DT19" s="7">
        <f t="shared" si="28"/>
        <v>1.3249391236E-2</v>
      </c>
      <c r="DU19" s="7">
        <f t="shared" si="28"/>
        <v>1.0832646400000001E-2</v>
      </c>
      <c r="DV19" s="7">
        <f t="shared" si="28"/>
        <v>2.9822520999999999E-3</v>
      </c>
      <c r="DW19" s="7">
        <f t="shared" si="28"/>
        <v>1.1082240999999999E-3</v>
      </c>
      <c r="DX19" s="7">
        <f t="shared" si="28"/>
        <v>3.0354590249999998E-3</v>
      </c>
      <c r="DY19" s="7">
        <f t="shared" si="28"/>
        <v>4.7326144359999996E-3</v>
      </c>
      <c r="DZ19" s="7">
        <f t="shared" si="28"/>
        <v>2.0969936100000003E-4</v>
      </c>
      <c r="EA19" s="7">
        <f t="shared" ref="EA19:EG19" si="29">EA11^2</f>
        <v>8.5931059600000012E-2</v>
      </c>
      <c r="EB19" s="7">
        <f t="shared" si="29"/>
        <v>1.98753604E-2</v>
      </c>
      <c r="EC19" s="7">
        <f t="shared" si="29"/>
        <v>1.4908410000000002E-4</v>
      </c>
      <c r="ED19" s="7">
        <f t="shared" si="29"/>
        <v>3.3835162239999996E-3</v>
      </c>
      <c r="EE19" s="7">
        <f t="shared" si="29"/>
        <v>2.0851359999999999E-2</v>
      </c>
      <c r="EF19" s="7">
        <f t="shared" si="29"/>
        <v>9.4109400999999992E-3</v>
      </c>
      <c r="EG19" s="7">
        <f t="shared" si="29"/>
        <v>0</v>
      </c>
    </row>
    <row r="21" spans="1:137" x14ac:dyDescent="0.3">
      <c r="A21" t="s">
        <v>168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NN3再投資累積報酬</vt:lpstr>
      <vt:lpstr>勝率</vt:lpstr>
      <vt:lpstr>累積報酬</vt:lpstr>
      <vt:lpstr>畫圖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2025-06-02T09:37:42Z</dcterms:modified>
</cp:coreProperties>
</file>