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0520作業\"/>
    </mc:Choice>
  </mc:AlternateContent>
  <xr:revisionPtr revIDLastSave="0" documentId="13_ncr:1_{76020323-D32A-424B-9E90-6215452AC7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預測IC" sheetId="1" r:id="rId1"/>
    <sheet name="夏普比率" sheetId="2" r:id="rId2"/>
    <sheet name="NN5再投資累積報酬" sheetId="7" r:id="rId3"/>
    <sheet name="勝率" sheetId="3" r:id="rId4"/>
    <sheet name="累積報酬" sheetId="4" r:id="rId5"/>
    <sheet name="畫圖" sheetId="5" r:id="rId6"/>
    <sheet name="樣本外R2" sheetId="6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F24" i="7" l="1" a="1"/>
  <c r="EF24" i="7" s="1"/>
  <c r="EE24" i="7" a="1"/>
  <c r="EE24" i="7" s="1"/>
  <c r="ED24" i="7"/>
  <c r="ED24" i="7" a="1"/>
  <c r="EC24" i="7" a="1"/>
  <c r="EC24" i="7" s="1"/>
  <c r="EB24" i="7"/>
  <c r="EB24" i="7" a="1"/>
  <c r="EA24" i="7"/>
  <c r="EA24" i="7" a="1"/>
  <c r="DZ24" i="7"/>
  <c r="DZ24" i="7" a="1"/>
  <c r="DY24" i="7" a="1"/>
  <c r="DY24" i="7" s="1"/>
  <c r="DX24" i="7" a="1"/>
  <c r="DX24" i="7" s="1"/>
  <c r="DW24" i="7"/>
  <c r="DW24" i="7" a="1"/>
  <c r="DV24" i="7"/>
  <c r="DV24" i="7" a="1"/>
  <c r="DU24" i="7"/>
  <c r="DU24" i="7" a="1"/>
  <c r="DT24" i="7" a="1"/>
  <c r="DT24" i="7" s="1"/>
  <c r="DS24" i="7" a="1"/>
  <c r="DS24" i="7" s="1"/>
  <c r="DR24" i="7" a="1"/>
  <c r="DR24" i="7" s="1"/>
  <c r="DQ24" i="7"/>
  <c r="DQ24" i="7" a="1"/>
  <c r="DP24" i="7" a="1"/>
  <c r="DP24" i="7" s="1"/>
  <c r="DO24" i="7"/>
  <c r="DO24" i="7" a="1"/>
  <c r="DN24" i="7"/>
  <c r="DN24" i="7" a="1"/>
  <c r="DM24" i="7"/>
  <c r="DM24" i="7" a="1"/>
  <c r="DL24" i="7" a="1"/>
  <c r="DL24" i="7" s="1"/>
  <c r="DK24" i="7"/>
  <c r="DK24" i="7" a="1"/>
  <c r="DJ24" i="7" a="1"/>
  <c r="DJ24" i="7" s="1"/>
  <c r="DI24" i="7"/>
  <c r="DI24" i="7" a="1"/>
  <c r="DH24" i="7" a="1"/>
  <c r="DH24" i="7" s="1"/>
  <c r="DG24" i="7"/>
  <c r="DG24" i="7" a="1"/>
  <c r="DF24" i="7"/>
  <c r="DF24" i="7" a="1"/>
  <c r="DE24" i="7" a="1"/>
  <c r="DE24" i="7" s="1"/>
  <c r="DD24" i="7"/>
  <c r="DD24" i="7" a="1"/>
  <c r="DC24" i="7" a="1"/>
  <c r="DC24" i="7" s="1"/>
  <c r="DB24" i="7" a="1"/>
  <c r="DB24" i="7" s="1"/>
  <c r="DA24" i="7" a="1"/>
  <c r="DA24" i="7" s="1"/>
  <c r="CZ24" i="7" a="1"/>
  <c r="CZ24" i="7" s="1"/>
  <c r="CY24" i="7" a="1"/>
  <c r="CY24" i="7" s="1"/>
  <c r="CX24" i="7"/>
  <c r="CX24" i="7" a="1"/>
  <c r="CW24" i="7" a="1"/>
  <c r="CW24" i="7" s="1"/>
  <c r="CV24" i="7" a="1"/>
  <c r="CV24" i="7" s="1"/>
  <c r="CU24" i="7" a="1"/>
  <c r="CU24" i="7" s="1"/>
  <c r="CT24" i="7"/>
  <c r="CT24" i="7" a="1"/>
  <c r="CS24" i="7"/>
  <c r="CS24" i="7" a="1"/>
  <c r="CR24" i="7" a="1"/>
  <c r="CR24" i="7" s="1"/>
  <c r="CQ24" i="7"/>
  <c r="CQ24" i="7" a="1"/>
  <c r="CP24" i="7"/>
  <c r="CP24" i="7" a="1"/>
  <c r="CO24" i="7"/>
  <c r="CO24" i="7" a="1"/>
  <c r="CN24" i="7" a="1"/>
  <c r="CN24" i="7" s="1"/>
  <c r="CM24" i="7"/>
  <c r="CM24" i="7" a="1"/>
  <c r="CL24" i="7"/>
  <c r="CL24" i="7" a="1"/>
  <c r="CK24" i="7" a="1"/>
  <c r="CK24" i="7" s="1"/>
  <c r="CJ24" i="7" a="1"/>
  <c r="CJ24" i="7" s="1"/>
  <c r="CI24" i="7"/>
  <c r="CI24" i="7" a="1"/>
  <c r="CH24" i="7"/>
  <c r="CH24" i="7" a="1"/>
  <c r="CG24" i="7"/>
  <c r="CG24" i="7" a="1"/>
  <c r="CF24" i="7" a="1"/>
  <c r="CF24" i="7" s="1"/>
  <c r="CE24" i="7" a="1"/>
  <c r="CE24" i="7" s="1"/>
  <c r="CD24" i="7" a="1"/>
  <c r="CD24" i="7" s="1"/>
  <c r="CC24" i="7"/>
  <c r="CC24" i="7" a="1"/>
  <c r="CB24" i="7" a="1"/>
  <c r="CB24" i="7" s="1"/>
  <c r="CA24" i="7" a="1"/>
  <c r="CA24" i="7" s="1"/>
  <c r="BZ24" i="7"/>
  <c r="BZ24" i="7" a="1"/>
  <c r="BY24" i="7" a="1"/>
  <c r="BY24" i="7" s="1"/>
  <c r="BX24" i="7"/>
  <c r="BX24" i="7" a="1"/>
  <c r="BW24" i="7" a="1"/>
  <c r="BW24" i="7" s="1"/>
  <c r="BV24" i="7"/>
  <c r="BV24" i="7" a="1"/>
  <c r="BU24" i="7"/>
  <c r="BU24" i="7" a="1"/>
  <c r="BT24" i="7" a="1"/>
  <c r="BT24" i="7" s="1"/>
  <c r="BS24" i="7" a="1"/>
  <c r="BS24" i="7" s="1"/>
  <c r="BR24" i="7"/>
  <c r="BR24" i="7" a="1"/>
  <c r="BQ24" i="7" a="1"/>
  <c r="BQ24" i="7" s="1"/>
  <c r="BP24" i="7"/>
  <c r="BP24" i="7" a="1"/>
  <c r="BO24" i="7" a="1"/>
  <c r="BO24" i="7" s="1"/>
  <c r="BN24" i="7" a="1"/>
  <c r="BN24" i="7" s="1"/>
  <c r="BM24" i="7" a="1"/>
  <c r="BM24" i="7" s="1"/>
  <c r="BL24" i="7" a="1"/>
  <c r="BL24" i="7" s="1"/>
  <c r="BK24" i="7" a="1"/>
  <c r="BK24" i="7" s="1"/>
  <c r="BJ24" i="7"/>
  <c r="BJ24" i="7" a="1"/>
  <c r="BI24" i="7"/>
  <c r="BI24" i="7" a="1"/>
  <c r="BH24" i="7" a="1"/>
  <c r="BH24" i="7" s="1"/>
  <c r="BG24" i="7"/>
  <c r="BG24" i="7" a="1"/>
  <c r="BF24" i="7" a="1"/>
  <c r="BF24" i="7" s="1"/>
  <c r="BE24" i="7"/>
  <c r="BE24" i="7" a="1"/>
  <c r="BD24" i="7" a="1"/>
  <c r="BD24" i="7" s="1"/>
  <c r="BC24" i="7"/>
  <c r="BC24" i="7" a="1"/>
  <c r="BB24" i="7"/>
  <c r="BB24" i="7" a="1"/>
  <c r="BA24" i="7"/>
  <c r="BA24" i="7" a="1"/>
  <c r="AZ24" i="7" a="1"/>
  <c r="AZ24" i="7" s="1"/>
  <c r="AY24" i="7"/>
  <c r="AY24" i="7" a="1"/>
  <c r="AX24" i="7" a="1"/>
  <c r="AX24" i="7" s="1"/>
  <c r="AW24" i="7"/>
  <c r="AW24" i="7" a="1"/>
  <c r="AV24" i="7" a="1"/>
  <c r="AV24" i="7" s="1"/>
  <c r="AU24" i="7" a="1"/>
  <c r="AU24" i="7" s="1"/>
  <c r="AT24" i="7"/>
  <c r="AT24" i="7" a="1"/>
  <c r="AS24" i="7" a="1"/>
  <c r="AS24" i="7" s="1"/>
  <c r="AR24" i="7"/>
  <c r="AR24" i="7" a="1"/>
  <c r="AQ24" i="7" a="1"/>
  <c r="AQ24" i="7" s="1"/>
  <c r="AP24" i="7"/>
  <c r="AP24" i="7" a="1"/>
  <c r="AO24" i="7" a="1"/>
  <c r="AO24" i="7" s="1"/>
  <c r="AN24" i="7" a="1"/>
  <c r="AN24" i="7" s="1"/>
  <c r="AM24" i="7" a="1"/>
  <c r="AM24" i="7" s="1"/>
  <c r="AL24" i="7"/>
  <c r="AL24" i="7" a="1"/>
  <c r="AK24" i="7" a="1"/>
  <c r="AK24" i="7" s="1"/>
  <c r="AJ24" i="7" a="1"/>
  <c r="AJ24" i="7" s="1"/>
  <c r="AI24" i="7" a="1"/>
  <c r="AI24" i="7" s="1"/>
  <c r="AH24" i="7"/>
  <c r="AH24" i="7" a="1"/>
  <c r="AG24" i="7" a="1"/>
  <c r="AG24" i="7" s="1"/>
  <c r="AF24" i="7" a="1"/>
  <c r="AF24" i="7" s="1"/>
  <c r="AE24" i="7"/>
  <c r="AE24" i="7" a="1"/>
  <c r="AD24" i="7"/>
  <c r="AD24" i="7" a="1"/>
  <c r="AC24" i="7" a="1"/>
  <c r="AC24" i="7" s="1"/>
  <c r="AB24" i="7"/>
  <c r="AB24" i="7" a="1"/>
  <c r="AA24" i="7"/>
  <c r="AA24" i="7" a="1"/>
  <c r="Z24" i="7" a="1"/>
  <c r="Z24" i="7" s="1"/>
  <c r="Y24" i="7"/>
  <c r="Y24" i="7" a="1"/>
  <c r="X24" i="7" a="1"/>
  <c r="X24" i="7" s="1"/>
  <c r="W24" i="7" a="1"/>
  <c r="W24" i="7" s="1"/>
  <c r="V24" i="7"/>
  <c r="V24" i="7" a="1"/>
  <c r="U24" i="7"/>
  <c r="U24" i="7" a="1"/>
  <c r="T24" i="7" a="1"/>
  <c r="T24" i="7" s="1"/>
  <c r="S24" i="7" a="1"/>
  <c r="S24" i="7" s="1"/>
  <c r="R24" i="7" a="1"/>
  <c r="R24" i="7" s="1"/>
  <c r="Q24" i="7"/>
  <c r="Q24" i="7" a="1"/>
  <c r="P24" i="7" a="1"/>
  <c r="P24" i="7" s="1"/>
  <c r="O24" i="7" a="1"/>
  <c r="O24" i="7" s="1"/>
  <c r="N24" i="7"/>
  <c r="N24" i="7" a="1"/>
  <c r="M24" i="7" a="1"/>
  <c r="M24" i="7" s="1"/>
  <c r="L24" i="7" a="1"/>
  <c r="L24" i="7" s="1"/>
  <c r="K24" i="7" a="1"/>
  <c r="K24" i="7" s="1"/>
  <c r="J24" i="7"/>
  <c r="J24" i="7" a="1"/>
  <c r="I24" i="7" a="1"/>
  <c r="I24" i="7" s="1"/>
  <c r="H24" i="7" a="1"/>
  <c r="H24" i="7" s="1"/>
  <c r="G24" i="7" a="1"/>
  <c r="G24" i="7" s="1"/>
  <c r="F24" i="7"/>
  <c r="F24" i="7" a="1"/>
  <c r="E24" i="7" a="1"/>
  <c r="E24" i="7" s="1"/>
  <c r="D24" i="7"/>
  <c r="D24" i="7" a="1"/>
  <c r="C24" i="7"/>
  <c r="C24" i="7" a="1"/>
  <c r="EF23" i="7" a="1"/>
  <c r="EF23" i="7" s="1"/>
  <c r="EE23" i="7" a="1"/>
  <c r="EE23" i="7" s="1"/>
  <c r="ED23" i="7" a="1"/>
  <c r="ED23" i="7" s="1"/>
  <c r="EC23" i="7"/>
  <c r="EC23" i="7" a="1"/>
  <c r="EB23" i="7"/>
  <c r="EB23" i="7" a="1"/>
  <c r="EA23" i="7"/>
  <c r="EA23" i="7" a="1"/>
  <c r="DZ23" i="7" a="1"/>
  <c r="DZ23" i="7" s="1"/>
  <c r="DY23" i="7" a="1"/>
  <c r="DY23" i="7" s="1"/>
  <c r="DX23" i="7" a="1"/>
  <c r="DX23" i="7" s="1"/>
  <c r="DW23" i="7"/>
  <c r="DW23" i="7" a="1"/>
  <c r="DV23" i="7" a="1"/>
  <c r="DV23" i="7" s="1"/>
  <c r="DU23" i="7"/>
  <c r="DU23" i="7" a="1"/>
  <c r="DT23" i="7"/>
  <c r="DT23" i="7" a="1"/>
  <c r="DS23" i="7" a="1"/>
  <c r="DS23" i="7" s="1"/>
  <c r="DR23" i="7" a="1"/>
  <c r="DR23" i="7" s="1"/>
  <c r="DQ23" i="7"/>
  <c r="DQ23" i="7" a="1"/>
  <c r="DP23" i="7" a="1"/>
  <c r="DP23" i="7" s="1"/>
  <c r="DO23" i="7" a="1"/>
  <c r="DO23" i="7" s="1"/>
  <c r="DN23" i="7" a="1"/>
  <c r="DN23" i="7" s="1"/>
  <c r="DM23" i="7" a="1"/>
  <c r="DM23" i="7" s="1"/>
  <c r="DL23" i="7"/>
  <c r="DL23" i="7" a="1"/>
  <c r="DK23" i="7" a="1"/>
  <c r="DK23" i="7" s="1"/>
  <c r="DJ23" i="7"/>
  <c r="DJ23" i="7" a="1"/>
  <c r="DI23" i="7"/>
  <c r="DI23" i="7" a="1"/>
  <c r="DH23" i="7" a="1"/>
  <c r="DH23" i="7" s="1"/>
  <c r="DG23" i="7" a="1"/>
  <c r="DG23" i="7" s="1"/>
  <c r="DF23" i="7" a="1"/>
  <c r="DF23" i="7" s="1"/>
  <c r="DE23" i="7" a="1"/>
  <c r="DE23" i="7" s="1"/>
  <c r="DD23" i="7"/>
  <c r="DD23" i="7" a="1"/>
  <c r="DC23" i="7" a="1"/>
  <c r="DC23" i="7" s="1"/>
  <c r="DB23" i="7" a="1"/>
  <c r="DB23" i="7" s="1"/>
  <c r="DA23" i="7" a="1"/>
  <c r="DA23" i="7" s="1"/>
  <c r="CZ23" i="7"/>
  <c r="CZ23" i="7" a="1"/>
  <c r="CY23" i="7" a="1"/>
  <c r="CY23" i="7" s="1"/>
  <c r="CX23" i="7" a="1"/>
  <c r="CX23" i="7" s="1"/>
  <c r="CW23" i="7"/>
  <c r="CW23" i="7" a="1"/>
  <c r="CV23" i="7"/>
  <c r="CV23" i="7" a="1"/>
  <c r="CU23" i="7"/>
  <c r="CU23" i="7" a="1"/>
  <c r="CT23" i="7" a="1"/>
  <c r="CT23" i="7" s="1"/>
  <c r="CS23" i="7"/>
  <c r="CS23" i="7" a="1"/>
  <c r="CR23" i="7" a="1"/>
  <c r="CR23" i="7" s="1"/>
  <c r="CQ23" i="7" a="1"/>
  <c r="CQ23" i="7" s="1"/>
  <c r="CP23" i="7" a="1"/>
  <c r="CP23" i="7" s="1"/>
  <c r="CO23" i="7" a="1"/>
  <c r="CO23" i="7" s="1"/>
  <c r="CN23" i="7" a="1"/>
  <c r="CN23" i="7" s="1"/>
  <c r="CM23" i="7"/>
  <c r="CM23" i="7" a="1"/>
  <c r="CL23" i="7" a="1"/>
  <c r="CL23" i="7" s="1"/>
  <c r="CK23" i="7"/>
  <c r="CK23" i="7" a="1"/>
  <c r="CJ23" i="7" a="1"/>
  <c r="CJ23" i="7" s="1"/>
  <c r="CI23" i="7"/>
  <c r="CI23" i="7" a="1"/>
  <c r="CH23" i="7" a="1"/>
  <c r="CH23" i="7" s="1"/>
  <c r="CG23" i="7" a="1"/>
  <c r="CG23" i="7" s="1"/>
  <c r="CF23" i="7"/>
  <c r="CF23" i="7" a="1"/>
  <c r="CE23" i="7" a="1"/>
  <c r="CE23" i="7" s="1"/>
  <c r="CD23" i="7"/>
  <c r="CD23" i="7" a="1"/>
  <c r="CC23" i="7" a="1"/>
  <c r="CC23" i="7" s="1"/>
  <c r="CB23" i="7"/>
  <c r="CB23" i="7" a="1"/>
  <c r="CA23" i="7" a="1"/>
  <c r="CA23" i="7" s="1"/>
  <c r="BZ23" i="7" a="1"/>
  <c r="BZ23" i="7" s="1"/>
  <c r="BY23" i="7" a="1"/>
  <c r="BY23" i="7" s="1"/>
  <c r="BX23" i="7"/>
  <c r="BX23" i="7" a="1"/>
  <c r="BW23" i="7" a="1"/>
  <c r="BW23" i="7" s="1"/>
  <c r="BV23" i="7"/>
  <c r="BV23" i="7" a="1"/>
  <c r="BU23" i="7" a="1"/>
  <c r="BU23" i="7" s="1"/>
  <c r="BT23" i="7" a="1"/>
  <c r="BT23" i="7" s="1"/>
  <c r="BS23" i="7" a="1"/>
  <c r="BS23" i="7" s="1"/>
  <c r="BR23" i="7" a="1"/>
  <c r="BR23" i="7" s="1"/>
  <c r="BQ23" i="7" a="1"/>
  <c r="BQ23" i="7" s="1"/>
  <c r="BP23" i="7" a="1"/>
  <c r="BP23" i="7" s="1"/>
  <c r="BO23" i="7"/>
  <c r="BO23" i="7" a="1"/>
  <c r="BN23" i="7" a="1"/>
  <c r="BN23" i="7" s="1"/>
  <c r="BM23" i="7"/>
  <c r="BM23" i="7" a="1"/>
  <c r="BL23" i="7" a="1"/>
  <c r="BL23" i="7" s="1"/>
  <c r="BK23" i="7"/>
  <c r="BK23" i="7" a="1"/>
  <c r="BJ23" i="7" a="1"/>
  <c r="BJ23" i="7" s="1"/>
  <c r="BI23" i="7"/>
  <c r="BI23" i="7" a="1"/>
  <c r="BH23" i="7" a="1"/>
  <c r="BH23" i="7" s="1"/>
  <c r="BG23" i="7" a="1"/>
  <c r="BG23" i="7" s="1"/>
  <c r="BF23" i="7" a="1"/>
  <c r="BF23" i="7" s="1"/>
  <c r="BE23" i="7"/>
  <c r="BE23" i="7" a="1"/>
  <c r="BD23" i="7" a="1"/>
  <c r="BD23" i="7" s="1"/>
  <c r="BC23" i="7"/>
  <c r="BC23" i="7" a="1"/>
  <c r="BB23" i="7" a="1"/>
  <c r="BB23" i="7" s="1"/>
  <c r="BA23" i="7" a="1"/>
  <c r="BA23" i="7" s="1"/>
  <c r="AZ23" i="7" a="1"/>
  <c r="AZ23" i="7" s="1"/>
  <c r="AY23" i="7" a="1"/>
  <c r="AY23" i="7" s="1"/>
  <c r="AX23" i="7"/>
  <c r="AX23" i="7" a="1"/>
  <c r="AW23" i="7" a="1"/>
  <c r="AW23" i="7" s="1"/>
  <c r="AV23" i="7"/>
  <c r="AV23" i="7" a="1"/>
  <c r="AU23" i="7" a="1"/>
  <c r="AU23" i="7" s="1"/>
  <c r="AT23" i="7" a="1"/>
  <c r="AT23" i="7" s="1"/>
  <c r="AS23" i="7" a="1"/>
  <c r="AS23" i="7" s="1"/>
  <c r="AR23" i="7"/>
  <c r="AR23" i="7" a="1"/>
  <c r="AQ23" i="7" a="1"/>
  <c r="AQ23" i="7" s="1"/>
  <c r="AP23" i="7" a="1"/>
  <c r="AP23" i="7" s="1"/>
  <c r="AO23" i="7" a="1"/>
  <c r="AO23" i="7" s="1"/>
  <c r="AN23" i="7"/>
  <c r="AN23" i="7" a="1"/>
  <c r="AM23" i="7" a="1"/>
  <c r="AM23" i="7" s="1"/>
  <c r="AL23" i="7" a="1"/>
  <c r="AL23" i="7" s="1"/>
  <c r="AK23" i="7"/>
  <c r="AK23" i="7" a="1"/>
  <c r="AJ23" i="7" a="1"/>
  <c r="AJ23" i="7" s="1"/>
  <c r="AI23" i="7" a="1"/>
  <c r="AI23" i="7" s="1"/>
  <c r="AH23" i="7"/>
  <c r="AH23" i="7" a="1"/>
  <c r="AG23" i="7"/>
  <c r="AG23" i="7" a="1"/>
  <c r="AF23" i="7" a="1"/>
  <c r="AF23" i="7" s="1"/>
  <c r="AE23" i="7"/>
  <c r="AE23" i="7" a="1"/>
  <c r="AD23" i="7" a="1"/>
  <c r="AD23" i="7" s="1"/>
  <c r="AC23" i="7" a="1"/>
  <c r="AC23" i="7" s="1"/>
  <c r="AB23" i="7" a="1"/>
  <c r="AB23" i="7" s="1"/>
  <c r="AA23" i="7"/>
  <c r="AA23" i="7" a="1"/>
  <c r="Z23" i="7" a="1"/>
  <c r="Z23" i="7" s="1"/>
  <c r="Y23" i="7"/>
  <c r="Y23" i="7" a="1"/>
  <c r="X23" i="7" a="1"/>
  <c r="X23" i="7" s="1"/>
  <c r="W23" i="7"/>
  <c r="W23" i="7" a="1"/>
  <c r="V23" i="7" a="1"/>
  <c r="V23" i="7" s="1"/>
  <c r="U23" i="7" a="1"/>
  <c r="U23" i="7" s="1"/>
  <c r="T23" i="7"/>
  <c r="T23" i="7" a="1"/>
  <c r="S23" i="7" a="1"/>
  <c r="S23" i="7" s="1"/>
  <c r="R23" i="7" a="1"/>
  <c r="R23" i="7" s="1"/>
  <c r="Q23" i="7" a="1"/>
  <c r="Q23" i="7" s="1"/>
  <c r="P23" i="7"/>
  <c r="P23" i="7" a="1"/>
  <c r="O23" i="7"/>
  <c r="O23" i="7" a="1"/>
  <c r="N23" i="7" a="1"/>
  <c r="N23" i="7" s="1"/>
  <c r="M23" i="7" a="1"/>
  <c r="M23" i="7" s="1"/>
  <c r="L23" i="7" a="1"/>
  <c r="L23" i="7" s="1"/>
  <c r="K23" i="7" a="1"/>
  <c r="K23" i="7" s="1"/>
  <c r="J23" i="7"/>
  <c r="J23" i="7" a="1"/>
  <c r="I23" i="7" a="1"/>
  <c r="I23" i="7" s="1"/>
  <c r="H23" i="7"/>
  <c r="H23" i="7" a="1"/>
  <c r="G23" i="7" a="1"/>
  <c r="G23" i="7" s="1"/>
  <c r="F23" i="7" a="1"/>
  <c r="F23" i="7" s="1"/>
  <c r="E23" i="7"/>
  <c r="E23" i="7" a="1"/>
  <c r="D23" i="7" a="1"/>
  <c r="D23" i="7" s="1"/>
  <c r="C23" i="7"/>
  <c r="C23" i="7" a="1"/>
  <c r="EF22" i="7" a="1"/>
  <c r="EF22" i="7" s="1"/>
  <c r="EE22" i="7" a="1"/>
  <c r="EE22" i="7" s="1"/>
  <c r="ED22" i="7" a="1"/>
  <c r="ED22" i="7" s="1"/>
  <c r="EC22" i="7"/>
  <c r="EC22" i="7" a="1"/>
  <c r="EB22" i="7" a="1"/>
  <c r="EB22" i="7" s="1"/>
  <c r="EA22" i="7"/>
  <c r="EA22" i="7" a="1"/>
  <c r="DZ22" i="7" a="1"/>
  <c r="DZ22" i="7" s="1"/>
  <c r="DY22" i="7" a="1"/>
  <c r="DY22" i="7" s="1"/>
  <c r="DX22" i="7" a="1"/>
  <c r="DX22" i="7" s="1"/>
  <c r="DW22" i="7"/>
  <c r="DW22" i="7" a="1"/>
  <c r="DV22" i="7" a="1"/>
  <c r="DV22" i="7" s="1"/>
  <c r="DU22" i="7" a="1"/>
  <c r="DU22" i="7" s="1"/>
  <c r="DT22" i="7" a="1"/>
  <c r="DT22" i="7" s="1"/>
  <c r="DS22" i="7" a="1"/>
  <c r="DS22" i="7" s="1"/>
  <c r="DR22" i="7"/>
  <c r="DR22" i="7" a="1"/>
  <c r="DQ22" i="7" a="1"/>
  <c r="DQ22" i="7" s="1"/>
  <c r="DP22" i="7"/>
  <c r="DP22" i="7" a="1"/>
  <c r="DO22" i="7"/>
  <c r="DO22" i="7" a="1"/>
  <c r="DN22" i="7" a="1"/>
  <c r="DN22" i="7" s="1"/>
  <c r="DM22" i="7" a="1"/>
  <c r="DM22" i="7" s="1"/>
  <c r="DL22" i="7" a="1"/>
  <c r="DL22" i="7" s="1"/>
  <c r="DK22" i="7" a="1"/>
  <c r="DK22" i="7" s="1"/>
  <c r="DJ22" i="7"/>
  <c r="DJ22" i="7" a="1"/>
  <c r="DI22" i="7" a="1"/>
  <c r="DI22" i="7" s="1"/>
  <c r="DH22" i="7" a="1"/>
  <c r="DH22" i="7" s="1"/>
  <c r="DG22" i="7" a="1"/>
  <c r="DG22" i="7" s="1"/>
  <c r="DF22" i="7" a="1"/>
  <c r="DF22" i="7" s="1"/>
  <c r="DE22" i="7"/>
  <c r="DE22" i="7" a="1"/>
  <c r="DD22" i="7" a="1"/>
  <c r="DD22" i="7" s="1"/>
  <c r="DC22" i="7"/>
  <c r="DC22" i="7" a="1"/>
  <c r="DB22" i="7" a="1"/>
  <c r="DB22" i="7" s="1"/>
  <c r="DA22" i="7"/>
  <c r="DA22" i="7" a="1"/>
  <c r="CZ22" i="7" a="1"/>
  <c r="CZ22" i="7" s="1"/>
  <c r="CY22" i="7"/>
  <c r="CY22" i="7" a="1"/>
  <c r="CX22" i="7" a="1"/>
  <c r="CX22" i="7" s="1"/>
  <c r="CW22" i="7" a="1"/>
  <c r="CW22" i="7" s="1"/>
  <c r="CV22" i="7" a="1"/>
  <c r="CV22" i="7" s="1"/>
  <c r="CU22" i="7"/>
  <c r="CU22" i="7" a="1"/>
  <c r="CT22" i="7" a="1"/>
  <c r="CT22" i="7" s="1"/>
  <c r="CS22" i="7"/>
  <c r="CS22" i="7" a="1"/>
  <c r="CR22" i="7" a="1"/>
  <c r="CR22" i="7" s="1"/>
  <c r="CQ22" i="7" a="1"/>
  <c r="CQ22" i="7" s="1"/>
  <c r="CP22" i="7" a="1"/>
  <c r="CP22" i="7" s="1"/>
  <c r="CO22" i="7" a="1"/>
  <c r="CO22" i="7" s="1"/>
  <c r="CN22" i="7" a="1"/>
  <c r="CN22" i="7" s="1"/>
  <c r="CM22" i="7" a="1"/>
  <c r="CM22" i="7" s="1"/>
  <c r="CL22" i="7"/>
  <c r="CL22" i="7" a="1"/>
  <c r="CK22" i="7"/>
  <c r="CK22" i="7" a="1"/>
  <c r="CJ22" i="7"/>
  <c r="CJ22" i="7" a="1"/>
  <c r="CI22" i="7" a="1"/>
  <c r="CI22" i="7" s="1"/>
  <c r="CH22" i="7"/>
  <c r="CH22" i="7" a="1"/>
  <c r="CG22" i="7"/>
  <c r="CG22" i="7" a="1"/>
  <c r="CF22" i="7" a="1"/>
  <c r="CF22" i="7" s="1"/>
  <c r="CE22" i="7"/>
  <c r="CE22" i="7" a="1"/>
  <c r="CD22" i="7" a="1"/>
  <c r="CD22" i="7" s="1"/>
  <c r="CC22" i="7" a="1"/>
  <c r="CC22" i="7" s="1"/>
  <c r="CB22" i="7"/>
  <c r="CB22" i="7" a="1"/>
  <c r="CA22" i="7" a="1"/>
  <c r="CA22" i="7" s="1"/>
  <c r="BZ22" i="7"/>
  <c r="BZ22" i="7" a="1"/>
  <c r="BY22" i="7" a="1"/>
  <c r="BY22" i="7" s="1"/>
  <c r="BX22" i="7" a="1"/>
  <c r="BX22" i="7" s="1"/>
  <c r="BW22" i="7" a="1"/>
  <c r="BW22" i="7" s="1"/>
  <c r="BV22" i="7" a="1"/>
  <c r="BV22" i="7" s="1"/>
  <c r="BU22" i="7"/>
  <c r="BU22" i="7" a="1"/>
  <c r="BT22" i="7" a="1"/>
  <c r="BT22" i="7" s="1"/>
  <c r="BS22" i="7"/>
  <c r="BS22" i="7" a="1"/>
  <c r="BR22" i="7" a="1"/>
  <c r="BR22" i="7" s="1"/>
  <c r="BQ22" i="7"/>
  <c r="BQ22" i="7" a="1"/>
  <c r="BP22" i="7" a="1"/>
  <c r="BP22" i="7" s="1"/>
  <c r="BO22" i="7" a="1"/>
  <c r="BO22" i="7" s="1"/>
  <c r="BN22" i="7"/>
  <c r="BN22" i="7" a="1"/>
  <c r="BM22" i="7" a="1"/>
  <c r="BM22" i="7" s="1"/>
  <c r="BL22" i="7" a="1"/>
  <c r="BL22" i="7" s="1"/>
  <c r="BK22" i="7"/>
  <c r="BK22" i="7" a="1"/>
  <c r="BJ22" i="7" a="1"/>
  <c r="BJ22" i="7" s="1"/>
  <c r="BI22" i="7" a="1"/>
  <c r="BI22" i="7" s="1"/>
  <c r="BH22" i="7" a="1"/>
  <c r="BH22" i="7" s="1"/>
  <c r="BG22" i="7" a="1"/>
  <c r="BG22" i="7" s="1"/>
  <c r="BF22" i="7" a="1"/>
  <c r="BF22" i="7" s="1"/>
  <c r="BE22" i="7"/>
  <c r="BE22" i="7" a="1"/>
  <c r="BD22" i="7"/>
  <c r="BD22" i="7" a="1"/>
  <c r="BC22" i="7" a="1"/>
  <c r="BC22" i="7" s="1"/>
  <c r="BB22" i="7"/>
  <c r="BB22" i="7" a="1"/>
  <c r="BA22" i="7" a="1"/>
  <c r="BA22" i="7" s="1"/>
  <c r="AZ22" i="7" a="1"/>
  <c r="AZ22" i="7" s="1"/>
  <c r="AY22" i="7" a="1"/>
  <c r="AY22" i="7" s="1"/>
  <c r="AX22" i="7"/>
  <c r="AX22" i="7" a="1"/>
  <c r="AW22" i="7"/>
  <c r="AW22" i="7" a="1"/>
  <c r="AV22" i="7" a="1"/>
  <c r="AV22" i="7" s="1"/>
  <c r="AU22" i="7" a="1"/>
  <c r="AU22" i="7" s="1"/>
  <c r="AT22" i="7"/>
  <c r="AT22" i="7" a="1"/>
  <c r="AS22" i="7" a="1"/>
  <c r="AS22" i="7" s="1"/>
  <c r="AR22" i="7" a="1"/>
  <c r="AR22" i="7" s="1"/>
  <c r="AQ22" i="7"/>
  <c r="AQ22" i="7" a="1"/>
  <c r="AP22" i="7"/>
  <c r="AP22" i="7" a="1"/>
  <c r="AO22" i="7"/>
  <c r="AO22" i="7" a="1"/>
  <c r="AN22" i="7" a="1"/>
  <c r="AN22" i="7" s="1"/>
  <c r="AM22" i="7"/>
  <c r="AM22" i="7" a="1"/>
  <c r="AL22" i="7" a="1"/>
  <c r="AL22" i="7" s="1"/>
  <c r="AK22" i="7"/>
  <c r="AK22" i="7" a="1"/>
  <c r="AJ22" i="7" a="1"/>
  <c r="AJ22" i="7" s="1"/>
  <c r="AI22" i="7" a="1"/>
  <c r="AI22" i="7" s="1"/>
  <c r="AH22" i="7" a="1"/>
  <c r="AH22" i="7" s="1"/>
  <c r="AG22" i="7" a="1"/>
  <c r="AG22" i="7" s="1"/>
  <c r="AF22" i="7"/>
  <c r="AF22" i="7" a="1"/>
  <c r="AE22" i="7" a="1"/>
  <c r="AE22" i="7" s="1"/>
  <c r="AD22" i="7" a="1"/>
  <c r="AD22" i="7" s="1"/>
  <c r="AC22" i="7"/>
  <c r="AC22" i="7" a="1"/>
  <c r="AB22" i="7" a="1"/>
  <c r="AB22" i="7" s="1"/>
  <c r="AA22" i="7" a="1"/>
  <c r="AA22" i="7" s="1"/>
  <c r="Z22" i="7"/>
  <c r="Z22" i="7" a="1"/>
  <c r="Y22" i="7" a="1"/>
  <c r="Y22" i="7" s="1"/>
  <c r="X22" i="7" a="1"/>
  <c r="X22" i="7" s="1"/>
  <c r="W22" i="7" a="1"/>
  <c r="W22" i="7" s="1"/>
  <c r="V22" i="7"/>
  <c r="V22" i="7" a="1"/>
  <c r="U22" i="7"/>
  <c r="U22" i="7" a="1"/>
  <c r="T22" i="7" a="1"/>
  <c r="T22" i="7" s="1"/>
  <c r="S22" i="7" a="1"/>
  <c r="S22" i="7" s="1"/>
  <c r="R22" i="7" a="1"/>
  <c r="R22" i="7" s="1"/>
  <c r="Q22" i="7" a="1"/>
  <c r="Q22" i="7" s="1"/>
  <c r="P22" i="7" a="1"/>
  <c r="P22" i="7" s="1"/>
  <c r="O22" i="7" a="1"/>
  <c r="O22" i="7" s="1"/>
  <c r="N22" i="7" a="1"/>
  <c r="N22" i="7" s="1"/>
  <c r="M22" i="7" a="1"/>
  <c r="M22" i="7" s="1"/>
  <c r="L22" i="7" a="1"/>
  <c r="L22" i="7" s="1"/>
  <c r="K22" i="7"/>
  <c r="K22" i="7" a="1"/>
  <c r="J22" i="7" a="1"/>
  <c r="J22" i="7" s="1"/>
  <c r="I22" i="7"/>
  <c r="I22" i="7" a="1"/>
  <c r="H22" i="7"/>
  <c r="H22" i="7" a="1"/>
  <c r="G22" i="7" a="1"/>
  <c r="G22" i="7" s="1"/>
  <c r="F22" i="7" a="1"/>
  <c r="F22" i="7" s="1"/>
  <c r="E22" i="7"/>
  <c r="E22" i="7" a="1"/>
  <c r="D22" i="7" a="1"/>
  <c r="D22" i="7" s="1"/>
  <c r="C22" i="7"/>
  <c r="C22" i="7" a="1"/>
  <c r="EF21" i="7" a="1"/>
  <c r="EF21" i="7" s="1"/>
  <c r="EE21" i="7"/>
  <c r="EE21" i="7" a="1"/>
  <c r="ED21" i="7" a="1"/>
  <c r="ED21" i="7" s="1"/>
  <c r="EC21" i="7" a="1"/>
  <c r="EC21" i="7" s="1"/>
  <c r="EB21" i="7"/>
  <c r="EB21" i="7" a="1"/>
  <c r="EA21" i="7"/>
  <c r="EA21" i="7" a="1"/>
  <c r="DZ21" i="7" a="1"/>
  <c r="DZ21" i="7" s="1"/>
  <c r="DY21" i="7" a="1"/>
  <c r="DY21" i="7" s="1"/>
  <c r="DX21" i="7"/>
  <c r="DX21" i="7" a="1"/>
  <c r="DW21" i="7" a="1"/>
  <c r="DW21" i="7" s="1"/>
  <c r="DV21" i="7"/>
  <c r="DV21" i="7" a="1"/>
  <c r="DU21" i="7" a="1"/>
  <c r="DU21" i="7" s="1"/>
  <c r="DT21" i="7" a="1"/>
  <c r="DT21" i="7" s="1"/>
  <c r="DS21" i="7"/>
  <c r="DS21" i="7" a="1"/>
  <c r="DR21" i="7" a="1"/>
  <c r="DR21" i="7" s="1"/>
  <c r="DQ21" i="7" a="1"/>
  <c r="DQ21" i="7" s="1"/>
  <c r="DP21" i="7"/>
  <c r="DP21" i="7" a="1"/>
  <c r="DO21" i="7" a="1"/>
  <c r="DO21" i="7" s="1"/>
  <c r="DN21" i="7" a="1"/>
  <c r="DN21" i="7" s="1"/>
  <c r="DM21" i="7" a="1"/>
  <c r="DM21" i="7" s="1"/>
  <c r="DL21" i="7" a="1"/>
  <c r="DL21" i="7" s="1"/>
  <c r="DK21" i="7" a="1"/>
  <c r="DK21" i="7" s="1"/>
  <c r="DJ21" i="7" a="1"/>
  <c r="DJ21" i="7" s="1"/>
  <c r="DI21" i="7"/>
  <c r="DI21" i="7" a="1"/>
  <c r="DH21" i="7" a="1"/>
  <c r="DH21" i="7" s="1"/>
  <c r="DG21" i="7"/>
  <c r="DG21" i="7" a="1"/>
  <c r="DF21" i="7" a="1"/>
  <c r="DF21" i="7" s="1"/>
  <c r="DE21" i="7"/>
  <c r="DE21" i="7" a="1"/>
  <c r="DD21" i="7"/>
  <c r="DD21" i="7" a="1"/>
  <c r="DC21" i="7" a="1"/>
  <c r="DC21" i="7" s="1"/>
  <c r="DB21" i="7" a="1"/>
  <c r="DB21" i="7" s="1"/>
  <c r="DA21" i="7" a="1"/>
  <c r="DA21" i="7" s="1"/>
  <c r="CZ21" i="7" a="1"/>
  <c r="CZ21" i="7" s="1"/>
  <c r="CY21" i="7"/>
  <c r="CY21" i="7" a="1"/>
  <c r="CX21" i="7" a="1"/>
  <c r="CX21" i="7" s="1"/>
  <c r="CW21" i="7" a="1"/>
  <c r="CW21" i="7" s="1"/>
  <c r="CV21" i="7" a="1"/>
  <c r="CV21" i="7" s="1"/>
  <c r="CU21" i="7" a="1"/>
  <c r="CU21" i="7" s="1"/>
  <c r="CT21" i="7" a="1"/>
  <c r="CT21" i="7" s="1"/>
  <c r="CS21" i="7"/>
  <c r="CS21" i="7" a="1"/>
  <c r="CR21" i="7"/>
  <c r="CR21" i="7" a="1"/>
  <c r="CQ21" i="7" a="1"/>
  <c r="CQ21" i="7" s="1"/>
  <c r="CP21" i="7"/>
  <c r="CP21" i="7" a="1"/>
  <c r="CO21" i="7" a="1"/>
  <c r="CO21" i="7" s="1"/>
  <c r="CN21" i="7"/>
  <c r="CN21" i="7" a="1"/>
  <c r="CM21" i="7" a="1"/>
  <c r="CM21" i="7" s="1"/>
  <c r="CL21" i="7" a="1"/>
  <c r="CL21" i="7" s="1"/>
  <c r="CK21" i="7" a="1"/>
  <c r="CK21" i="7" s="1"/>
  <c r="CJ21" i="7"/>
  <c r="CJ21" i="7" a="1"/>
  <c r="CI21" i="7" a="1"/>
  <c r="CI21" i="7" s="1"/>
  <c r="CH21" i="7"/>
  <c r="CH21" i="7" a="1"/>
  <c r="CG21" i="7" a="1"/>
  <c r="CG21" i="7" s="1"/>
  <c r="CF21" i="7" a="1"/>
  <c r="CF21" i="7" s="1"/>
  <c r="CE21" i="7" a="1"/>
  <c r="CE21" i="7" s="1"/>
  <c r="CD21" i="7" a="1"/>
  <c r="CD21" i="7" s="1"/>
  <c r="CC21" i="7"/>
  <c r="CC21" i="7" a="1"/>
  <c r="CB21" i="7" a="1"/>
  <c r="CB21" i="7" s="1"/>
  <c r="CA21" i="7"/>
  <c r="CA21" i="7" a="1"/>
  <c r="BZ21" i="7"/>
  <c r="BZ21" i="7" a="1"/>
  <c r="BY21" i="7"/>
  <c r="BY21" i="7" a="1"/>
  <c r="BX21" i="7" a="1"/>
  <c r="BX21" i="7" s="1"/>
  <c r="BW21" i="7"/>
  <c r="BW21" i="7" a="1"/>
  <c r="BV21" i="7" a="1"/>
  <c r="BV21" i="7" s="1"/>
  <c r="BU21" i="7"/>
  <c r="BU21" i="7" a="1"/>
  <c r="BT21" i="7"/>
  <c r="BT21" i="7" a="1"/>
  <c r="BS21" i="7" a="1"/>
  <c r="BS21" i="7" s="1"/>
  <c r="BR21" i="7" a="1"/>
  <c r="BR21" i="7" s="1"/>
  <c r="BQ21" i="7"/>
  <c r="BQ21" i="7" a="1"/>
  <c r="BP21" i="7" a="1"/>
  <c r="BP21" i="7" s="1"/>
  <c r="BO21" i="7" a="1"/>
  <c r="BO21" i="7" s="1"/>
  <c r="BN21" i="7" a="1"/>
  <c r="BN21" i="7" s="1"/>
  <c r="BM21" i="7"/>
  <c r="BM21" i="7" a="1"/>
  <c r="BL21" i="7" a="1"/>
  <c r="BL21" i="7" s="1"/>
  <c r="BK21" i="7" a="1"/>
  <c r="BK21" i="7" s="1"/>
  <c r="BJ21" i="7" a="1"/>
  <c r="BJ21" i="7" s="1"/>
  <c r="BI21" i="7" a="1"/>
  <c r="BI21" i="7" s="1"/>
  <c r="BH21" i="7"/>
  <c r="BH21" i="7" a="1"/>
  <c r="BG21" i="7" a="1"/>
  <c r="BG21" i="7" s="1"/>
  <c r="BF21" i="7" a="1"/>
  <c r="BF21" i="7" s="1"/>
  <c r="BE21" i="7" a="1"/>
  <c r="BE21" i="7" s="1"/>
  <c r="BD21" i="7"/>
  <c r="BD21" i="7" a="1"/>
  <c r="BC21" i="7" a="1"/>
  <c r="BC21" i="7" s="1"/>
  <c r="BB21" i="7"/>
  <c r="BB21" i="7" a="1"/>
  <c r="BA21" i="7"/>
  <c r="BA21" i="7" a="1"/>
  <c r="AZ21" i="7" a="1"/>
  <c r="AZ21" i="7" s="1"/>
  <c r="AY21" i="7" a="1"/>
  <c r="AY21" i="7" s="1"/>
  <c r="AX21" i="7" a="1"/>
  <c r="AX21" i="7" s="1"/>
  <c r="AW21" i="7"/>
  <c r="AW21" i="7" a="1"/>
  <c r="AV21" i="7" a="1"/>
  <c r="AV21" i="7" s="1"/>
  <c r="AU21" i="7" a="1"/>
  <c r="AU21" i="7" s="1"/>
  <c r="AT21" i="7"/>
  <c r="AT21" i="7" a="1"/>
  <c r="AS21" i="7" a="1"/>
  <c r="AS21" i="7" s="1"/>
  <c r="AR21" i="7" a="1"/>
  <c r="AR21" i="7" s="1"/>
  <c r="AQ21" i="7"/>
  <c r="AQ21" i="7" a="1"/>
  <c r="AP21" i="7" a="1"/>
  <c r="AP21" i="7" s="1"/>
  <c r="AO21" i="7"/>
  <c r="AO21" i="7" a="1"/>
  <c r="AN21" i="7" a="1"/>
  <c r="AN21" i="7" s="1"/>
  <c r="AM21" i="7" a="1"/>
  <c r="AM21" i="7" s="1"/>
  <c r="AL21" i="7" a="1"/>
  <c r="AL21" i="7" s="1"/>
  <c r="AK21" i="7" a="1"/>
  <c r="AK21" i="7" s="1"/>
  <c r="AJ21" i="7"/>
  <c r="AJ21" i="7" a="1"/>
  <c r="AI21" i="7"/>
  <c r="AI21" i="7" a="1"/>
  <c r="AH21" i="7" a="1"/>
  <c r="AH21" i="7" s="1"/>
  <c r="AG21" i="7" a="1"/>
  <c r="AG21" i="7" s="1"/>
  <c r="AF21" i="7"/>
  <c r="AF21" i="7" a="1"/>
  <c r="AE21" i="7" a="1"/>
  <c r="AE21" i="7" s="1"/>
  <c r="AD21" i="7" a="1"/>
  <c r="AD21" i="7" s="1"/>
  <c r="AC21" i="7"/>
  <c r="AC21" i="7" a="1"/>
  <c r="AB21" i="7" a="1"/>
  <c r="AB21" i="7" s="1"/>
  <c r="AA21" i="7" a="1"/>
  <c r="AA21" i="7" s="1"/>
  <c r="Z21" i="7" a="1"/>
  <c r="Z21" i="7" s="1"/>
  <c r="Y21" i="7" a="1"/>
  <c r="Y21" i="7" s="1"/>
  <c r="X21" i="7"/>
  <c r="X21" i="7" a="1"/>
  <c r="W21" i="7" a="1"/>
  <c r="W21" i="7" s="1"/>
  <c r="V21" i="7"/>
  <c r="V21" i="7" a="1"/>
  <c r="U21" i="7"/>
  <c r="U21" i="7" a="1"/>
  <c r="T21" i="7" a="1"/>
  <c r="T21" i="7" s="1"/>
  <c r="S21" i="7" a="1"/>
  <c r="S21" i="7" s="1"/>
  <c r="R21" i="7" a="1"/>
  <c r="R21" i="7" s="1"/>
  <c r="Q21" i="7"/>
  <c r="Q21" i="7" a="1"/>
  <c r="P21" i="7" a="1"/>
  <c r="P21" i="7" s="1"/>
  <c r="O21" i="7"/>
  <c r="O21" i="7" a="1"/>
  <c r="N21" i="7" a="1"/>
  <c r="N21" i="7" s="1"/>
  <c r="M21" i="7"/>
  <c r="M21" i="7" a="1"/>
  <c r="L21" i="7"/>
  <c r="L21" i="7" a="1"/>
  <c r="K21" i="7" a="1"/>
  <c r="K21" i="7" s="1"/>
  <c r="J21" i="7" a="1"/>
  <c r="J21" i="7" s="1"/>
  <c r="I21" i="7" a="1"/>
  <c r="I21" i="7" s="1"/>
  <c r="H21" i="7" a="1"/>
  <c r="H21" i="7" s="1"/>
  <c r="G21" i="7"/>
  <c r="G21" i="7" a="1"/>
  <c r="F21" i="7" a="1"/>
  <c r="F21" i="7" s="1"/>
  <c r="E21" i="7"/>
  <c r="E21" i="7" a="1"/>
  <c r="D21" i="7"/>
  <c r="D21" i="7" a="1"/>
  <c r="C21" i="7" a="1"/>
  <c r="C21" i="7" s="1"/>
  <c r="EF20" i="7" a="1"/>
  <c r="EF20" i="7" s="1"/>
  <c r="EE20" i="7" a="1"/>
  <c r="EE20" i="7" s="1"/>
  <c r="ED20" i="7"/>
  <c r="ED20" i="7" a="1"/>
  <c r="EC20" i="7" a="1"/>
  <c r="EC20" i="7" s="1"/>
  <c r="EB20" i="7"/>
  <c r="EB20" i="7" a="1"/>
  <c r="EA20" i="7"/>
  <c r="EA20" i="7" a="1"/>
  <c r="DZ20" i="7" a="1"/>
  <c r="DZ20" i="7" s="1"/>
  <c r="DY20" i="7"/>
  <c r="DY20" i="7" a="1"/>
  <c r="DX20" i="7" a="1"/>
  <c r="DX20" i="7" s="1"/>
  <c r="DW20" i="7"/>
  <c r="DW20" i="7" a="1"/>
  <c r="DV20" i="7" a="1"/>
  <c r="DV20" i="7" s="1"/>
  <c r="DU20" i="7" a="1"/>
  <c r="DU20" i="7" s="1"/>
  <c r="DT20" i="7" a="1"/>
  <c r="DT20" i="7" s="1"/>
  <c r="DS20" i="7" a="1"/>
  <c r="DS20" i="7" s="1"/>
  <c r="DR20" i="7"/>
  <c r="DR20" i="7" a="1"/>
  <c r="DQ20" i="7"/>
  <c r="DQ20" i="7" a="1"/>
  <c r="DP20" i="7" a="1"/>
  <c r="DP20" i="7" s="1"/>
  <c r="DO20" i="7"/>
  <c r="DO20" i="7" a="1"/>
  <c r="DN20" i="7" a="1"/>
  <c r="DN20" i="7" s="1"/>
  <c r="DM20" i="7"/>
  <c r="DM20" i="7" a="1"/>
  <c r="DL20" i="7" a="1"/>
  <c r="DL20" i="7" s="1"/>
  <c r="DK20" i="7"/>
  <c r="DK20" i="7" a="1"/>
  <c r="DJ20" i="7" a="1"/>
  <c r="DJ20" i="7" s="1"/>
  <c r="DI20" i="7" a="1"/>
  <c r="DI20" i="7" s="1"/>
  <c r="DH20" i="7" a="1"/>
  <c r="DH20" i="7" s="1"/>
  <c r="DG20" i="7" a="1"/>
  <c r="DG20" i="7" s="1"/>
  <c r="DF20" i="7"/>
  <c r="DF20" i="7" a="1"/>
  <c r="DE20" i="7" a="1"/>
  <c r="DE20" i="7" s="1"/>
  <c r="DD20" i="7" a="1"/>
  <c r="DD20" i="7" s="1"/>
  <c r="DC20" i="7" a="1"/>
  <c r="DC20" i="7" s="1"/>
  <c r="DB20" i="7" a="1"/>
  <c r="DB20" i="7" s="1"/>
  <c r="DA20" i="7" a="1"/>
  <c r="DA20" i="7" s="1"/>
  <c r="CZ20" i="7" a="1"/>
  <c r="CZ20" i="7" s="1"/>
  <c r="CY20" i="7" a="1"/>
  <c r="CY20" i="7" s="1"/>
  <c r="CX20" i="7" a="1"/>
  <c r="CX20" i="7" s="1"/>
  <c r="CW20" i="7"/>
  <c r="CW20" i="7" a="1"/>
  <c r="CV20" i="7"/>
  <c r="CV20" i="7" a="1"/>
  <c r="CU20" i="7" a="1"/>
  <c r="CU20" i="7" s="1"/>
  <c r="CT20" i="7"/>
  <c r="CT20" i="7" a="1"/>
  <c r="CS20" i="7" a="1"/>
  <c r="CS20" i="7" s="1"/>
  <c r="CR20" i="7" a="1"/>
  <c r="CR20" i="7" s="1"/>
  <c r="CQ20" i="7"/>
  <c r="CQ20" i="7" a="1"/>
  <c r="CP20" i="7" a="1"/>
  <c r="CP20" i="7" s="1"/>
  <c r="CO20" i="7" a="1"/>
  <c r="CO20" i="7" s="1"/>
  <c r="CN20" i="7"/>
  <c r="CN20" i="7" a="1"/>
  <c r="CM20" i="7" a="1"/>
  <c r="CM20" i="7" s="1"/>
  <c r="CL20" i="7" a="1"/>
  <c r="CL20" i="7" s="1"/>
  <c r="CK20" i="7" a="1"/>
  <c r="CK20" i="7" s="1"/>
  <c r="CJ20" i="7" a="1"/>
  <c r="CJ20" i="7" s="1"/>
  <c r="CI20" i="7" a="1"/>
  <c r="CI20" i="7" s="1"/>
  <c r="CH20" i="7" a="1"/>
  <c r="CH20" i="7" s="1"/>
  <c r="CG20" i="7"/>
  <c r="CG20" i="7" a="1"/>
  <c r="CF20" i="7" a="1"/>
  <c r="CF20" i="7" s="1"/>
  <c r="CE20" i="7"/>
  <c r="CE20" i="7" a="1"/>
  <c r="CD20" i="7" a="1"/>
  <c r="CD20" i="7" s="1"/>
  <c r="CC20" i="7"/>
  <c r="CC20" i="7" a="1"/>
  <c r="CB20" i="7" a="1"/>
  <c r="CB20" i="7" s="1"/>
  <c r="CA20" i="7" a="1"/>
  <c r="CA20" i="7" s="1"/>
  <c r="BZ20" i="7" a="1"/>
  <c r="BZ20" i="7" s="1"/>
  <c r="BY20" i="7"/>
  <c r="BY20" i="7" a="1"/>
  <c r="BX20" i="7" a="1"/>
  <c r="BX20" i="7" s="1"/>
  <c r="BW20" i="7" a="1"/>
  <c r="BW20" i="7" s="1"/>
  <c r="BV20" i="7" a="1"/>
  <c r="BV20" i="7" s="1"/>
  <c r="BU20" i="7" a="1"/>
  <c r="BU20" i="7" s="1"/>
  <c r="BT20" i="7" a="1"/>
  <c r="BT20" i="7" s="1"/>
  <c r="BS20" i="7" a="1"/>
  <c r="BS20" i="7" s="1"/>
  <c r="BR20" i="7" a="1"/>
  <c r="BR20" i="7" s="1"/>
  <c r="BQ20" i="7" a="1"/>
  <c r="BQ20" i="7" s="1"/>
  <c r="BP20" i="7" a="1"/>
  <c r="BP20" i="7" s="1"/>
  <c r="BO20" i="7"/>
  <c r="BO20" i="7" a="1"/>
  <c r="BN20" i="7"/>
  <c r="BN20" i="7" a="1"/>
  <c r="BM20" i="7" a="1"/>
  <c r="BM20" i="7" s="1"/>
  <c r="BL20" i="7" a="1"/>
  <c r="BL20" i="7" s="1"/>
  <c r="BK20" i="7" a="1"/>
  <c r="BK20" i="7" s="1"/>
  <c r="BJ20" i="7"/>
  <c r="BJ20" i="7" a="1"/>
  <c r="BI20" i="7"/>
  <c r="BI20" i="7" a="1"/>
  <c r="BH20" i="7"/>
  <c r="BH20" i="7" a="1"/>
  <c r="BG20" i="7"/>
  <c r="BG20" i="7" a="1"/>
  <c r="BF20" i="7" a="1"/>
  <c r="BF20" i="7" s="1"/>
  <c r="BE20" i="7" a="1"/>
  <c r="BE20" i="7" s="1"/>
  <c r="BD20" i="7" a="1"/>
  <c r="BD20" i="7" s="1"/>
  <c r="BC20" i="7"/>
  <c r="BC20" i="7" a="1"/>
  <c r="BB20" i="7" a="1"/>
  <c r="BB20" i="7" s="1"/>
  <c r="BA20" i="7"/>
  <c r="BA20" i="7" a="1"/>
  <c r="AZ20" i="7"/>
  <c r="AZ20" i="7" a="1"/>
  <c r="AY20" i="7"/>
  <c r="AY20" i="7" a="1"/>
  <c r="AX20" i="7"/>
  <c r="AX20" i="7" a="1"/>
  <c r="AW20" i="7"/>
  <c r="AW20" i="7" a="1"/>
  <c r="AV20" i="7" a="1"/>
  <c r="AV20" i="7" s="1"/>
  <c r="AU20" i="7" a="1"/>
  <c r="AU20" i="7" s="1"/>
  <c r="AT20" i="7" a="1"/>
  <c r="AT20" i="7" s="1"/>
  <c r="AS20" i="7" a="1"/>
  <c r="AS20" i="7" s="1"/>
  <c r="AR20" i="7"/>
  <c r="AR20" i="7" a="1"/>
  <c r="AQ20" i="7"/>
  <c r="AQ20" i="7" a="1"/>
  <c r="AP20" i="7"/>
  <c r="AP20" i="7" a="1"/>
  <c r="AO20" i="7"/>
  <c r="AO20" i="7" a="1"/>
  <c r="AN20" i="7" a="1"/>
  <c r="AN20" i="7" s="1"/>
  <c r="AM20" i="7" a="1"/>
  <c r="AM20" i="7" s="1"/>
  <c r="AL20" i="7"/>
  <c r="AL20" i="7" a="1"/>
  <c r="AK20" i="7"/>
  <c r="AK20" i="7" a="1"/>
  <c r="AJ20" i="7" a="1"/>
  <c r="AJ20" i="7" s="1"/>
  <c r="AI20" i="7"/>
  <c r="AI20" i="7" a="1"/>
  <c r="AH20" i="7"/>
  <c r="AH20" i="7" a="1"/>
  <c r="AG20" i="7"/>
  <c r="AG20" i="7" a="1"/>
  <c r="AF20" i="7" a="1"/>
  <c r="AF20" i="7" s="1"/>
  <c r="AE20" i="7" a="1"/>
  <c r="AE20" i="7" s="1"/>
  <c r="AD20" i="7" a="1"/>
  <c r="AD20" i="7" s="1"/>
  <c r="AC20" i="7" a="1"/>
  <c r="AC20" i="7" s="1"/>
  <c r="AB20" i="7"/>
  <c r="AB20" i="7" a="1"/>
  <c r="AA20" i="7" a="1"/>
  <c r="AA20" i="7" s="1"/>
  <c r="Z20" i="7"/>
  <c r="Z20" i="7" a="1"/>
  <c r="Y20" i="7" a="1"/>
  <c r="Y20" i="7" s="1"/>
  <c r="X20" i="7" a="1"/>
  <c r="X20" i="7" s="1"/>
  <c r="W20" i="7"/>
  <c r="W20" i="7" a="1"/>
  <c r="V20" i="7" a="1"/>
  <c r="V20" i="7" s="1"/>
  <c r="U20" i="7"/>
  <c r="U20" i="7" a="1"/>
  <c r="T20" i="7" a="1"/>
  <c r="T20" i="7" s="1"/>
  <c r="S20" i="7" a="1"/>
  <c r="S20" i="7" s="1"/>
  <c r="R20" i="7"/>
  <c r="R20" i="7" a="1"/>
  <c r="Q20" i="7"/>
  <c r="Q20" i="7" a="1"/>
  <c r="P20" i="7" a="1"/>
  <c r="P20" i="7" s="1"/>
  <c r="O20" i="7"/>
  <c r="O20" i="7" a="1"/>
  <c r="N20" i="7"/>
  <c r="N20" i="7" a="1"/>
  <c r="M20" i="7" a="1"/>
  <c r="M20" i="7" s="1"/>
  <c r="L20" i="7" a="1"/>
  <c r="L20" i="7" s="1"/>
  <c r="K20" i="7" a="1"/>
  <c r="K20" i="7" s="1"/>
  <c r="J20" i="7" a="1"/>
  <c r="J20" i="7" s="1"/>
  <c r="I20" i="7" a="1"/>
  <c r="I20" i="7" s="1"/>
  <c r="H20" i="7" a="1"/>
  <c r="H20" i="7" s="1"/>
  <c r="G20" i="7"/>
  <c r="G20" i="7" a="1"/>
  <c r="F20" i="7"/>
  <c r="F20" i="7" a="1"/>
  <c r="E20" i="7" a="1"/>
  <c r="E20" i="7" s="1"/>
  <c r="D20" i="7"/>
  <c r="D20" i="7" a="1"/>
  <c r="C20" i="7"/>
  <c r="C20" i="7" a="1"/>
  <c r="EF19" i="7" a="1"/>
  <c r="EF19" i="7" s="1"/>
  <c r="EE19" i="7" a="1"/>
  <c r="EE19" i="7" s="1"/>
  <c r="ED19" i="7" a="1"/>
  <c r="ED19" i="7" s="1"/>
  <c r="EC19" i="7" a="1"/>
  <c r="EC19" i="7" s="1"/>
  <c r="EB19" i="7"/>
  <c r="EB19" i="7" a="1"/>
  <c r="EA19" i="7" a="1"/>
  <c r="EA19" i="7" s="1"/>
  <c r="DZ19" i="7" a="1"/>
  <c r="DZ19" i="7" s="1"/>
  <c r="DY19" i="7" a="1"/>
  <c r="DY19" i="7" s="1"/>
  <c r="DX19" i="7"/>
  <c r="DX19" i="7" a="1"/>
  <c r="DW19" i="7"/>
  <c r="DW19" i="7" a="1"/>
  <c r="DV19" i="7" a="1"/>
  <c r="DV19" i="7" s="1"/>
  <c r="DU19" i="7" a="1"/>
  <c r="DU19" i="7" s="1"/>
  <c r="DT19" i="7" a="1"/>
  <c r="DT19" i="7" s="1"/>
  <c r="DS19" i="7" a="1"/>
  <c r="DS19" i="7" s="1"/>
  <c r="DR19" i="7" a="1"/>
  <c r="DR19" i="7" s="1"/>
  <c r="DQ19" i="7" a="1"/>
  <c r="DQ19" i="7" s="1"/>
  <c r="DP19" i="7"/>
  <c r="DP19" i="7" a="1"/>
  <c r="DO19" i="7" a="1"/>
  <c r="DO19" i="7" s="1"/>
  <c r="DN19" i="7" a="1"/>
  <c r="DN19" i="7" s="1"/>
  <c r="DM19" i="7" a="1"/>
  <c r="DM19" i="7" s="1"/>
  <c r="DL19" i="7"/>
  <c r="DL19" i="7" a="1"/>
  <c r="DK19" i="7" a="1"/>
  <c r="DK19" i="7" s="1"/>
  <c r="DJ19" i="7"/>
  <c r="DJ19" i="7" a="1"/>
  <c r="DI19" i="7" a="1"/>
  <c r="DI19" i="7" s="1"/>
  <c r="DH19" i="7"/>
  <c r="DH19" i="7" a="1"/>
  <c r="DG19" i="7"/>
  <c r="DG19" i="7" a="1"/>
  <c r="DF19" i="7"/>
  <c r="DF19" i="7" a="1"/>
  <c r="DE19" i="7" a="1"/>
  <c r="DE19" i="7" s="1"/>
  <c r="DD19" i="7" a="1"/>
  <c r="DD19" i="7" s="1"/>
  <c r="DC19" i="7" a="1"/>
  <c r="DC19" i="7" s="1"/>
  <c r="DB19" i="7" a="1"/>
  <c r="DB19" i="7" s="1"/>
  <c r="DA19" i="7" a="1"/>
  <c r="DA19" i="7" s="1"/>
  <c r="CZ19" i="7"/>
  <c r="CZ19" i="7" a="1"/>
  <c r="CY19" i="7"/>
  <c r="CY19" i="7" a="1"/>
  <c r="CX19" i="7" a="1"/>
  <c r="CX19" i="7" s="1"/>
  <c r="CW19" i="7"/>
  <c r="CW19" i="7" a="1"/>
  <c r="CV19" i="7" a="1"/>
  <c r="CV19" i="7" s="1"/>
  <c r="CU19" i="7" a="1"/>
  <c r="CU19" i="7" s="1"/>
  <c r="CT19" i="7" a="1"/>
  <c r="CT19" i="7" s="1"/>
  <c r="CS19" i="7" a="1"/>
  <c r="CS19" i="7" s="1"/>
  <c r="CR19" i="7" a="1"/>
  <c r="CR19" i="7" s="1"/>
  <c r="CQ19" i="7"/>
  <c r="CQ19" i="7" a="1"/>
  <c r="CP19" i="7"/>
  <c r="CP19" i="7" a="1"/>
  <c r="CO19" i="7" a="1"/>
  <c r="CO19" i="7" s="1"/>
  <c r="CN19" i="7" a="1"/>
  <c r="CN19" i="7" s="1"/>
  <c r="CM19" i="7" a="1"/>
  <c r="CM19" i="7" s="1"/>
  <c r="CL19" i="7"/>
  <c r="CL19" i="7" a="1"/>
  <c r="CK19" i="7" a="1"/>
  <c r="CK19" i="7" s="1"/>
  <c r="CJ19" i="7" a="1"/>
  <c r="CJ19" i="7" s="1"/>
  <c r="CI19" i="7" a="1"/>
  <c r="CI19" i="7" s="1"/>
  <c r="CH19" i="7" a="1"/>
  <c r="CH19" i="7" s="1"/>
  <c r="CG19" i="7"/>
  <c r="CG19" i="7" a="1"/>
  <c r="CF19" i="7" a="1"/>
  <c r="CF19" i="7" s="1"/>
  <c r="CE19" i="7" a="1"/>
  <c r="CE19" i="7" s="1"/>
  <c r="CD19" i="7" a="1"/>
  <c r="CD19" i="7" s="1"/>
  <c r="CC19" i="7" a="1"/>
  <c r="CC19" i="7" s="1"/>
  <c r="CB19" i="7"/>
  <c r="CB19" i="7" a="1"/>
  <c r="CA19" i="7" a="1"/>
  <c r="CA19" i="7" s="1"/>
  <c r="BZ19" i="7" a="1"/>
  <c r="BZ19" i="7" s="1"/>
  <c r="BY19" i="7" a="1"/>
  <c r="BY19" i="7" s="1"/>
  <c r="BX19" i="7"/>
  <c r="BX19" i="7" a="1"/>
  <c r="BW19" i="7" a="1"/>
  <c r="BW19" i="7" s="1"/>
  <c r="BV19" i="7" a="1"/>
  <c r="BV19" i="7" s="1"/>
  <c r="BU19" i="7" a="1"/>
  <c r="BU19" i="7" s="1"/>
  <c r="BT19" i="7" a="1"/>
  <c r="BT19" i="7" s="1"/>
  <c r="BS19" i="7" a="1"/>
  <c r="BS19" i="7" s="1"/>
  <c r="BR19" i="7" a="1"/>
  <c r="BR19" i="7" s="1"/>
  <c r="BQ19" i="7" a="1"/>
  <c r="BQ19" i="7" s="1"/>
  <c r="BP19" i="7" a="1"/>
  <c r="BP19" i="7" s="1"/>
  <c r="BO19" i="7" a="1"/>
  <c r="BO19" i="7" s="1"/>
  <c r="BN19" i="7" a="1"/>
  <c r="BN19" i="7" s="1"/>
  <c r="BM19" i="7" a="1"/>
  <c r="BM19" i="7" s="1"/>
  <c r="BL19" i="7" a="1"/>
  <c r="BL19" i="7" s="1"/>
  <c r="BK19" i="7" a="1"/>
  <c r="BK19" i="7" s="1"/>
  <c r="BJ19" i="7" a="1"/>
  <c r="BJ19" i="7" s="1"/>
  <c r="BI19" i="7" a="1"/>
  <c r="BI19" i="7" s="1"/>
  <c r="BH19" i="7" a="1"/>
  <c r="BH19" i="7" s="1"/>
  <c r="BG19" i="7" a="1"/>
  <c r="BG19" i="7" s="1"/>
  <c r="BF19" i="7" a="1"/>
  <c r="BF19" i="7" s="1"/>
  <c r="BE19" i="7" a="1"/>
  <c r="BE19" i="7" s="1"/>
  <c r="BD19" i="7"/>
  <c r="BD19" i="7" a="1"/>
  <c r="BC19" i="7" a="1"/>
  <c r="BC19" i="7" s="1"/>
  <c r="BB19" i="7" a="1"/>
  <c r="BB19" i="7" s="1"/>
  <c r="BA19" i="7"/>
  <c r="BA19" i="7" a="1"/>
  <c r="AZ19" i="7"/>
  <c r="AZ19" i="7" a="1"/>
  <c r="AY19" i="7" a="1"/>
  <c r="AY19" i="7" s="1"/>
  <c r="AX19" i="7"/>
  <c r="AX19" i="7" a="1"/>
  <c r="AW19" i="7" a="1"/>
  <c r="AW19" i="7" s="1"/>
  <c r="AV19" i="7"/>
  <c r="AV19" i="7" a="1"/>
  <c r="AU19" i="7"/>
  <c r="AU19" i="7" a="1"/>
  <c r="AT19" i="7" a="1"/>
  <c r="AT19" i="7" s="1"/>
  <c r="AS19" i="7" a="1"/>
  <c r="AS19" i="7" s="1"/>
  <c r="AR19" i="7"/>
  <c r="AR19" i="7" a="1"/>
  <c r="AQ19" i="7" a="1"/>
  <c r="AQ19" i="7" s="1"/>
  <c r="AP19" i="7" a="1"/>
  <c r="AP19" i="7" s="1"/>
  <c r="AO19" i="7" a="1"/>
  <c r="AO19" i="7" s="1"/>
  <c r="AN19" i="7" a="1"/>
  <c r="AN19" i="7" s="1"/>
  <c r="AM19" i="7"/>
  <c r="AM19" i="7" a="1"/>
  <c r="AL19" i="7"/>
  <c r="AL19" i="7" a="1"/>
  <c r="AK19" i="7"/>
  <c r="AK19" i="7" a="1"/>
  <c r="AJ19" i="7" a="1"/>
  <c r="AJ19" i="7" s="1"/>
  <c r="AI19" i="7" a="1"/>
  <c r="AI19" i="7" s="1"/>
  <c r="AH19" i="7" a="1"/>
  <c r="AH19" i="7" s="1"/>
  <c r="AG19" i="7" a="1"/>
  <c r="AG19" i="7" s="1"/>
  <c r="AF19" i="7" a="1"/>
  <c r="AF19" i="7" s="1"/>
  <c r="AE19" i="7" a="1"/>
  <c r="AE19" i="7" s="1"/>
  <c r="AD19" i="7"/>
  <c r="AD19" i="7" a="1"/>
  <c r="AC19" i="7" a="1"/>
  <c r="AC19" i="7" s="1"/>
  <c r="AB19" i="7"/>
  <c r="AB19" i="7" a="1"/>
  <c r="AA19" i="7" a="1"/>
  <c r="AA19" i="7" s="1"/>
  <c r="Z19" i="7" a="1"/>
  <c r="Z19" i="7" s="1"/>
  <c r="Y19" i="7" a="1"/>
  <c r="Y19" i="7" s="1"/>
  <c r="X19" i="7" a="1"/>
  <c r="X19" i="7" s="1"/>
  <c r="W19" i="7"/>
  <c r="W19" i="7" a="1"/>
  <c r="V19" i="7" a="1"/>
  <c r="V19" i="7" s="1"/>
  <c r="U19" i="7"/>
  <c r="U19" i="7" a="1"/>
  <c r="T19" i="7" a="1"/>
  <c r="T19" i="7" s="1"/>
  <c r="S19" i="7" a="1"/>
  <c r="S19" i="7" s="1"/>
  <c r="R19" i="7"/>
  <c r="R19" i="7" a="1"/>
  <c r="Q19" i="7" a="1"/>
  <c r="Q19" i="7" s="1"/>
  <c r="P19" i="7" a="1"/>
  <c r="P19" i="7" s="1"/>
  <c r="O19" i="7"/>
  <c r="O19" i="7" a="1"/>
  <c r="N19" i="7" a="1"/>
  <c r="N19" i="7" s="1"/>
  <c r="M19" i="7" a="1"/>
  <c r="M19" i="7" s="1"/>
  <c r="L19" i="7"/>
  <c r="L19" i="7" a="1"/>
  <c r="K19" i="7" a="1"/>
  <c r="K19" i="7" s="1"/>
  <c r="J19" i="7" a="1"/>
  <c r="J19" i="7" s="1"/>
  <c r="I19" i="7" a="1"/>
  <c r="I19" i="7" s="1"/>
  <c r="H19" i="7"/>
  <c r="H19" i="7" a="1"/>
  <c r="G19" i="7"/>
  <c r="G19" i="7" a="1"/>
  <c r="F19" i="7" a="1"/>
  <c r="F19" i="7" s="1"/>
  <c r="E19" i="7" a="1"/>
  <c r="E19" i="7" s="1"/>
  <c r="D19" i="7" a="1"/>
  <c r="D19" i="7" s="1"/>
  <c r="C19" i="7" a="1"/>
  <c r="C19" i="7" s="1"/>
  <c r="EF18" i="7" a="1"/>
  <c r="EF18" i="7" s="1"/>
  <c r="EE18" i="7" a="1"/>
  <c r="EE18" i="7" s="1"/>
  <c r="ED18" i="7" a="1"/>
  <c r="ED18" i="7" s="1"/>
  <c r="EC18" i="7" a="1"/>
  <c r="EC18" i="7" s="1"/>
  <c r="EB18" i="7" a="1"/>
  <c r="EB18" i="7" s="1"/>
  <c r="EA18" i="7" a="1"/>
  <c r="EA18" i="7" s="1"/>
  <c r="DZ18" i="7" a="1"/>
  <c r="DZ18" i="7" s="1"/>
  <c r="DY18" i="7" a="1"/>
  <c r="DY18" i="7" s="1"/>
  <c r="DX18" i="7" a="1"/>
  <c r="DX18" i="7" s="1"/>
  <c r="DW18" i="7" a="1"/>
  <c r="DW18" i="7" s="1"/>
  <c r="DV18" i="7" a="1"/>
  <c r="DV18" i="7" s="1"/>
  <c r="DU18" i="7" a="1"/>
  <c r="DU18" i="7" s="1"/>
  <c r="DT18" i="7" a="1"/>
  <c r="DT18" i="7" s="1"/>
  <c r="DS18" i="7" a="1"/>
  <c r="DS18" i="7" s="1"/>
  <c r="DR18" i="7" a="1"/>
  <c r="DR18" i="7" s="1"/>
  <c r="DQ18" i="7" a="1"/>
  <c r="DQ18" i="7" s="1"/>
  <c r="DP18" i="7"/>
  <c r="DP18" i="7" a="1"/>
  <c r="DO18" i="7" a="1"/>
  <c r="DO18" i="7" s="1"/>
  <c r="DN18" i="7"/>
  <c r="DN18" i="7" a="1"/>
  <c r="DM18" i="7" a="1"/>
  <c r="DM18" i="7" s="1"/>
  <c r="DL18" i="7" a="1"/>
  <c r="DL18" i="7" s="1"/>
  <c r="DK18" i="7"/>
  <c r="DK18" i="7" a="1"/>
  <c r="DJ18" i="7" a="1"/>
  <c r="DJ18" i="7" s="1"/>
  <c r="DI18" i="7" a="1"/>
  <c r="DI18" i="7" s="1"/>
  <c r="DH18" i="7" a="1"/>
  <c r="DH18" i="7" s="1"/>
  <c r="DG18" i="7" a="1"/>
  <c r="DG18" i="7" s="1"/>
  <c r="DF18" i="7" a="1"/>
  <c r="DF18" i="7" s="1"/>
  <c r="DE18" i="7"/>
  <c r="DE18" i="7" a="1"/>
  <c r="DD18" i="7"/>
  <c r="DD18" i="7" a="1"/>
  <c r="DC18" i="7"/>
  <c r="DC18" i="7" a="1"/>
  <c r="DB18" i="7" a="1"/>
  <c r="DB18" i="7" s="1"/>
  <c r="DA18" i="7" a="1"/>
  <c r="DA18" i="7" s="1"/>
  <c r="CZ18" i="7" a="1"/>
  <c r="CZ18" i="7" s="1"/>
  <c r="CY18" i="7" a="1"/>
  <c r="CY18" i="7" s="1"/>
  <c r="CX18" i="7" a="1"/>
  <c r="CX18" i="7" s="1"/>
  <c r="CW18" i="7" a="1"/>
  <c r="CW18" i="7" s="1"/>
  <c r="CV18" i="7"/>
  <c r="CV18" i="7" a="1"/>
  <c r="CU18" i="7" a="1"/>
  <c r="CU18" i="7" s="1"/>
  <c r="CT18" i="7" a="1"/>
  <c r="CT18" i="7" s="1"/>
  <c r="CS18" i="7" a="1"/>
  <c r="CS18" i="7" s="1"/>
  <c r="CR18" i="7" a="1"/>
  <c r="CR18" i="7" s="1"/>
  <c r="CQ18" i="7" a="1"/>
  <c r="CQ18" i="7" s="1"/>
  <c r="CP18" i="7" a="1"/>
  <c r="CP18" i="7" s="1"/>
  <c r="CO18" i="7" a="1"/>
  <c r="CO18" i="7" s="1"/>
  <c r="CN18" i="7" a="1"/>
  <c r="CN18" i="7" s="1"/>
  <c r="CM18" i="7"/>
  <c r="CM18" i="7" a="1"/>
  <c r="CL18" i="7" a="1"/>
  <c r="CL18" i="7" s="1"/>
  <c r="CK18" i="7" a="1"/>
  <c r="CK18" i="7" s="1"/>
  <c r="CJ18" i="7" a="1"/>
  <c r="CJ18" i="7" s="1"/>
  <c r="CI18" i="7" a="1"/>
  <c r="CI18" i="7" s="1"/>
  <c r="CH18" i="7" a="1"/>
  <c r="CH18" i="7" s="1"/>
  <c r="CG18" i="7" a="1"/>
  <c r="CG18" i="7" s="1"/>
  <c r="CF18" i="7" a="1"/>
  <c r="CF18" i="7" s="1"/>
  <c r="CE18" i="7" a="1"/>
  <c r="CE18" i="7" s="1"/>
  <c r="CD18" i="7"/>
  <c r="CD18" i="7" a="1"/>
  <c r="CC18" i="7" a="1"/>
  <c r="CC18" i="7" s="1"/>
  <c r="CB18" i="7" a="1"/>
  <c r="CB18" i="7" s="1"/>
  <c r="CA18" i="7" a="1"/>
  <c r="CA18" i="7" s="1"/>
  <c r="BZ18" i="7" a="1"/>
  <c r="BZ18" i="7" s="1"/>
  <c r="BY18" i="7" a="1"/>
  <c r="BY18" i="7" s="1"/>
  <c r="BX18" i="7" a="1"/>
  <c r="BX18" i="7" s="1"/>
  <c r="BW18" i="7" a="1"/>
  <c r="BW18" i="7" s="1"/>
  <c r="BV18" i="7" a="1"/>
  <c r="BV18" i="7" s="1"/>
  <c r="BU18" i="7" a="1"/>
  <c r="BU18" i="7" s="1"/>
  <c r="BT18" i="7" a="1"/>
  <c r="BT18" i="7" s="1"/>
  <c r="BS18" i="7" a="1"/>
  <c r="BS18" i="7" s="1"/>
  <c r="BR18" i="7" a="1"/>
  <c r="BR18" i="7" s="1"/>
  <c r="BQ18" i="7" a="1"/>
  <c r="BQ18" i="7" s="1"/>
  <c r="BP18" i="7" a="1"/>
  <c r="BP18" i="7" s="1"/>
  <c r="BO18" i="7" a="1"/>
  <c r="BO18" i="7" s="1"/>
  <c r="BN18" i="7" a="1"/>
  <c r="BN18" i="7" s="1"/>
  <c r="BM18" i="7" a="1"/>
  <c r="BM18" i="7" s="1"/>
  <c r="BL18" i="7" a="1"/>
  <c r="BL18" i="7" s="1"/>
  <c r="BK18" i="7" a="1"/>
  <c r="BK18" i="7" s="1"/>
  <c r="BJ18" i="7" a="1"/>
  <c r="BJ18" i="7" s="1"/>
  <c r="BI18" i="7" a="1"/>
  <c r="BI18" i="7" s="1"/>
  <c r="BH18" i="7"/>
  <c r="BH18" i="7" a="1"/>
  <c r="BG18" i="7"/>
  <c r="BG18" i="7" a="1"/>
  <c r="BF18" i="7"/>
  <c r="BF18" i="7" a="1"/>
  <c r="BE18" i="7" a="1"/>
  <c r="BE18" i="7" s="1"/>
  <c r="BD18" i="7"/>
  <c r="BD18" i="7" a="1"/>
  <c r="BC18" i="7" a="1"/>
  <c r="BC18" i="7" s="1"/>
  <c r="BB18" i="7"/>
  <c r="BB18" i="7" a="1"/>
  <c r="BA18" i="7" a="1"/>
  <c r="BA18" i="7" s="1"/>
  <c r="AZ18" i="7" a="1"/>
  <c r="AZ18" i="7" s="1"/>
  <c r="AY18" i="7"/>
  <c r="AY18" i="7" a="1"/>
  <c r="AX18" i="7"/>
  <c r="AX18" i="7" a="1"/>
  <c r="AW18" i="7" a="1"/>
  <c r="AW18" i="7" s="1"/>
  <c r="AV18" i="7" a="1"/>
  <c r="AV18" i="7" s="1"/>
  <c r="AU18" i="7" a="1"/>
  <c r="AU18" i="7" s="1"/>
  <c r="AT18" i="7" a="1"/>
  <c r="AT18" i="7" s="1"/>
  <c r="AS18" i="7"/>
  <c r="AS18" i="7" a="1"/>
  <c r="AR18" i="7"/>
  <c r="AR18" i="7" a="1"/>
  <c r="AQ18" i="7" a="1"/>
  <c r="AQ18" i="7" s="1"/>
  <c r="AP18" i="7" a="1"/>
  <c r="AP18" i="7" s="1"/>
  <c r="AO18" i="7" a="1"/>
  <c r="AO18" i="7" s="1"/>
  <c r="AN18" i="7"/>
  <c r="AN18" i="7" a="1"/>
  <c r="AM18" i="7" a="1"/>
  <c r="AM18" i="7" s="1"/>
  <c r="AL18" i="7" a="1"/>
  <c r="AL18" i="7" s="1"/>
  <c r="AK18" i="7" a="1"/>
  <c r="AK18" i="7" s="1"/>
  <c r="AJ18" i="7"/>
  <c r="AJ18" i="7" a="1"/>
  <c r="AI18" i="7"/>
  <c r="AI18" i="7" a="1"/>
  <c r="AH18" i="7"/>
  <c r="AH18" i="7" a="1"/>
  <c r="AG18" i="7" a="1"/>
  <c r="AG18" i="7" s="1"/>
  <c r="AF18" i="7"/>
  <c r="AF18" i="7" a="1"/>
  <c r="AE18" i="7" a="1"/>
  <c r="AE18" i="7" s="1"/>
  <c r="AD18" i="7"/>
  <c r="AD18" i="7" a="1"/>
  <c r="AC18" i="7"/>
  <c r="AC18" i="7" a="1"/>
  <c r="AB18" i="7" a="1"/>
  <c r="AB18" i="7" s="1"/>
  <c r="AA18" i="7"/>
  <c r="AA18" i="7" a="1"/>
  <c r="Z18" i="7" a="1"/>
  <c r="Z18" i="7" s="1"/>
  <c r="Y18" i="7" a="1"/>
  <c r="Y18" i="7" s="1"/>
  <c r="X18" i="7"/>
  <c r="X18" i="7" a="1"/>
  <c r="W18" i="7" a="1"/>
  <c r="W18" i="7" s="1"/>
  <c r="V18" i="7"/>
  <c r="V18" i="7" a="1"/>
  <c r="U18" i="7" a="1"/>
  <c r="U18" i="7" s="1"/>
  <c r="T18" i="7" a="1"/>
  <c r="T18" i="7" s="1"/>
  <c r="S18" i="7" a="1"/>
  <c r="S18" i="7" s="1"/>
  <c r="R18" i="7"/>
  <c r="R18" i="7" a="1"/>
  <c r="Q18" i="7" a="1"/>
  <c r="Q18" i="7" s="1"/>
  <c r="P18" i="7" a="1"/>
  <c r="P18" i="7" s="1"/>
  <c r="O18" i="7" a="1"/>
  <c r="O18" i="7" s="1"/>
  <c r="N18" i="7" a="1"/>
  <c r="N18" i="7" s="1"/>
  <c r="M18" i="7" a="1"/>
  <c r="M18" i="7" s="1"/>
  <c r="L18" i="7"/>
  <c r="L18" i="7" a="1"/>
  <c r="K18" i="7"/>
  <c r="K18" i="7" a="1"/>
  <c r="J18" i="7" a="1"/>
  <c r="J18" i="7" s="1"/>
  <c r="I18" i="7" a="1"/>
  <c r="I18" i="7" s="1"/>
  <c r="H18" i="7" a="1"/>
  <c r="H18" i="7" s="1"/>
  <c r="G18" i="7" a="1"/>
  <c r="G18" i="7" s="1"/>
  <c r="F18" i="7" a="1"/>
  <c r="F18" i="7" s="1"/>
  <c r="E18" i="7" a="1"/>
  <c r="E18" i="7" s="1"/>
  <c r="D18" i="7" a="1"/>
  <c r="D18" i="7" s="1"/>
  <c r="C18" i="7" a="1"/>
  <c r="C18" i="7" s="1"/>
  <c r="EF17" i="7"/>
  <c r="EF17" i="7" a="1"/>
  <c r="EE17" i="7" a="1"/>
  <c r="EE17" i="7" s="1"/>
  <c r="ED17" i="7" a="1"/>
  <c r="ED17" i="7" s="1"/>
  <c r="EC17" i="7" a="1"/>
  <c r="EC17" i="7" s="1"/>
  <c r="EB17" i="7" a="1"/>
  <c r="EB17" i="7" s="1"/>
  <c r="EA17" i="7" a="1"/>
  <c r="EA17" i="7" s="1"/>
  <c r="DZ17" i="7" a="1"/>
  <c r="DZ17" i="7" s="1"/>
  <c r="DY17" i="7" a="1"/>
  <c r="DY17" i="7" s="1"/>
  <c r="DX17" i="7" a="1"/>
  <c r="DX17" i="7" s="1"/>
  <c r="DW17" i="7" a="1"/>
  <c r="DW17" i="7" s="1"/>
  <c r="DV17" i="7"/>
  <c r="DV17" i="7" a="1"/>
  <c r="DU17" i="7" a="1"/>
  <c r="DU17" i="7" s="1"/>
  <c r="DT17" i="7"/>
  <c r="DT17" i="7" a="1"/>
  <c r="DS17" i="7" a="1"/>
  <c r="DS17" i="7" s="1"/>
  <c r="DR17" i="7" a="1"/>
  <c r="DR17" i="7" s="1"/>
  <c r="DQ17" i="7" a="1"/>
  <c r="DQ17" i="7" s="1"/>
  <c r="DP17" i="7" a="1"/>
  <c r="DP17" i="7" s="1"/>
  <c r="DO17" i="7" a="1"/>
  <c r="DO17" i="7" s="1"/>
  <c r="DN17" i="7" a="1"/>
  <c r="DN17" i="7" s="1"/>
  <c r="DM17" i="7" a="1"/>
  <c r="DM17" i="7" s="1"/>
  <c r="DL17" i="7" a="1"/>
  <c r="DL17" i="7" s="1"/>
  <c r="DK17" i="7"/>
  <c r="DK17" i="7" a="1"/>
  <c r="DJ17" i="7"/>
  <c r="DJ17" i="7" a="1"/>
  <c r="DI17" i="7" a="1"/>
  <c r="DI17" i="7" s="1"/>
  <c r="DH17" i="7" a="1"/>
  <c r="DH17" i="7" s="1"/>
  <c r="DG17" i="7" a="1"/>
  <c r="DG17" i="7" s="1"/>
  <c r="DF17" i="7" a="1"/>
  <c r="DF17" i="7" s="1"/>
  <c r="DE17" i="7" a="1"/>
  <c r="DE17" i="7" s="1"/>
  <c r="DD17" i="7"/>
  <c r="DD17" i="7" a="1"/>
  <c r="DC17" i="7" a="1"/>
  <c r="DC17" i="7" s="1"/>
  <c r="DB17" i="7"/>
  <c r="DB17" i="7" a="1"/>
  <c r="DA17" i="7" a="1"/>
  <c r="DA17" i="7" s="1"/>
  <c r="CZ17" i="7" a="1"/>
  <c r="CZ17" i="7" s="1"/>
  <c r="CY17" i="7" a="1"/>
  <c r="CY17" i="7" s="1"/>
  <c r="CX17" i="7"/>
  <c r="CX17" i="7" a="1"/>
  <c r="CW17" i="7" a="1"/>
  <c r="CW17" i="7" s="1"/>
  <c r="CV17" i="7" a="1"/>
  <c r="CV17" i="7" s="1"/>
  <c r="CU17" i="7" a="1"/>
  <c r="CU17" i="7" s="1"/>
  <c r="CT17" i="7" a="1"/>
  <c r="CT17" i="7" s="1"/>
  <c r="CS17" i="7"/>
  <c r="CS17" i="7" a="1"/>
  <c r="CR17" i="7"/>
  <c r="CR17" i="7" a="1"/>
  <c r="CQ17" i="7" a="1"/>
  <c r="CQ17" i="7" s="1"/>
  <c r="CP17" i="7" a="1"/>
  <c r="CP17" i="7" s="1"/>
  <c r="CO17" i="7" a="1"/>
  <c r="CO17" i="7" s="1"/>
  <c r="CN17" i="7" a="1"/>
  <c r="CN17" i="7" s="1"/>
  <c r="CM17" i="7" a="1"/>
  <c r="CM17" i="7" s="1"/>
  <c r="CL17" i="7" a="1"/>
  <c r="CL17" i="7" s="1"/>
  <c r="CK17" i="7" a="1"/>
  <c r="CK17" i="7" s="1"/>
  <c r="CJ17" i="7"/>
  <c r="CJ17" i="7" a="1"/>
  <c r="CI17" i="7" a="1"/>
  <c r="CI17" i="7" s="1"/>
  <c r="CH17" i="7"/>
  <c r="CH17" i="7" a="1"/>
  <c r="CG17" i="7" a="1"/>
  <c r="CG17" i="7" s="1"/>
  <c r="CF17" i="7" a="1"/>
  <c r="CF17" i="7" s="1"/>
  <c r="CE17" i="7"/>
  <c r="CE17" i="7" a="1"/>
  <c r="CD17" i="7" a="1"/>
  <c r="CD17" i="7" s="1"/>
  <c r="CC17" i="7" a="1"/>
  <c r="CC17" i="7" s="1"/>
  <c r="CB17" i="7" a="1"/>
  <c r="CB17" i="7" s="1"/>
  <c r="CA17" i="7" a="1"/>
  <c r="CA17" i="7" s="1"/>
  <c r="BZ17" i="7" a="1"/>
  <c r="BZ17" i="7" s="1"/>
  <c r="BY17" i="7" a="1"/>
  <c r="BY17" i="7" s="1"/>
  <c r="BX17" i="7" a="1"/>
  <c r="BX17" i="7" s="1"/>
  <c r="BW17" i="7" a="1"/>
  <c r="BW17" i="7" s="1"/>
  <c r="BV17" i="7" a="1"/>
  <c r="BV17" i="7" s="1"/>
  <c r="BU17" i="7" a="1"/>
  <c r="BU17" i="7" s="1"/>
  <c r="BT17" i="7"/>
  <c r="BT17" i="7" a="1"/>
  <c r="BS17" i="7" a="1"/>
  <c r="BS17" i="7" s="1"/>
  <c r="BR17" i="7" a="1"/>
  <c r="BR17" i="7" s="1"/>
  <c r="BQ17" i="7" a="1"/>
  <c r="BQ17" i="7" s="1"/>
  <c r="BP17" i="7" a="1"/>
  <c r="BP17" i="7" s="1"/>
  <c r="BO17" i="7" a="1"/>
  <c r="BO17" i="7" s="1"/>
  <c r="BN17" i="7"/>
  <c r="BN17" i="7" a="1"/>
  <c r="BM17" i="7"/>
  <c r="BM17" i="7" a="1"/>
  <c r="BL17" i="7" a="1"/>
  <c r="BL17" i="7" s="1"/>
  <c r="BK17" i="7" a="1"/>
  <c r="BK17" i="7" s="1"/>
  <c r="BJ17" i="7"/>
  <c r="BJ17" i="7" a="1"/>
  <c r="BI17" i="7" a="1"/>
  <c r="BI17" i="7" s="1"/>
  <c r="BH17" i="7"/>
  <c r="BH17" i="7" a="1"/>
  <c r="BG17" i="7" a="1"/>
  <c r="BG17" i="7" s="1"/>
  <c r="BF17" i="7" a="1"/>
  <c r="BF17" i="7" s="1"/>
  <c r="BE17" i="7"/>
  <c r="BE17" i="7" a="1"/>
  <c r="BD17" i="7"/>
  <c r="BD17" i="7" a="1"/>
  <c r="BC17" i="7" a="1"/>
  <c r="BC17" i="7" s="1"/>
  <c r="BB17" i="7"/>
  <c r="BB17" i="7" a="1"/>
  <c r="BA17" i="7" a="1"/>
  <c r="BA17" i="7" s="1"/>
  <c r="AZ17" i="7" a="1"/>
  <c r="AZ17" i="7" s="1"/>
  <c r="AY17" i="7"/>
  <c r="AY17" i="7" a="1"/>
  <c r="AX17" i="7"/>
  <c r="AX17" i="7" a="1"/>
  <c r="AW17" i="7" a="1"/>
  <c r="AW17" i="7" s="1"/>
  <c r="AV17" i="7" a="1"/>
  <c r="AV17" i="7" s="1"/>
  <c r="AU17" i="7" a="1"/>
  <c r="AU17" i="7" s="1"/>
  <c r="AT17" i="7"/>
  <c r="AT17" i="7" a="1"/>
  <c r="AS17" i="7" a="1"/>
  <c r="AS17" i="7" s="1"/>
  <c r="AR17" i="7"/>
  <c r="AR17" i="7" a="1"/>
  <c r="AQ17" i="7" a="1"/>
  <c r="AQ17" i="7" s="1"/>
  <c r="AP17" i="7"/>
  <c r="AP17" i="7" a="1"/>
  <c r="AO17" i="7" a="1"/>
  <c r="AO17" i="7" s="1"/>
  <c r="AN17" i="7" a="1"/>
  <c r="AN17" i="7" s="1"/>
  <c r="AM17" i="7" a="1"/>
  <c r="AM17" i="7" s="1"/>
  <c r="AL17" i="7" a="1"/>
  <c r="AL17" i="7" s="1"/>
  <c r="AK17" i="7" a="1"/>
  <c r="AK17" i="7" s="1"/>
  <c r="AJ17" i="7"/>
  <c r="AJ17" i="7" a="1"/>
  <c r="AI17" i="7" a="1"/>
  <c r="AI17" i="7" s="1"/>
  <c r="AH17" i="7" a="1"/>
  <c r="AH17" i="7" s="1"/>
  <c r="AG17" i="7"/>
  <c r="AG17" i="7" a="1"/>
  <c r="AF17" i="7"/>
  <c r="AF17" i="7" a="1"/>
  <c r="AE17" i="7" a="1"/>
  <c r="AE17" i="7" s="1"/>
  <c r="AD17" i="7"/>
  <c r="AD17" i="7" a="1"/>
  <c r="AC17" i="7" a="1"/>
  <c r="AC17" i="7" s="1"/>
  <c r="AB17" i="7" a="1"/>
  <c r="AB17" i="7" s="1"/>
  <c r="AA17" i="7" a="1"/>
  <c r="AA17" i="7" s="1"/>
  <c r="Z17" i="7" a="1"/>
  <c r="Z17" i="7" s="1"/>
  <c r="Y17" i="7" a="1"/>
  <c r="Y17" i="7" s="1"/>
  <c r="X17" i="7"/>
  <c r="X17" i="7" a="1"/>
  <c r="W17" i="7" a="1"/>
  <c r="W17" i="7" s="1"/>
  <c r="V17" i="7" a="1"/>
  <c r="V17" i="7" s="1"/>
  <c r="U17" i="7" a="1"/>
  <c r="U17" i="7" s="1"/>
  <c r="T17" i="7" a="1"/>
  <c r="T17" i="7" s="1"/>
  <c r="S17" i="7"/>
  <c r="S17" i="7" a="1"/>
  <c r="R17" i="7"/>
  <c r="R17" i="7" a="1"/>
  <c r="Q17" i="7"/>
  <c r="Q17" i="7" a="1"/>
  <c r="P17" i="7" a="1"/>
  <c r="P17" i="7" s="1"/>
  <c r="O17" i="7" a="1"/>
  <c r="O17" i="7" s="1"/>
  <c r="N17" i="7" a="1"/>
  <c r="N17" i="7" s="1"/>
  <c r="M17" i="7" a="1"/>
  <c r="M17" i="7" s="1"/>
  <c r="L17" i="7"/>
  <c r="L17" i="7" a="1"/>
  <c r="K17" i="7" a="1"/>
  <c r="K17" i="7" s="1"/>
  <c r="J17" i="7" a="1"/>
  <c r="J17" i="7" s="1"/>
  <c r="I17" i="7"/>
  <c r="I17" i="7" a="1"/>
  <c r="H17" i="7"/>
  <c r="H17" i="7" a="1"/>
  <c r="G17" i="7" a="1"/>
  <c r="G17" i="7" s="1"/>
  <c r="F17" i="7" a="1"/>
  <c r="F17" i="7" s="1"/>
  <c r="E17" i="7" a="1"/>
  <c r="E17" i="7" s="1"/>
  <c r="D17" i="7" a="1"/>
  <c r="D17" i="7" s="1"/>
  <c r="C17" i="7" a="1"/>
  <c r="C17" i="7" s="1"/>
  <c r="EF16" i="7" a="1"/>
  <c r="EF16" i="7" s="1"/>
  <c r="EE16" i="7"/>
  <c r="EE16" i="7" a="1"/>
  <c r="ED16" i="7" a="1"/>
  <c r="ED16" i="7" s="1"/>
  <c r="EC16" i="7"/>
  <c r="EC16" i="7" a="1"/>
  <c r="EB16" i="7" a="1"/>
  <c r="EB16" i="7" s="1"/>
  <c r="EA16" i="7" a="1"/>
  <c r="EA16" i="7" s="1"/>
  <c r="DZ16" i="7" a="1"/>
  <c r="DZ16" i="7" s="1"/>
  <c r="DY16" i="7" a="1"/>
  <c r="DY16" i="7" s="1"/>
  <c r="DX16" i="7"/>
  <c r="DX16" i="7" a="1"/>
  <c r="DW16" i="7"/>
  <c r="DW16" i="7" a="1"/>
  <c r="DV16" i="7" a="1"/>
  <c r="DV16" i="7" s="1"/>
  <c r="DU16" i="7"/>
  <c r="DU16" i="7" a="1"/>
  <c r="DT16" i="7" a="1"/>
  <c r="DT16" i="7" s="1"/>
  <c r="DS16" i="7" a="1"/>
  <c r="DS16" i="7" s="1"/>
  <c r="DR16" i="7" a="1"/>
  <c r="DR16" i="7" s="1"/>
  <c r="DQ16" i="7" a="1"/>
  <c r="DQ16" i="7" s="1"/>
  <c r="DP16" i="7" a="1"/>
  <c r="DP16" i="7" s="1"/>
  <c r="DO16" i="7" a="1"/>
  <c r="DO16" i="7" s="1"/>
  <c r="DN16" i="7"/>
  <c r="DN16" i="7" a="1"/>
  <c r="DM16" i="7"/>
  <c r="DM16" i="7" a="1"/>
  <c r="DL16" i="7" a="1"/>
  <c r="DL16" i="7" s="1"/>
  <c r="DK16" i="7" a="1"/>
  <c r="DK16" i="7" s="1"/>
  <c r="DJ16" i="7" a="1"/>
  <c r="DJ16" i="7" s="1"/>
  <c r="DI16" i="7" a="1"/>
  <c r="DI16" i="7" s="1"/>
  <c r="DH16" i="7" a="1"/>
  <c r="DH16" i="7" s="1"/>
  <c r="DG16" i="7" a="1"/>
  <c r="DG16" i="7" s="1"/>
  <c r="DF16" i="7" a="1"/>
  <c r="DF16" i="7" s="1"/>
  <c r="DE16" i="7"/>
  <c r="DE16" i="7" a="1"/>
  <c r="DD16" i="7" a="1"/>
  <c r="DD16" i="7" s="1"/>
  <c r="DC16" i="7" a="1"/>
  <c r="DC16" i="7" s="1"/>
  <c r="DB16" i="7"/>
  <c r="DB16" i="7" a="1"/>
  <c r="DA16" i="7" a="1"/>
  <c r="DA16" i="7" s="1"/>
  <c r="CZ16" i="7" a="1"/>
  <c r="CZ16" i="7" s="1"/>
  <c r="CY16" i="7" a="1"/>
  <c r="CY16" i="7" s="1"/>
  <c r="CX16" i="7"/>
  <c r="CX16" i="7" a="1"/>
  <c r="CW16" i="7"/>
  <c r="CW16" i="7" a="1"/>
  <c r="CV16" i="7" a="1"/>
  <c r="CV16" i="7" s="1"/>
  <c r="CU16" i="7" a="1"/>
  <c r="CU16" i="7" s="1"/>
  <c r="CT16" i="7" a="1"/>
  <c r="CT16" i="7" s="1"/>
  <c r="CS16" i="7"/>
  <c r="CS16" i="7" a="1"/>
  <c r="CR16" i="7"/>
  <c r="CR16" i="7" a="1"/>
  <c r="CQ16" i="7" a="1"/>
  <c r="CQ16" i="7" s="1"/>
  <c r="CP16" i="7" a="1"/>
  <c r="CP16" i="7" s="1"/>
  <c r="CO16" i="7"/>
  <c r="CO16" i="7" a="1"/>
  <c r="CN16" i="7" a="1"/>
  <c r="CN16" i="7" s="1"/>
  <c r="CM16" i="7" a="1"/>
  <c r="CM16" i="7" s="1"/>
  <c r="CL16" i="7" a="1"/>
  <c r="CL16" i="7" s="1"/>
  <c r="CK16" i="7" a="1"/>
  <c r="CK16" i="7" s="1"/>
  <c r="CJ16" i="7" a="1"/>
  <c r="CJ16" i="7" s="1"/>
  <c r="CI16" i="7"/>
  <c r="CI16" i="7" a="1"/>
  <c r="CH16" i="7" a="1"/>
  <c r="CH16" i="7" s="1"/>
  <c r="CG16" i="7"/>
  <c r="CG16" i="7" a="1"/>
  <c r="CF16" i="7" a="1"/>
  <c r="CF16" i="7" s="1"/>
  <c r="CE16" i="7" a="1"/>
  <c r="CE16" i="7" s="1"/>
  <c r="CD16" i="7" a="1"/>
  <c r="CD16" i="7" s="1"/>
  <c r="CC16" i="7" a="1"/>
  <c r="CC16" i="7" s="1"/>
  <c r="CB16" i="7" a="1"/>
  <c r="CB16" i="7" s="1"/>
  <c r="CA16" i="7" a="1"/>
  <c r="CA16" i="7" s="1"/>
  <c r="BZ16" i="7" a="1"/>
  <c r="BZ16" i="7" s="1"/>
  <c r="BY16" i="7"/>
  <c r="BY16" i="7" a="1"/>
  <c r="BX16" i="7" a="1"/>
  <c r="BX16" i="7" s="1"/>
  <c r="BW16" i="7" a="1"/>
  <c r="BW16" i="7" s="1"/>
  <c r="BV16" i="7"/>
  <c r="BV16" i="7" a="1"/>
  <c r="BU16" i="7" a="1"/>
  <c r="BU16" i="7" s="1"/>
  <c r="BT16" i="7" a="1"/>
  <c r="BT16" i="7" s="1"/>
  <c r="BS16" i="7" a="1"/>
  <c r="BS16" i="7" s="1"/>
  <c r="BR16" i="7" a="1"/>
  <c r="BR16" i="7" s="1"/>
  <c r="BQ16" i="7"/>
  <c r="BQ16" i="7" a="1"/>
  <c r="BP16" i="7" a="1"/>
  <c r="BP16" i="7" s="1"/>
  <c r="BO16" i="7" a="1"/>
  <c r="BO16" i="7" s="1"/>
  <c r="BN16" i="7" a="1"/>
  <c r="BN16" i="7" s="1"/>
  <c r="BM16" i="7" a="1"/>
  <c r="BM16" i="7" s="1"/>
  <c r="BL16" i="7" a="1"/>
  <c r="BL16" i="7" s="1"/>
  <c r="BK16" i="7"/>
  <c r="BK16" i="7" a="1"/>
  <c r="BJ16" i="7" a="1"/>
  <c r="BJ16" i="7" s="1"/>
  <c r="BI16" i="7"/>
  <c r="BI16" i="7" a="1"/>
  <c r="BH16" i="7" a="1"/>
  <c r="BH16" i="7" s="1"/>
  <c r="BG16" i="7" a="1"/>
  <c r="BG16" i="7" s="1"/>
  <c r="BF16" i="7" a="1"/>
  <c r="BF16" i="7" s="1"/>
  <c r="BE16" i="7" a="1"/>
  <c r="BE16" i="7" s="1"/>
  <c r="BD16" i="7"/>
  <c r="BD16" i="7" a="1"/>
  <c r="BC16" i="7" a="1"/>
  <c r="BC16" i="7" s="1"/>
  <c r="BB16" i="7" a="1"/>
  <c r="BB16" i="7" s="1"/>
  <c r="BA16" i="7"/>
  <c r="BA16" i="7" a="1"/>
  <c r="AZ16" i="7" a="1"/>
  <c r="AZ16" i="7" s="1"/>
  <c r="AY16" i="7" a="1"/>
  <c r="AY16" i="7" s="1"/>
  <c r="AX16" i="7" a="1"/>
  <c r="AX16" i="7" s="1"/>
  <c r="AW16" i="7" a="1"/>
  <c r="AW16" i="7" s="1"/>
  <c r="AV16" i="7" a="1"/>
  <c r="AV16" i="7" s="1"/>
  <c r="AU16" i="7"/>
  <c r="AU16" i="7" a="1"/>
  <c r="AT16" i="7"/>
  <c r="AT16" i="7" a="1"/>
  <c r="AS16" i="7"/>
  <c r="AS16" i="7" a="1"/>
  <c r="AR16" i="7" a="1"/>
  <c r="AR16" i="7" s="1"/>
  <c r="AQ16" i="7" a="1"/>
  <c r="AQ16" i="7" s="1"/>
  <c r="AP16" i="7"/>
  <c r="AP16" i="7" a="1"/>
  <c r="AO16" i="7" a="1"/>
  <c r="AO16" i="7" s="1"/>
  <c r="AN16" i="7" a="1"/>
  <c r="AN16" i="7" s="1"/>
  <c r="AM16" i="7" a="1"/>
  <c r="AM16" i="7" s="1"/>
  <c r="AL16" i="7" a="1"/>
  <c r="AL16" i="7" s="1"/>
  <c r="AK16" i="7"/>
  <c r="AK16" i="7" a="1"/>
  <c r="AJ16" i="7" a="1"/>
  <c r="AJ16" i="7" s="1"/>
  <c r="AI16" i="7" a="1"/>
  <c r="AI16" i="7" s="1"/>
  <c r="AH16" i="7" a="1"/>
  <c r="AH16" i="7" s="1"/>
  <c r="AG16" i="7" a="1"/>
  <c r="AG16" i="7" s="1"/>
  <c r="AF16" i="7"/>
  <c r="AF16" i="7" a="1"/>
  <c r="AE16" i="7" a="1"/>
  <c r="AE16" i="7" s="1"/>
  <c r="AD16" i="7" a="1"/>
  <c r="AD16" i="7" s="1"/>
  <c r="AC16" i="7"/>
  <c r="AC16" i="7" a="1"/>
  <c r="AB16" i="7" a="1"/>
  <c r="AB16" i="7" s="1"/>
  <c r="AA16" i="7" a="1"/>
  <c r="AA16" i="7" s="1"/>
  <c r="Z16" i="7"/>
  <c r="Z16" i="7" a="1"/>
  <c r="Y16" i="7"/>
  <c r="Y16" i="7" a="1"/>
  <c r="X16" i="7" a="1"/>
  <c r="X16" i="7" s="1"/>
  <c r="W16" i="7" a="1"/>
  <c r="W16" i="7" s="1"/>
  <c r="V16" i="7" a="1"/>
  <c r="V16" i="7" s="1"/>
  <c r="U16" i="7"/>
  <c r="U16" i="7" a="1"/>
  <c r="T16" i="7" a="1"/>
  <c r="T16" i="7" s="1"/>
  <c r="S16" i="7" a="1"/>
  <c r="S16" i="7" s="1"/>
  <c r="R16" i="7" a="1"/>
  <c r="R16" i="7" s="1"/>
  <c r="Q16" i="7" a="1"/>
  <c r="Q16" i="7" s="1"/>
  <c r="P16" i="7" a="1"/>
  <c r="P16" i="7" s="1"/>
  <c r="O16" i="7" a="1"/>
  <c r="O16" i="7" s="1"/>
  <c r="N16" i="7"/>
  <c r="N16" i="7" a="1"/>
  <c r="M16" i="7"/>
  <c r="M16" i="7" a="1"/>
  <c r="L16" i="7" a="1"/>
  <c r="L16" i="7" s="1"/>
  <c r="K16" i="7" a="1"/>
  <c r="K16" i="7" s="1"/>
  <c r="J16" i="7" a="1"/>
  <c r="J16" i="7" s="1"/>
  <c r="I16" i="7" a="1"/>
  <c r="I16" i="7" s="1"/>
  <c r="H16" i="7" a="1"/>
  <c r="H16" i="7" s="1"/>
  <c r="G16" i="7" a="1"/>
  <c r="G16" i="7" s="1"/>
  <c r="F16" i="7" a="1"/>
  <c r="F16" i="7" s="1"/>
  <c r="E16" i="7"/>
  <c r="E16" i="7" a="1"/>
  <c r="D16" i="7" a="1"/>
  <c r="D16" i="7" s="1"/>
  <c r="C16" i="7" a="1"/>
  <c r="C16" i="7" s="1"/>
  <c r="EF15" i="7" a="1"/>
  <c r="EF15" i="7" s="1"/>
  <c r="EE15" i="7" a="1"/>
  <c r="EE15" i="7" s="1"/>
  <c r="ED15" i="7" a="1"/>
  <c r="ED15" i="7" s="1"/>
  <c r="EC15" i="7" a="1"/>
  <c r="EC15" i="7" s="1"/>
  <c r="EB15" i="7"/>
  <c r="EB15" i="7" a="1"/>
  <c r="EA15" i="7"/>
  <c r="EA15" i="7" a="1"/>
  <c r="DZ15" i="7" a="1"/>
  <c r="DZ15" i="7" s="1"/>
  <c r="DY15" i="7" a="1"/>
  <c r="DY15" i="7" s="1"/>
  <c r="DX15" i="7" a="1"/>
  <c r="DX15" i="7" s="1"/>
  <c r="DW15" i="7" a="1"/>
  <c r="DW15" i="7" s="1"/>
  <c r="DV15" i="7"/>
  <c r="DV15" i="7" a="1"/>
  <c r="DU15" i="7" a="1"/>
  <c r="DU15" i="7" s="1"/>
  <c r="DT15" i="7" a="1"/>
  <c r="DT15" i="7" s="1"/>
  <c r="DS15" i="7"/>
  <c r="DS15" i="7" a="1"/>
  <c r="DR15" i="7" a="1"/>
  <c r="DR15" i="7" s="1"/>
  <c r="DQ15" i="7" a="1"/>
  <c r="DQ15" i="7" s="1"/>
  <c r="DP15" i="7"/>
  <c r="DP15" i="7" a="1"/>
  <c r="DO15" i="7" a="1"/>
  <c r="DO15" i="7" s="1"/>
  <c r="DN15" i="7" a="1"/>
  <c r="DN15" i="7" s="1"/>
  <c r="DM15" i="7" a="1"/>
  <c r="DM15" i="7" s="1"/>
  <c r="DL15" i="7"/>
  <c r="DL15" i="7" a="1"/>
  <c r="DK15" i="7"/>
  <c r="DK15" i="7" a="1"/>
  <c r="DJ15" i="7" a="1"/>
  <c r="DJ15" i="7" s="1"/>
  <c r="DI15" i="7" a="1"/>
  <c r="DI15" i="7" s="1"/>
  <c r="DH15" i="7" a="1"/>
  <c r="DH15" i="7" s="1"/>
  <c r="DG15" i="7"/>
  <c r="DG15" i="7" a="1"/>
  <c r="DF15" i="7" a="1"/>
  <c r="DF15" i="7" s="1"/>
  <c r="DE15" i="7" a="1"/>
  <c r="DE15" i="7" s="1"/>
  <c r="DD15" i="7" a="1"/>
  <c r="DD15" i="7" s="1"/>
  <c r="DC15" i="7"/>
  <c r="DC15" i="7" a="1"/>
  <c r="DB15" i="7" a="1"/>
  <c r="DB15" i="7" s="1"/>
  <c r="DA15" i="7" a="1"/>
  <c r="DA15" i="7" s="1"/>
  <c r="CZ15" i="7" a="1"/>
  <c r="CZ15" i="7" s="1"/>
  <c r="CY15" i="7" a="1"/>
  <c r="CY15" i="7" s="1"/>
  <c r="CX15" i="7" a="1"/>
  <c r="CX15" i="7" s="1"/>
  <c r="CW15" i="7" a="1"/>
  <c r="CW15" i="7" s="1"/>
  <c r="CV15" i="7" a="1"/>
  <c r="CV15" i="7" s="1"/>
  <c r="CU15" i="7"/>
  <c r="CU15" i="7" a="1"/>
  <c r="CT15" i="7" a="1"/>
  <c r="CT15" i="7" s="1"/>
  <c r="CS15" i="7" a="1"/>
  <c r="CS15" i="7" s="1"/>
  <c r="CR15" i="7" a="1"/>
  <c r="CR15" i="7" s="1"/>
  <c r="CQ15" i="7"/>
  <c r="CQ15" i="7" a="1"/>
  <c r="CP15" i="7" a="1"/>
  <c r="CP15" i="7" s="1"/>
  <c r="CO15" i="7" a="1"/>
  <c r="CO15" i="7" s="1"/>
  <c r="CN15" i="7" a="1"/>
  <c r="CN15" i="7" s="1"/>
  <c r="CM15" i="7"/>
  <c r="CM15" i="7" a="1"/>
  <c r="CL15" i="7" a="1"/>
  <c r="CL15" i="7" s="1"/>
  <c r="CK15" i="7" a="1"/>
  <c r="CK15" i="7" s="1"/>
  <c r="CJ15" i="7" a="1"/>
  <c r="CJ15" i="7" s="1"/>
  <c r="CI15" i="7"/>
  <c r="CI15" i="7" a="1"/>
  <c r="CH15" i="7" a="1"/>
  <c r="CH15" i="7" s="1"/>
  <c r="CG15" i="7" a="1"/>
  <c r="CG15" i="7" s="1"/>
  <c r="CF15" i="7" a="1"/>
  <c r="CF15" i="7" s="1"/>
  <c r="CE15" i="7"/>
  <c r="CE15" i="7" a="1"/>
  <c r="CD15" i="7" a="1"/>
  <c r="CD15" i="7" s="1"/>
  <c r="CC15" i="7" a="1"/>
  <c r="CC15" i="7" s="1"/>
  <c r="CB15" i="7" a="1"/>
  <c r="CB15" i="7" s="1"/>
  <c r="CA15" i="7" a="1"/>
  <c r="CA15" i="7" s="1"/>
  <c r="BZ15" i="7"/>
  <c r="BZ15" i="7" a="1"/>
  <c r="BY15" i="7" a="1"/>
  <c r="BY15" i="7" s="1"/>
  <c r="BX15" i="7" a="1"/>
  <c r="BX15" i="7" s="1"/>
  <c r="BW15" i="7"/>
  <c r="BW15" i="7" a="1"/>
  <c r="BV15" i="7" a="1"/>
  <c r="BV15" i="7" s="1"/>
  <c r="BU15" i="7" a="1"/>
  <c r="BU15" i="7" s="1"/>
  <c r="BT15" i="7" a="1"/>
  <c r="BT15" i="7" s="1"/>
  <c r="BS15" i="7"/>
  <c r="BS15" i="7" a="1"/>
  <c r="BR15" i="7"/>
  <c r="BR15" i="7" a="1"/>
  <c r="BQ15" i="7" a="1"/>
  <c r="BQ15" i="7" s="1"/>
  <c r="BP15" i="7" a="1"/>
  <c r="BP15" i="7" s="1"/>
  <c r="BO15" i="7"/>
  <c r="BO15" i="7" a="1"/>
  <c r="BN15" i="7" a="1"/>
  <c r="BN15" i="7" s="1"/>
  <c r="BM15" i="7" a="1"/>
  <c r="BM15" i="7" s="1"/>
  <c r="BL15" i="7" a="1"/>
  <c r="BL15" i="7" s="1"/>
  <c r="BK15" i="7" a="1"/>
  <c r="BK15" i="7" s="1"/>
  <c r="BJ15" i="7" a="1"/>
  <c r="BJ15" i="7" s="1"/>
  <c r="BI15" i="7"/>
  <c r="BI15" i="7" a="1"/>
  <c r="BH15" i="7"/>
  <c r="BH15" i="7" a="1"/>
  <c r="BG15" i="7" a="1"/>
  <c r="BG15" i="7" s="1"/>
  <c r="BF15" i="7" a="1"/>
  <c r="BF15" i="7" s="1"/>
  <c r="BE15" i="7" a="1"/>
  <c r="BE15" i="7" s="1"/>
  <c r="BD15" i="7"/>
  <c r="BD15" i="7" a="1"/>
  <c r="BC15" i="7" a="1"/>
  <c r="BC15" i="7" s="1"/>
  <c r="BB15" i="7" a="1"/>
  <c r="BB15" i="7" s="1"/>
  <c r="BA15" i="7" a="1"/>
  <c r="BA15" i="7" s="1"/>
  <c r="AZ15" i="7" a="1"/>
  <c r="AZ15" i="7" s="1"/>
  <c r="AY15" i="7"/>
  <c r="AY15" i="7" a="1"/>
  <c r="AX15" i="7" a="1"/>
  <c r="AX15" i="7" s="1"/>
  <c r="AW15" i="7" a="1"/>
  <c r="AW15" i="7" s="1"/>
  <c r="AV15" i="7" a="1"/>
  <c r="AV15" i="7" s="1"/>
  <c r="AU15" i="7" a="1"/>
  <c r="AU15" i="7" s="1"/>
  <c r="AT15" i="7" a="1"/>
  <c r="AT15" i="7" s="1"/>
  <c r="AS15" i="7" a="1"/>
  <c r="AS15" i="7" s="1"/>
  <c r="AR15" i="7" a="1"/>
  <c r="AR15" i="7" s="1"/>
  <c r="AQ15" i="7" a="1"/>
  <c r="AQ15" i="7" s="1"/>
  <c r="AP15" i="7" a="1"/>
  <c r="AP15" i="7" s="1"/>
  <c r="AO15" i="7" a="1"/>
  <c r="AO15" i="7" s="1"/>
  <c r="AN15" i="7"/>
  <c r="AN15" i="7" a="1"/>
  <c r="AM15" i="7"/>
  <c r="AM15" i="7" a="1"/>
  <c r="AL15" i="7" a="1"/>
  <c r="AL15" i="7" s="1"/>
  <c r="AK15" i="7" a="1"/>
  <c r="AK15" i="7" s="1"/>
  <c r="AJ15" i="7" a="1"/>
  <c r="AJ15" i="7" s="1"/>
  <c r="AI15" i="7"/>
  <c r="AI15" i="7" a="1"/>
  <c r="AH15" i="7" a="1"/>
  <c r="AH15" i="7" s="1"/>
  <c r="AG15" i="7" a="1"/>
  <c r="AG15" i="7" s="1"/>
  <c r="AF15" i="7" a="1"/>
  <c r="AF15" i="7" s="1"/>
  <c r="AE15" i="7" a="1"/>
  <c r="AE15" i="7" s="1"/>
  <c r="AD15" i="7"/>
  <c r="AD15" i="7" a="1"/>
  <c r="AC15" i="7"/>
  <c r="AC15" i="7" a="1"/>
  <c r="AB15" i="7" a="1"/>
  <c r="AB15" i="7" s="1"/>
  <c r="AA15" i="7" a="1"/>
  <c r="AA15" i="7" s="1"/>
  <c r="Z15" i="7" a="1"/>
  <c r="Z15" i="7" s="1"/>
  <c r="Y15" i="7" a="1"/>
  <c r="Y15" i="7" s="1"/>
  <c r="X15" i="7"/>
  <c r="X15" i="7" a="1"/>
  <c r="W15" i="7" a="1"/>
  <c r="W15" i="7" s="1"/>
  <c r="V15" i="7" a="1"/>
  <c r="V15" i="7" s="1"/>
  <c r="U15" i="7" a="1"/>
  <c r="U15" i="7" s="1"/>
  <c r="T15" i="7"/>
  <c r="T15" i="7" a="1"/>
  <c r="S15" i="7" a="1"/>
  <c r="S15" i="7" s="1"/>
  <c r="R15" i="7" a="1"/>
  <c r="R15" i="7" s="1"/>
  <c r="Q15" i="7" a="1"/>
  <c r="Q15" i="7" s="1"/>
  <c r="P15" i="7"/>
  <c r="P15" i="7" a="1"/>
  <c r="O15" i="7" a="1"/>
  <c r="O15" i="7" s="1"/>
  <c r="N15" i="7" a="1"/>
  <c r="N15" i="7" s="1"/>
  <c r="M15" i="7" a="1"/>
  <c r="M15" i="7" s="1"/>
  <c r="L15" i="7" a="1"/>
  <c r="L15" i="7" s="1"/>
  <c r="K15" i="7" a="1"/>
  <c r="K15" i="7" s="1"/>
  <c r="J15" i="7" a="1"/>
  <c r="J15" i="7" s="1"/>
  <c r="I15" i="7" a="1"/>
  <c r="I15" i="7" s="1"/>
  <c r="H15" i="7" a="1"/>
  <c r="H15" i="7" s="1"/>
  <c r="G15" i="7" a="1"/>
  <c r="G15" i="7" s="1"/>
  <c r="F15" i="7" a="1"/>
  <c r="F15" i="7" s="1"/>
  <c r="E15" i="7"/>
  <c r="E15" i="7" a="1"/>
  <c r="D15" i="7" a="1"/>
  <c r="D15" i="7" s="1"/>
  <c r="C15" i="7" a="1"/>
  <c r="C15" i="7" s="1"/>
  <c r="EF14" i="7" a="1"/>
  <c r="EF14" i="7" s="1"/>
  <c r="EE14" i="7" a="1"/>
  <c r="EE14" i="7" s="1"/>
  <c r="ED14" i="7" a="1"/>
  <c r="ED14" i="7" s="1"/>
  <c r="EC14" i="7" a="1"/>
  <c r="EC14" i="7" s="1"/>
  <c r="EB14" i="7"/>
  <c r="EB14" i="7" a="1"/>
  <c r="EA14" i="7" a="1"/>
  <c r="EA14" i="7" s="1"/>
  <c r="DZ14" i="7" a="1"/>
  <c r="DZ14" i="7" s="1"/>
  <c r="DY14" i="7"/>
  <c r="DY14" i="7" a="1"/>
  <c r="DX14" i="7" a="1"/>
  <c r="DX14" i="7" s="1"/>
  <c r="DW14" i="7" a="1"/>
  <c r="DW14" i="7" s="1"/>
  <c r="DV14" i="7" a="1"/>
  <c r="DV14" i="7" s="1"/>
  <c r="DU14" i="7" a="1"/>
  <c r="DU14" i="7" s="1"/>
  <c r="DT14" i="7" a="1"/>
  <c r="DT14" i="7" s="1"/>
  <c r="DS14" i="7"/>
  <c r="DS14" i="7" a="1"/>
  <c r="DR14" i="7"/>
  <c r="DR14" i="7" a="1"/>
  <c r="DQ14" i="7" a="1"/>
  <c r="DQ14" i="7" s="1"/>
  <c r="DP14" i="7" a="1"/>
  <c r="DP14" i="7" s="1"/>
  <c r="DO14" i="7" a="1"/>
  <c r="DO14" i="7" s="1"/>
  <c r="DN14" i="7"/>
  <c r="DN14" i="7" a="1"/>
  <c r="DM14" i="7" a="1"/>
  <c r="DM14" i="7" s="1"/>
  <c r="DL14" i="7" a="1"/>
  <c r="DL14" i="7" s="1"/>
  <c r="DK14" i="7" a="1"/>
  <c r="DK14" i="7" s="1"/>
  <c r="DJ14" i="7" a="1"/>
  <c r="DJ14" i="7" s="1"/>
  <c r="DI14" i="7"/>
  <c r="DI14" i="7" a="1"/>
  <c r="DH14" i="7" a="1"/>
  <c r="DH14" i="7" s="1"/>
  <c r="DG14" i="7" a="1"/>
  <c r="DG14" i="7" s="1"/>
  <c r="DF14" i="7" a="1"/>
  <c r="DF14" i="7" s="1"/>
  <c r="DE14" i="7" a="1"/>
  <c r="DE14" i="7" s="1"/>
  <c r="DD14" i="7"/>
  <c r="DD14" i="7" a="1"/>
  <c r="DC14" i="7" a="1"/>
  <c r="DC14" i="7" s="1"/>
  <c r="DB14" i="7" a="1"/>
  <c r="DB14" i="7" s="1"/>
  <c r="DA14" i="7" a="1"/>
  <c r="DA14" i="7" s="1"/>
  <c r="CZ14" i="7" a="1"/>
  <c r="CZ14" i="7" s="1"/>
  <c r="CY14" i="7" a="1"/>
  <c r="CY14" i="7" s="1"/>
  <c r="CX14" i="7"/>
  <c r="CX14" i="7" a="1"/>
  <c r="CW14" i="7"/>
  <c r="CW14" i="7" a="1"/>
  <c r="CV14" i="7" a="1"/>
  <c r="CV14" i="7" s="1"/>
  <c r="CU14" i="7" a="1"/>
  <c r="CU14" i="7" s="1"/>
  <c r="CT14" i="7" a="1"/>
  <c r="CT14" i="7" s="1"/>
  <c r="CS14" i="7" a="1"/>
  <c r="CS14" i="7" s="1"/>
  <c r="CR14" i="7" a="1"/>
  <c r="CR14" i="7" s="1"/>
  <c r="CQ14" i="7" a="1"/>
  <c r="CQ14" i="7" s="1"/>
  <c r="CP14" i="7" a="1"/>
  <c r="CP14" i="7" s="1"/>
  <c r="CO14" i="7" a="1"/>
  <c r="CO14" i="7" s="1"/>
  <c r="CN14" i="7"/>
  <c r="CN14" i="7" a="1"/>
  <c r="CM14" i="7"/>
  <c r="CM14" i="7" a="1"/>
  <c r="CL14" i="7" a="1"/>
  <c r="CL14" i="7" s="1"/>
  <c r="CK14" i="7" a="1"/>
  <c r="CK14" i="7" s="1"/>
  <c r="CJ14" i="7" a="1"/>
  <c r="CJ14" i="7" s="1"/>
  <c r="CI14" i="7" a="1"/>
  <c r="CI14" i="7" s="1"/>
  <c r="CH14" i="7" a="1"/>
  <c r="CH14" i="7" s="1"/>
  <c r="CG14" i="7" a="1"/>
  <c r="CG14" i="7" s="1"/>
  <c r="CF14" i="7" a="1"/>
  <c r="CF14" i="7" s="1"/>
  <c r="CE14" i="7" a="1"/>
  <c r="CE14" i="7" s="1"/>
  <c r="CD14" i="7" a="1"/>
  <c r="CD14" i="7" s="1"/>
  <c r="CC14" i="7" a="1"/>
  <c r="CC14" i="7" s="1"/>
  <c r="CB14" i="7" a="1"/>
  <c r="CB14" i="7" s="1"/>
  <c r="CA14" i="7" a="1"/>
  <c r="CA14" i="7" s="1"/>
  <c r="BZ14" i="7" a="1"/>
  <c r="BZ14" i="7" s="1"/>
  <c r="BY14" i="7"/>
  <c r="BY14" i="7" a="1"/>
  <c r="BX14" i="7" a="1"/>
  <c r="BX14" i="7" s="1"/>
  <c r="BW14" i="7" a="1"/>
  <c r="BW14" i="7" s="1"/>
  <c r="BV14" i="7" a="1"/>
  <c r="BV14" i="7" s="1"/>
  <c r="BU14" i="7"/>
  <c r="BU14" i="7" a="1"/>
  <c r="BT14" i="7" a="1"/>
  <c r="BT14" i="7" s="1"/>
  <c r="BS14" i="7" a="1"/>
  <c r="BS14" i="7" s="1"/>
  <c r="BR14" i="7" a="1"/>
  <c r="BR14" i="7" s="1"/>
  <c r="BQ14" i="7" a="1"/>
  <c r="BQ14" i="7" s="1"/>
  <c r="BP14" i="7" a="1"/>
  <c r="BP14" i="7" s="1"/>
  <c r="BO14" i="7"/>
  <c r="BO14" i="7" a="1"/>
  <c r="BN14" i="7" a="1"/>
  <c r="BN14" i="7" s="1"/>
  <c r="BM14" i="7" a="1"/>
  <c r="BM14" i="7" s="1"/>
  <c r="BL14" i="7" a="1"/>
  <c r="BL14" i="7" s="1"/>
  <c r="BK14" i="7" a="1"/>
  <c r="BK14" i="7" s="1"/>
  <c r="BJ14" i="7"/>
  <c r="BJ14" i="7" a="1"/>
  <c r="BI14" i="7" a="1"/>
  <c r="BI14" i="7" s="1"/>
  <c r="BH14" i="7" a="1"/>
  <c r="BH14" i="7" s="1"/>
  <c r="BG14" i="7" a="1"/>
  <c r="BG14" i="7" s="1"/>
  <c r="BF14" i="7" a="1"/>
  <c r="BF14" i="7" s="1"/>
  <c r="BE14" i="7"/>
  <c r="BE14" i="7" a="1"/>
  <c r="BD14" i="7" a="1"/>
  <c r="BD14" i="7" s="1"/>
  <c r="BC14" i="7" a="1"/>
  <c r="BC14" i="7" s="1"/>
  <c r="BB14" i="7" a="1"/>
  <c r="BB14" i="7" s="1"/>
  <c r="BA14" i="7" a="1"/>
  <c r="BA14" i="7" s="1"/>
  <c r="AZ14" i="7" a="1"/>
  <c r="AZ14" i="7" s="1"/>
  <c r="AY14" i="7" a="1"/>
  <c r="AY14" i="7" s="1"/>
  <c r="AX14" i="7"/>
  <c r="AX14" i="7" a="1"/>
  <c r="AW14" i="7" a="1"/>
  <c r="AW14" i="7" s="1"/>
  <c r="AV14" i="7" a="1"/>
  <c r="AV14" i="7" s="1"/>
  <c r="AU14" i="7" a="1"/>
  <c r="AU14" i="7" s="1"/>
  <c r="AT14" i="7" a="1"/>
  <c r="AT14" i="7" s="1"/>
  <c r="AS14" i="7" a="1"/>
  <c r="AS14" i="7" s="1"/>
  <c r="AR14" i="7"/>
  <c r="AR14" i="7" a="1"/>
  <c r="AQ14" i="7"/>
  <c r="AQ14" i="7" a="1"/>
  <c r="AP14" i="7" a="1"/>
  <c r="AP14" i="7" s="1"/>
  <c r="AO14" i="7" a="1"/>
  <c r="AO14" i="7" s="1"/>
  <c r="AN14" i="7" a="1"/>
  <c r="AN14" i="7" s="1"/>
  <c r="AM14" i="7" a="1"/>
  <c r="AM14" i="7" s="1"/>
  <c r="AL14" i="7"/>
  <c r="AL14" i="7" a="1"/>
  <c r="AK14" i="7" a="1"/>
  <c r="AK14" i="7" s="1"/>
  <c r="AJ14" i="7" a="1"/>
  <c r="AJ14" i="7" s="1"/>
  <c r="AI14" i="7" a="1"/>
  <c r="AI14" i="7" s="1"/>
  <c r="AH14" i="7" a="1"/>
  <c r="AH14" i="7" s="1"/>
  <c r="AG14" i="7"/>
  <c r="AG14" i="7" a="1"/>
  <c r="AF14" i="7" a="1"/>
  <c r="AF14" i="7" s="1"/>
  <c r="AE14" i="7" a="1"/>
  <c r="AE14" i="7" s="1"/>
  <c r="AD14" i="7"/>
  <c r="AD14" i="7" a="1"/>
  <c r="AC14" i="7" a="1"/>
  <c r="AC14" i="7" s="1"/>
  <c r="AB14" i="7" a="1"/>
  <c r="AB14" i="7" s="1"/>
  <c r="AA14" i="7"/>
  <c r="AA14" i="7" a="1"/>
  <c r="Z14" i="7"/>
  <c r="Z14" i="7" a="1"/>
  <c r="Y14" i="7" a="1"/>
  <c r="Y14" i="7" s="1"/>
  <c r="X14" i="7" a="1"/>
  <c r="X14" i="7" s="1"/>
  <c r="W14" i="7"/>
  <c r="W14" i="7" a="1"/>
  <c r="V14" i="7" a="1"/>
  <c r="V14" i="7" s="1"/>
  <c r="U14" i="7" a="1"/>
  <c r="U14" i="7" s="1"/>
  <c r="T14" i="7"/>
  <c r="T14" i="7" a="1"/>
  <c r="S14" i="7" a="1"/>
  <c r="S14" i="7" s="1"/>
  <c r="R14" i="7" a="1"/>
  <c r="R14" i="7" s="1"/>
  <c r="Q14" i="7" a="1"/>
  <c r="Q14" i="7" s="1"/>
  <c r="P14" i="7" a="1"/>
  <c r="P14" i="7" s="1"/>
  <c r="O14" i="7" a="1"/>
  <c r="O14" i="7" s="1"/>
  <c r="N14" i="7" a="1"/>
  <c r="N14" i="7" s="1"/>
  <c r="M14" i="7" a="1"/>
  <c r="M14" i="7" s="1"/>
  <c r="L14" i="7"/>
  <c r="L14" i="7" a="1"/>
  <c r="K14" i="7" a="1"/>
  <c r="K14" i="7" s="1"/>
  <c r="J14" i="7"/>
  <c r="J14" i="7" a="1"/>
  <c r="I14" i="7"/>
  <c r="I14" i="7" a="1"/>
  <c r="H14" i="7" a="1"/>
  <c r="H14" i="7" s="1"/>
  <c r="G14" i="7" a="1"/>
  <c r="G14" i="7" s="1"/>
  <c r="F14" i="7"/>
  <c r="F14" i="7" a="1"/>
  <c r="E14" i="7"/>
  <c r="E14" i="7" a="1"/>
  <c r="D14" i="7" a="1"/>
  <c r="D14" i="7" s="1"/>
  <c r="C14" i="7" a="1"/>
  <c r="C14" i="7" s="1"/>
  <c r="EF13" i="7"/>
  <c r="EF13" i="7" a="1"/>
  <c r="EE13" i="7" a="1"/>
  <c r="EE13" i="7" s="1"/>
  <c r="ED13" i="7" a="1"/>
  <c r="ED13" i="7" s="1"/>
  <c r="EC13" i="7" a="1"/>
  <c r="EC13" i="7" s="1"/>
  <c r="EB13" i="7" a="1"/>
  <c r="EB13" i="7" s="1"/>
  <c r="EA13" i="7"/>
  <c r="EA13" i="7" a="1"/>
  <c r="DZ13" i="7"/>
  <c r="DZ13" i="7" a="1"/>
  <c r="DY13" i="7" a="1"/>
  <c r="DY13" i="7" s="1"/>
  <c r="DX13" i="7" a="1"/>
  <c r="DX13" i="7" s="1"/>
  <c r="DW13" i="7"/>
  <c r="DW13" i="7" a="1"/>
  <c r="DV13" i="7" a="1"/>
  <c r="DV13" i="7" s="1"/>
  <c r="DU13" i="7" a="1"/>
  <c r="DU13" i="7" s="1"/>
  <c r="DT13" i="7" a="1"/>
  <c r="DT13" i="7" s="1"/>
  <c r="DS13" i="7" a="1"/>
  <c r="DS13" i="7" s="1"/>
  <c r="DR13" i="7"/>
  <c r="DR13" i="7" a="1"/>
  <c r="DQ13" i="7"/>
  <c r="DQ13" i="7" a="1"/>
  <c r="DP13" i="7" a="1"/>
  <c r="DP13" i="7" s="1"/>
  <c r="DO13" i="7" a="1"/>
  <c r="DO13" i="7" s="1"/>
  <c r="DN13" i="7" a="1"/>
  <c r="DN13" i="7" s="1"/>
  <c r="DM13" i="7"/>
  <c r="DM13" i="7" a="1"/>
  <c r="DL13" i="7" a="1"/>
  <c r="DL13" i="7" s="1"/>
  <c r="DK13" i="7" a="1"/>
  <c r="DK13" i="7" s="1"/>
  <c r="DJ13" i="7" a="1"/>
  <c r="DJ13" i="7" s="1"/>
  <c r="DI13" i="7" a="1"/>
  <c r="DI13" i="7" s="1"/>
  <c r="DH13" i="7" a="1"/>
  <c r="DH13" i="7" s="1"/>
  <c r="DG13" i="7"/>
  <c r="DG13" i="7" a="1"/>
  <c r="DF13" i="7" a="1"/>
  <c r="DF13" i="7" s="1"/>
  <c r="DE13" i="7" a="1"/>
  <c r="DE13" i="7" s="1"/>
  <c r="DD13" i="7" a="1"/>
  <c r="DD13" i="7" s="1"/>
  <c r="DC13" i="7" a="1"/>
  <c r="DC13" i="7" s="1"/>
  <c r="DB13" i="7" a="1"/>
  <c r="DB13" i="7" s="1"/>
  <c r="DA13" i="7" a="1"/>
  <c r="DA13" i="7" s="1"/>
  <c r="CZ13" i="7"/>
  <c r="CZ13" i="7" a="1"/>
  <c r="CY13" i="7"/>
  <c r="CY13" i="7" a="1"/>
  <c r="CX13" i="7" a="1"/>
  <c r="CX13" i="7" s="1"/>
  <c r="CW13" i="7"/>
  <c r="CW13" i="7" a="1"/>
  <c r="CV13" i="7"/>
  <c r="CV13" i="7" a="1"/>
  <c r="CU13" i="7" a="1"/>
  <c r="CU13" i="7" s="1"/>
  <c r="CT13" i="7" a="1"/>
  <c r="CT13" i="7" s="1"/>
  <c r="CS13" i="7" a="1"/>
  <c r="CS13" i="7" s="1"/>
  <c r="CR13" i="7" a="1"/>
  <c r="CR13" i="7" s="1"/>
  <c r="CQ13" i="7" a="1"/>
  <c r="CQ13" i="7" s="1"/>
  <c r="CP13" i="7" a="1"/>
  <c r="CP13" i="7" s="1"/>
  <c r="CO13" i="7" a="1"/>
  <c r="CO13" i="7" s="1"/>
  <c r="CN13" i="7" a="1"/>
  <c r="CN13" i="7" s="1"/>
  <c r="CM13" i="7" a="1"/>
  <c r="CM13" i="7" s="1"/>
  <c r="CL13" i="7"/>
  <c r="CL13" i="7" a="1"/>
  <c r="CK13" i="7" a="1"/>
  <c r="CK13" i="7" s="1"/>
  <c r="CJ13" i="7" a="1"/>
  <c r="CJ13" i="7" s="1"/>
  <c r="CI13" i="7" a="1"/>
  <c r="CI13" i="7" s="1"/>
  <c r="CH13" i="7" a="1"/>
  <c r="CH13" i="7" s="1"/>
  <c r="CG13" i="7" a="1"/>
  <c r="CG13" i="7" s="1"/>
  <c r="CF13" i="7"/>
  <c r="CF13" i="7" a="1"/>
  <c r="CE13" i="7"/>
  <c r="CE13" i="7" a="1"/>
  <c r="CD13" i="7" a="1"/>
  <c r="CD13" i="7" s="1"/>
  <c r="CC13" i="7" a="1"/>
  <c r="CC13" i="7" s="1"/>
  <c r="CB13" i="7" a="1"/>
  <c r="CB13" i="7" s="1"/>
  <c r="CA13" i="7" a="1"/>
  <c r="CA13" i="7" s="1"/>
  <c r="BZ13" i="7" a="1"/>
  <c r="BZ13" i="7" s="1"/>
  <c r="BY13" i="7"/>
  <c r="BY13" i="7" a="1"/>
  <c r="BX13" i="7"/>
  <c r="BX13" i="7" a="1"/>
  <c r="BW13" i="7" a="1"/>
  <c r="BW13" i="7" s="1"/>
  <c r="BV13" i="7" a="1"/>
  <c r="BV13" i="7" s="1"/>
  <c r="BU13" i="7" a="1"/>
  <c r="BU13" i="7" s="1"/>
  <c r="BT13" i="7"/>
  <c r="BT13" i="7" a="1"/>
  <c r="BS13" i="7" a="1"/>
  <c r="BS13" i="7" s="1"/>
  <c r="BR13" i="7" a="1"/>
  <c r="BR13" i="7" s="1"/>
  <c r="BQ13" i="7" a="1"/>
  <c r="BQ13" i="7" s="1"/>
  <c r="BP13" i="7"/>
  <c r="BP13" i="7" a="1"/>
  <c r="BO13" i="7" a="1"/>
  <c r="BO13" i="7" s="1"/>
  <c r="BN13" i="7" a="1"/>
  <c r="BN13" i="7" s="1"/>
  <c r="BM13" i="7" a="1"/>
  <c r="BM13" i="7" s="1"/>
  <c r="BL13" i="7" a="1"/>
  <c r="BL13" i="7" s="1"/>
  <c r="BK13" i="7"/>
  <c r="BK13" i="7" a="1"/>
  <c r="BJ13" i="7" a="1"/>
  <c r="BJ13" i="7" s="1"/>
  <c r="BI13" i="7" a="1"/>
  <c r="BI13" i="7" s="1"/>
  <c r="BH13" i="7" a="1"/>
  <c r="BH13" i="7" s="1"/>
  <c r="BG13" i="7" a="1"/>
  <c r="BG13" i="7" s="1"/>
  <c r="BF13" i="7" a="1"/>
  <c r="BF13" i="7" s="1"/>
  <c r="BE13" i="7"/>
  <c r="BE13" i="7" a="1"/>
  <c r="BD13" i="7" a="1"/>
  <c r="BD13" i="7" s="1"/>
  <c r="BC13" i="7" a="1"/>
  <c r="BC13" i="7" s="1"/>
  <c r="BB13" i="7"/>
  <c r="BB13" i="7" a="1"/>
  <c r="BA13" i="7" a="1"/>
  <c r="BA13" i="7" s="1"/>
  <c r="AZ13" i="7" a="1"/>
  <c r="AZ13" i="7" s="1"/>
  <c r="AY13" i="7" a="1"/>
  <c r="AY13" i="7" s="1"/>
  <c r="AX13" i="7" a="1"/>
  <c r="AX13" i="7" s="1"/>
  <c r="AW13" i="7"/>
  <c r="AW13" i="7" a="1"/>
  <c r="AV13" i="7"/>
  <c r="AV13" i="7" a="1"/>
  <c r="AU13" i="7" a="1"/>
  <c r="AU13" i="7" s="1"/>
  <c r="AT13" i="7" a="1"/>
  <c r="AT13" i="7" s="1"/>
  <c r="AS13" i="7"/>
  <c r="AS13" i="7" a="1"/>
  <c r="AR13" i="7" a="1"/>
  <c r="AR13" i="7" s="1"/>
  <c r="AQ13" i="7" a="1"/>
  <c r="AQ13" i="7" s="1"/>
  <c r="AP13" i="7" a="1"/>
  <c r="AP13" i="7" s="1"/>
  <c r="AO13" i="7" a="1"/>
  <c r="AO13" i="7" s="1"/>
  <c r="AN13" i="7"/>
  <c r="AN13" i="7" a="1"/>
  <c r="AM13" i="7"/>
  <c r="AM13" i="7" a="1"/>
  <c r="AL13" i="7" a="1"/>
  <c r="AL13" i="7" s="1"/>
  <c r="AK13" i="7" a="1"/>
  <c r="AK13" i="7" s="1"/>
  <c r="AJ13" i="7"/>
  <c r="AJ13" i="7" a="1"/>
  <c r="AI13" i="7" a="1"/>
  <c r="AI13" i="7" s="1"/>
  <c r="AH13" i="7" a="1"/>
  <c r="AH13" i="7" s="1"/>
  <c r="AG13" i="7" a="1"/>
  <c r="AG13" i="7" s="1"/>
  <c r="AF13" i="7" a="1"/>
  <c r="AF13" i="7" s="1"/>
  <c r="AE13" i="7"/>
  <c r="AE13" i="7" a="1"/>
  <c r="AD13" i="7"/>
  <c r="AD13" i="7" a="1"/>
  <c r="AC13" i="7" a="1"/>
  <c r="AC13" i="7" s="1"/>
  <c r="AB13" i="7" a="1"/>
  <c r="AB13" i="7" s="1"/>
  <c r="AA13" i="7" a="1"/>
  <c r="AA13" i="7" s="1"/>
  <c r="Z13" i="7" a="1"/>
  <c r="Z13" i="7" s="1"/>
  <c r="Y13" i="7" a="1"/>
  <c r="Y13" i="7" s="1"/>
  <c r="X13" i="7" a="1"/>
  <c r="X13" i="7" s="1"/>
  <c r="W13" i="7" a="1"/>
  <c r="W13" i="7" s="1"/>
  <c r="V13" i="7"/>
  <c r="V13" i="7" a="1"/>
  <c r="U13" i="7"/>
  <c r="U13" i="7" a="1"/>
  <c r="T13" i="7" a="1"/>
  <c r="T13" i="7" s="1"/>
  <c r="S13" i="7" a="1"/>
  <c r="S13" i="7" s="1"/>
  <c r="R13" i="7" a="1"/>
  <c r="R13" i="7" s="1"/>
  <c r="Q13" i="7"/>
  <c r="Q13" i="7" a="1"/>
  <c r="P13" i="7" a="1"/>
  <c r="P13" i="7" s="1"/>
  <c r="O13" i="7" a="1"/>
  <c r="O13" i="7" s="1"/>
  <c r="N13" i="7" a="1"/>
  <c r="N13" i="7" s="1"/>
  <c r="M13" i="7"/>
  <c r="M13" i="7" a="1"/>
  <c r="L13" i="7"/>
  <c r="L13" i="7" a="1"/>
  <c r="K13" i="7" a="1"/>
  <c r="K13" i="7" s="1"/>
  <c r="J13" i="7" a="1"/>
  <c r="J13" i="7" s="1"/>
  <c r="I13" i="7" a="1"/>
  <c r="I13" i="7" s="1"/>
  <c r="H13" i="7"/>
  <c r="H13" i="7" a="1"/>
  <c r="G13" i="7" a="1"/>
  <c r="G13" i="7" s="1"/>
  <c r="F13" i="7" a="1"/>
  <c r="F13" i="7" s="1"/>
  <c r="E13" i="7" a="1"/>
  <c r="E13" i="7" s="1"/>
  <c r="D13" i="7"/>
  <c r="D13" i="7" a="1"/>
  <c r="C13" i="7" a="1"/>
  <c r="C13" i="7" s="1"/>
  <c r="EF12" i="7" a="1"/>
  <c r="EF12" i="7" s="1"/>
  <c r="EE12" i="7" a="1"/>
  <c r="EE12" i="7" s="1"/>
  <c r="ED12" i="7" a="1"/>
  <c r="ED12" i="7" s="1"/>
  <c r="EC12" i="7"/>
  <c r="EC12" i="7" a="1"/>
  <c r="EB12" i="7" a="1"/>
  <c r="EB12" i="7" s="1"/>
  <c r="EA12" i="7" a="1"/>
  <c r="EA12" i="7" s="1"/>
  <c r="DZ12" i="7" a="1"/>
  <c r="DZ12" i="7" s="1"/>
  <c r="DY12" i="7" a="1"/>
  <c r="DY12" i="7" s="1"/>
  <c r="DX12" i="7" a="1"/>
  <c r="DX12" i="7" s="1"/>
  <c r="DW12" i="7"/>
  <c r="DW12" i="7" a="1"/>
  <c r="DV12" i="7" a="1"/>
  <c r="DV12" i="7" s="1"/>
  <c r="DU12" i="7" a="1"/>
  <c r="DU12" i="7" s="1"/>
  <c r="DT12" i="7"/>
  <c r="DT12" i="7" a="1"/>
  <c r="DS12" i="7" a="1"/>
  <c r="DS12" i="7" s="1"/>
  <c r="DR12" i="7" a="1"/>
  <c r="DR12" i="7" s="1"/>
  <c r="DQ12" i="7" a="1"/>
  <c r="DQ12" i="7" s="1"/>
  <c r="DP12" i="7" a="1"/>
  <c r="DP12" i="7" s="1"/>
  <c r="DO12" i="7"/>
  <c r="DO12" i="7" a="1"/>
  <c r="DN12" i="7"/>
  <c r="DN12" i="7" a="1"/>
  <c r="DM12" i="7" a="1"/>
  <c r="DM12" i="7" s="1"/>
  <c r="DL12" i="7" a="1"/>
  <c r="DL12" i="7" s="1"/>
  <c r="DK12" i="7"/>
  <c r="DK12" i="7" a="1"/>
  <c r="DJ12" i="7" a="1"/>
  <c r="DJ12" i="7" s="1"/>
  <c r="DI12" i="7" a="1"/>
  <c r="DI12" i="7" s="1"/>
  <c r="DH12" i="7" a="1"/>
  <c r="DH12" i="7" s="1"/>
  <c r="DG12" i="7" a="1"/>
  <c r="DG12" i="7" s="1"/>
  <c r="DF12" i="7"/>
  <c r="DF12" i="7" a="1"/>
  <c r="DE12" i="7"/>
  <c r="DE12" i="7" a="1"/>
  <c r="DD12" i="7" a="1"/>
  <c r="DD12" i="7" s="1"/>
  <c r="DC12" i="7" a="1"/>
  <c r="DC12" i="7" s="1"/>
  <c r="DB12" i="7"/>
  <c r="DB12" i="7" a="1"/>
  <c r="DA12" i="7" a="1"/>
  <c r="DA12" i="7" s="1"/>
  <c r="CZ12" i="7" a="1"/>
  <c r="CZ12" i="7" s="1"/>
  <c r="CY12" i="7" a="1"/>
  <c r="CY12" i="7" s="1"/>
  <c r="CX12" i="7" a="1"/>
  <c r="CX12" i="7" s="1"/>
  <c r="CW12" i="7"/>
  <c r="CW12" i="7" a="1"/>
  <c r="CV12" i="7"/>
  <c r="CV12" i="7" a="1"/>
  <c r="CU12" i="7" a="1"/>
  <c r="CU12" i="7" s="1"/>
  <c r="CT12" i="7" a="1"/>
  <c r="CT12" i="7" s="1"/>
  <c r="CS12" i="7" a="1"/>
  <c r="CS12" i="7" s="1"/>
  <c r="CR12" i="7" a="1"/>
  <c r="CR12" i="7" s="1"/>
  <c r="CQ12" i="7" a="1"/>
  <c r="CQ12" i="7" s="1"/>
  <c r="CP12" i="7" a="1"/>
  <c r="CP12" i="7" s="1"/>
  <c r="CO12" i="7" a="1"/>
  <c r="CO12" i="7" s="1"/>
  <c r="CN12" i="7"/>
  <c r="CN12" i="7" a="1"/>
  <c r="CM12" i="7"/>
  <c r="CM12" i="7" a="1"/>
  <c r="CL12" i="7" a="1"/>
  <c r="CL12" i="7" s="1"/>
  <c r="CK12" i="7" a="1"/>
  <c r="CK12" i="7" s="1"/>
  <c r="CJ12" i="7" a="1"/>
  <c r="CJ12" i="7" s="1"/>
  <c r="CI12" i="7"/>
  <c r="CI12" i="7" a="1"/>
  <c r="CH12" i="7" a="1"/>
  <c r="CH12" i="7" s="1"/>
  <c r="CG12" i="7" a="1"/>
  <c r="CG12" i="7" s="1"/>
  <c r="CF12" i="7" a="1"/>
  <c r="CF12" i="7" s="1"/>
  <c r="CE12" i="7"/>
  <c r="CE12" i="7" a="1"/>
  <c r="CD12" i="7"/>
  <c r="CD12" i="7" a="1"/>
  <c r="CC12" i="7" a="1"/>
  <c r="CC12" i="7" s="1"/>
  <c r="CB12" i="7" a="1"/>
  <c r="CB12" i="7" s="1"/>
  <c r="CA12" i="7" a="1"/>
  <c r="CA12" i="7" s="1"/>
  <c r="BZ12" i="7"/>
  <c r="BZ12" i="7" a="1"/>
  <c r="BY12" i="7" a="1"/>
  <c r="BY12" i="7" s="1"/>
  <c r="BX12" i="7" a="1"/>
  <c r="BX12" i="7" s="1"/>
  <c r="BW12" i="7" a="1"/>
  <c r="BW12" i="7" s="1"/>
  <c r="BV12" i="7"/>
  <c r="BV12" i="7" a="1"/>
  <c r="BU12" i="7" a="1"/>
  <c r="BU12" i="7" s="1"/>
  <c r="BT12" i="7" a="1"/>
  <c r="BT12" i="7" s="1"/>
  <c r="BS12" i="7" a="1"/>
  <c r="BS12" i="7" s="1"/>
  <c r="BR12" i="7" a="1"/>
  <c r="BR12" i="7" s="1"/>
  <c r="BQ12" i="7"/>
  <c r="BQ12" i="7" a="1"/>
  <c r="BP12" i="7" a="1"/>
  <c r="BP12" i="7" s="1"/>
  <c r="BO12" i="7" a="1"/>
  <c r="BO12" i="7" s="1"/>
  <c r="BN12" i="7" a="1"/>
  <c r="BN12" i="7" s="1"/>
  <c r="BM12" i="7" a="1"/>
  <c r="BM12" i="7" s="1"/>
  <c r="BL12" i="7" a="1"/>
  <c r="BL12" i="7" s="1"/>
  <c r="BK12" i="7"/>
  <c r="BK12" i="7" a="1"/>
  <c r="BJ12" i="7" a="1"/>
  <c r="BJ12" i="7" s="1"/>
  <c r="BI12" i="7" a="1"/>
  <c r="BI12" i="7" s="1"/>
  <c r="BH12" i="7"/>
  <c r="BH12" i="7" a="1"/>
  <c r="BG12" i="7" a="1"/>
  <c r="BG12" i="7" s="1"/>
  <c r="BF12" i="7" a="1"/>
  <c r="BF12" i="7" s="1"/>
  <c r="BE12" i="7" a="1"/>
  <c r="BE12" i="7" s="1"/>
  <c r="BD12" i="7" a="1"/>
  <c r="BD12" i="7" s="1"/>
  <c r="BC12" i="7"/>
  <c r="BC12" i="7" a="1"/>
  <c r="BB12" i="7"/>
  <c r="BB12" i="7" a="1"/>
  <c r="BA12" i="7" a="1"/>
  <c r="BA12" i="7" s="1"/>
  <c r="AZ12" i="7" a="1"/>
  <c r="AZ12" i="7" s="1"/>
  <c r="AY12" i="7"/>
  <c r="AY12" i="7" a="1"/>
  <c r="AX12" i="7" a="1"/>
  <c r="AX12" i="7" s="1"/>
  <c r="AW12" i="7" a="1"/>
  <c r="AW12" i="7" s="1"/>
  <c r="AV12" i="7" a="1"/>
  <c r="AV12" i="7" s="1"/>
  <c r="AU12" i="7" a="1"/>
  <c r="AU12" i="7" s="1"/>
  <c r="AT12" i="7" a="1"/>
  <c r="AT12" i="7" s="1"/>
  <c r="AS12" i="7" a="1"/>
  <c r="AS12" i="7" s="1"/>
  <c r="AR12" i="7"/>
  <c r="AR12" i="7" a="1"/>
  <c r="AQ12" i="7" a="1"/>
  <c r="AQ12" i="7" s="1"/>
  <c r="AP12" i="7" a="1"/>
  <c r="AP12" i="7" s="1"/>
  <c r="AO12" i="7" a="1"/>
  <c r="AO12" i="7" s="1"/>
  <c r="AN12" i="7" a="1"/>
  <c r="AN12" i="7" s="1"/>
  <c r="AM12" i="7" a="1"/>
  <c r="AM12" i="7" s="1"/>
  <c r="AL12" i="7"/>
  <c r="AL12" i="7" a="1"/>
  <c r="AK12" i="7"/>
  <c r="AK12" i="7" a="1"/>
  <c r="AJ12" i="7" a="1"/>
  <c r="AJ12" i="7" s="1"/>
  <c r="AI12" i="7" a="1"/>
  <c r="AI12" i="7" s="1"/>
  <c r="AH12" i="7"/>
  <c r="AH12" i="7" a="1"/>
  <c r="AG12" i="7" a="1"/>
  <c r="AG12" i="7" s="1"/>
  <c r="AF12" i="7" a="1"/>
  <c r="AF12" i="7" s="1"/>
  <c r="AE12" i="7" a="1"/>
  <c r="AE12" i="7" s="1"/>
  <c r="AD12" i="7" a="1"/>
  <c r="AD12" i="7" s="1"/>
  <c r="AC12" i="7" a="1"/>
  <c r="AC12" i="7" s="1"/>
  <c r="AB12" i="7" a="1"/>
  <c r="AB12" i="7" s="1"/>
  <c r="AA12" i="7"/>
  <c r="AA12" i="7" a="1"/>
  <c r="Z12" i="7" a="1"/>
  <c r="Z12" i="7" s="1"/>
  <c r="Y12" i="7" a="1"/>
  <c r="Y12" i="7" s="1"/>
  <c r="X12" i="7" a="1"/>
  <c r="X12" i="7" s="1"/>
  <c r="W12" i="7" a="1"/>
  <c r="W12" i="7" s="1"/>
  <c r="V12" i="7" a="1"/>
  <c r="V12" i="7" s="1"/>
  <c r="U12" i="7"/>
  <c r="U12" i="7" a="1"/>
  <c r="T12" i="7"/>
  <c r="T12" i="7" a="1"/>
  <c r="S12" i="7" a="1"/>
  <c r="S12" i="7" s="1"/>
  <c r="R12" i="7" a="1"/>
  <c r="R12" i="7" s="1"/>
  <c r="Q12" i="7" a="1"/>
  <c r="Q12" i="7" s="1"/>
  <c r="P12" i="7" a="1"/>
  <c r="P12" i="7" s="1"/>
  <c r="O12" i="7" a="1"/>
  <c r="O12" i="7" s="1"/>
  <c r="N12" i="7" a="1"/>
  <c r="N12" i="7" s="1"/>
  <c r="M12" i="7" a="1"/>
  <c r="M12" i="7" s="1"/>
  <c r="L12" i="7" a="1"/>
  <c r="L12" i="7" s="1"/>
  <c r="K12" i="7" a="1"/>
  <c r="K12" i="7" s="1"/>
  <c r="J12" i="7"/>
  <c r="J12" i="7" a="1"/>
  <c r="I12" i="7" a="1"/>
  <c r="I12" i="7" s="1"/>
  <c r="H12" i="7"/>
  <c r="H12" i="7" a="1"/>
  <c r="G12" i="7" a="1"/>
  <c r="G12" i="7" s="1"/>
  <c r="F12" i="7" a="1"/>
  <c r="F12" i="7" s="1"/>
  <c r="E12" i="7" a="1"/>
  <c r="E12" i="7" s="1"/>
  <c r="D12" i="7"/>
  <c r="D12" i="7" a="1"/>
  <c r="C12" i="7" a="1"/>
  <c r="C12" i="7" s="1"/>
  <c r="DS8" i="7"/>
  <c r="DK8" i="7"/>
  <c r="DD8" i="7"/>
  <c r="DC8" i="7"/>
  <c r="CD8" i="7"/>
  <c r="BZ8" i="7"/>
  <c r="BO8" i="7"/>
  <c r="AT8" i="7"/>
  <c r="AR8" i="7"/>
  <c r="AI8" i="7"/>
  <c r="AD8" i="7"/>
  <c r="L8" i="7"/>
  <c r="K8" i="7"/>
  <c r="EA7" i="7"/>
  <c r="DY7" i="7"/>
  <c r="DB7" i="7"/>
  <c r="CV7" i="7"/>
  <c r="CU7" i="7"/>
  <c r="CS7" i="7"/>
  <c r="CD7" i="7"/>
  <c r="BP7" i="7"/>
  <c r="AJ7" i="7"/>
  <c r="AI7" i="7"/>
  <c r="Y7" i="7"/>
  <c r="T7" i="7"/>
  <c r="C7" i="7"/>
  <c r="EG6" i="7" a="1"/>
  <c r="EG6" i="7" s="1"/>
  <c r="EF6" i="7" a="1"/>
  <c r="EF6" i="7" s="1"/>
  <c r="EE6" i="7" a="1"/>
  <c r="EE6" i="7" s="1"/>
  <c r="ED6" i="7" a="1"/>
  <c r="ED6" i="7" s="1"/>
  <c r="EC6" i="7" a="1"/>
  <c r="EC6" i="7" s="1"/>
  <c r="EB6" i="7" a="1"/>
  <c r="EB6" i="7" s="1"/>
  <c r="EB8" i="7" s="1"/>
  <c r="EA6" i="7" a="1"/>
  <c r="EA6" i="7" s="1"/>
  <c r="EA8" i="7" s="1"/>
  <c r="DZ6" i="7" a="1"/>
  <c r="DZ6" i="7" s="1"/>
  <c r="DY6" i="7"/>
  <c r="DY8" i="7" s="1"/>
  <c r="DY6" i="7" a="1"/>
  <c r="DX6" i="7" a="1"/>
  <c r="DX6" i="7" s="1"/>
  <c r="DW6" i="7" a="1"/>
  <c r="DW6" i="7" s="1"/>
  <c r="DV6" i="7" a="1"/>
  <c r="DV6" i="7" s="1"/>
  <c r="DV7" i="7" s="1"/>
  <c r="DU6" i="7" a="1"/>
  <c r="DU6" i="7" s="1"/>
  <c r="DT6" i="7" a="1"/>
  <c r="DT6" i="7" s="1"/>
  <c r="DT7" i="7" s="1"/>
  <c r="DS6" i="7" a="1"/>
  <c r="DS6" i="7" s="1"/>
  <c r="DS7" i="7" s="1"/>
  <c r="DR6" i="7" a="1"/>
  <c r="DR6" i="7" s="1"/>
  <c r="DQ6" i="7" a="1"/>
  <c r="DQ6" i="7" s="1"/>
  <c r="DP6" i="7" a="1"/>
  <c r="DP6" i="7" s="1"/>
  <c r="DO6" i="7" a="1"/>
  <c r="DO6" i="7" s="1"/>
  <c r="DN6" i="7" a="1"/>
  <c r="DN6" i="7" s="1"/>
  <c r="DM6" i="7"/>
  <c r="DM8" i="7" s="1"/>
  <c r="DM6" i="7" a="1"/>
  <c r="DL6" i="7" a="1"/>
  <c r="DL6" i="7" s="1"/>
  <c r="DL8" i="7" s="1"/>
  <c r="DK6" i="7" a="1"/>
  <c r="DK6" i="7" s="1"/>
  <c r="DK7" i="7" s="1"/>
  <c r="DJ6" i="7" a="1"/>
  <c r="DJ6" i="7" s="1"/>
  <c r="DI6" i="7" a="1"/>
  <c r="DI6" i="7" s="1"/>
  <c r="DH6" i="7" a="1"/>
  <c r="DH6" i="7" s="1"/>
  <c r="DG6" i="7" a="1"/>
  <c r="DG6" i="7" s="1"/>
  <c r="DF6" i="7" a="1"/>
  <c r="DF6" i="7" s="1"/>
  <c r="DF7" i="7" s="1"/>
  <c r="DE6" i="7" a="1"/>
  <c r="DE6" i="7" s="1"/>
  <c r="DD6" i="7" a="1"/>
  <c r="DD6" i="7" s="1"/>
  <c r="DD7" i="7" s="1"/>
  <c r="DC6" i="7" a="1"/>
  <c r="DC6" i="7" s="1"/>
  <c r="DC7" i="7" s="1"/>
  <c r="DB6" i="7"/>
  <c r="DB8" i="7" s="1"/>
  <c r="DB6" i="7" a="1"/>
  <c r="DA6" i="7" a="1"/>
  <c r="DA6" i="7" s="1"/>
  <c r="CZ6" i="7" a="1"/>
  <c r="CZ6" i="7" s="1"/>
  <c r="CY6" i="7" a="1"/>
  <c r="CY6" i="7" s="1"/>
  <c r="CX6" i="7" a="1"/>
  <c r="CX6" i="7" s="1"/>
  <c r="CW6" i="7" a="1"/>
  <c r="CW6" i="7" s="1"/>
  <c r="CV6" i="7" a="1"/>
  <c r="CV6" i="7" s="1"/>
  <c r="CV8" i="7" s="1"/>
  <c r="CU6" i="7" a="1"/>
  <c r="CU6" i="7" s="1"/>
  <c r="CU8" i="7" s="1"/>
  <c r="CT6" i="7" a="1"/>
  <c r="CT6" i="7" s="1"/>
  <c r="CS6" i="7"/>
  <c r="CS8" i="7" s="1"/>
  <c r="CS6" i="7" a="1"/>
  <c r="CR6" i="7" a="1"/>
  <c r="CR6" i="7" s="1"/>
  <c r="CQ6" i="7" a="1"/>
  <c r="CQ6" i="7" s="1"/>
  <c r="CP6" i="7" a="1"/>
  <c r="CP6" i="7" s="1"/>
  <c r="CP7" i="7" s="1"/>
  <c r="CO6" i="7" a="1"/>
  <c r="CO6" i="7" s="1"/>
  <c r="CN6" i="7" a="1"/>
  <c r="CN6" i="7" s="1"/>
  <c r="CN7" i="7" s="1"/>
  <c r="CM6" i="7" a="1"/>
  <c r="CM6" i="7" s="1"/>
  <c r="CM7" i="7" s="1"/>
  <c r="CL6" i="7" a="1"/>
  <c r="CL6" i="7" s="1"/>
  <c r="CK6" i="7"/>
  <c r="CK8" i="7" s="1"/>
  <c r="CK6" i="7" a="1"/>
  <c r="CJ6" i="7" a="1"/>
  <c r="CJ6" i="7" s="1"/>
  <c r="CI6" i="7" a="1"/>
  <c r="CI6" i="7" s="1"/>
  <c r="CH6" i="7" a="1"/>
  <c r="CH6" i="7" s="1"/>
  <c r="CG6" i="7"/>
  <c r="CG8" i="7" s="1"/>
  <c r="CG6" i="7" a="1"/>
  <c r="CF6" i="7" a="1"/>
  <c r="CF6" i="7" s="1"/>
  <c r="CF8" i="7" s="1"/>
  <c r="CE6" i="7" a="1"/>
  <c r="CE6" i="7" s="1"/>
  <c r="CE8" i="7" s="1"/>
  <c r="CD6" i="7"/>
  <c r="CD6" i="7" a="1"/>
  <c r="CC6" i="7" a="1"/>
  <c r="CC6" i="7" s="1"/>
  <c r="CB6" i="7" a="1"/>
  <c r="CB6" i="7" s="1"/>
  <c r="CA6" i="7" a="1"/>
  <c r="CA6" i="7" s="1"/>
  <c r="BZ6" i="7" a="1"/>
  <c r="BZ6" i="7" s="1"/>
  <c r="BZ7" i="7" s="1"/>
  <c r="BY6" i="7"/>
  <c r="BY7" i="7" s="1"/>
  <c r="BY6" i="7" a="1"/>
  <c r="BX6" i="7" a="1"/>
  <c r="BX6" i="7" s="1"/>
  <c r="BX7" i="7" s="1"/>
  <c r="BW6" i="7" a="1"/>
  <c r="BW6" i="7" s="1"/>
  <c r="BW7" i="7" s="1"/>
  <c r="BV6" i="7" a="1"/>
  <c r="BV6" i="7" s="1"/>
  <c r="BU6" i="7" a="1"/>
  <c r="BU6" i="7" s="1"/>
  <c r="BT6" i="7" a="1"/>
  <c r="BT6" i="7" s="1"/>
  <c r="BS6" i="7" a="1"/>
  <c r="BS6" i="7" s="1"/>
  <c r="BR6" i="7" a="1"/>
  <c r="BR6" i="7" s="1"/>
  <c r="BQ6" i="7" a="1"/>
  <c r="BQ6" i="7" s="1"/>
  <c r="BP6" i="7" a="1"/>
  <c r="BP6" i="7" s="1"/>
  <c r="BP8" i="7" s="1"/>
  <c r="BO6" i="7" a="1"/>
  <c r="BO6" i="7" s="1"/>
  <c r="BO7" i="7" s="1"/>
  <c r="BN6" i="7" a="1"/>
  <c r="BN6" i="7" s="1"/>
  <c r="BM6" i="7" a="1"/>
  <c r="BM6" i="7" s="1"/>
  <c r="BL6" i="7" a="1"/>
  <c r="BL6" i="7" s="1"/>
  <c r="BK6" i="7" a="1"/>
  <c r="BK6" i="7" s="1"/>
  <c r="BJ6" i="7" a="1"/>
  <c r="BJ6" i="7" s="1"/>
  <c r="BJ7" i="7" s="1"/>
  <c r="BI6" i="7" a="1"/>
  <c r="BI6" i="7" s="1"/>
  <c r="BH6" i="7" a="1"/>
  <c r="BH6" i="7" s="1"/>
  <c r="BH7" i="7" s="1"/>
  <c r="BG6" i="7" a="1"/>
  <c r="BG6" i="7" s="1"/>
  <c r="BG7" i="7" s="1"/>
  <c r="BF6" i="7" a="1"/>
  <c r="BF6" i="7" s="1"/>
  <c r="BE6" i="7" a="1"/>
  <c r="BE6" i="7" s="1"/>
  <c r="BD6" i="7" a="1"/>
  <c r="BD6" i="7" s="1"/>
  <c r="BC6" i="7" a="1"/>
  <c r="BC6" i="7" s="1"/>
  <c r="BB6" i="7" a="1"/>
  <c r="BB6" i="7" s="1"/>
  <c r="BA6" i="7" a="1"/>
  <c r="BA6" i="7" s="1"/>
  <c r="AZ6" i="7" a="1"/>
  <c r="AZ6" i="7" s="1"/>
  <c r="AZ8" i="7" s="1"/>
  <c r="AY6" i="7" a="1"/>
  <c r="AY6" i="7" s="1"/>
  <c r="AY8" i="7" s="1"/>
  <c r="AX6" i="7"/>
  <c r="AX7" i="7" s="1"/>
  <c r="AX6" i="7" a="1"/>
  <c r="AW6" i="7" a="1"/>
  <c r="AW6" i="7" s="1"/>
  <c r="AV6" i="7" a="1"/>
  <c r="AV6" i="7" s="1"/>
  <c r="AU6" i="7" a="1"/>
  <c r="AU6" i="7" s="1"/>
  <c r="AT6" i="7" a="1"/>
  <c r="AT6" i="7" s="1"/>
  <c r="AT7" i="7" s="1"/>
  <c r="AS6" i="7" a="1"/>
  <c r="AS6" i="7" s="1"/>
  <c r="AR6" i="7" a="1"/>
  <c r="AR6" i="7" s="1"/>
  <c r="AR7" i="7" s="1"/>
  <c r="AQ6" i="7" a="1"/>
  <c r="AQ6" i="7" s="1"/>
  <c r="AQ7" i="7" s="1"/>
  <c r="AP6" i="7"/>
  <c r="AP7" i="7" s="1"/>
  <c r="AP6" i="7" a="1"/>
  <c r="AO6" i="7" a="1"/>
  <c r="AO6" i="7" s="1"/>
  <c r="AN6" i="7" a="1"/>
  <c r="AN6" i="7" s="1"/>
  <c r="AM6" i="7" a="1"/>
  <c r="AM6" i="7" s="1"/>
  <c r="AL6" i="7" a="1"/>
  <c r="AL6" i="7" s="1"/>
  <c r="AK6" i="7" a="1"/>
  <c r="AK6" i="7" s="1"/>
  <c r="AJ6" i="7" a="1"/>
  <c r="AJ6" i="7" s="1"/>
  <c r="AJ8" i="7" s="1"/>
  <c r="AI6" i="7" a="1"/>
  <c r="AI6" i="7" s="1"/>
  <c r="AH6" i="7" a="1"/>
  <c r="AH6" i="7" s="1"/>
  <c r="AG6" i="7" a="1"/>
  <c r="AG6" i="7" s="1"/>
  <c r="AF6" i="7" a="1"/>
  <c r="AF6" i="7" s="1"/>
  <c r="AE6" i="7" a="1"/>
  <c r="AE6" i="7" s="1"/>
  <c r="AD6" i="7" a="1"/>
  <c r="AD6" i="7" s="1"/>
  <c r="AD7" i="7" s="1"/>
  <c r="AC6" i="7" a="1"/>
  <c r="AC6" i="7" s="1"/>
  <c r="AB6" i="7" a="1"/>
  <c r="AB6" i="7" s="1"/>
  <c r="AB7" i="7" s="1"/>
  <c r="AA6" i="7" a="1"/>
  <c r="AA6" i="7" s="1"/>
  <c r="AA7" i="7" s="1"/>
  <c r="Z6" i="7" a="1"/>
  <c r="Z6" i="7" s="1"/>
  <c r="Y6" i="7"/>
  <c r="Y8" i="7" s="1"/>
  <c r="Y6" i="7" a="1"/>
  <c r="X6" i="7" a="1"/>
  <c r="X6" i="7" s="1"/>
  <c r="W6" i="7" a="1"/>
  <c r="W6" i="7" s="1"/>
  <c r="V6" i="7" a="1"/>
  <c r="V6" i="7" s="1"/>
  <c r="U6" i="7" a="1"/>
  <c r="U6" i="7" s="1"/>
  <c r="T6" i="7" a="1"/>
  <c r="T6" i="7" s="1"/>
  <c r="T8" i="7" s="1"/>
  <c r="S6" i="7" a="1"/>
  <c r="S6" i="7" s="1"/>
  <c r="S8" i="7" s="1"/>
  <c r="R6" i="7" a="1"/>
  <c r="R6" i="7" s="1"/>
  <c r="Q6" i="7" a="1"/>
  <c r="Q6" i="7" s="1"/>
  <c r="P6" i="7" a="1"/>
  <c r="P6" i="7" s="1"/>
  <c r="O6" i="7" a="1"/>
  <c r="O6" i="7" s="1"/>
  <c r="N6" i="7" a="1"/>
  <c r="N6" i="7" s="1"/>
  <c r="N7" i="7" s="1"/>
  <c r="M6" i="7"/>
  <c r="M7" i="7" s="1"/>
  <c r="M6" i="7" a="1"/>
  <c r="L6" i="7" a="1"/>
  <c r="L6" i="7" s="1"/>
  <c r="L7" i="7" s="1"/>
  <c r="K6" i="7" a="1"/>
  <c r="K6" i="7" s="1"/>
  <c r="K7" i="7" s="1"/>
  <c r="J6" i="7" a="1"/>
  <c r="J6" i="7" s="1"/>
  <c r="I6" i="7" a="1"/>
  <c r="I6" i="7" s="1"/>
  <c r="H6" i="7" a="1"/>
  <c r="H6" i="7" s="1"/>
  <c r="G6" i="7" a="1"/>
  <c r="G6" i="7" s="1"/>
  <c r="F6" i="7" a="1"/>
  <c r="F6" i="7" s="1"/>
  <c r="E6" i="7" a="1"/>
  <c r="E6" i="7" s="1"/>
  <c r="D6" i="7" a="1"/>
  <c r="D6" i="7" s="1"/>
  <c r="D8" i="7" s="1"/>
  <c r="C6" i="7" a="1"/>
  <c r="C6" i="7" s="1"/>
  <c r="C8" i="7" s="1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EG10" i="6"/>
  <c r="EG18" i="6" s="1"/>
  <c r="EG9" i="6"/>
  <c r="A1" i="6"/>
  <c r="BG25" i="5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L25" i="5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I25" i="5"/>
  <c r="J25" i="5" s="1"/>
  <c r="K25" i="5" s="1"/>
  <c r="H25" i="5"/>
  <c r="E25" i="5"/>
  <c r="F25" i="5" s="1"/>
  <c r="G25" i="5" s="1"/>
  <c r="D25" i="5"/>
  <c r="H24" i="5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D24" i="5"/>
  <c r="E24" i="5" s="1"/>
  <c r="F24" i="5" s="1"/>
  <c r="G24" i="5" s="1"/>
  <c r="O23" i="5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G23" i="5"/>
  <c r="H23" i="5" s="1"/>
  <c r="I23" i="5" s="1"/>
  <c r="J23" i="5" s="1"/>
  <c r="K23" i="5" s="1"/>
  <c r="L23" i="5" s="1"/>
  <c r="M23" i="5" s="1"/>
  <c r="N23" i="5" s="1"/>
  <c r="E23" i="5"/>
  <c r="F23" i="5" s="1"/>
  <c r="D23" i="5"/>
  <c r="L22" i="5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F22" i="5"/>
  <c r="G22" i="5" s="1"/>
  <c r="H22" i="5" s="1"/>
  <c r="I22" i="5" s="1"/>
  <c r="J22" i="5" s="1"/>
  <c r="K22" i="5" s="1"/>
  <c r="D22" i="5"/>
  <c r="E22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E20" i="5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20" i="5"/>
  <c r="H19" i="5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G19" i="5"/>
  <c r="F19" i="5"/>
  <c r="E19" i="5"/>
  <c r="D19" i="5"/>
  <c r="CG18" i="5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F18" i="5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E18" i="5"/>
  <c r="D18" i="5"/>
  <c r="K17" i="5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D17" i="5"/>
  <c r="E17" i="5" s="1"/>
  <c r="F17" i="5" s="1"/>
  <c r="G17" i="5" s="1"/>
  <c r="H17" i="5" s="1"/>
  <c r="I17" i="5" s="1"/>
  <c r="D16" i="5"/>
  <c r="E16" i="5" s="1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CZ15" i="5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G15" i="5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E15" i="5"/>
  <c r="F15" i="5" s="1"/>
  <c r="D15" i="5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X13" i="5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W13" i="5"/>
  <c r="V13" i="5"/>
  <c r="U13" i="5"/>
  <c r="F13" i="5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E13" i="5"/>
  <c r="D13" i="5"/>
  <c r="BH12" i="5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V12" i="5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O12" i="5"/>
  <c r="P12" i="5" s="1"/>
  <c r="Q12" i="5" s="1"/>
  <c r="R12" i="5" s="1"/>
  <c r="S12" i="5" s="1"/>
  <c r="T12" i="5" s="1"/>
  <c r="U12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EE8" i="5"/>
  <c r="DZ8" i="5"/>
  <c r="DV8" i="5"/>
  <c r="DU8" i="5"/>
  <c r="DM8" i="5"/>
  <c r="DL8" i="5"/>
  <c r="DE8" i="5"/>
  <c r="CN8" i="5"/>
  <c r="BW8" i="5"/>
  <c r="BT8" i="5"/>
  <c r="BS8" i="5"/>
  <c r="BO8" i="5"/>
  <c r="BA8" i="5"/>
  <c r="AY8" i="5"/>
  <c r="AH8" i="5"/>
  <c r="AG8" i="5"/>
  <c r="AE8" i="5"/>
  <c r="Q8" i="5"/>
  <c r="P8" i="5"/>
  <c r="O8" i="5"/>
  <c r="M8" i="5"/>
  <c r="C8" i="5"/>
  <c r="EG7" i="5"/>
  <c r="EE7" i="5"/>
  <c r="DW7" i="5"/>
  <c r="DN7" i="5"/>
  <c r="DM7" i="5"/>
  <c r="DF7" i="5"/>
  <c r="DE7" i="5"/>
  <c r="CW7" i="5"/>
  <c r="CU7" i="5"/>
  <c r="CN7" i="5"/>
  <c r="CM7" i="5"/>
  <c r="CF7" i="5"/>
  <c r="BY7" i="5"/>
  <c r="BE7" i="5"/>
  <c r="AR7" i="5"/>
  <c r="AQ7" i="5"/>
  <c r="AL7" i="5"/>
  <c r="Y7" i="5"/>
  <c r="X7" i="5"/>
  <c r="V7" i="5"/>
  <c r="EG6" i="5" a="1"/>
  <c r="EG6" i="5" s="1"/>
  <c r="EG8" i="5" s="1"/>
  <c r="EF6" i="5" a="1"/>
  <c r="EF6" i="5" s="1"/>
  <c r="EE6" i="5" a="1"/>
  <c r="EE6" i="5"/>
  <c r="ED6" i="5" a="1"/>
  <c r="ED6" i="5" s="1"/>
  <c r="EC6" i="5" a="1"/>
  <c r="EC6" i="5"/>
  <c r="EB6" i="5" a="1"/>
  <c r="EB6" i="5" s="1"/>
  <c r="EA6" i="5" a="1"/>
  <c r="EA6" i="5" s="1"/>
  <c r="DZ6" i="5" a="1"/>
  <c r="DZ6" i="5"/>
  <c r="DZ7" i="5" s="1"/>
  <c r="DY6" i="5" a="1"/>
  <c r="DY6" i="5" s="1"/>
  <c r="DX6" i="5" a="1"/>
  <c r="DX6" i="5" s="1"/>
  <c r="DW6" i="5" a="1"/>
  <c r="DW6" i="5" s="1"/>
  <c r="DW8" i="5" s="1"/>
  <c r="DV6" i="5" a="1"/>
  <c r="DV6" i="5"/>
  <c r="DV7" i="5" s="1"/>
  <c r="DU6" i="5" a="1"/>
  <c r="DU6" i="5"/>
  <c r="DU7" i="5" s="1"/>
  <c r="DT6" i="5" a="1"/>
  <c r="DT6" i="5" s="1"/>
  <c r="DS6" i="5" a="1"/>
  <c r="DS6" i="5" s="1"/>
  <c r="DR6" i="5" a="1"/>
  <c r="DR6" i="5" s="1"/>
  <c r="DQ6" i="5" a="1"/>
  <c r="DQ6" i="5" s="1"/>
  <c r="DP6" i="5" a="1"/>
  <c r="DP6" i="5" s="1"/>
  <c r="DP8" i="5" s="1"/>
  <c r="DO6" i="5" a="1"/>
  <c r="DO6" i="5" s="1"/>
  <c r="DO8" i="5" s="1"/>
  <c r="DN6" i="5" a="1"/>
  <c r="DN6" i="5"/>
  <c r="DN8" i="5" s="1"/>
  <c r="DM6" i="5" a="1"/>
  <c r="DM6" i="5" s="1"/>
  <c r="DL6" i="5" a="1"/>
  <c r="DL6" i="5"/>
  <c r="DL7" i="5" s="1"/>
  <c r="DK6" i="5" a="1"/>
  <c r="DK6" i="5" s="1"/>
  <c r="DJ6" i="5" a="1"/>
  <c r="DJ6" i="5"/>
  <c r="DI6" i="5" a="1"/>
  <c r="DI6" i="5" s="1"/>
  <c r="DI7" i="5" s="1"/>
  <c r="DH6" i="5" a="1"/>
  <c r="DH6" i="5"/>
  <c r="DG6" i="5" a="1"/>
  <c r="DG6" i="5"/>
  <c r="DF6" i="5" a="1"/>
  <c r="DF6" i="5" s="1"/>
  <c r="DF8" i="5" s="1"/>
  <c r="DE6" i="5" a="1"/>
  <c r="DE6" i="5"/>
  <c r="DD6" i="5" a="1"/>
  <c r="DD6" i="5" s="1"/>
  <c r="DC6" i="5" a="1"/>
  <c r="DC6" i="5"/>
  <c r="DB6" i="5" a="1"/>
  <c r="DB6" i="5" s="1"/>
  <c r="DA6" i="5" a="1"/>
  <c r="DA6" i="5" s="1"/>
  <c r="CZ6" i="5" a="1"/>
  <c r="CZ6" i="5"/>
  <c r="CY6" i="5" a="1"/>
  <c r="CY6" i="5"/>
  <c r="CX6" i="5" a="1"/>
  <c r="CX6" i="5" s="1"/>
  <c r="CW6" i="5" a="1"/>
  <c r="CW6" i="5"/>
  <c r="CW8" i="5" s="1"/>
  <c r="CV6" i="5" a="1"/>
  <c r="CV6" i="5" s="1"/>
  <c r="CV8" i="5" s="1"/>
  <c r="CU6" i="5" a="1"/>
  <c r="CU6" i="5"/>
  <c r="CU8" i="5" s="1"/>
  <c r="CT6" i="5" a="1"/>
  <c r="CT6" i="5"/>
  <c r="CS6" i="5" a="1"/>
  <c r="CS6" i="5" s="1"/>
  <c r="CR6" i="5" a="1"/>
  <c r="CR6" i="5" s="1"/>
  <c r="CQ6" i="5" a="1"/>
  <c r="CQ6" i="5"/>
  <c r="CP6" i="5" a="1"/>
  <c r="CP6" i="5" s="1"/>
  <c r="CO6" i="5" a="1"/>
  <c r="CO6" i="5" s="1"/>
  <c r="CN6" i="5" a="1"/>
  <c r="CN6" i="5"/>
  <c r="CM6" i="5" a="1"/>
  <c r="CM6" i="5" s="1"/>
  <c r="CM8" i="5" s="1"/>
  <c r="CL6" i="5" a="1"/>
  <c r="CL6" i="5"/>
  <c r="CL7" i="5" s="1"/>
  <c r="CK6" i="5" a="1"/>
  <c r="CK6" i="5" s="1"/>
  <c r="CJ6" i="5" a="1"/>
  <c r="CJ6" i="5"/>
  <c r="CI6" i="5" a="1"/>
  <c r="CI6" i="5" s="1"/>
  <c r="CH6" i="5" a="1"/>
  <c r="CH6" i="5"/>
  <c r="CH7" i="5" s="1"/>
  <c r="CG6" i="5" a="1"/>
  <c r="CG6" i="5" s="1"/>
  <c r="CF6" i="5" a="1"/>
  <c r="CF6" i="5"/>
  <c r="CF8" i="5" s="1"/>
  <c r="CE6" i="5" a="1"/>
  <c r="CE6" i="5" s="1"/>
  <c r="CD6" i="5" a="1"/>
  <c r="CD6" i="5"/>
  <c r="CC6" i="5" a="1"/>
  <c r="CC6" i="5" s="1"/>
  <c r="CB6" i="5" a="1"/>
  <c r="CB6" i="5"/>
  <c r="CB8" i="5" s="1"/>
  <c r="CA6" i="5" a="1"/>
  <c r="CA6" i="5" s="1"/>
  <c r="CA8" i="5" s="1"/>
  <c r="BZ6" i="5" a="1"/>
  <c r="BZ6" i="5" s="1"/>
  <c r="BY6" i="5" a="1"/>
  <c r="BY6" i="5" s="1"/>
  <c r="BY8" i="5" s="1"/>
  <c r="BX6" i="5" a="1"/>
  <c r="BX6" i="5" s="1"/>
  <c r="BW6" i="5" a="1"/>
  <c r="BW6" i="5"/>
  <c r="BW7" i="5" s="1"/>
  <c r="BV6" i="5" a="1"/>
  <c r="BV6" i="5" s="1"/>
  <c r="BU6" i="5" a="1"/>
  <c r="BU6" i="5" s="1"/>
  <c r="BT6" i="5" a="1"/>
  <c r="BT6" i="5" s="1"/>
  <c r="BT7" i="5" s="1"/>
  <c r="BS6" i="5" a="1"/>
  <c r="BS6" i="5"/>
  <c r="BS7" i="5" s="1"/>
  <c r="BR6" i="5" a="1"/>
  <c r="BR6" i="5" s="1"/>
  <c r="BQ6" i="5" a="1"/>
  <c r="BQ6" i="5"/>
  <c r="BP6" i="5" a="1"/>
  <c r="BP6" i="5" s="1"/>
  <c r="BO6" i="5" a="1"/>
  <c r="BO6" i="5"/>
  <c r="BO7" i="5" s="1"/>
  <c r="BN6" i="5" a="1"/>
  <c r="BN6" i="5" s="1"/>
  <c r="BM6" i="5" a="1"/>
  <c r="BM6" i="5" s="1"/>
  <c r="BM7" i="5" s="1"/>
  <c r="BL6" i="5" a="1"/>
  <c r="BL6" i="5"/>
  <c r="BK6" i="5" a="1"/>
  <c r="BK6" i="5"/>
  <c r="BJ6" i="5" a="1"/>
  <c r="BJ6" i="5"/>
  <c r="BJ8" i="5" s="1"/>
  <c r="BI6" i="5" a="1"/>
  <c r="BI6" i="5"/>
  <c r="BH6" i="5" a="1"/>
  <c r="BH6" i="5" s="1"/>
  <c r="BG6" i="5" a="1"/>
  <c r="BG6" i="5" s="1"/>
  <c r="BF6" i="5" a="1"/>
  <c r="BF6" i="5"/>
  <c r="BF8" i="5" s="1"/>
  <c r="BE6" i="5" a="1"/>
  <c r="BE6" i="5" s="1"/>
  <c r="BE8" i="5" s="1"/>
  <c r="BD6" i="5" a="1"/>
  <c r="BD6" i="5"/>
  <c r="BD8" i="5" s="1"/>
  <c r="BC6" i="5" a="1"/>
  <c r="BC6" i="5" s="1"/>
  <c r="BB6" i="5" a="1"/>
  <c r="BB6" i="5"/>
  <c r="BA6" i="5" a="1"/>
  <c r="BA6" i="5"/>
  <c r="BA7" i="5" s="1"/>
  <c r="AZ6" i="5" a="1"/>
  <c r="AZ6" i="5"/>
  <c r="AY6" i="5" a="1"/>
  <c r="AY6" i="5" s="1"/>
  <c r="AY7" i="5" s="1"/>
  <c r="AX6" i="5" a="1"/>
  <c r="AX6" i="5"/>
  <c r="AX7" i="5" s="1"/>
  <c r="AW6" i="5" a="1"/>
  <c r="AW6" i="5" s="1"/>
  <c r="AW7" i="5" s="1"/>
  <c r="AV6" i="5" a="1"/>
  <c r="AV6" i="5" s="1"/>
  <c r="AV7" i="5" s="1"/>
  <c r="AU6" i="5" a="1"/>
  <c r="AU6" i="5" s="1"/>
  <c r="AT6" i="5" a="1"/>
  <c r="AT6" i="5" s="1"/>
  <c r="AS6" i="5" a="1"/>
  <c r="AS6" i="5"/>
  <c r="AR6" i="5" a="1"/>
  <c r="AR6" i="5" s="1"/>
  <c r="AR8" i="5" s="1"/>
  <c r="AQ6" i="5" a="1"/>
  <c r="AQ6" i="5"/>
  <c r="AQ8" i="5" s="1"/>
  <c r="AP6" i="5" a="1"/>
  <c r="AP6" i="5" s="1"/>
  <c r="AO6" i="5" a="1"/>
  <c r="AO6" i="5" s="1"/>
  <c r="AO8" i="5" s="1"/>
  <c r="AN6" i="5" a="1"/>
  <c r="AN6" i="5" s="1"/>
  <c r="AN8" i="5" s="1"/>
  <c r="AM6" i="5" a="1"/>
  <c r="AM6" i="5"/>
  <c r="AM7" i="5" s="1"/>
  <c r="AL6" i="5" a="1"/>
  <c r="AL6" i="5"/>
  <c r="AL8" i="5" s="1"/>
  <c r="AK6" i="5" a="1"/>
  <c r="AK6" i="5" s="1"/>
  <c r="AJ6" i="5" a="1"/>
  <c r="AJ6" i="5" s="1"/>
  <c r="AI6" i="5" a="1"/>
  <c r="AI6" i="5"/>
  <c r="AH6" i="5" a="1"/>
  <c r="AH6" i="5" s="1"/>
  <c r="AH7" i="5" s="1"/>
  <c r="AG6" i="5" a="1"/>
  <c r="AG6" i="5" s="1"/>
  <c r="AG7" i="5" s="1"/>
  <c r="AF6" i="5" a="1"/>
  <c r="AF6" i="5" s="1"/>
  <c r="AE6" i="5" a="1"/>
  <c r="AE6" i="5" s="1"/>
  <c r="AE7" i="5" s="1"/>
  <c r="AD6" i="5" a="1"/>
  <c r="AD6" i="5"/>
  <c r="AC6" i="5" a="1"/>
  <c r="AC6" i="5" s="1"/>
  <c r="AB6" i="5" a="1"/>
  <c r="AB6" i="5" s="1"/>
  <c r="AA6" i="5" a="1"/>
  <c r="AA6" i="5"/>
  <c r="Z6" i="5" a="1"/>
  <c r="Z6" i="5" s="1"/>
  <c r="Y6" i="5" a="1"/>
  <c r="Y6" i="5" s="1"/>
  <c r="Y8" i="5" s="1"/>
  <c r="X6" i="5" a="1"/>
  <c r="X6" i="5"/>
  <c r="X8" i="5" s="1"/>
  <c r="W6" i="5" a="1"/>
  <c r="W6" i="5"/>
  <c r="V6" i="5" a="1"/>
  <c r="V6" i="5"/>
  <c r="V8" i="5" s="1"/>
  <c r="U6" i="5" a="1"/>
  <c r="U6" i="5" s="1"/>
  <c r="T6" i="5" a="1"/>
  <c r="T6" i="5"/>
  <c r="S6" i="5" a="1"/>
  <c r="S6" i="5" s="1"/>
  <c r="R6" i="5" a="1"/>
  <c r="R6" i="5" s="1"/>
  <c r="Q6" i="5" a="1"/>
  <c r="Q6" i="5" s="1"/>
  <c r="Q7" i="5" s="1"/>
  <c r="P6" i="5" a="1"/>
  <c r="P6" i="5" s="1"/>
  <c r="P7" i="5" s="1"/>
  <c r="O6" i="5" a="1"/>
  <c r="O6" i="5"/>
  <c r="O7" i="5" s="1"/>
  <c r="N6" i="5" a="1"/>
  <c r="N6" i="5" s="1"/>
  <c r="M6" i="5" a="1"/>
  <c r="M6" i="5" s="1"/>
  <c r="M7" i="5" s="1"/>
  <c r="L6" i="5" a="1"/>
  <c r="L6" i="5"/>
  <c r="K6" i="5" a="1"/>
  <c r="K6" i="5" s="1"/>
  <c r="J6" i="5" a="1"/>
  <c r="J6" i="5"/>
  <c r="I6" i="5" a="1"/>
  <c r="I6" i="5" s="1"/>
  <c r="H6" i="5" a="1"/>
  <c r="H6" i="5" s="1"/>
  <c r="G6" i="5" a="1"/>
  <c r="G6" i="5"/>
  <c r="F6" i="5" a="1"/>
  <c r="F6" i="5" s="1"/>
  <c r="E6" i="5" a="1"/>
  <c r="E6" i="5"/>
  <c r="E8" i="5" s="1"/>
  <c r="D6" i="5" a="1"/>
  <c r="D6" i="5" s="1"/>
  <c r="C6" i="5" a="1"/>
  <c r="C6" i="5"/>
  <c r="C7" i="5" s="1"/>
  <c r="A1" i="5"/>
  <c r="Q25" i="4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N25" i="4"/>
  <c r="O25" i="4" s="1"/>
  <c r="P25" i="4" s="1"/>
  <c r="M25" i="4"/>
  <c r="D25" i="4"/>
  <c r="E25" i="4" s="1"/>
  <c r="F25" i="4" s="1"/>
  <c r="G25" i="4" s="1"/>
  <c r="H25" i="4" s="1"/>
  <c r="I25" i="4" s="1"/>
  <c r="J25" i="4" s="1"/>
  <c r="K25" i="4" s="1"/>
  <c r="L25" i="4" s="1"/>
  <c r="O24" i="4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M24" i="4"/>
  <c r="N24" i="4" s="1"/>
  <c r="L24" i="4"/>
  <c r="D24" i="4"/>
  <c r="E24" i="4" s="1"/>
  <c r="F24" i="4" s="1"/>
  <c r="G24" i="4" s="1"/>
  <c r="H24" i="4" s="1"/>
  <c r="I24" i="4" s="1"/>
  <c r="J24" i="4" s="1"/>
  <c r="K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K22" i="4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D22" i="4"/>
  <c r="E22" i="4" s="1"/>
  <c r="F22" i="4" s="1"/>
  <c r="G22" i="4" s="1"/>
  <c r="H22" i="4" s="1"/>
  <c r="I22" i="4" s="1"/>
  <c r="J22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P19" i="4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19" i="4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19" i="4"/>
  <c r="ED18" i="4"/>
  <c r="EE18" i="4" s="1"/>
  <c r="EF18" i="4" s="1"/>
  <c r="J18" i="4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I18" i="4"/>
  <c r="E18" i="4"/>
  <c r="F18" i="4" s="1"/>
  <c r="G18" i="4" s="1"/>
  <c r="H18" i="4" s="1"/>
  <c r="D18" i="4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17" i="4"/>
  <c r="F17" i="4" s="1"/>
  <c r="D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Q15" i="4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D15" i="4"/>
  <c r="G14" i="4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4" i="4"/>
  <c r="E14" i="4" s="1"/>
  <c r="F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AZ12" i="4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D12" i="4"/>
  <c r="DT8" i="4"/>
  <c r="DR8" i="4"/>
  <c r="DP8" i="4"/>
  <c r="DO8" i="4"/>
  <c r="CY8" i="4"/>
  <c r="CX8" i="4"/>
  <c r="CV8" i="4"/>
  <c r="CP8" i="4"/>
  <c r="CN8" i="4"/>
  <c r="CG8" i="4"/>
  <c r="CF8" i="4"/>
  <c r="CE8" i="4"/>
  <c r="CA8" i="4"/>
  <c r="BZ8" i="4"/>
  <c r="BX8" i="4"/>
  <c r="BW8" i="4"/>
  <c r="BV8" i="4"/>
  <c r="BP8" i="4"/>
  <c r="BO8" i="4"/>
  <c r="BF8" i="4"/>
  <c r="BD8" i="4"/>
  <c r="AN8" i="4"/>
  <c r="AL8" i="4"/>
  <c r="AK8" i="4"/>
  <c r="AD8" i="4"/>
  <c r="T8" i="4"/>
  <c r="Q8" i="4"/>
  <c r="N8" i="4"/>
  <c r="L8" i="4"/>
  <c r="EC7" i="4"/>
  <c r="EB7" i="4"/>
  <c r="EA7" i="4"/>
  <c r="DZ7" i="4"/>
  <c r="DY7" i="4"/>
  <c r="DX7" i="4"/>
  <c r="DJ7" i="4"/>
  <c r="DH7" i="4"/>
  <c r="DG7" i="4"/>
  <c r="DF7" i="4"/>
  <c r="DE7" i="4"/>
  <c r="CV7" i="4"/>
  <c r="CP7" i="4"/>
  <c r="CN7" i="4"/>
  <c r="CM7" i="4"/>
  <c r="CF7" i="4"/>
  <c r="BX7" i="4"/>
  <c r="BV7" i="4"/>
  <c r="BU7" i="4"/>
  <c r="BT7" i="4"/>
  <c r="BQ7" i="4"/>
  <c r="BO7" i="4"/>
  <c r="BM7" i="4"/>
  <c r="BF7" i="4"/>
  <c r="BE7" i="4"/>
  <c r="BD7" i="4"/>
  <c r="AW7" i="4"/>
  <c r="AV7" i="4"/>
  <c r="AK7" i="4"/>
  <c r="AF7" i="4"/>
  <c r="AE7" i="4"/>
  <c r="AD7" i="4"/>
  <c r="N7" i="4"/>
  <c r="L7" i="4"/>
  <c r="K7" i="4"/>
  <c r="EG6" i="4" a="1"/>
  <c r="EG6" i="4" s="1"/>
  <c r="EF6" i="4" a="1"/>
  <c r="EF6" i="4"/>
  <c r="EE6" i="4" a="1"/>
  <c r="EE6" i="4"/>
  <c r="ED6" i="4" a="1"/>
  <c r="ED6" i="4"/>
  <c r="EC6" i="4" a="1"/>
  <c r="EC6" i="4" s="1"/>
  <c r="EC8" i="4" s="1"/>
  <c r="EB6" i="4" a="1"/>
  <c r="EB6" i="4" s="1"/>
  <c r="EB8" i="4" s="1"/>
  <c r="EA6" i="4" a="1"/>
  <c r="EA6" i="4" s="1"/>
  <c r="EA8" i="4" s="1"/>
  <c r="DZ6" i="4" a="1"/>
  <c r="DZ6" i="4"/>
  <c r="DZ8" i="4" s="1"/>
  <c r="DY6" i="4" a="1"/>
  <c r="DY6" i="4"/>
  <c r="DY8" i="4" s="1"/>
  <c r="DX6" i="4" a="1"/>
  <c r="DX6" i="4" s="1"/>
  <c r="DX8" i="4" s="1"/>
  <c r="DW6" i="4" a="1"/>
  <c r="DW6" i="4"/>
  <c r="DV6" i="4" a="1"/>
  <c r="DV6" i="4"/>
  <c r="DU6" i="4" a="1"/>
  <c r="DU6" i="4"/>
  <c r="DT6" i="4" a="1"/>
  <c r="DT6" i="4" s="1"/>
  <c r="DT7" i="4" s="1"/>
  <c r="DS6" i="4" a="1"/>
  <c r="DS6" i="4" s="1"/>
  <c r="DR6" i="4" a="1"/>
  <c r="DR6" i="4" s="1"/>
  <c r="DR7" i="4" s="1"/>
  <c r="DQ6" i="4" a="1"/>
  <c r="DQ6" i="4"/>
  <c r="DQ8" i="4" s="1"/>
  <c r="DP6" i="4" a="1"/>
  <c r="DP6" i="4"/>
  <c r="DP7" i="4" s="1"/>
  <c r="DO6" i="4" a="1"/>
  <c r="DO6" i="4"/>
  <c r="DO7" i="4" s="1"/>
  <c r="DN6" i="4" a="1"/>
  <c r="DN6" i="4" s="1"/>
  <c r="DM6" i="4" a="1"/>
  <c r="DM6" i="4"/>
  <c r="DL6" i="4" a="1"/>
  <c r="DL6" i="4" s="1"/>
  <c r="DK6" i="4" a="1"/>
  <c r="DK6" i="4"/>
  <c r="DJ6" i="4" a="1"/>
  <c r="DJ6" i="4" s="1"/>
  <c r="DJ8" i="4" s="1"/>
  <c r="DI6" i="4" a="1"/>
  <c r="DI6" i="4" s="1"/>
  <c r="DH6" i="4" a="1"/>
  <c r="DH6" i="4"/>
  <c r="DH8" i="4" s="1"/>
  <c r="DG6" i="4" a="1"/>
  <c r="DG6" i="4" s="1"/>
  <c r="DG8" i="4" s="1"/>
  <c r="DF6" i="4" a="1"/>
  <c r="DF6" i="4" s="1"/>
  <c r="DF8" i="4" s="1"/>
  <c r="DE6" i="4" a="1"/>
  <c r="DE6" i="4" s="1"/>
  <c r="DE8" i="4" s="1"/>
  <c r="DD6" i="4" a="1"/>
  <c r="DD6" i="4" s="1"/>
  <c r="DC6" i="4" a="1"/>
  <c r="DC6" i="4"/>
  <c r="DB6" i="4" a="1"/>
  <c r="DB6" i="4" s="1"/>
  <c r="DA6" i="4" a="1"/>
  <c r="DA6" i="4" s="1"/>
  <c r="CZ6" i="4" a="1"/>
  <c r="CZ6" i="4"/>
  <c r="CZ8" i="4" s="1"/>
  <c r="CY6" i="4" a="1"/>
  <c r="CY6" i="4"/>
  <c r="CY7" i="4" s="1"/>
  <c r="CX6" i="4" a="1"/>
  <c r="CX6" i="4"/>
  <c r="CX7" i="4" s="1"/>
  <c r="CW6" i="4" a="1"/>
  <c r="CW6" i="4" s="1"/>
  <c r="CW7" i="4" s="1"/>
  <c r="CV6" i="4" a="1"/>
  <c r="CV6" i="4" s="1"/>
  <c r="CU6" i="4" a="1"/>
  <c r="CU6" i="4" s="1"/>
  <c r="CT6" i="4" a="1"/>
  <c r="CT6" i="4" s="1"/>
  <c r="CS6" i="4" a="1"/>
  <c r="CS6" i="4"/>
  <c r="CR6" i="4" a="1"/>
  <c r="CR6" i="4" s="1"/>
  <c r="CQ6" i="4" a="1"/>
  <c r="CQ6" i="4" s="1"/>
  <c r="CQ8" i="4" s="1"/>
  <c r="CP6" i="4" a="1"/>
  <c r="CP6" i="4" s="1"/>
  <c r="CO6" i="4" a="1"/>
  <c r="CO6" i="4" s="1"/>
  <c r="CO8" i="4" s="1"/>
  <c r="CN6" i="4" a="1"/>
  <c r="CN6" i="4" s="1"/>
  <c r="CM6" i="4" a="1"/>
  <c r="CM6" i="4" s="1"/>
  <c r="CM8" i="4" s="1"/>
  <c r="CL6" i="4" a="1"/>
  <c r="CL6" i="4"/>
  <c r="CL8" i="4" s="1"/>
  <c r="CK6" i="4" a="1"/>
  <c r="CK6" i="4"/>
  <c r="CJ6" i="4" a="1"/>
  <c r="CJ6" i="4"/>
  <c r="CI6" i="4" a="1"/>
  <c r="CI6" i="4" s="1"/>
  <c r="CH6" i="4" a="1"/>
  <c r="CH6" i="4"/>
  <c r="CH8" i="4" s="1"/>
  <c r="CG6" i="4" a="1"/>
  <c r="CG6" i="4"/>
  <c r="CG7" i="4" s="1"/>
  <c r="CF6" i="4" a="1"/>
  <c r="CF6" i="4" s="1"/>
  <c r="CE6" i="4" a="1"/>
  <c r="CE6" i="4"/>
  <c r="CE7" i="4" s="1"/>
  <c r="CD6" i="4" a="1"/>
  <c r="CD6" i="4"/>
  <c r="CD7" i="4" s="1"/>
  <c r="CC6" i="4" a="1"/>
  <c r="CC6" i="4" s="1"/>
  <c r="CB6" i="4" a="1"/>
  <c r="CB6" i="4"/>
  <c r="CA6" i="4" a="1"/>
  <c r="CA6" i="4"/>
  <c r="CA7" i="4" s="1"/>
  <c r="BZ6" i="4" a="1"/>
  <c r="BZ6" i="4" s="1"/>
  <c r="BZ7" i="4" s="1"/>
  <c r="BY6" i="4" a="1"/>
  <c r="BY6" i="4" s="1"/>
  <c r="BY8" i="4" s="1"/>
  <c r="BX6" i="4" a="1"/>
  <c r="BX6" i="4" s="1"/>
  <c r="BW6" i="4" a="1"/>
  <c r="BW6" i="4"/>
  <c r="BW7" i="4" s="1"/>
  <c r="BV6" i="4" a="1"/>
  <c r="BV6" i="4"/>
  <c r="BU6" i="4" a="1"/>
  <c r="BU6" i="4"/>
  <c r="BU8" i="4" s="1"/>
  <c r="BT6" i="4" a="1"/>
  <c r="BT6" i="4" s="1"/>
  <c r="BT8" i="4" s="1"/>
  <c r="BS6" i="4" a="1"/>
  <c r="BS6" i="4"/>
  <c r="BR6" i="4" a="1"/>
  <c r="BR6" i="4"/>
  <c r="BQ6" i="4" a="1"/>
  <c r="BQ6" i="4" s="1"/>
  <c r="BQ8" i="4" s="1"/>
  <c r="BP6" i="4" a="1"/>
  <c r="BP6" i="4" s="1"/>
  <c r="BP7" i="4" s="1"/>
  <c r="BO6" i="4" a="1"/>
  <c r="BO6" i="4"/>
  <c r="BN6" i="4" a="1"/>
  <c r="BN6" i="4" s="1"/>
  <c r="BM6" i="4" a="1"/>
  <c r="BM6" i="4" s="1"/>
  <c r="BM8" i="4" s="1"/>
  <c r="BL6" i="4" a="1"/>
  <c r="BL6" i="4"/>
  <c r="BL8" i="4" s="1"/>
  <c r="BK6" i="4" a="1"/>
  <c r="BK6" i="4" s="1"/>
  <c r="BJ6" i="4" a="1"/>
  <c r="BJ6" i="4"/>
  <c r="BI6" i="4" a="1"/>
  <c r="BI6" i="4"/>
  <c r="BI7" i="4" s="1"/>
  <c r="BH6" i="4" a="1"/>
  <c r="BH6" i="4" s="1"/>
  <c r="BH7" i="4" s="1"/>
  <c r="BG6" i="4" a="1"/>
  <c r="BG6" i="4"/>
  <c r="BG8" i="4" s="1"/>
  <c r="BF6" i="4" a="1"/>
  <c r="BF6" i="4"/>
  <c r="BE6" i="4" a="1"/>
  <c r="BE6" i="4" s="1"/>
  <c r="BE8" i="4" s="1"/>
  <c r="BD6" i="4" a="1"/>
  <c r="BD6" i="4"/>
  <c r="BC6" i="4" a="1"/>
  <c r="BC6" i="4"/>
  <c r="BB6" i="4" a="1"/>
  <c r="BB6" i="4"/>
  <c r="BB8" i="4" s="1"/>
  <c r="BA6" i="4" a="1"/>
  <c r="BA6" i="4"/>
  <c r="BA8" i="4" s="1"/>
  <c r="AZ6" i="4" a="1"/>
  <c r="AZ6" i="4" s="1"/>
  <c r="AY6" i="4" a="1"/>
  <c r="AY6" i="4" s="1"/>
  <c r="AX6" i="4" a="1"/>
  <c r="AX6" i="4" s="1"/>
  <c r="AX8" i="4" s="1"/>
  <c r="AW6" i="4" a="1"/>
  <c r="AW6" i="4"/>
  <c r="AW8" i="4" s="1"/>
  <c r="AV6" i="4" a="1"/>
  <c r="AV6" i="4" s="1"/>
  <c r="AV8" i="4" s="1"/>
  <c r="AU6" i="4" a="1"/>
  <c r="AU6" i="4" s="1"/>
  <c r="AT6" i="4" a="1"/>
  <c r="AT6" i="4"/>
  <c r="AS6" i="4" a="1"/>
  <c r="AS6" i="4"/>
  <c r="AR6" i="4" a="1"/>
  <c r="AR6" i="4" s="1"/>
  <c r="AQ6" i="4" a="1"/>
  <c r="AQ6" i="4" s="1"/>
  <c r="AP6" i="4" a="1"/>
  <c r="AP6" i="4" s="1"/>
  <c r="AO6" i="4" a="1"/>
  <c r="AO6" i="4" s="1"/>
  <c r="AN6" i="4" a="1"/>
  <c r="AN6" i="4"/>
  <c r="AN7" i="4" s="1"/>
  <c r="AM6" i="4" a="1"/>
  <c r="AM6" i="4"/>
  <c r="AM7" i="4" s="1"/>
  <c r="AL6" i="4" a="1"/>
  <c r="AL6" i="4"/>
  <c r="AL7" i="4" s="1"/>
  <c r="AK6" i="4" a="1"/>
  <c r="AK6" i="4" s="1"/>
  <c r="AJ6" i="4" a="1"/>
  <c r="AJ6" i="4" s="1"/>
  <c r="AI6" i="4" a="1"/>
  <c r="AI6" i="4" s="1"/>
  <c r="AH6" i="4" a="1"/>
  <c r="AH6" i="4" s="1"/>
  <c r="AH7" i="4" s="1"/>
  <c r="AG6" i="4" a="1"/>
  <c r="AG6" i="4"/>
  <c r="AG7" i="4" s="1"/>
  <c r="AF6" i="4" a="1"/>
  <c r="AF6" i="4"/>
  <c r="AF8" i="4" s="1"/>
  <c r="AE6" i="4" a="1"/>
  <c r="AE6" i="4" s="1"/>
  <c r="AE8" i="4" s="1"/>
  <c r="AD6" i="4" a="1"/>
  <c r="AD6" i="4"/>
  <c r="AC6" i="4" a="1"/>
  <c r="AC6" i="4"/>
  <c r="AC8" i="4" s="1"/>
  <c r="AB6" i="4" a="1"/>
  <c r="AB6" i="4" s="1"/>
  <c r="AA6" i="4" a="1"/>
  <c r="AA6" i="4"/>
  <c r="Z6" i="4" a="1"/>
  <c r="Z6" i="4"/>
  <c r="Y6" i="4" a="1"/>
  <c r="Y6" i="4" s="1"/>
  <c r="X6" i="4" a="1"/>
  <c r="X6" i="4"/>
  <c r="X7" i="4" s="1"/>
  <c r="W6" i="4" a="1"/>
  <c r="W6" i="4"/>
  <c r="V6" i="4" a="1"/>
  <c r="V6" i="4"/>
  <c r="V7" i="4" s="1"/>
  <c r="U6" i="4" a="1"/>
  <c r="U6" i="4" s="1"/>
  <c r="T6" i="4" a="1"/>
  <c r="T6" i="4" s="1"/>
  <c r="T7" i="4" s="1"/>
  <c r="S6" i="4" a="1"/>
  <c r="S6" i="4" s="1"/>
  <c r="R6" i="4" a="1"/>
  <c r="R6" i="4"/>
  <c r="R8" i="4" s="1"/>
  <c r="Q6" i="4" a="1"/>
  <c r="Q6" i="4"/>
  <c r="Q7" i="4" s="1"/>
  <c r="P6" i="4" a="1"/>
  <c r="P6" i="4" s="1"/>
  <c r="O6" i="4" a="1"/>
  <c r="O6" i="4" s="1"/>
  <c r="O7" i="4" s="1"/>
  <c r="N6" i="4" a="1"/>
  <c r="N6" i="4" s="1"/>
  <c r="M6" i="4" a="1"/>
  <c r="M6" i="4" s="1"/>
  <c r="M8" i="4" s="1"/>
  <c r="L6" i="4" a="1"/>
  <c r="L6" i="4" s="1"/>
  <c r="K6" i="4" a="1"/>
  <c r="K6" i="4"/>
  <c r="K8" i="4" s="1"/>
  <c r="J6" i="4" a="1"/>
  <c r="J6" i="4" s="1"/>
  <c r="I6" i="4" a="1"/>
  <c r="I6" i="4" s="1"/>
  <c r="H6" i="4" a="1"/>
  <c r="H6" i="4"/>
  <c r="G6" i="4" a="1"/>
  <c r="G6" i="4" s="1"/>
  <c r="F6" i="4" a="1"/>
  <c r="F6" i="4" s="1"/>
  <c r="E6" i="4" a="1"/>
  <c r="E6" i="4"/>
  <c r="E8" i="4" s="1"/>
  <c r="D6" i="4" a="1"/>
  <c r="D6" i="4" s="1"/>
  <c r="D7" i="4" s="1"/>
  <c r="C6" i="4" a="1"/>
  <c r="C6" i="4" s="1"/>
  <c r="A1" i="4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EH24" i="3" s="1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EH21" i="3" s="1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H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H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G16" i="3" s="1"/>
  <c r="H16" i="3"/>
  <c r="G16" i="3"/>
  <c r="F16" i="3"/>
  <c r="E16" i="3"/>
  <c r="D16" i="3"/>
  <c r="EH16" i="3" s="1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EH14" i="3" s="1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ED8" i="3"/>
  <c r="DZ8" i="3"/>
  <c r="DY8" i="3"/>
  <c r="DX8" i="3"/>
  <c r="DU8" i="3"/>
  <c r="DL8" i="3"/>
  <c r="DE8" i="3"/>
  <c r="DC8" i="3"/>
  <c r="DA8" i="3"/>
  <c r="CR8" i="3"/>
  <c r="CK8" i="3"/>
  <c r="CD8" i="3"/>
  <c r="BR8" i="3"/>
  <c r="BM8" i="3"/>
  <c r="BL8" i="3"/>
  <c r="BJ8" i="3"/>
  <c r="BI8" i="3"/>
  <c r="AV8" i="3"/>
  <c r="AJ8" i="3"/>
  <c r="AE8" i="3"/>
  <c r="AB8" i="3"/>
  <c r="O8" i="3"/>
  <c r="M8" i="3"/>
  <c r="EE7" i="3"/>
  <c r="EC7" i="3"/>
  <c r="DZ7" i="3"/>
  <c r="DY7" i="3"/>
  <c r="DX7" i="3"/>
  <c r="DU7" i="3"/>
  <c r="DM7" i="3"/>
  <c r="DL7" i="3"/>
  <c r="DE7" i="3"/>
  <c r="DA7" i="3"/>
  <c r="CZ7" i="3"/>
  <c r="CY7" i="3"/>
  <c r="CJ7" i="3"/>
  <c r="CI7" i="3"/>
  <c r="CE7" i="3"/>
  <c r="CD7" i="3"/>
  <c r="BS7" i="3"/>
  <c r="BM7" i="3"/>
  <c r="BL7" i="3"/>
  <c r="BI7" i="3"/>
  <c r="BA7" i="3"/>
  <c r="AV7" i="3"/>
  <c r="AS7" i="3"/>
  <c r="AN7" i="3"/>
  <c r="AM7" i="3"/>
  <c r="AK7" i="3"/>
  <c r="W7" i="3"/>
  <c r="V7" i="3"/>
  <c r="U7" i="3"/>
  <c r="S7" i="3"/>
  <c r="G7" i="3"/>
  <c r="E7" i="3"/>
  <c r="EG6" i="3" a="1"/>
  <c r="EG6" i="3"/>
  <c r="EF6" i="3" a="1"/>
  <c r="EF6" i="3" s="1"/>
  <c r="EE6" i="3" a="1"/>
  <c r="EE6" i="3"/>
  <c r="EE8" i="3" s="1"/>
  <c r="ED6" i="3" a="1"/>
  <c r="ED6" i="3"/>
  <c r="ED7" i="3" s="1"/>
  <c r="EC6" i="3" a="1"/>
  <c r="EC6" i="3"/>
  <c r="EC8" i="3" s="1"/>
  <c r="EB6" i="3" a="1"/>
  <c r="EB6" i="3" s="1"/>
  <c r="EA6" i="3" a="1"/>
  <c r="EA6" i="3" s="1"/>
  <c r="DZ6" i="3" a="1"/>
  <c r="DZ6" i="3"/>
  <c r="DY6" i="3" a="1"/>
  <c r="DY6" i="3" s="1"/>
  <c r="DX6" i="3" a="1"/>
  <c r="DX6" i="3" s="1"/>
  <c r="DW6" i="3" a="1"/>
  <c r="DW6" i="3"/>
  <c r="DV6" i="3" a="1"/>
  <c r="DV6" i="3"/>
  <c r="DV7" i="3" s="1"/>
  <c r="DU6" i="3" a="1"/>
  <c r="DU6" i="3"/>
  <c r="DT6" i="3" a="1"/>
  <c r="DT6" i="3"/>
  <c r="DT7" i="3" s="1"/>
  <c r="DS6" i="3" a="1"/>
  <c r="DS6" i="3"/>
  <c r="DS8" i="3" s="1"/>
  <c r="DR6" i="3" a="1"/>
  <c r="DR6" i="3"/>
  <c r="DQ6" i="3" a="1"/>
  <c r="DQ6" i="3"/>
  <c r="DQ8" i="3" s="1"/>
  <c r="DP6" i="3" a="1"/>
  <c r="DP6" i="3" s="1"/>
  <c r="DP8" i="3" s="1"/>
  <c r="DO6" i="3" a="1"/>
  <c r="DO6" i="3"/>
  <c r="DN6" i="3" a="1"/>
  <c r="DN6" i="3"/>
  <c r="DN7" i="3" s="1"/>
  <c r="DM6" i="3" a="1"/>
  <c r="DM6" i="3"/>
  <c r="DM8" i="3" s="1"/>
  <c r="DL6" i="3" a="1"/>
  <c r="DL6" i="3"/>
  <c r="DK6" i="3" a="1"/>
  <c r="DK6" i="3" s="1"/>
  <c r="DJ6" i="3" a="1"/>
  <c r="DJ6" i="3" s="1"/>
  <c r="DI6" i="3" a="1"/>
  <c r="DI6" i="3"/>
  <c r="DI8" i="3" s="1"/>
  <c r="DH6" i="3" a="1"/>
  <c r="DH6" i="3" s="1"/>
  <c r="DH8" i="3" s="1"/>
  <c r="DG6" i="3" a="1"/>
  <c r="DG6" i="3"/>
  <c r="DF6" i="3" a="1"/>
  <c r="DF6" i="3"/>
  <c r="DE6" i="3" a="1"/>
  <c r="DE6" i="3"/>
  <c r="DD6" i="3" a="1"/>
  <c r="DD6" i="3" s="1"/>
  <c r="DD7" i="3" s="1"/>
  <c r="DC6" i="3" a="1"/>
  <c r="DC6" i="3"/>
  <c r="DC7" i="3" s="1"/>
  <c r="DB6" i="3" a="1"/>
  <c r="DB6" i="3"/>
  <c r="DA6" i="3" a="1"/>
  <c r="DA6" i="3"/>
  <c r="CZ6" i="3" a="1"/>
  <c r="CZ6" i="3" s="1"/>
  <c r="CZ8" i="3" s="1"/>
  <c r="CY6" i="3" a="1"/>
  <c r="CY6" i="3"/>
  <c r="CY8" i="3" s="1"/>
  <c r="CX6" i="3" a="1"/>
  <c r="CX6" i="3"/>
  <c r="CW6" i="3" a="1"/>
  <c r="CW6" i="3"/>
  <c r="CW8" i="3" s="1"/>
  <c r="CV6" i="3" a="1"/>
  <c r="CV6" i="3" s="1"/>
  <c r="CU6" i="3" a="1"/>
  <c r="CU6" i="3"/>
  <c r="CU8" i="3" s="1"/>
  <c r="CT6" i="3" a="1"/>
  <c r="CT6" i="3" s="1"/>
  <c r="CS6" i="3" a="1"/>
  <c r="CS6" i="3" s="1"/>
  <c r="CR6" i="3" a="1"/>
  <c r="CR6" i="3" s="1"/>
  <c r="CR7" i="3" s="1"/>
  <c r="CQ6" i="3" a="1"/>
  <c r="CQ6" i="3"/>
  <c r="CQ7" i="3" s="1"/>
  <c r="CP6" i="3" a="1"/>
  <c r="CP6" i="3"/>
  <c r="CO6" i="3" a="1"/>
  <c r="CO6" i="3"/>
  <c r="CN6" i="3" a="1"/>
  <c r="CN6" i="3" s="1"/>
  <c r="CM6" i="3" a="1"/>
  <c r="CM6" i="3" s="1"/>
  <c r="CL6" i="3" a="1"/>
  <c r="CL6" i="3"/>
  <c r="CK6" i="3" a="1"/>
  <c r="CK6" i="3"/>
  <c r="CK7" i="3" s="1"/>
  <c r="CJ6" i="3" a="1"/>
  <c r="CJ6" i="3" s="1"/>
  <c r="CJ8" i="3" s="1"/>
  <c r="CI6" i="3" a="1"/>
  <c r="CI6" i="3"/>
  <c r="CI8" i="3" s="1"/>
  <c r="CH6" i="3" a="1"/>
  <c r="CH6" i="3"/>
  <c r="CH8" i="3" s="1"/>
  <c r="CG6" i="3" a="1"/>
  <c r="CG6" i="3"/>
  <c r="CG8" i="3" s="1"/>
  <c r="CF6" i="3" a="1"/>
  <c r="CF6" i="3" s="1"/>
  <c r="CF8" i="3" s="1"/>
  <c r="CE6" i="3" a="1"/>
  <c r="CE6" i="3" s="1"/>
  <c r="CE8" i="3" s="1"/>
  <c r="CD6" i="3" a="1"/>
  <c r="CD6" i="3"/>
  <c r="CC6" i="3" a="1"/>
  <c r="CC6" i="3" s="1"/>
  <c r="CC7" i="3" s="1"/>
  <c r="CB6" i="3" a="1"/>
  <c r="CB6" i="3" s="1"/>
  <c r="CB8" i="3" s="1"/>
  <c r="CA6" i="3" a="1"/>
  <c r="CA6" i="3"/>
  <c r="CA7" i="3" s="1"/>
  <c r="BZ6" i="3" a="1"/>
  <c r="BZ6" i="3"/>
  <c r="BZ7" i="3" s="1"/>
  <c r="BY6" i="3" a="1"/>
  <c r="BY6" i="3"/>
  <c r="BX6" i="3" a="1"/>
  <c r="BX6" i="3" s="1"/>
  <c r="BW6" i="3" a="1"/>
  <c r="BW6" i="3" s="1"/>
  <c r="BV6" i="3" a="1"/>
  <c r="BV6" i="3" s="1"/>
  <c r="BU6" i="3" a="1"/>
  <c r="BU6" i="3"/>
  <c r="BU7" i="3" s="1"/>
  <c r="BT6" i="3" a="1"/>
  <c r="BT6" i="3" s="1"/>
  <c r="BT8" i="3" s="1"/>
  <c r="BS6" i="3" a="1"/>
  <c r="BS6" i="3"/>
  <c r="BS8" i="3" s="1"/>
  <c r="BR6" i="3" a="1"/>
  <c r="BR6" i="3"/>
  <c r="BR7" i="3" s="1"/>
  <c r="BQ6" i="3" a="1"/>
  <c r="BQ6" i="3"/>
  <c r="BQ8" i="3" s="1"/>
  <c r="BP6" i="3" a="1"/>
  <c r="BP6" i="3" s="1"/>
  <c r="BO6" i="3" a="1"/>
  <c r="BO6" i="3" s="1"/>
  <c r="BN6" i="3" a="1"/>
  <c r="BN6" i="3" s="1"/>
  <c r="BM6" i="3" a="1"/>
  <c r="BM6" i="3"/>
  <c r="BL6" i="3" a="1"/>
  <c r="BL6" i="3" s="1"/>
  <c r="BK6" i="3" a="1"/>
  <c r="BK6" i="3"/>
  <c r="BK7" i="3" s="1"/>
  <c r="BJ6" i="3" a="1"/>
  <c r="BJ6" i="3"/>
  <c r="BJ7" i="3" s="1"/>
  <c r="BI6" i="3" a="1"/>
  <c r="BI6" i="3"/>
  <c r="BH6" i="3" a="1"/>
  <c r="BH6" i="3"/>
  <c r="BH7" i="3" s="1"/>
  <c r="BG6" i="3" a="1"/>
  <c r="BG6" i="3"/>
  <c r="BF6" i="3" a="1"/>
  <c r="BF6" i="3" s="1"/>
  <c r="BE6" i="3" a="1"/>
  <c r="BE6" i="3" s="1"/>
  <c r="BD6" i="3" a="1"/>
  <c r="BD6" i="3" s="1"/>
  <c r="BD8" i="3" s="1"/>
  <c r="BC6" i="3" a="1"/>
  <c r="BC6" i="3"/>
  <c r="BC8" i="3" s="1"/>
  <c r="BB6" i="3" a="1"/>
  <c r="BB6" i="3" s="1"/>
  <c r="BA6" i="3" a="1"/>
  <c r="BA6" i="3"/>
  <c r="BA8" i="3" s="1"/>
  <c r="AZ6" i="3" a="1"/>
  <c r="AZ6" i="3" s="1"/>
  <c r="AY6" i="3" a="1"/>
  <c r="AY6" i="3"/>
  <c r="AX6" i="3" a="1"/>
  <c r="AX6" i="3" s="1"/>
  <c r="AW6" i="3" a="1"/>
  <c r="AW6" i="3" s="1"/>
  <c r="AV6" i="3" a="1"/>
  <c r="AV6" i="3" s="1"/>
  <c r="AU6" i="3" a="1"/>
  <c r="AU6" i="3"/>
  <c r="AU7" i="3" s="1"/>
  <c r="AT6" i="3" a="1"/>
  <c r="AT6" i="3"/>
  <c r="AT7" i="3" s="1"/>
  <c r="AS6" i="3" a="1"/>
  <c r="AS6" i="3"/>
  <c r="AS8" i="3" s="1"/>
  <c r="AR6" i="3" a="1"/>
  <c r="AR6" i="3"/>
  <c r="AR7" i="3" s="1"/>
  <c r="AQ6" i="3" a="1"/>
  <c r="AQ6" i="3"/>
  <c r="AP6" i="3" a="1"/>
  <c r="AP6" i="3"/>
  <c r="AO6" i="3" a="1"/>
  <c r="AO6" i="3" s="1"/>
  <c r="AO8" i="3" s="1"/>
  <c r="AN6" i="3" a="1"/>
  <c r="AN6" i="3" s="1"/>
  <c r="AN8" i="3" s="1"/>
  <c r="AM6" i="3" a="1"/>
  <c r="AM6" i="3"/>
  <c r="AM8" i="3" s="1"/>
  <c r="AL6" i="3" a="1"/>
  <c r="AL6" i="3" s="1"/>
  <c r="AL7" i="3" s="1"/>
  <c r="AK6" i="3" a="1"/>
  <c r="AK6" i="3"/>
  <c r="AK8" i="3" s="1"/>
  <c r="AJ6" i="3" a="1"/>
  <c r="AJ6" i="3"/>
  <c r="AJ7" i="3" s="1"/>
  <c r="AI6" i="3" a="1"/>
  <c r="AI6" i="3" s="1"/>
  <c r="AH6" i="3" a="1"/>
  <c r="AH6" i="3"/>
  <c r="AH7" i="3" s="1"/>
  <c r="AG6" i="3" a="1"/>
  <c r="AG6" i="3" s="1"/>
  <c r="AF6" i="3" a="1"/>
  <c r="AF6" i="3" s="1"/>
  <c r="AF7" i="3" s="1"/>
  <c r="AE6" i="3" a="1"/>
  <c r="AE6" i="3"/>
  <c r="AE7" i="3" s="1"/>
  <c r="AD6" i="3" a="1"/>
  <c r="AD6" i="3"/>
  <c r="AD7" i="3" s="1"/>
  <c r="AC6" i="3" a="1"/>
  <c r="AC6" i="3"/>
  <c r="AC8" i="3" s="1"/>
  <c r="AB6" i="3" a="1"/>
  <c r="AB6" i="3"/>
  <c r="AB7" i="3" s="1"/>
  <c r="AA6" i="3" a="1"/>
  <c r="AA6" i="3"/>
  <c r="AA8" i="3" s="1"/>
  <c r="Z6" i="3" a="1"/>
  <c r="Z6" i="3"/>
  <c r="Y6" i="3" a="1"/>
  <c r="Y6" i="3"/>
  <c r="X6" i="3" a="1"/>
  <c r="X6" i="3" s="1"/>
  <c r="X8" i="3" s="1"/>
  <c r="W6" i="3" a="1"/>
  <c r="W6" i="3"/>
  <c r="W8" i="3" s="1"/>
  <c r="V6" i="3" a="1"/>
  <c r="V6" i="3"/>
  <c r="V8" i="3" s="1"/>
  <c r="U6" i="3" a="1"/>
  <c r="U6" i="3"/>
  <c r="U8" i="3" s="1"/>
  <c r="T6" i="3" a="1"/>
  <c r="T6" i="3" s="1"/>
  <c r="T8" i="3" s="1"/>
  <c r="S6" i="3" a="1"/>
  <c r="S6" i="3"/>
  <c r="S8" i="3" s="1"/>
  <c r="R6" i="3" a="1"/>
  <c r="R6" i="3" s="1"/>
  <c r="Q6" i="3" a="1"/>
  <c r="Q6" i="3"/>
  <c r="P6" i="3" a="1"/>
  <c r="P6" i="3" s="1"/>
  <c r="O6" i="3" a="1"/>
  <c r="O6" i="3"/>
  <c r="O7" i="3" s="1"/>
  <c r="N6" i="3" a="1"/>
  <c r="N6" i="3" s="1"/>
  <c r="N7" i="3" s="1"/>
  <c r="M6" i="3" a="1"/>
  <c r="M6" i="3"/>
  <c r="M7" i="3" s="1"/>
  <c r="L6" i="3" a="1"/>
  <c r="L6" i="3"/>
  <c r="L7" i="3" s="1"/>
  <c r="K6" i="3" a="1"/>
  <c r="K6" i="3"/>
  <c r="K7" i="3" s="1"/>
  <c r="J6" i="3" a="1"/>
  <c r="J6" i="3"/>
  <c r="I6" i="3" a="1"/>
  <c r="I6" i="3"/>
  <c r="H6" i="3" a="1"/>
  <c r="H6" i="3" s="1"/>
  <c r="G6" i="3" a="1"/>
  <c r="G6" i="3"/>
  <c r="G8" i="3" s="1"/>
  <c r="F6" i="3" a="1"/>
  <c r="F6" i="3" s="1"/>
  <c r="E6" i="3" a="1"/>
  <c r="E6" i="3"/>
  <c r="E8" i="3" s="1"/>
  <c r="D6" i="3" a="1"/>
  <c r="D6" i="3" s="1"/>
  <c r="C6" i="3" a="1"/>
  <c r="C6" i="3" s="1"/>
  <c r="A1" i="3"/>
  <c r="EH25" i="2"/>
  <c r="EG25" i="2"/>
  <c r="EI25" i="2" s="1"/>
  <c r="EI24" i="2"/>
  <c r="EH24" i="2"/>
  <c r="EG24" i="2"/>
  <c r="EI23" i="2"/>
  <c r="EH23" i="2"/>
  <c r="EG23" i="2"/>
  <c r="EH22" i="2"/>
  <c r="EG22" i="2"/>
  <c r="EI22" i="2" s="1"/>
  <c r="EI21" i="2"/>
  <c r="EH21" i="2"/>
  <c r="EG21" i="2"/>
  <c r="EH20" i="2"/>
  <c r="EG20" i="2"/>
  <c r="EI20" i="2" s="1"/>
  <c r="EI19" i="2"/>
  <c r="EH19" i="2"/>
  <c r="EG19" i="2"/>
  <c r="EH18" i="2"/>
  <c r="EG18" i="2"/>
  <c r="EI18" i="2" s="1"/>
  <c r="EI17" i="2"/>
  <c r="EH17" i="2"/>
  <c r="EG17" i="2"/>
  <c r="EH16" i="2"/>
  <c r="EG16" i="2"/>
  <c r="EI16" i="2" s="1"/>
  <c r="EH15" i="2"/>
  <c r="EI15" i="2" s="1"/>
  <c r="EG15" i="2"/>
  <c r="EH14" i="2"/>
  <c r="EG14" i="2"/>
  <c r="EI14" i="2" s="1"/>
  <c r="EH13" i="2"/>
  <c r="EG13" i="2"/>
  <c r="EI13" i="2" s="1"/>
  <c r="EH12" i="2"/>
  <c r="EI12" i="2" s="1"/>
  <c r="EG12" i="2"/>
  <c r="EA8" i="2"/>
  <c r="DU8" i="2"/>
  <c r="DS8" i="2"/>
  <c r="DQ8" i="2"/>
  <c r="DK8" i="2"/>
  <c r="DJ8" i="2"/>
  <c r="DD8" i="2"/>
  <c r="DC8" i="2"/>
  <c r="DA8" i="2"/>
  <c r="CU8" i="2"/>
  <c r="CM8" i="2"/>
  <c r="CF8" i="2"/>
  <c r="CE8" i="2"/>
  <c r="CD8" i="2"/>
  <c r="BW8" i="2"/>
  <c r="BS8" i="2"/>
  <c r="BO8" i="2"/>
  <c r="BM8" i="2"/>
  <c r="BL8" i="2"/>
  <c r="BG8" i="2"/>
  <c r="BE8" i="2"/>
  <c r="BB8" i="2"/>
  <c r="AY8" i="2"/>
  <c r="AV8" i="2"/>
  <c r="AS8" i="2"/>
  <c r="AQ8" i="2"/>
  <c r="AO8" i="2"/>
  <c r="AM8" i="2"/>
  <c r="AA8" i="2"/>
  <c r="X8" i="2"/>
  <c r="U8" i="2"/>
  <c r="L8" i="2"/>
  <c r="I8" i="2"/>
  <c r="D8" i="2"/>
  <c r="C8" i="2"/>
  <c r="EA7" i="2"/>
  <c r="DU7" i="2"/>
  <c r="DS7" i="2"/>
  <c r="DR7" i="2"/>
  <c r="DQ7" i="2"/>
  <c r="DP7" i="2"/>
  <c r="DK7" i="2"/>
  <c r="DJ7" i="2"/>
  <c r="DD7" i="2"/>
  <c r="DC7" i="2"/>
  <c r="DA7" i="2"/>
  <c r="CU7" i="2"/>
  <c r="CT7" i="2"/>
  <c r="CM7" i="2"/>
  <c r="CE7" i="2"/>
  <c r="CA7" i="2"/>
  <c r="BW7" i="2"/>
  <c r="BS7" i="2"/>
  <c r="BO7" i="2"/>
  <c r="BI7" i="2"/>
  <c r="BH7" i="2"/>
  <c r="BG7" i="2"/>
  <c r="BE7" i="2"/>
  <c r="AY7" i="2"/>
  <c r="AV7" i="2"/>
  <c r="AO7" i="2"/>
  <c r="AM7" i="2"/>
  <c r="AD7" i="2"/>
  <c r="Y7" i="2"/>
  <c r="T7" i="2"/>
  <c r="S7" i="2"/>
  <c r="R7" i="2"/>
  <c r="L7" i="2"/>
  <c r="C7" i="2"/>
  <c r="EG6" i="2" a="1"/>
  <c r="EG6" i="2" s="1"/>
  <c r="EF6" i="2" a="1"/>
  <c r="EF6" i="2" s="1"/>
  <c r="EE6" i="2" a="1"/>
  <c r="EE6" i="2" s="1"/>
  <c r="ED6" i="2" a="1"/>
  <c r="ED6" i="2" s="1"/>
  <c r="EC6" i="2" a="1"/>
  <c r="EC6" i="2"/>
  <c r="EC7" i="2" s="1"/>
  <c r="EB6" i="2" a="1"/>
  <c r="EB6" i="2"/>
  <c r="EB7" i="2" s="1"/>
  <c r="EA6" i="2" a="1"/>
  <c r="EA6" i="2"/>
  <c r="DZ6" i="2" a="1"/>
  <c r="DZ6" i="2"/>
  <c r="DZ7" i="2" s="1"/>
  <c r="DY6" i="2" a="1"/>
  <c r="DY6" i="2" s="1"/>
  <c r="DY7" i="2" s="1"/>
  <c r="DX6" i="2" a="1"/>
  <c r="DX6" i="2" s="1"/>
  <c r="DW6" i="2" a="1"/>
  <c r="DW6" i="2" s="1"/>
  <c r="DV6" i="2" a="1"/>
  <c r="DV6" i="2" s="1"/>
  <c r="DU6" i="2" a="1"/>
  <c r="DU6" i="2"/>
  <c r="DT6" i="2" a="1"/>
  <c r="DT6" i="2" s="1"/>
  <c r="DS6" i="2" a="1"/>
  <c r="DS6" i="2"/>
  <c r="DR6" i="2" a="1"/>
  <c r="DR6" i="2"/>
  <c r="DR8" i="2" s="1"/>
  <c r="DQ6" i="2" a="1"/>
  <c r="DQ6" i="2" s="1"/>
  <c r="DP6" i="2" a="1"/>
  <c r="DP6" i="2"/>
  <c r="DP8" i="2" s="1"/>
  <c r="DO6" i="2" a="1"/>
  <c r="DO6" i="2"/>
  <c r="DO8" i="2" s="1"/>
  <c r="DN6" i="2" a="1"/>
  <c r="DN6" i="2" s="1"/>
  <c r="DM6" i="2" a="1"/>
  <c r="DM6" i="2" s="1"/>
  <c r="DL6" i="2" a="1"/>
  <c r="DL6" i="2"/>
  <c r="DL8" i="2" s="1"/>
  <c r="DK6" i="2" a="1"/>
  <c r="DK6" i="2"/>
  <c r="DJ6" i="2" a="1"/>
  <c r="DJ6" i="2"/>
  <c r="DI6" i="2" a="1"/>
  <c r="DI6" i="2" s="1"/>
  <c r="DI7" i="2" s="1"/>
  <c r="DH6" i="2" a="1"/>
  <c r="DH6" i="2" s="1"/>
  <c r="DG6" i="2" a="1"/>
  <c r="DG6" i="2"/>
  <c r="DF6" i="2" a="1"/>
  <c r="DF6" i="2" s="1"/>
  <c r="DE6" i="2" a="1"/>
  <c r="DE6" i="2" s="1"/>
  <c r="DD6" i="2" a="1"/>
  <c r="DD6" i="2"/>
  <c r="DC6" i="2" a="1"/>
  <c r="DC6" i="2"/>
  <c r="DB6" i="2" a="1"/>
  <c r="DB6" i="2" s="1"/>
  <c r="DA6" i="2" a="1"/>
  <c r="DA6" i="2" s="1"/>
  <c r="CZ6" i="2" a="1"/>
  <c r="CZ6" i="2"/>
  <c r="CZ7" i="2" s="1"/>
  <c r="CY6" i="2" a="1"/>
  <c r="CY6" i="2"/>
  <c r="CY7" i="2" s="1"/>
  <c r="CX6" i="2" a="1"/>
  <c r="CX6" i="2" s="1"/>
  <c r="CW6" i="2" a="1"/>
  <c r="CW6" i="2" s="1"/>
  <c r="CW7" i="2" s="1"/>
  <c r="CV6" i="2" a="1"/>
  <c r="CV6" i="2" s="1"/>
  <c r="CV8" i="2" s="1"/>
  <c r="CU6" i="2" a="1"/>
  <c r="CU6" i="2"/>
  <c r="CT6" i="2" a="1"/>
  <c r="CT6" i="2"/>
  <c r="CT8" i="2" s="1"/>
  <c r="CS6" i="2" a="1"/>
  <c r="CS6" i="2" s="1"/>
  <c r="CS7" i="2" s="1"/>
  <c r="CR6" i="2" a="1"/>
  <c r="CR6" i="2"/>
  <c r="CR8" i="2" s="1"/>
  <c r="CQ6" i="2" a="1"/>
  <c r="CQ6" i="2" s="1"/>
  <c r="CP6" i="2" a="1"/>
  <c r="CP6" i="2"/>
  <c r="CO6" i="2" a="1"/>
  <c r="CO6" i="2" s="1"/>
  <c r="CN6" i="2" a="1"/>
  <c r="CN6" i="2" s="1"/>
  <c r="CM6" i="2" a="1"/>
  <c r="CM6" i="2"/>
  <c r="CL6" i="2" a="1"/>
  <c r="CL6" i="2" s="1"/>
  <c r="CK6" i="2" a="1"/>
  <c r="CK6" i="2" s="1"/>
  <c r="CK7" i="2" s="1"/>
  <c r="CJ6" i="2" a="1"/>
  <c r="CJ6" i="2"/>
  <c r="CJ7" i="2" s="1"/>
  <c r="CI6" i="2" a="1"/>
  <c r="CI6" i="2"/>
  <c r="CI7" i="2" s="1"/>
  <c r="CH6" i="2" a="1"/>
  <c r="CH6" i="2"/>
  <c r="CG6" i="2" a="1"/>
  <c r="CG6" i="2"/>
  <c r="CF6" i="2" a="1"/>
  <c r="CF6" i="2" s="1"/>
  <c r="CF7" i="2" s="1"/>
  <c r="CE6" i="2" a="1"/>
  <c r="CE6" i="2"/>
  <c r="CD6" i="2" a="1"/>
  <c r="CD6" i="2"/>
  <c r="CD7" i="2" s="1"/>
  <c r="CC6" i="2" a="1"/>
  <c r="CC6" i="2" s="1"/>
  <c r="CC7" i="2" s="1"/>
  <c r="CB6" i="2" a="1"/>
  <c r="CB6" i="2" s="1"/>
  <c r="CB8" i="2" s="1"/>
  <c r="CA6" i="2" a="1"/>
  <c r="CA6" i="2"/>
  <c r="CA8" i="2" s="1"/>
  <c r="BZ6" i="2" a="1"/>
  <c r="BZ6" i="2" s="1"/>
  <c r="BZ8" i="2" s="1"/>
  <c r="BY6" i="2" a="1"/>
  <c r="BY6" i="2"/>
  <c r="BX6" i="2" a="1"/>
  <c r="BX6" i="2" s="1"/>
  <c r="BW6" i="2" a="1"/>
  <c r="BW6" i="2"/>
  <c r="BV6" i="2" a="1"/>
  <c r="BV6" i="2"/>
  <c r="BV8" i="2" s="1"/>
  <c r="BU6" i="2" a="1"/>
  <c r="BU6" i="2" s="1"/>
  <c r="BU7" i="2" s="1"/>
  <c r="BT6" i="2" a="1"/>
  <c r="BT6" i="2"/>
  <c r="BT7" i="2" s="1"/>
  <c r="BS6" i="2" a="1"/>
  <c r="BS6" i="2"/>
  <c r="BR6" i="2" a="1"/>
  <c r="BR6" i="2"/>
  <c r="BR7" i="2" s="1"/>
  <c r="BQ6" i="2" a="1"/>
  <c r="BQ6" i="2"/>
  <c r="BP6" i="2" a="1"/>
  <c r="BP6" i="2"/>
  <c r="BO6" i="2" a="1"/>
  <c r="BO6" i="2"/>
  <c r="BN6" i="2" a="1"/>
  <c r="BN6" i="2" s="1"/>
  <c r="BM6" i="2" a="1"/>
  <c r="BM6" i="2" s="1"/>
  <c r="BM7" i="2" s="1"/>
  <c r="BL6" i="2" a="1"/>
  <c r="BL6" i="2" s="1"/>
  <c r="BL7" i="2" s="1"/>
  <c r="BK6" i="2" a="1"/>
  <c r="BK6" i="2" s="1"/>
  <c r="BJ6" i="2" a="1"/>
  <c r="BJ6" i="2"/>
  <c r="BJ8" i="2" s="1"/>
  <c r="BI6" i="2" a="1"/>
  <c r="BI6" i="2" s="1"/>
  <c r="BI8" i="2" s="1"/>
  <c r="BH6" i="2" a="1"/>
  <c r="BH6" i="2"/>
  <c r="BH8" i="2" s="1"/>
  <c r="BG6" i="2" a="1"/>
  <c r="BG6" i="2"/>
  <c r="BF6" i="2" a="1"/>
  <c r="BF6" i="2" s="1"/>
  <c r="BE6" i="2" a="1"/>
  <c r="BE6" i="2" s="1"/>
  <c r="BD6" i="2" a="1"/>
  <c r="BD6" i="2"/>
  <c r="BD8" i="2" s="1"/>
  <c r="BC6" i="2" a="1"/>
  <c r="BC6" i="2"/>
  <c r="BC7" i="2" s="1"/>
  <c r="BB6" i="2" a="1"/>
  <c r="BB6" i="2"/>
  <c r="BB7" i="2" s="1"/>
  <c r="BA6" i="2" a="1"/>
  <c r="BA6" i="2"/>
  <c r="BA7" i="2" s="1"/>
  <c r="AZ6" i="2" a="1"/>
  <c r="AZ6" i="2"/>
  <c r="AY6" i="2" a="1"/>
  <c r="AY6" i="2"/>
  <c r="AX6" i="2" a="1"/>
  <c r="AX6" i="2" s="1"/>
  <c r="AW6" i="2" a="1"/>
  <c r="AW6" i="2" s="1"/>
  <c r="AW7" i="2" s="1"/>
  <c r="AV6" i="2" a="1"/>
  <c r="AV6" i="2"/>
  <c r="AU6" i="2" a="1"/>
  <c r="AU6" i="2" s="1"/>
  <c r="AT6" i="2" a="1"/>
  <c r="AT6" i="2" s="1"/>
  <c r="AS6" i="2" a="1"/>
  <c r="AS6" i="2"/>
  <c r="AS7" i="2" s="1"/>
  <c r="AR6" i="2" a="1"/>
  <c r="AR6" i="2" s="1"/>
  <c r="AR7" i="2" s="1"/>
  <c r="AQ6" i="2" a="1"/>
  <c r="AQ6" i="2" s="1"/>
  <c r="AQ7" i="2" s="1"/>
  <c r="AP6" i="2" a="1"/>
  <c r="AP6" i="2"/>
  <c r="AP8" i="2" s="1"/>
  <c r="AO6" i="2" a="1"/>
  <c r="AO6" i="2" s="1"/>
  <c r="AN6" i="2" a="1"/>
  <c r="AN6" i="2" s="1"/>
  <c r="AN8" i="2" s="1"/>
  <c r="AM6" i="2" a="1"/>
  <c r="AM6" i="2"/>
  <c r="AL6" i="2" a="1"/>
  <c r="AL6" i="2" s="1"/>
  <c r="AK6" i="2" a="1"/>
  <c r="AK6" i="2" s="1"/>
  <c r="AJ6" i="2" a="1"/>
  <c r="AJ6" i="2"/>
  <c r="AJ8" i="2" s="1"/>
  <c r="AI6" i="2" a="1"/>
  <c r="AI6" i="2" s="1"/>
  <c r="AI8" i="2" s="1"/>
  <c r="AH6" i="2" a="1"/>
  <c r="AH6" i="2"/>
  <c r="AG6" i="2" a="1"/>
  <c r="AG6" i="2" s="1"/>
  <c r="AF6" i="2" a="1"/>
  <c r="AF6" i="2" s="1"/>
  <c r="AE6" i="2" a="1"/>
  <c r="AE6" i="2" s="1"/>
  <c r="AD6" i="2" a="1"/>
  <c r="AD6" i="2"/>
  <c r="AD8" i="2" s="1"/>
  <c r="AC6" i="2" a="1"/>
  <c r="AC6" i="2" s="1"/>
  <c r="AB6" i="2" a="1"/>
  <c r="AB6" i="2" s="1"/>
  <c r="AA6" i="2" a="1"/>
  <c r="AA6" i="2" s="1"/>
  <c r="AA7" i="2" s="1"/>
  <c r="Z6" i="2" a="1"/>
  <c r="Z6" i="2"/>
  <c r="Z8" i="2" s="1"/>
  <c r="Y6" i="2" a="1"/>
  <c r="Y6" i="2" s="1"/>
  <c r="Y8" i="2" s="1"/>
  <c r="X6" i="2" a="1"/>
  <c r="X6" i="2"/>
  <c r="X7" i="2" s="1"/>
  <c r="W6" i="2" a="1"/>
  <c r="W6" i="2" s="1"/>
  <c r="W7" i="2" s="1"/>
  <c r="V6" i="2" a="1"/>
  <c r="V6" i="2" s="1"/>
  <c r="V7" i="2" s="1"/>
  <c r="U6" i="2" a="1"/>
  <c r="U6" i="2"/>
  <c r="U7" i="2" s="1"/>
  <c r="T6" i="2" a="1"/>
  <c r="T6" i="2" s="1"/>
  <c r="T8" i="2" s="1"/>
  <c r="S6" i="2" a="1"/>
  <c r="S6" i="2" s="1"/>
  <c r="S8" i="2" s="1"/>
  <c r="R6" i="2" a="1"/>
  <c r="R6" i="2"/>
  <c r="R8" i="2" s="1"/>
  <c r="Q6" i="2" a="1"/>
  <c r="Q6" i="2" s="1"/>
  <c r="Q7" i="2" s="1"/>
  <c r="P6" i="2" a="1"/>
  <c r="P6" i="2" s="1"/>
  <c r="O6" i="2" a="1"/>
  <c r="O6" i="2"/>
  <c r="N6" i="2" a="1"/>
  <c r="N6" i="2" s="1"/>
  <c r="M6" i="2" a="1"/>
  <c r="M6" i="2" s="1"/>
  <c r="L6" i="2" a="1"/>
  <c r="L6" i="2"/>
  <c r="K6" i="2" a="1"/>
  <c r="K6" i="2" s="1"/>
  <c r="K7" i="2" s="1"/>
  <c r="J6" i="2" a="1"/>
  <c r="J6" i="2"/>
  <c r="J8" i="2" s="1"/>
  <c r="I6" i="2" a="1"/>
  <c r="I6" i="2" s="1"/>
  <c r="I7" i="2" s="1"/>
  <c r="H6" i="2" a="1"/>
  <c r="H6" i="2"/>
  <c r="H7" i="2" s="1"/>
  <c r="G6" i="2" a="1"/>
  <c r="G6" i="2" s="1"/>
  <c r="F6" i="2" a="1"/>
  <c r="F6" i="2"/>
  <c r="E6" i="2" a="1"/>
  <c r="E6" i="2" s="1"/>
  <c r="E7" i="2" s="1"/>
  <c r="D6" i="2" a="1"/>
  <c r="D6" i="2" s="1"/>
  <c r="D7" i="2" s="1"/>
  <c r="C6" i="2" a="1"/>
  <c r="C6" i="2" s="1"/>
  <c r="A1" i="2"/>
  <c r="EG8" i="1"/>
  <c r="EF8" i="1"/>
  <c r="DY8" i="1"/>
  <c r="DX8" i="1"/>
  <c r="DW8" i="1"/>
  <c r="DV8" i="1"/>
  <c r="DU8" i="1"/>
  <c r="DG8" i="1"/>
  <c r="DE8" i="1"/>
  <c r="DB8" i="1"/>
  <c r="CX8" i="1"/>
  <c r="CL8" i="1"/>
  <c r="CH8" i="1"/>
  <c r="CG8" i="1"/>
  <c r="CD8" i="1"/>
  <c r="BP8" i="1"/>
  <c r="BO8" i="1"/>
  <c r="BN8" i="1"/>
  <c r="BM8" i="1"/>
  <c r="BF8" i="1"/>
  <c r="BE8" i="1"/>
  <c r="BD8" i="1"/>
  <c r="AY8" i="1"/>
  <c r="AW8" i="1"/>
  <c r="AV8" i="1"/>
  <c r="AU8" i="1"/>
  <c r="AP8" i="1"/>
  <c r="AH8" i="1"/>
  <c r="AF8" i="1"/>
  <c r="AE8" i="1"/>
  <c r="AD8" i="1"/>
  <c r="Z8" i="1"/>
  <c r="Y8" i="1"/>
  <c r="Q8" i="1"/>
  <c r="N8" i="1"/>
  <c r="I8" i="1"/>
  <c r="H8" i="1"/>
  <c r="EE7" i="1"/>
  <c r="EC7" i="1"/>
  <c r="DW7" i="1"/>
  <c r="DU7" i="1"/>
  <c r="DT7" i="1"/>
  <c r="DO7" i="1"/>
  <c r="DL7" i="1"/>
  <c r="DG7" i="1"/>
  <c r="DD7" i="1"/>
  <c r="DC7" i="1"/>
  <c r="DA7" i="1"/>
  <c r="CY7" i="1"/>
  <c r="CX7" i="1"/>
  <c r="CQ7" i="1"/>
  <c r="CN7" i="1"/>
  <c r="CI7" i="1"/>
  <c r="CH7" i="1"/>
  <c r="CG7" i="1"/>
  <c r="CF7" i="1"/>
  <c r="BV7" i="1"/>
  <c r="BU7" i="1"/>
  <c r="BP7" i="1"/>
  <c r="BM7" i="1"/>
  <c r="BL7" i="1"/>
  <c r="BK7" i="1"/>
  <c r="BE7" i="1"/>
  <c r="BD7" i="1"/>
  <c r="AV7" i="1"/>
  <c r="AQ7" i="1"/>
  <c r="AP7" i="1"/>
  <c r="AG7" i="1"/>
  <c r="Z7" i="1"/>
  <c r="Y7" i="1"/>
  <c r="X7" i="1"/>
  <c r="Q7" i="1"/>
  <c r="I7" i="1"/>
  <c r="H7" i="1"/>
  <c r="G7" i="1"/>
  <c r="F7" i="1"/>
  <c r="E7" i="1"/>
  <c r="EG6" i="1" a="1"/>
  <c r="EG6" i="1"/>
  <c r="EG7" i="1" s="1"/>
  <c r="EF6" i="1" a="1"/>
  <c r="EF6" i="1"/>
  <c r="EF7" i="1" s="1"/>
  <c r="EE6" i="1" a="1"/>
  <c r="EE6" i="1"/>
  <c r="EE8" i="1" s="1"/>
  <c r="ED6" i="1" a="1"/>
  <c r="ED6" i="1" s="1"/>
  <c r="EC6" i="1" a="1"/>
  <c r="EC6" i="1"/>
  <c r="EC8" i="1" s="1"/>
  <c r="EB6" i="1" a="1"/>
  <c r="EB6" i="1" s="1"/>
  <c r="EA6" i="1" a="1"/>
  <c r="EA6" i="1"/>
  <c r="DZ6" i="1" a="1"/>
  <c r="DZ6" i="1" s="1"/>
  <c r="DY6" i="1" a="1"/>
  <c r="DY6" i="1"/>
  <c r="DY7" i="1" s="1"/>
  <c r="DX6" i="1" a="1"/>
  <c r="DX6" i="1" s="1"/>
  <c r="DX7" i="1" s="1"/>
  <c r="DW6" i="1" a="1"/>
  <c r="DW6" i="1"/>
  <c r="DV6" i="1" a="1"/>
  <c r="DV6" i="1"/>
  <c r="DV7" i="1" s="1"/>
  <c r="DU6" i="1" a="1"/>
  <c r="DU6" i="1"/>
  <c r="DT6" i="1" a="1"/>
  <c r="DT6" i="1"/>
  <c r="DT8" i="1" s="1"/>
  <c r="DS6" i="1" a="1"/>
  <c r="DS6" i="1"/>
  <c r="DS8" i="1" s="1"/>
  <c r="DR6" i="1" a="1"/>
  <c r="DR6" i="1" s="1"/>
  <c r="DR8" i="1" s="1"/>
  <c r="DQ6" i="1" a="1"/>
  <c r="DQ6" i="1"/>
  <c r="DQ7" i="1" s="1"/>
  <c r="DP6" i="1" a="1"/>
  <c r="DP6" i="1" s="1"/>
  <c r="DO6" i="1" a="1"/>
  <c r="DO6" i="1"/>
  <c r="DO8" i="1" s="1"/>
  <c r="DN6" i="1" a="1"/>
  <c r="DN6" i="1" s="1"/>
  <c r="DM6" i="1" a="1"/>
  <c r="DM6" i="1" s="1"/>
  <c r="DL6" i="1" a="1"/>
  <c r="DL6" i="1"/>
  <c r="DL8" i="1" s="1"/>
  <c r="DK6" i="1" a="1"/>
  <c r="DK6" i="1" s="1"/>
  <c r="DJ6" i="1" a="1"/>
  <c r="DJ6" i="1" s="1"/>
  <c r="DI6" i="1" a="1"/>
  <c r="DI6" i="1"/>
  <c r="DH6" i="1" a="1"/>
  <c r="DH6" i="1" s="1"/>
  <c r="DG6" i="1" a="1"/>
  <c r="DG6" i="1"/>
  <c r="DF6" i="1" a="1"/>
  <c r="DF6" i="1"/>
  <c r="DF7" i="1" s="1"/>
  <c r="DE6" i="1" a="1"/>
  <c r="DE6" i="1"/>
  <c r="DE7" i="1" s="1"/>
  <c r="DD6" i="1" a="1"/>
  <c r="DD6" i="1"/>
  <c r="DD8" i="1" s="1"/>
  <c r="DC6" i="1" a="1"/>
  <c r="DC6" i="1"/>
  <c r="DC8" i="1" s="1"/>
  <c r="DB6" i="1" a="1"/>
  <c r="DB6" i="1" s="1"/>
  <c r="DB7" i="1" s="1"/>
  <c r="DA6" i="1" a="1"/>
  <c r="DA6" i="1"/>
  <c r="DA8" i="1" s="1"/>
  <c r="CZ6" i="1" a="1"/>
  <c r="CZ6" i="1" s="1"/>
  <c r="CZ8" i="1" s="1"/>
  <c r="CY6" i="1" a="1"/>
  <c r="CY6" i="1"/>
  <c r="CY8" i="1" s="1"/>
  <c r="CX6" i="1" a="1"/>
  <c r="CX6" i="1"/>
  <c r="CW6" i="1" a="1"/>
  <c r="CW6" i="1" s="1"/>
  <c r="CV6" i="1" a="1"/>
  <c r="CV6" i="1" s="1"/>
  <c r="CU6" i="1" a="1"/>
  <c r="CU6" i="1"/>
  <c r="CU7" i="1" s="1"/>
  <c r="CT6" i="1" a="1"/>
  <c r="CT6" i="1" s="1"/>
  <c r="CT7" i="1" s="1"/>
  <c r="CS6" i="1" a="1"/>
  <c r="CS6" i="1"/>
  <c r="CR6" i="1" a="1"/>
  <c r="CR6" i="1"/>
  <c r="CQ6" i="1" a="1"/>
  <c r="CQ6" i="1"/>
  <c r="CQ8" i="1" s="1"/>
  <c r="CP6" i="1" a="1"/>
  <c r="CP6" i="1" s="1"/>
  <c r="CO6" i="1" a="1"/>
  <c r="CO6" i="1"/>
  <c r="CO7" i="1" s="1"/>
  <c r="CN6" i="1" a="1"/>
  <c r="CN6" i="1"/>
  <c r="CN8" i="1" s="1"/>
  <c r="CM6" i="1" a="1"/>
  <c r="CM6" i="1"/>
  <c r="CM8" i="1" s="1"/>
  <c r="CL6" i="1" a="1"/>
  <c r="CL6" i="1" s="1"/>
  <c r="CL7" i="1" s="1"/>
  <c r="CK6" i="1" a="1"/>
  <c r="CK6" i="1"/>
  <c r="CK7" i="1" s="1"/>
  <c r="CJ6" i="1" a="1"/>
  <c r="CJ6" i="1"/>
  <c r="CJ7" i="1" s="1"/>
  <c r="CI6" i="1" a="1"/>
  <c r="CI6" i="1"/>
  <c r="CI8" i="1" s="1"/>
  <c r="CH6" i="1" a="1"/>
  <c r="CH6" i="1" s="1"/>
  <c r="CG6" i="1" a="1"/>
  <c r="CG6" i="1"/>
  <c r="CF6" i="1" a="1"/>
  <c r="CF6" i="1" s="1"/>
  <c r="CF8" i="1" s="1"/>
  <c r="CE6" i="1" a="1"/>
  <c r="CE6" i="1" s="1"/>
  <c r="CD6" i="1" a="1"/>
  <c r="CD6" i="1" s="1"/>
  <c r="CD7" i="1" s="1"/>
  <c r="CC6" i="1" a="1"/>
  <c r="CC6" i="1"/>
  <c r="CC8" i="1" s="1"/>
  <c r="CB6" i="1" a="1"/>
  <c r="CB6" i="1"/>
  <c r="CA6" i="1" a="1"/>
  <c r="CA6" i="1"/>
  <c r="BZ6" i="1" a="1"/>
  <c r="BZ6" i="1" s="1"/>
  <c r="BY6" i="1" a="1"/>
  <c r="BY6" i="1" s="1"/>
  <c r="BX6" i="1" a="1"/>
  <c r="BX6" i="1"/>
  <c r="BX8" i="1" s="1"/>
  <c r="BW6" i="1" a="1"/>
  <c r="BW6" i="1"/>
  <c r="BW8" i="1" s="1"/>
  <c r="BV6" i="1" a="1"/>
  <c r="BV6" i="1" s="1"/>
  <c r="BV8" i="1" s="1"/>
  <c r="BU6" i="1" a="1"/>
  <c r="BU6" i="1"/>
  <c r="BU8" i="1" s="1"/>
  <c r="BT6" i="1" a="1"/>
  <c r="BT6" i="1" s="1"/>
  <c r="BS6" i="1" a="1"/>
  <c r="BS6" i="1"/>
  <c r="BR6" i="1" a="1"/>
  <c r="BR6" i="1" s="1"/>
  <c r="BQ6" i="1" a="1"/>
  <c r="BQ6" i="1" s="1"/>
  <c r="BP6" i="1" a="1"/>
  <c r="BP6" i="1"/>
  <c r="BO6" i="1" a="1"/>
  <c r="BO6" i="1" s="1"/>
  <c r="BO7" i="1" s="1"/>
  <c r="BN6" i="1" a="1"/>
  <c r="BN6" i="1" s="1"/>
  <c r="BN7" i="1" s="1"/>
  <c r="BM6" i="1" a="1"/>
  <c r="BM6" i="1"/>
  <c r="BL6" i="1" a="1"/>
  <c r="BL6" i="1"/>
  <c r="BL8" i="1" s="1"/>
  <c r="BK6" i="1" a="1"/>
  <c r="BK6" i="1"/>
  <c r="BK8" i="1" s="1"/>
  <c r="BJ6" i="1" a="1"/>
  <c r="BJ6" i="1"/>
  <c r="BI6" i="1" a="1"/>
  <c r="BI6" i="1" s="1"/>
  <c r="BH6" i="1" a="1"/>
  <c r="BH6" i="1" s="1"/>
  <c r="BG6" i="1" a="1"/>
  <c r="BG6" i="1"/>
  <c r="BG8" i="1" s="1"/>
  <c r="BF6" i="1" a="1"/>
  <c r="BF6" i="1" s="1"/>
  <c r="BF7" i="1" s="1"/>
  <c r="BE6" i="1" a="1"/>
  <c r="BE6" i="1"/>
  <c r="BD6" i="1" a="1"/>
  <c r="BD6" i="1"/>
  <c r="BC6" i="1" a="1"/>
  <c r="BC6" i="1"/>
  <c r="BC8" i="1" s="1"/>
  <c r="BB6" i="1" a="1"/>
  <c r="BB6" i="1"/>
  <c r="BA6" i="1" a="1"/>
  <c r="BA6" i="1" s="1"/>
  <c r="AZ6" i="1" a="1"/>
  <c r="AZ6" i="1" s="1"/>
  <c r="AY6" i="1" a="1"/>
  <c r="AY6" i="1"/>
  <c r="AY7" i="1" s="1"/>
  <c r="AX6" i="1" a="1"/>
  <c r="AX6" i="1" s="1"/>
  <c r="AX7" i="1" s="1"/>
  <c r="AW6" i="1" a="1"/>
  <c r="AW6" i="1"/>
  <c r="AW7" i="1" s="1"/>
  <c r="AV6" i="1" a="1"/>
  <c r="AV6" i="1"/>
  <c r="AU6" i="1" a="1"/>
  <c r="AU6" i="1"/>
  <c r="AU7" i="1" s="1"/>
  <c r="AT6" i="1" a="1"/>
  <c r="AT6" i="1"/>
  <c r="AS6" i="1" a="1"/>
  <c r="AS6" i="1"/>
  <c r="AS8" i="1" s="1"/>
  <c r="AR6" i="1" a="1"/>
  <c r="AR6" i="1" s="1"/>
  <c r="AR8" i="1" s="1"/>
  <c r="AQ6" i="1" a="1"/>
  <c r="AQ6" i="1" s="1"/>
  <c r="AQ8" i="1" s="1"/>
  <c r="AP6" i="1" a="1"/>
  <c r="AP6" i="1" s="1"/>
  <c r="AO6" i="1" a="1"/>
  <c r="AO6" i="1"/>
  <c r="AO8" i="1" s="1"/>
  <c r="AN6" i="1" a="1"/>
  <c r="AN6" i="1" s="1"/>
  <c r="AM6" i="1" a="1"/>
  <c r="AM6" i="1"/>
  <c r="AM8" i="1" s="1"/>
  <c r="AL6" i="1" a="1"/>
  <c r="AL6" i="1" s="1"/>
  <c r="AK6" i="1" a="1"/>
  <c r="AK6" i="1" s="1"/>
  <c r="AJ6" i="1" a="1"/>
  <c r="AJ6" i="1" s="1"/>
  <c r="AI6" i="1" a="1"/>
  <c r="AI6" i="1" s="1"/>
  <c r="AH6" i="1" a="1"/>
  <c r="AH6" i="1" s="1"/>
  <c r="AH7" i="1" s="1"/>
  <c r="AG6" i="1" a="1"/>
  <c r="AG6" i="1"/>
  <c r="AG8" i="1" s="1"/>
  <c r="AF6" i="1" a="1"/>
  <c r="AF6" i="1"/>
  <c r="AF7" i="1" s="1"/>
  <c r="AE6" i="1" a="1"/>
  <c r="AE6" i="1"/>
  <c r="AE7" i="1" s="1"/>
  <c r="AD6" i="1" a="1"/>
  <c r="AD6" i="1"/>
  <c r="AD7" i="1" s="1"/>
  <c r="AC6" i="1" a="1"/>
  <c r="AC6" i="1"/>
  <c r="AC7" i="1" s="1"/>
  <c r="AB6" i="1" a="1"/>
  <c r="AB6" i="1" s="1"/>
  <c r="AA6" i="1" a="1"/>
  <c r="AA6" i="1" s="1"/>
  <c r="Z6" i="1" a="1"/>
  <c r="Z6" i="1" s="1"/>
  <c r="Y6" i="1" a="1"/>
  <c r="Y6" i="1"/>
  <c r="X6" i="1" a="1"/>
  <c r="X6" i="1" s="1"/>
  <c r="X8" i="1" s="1"/>
  <c r="W6" i="1" a="1"/>
  <c r="W6" i="1" s="1"/>
  <c r="V6" i="1" a="1"/>
  <c r="V6" i="1"/>
  <c r="V7" i="1" s="1"/>
  <c r="U6" i="1" a="1"/>
  <c r="U6" i="1" s="1"/>
  <c r="T6" i="1" a="1"/>
  <c r="T6" i="1"/>
  <c r="S6" i="1" a="1"/>
  <c r="S6" i="1" s="1"/>
  <c r="R6" i="1" a="1"/>
  <c r="R6" i="1" s="1"/>
  <c r="R7" i="1" s="1"/>
  <c r="Q6" i="1" a="1"/>
  <c r="Q6" i="1"/>
  <c r="P6" i="1" a="1"/>
  <c r="P6" i="1"/>
  <c r="P7" i="1" s="1"/>
  <c r="O6" i="1" a="1"/>
  <c r="O6" i="1"/>
  <c r="O7" i="1" s="1"/>
  <c r="N6" i="1" a="1"/>
  <c r="N6" i="1"/>
  <c r="N7" i="1" s="1"/>
  <c r="M6" i="1" a="1"/>
  <c r="M6" i="1"/>
  <c r="M7" i="1" s="1"/>
  <c r="L6" i="1" a="1"/>
  <c r="L6" i="1"/>
  <c r="K6" i="1" a="1"/>
  <c r="K6" i="1"/>
  <c r="J6" i="1" a="1"/>
  <c r="J6" i="1" s="1"/>
  <c r="J7" i="1" s="1"/>
  <c r="I6" i="1" a="1"/>
  <c r="I6" i="1"/>
  <c r="H6" i="1" a="1"/>
  <c r="H6" i="1"/>
  <c r="G6" i="1" a="1"/>
  <c r="G6" i="1" s="1"/>
  <c r="G8" i="1" s="1"/>
  <c r="F6" i="1" a="1"/>
  <c r="F6" i="1" s="1"/>
  <c r="F8" i="1" s="1"/>
  <c r="E6" i="1" a="1"/>
  <c r="E6" i="1"/>
  <c r="E8" i="1" s="1"/>
  <c r="D6" i="1" a="1"/>
  <c r="D6" i="1" s="1"/>
  <c r="C6" i="1" a="1"/>
  <c r="C6" i="1"/>
  <c r="AS7" i="7" l="1"/>
  <c r="AS8" i="7"/>
  <c r="BI7" i="7"/>
  <c r="BI8" i="7"/>
  <c r="EC8" i="7"/>
  <c r="EC7" i="7"/>
  <c r="Q8" i="7"/>
  <c r="Q7" i="7"/>
  <c r="CL8" i="7"/>
  <c r="CL7" i="7"/>
  <c r="DA8" i="7"/>
  <c r="DA7" i="7"/>
  <c r="EG8" i="7"/>
  <c r="EG7" i="7"/>
  <c r="U8" i="7"/>
  <c r="U7" i="7"/>
  <c r="BN7" i="7"/>
  <c r="BN8" i="7"/>
  <c r="CC8" i="7"/>
  <c r="CC7" i="7"/>
  <c r="R8" i="7"/>
  <c r="R7" i="7"/>
  <c r="AG8" i="7"/>
  <c r="AG7" i="7"/>
  <c r="AH7" i="7"/>
  <c r="AH8" i="7"/>
  <c r="AW8" i="7"/>
  <c r="AW7" i="7"/>
  <c r="DQ8" i="7"/>
  <c r="DQ7" i="7"/>
  <c r="E8" i="7"/>
  <c r="E7" i="7"/>
  <c r="BM8" i="7"/>
  <c r="BM7" i="7"/>
  <c r="CO7" i="7"/>
  <c r="CO8" i="7"/>
  <c r="DR8" i="7"/>
  <c r="DR7" i="7"/>
  <c r="AK8" i="7"/>
  <c r="AK7" i="7"/>
  <c r="DE7" i="7"/>
  <c r="DE8" i="7"/>
  <c r="DU7" i="7"/>
  <c r="DU8" i="7"/>
  <c r="I8" i="7"/>
  <c r="I7" i="7"/>
  <c r="BA8" i="7"/>
  <c r="BA7" i="7"/>
  <c r="CT7" i="7"/>
  <c r="CT8" i="7"/>
  <c r="DJ7" i="7"/>
  <c r="DJ8" i="7"/>
  <c r="BE8" i="7"/>
  <c r="BE7" i="7"/>
  <c r="BU8" i="7"/>
  <c r="BU7" i="7"/>
  <c r="BF7" i="7"/>
  <c r="BF8" i="7"/>
  <c r="BV7" i="7"/>
  <c r="BV8" i="7"/>
  <c r="CW8" i="7"/>
  <c r="CW7" i="7"/>
  <c r="DZ8" i="7"/>
  <c r="DZ7" i="7"/>
  <c r="BQ8" i="7"/>
  <c r="BQ7" i="7"/>
  <c r="J7" i="7"/>
  <c r="J8" i="7"/>
  <c r="AO8" i="7"/>
  <c r="AO7" i="7"/>
  <c r="DI8" i="7"/>
  <c r="DI7" i="7"/>
  <c r="Z8" i="7"/>
  <c r="Z7" i="7"/>
  <c r="AC7" i="7"/>
  <c r="AC8" i="7"/>
  <c r="EB7" i="7"/>
  <c r="BT8" i="7"/>
  <c r="BT7" i="7"/>
  <c r="CQ7" i="7"/>
  <c r="CQ8" i="7"/>
  <c r="DN8" i="7"/>
  <c r="DN7" i="7"/>
  <c r="AY7" i="7"/>
  <c r="CG7" i="7"/>
  <c r="AA8" i="7"/>
  <c r="CR7" i="7"/>
  <c r="CR8" i="7"/>
  <c r="DO8" i="7"/>
  <c r="DO7" i="7"/>
  <c r="AZ7" i="7"/>
  <c r="CK7" i="7"/>
  <c r="AB8" i="7"/>
  <c r="BJ8" i="7"/>
  <c r="O7" i="7"/>
  <c r="O8" i="7"/>
  <c r="AL8" i="7"/>
  <c r="AL7" i="7"/>
  <c r="DP8" i="7"/>
  <c r="DP7" i="7"/>
  <c r="S7" i="7"/>
  <c r="CI8" i="7"/>
  <c r="CI7" i="7"/>
  <c r="F8" i="7"/>
  <c r="F7" i="7"/>
  <c r="CJ8" i="7"/>
  <c r="CJ7" i="7"/>
  <c r="DG7" i="7"/>
  <c r="DG8" i="7"/>
  <c r="ED8" i="7"/>
  <c r="ED7" i="7"/>
  <c r="AP8" i="7"/>
  <c r="BX8" i="7"/>
  <c r="DF8" i="7"/>
  <c r="G8" i="7"/>
  <c r="G7" i="7"/>
  <c r="DH7" i="7"/>
  <c r="DH8" i="7"/>
  <c r="EE8" i="7"/>
  <c r="EE7" i="7"/>
  <c r="AQ8" i="7"/>
  <c r="BY8" i="7"/>
  <c r="AM8" i="7"/>
  <c r="AM7" i="7"/>
  <c r="BL7" i="7"/>
  <c r="BL8" i="7"/>
  <c r="H8" i="7"/>
  <c r="H7" i="7"/>
  <c r="BD8" i="7"/>
  <c r="BD7" i="7"/>
  <c r="CA7" i="7"/>
  <c r="CA8" i="7"/>
  <c r="CX8" i="7"/>
  <c r="CX7" i="7"/>
  <c r="V8" i="7"/>
  <c r="V7" i="7"/>
  <c r="CZ8" i="7"/>
  <c r="CZ7" i="7"/>
  <c r="DW7" i="7"/>
  <c r="DW8" i="7"/>
  <c r="D7" i="7"/>
  <c r="N8" i="7"/>
  <c r="CM8" i="7"/>
  <c r="M8" i="7"/>
  <c r="DX7" i="7"/>
  <c r="DX8" i="7"/>
  <c r="DL7" i="7"/>
  <c r="CN8" i="7"/>
  <c r="DV8" i="7"/>
  <c r="BK7" i="7"/>
  <c r="BK8" i="7"/>
  <c r="CH8" i="7"/>
  <c r="CH7" i="7"/>
  <c r="BW8" i="7"/>
  <c r="BC8" i="7"/>
  <c r="BC7" i="7"/>
  <c r="CB7" i="7"/>
  <c r="CB8" i="7"/>
  <c r="CY8" i="7"/>
  <c r="CY7" i="7"/>
  <c r="DT8" i="7"/>
  <c r="W8" i="7"/>
  <c r="W7" i="7"/>
  <c r="X8" i="7"/>
  <c r="X7" i="7"/>
  <c r="AU7" i="7"/>
  <c r="AU8" i="7"/>
  <c r="BR8" i="7"/>
  <c r="BR7" i="7"/>
  <c r="CE7" i="7"/>
  <c r="DM7" i="7"/>
  <c r="BG8" i="7"/>
  <c r="P7" i="7"/>
  <c r="P8" i="7"/>
  <c r="AN8" i="7"/>
  <c r="AN7" i="7"/>
  <c r="AE7" i="7"/>
  <c r="AE8" i="7"/>
  <c r="BB8" i="7"/>
  <c r="BB7" i="7"/>
  <c r="EF8" i="7"/>
  <c r="EF7" i="7"/>
  <c r="AF7" i="7"/>
  <c r="AF8" i="7"/>
  <c r="AX8" i="7"/>
  <c r="AV7" i="7"/>
  <c r="AV8" i="7"/>
  <c r="BS8" i="7"/>
  <c r="BS7" i="7"/>
  <c r="CF7" i="7"/>
  <c r="BH8" i="7"/>
  <c r="CP8" i="7"/>
  <c r="DX7" i="2"/>
  <c r="DX8" i="2"/>
  <c r="CX7" i="2"/>
  <c r="CX8" i="2"/>
  <c r="BX7" i="3"/>
  <c r="BX8" i="3"/>
  <c r="AK8" i="1"/>
  <c r="AK7" i="1"/>
  <c r="AB8" i="1"/>
  <c r="AB7" i="1"/>
  <c r="EF7" i="2"/>
  <c r="EF8" i="2"/>
  <c r="BP8" i="3"/>
  <c r="BP7" i="3"/>
  <c r="EA7" i="1"/>
  <c r="EA8" i="1"/>
  <c r="AJ7" i="1"/>
  <c r="AJ8" i="1"/>
  <c r="AF7" i="2"/>
  <c r="AF8" i="2"/>
  <c r="CQ8" i="2"/>
  <c r="CQ7" i="2"/>
  <c r="DV8" i="2"/>
  <c r="DV7" i="2"/>
  <c r="BN8" i="3"/>
  <c r="BN7" i="3"/>
  <c r="AN8" i="1"/>
  <c r="AN7" i="1"/>
  <c r="CW7" i="1"/>
  <c r="CW8" i="1"/>
  <c r="CS7" i="1"/>
  <c r="CS8" i="1"/>
  <c r="DM7" i="1"/>
  <c r="DM8" i="1"/>
  <c r="Q8" i="3"/>
  <c r="Q7" i="3"/>
  <c r="AL8" i="3"/>
  <c r="DB8" i="4"/>
  <c r="DB7" i="4"/>
  <c r="DN7" i="4"/>
  <c r="DN8" i="4"/>
  <c r="AA8" i="1"/>
  <c r="AA7" i="1"/>
  <c r="BZ7" i="1"/>
  <c r="BZ8" i="1"/>
  <c r="DN7" i="1"/>
  <c r="DN8" i="1"/>
  <c r="CZ7" i="1"/>
  <c r="AG7" i="2"/>
  <c r="AG8" i="2"/>
  <c r="BN7" i="2"/>
  <c r="BN8" i="2"/>
  <c r="DB8" i="2"/>
  <c r="DB7" i="2"/>
  <c r="DW8" i="2"/>
  <c r="DW7" i="2"/>
  <c r="EG7" i="2"/>
  <c r="EG8" i="2"/>
  <c r="V8" i="2"/>
  <c r="H8" i="3"/>
  <c r="H7" i="3"/>
  <c r="BE8" i="3"/>
  <c r="BE7" i="3"/>
  <c r="BO8" i="3"/>
  <c r="BO7" i="3"/>
  <c r="BY8" i="3"/>
  <c r="BY7" i="3"/>
  <c r="CS8" i="3"/>
  <c r="CS7" i="3"/>
  <c r="I8" i="4"/>
  <c r="I7" i="4"/>
  <c r="DC7" i="4"/>
  <c r="DC8" i="4"/>
  <c r="M7" i="4"/>
  <c r="CR8" i="5"/>
  <c r="CR7" i="5"/>
  <c r="AT8" i="2"/>
  <c r="AT7" i="2"/>
  <c r="BY7" i="1"/>
  <c r="BY8" i="1"/>
  <c r="CG7" i="2"/>
  <c r="CG8" i="2"/>
  <c r="CA8" i="1"/>
  <c r="CA7" i="1"/>
  <c r="AH7" i="2"/>
  <c r="AH8" i="2"/>
  <c r="CH7" i="2"/>
  <c r="CH8" i="2"/>
  <c r="DM7" i="2"/>
  <c r="DM8" i="2"/>
  <c r="W8" i="2"/>
  <c r="I7" i="3"/>
  <c r="I8" i="3"/>
  <c r="R8" i="3"/>
  <c r="R7" i="3"/>
  <c r="BF7" i="3"/>
  <c r="BF8" i="3"/>
  <c r="CT8" i="3"/>
  <c r="CT7" i="3"/>
  <c r="EF8" i="3"/>
  <c r="EF7" i="3"/>
  <c r="BH8" i="3"/>
  <c r="AQ7" i="4"/>
  <c r="AQ8" i="4"/>
  <c r="CR8" i="4"/>
  <c r="CR7" i="4"/>
  <c r="CS7" i="4"/>
  <c r="CS8" i="4"/>
  <c r="BH8" i="1"/>
  <c r="BH7" i="1"/>
  <c r="AC8" i="1"/>
  <c r="BF8" i="2"/>
  <c r="BF7" i="2"/>
  <c r="BQ7" i="2"/>
  <c r="BQ8" i="2"/>
  <c r="DE7" i="2"/>
  <c r="DE8" i="2"/>
  <c r="AW8" i="3"/>
  <c r="AW7" i="3"/>
  <c r="DF7" i="3"/>
  <c r="DF8" i="3"/>
  <c r="EG22" i="3"/>
  <c r="EH22" i="3"/>
  <c r="DN7" i="2"/>
  <c r="DN8" i="2"/>
  <c r="BQ7" i="1"/>
  <c r="BQ8" i="1"/>
  <c r="DP8" i="1"/>
  <c r="DP7" i="1"/>
  <c r="DO8" i="3"/>
  <c r="DO7" i="3"/>
  <c r="BS8" i="1"/>
  <c r="BS7" i="1"/>
  <c r="BJ7" i="1"/>
  <c r="BJ8" i="1"/>
  <c r="DR7" i="1"/>
  <c r="AY8" i="3"/>
  <c r="AY7" i="3"/>
  <c r="CM7" i="3"/>
  <c r="CM8" i="3"/>
  <c r="CX7" i="3"/>
  <c r="CX8" i="3"/>
  <c r="DG7" i="3"/>
  <c r="DG8" i="3"/>
  <c r="CC8" i="3"/>
  <c r="EG12" i="3"/>
  <c r="AH8" i="4"/>
  <c r="BG8" i="3"/>
  <c r="BG7" i="3"/>
  <c r="AR8" i="4"/>
  <c r="AR7" i="4"/>
  <c r="BC7" i="4"/>
  <c r="BC8" i="4"/>
  <c r="DO7" i="2"/>
  <c r="DW7" i="3"/>
  <c r="DW8" i="3"/>
  <c r="BR8" i="1"/>
  <c r="BR7" i="1"/>
  <c r="K8" i="1"/>
  <c r="K7" i="1"/>
  <c r="T7" i="1"/>
  <c r="T8" i="1"/>
  <c r="BI8" i="1"/>
  <c r="BI7" i="1"/>
  <c r="DF8" i="2"/>
  <c r="DF7" i="2"/>
  <c r="AX8" i="3"/>
  <c r="AX7" i="3"/>
  <c r="AI7" i="4"/>
  <c r="AI8" i="4"/>
  <c r="BT7" i="1"/>
  <c r="BT8" i="1"/>
  <c r="EB7" i="1"/>
  <c r="EB8" i="1"/>
  <c r="CN7" i="3"/>
  <c r="CN8" i="3"/>
  <c r="CF7" i="3"/>
  <c r="EH12" i="3"/>
  <c r="AL7" i="1"/>
  <c r="AL8" i="1"/>
  <c r="DZ7" i="1"/>
  <c r="DZ8" i="1"/>
  <c r="CV8" i="3"/>
  <c r="CV7" i="3"/>
  <c r="N8" i="2"/>
  <c r="N7" i="2"/>
  <c r="AL7" i="2"/>
  <c r="AL8" i="2"/>
  <c r="AX7" i="2"/>
  <c r="AX8" i="2"/>
  <c r="DG8" i="2"/>
  <c r="DG7" i="2"/>
  <c r="AR8" i="2"/>
  <c r="T7" i="3"/>
  <c r="L8" i="1"/>
  <c r="L7" i="1"/>
  <c r="U8" i="1"/>
  <c r="U7" i="1"/>
  <c r="AZ7" i="1"/>
  <c r="AZ8" i="1"/>
  <c r="CE7" i="1"/>
  <c r="CE8" i="1"/>
  <c r="DH7" i="1"/>
  <c r="DH8" i="1"/>
  <c r="DS7" i="1"/>
  <c r="O8" i="2"/>
  <c r="O7" i="2"/>
  <c r="CL8" i="2"/>
  <c r="CL7" i="2"/>
  <c r="CB7" i="2"/>
  <c r="AP7" i="3"/>
  <c r="AP8" i="3"/>
  <c r="BA7" i="1"/>
  <c r="BA8" i="1"/>
  <c r="DI7" i="1"/>
  <c r="DI8" i="1"/>
  <c r="CJ8" i="1"/>
  <c r="DH7" i="2"/>
  <c r="DH8" i="2"/>
  <c r="CW8" i="2"/>
  <c r="C8" i="3"/>
  <c r="C7" i="3"/>
  <c r="AZ8" i="3"/>
  <c r="AZ7" i="3"/>
  <c r="CO7" i="3"/>
  <c r="CO8" i="3"/>
  <c r="EA8" i="3"/>
  <c r="EA7" i="3"/>
  <c r="CG7" i="3"/>
  <c r="N8" i="3"/>
  <c r="BZ7" i="2"/>
  <c r="CP7" i="1"/>
  <c r="CP8" i="1"/>
  <c r="AZ7" i="2"/>
  <c r="AZ8" i="2"/>
  <c r="AN7" i="2"/>
  <c r="D8" i="3"/>
  <c r="D7" i="3"/>
  <c r="AQ8" i="3"/>
  <c r="AQ7" i="3"/>
  <c r="EB7" i="3"/>
  <c r="EB8" i="3"/>
  <c r="BP7" i="2"/>
  <c r="BP8" i="2"/>
  <c r="CV8" i="1"/>
  <c r="CV7" i="1"/>
  <c r="AB7" i="2"/>
  <c r="AB8" i="2"/>
  <c r="ED7" i="2"/>
  <c r="ED8" i="2"/>
  <c r="E8" i="2"/>
  <c r="Y8" i="3"/>
  <c r="Y7" i="3"/>
  <c r="BB7" i="3"/>
  <c r="BB8" i="3"/>
  <c r="BV7" i="3"/>
  <c r="BV8" i="3"/>
  <c r="DJ8" i="3"/>
  <c r="DJ7" i="3"/>
  <c r="EH18" i="3"/>
  <c r="CB8" i="1"/>
  <c r="CB7" i="1"/>
  <c r="AS7" i="4"/>
  <c r="AS8" i="4"/>
  <c r="S7" i="1"/>
  <c r="S8" i="1"/>
  <c r="M7" i="2"/>
  <c r="M8" i="2"/>
  <c r="AK7" i="2"/>
  <c r="AK8" i="2"/>
  <c r="BB7" i="1"/>
  <c r="BB8" i="1"/>
  <c r="ED7" i="1"/>
  <c r="ED8" i="1"/>
  <c r="W8" i="1"/>
  <c r="W7" i="1"/>
  <c r="DJ7" i="1"/>
  <c r="DJ8" i="1"/>
  <c r="F7" i="2"/>
  <c r="F8" i="2"/>
  <c r="AC7" i="2"/>
  <c r="AC8" i="2"/>
  <c r="CN7" i="2"/>
  <c r="CN8" i="2"/>
  <c r="CY8" i="2"/>
  <c r="AG7" i="3"/>
  <c r="AG8" i="3"/>
  <c r="CP7" i="3"/>
  <c r="CP8" i="3"/>
  <c r="D7" i="1"/>
  <c r="D8" i="1"/>
  <c r="AP7" i="2"/>
  <c r="AT7" i="1"/>
  <c r="AT8" i="1"/>
  <c r="AR7" i="1"/>
  <c r="G8" i="2"/>
  <c r="G7" i="2"/>
  <c r="BK8" i="2"/>
  <c r="BK7" i="2"/>
  <c r="CP8" i="2"/>
  <c r="CP7" i="2"/>
  <c r="CV7" i="2"/>
  <c r="F8" i="3"/>
  <c r="F7" i="3"/>
  <c r="BW7" i="3"/>
  <c r="BW8" i="3"/>
  <c r="DK8" i="3"/>
  <c r="DK7" i="3"/>
  <c r="AH8" i="3"/>
  <c r="BX8" i="2"/>
  <c r="BX7" i="2"/>
  <c r="EG7" i="3"/>
  <c r="EG8" i="3"/>
  <c r="AU8" i="2"/>
  <c r="AU7" i="2"/>
  <c r="BY7" i="2"/>
  <c r="BY8" i="2"/>
  <c r="CT7" i="4"/>
  <c r="CT8" i="4"/>
  <c r="C7" i="1"/>
  <c r="C8" i="1"/>
  <c r="P8" i="2"/>
  <c r="P7" i="2"/>
  <c r="DK7" i="1"/>
  <c r="DK8" i="1"/>
  <c r="CO7" i="2"/>
  <c r="CO8" i="2"/>
  <c r="DT7" i="2"/>
  <c r="DT8" i="2"/>
  <c r="EH15" i="3"/>
  <c r="CR7" i="1"/>
  <c r="CR8" i="1"/>
  <c r="EE8" i="2"/>
  <c r="EE7" i="2"/>
  <c r="AI7" i="1"/>
  <c r="AI8" i="1"/>
  <c r="AS7" i="1"/>
  <c r="AE8" i="2"/>
  <c r="AE7" i="2"/>
  <c r="P8" i="3"/>
  <c r="P7" i="3"/>
  <c r="Z7" i="3"/>
  <c r="Z8" i="3"/>
  <c r="AI8" i="3"/>
  <c r="AI7" i="3"/>
  <c r="AO7" i="3"/>
  <c r="DD8" i="3"/>
  <c r="EH13" i="3"/>
  <c r="BG7" i="1"/>
  <c r="V8" i="1"/>
  <c r="DQ8" i="1"/>
  <c r="AI7" i="2"/>
  <c r="BD7" i="2"/>
  <c r="BD7" i="3"/>
  <c r="CB7" i="3"/>
  <c r="DP7" i="3"/>
  <c r="BZ8" i="3"/>
  <c r="EG15" i="3"/>
  <c r="EH23" i="3"/>
  <c r="EG24" i="3"/>
  <c r="AO8" i="4"/>
  <c r="AO7" i="4"/>
  <c r="BJ8" i="4"/>
  <c r="BJ7" i="4"/>
  <c r="DL7" i="4"/>
  <c r="DL8" i="4"/>
  <c r="BB7" i="4"/>
  <c r="AO7" i="1"/>
  <c r="AJ7" i="2"/>
  <c r="CW7" i="3"/>
  <c r="DQ7" i="3"/>
  <c r="K8" i="3"/>
  <c r="AF8" i="3"/>
  <c r="CA8" i="3"/>
  <c r="DV8" i="3"/>
  <c r="EG13" i="3"/>
  <c r="J7" i="4"/>
  <c r="J8" i="4"/>
  <c r="AP7" i="4"/>
  <c r="AP8" i="4"/>
  <c r="DA8" i="4"/>
  <c r="DA7" i="4"/>
  <c r="DM8" i="4"/>
  <c r="DM7" i="4"/>
  <c r="DW8" i="4"/>
  <c r="DW7" i="4"/>
  <c r="EG7" i="4"/>
  <c r="EG8" i="4"/>
  <c r="CQ7" i="4"/>
  <c r="O8" i="4"/>
  <c r="CC7" i="1"/>
  <c r="CR7" i="2"/>
  <c r="DL7" i="2"/>
  <c r="CC8" i="2"/>
  <c r="DS7" i="3"/>
  <c r="L8" i="3"/>
  <c r="BK7" i="4"/>
  <c r="BK8" i="4"/>
  <c r="CP8" i="5"/>
  <c r="CP7" i="5"/>
  <c r="AB8" i="5"/>
  <c r="AB7" i="5"/>
  <c r="J8" i="1"/>
  <c r="AX8" i="1"/>
  <c r="CK8" i="1"/>
  <c r="DF8" i="1"/>
  <c r="BJ7" i="2"/>
  <c r="CZ8" i="2"/>
  <c r="CH7" i="3"/>
  <c r="BK8" i="3"/>
  <c r="EG20" i="3"/>
  <c r="Y7" i="4"/>
  <c r="Y8" i="4"/>
  <c r="BN8" i="4"/>
  <c r="BN7" i="4"/>
  <c r="DD8" i="4"/>
  <c r="DD7" i="4"/>
  <c r="R7" i="4"/>
  <c r="AC8" i="5"/>
  <c r="AC7" i="5"/>
  <c r="BK8" i="5"/>
  <c r="BK7" i="5"/>
  <c r="BV7" i="5"/>
  <c r="BV8" i="5"/>
  <c r="Z8" i="4"/>
  <c r="Z7" i="4"/>
  <c r="EA7" i="5"/>
  <c r="EA8" i="5"/>
  <c r="Z7" i="2"/>
  <c r="H8" i="2"/>
  <c r="AW8" i="2"/>
  <c r="CI8" i="2"/>
  <c r="X7" i="3"/>
  <c r="DH7" i="3"/>
  <c r="AR8" i="3"/>
  <c r="P8" i="4"/>
  <c r="P7" i="4"/>
  <c r="AJ8" i="4"/>
  <c r="AJ7" i="4"/>
  <c r="CJ8" i="4"/>
  <c r="CJ7" i="4"/>
  <c r="CU8" i="4"/>
  <c r="CU7" i="4"/>
  <c r="T8" i="5"/>
  <c r="T7" i="5"/>
  <c r="CI7" i="5"/>
  <c r="CI8" i="5"/>
  <c r="J7" i="3"/>
  <c r="J8" i="3"/>
  <c r="CI7" i="4"/>
  <c r="CI8" i="4"/>
  <c r="S7" i="5"/>
  <c r="S8" i="5"/>
  <c r="AD7" i="5"/>
  <c r="AD8" i="5"/>
  <c r="CO8" i="1"/>
  <c r="CJ8" i="2"/>
  <c r="DY8" i="2"/>
  <c r="DR7" i="3"/>
  <c r="DR8" i="3"/>
  <c r="BQ7" i="3"/>
  <c r="DI7" i="3"/>
  <c r="EG23" i="3"/>
  <c r="AA8" i="4"/>
  <c r="AA7" i="4"/>
  <c r="AU8" i="4"/>
  <c r="AU7" i="4"/>
  <c r="M8" i="1"/>
  <c r="C7" i="4"/>
  <c r="C8" i="4"/>
  <c r="AT8" i="4"/>
  <c r="AT7" i="4"/>
  <c r="O8" i="1"/>
  <c r="CM7" i="1"/>
  <c r="P8" i="1"/>
  <c r="K8" i="2"/>
  <c r="BR8" i="2"/>
  <c r="CK8" i="2"/>
  <c r="DZ8" i="2"/>
  <c r="AA7" i="3"/>
  <c r="AT8" i="3"/>
  <c r="CK7" i="4"/>
  <c r="CK8" i="4"/>
  <c r="I8" i="5"/>
  <c r="I7" i="5"/>
  <c r="U7" i="5"/>
  <c r="U8" i="5"/>
  <c r="J7" i="2"/>
  <c r="DB7" i="3"/>
  <c r="DB8" i="3"/>
  <c r="AC7" i="3"/>
  <c r="AU8" i="3"/>
  <c r="EH20" i="3"/>
  <c r="F7" i="4"/>
  <c r="F8" i="4"/>
  <c r="AB8" i="4"/>
  <c r="AB7" i="4"/>
  <c r="BR8" i="4"/>
  <c r="BR7" i="4"/>
  <c r="CB8" i="4"/>
  <c r="CB7" i="4"/>
  <c r="DS7" i="4"/>
  <c r="DS8" i="4"/>
  <c r="ED8" i="4"/>
  <c r="ED7" i="4"/>
  <c r="BZ7" i="5"/>
  <c r="BZ8" i="5"/>
  <c r="BC7" i="1"/>
  <c r="R8" i="1"/>
  <c r="BA8" i="2"/>
  <c r="BT8" i="2"/>
  <c r="DI8" i="2"/>
  <c r="EB8" i="2"/>
  <c r="BT7" i="3"/>
  <c r="BU8" i="3"/>
  <c r="CQ8" i="3"/>
  <c r="DN8" i="3"/>
  <c r="EG18" i="3"/>
  <c r="EG21" i="3"/>
  <c r="G7" i="4"/>
  <c r="G8" i="4"/>
  <c r="DI7" i="4"/>
  <c r="DI8" i="4"/>
  <c r="CL7" i="4"/>
  <c r="H8" i="4"/>
  <c r="H7" i="4"/>
  <c r="S8" i="4"/>
  <c r="S7" i="4"/>
  <c r="CC8" i="4"/>
  <c r="CC7" i="4"/>
  <c r="DU7" i="4"/>
  <c r="DU8" i="4"/>
  <c r="EE7" i="4"/>
  <c r="EE8" i="4"/>
  <c r="EG14" i="3"/>
  <c r="EG19" i="3"/>
  <c r="AY7" i="4"/>
  <c r="AY8" i="4"/>
  <c r="DK7" i="4"/>
  <c r="DK8" i="4"/>
  <c r="AX7" i="4"/>
  <c r="BI8" i="4"/>
  <c r="CW8" i="4"/>
  <c r="BW7" i="1"/>
  <c r="CT8" i="1"/>
  <c r="BU8" i="2"/>
  <c r="EC8" i="2"/>
  <c r="CL7" i="3"/>
  <c r="CL8" i="3"/>
  <c r="BS7" i="4"/>
  <c r="BS8" i="4"/>
  <c r="BX7" i="1"/>
  <c r="CU8" i="1"/>
  <c r="Q8" i="2"/>
  <c r="BC8" i="2"/>
  <c r="AM7" i="1"/>
  <c r="BV7" i="2"/>
  <c r="CS8" i="2"/>
  <c r="BC7" i="3"/>
  <c r="CU7" i="3"/>
  <c r="AD8" i="3"/>
  <c r="DT8" i="3"/>
  <c r="EG17" i="3"/>
  <c r="U7" i="4"/>
  <c r="U8" i="4"/>
  <c r="AZ7" i="4"/>
  <c r="AZ8" i="4"/>
  <c r="DV8" i="4"/>
  <c r="DV7" i="4"/>
  <c r="EF7" i="4"/>
  <c r="EF8" i="4"/>
  <c r="BA7" i="4"/>
  <c r="CO7" i="4"/>
  <c r="DK7" i="5"/>
  <c r="DK8" i="5"/>
  <c r="CH7" i="4"/>
  <c r="AZ7" i="5"/>
  <c r="AZ8" i="5"/>
  <c r="AC7" i="4"/>
  <c r="AG8" i="4"/>
  <c r="R7" i="5"/>
  <c r="R8" i="5"/>
  <c r="BU8" i="5"/>
  <c r="BU7" i="5"/>
  <c r="DB7" i="5"/>
  <c r="DB8" i="5"/>
  <c r="AM8" i="4"/>
  <c r="BH8" i="4"/>
  <c r="CD8" i="4"/>
  <c r="AF7" i="5"/>
  <c r="AF8" i="5"/>
  <c r="EC8" i="5"/>
  <c r="EC7" i="5"/>
  <c r="BY7" i="4"/>
  <c r="K8" i="5"/>
  <c r="K7" i="5"/>
  <c r="W8" i="5"/>
  <c r="W7" i="5"/>
  <c r="DR8" i="5"/>
  <c r="DR7" i="5"/>
  <c r="B21" i="6"/>
  <c r="BG7" i="4"/>
  <c r="V8" i="4"/>
  <c r="L7" i="5"/>
  <c r="L8" i="5"/>
  <c r="AT8" i="5"/>
  <c r="AT7" i="5"/>
  <c r="DS8" i="5"/>
  <c r="DS7" i="5"/>
  <c r="X8" i="4"/>
  <c r="AU8" i="5"/>
  <c r="AU7" i="5"/>
  <c r="DH7" i="5"/>
  <c r="DH8" i="5"/>
  <c r="DT8" i="5"/>
  <c r="DT7" i="5"/>
  <c r="AM8" i="5"/>
  <c r="D8" i="4"/>
  <c r="DQ7" i="4"/>
  <c r="N7" i="5"/>
  <c r="N8" i="5"/>
  <c r="AK7" i="5"/>
  <c r="AK8" i="5"/>
  <c r="BG8" i="5"/>
  <c r="BG7" i="5"/>
  <c r="CY8" i="5"/>
  <c r="CY7" i="5"/>
  <c r="W7" i="4"/>
  <c r="W8" i="4"/>
  <c r="E7" i="4"/>
  <c r="Z8" i="5"/>
  <c r="Z7" i="5"/>
  <c r="BH8" i="5"/>
  <c r="BH7" i="5"/>
  <c r="BR7" i="5"/>
  <c r="BR8" i="5"/>
  <c r="CO8" i="5"/>
  <c r="CO7" i="5"/>
  <c r="DJ7" i="5"/>
  <c r="DJ8" i="5"/>
  <c r="BL7" i="4"/>
  <c r="CZ7" i="4"/>
  <c r="BI8" i="5"/>
  <c r="BI7" i="5"/>
  <c r="CE8" i="5"/>
  <c r="CE7" i="5"/>
  <c r="CZ8" i="5"/>
  <c r="CZ7" i="5"/>
  <c r="D8" i="5"/>
  <c r="D7" i="5"/>
  <c r="AJ7" i="5"/>
  <c r="AJ8" i="5"/>
  <c r="CX8" i="5"/>
  <c r="CX7" i="5"/>
  <c r="ED8" i="5"/>
  <c r="ED7" i="5"/>
  <c r="EG13" i="6"/>
  <c r="EG17" i="6"/>
  <c r="J8" i="5"/>
  <c r="J7" i="5"/>
  <c r="AP8" i="5"/>
  <c r="AP7" i="5"/>
  <c r="DP7" i="5"/>
  <c r="BC8" i="5"/>
  <c r="BC7" i="5"/>
  <c r="EB8" i="5"/>
  <c r="EB7" i="5"/>
  <c r="BP7" i="5"/>
  <c r="BP8" i="5"/>
  <c r="CA7" i="5"/>
  <c r="AV8" i="5"/>
  <c r="BQ7" i="5"/>
  <c r="BQ8" i="5"/>
  <c r="CB7" i="5"/>
  <c r="AW8" i="5"/>
  <c r="BB7" i="5"/>
  <c r="BB8" i="5"/>
  <c r="CG8" i="5"/>
  <c r="CG7" i="5"/>
  <c r="CQ8" i="5"/>
  <c r="CQ7" i="5"/>
  <c r="AI7" i="5"/>
  <c r="AI8" i="5"/>
  <c r="AS8" i="5"/>
  <c r="AS7" i="5"/>
  <c r="BL8" i="5"/>
  <c r="BL7" i="5"/>
  <c r="DA8" i="5"/>
  <c r="DA7" i="5"/>
  <c r="EF8" i="5"/>
  <c r="EF7" i="5"/>
  <c r="BD7" i="5"/>
  <c r="F8" i="5"/>
  <c r="F7" i="5"/>
  <c r="BX8" i="5"/>
  <c r="BX7" i="5"/>
  <c r="CH8" i="5"/>
  <c r="G8" i="5"/>
  <c r="G7" i="5"/>
  <c r="E7" i="5"/>
  <c r="BF7" i="5"/>
  <c r="AA8" i="5"/>
  <c r="AA7" i="5"/>
  <c r="BN7" i="5"/>
  <c r="BN8" i="5"/>
  <c r="CS7" i="5"/>
  <c r="CS8" i="5"/>
  <c r="DC7" i="5"/>
  <c r="DC8" i="5"/>
  <c r="CL8" i="5"/>
  <c r="H8" i="5"/>
  <c r="H7" i="5"/>
  <c r="CJ7" i="5"/>
  <c r="CJ8" i="5"/>
  <c r="CT7" i="5"/>
  <c r="CT8" i="5"/>
  <c r="DX8" i="5"/>
  <c r="DX7" i="5"/>
  <c r="DO7" i="5"/>
  <c r="DI8" i="5"/>
  <c r="DD7" i="5"/>
  <c r="DD8" i="5"/>
  <c r="CK8" i="5"/>
  <c r="CK7" i="5"/>
  <c r="BJ7" i="5"/>
  <c r="DY7" i="5"/>
  <c r="DY8" i="5"/>
  <c r="AN7" i="5"/>
  <c r="CV7" i="5"/>
  <c r="CC7" i="5"/>
  <c r="CC8" i="5"/>
  <c r="DG8" i="5"/>
  <c r="DG7" i="5"/>
  <c r="AO7" i="5"/>
  <c r="CD7" i="5"/>
  <c r="CD8" i="5"/>
  <c r="DQ8" i="5"/>
  <c r="DQ7" i="5"/>
  <c r="AX8" i="5"/>
  <c r="BM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<sst xmlns="http://schemas.openxmlformats.org/spreadsheetml/2006/main" count="1999" uniqueCount="183">
  <si>
    <t>NN5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</si>
  <si>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</si>
  <si>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</si>
  <si>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</si>
  <si>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</si>
  <si>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</si>
  <si>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</si>
  <si>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</si>
  <si>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</si>
  <si>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</si>
  <si>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</si>
  <si>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</si>
  <si>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</si>
  <si>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</si>
  <si>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</si>
  <si>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</si>
  <si>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</si>
  <si>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</si>
  <si>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</si>
  <si>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</si>
  <si>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</si>
  <si>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</si>
  <si>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</si>
  <si>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</si>
  <si>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</si>
  <si>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</si>
  <si>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</si>
  <si>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</si>
  <si>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</si>
  <si>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</si>
  <si>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</si>
  <si>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</si>
  <si>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</si>
  <si>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</si>
  <si>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</si>
  <si>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</si>
  <si>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</si>
  <si>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</si>
  <si>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</si>
  <si>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</si>
  <si>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</si>
  <si>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</si>
  <si>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</si>
  <si>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</si>
  <si>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</si>
  <si>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</si>
  <si>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</si>
  <si>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</si>
  <si>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</si>
  <si>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</si>
  <si>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</si>
  <si>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</si>
  <si>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</si>
  <si>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</si>
  <si>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</si>
  <si>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</si>
  <si>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</si>
  <si>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</si>
  <si>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</si>
  <si>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</si>
  <si>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</si>
  <si>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</si>
  <si>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</si>
  <si>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</si>
  <si>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</si>
  <si>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</si>
  <si>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</si>
  <si>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</si>
  <si>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</si>
  <si>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</si>
  <si>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</si>
  <si>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</si>
  <si>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</si>
  <si>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</si>
  <si>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</si>
  <si>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</si>
  <si>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</si>
  <si>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</si>
  <si>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</si>
  <si>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</si>
  <si>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</si>
  <si>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</si>
  <si>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</si>
  <si>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</si>
  <si>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</si>
  <si>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</si>
  <si>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</si>
  <si>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</si>
  <si>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</si>
  <si>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</si>
  <si>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</si>
  <si>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</si>
  <si>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</si>
  <si>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</si>
  <si>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</si>
  <si>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</si>
  <si>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</si>
  <si>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</si>
  <si>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</si>
  <si>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</si>
  <si>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</si>
  <si>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</si>
  <si>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</si>
  <si>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</si>
  <si>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</si>
  <si>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</si>
  <si>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</si>
  <si>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</si>
  <si>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</si>
  <si>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</si>
  <si>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</si>
  <si>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</si>
  <si>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</si>
  <si>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</si>
  <si>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</si>
  <si>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</si>
  <si>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</si>
  <si>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</si>
  <si>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</si>
  <si>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</si>
  <si>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</si>
  <si>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</si>
  <si>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</si>
  <si>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</si>
  <si>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</si>
  <si>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</si>
  <si>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</si>
  <si>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</si>
  <si>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</si>
  <si>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</si>
  <si>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</si>
  <si>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</si>
  <si>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</si>
  <si>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</si>
  <si>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</si>
  <si>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</si>
  <si>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</si>
  <si>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</si>
  <si>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</si>
  <si>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</si>
  <si>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</si>
  <si>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</si>
  <si>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</si>
  <si>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</si>
  <si>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</si>
  <si>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大盤</t>
  </si>
  <si>
    <t>TWII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</si>
  <si>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</si>
  <si>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</si>
  <si>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</si>
  <si>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</si>
  <si>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</si>
  <si>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</si>
  <si>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</si>
  <si>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</si>
  <si>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</si>
  <si>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</si>
  <si>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</si>
  <si>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</si>
  <si>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</si>
  <si>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</si>
  <si>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</si>
  <si>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</si>
  <si>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</si>
  <si>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</si>
  <si>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REAL</t>
  </si>
  <si>
    <t>(預測-真實)**2</t>
  </si>
  <si>
    <t>真實**2</t>
  </si>
  <si>
    <t>R**2</t>
  </si>
  <si>
    <t>家數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</si>
  <si>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</si>
  <si>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</si>
  <si>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</si>
  <si>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</si>
  <si>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</si>
  <si>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</si>
  <si>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</si>
  <si>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160等分</t>
    <phoneticPr fontId="1" type="noConversion"/>
  </si>
  <si>
    <t>192等分</t>
    <phoneticPr fontId="1" type="noConversion"/>
  </si>
  <si>
    <t>241等分</t>
    <phoneticPr fontId="1" type="noConversion"/>
  </si>
  <si>
    <t>321等分</t>
    <phoneticPr fontId="1" type="noConversion"/>
  </si>
  <si>
    <t>482等分</t>
    <phoneticPr fontId="1" type="noConversion"/>
  </si>
  <si>
    <t>964等分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</si>
</sst>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"/>
    <numFmt numFmtId="177" formatCode="0.000"/>
    <numFmt numFmtId="178" formatCode="0.0000"/>
    <numFmt numFmtId="179" formatCode="0.00000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177" fontId="0" fillId="6" borderId="0" xfId="0" applyNumberFormat="1" applyFill="1"/>
    <xf numFmtId="0" fontId="2" fillId="3" borderId="0" xfId="0" applyFont="1" applyFill="1"/>
    <xf numFmtId="177" fontId="0" fillId="3" borderId="0" xfId="0" applyNumberFormat="1" applyFill="1"/>
    <xf numFmtId="0" fontId="2" fillId="7" borderId="1" xfId="0" applyFont="1" applyFill="1" applyBorder="1"/>
    <xf numFmtId="176" fontId="2" fillId="7" borderId="0" xfId="0" applyNumberFormat="1" applyFont="1" applyFill="1" applyAlignment="1">
      <alignment horizontal="center" vertical="center"/>
    </xf>
    <xf numFmtId="178" fontId="0" fillId="7" borderId="1" xfId="0" applyNumberFormat="1" applyFill="1" applyBorder="1"/>
    <xf numFmtId="0" fontId="0" fillId="0" borderId="4" xfId="0" applyBorder="1"/>
    <xf numFmtId="17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altLang="zh-TW" sz="1400" b="0" i="0" u="none" strike="noStrike" baseline="0"/>
              <a:t>NN5</a:t>
            </a:r>
            <a:r>
              <a:rPr lang="zh-TW" altLang="en-US" sz="1400" b="0" i="0" u="none" strike="noStrike" baseline="0"/>
              <a:t>再投資累積報酬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NN5再投資累積報酬!$B$12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NN5再投資累積報酬!$C$12:$EF$12</c:f>
              <c:numCache>
                <c:formatCode>General</c:formatCode>
                <c:ptCount val="134"/>
                <c:pt idx="0">
                  <c:v>4.7013508994228737E-2</c:v>
                </c:pt>
                <c:pt idx="1">
                  <c:v>6.881420992539744E-2</c:v>
                </c:pt>
                <c:pt idx="2">
                  <c:v>6.1595408441745381E-2</c:v>
                </c:pt>
                <c:pt idx="3">
                  <c:v>4.0502755105915167E-2</c:v>
                </c:pt>
                <c:pt idx="4">
                  <c:v>4.872724967236608E-2</c:v>
                </c:pt>
                <c:pt idx="5">
                  <c:v>5.8542690463460278E-2</c:v>
                </c:pt>
                <c:pt idx="6">
                  <c:v>9.6971957450071367E-2</c:v>
                </c:pt>
                <c:pt idx="7">
                  <c:v>0.14500241250196</c:v>
                </c:pt>
                <c:pt idx="8">
                  <c:v>0.13242066358093285</c:v>
                </c:pt>
                <c:pt idx="9">
                  <c:v>0.12984188038882749</c:v>
                </c:pt>
                <c:pt idx="10">
                  <c:v>0.11227080068787854</c:v>
                </c:pt>
                <c:pt idx="11">
                  <c:v>0.17019131012705691</c:v>
                </c:pt>
                <c:pt idx="12">
                  <c:v>0.19199184392921631</c:v>
                </c:pt>
                <c:pt idx="13">
                  <c:v>0.16645887655996883</c:v>
                </c:pt>
                <c:pt idx="14">
                  <c:v>0.12704098355846138</c:v>
                </c:pt>
                <c:pt idx="15">
                  <c:v>0.14214052216834916</c:v>
                </c:pt>
                <c:pt idx="16">
                  <c:v>6.0986987038618379E-2</c:v>
                </c:pt>
                <c:pt idx="17">
                  <c:v>1.5106208126965059E-2</c:v>
                </c:pt>
                <c:pt idx="18">
                  <c:v>-5.568683898809379E-3</c:v>
                </c:pt>
                <c:pt idx="19">
                  <c:v>3.9210549119292004E-2</c:v>
                </c:pt>
                <c:pt idx="20">
                  <c:v>6.2362541035899666E-2</c:v>
                </c:pt>
                <c:pt idx="21">
                  <c:v>0.11390760108073361</c:v>
                </c:pt>
                <c:pt idx="22">
                  <c:v>9.5206900050124776E-2</c:v>
                </c:pt>
                <c:pt idx="23">
                  <c:v>0.16488799702394519</c:v>
                </c:pt>
                <c:pt idx="24">
                  <c:v>0.11898714481899431</c:v>
                </c:pt>
                <c:pt idx="25">
                  <c:v>0.15780381359130335</c:v>
                </c:pt>
                <c:pt idx="26">
                  <c:v>0.19845982133755213</c:v>
                </c:pt>
                <c:pt idx="27">
                  <c:v>0.20546734774257902</c:v>
                </c:pt>
                <c:pt idx="28">
                  <c:v>0.15978300001743428</c:v>
                </c:pt>
                <c:pt idx="29">
                  <c:v>0.183479861753441</c:v>
                </c:pt>
                <c:pt idx="30">
                  <c:v>0.21896312649349325</c:v>
                </c:pt>
                <c:pt idx="31">
                  <c:v>0.23530430804237112</c:v>
                </c:pt>
                <c:pt idx="32">
                  <c:v>0.2640207592127537</c:v>
                </c:pt>
                <c:pt idx="33">
                  <c:v>0.29064389649354938</c:v>
                </c:pt>
                <c:pt idx="34">
                  <c:v>0.35275446153416312</c:v>
                </c:pt>
                <c:pt idx="35">
                  <c:v>0.37691330755062036</c:v>
                </c:pt>
                <c:pt idx="36">
                  <c:v>0.41833928051011293</c:v>
                </c:pt>
                <c:pt idx="37">
                  <c:v>0.51653549625360928</c:v>
                </c:pt>
                <c:pt idx="38">
                  <c:v>0.51991554001207652</c:v>
                </c:pt>
                <c:pt idx="39">
                  <c:v>0.46866650379465868</c:v>
                </c:pt>
                <c:pt idx="40">
                  <c:v>0.45747242112669206</c:v>
                </c:pt>
                <c:pt idx="41">
                  <c:v>0.47718657123602237</c:v>
                </c:pt>
                <c:pt idx="42">
                  <c:v>0.50540041885169495</c:v>
                </c:pt>
                <c:pt idx="43">
                  <c:v>0.52622749019339632</c:v>
                </c:pt>
                <c:pt idx="44">
                  <c:v>0.55783361435718049</c:v>
                </c:pt>
                <c:pt idx="45">
                  <c:v>0.49340148404871886</c:v>
                </c:pt>
                <c:pt idx="46">
                  <c:v>0.49432959874972648</c:v>
                </c:pt>
                <c:pt idx="47">
                  <c:v>0.55948007882663697</c:v>
                </c:pt>
                <c:pt idx="48">
                  <c:v>0.59839736122695397</c:v>
                </c:pt>
                <c:pt idx="49">
                  <c:v>0.59472100562326302</c:v>
                </c:pt>
                <c:pt idx="50">
                  <c:v>0.60259555963249767</c:v>
                </c:pt>
                <c:pt idx="51">
                  <c:v>0.62707457418522838</c:v>
                </c:pt>
                <c:pt idx="52">
                  <c:v>0.6470433171840726</c:v>
                </c:pt>
                <c:pt idx="53">
                  <c:v>0.66949343490431845</c:v>
                </c:pt>
                <c:pt idx="54">
                  <c:v>0.70056072076255504</c:v>
                </c:pt>
                <c:pt idx="55">
                  <c:v>0.81584573256357484</c:v>
                </c:pt>
                <c:pt idx="56">
                  <c:v>0.87698682443927689</c:v>
                </c:pt>
                <c:pt idx="57">
                  <c:v>0.9036838837797847</c:v>
                </c:pt>
                <c:pt idx="58">
                  <c:v>0.99890853702135241</c:v>
                </c:pt>
                <c:pt idx="59">
                  <c:v>0.9973174191787566</c:v>
                </c:pt>
                <c:pt idx="60">
                  <c:v>0.9548051870924974</c:v>
                </c:pt>
                <c:pt idx="61">
                  <c:v>1.0031069490104154</c:v>
                </c:pt>
                <c:pt idx="62">
                  <c:v>0.99275270499281754</c:v>
                </c:pt>
                <c:pt idx="63">
                  <c:v>1.0157023122866939</c:v>
                </c:pt>
                <c:pt idx="64">
                  <c:v>1.0645756559346111</c:v>
                </c:pt>
                <c:pt idx="65">
                  <c:v>1.0428790607047262</c:v>
                </c:pt>
                <c:pt idx="66">
                  <c:v>1.0712684395127203</c:v>
                </c:pt>
                <c:pt idx="67">
                  <c:v>1.0665852840617238</c:v>
                </c:pt>
                <c:pt idx="68">
                  <c:v>1.1055678885788556</c:v>
                </c:pt>
                <c:pt idx="69">
                  <c:v>1.151956641564313</c:v>
                </c:pt>
                <c:pt idx="70">
                  <c:v>1.1708540856969543</c:v>
                </c:pt>
                <c:pt idx="71">
                  <c:v>1.2209193119515573</c:v>
                </c:pt>
                <c:pt idx="72">
                  <c:v>1.1554382406132411</c:v>
                </c:pt>
                <c:pt idx="73">
                  <c:v>1.1801765544902683</c:v>
                </c:pt>
                <c:pt idx="74">
                  <c:v>1.1074223180028002</c:v>
                </c:pt>
                <c:pt idx="75">
                  <c:v>1.2030085576290301</c:v>
                </c:pt>
                <c:pt idx="76">
                  <c:v>1.1272244300130572</c:v>
                </c:pt>
                <c:pt idx="77">
                  <c:v>1.1313581421491739</c:v>
                </c:pt>
                <c:pt idx="78">
                  <c:v>1.0956132106360932</c:v>
                </c:pt>
                <c:pt idx="79">
                  <c:v>1.3280871986795355</c:v>
                </c:pt>
                <c:pt idx="80">
                  <c:v>1.3551381947301184</c:v>
                </c:pt>
                <c:pt idx="81">
                  <c:v>1.4205346910032475</c:v>
                </c:pt>
                <c:pt idx="82">
                  <c:v>1.5218515780908675</c:v>
                </c:pt>
                <c:pt idx="83">
                  <c:v>1.6814781565112309</c:v>
                </c:pt>
                <c:pt idx="84">
                  <c:v>1.5885490843839349</c:v>
                </c:pt>
                <c:pt idx="85">
                  <c:v>1.6285296921701895</c:v>
                </c:pt>
                <c:pt idx="86">
                  <c:v>1.6621831367343081</c:v>
                </c:pt>
                <c:pt idx="87">
                  <c:v>1.9763622973437971</c:v>
                </c:pt>
                <c:pt idx="88">
                  <c:v>1.9310628782034271</c:v>
                </c:pt>
                <c:pt idx="89">
                  <c:v>1.851678846969079</c:v>
                </c:pt>
                <c:pt idx="90">
                  <c:v>1.7739246097063064</c:v>
                </c:pt>
                <c:pt idx="91">
                  <c:v>1.8995806801506014</c:v>
                </c:pt>
                <c:pt idx="92">
                  <c:v>2.0056247099421469</c:v>
                </c:pt>
                <c:pt idx="93">
                  <c:v>2.011990257685969</c:v>
                </c:pt>
                <c:pt idx="94">
                  <c:v>1.9662030429518134</c:v>
                </c:pt>
                <c:pt idx="95">
                  <c:v>1.963758784791314</c:v>
                </c:pt>
                <c:pt idx="96">
                  <c:v>2.0693388850320531</c:v>
                </c:pt>
                <c:pt idx="97">
                  <c:v>2.0942392846262257</c:v>
                </c:pt>
                <c:pt idx="98">
                  <c:v>2.1114058913189071</c:v>
                </c:pt>
                <c:pt idx="99">
                  <c:v>2.3011701711553512</c:v>
                </c:pt>
                <c:pt idx="100">
                  <c:v>2.2814194607910325</c:v>
                </c:pt>
                <c:pt idx="101">
                  <c:v>2.5366887176230963</c:v>
                </c:pt>
                <c:pt idx="102">
                  <c:v>2.5565075575207361</c:v>
                </c:pt>
                <c:pt idx="103">
                  <c:v>2.4747723420038792</c:v>
                </c:pt>
                <c:pt idx="104">
                  <c:v>2.5928214877224334</c:v>
                </c:pt>
                <c:pt idx="105">
                  <c:v>2.6822431428939395</c:v>
                </c:pt>
                <c:pt idx="106">
                  <c:v>2.6866548692651349</c:v>
                </c:pt>
                <c:pt idx="107">
                  <c:v>2.6614583316812439</c:v>
                </c:pt>
                <c:pt idx="108">
                  <c:v>2.6579883348893731</c:v>
                </c:pt>
                <c:pt idx="109">
                  <c:v>2.6440050088298812</c:v>
                </c:pt>
                <c:pt idx="110">
                  <c:v>2.4456138137499588</c:v>
                </c:pt>
                <c:pt idx="111">
                  <c:v>2.4733944136713122</c:v>
                </c:pt>
                <c:pt idx="112">
                  <c:v>2.418007829159269</c:v>
                </c:pt>
                <c:pt idx="113">
                  <c:v>2.4167955437370576</c:v>
                </c:pt>
                <c:pt idx="114">
                  <c:v>2.4002570600063375</c:v>
                </c:pt>
                <c:pt idx="115">
                  <c:v>2.5444632043277529</c:v>
                </c:pt>
                <c:pt idx="116">
                  <c:v>2.6245671287852845</c:v>
                </c:pt>
                <c:pt idx="117">
                  <c:v>2.7426716537160822</c:v>
                </c:pt>
                <c:pt idx="118">
                  <c:v>2.6574515257620881</c:v>
                </c:pt>
                <c:pt idx="119">
                  <c:v>2.7261346005114819</c:v>
                </c:pt>
                <c:pt idx="120">
                  <c:v>2.5930141365396588</c:v>
                </c:pt>
                <c:pt idx="121">
                  <c:v>2.4302582011482525</c:v>
                </c:pt>
                <c:pt idx="122">
                  <c:v>2.477433335034072</c:v>
                </c:pt>
                <c:pt idx="123">
                  <c:v>2.6462655905156258</c:v>
                </c:pt>
                <c:pt idx="124">
                  <c:v>2.8057006107570293</c:v>
                </c:pt>
                <c:pt idx="125">
                  <c:v>2.6148368072062285</c:v>
                </c:pt>
                <c:pt idx="126">
                  <c:v>2.6703508324887726</c:v>
                </c:pt>
                <c:pt idx="127">
                  <c:v>2.6551712690296587</c:v>
                </c:pt>
                <c:pt idx="128">
                  <c:v>2.8891166364588683</c:v>
                </c:pt>
                <c:pt idx="129">
                  <c:v>2.9001163291722905</c:v>
                </c:pt>
                <c:pt idx="130">
                  <c:v>3.0040603168810351</c:v>
                </c:pt>
                <c:pt idx="131">
                  <c:v>2.7617820233728101</c:v>
                </c:pt>
                <c:pt idx="132">
                  <c:v>2.8066115419014568</c:v>
                </c:pt>
                <c:pt idx="133">
                  <c:v>2.9559576573733732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E-4AE6-8EF3-510A50F6CB65}"/>
            </c:ext>
          </c:extLst>
        </c:ser>
        <c:ser>
          <c:idx val="1"/>
          <c:order val="1"/>
          <c:tx>
            <c:strRef>
              <c:f>NN5再投資累積報酬!$B$13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NN5再投資累積報酬!$C$13:$EF$13</c:f>
              <c:numCache>
                <c:formatCode>General</c:formatCode>
                <c:ptCount val="134"/>
                <c:pt idx="0">
                  <c:v>4.2506117601795568E-2</c:v>
                </c:pt>
                <c:pt idx="1">
                  <c:v>7.3653709436372505E-2</c:v>
                </c:pt>
                <c:pt idx="2">
                  <c:v>3.6616285956466266E-2</c:v>
                </c:pt>
                <c:pt idx="3">
                  <c:v>4.1541042779624782E-4</c:v>
                </c:pt>
                <c:pt idx="4">
                  <c:v>-1.449876225975566E-2</c:v>
                </c:pt>
                <c:pt idx="5">
                  <c:v>1.2006514510118915E-3</c:v>
                </c:pt>
                <c:pt idx="6">
                  <c:v>3.3922755162600016E-2</c:v>
                </c:pt>
                <c:pt idx="7">
                  <c:v>6.9644674658425387E-2</c:v>
                </c:pt>
                <c:pt idx="8">
                  <c:v>2.1156622348842857E-2</c:v>
                </c:pt>
                <c:pt idx="9">
                  <c:v>-8.5954590353086724E-3</c:v>
                </c:pt>
                <c:pt idx="10">
                  <c:v>-9.530622119380272E-4</c:v>
                </c:pt>
                <c:pt idx="11">
                  <c:v>4.2157763516793123E-2</c:v>
                </c:pt>
                <c:pt idx="12">
                  <c:v>7.9960239416495549E-2</c:v>
                </c:pt>
                <c:pt idx="13">
                  <c:v>5.743560259321101E-2</c:v>
                </c:pt>
                <c:pt idx="14">
                  <c:v>1.0677635713681743E-2</c:v>
                </c:pt>
                <c:pt idx="15">
                  <c:v>1.7236842786430895E-2</c:v>
                </c:pt>
                <c:pt idx="16">
                  <c:v>-0.10779712688485421</c:v>
                </c:pt>
                <c:pt idx="17">
                  <c:v>-0.1549944830272153</c:v>
                </c:pt>
                <c:pt idx="18">
                  <c:v>-0.20076089024262389</c:v>
                </c:pt>
                <c:pt idx="19">
                  <c:v>-0.15857725871077444</c:v>
                </c:pt>
                <c:pt idx="20">
                  <c:v>-0.13240641324054825</c:v>
                </c:pt>
                <c:pt idx="21">
                  <c:v>-7.189092006625597E-2</c:v>
                </c:pt>
                <c:pt idx="22">
                  <c:v>-9.6459715243217281E-2</c:v>
                </c:pt>
                <c:pt idx="23">
                  <c:v>-2.5600079087452099E-2</c:v>
                </c:pt>
                <c:pt idx="24">
                  <c:v>-5.6897327421008281E-2</c:v>
                </c:pt>
                <c:pt idx="25">
                  <c:v>-1.2874973273306889E-2</c:v>
                </c:pt>
                <c:pt idx="26">
                  <c:v>8.7149871870473294E-3</c:v>
                </c:pt>
                <c:pt idx="27">
                  <c:v>1.5351368684231259E-2</c:v>
                </c:pt>
                <c:pt idx="28">
                  <c:v>-2.7818540160043148E-2</c:v>
                </c:pt>
                <c:pt idx="29">
                  <c:v>3.2333865983531496E-3</c:v>
                </c:pt>
                <c:pt idx="30">
                  <c:v>3.501760910609808E-2</c:v>
                </c:pt>
                <c:pt idx="31">
                  <c:v>4.4996564994363331E-2</c:v>
                </c:pt>
                <c:pt idx="32">
                  <c:v>6.5802352784041451E-2</c:v>
                </c:pt>
                <c:pt idx="33">
                  <c:v>8.6997243724696416E-2</c:v>
                </c:pt>
                <c:pt idx="34">
                  <c:v>0.158725923069025</c:v>
                </c:pt>
                <c:pt idx="35">
                  <c:v>0.1855520835383313</c:v>
                </c:pt>
                <c:pt idx="36">
                  <c:v>0.24042233090466403</c:v>
                </c:pt>
                <c:pt idx="37">
                  <c:v>0.37107631040810674</c:v>
                </c:pt>
                <c:pt idx="38">
                  <c:v>0.38384265955875319</c:v>
                </c:pt>
                <c:pt idx="39">
                  <c:v>0.30143366625324752</c:v>
                </c:pt>
                <c:pt idx="40">
                  <c:v>0.29356091819251384</c:v>
                </c:pt>
                <c:pt idx="41">
                  <c:v>0.30738803084910904</c:v>
                </c:pt>
                <c:pt idx="42">
                  <c:v>0.36140030747244789</c:v>
                </c:pt>
                <c:pt idx="43">
                  <c:v>0.41648676771876669</c:v>
                </c:pt>
                <c:pt idx="44">
                  <c:v>0.47452890866436137</c:v>
                </c:pt>
                <c:pt idx="45">
                  <c:v>0.46055705033408212</c:v>
                </c:pt>
                <c:pt idx="46">
                  <c:v>0.46651614293828425</c:v>
                </c:pt>
                <c:pt idx="47">
                  <c:v>0.56499825678166737</c:v>
                </c:pt>
                <c:pt idx="48">
                  <c:v>0.59248642819877495</c:v>
                </c:pt>
                <c:pt idx="49">
                  <c:v>0.57958176623224689</c:v>
                </c:pt>
                <c:pt idx="50">
                  <c:v>0.58991371201042342</c:v>
                </c:pt>
                <c:pt idx="51">
                  <c:v>0.65808185783048501</c:v>
                </c:pt>
                <c:pt idx="52">
                  <c:v>0.67679126736630901</c:v>
                </c:pt>
                <c:pt idx="53">
                  <c:v>0.68239917567439812</c:v>
                </c:pt>
                <c:pt idx="54">
                  <c:v>0.72848312802324222</c:v>
                </c:pt>
                <c:pt idx="55">
                  <c:v>0.87355370632710594</c:v>
                </c:pt>
                <c:pt idx="56">
                  <c:v>0.96079847443234079</c:v>
                </c:pt>
                <c:pt idx="57">
                  <c:v>0.97741767251666389</c:v>
                </c:pt>
                <c:pt idx="58">
                  <c:v>1.0810524172378115</c:v>
                </c:pt>
                <c:pt idx="59">
                  <c:v>1.0459927482143576</c:v>
                </c:pt>
                <c:pt idx="60">
                  <c:v>1.0083648446781606</c:v>
                </c:pt>
                <c:pt idx="61">
                  <c:v>1.0725278039929935</c:v>
                </c:pt>
                <c:pt idx="62">
                  <c:v>1.1075921052681958</c:v>
                </c:pt>
                <c:pt idx="63">
                  <c:v>1.1308863552676742</c:v>
                </c:pt>
                <c:pt idx="64">
                  <c:v>1.1966853903577666</c:v>
                </c:pt>
                <c:pt idx="65">
                  <c:v>1.2174060551818982</c:v>
                </c:pt>
                <c:pt idx="66">
                  <c:v>1.3097678110454485</c:v>
                </c:pt>
                <c:pt idx="67">
                  <c:v>1.2943352880097714</c:v>
                </c:pt>
                <c:pt idx="68">
                  <c:v>1.3113580440711821</c:v>
                </c:pt>
                <c:pt idx="69">
                  <c:v>1.3999836142157052</c:v>
                </c:pt>
                <c:pt idx="70">
                  <c:v>1.442479056167643</c:v>
                </c:pt>
                <c:pt idx="71">
                  <c:v>1.4929250339723121</c:v>
                </c:pt>
                <c:pt idx="72">
                  <c:v>1.4973206536513954</c:v>
                </c:pt>
                <c:pt idx="73">
                  <c:v>1.5499593470182056</c:v>
                </c:pt>
                <c:pt idx="74">
                  <c:v>1.5129533229306933</c:v>
                </c:pt>
                <c:pt idx="75">
                  <c:v>1.7042848722736399</c:v>
                </c:pt>
                <c:pt idx="76">
                  <c:v>1.6136059666768356</c:v>
                </c:pt>
                <c:pt idx="77">
                  <c:v>1.5963670745926337</c:v>
                </c:pt>
                <c:pt idx="78">
                  <c:v>1.5638322267091418</c:v>
                </c:pt>
                <c:pt idx="79">
                  <c:v>1.8332546716490623</c:v>
                </c:pt>
                <c:pt idx="80">
                  <c:v>1.859380068566244</c:v>
                </c:pt>
                <c:pt idx="81">
                  <c:v>1.9866632756067486</c:v>
                </c:pt>
                <c:pt idx="82">
                  <c:v>2.1074710065088316</c:v>
                </c:pt>
                <c:pt idx="83">
                  <c:v>2.288744121437825</c:v>
                </c:pt>
                <c:pt idx="84">
                  <c:v>2.1182111980965939</c:v>
                </c:pt>
                <c:pt idx="85">
                  <c:v>2.1085257598001825</c:v>
                </c:pt>
                <c:pt idx="86">
                  <c:v>2.2081393047014628</c:v>
                </c:pt>
                <c:pt idx="87">
                  <c:v>2.4694530499941068</c:v>
                </c:pt>
                <c:pt idx="88">
                  <c:v>2.4337287727962913</c:v>
                </c:pt>
                <c:pt idx="89">
                  <c:v>2.3414041637955729</c:v>
                </c:pt>
                <c:pt idx="90">
                  <c:v>2.2964373557182984</c:v>
                </c:pt>
                <c:pt idx="91">
                  <c:v>2.5262865277748183</c:v>
                </c:pt>
                <c:pt idx="92">
                  <c:v>2.6609376032152889</c:v>
                </c:pt>
                <c:pt idx="93">
                  <c:v>2.6912493648159677</c:v>
                </c:pt>
                <c:pt idx="94">
                  <c:v>2.7312368578642436</c:v>
                </c:pt>
                <c:pt idx="95">
                  <c:v>2.7613509217459411</c:v>
                </c:pt>
                <c:pt idx="96">
                  <c:v>2.9011279964738841</c:v>
                </c:pt>
                <c:pt idx="97">
                  <c:v>2.8896067476724605</c:v>
                </c:pt>
                <c:pt idx="98">
                  <c:v>2.9128550472219619</c:v>
                </c:pt>
                <c:pt idx="99">
                  <c:v>3.1477564729891681</c:v>
                </c:pt>
                <c:pt idx="100">
                  <c:v>3.093343133759662</c:v>
                </c:pt>
                <c:pt idx="101">
                  <c:v>3.32758150322835</c:v>
                </c:pt>
                <c:pt idx="102">
                  <c:v>3.3034176862441624</c:v>
                </c:pt>
                <c:pt idx="103">
                  <c:v>3.123700208519633</c:v>
                </c:pt>
                <c:pt idx="104">
                  <c:v>3.2464857157407403</c:v>
                </c:pt>
                <c:pt idx="105">
                  <c:v>3.291912923884464</c:v>
                </c:pt>
                <c:pt idx="106">
                  <c:v>3.3173594915990225</c:v>
                </c:pt>
                <c:pt idx="107">
                  <c:v>3.1942335935730393</c:v>
                </c:pt>
                <c:pt idx="108">
                  <c:v>3.1873942364789034</c:v>
                </c:pt>
                <c:pt idx="109">
                  <c:v>3.2346940698042381</c:v>
                </c:pt>
                <c:pt idx="110">
                  <c:v>3.0399954342885698</c:v>
                </c:pt>
                <c:pt idx="111">
                  <c:v>3.0265351545351837</c:v>
                </c:pt>
                <c:pt idx="112">
                  <c:v>3.076500728111724</c:v>
                </c:pt>
                <c:pt idx="113">
                  <c:v>3.0100527614214796</c:v>
                </c:pt>
                <c:pt idx="114">
                  <c:v>2.9833503452058232</c:v>
                </c:pt>
                <c:pt idx="115">
                  <c:v>3.0291571928931873</c:v>
                </c:pt>
                <c:pt idx="116">
                  <c:v>3.2180900644017489</c:v>
                </c:pt>
                <c:pt idx="117">
                  <c:v>3.4238764883826649</c:v>
                </c:pt>
                <c:pt idx="118">
                  <c:v>3.3069530726153902</c:v>
                </c:pt>
                <c:pt idx="119">
                  <c:v>3.3662650247044033</c:v>
                </c:pt>
                <c:pt idx="120">
                  <c:v>3.1964713353743317</c:v>
                </c:pt>
                <c:pt idx="121">
                  <c:v>3.0478058785094646</c:v>
                </c:pt>
                <c:pt idx="122">
                  <c:v>3.1235207498383808</c:v>
                </c:pt>
                <c:pt idx="123">
                  <c:v>3.4518360658272425</c:v>
                </c:pt>
                <c:pt idx="124">
                  <c:v>3.649576783641252</c:v>
                </c:pt>
                <c:pt idx="125">
                  <c:v>3.3495703759510045</c:v>
                </c:pt>
                <c:pt idx="126">
                  <c:v>3.5034844674993977</c:v>
                </c:pt>
                <c:pt idx="127">
                  <c:v>3.4376938983676295</c:v>
                </c:pt>
                <c:pt idx="128">
                  <c:v>3.7627233314172788</c:v>
                </c:pt>
                <c:pt idx="129">
                  <c:v>3.8645180564029689</c:v>
                </c:pt>
                <c:pt idx="130">
                  <c:v>4.067172679213936</c:v>
                </c:pt>
                <c:pt idx="131">
                  <c:v>3.7343501687102902</c:v>
                </c:pt>
                <c:pt idx="132">
                  <c:v>3.7720005314436076</c:v>
                </c:pt>
                <c:pt idx="133">
                  <c:v>4.0897070385405332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E-4AE6-8EF3-510A50F6CB65}"/>
            </c:ext>
          </c:extLst>
        </c:ser>
        <c:ser>
          <c:idx val="2"/>
          <c:order val="2"/>
          <c:tx>
            <c:strRef>
              <c:f>NN5再投資累積報酬!$B$14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NN5再投資累積報酬!$C$14:$EF$14</c:f>
              <c:numCache>
                <c:formatCode>General</c:formatCode>
                <c:ptCount val="134"/>
                <c:pt idx="0">
                  <c:v>-3.7017512404591946E-2</c:v>
                </c:pt>
                <c:pt idx="1">
                  <c:v>4.3244488999765851E-2</c:v>
                </c:pt>
                <c:pt idx="2">
                  <c:v>-6.3366893983145545E-3</c:v>
                </c:pt>
                <c:pt idx="3">
                  <c:v>-5.4483793345190046E-2</c:v>
                </c:pt>
                <c:pt idx="4">
                  <c:v>-9.3268789189605572E-2</c:v>
                </c:pt>
                <c:pt idx="5">
                  <c:v>-8.6310239850594606E-2</c:v>
                </c:pt>
                <c:pt idx="6">
                  <c:v>-4.630217755621191E-2</c:v>
                </c:pt>
                <c:pt idx="7">
                  <c:v>-2.4071508052050716E-2</c:v>
                </c:pt>
                <c:pt idx="8">
                  <c:v>-0.1550203280192376</c:v>
                </c:pt>
                <c:pt idx="9">
                  <c:v>-0.15092454492954299</c:v>
                </c:pt>
                <c:pt idx="10">
                  <c:v>-0.14668382053097662</c:v>
                </c:pt>
                <c:pt idx="11">
                  <c:v>-7.6064239895072605E-2</c:v>
                </c:pt>
                <c:pt idx="12">
                  <c:v>-4.1439020135680127E-2</c:v>
                </c:pt>
                <c:pt idx="13">
                  <c:v>-9.7367144201545353E-2</c:v>
                </c:pt>
                <c:pt idx="14">
                  <c:v>-0.20938737585267364</c:v>
                </c:pt>
                <c:pt idx="15">
                  <c:v>-0.22199067977365938</c:v>
                </c:pt>
                <c:pt idx="16">
                  <c:v>-0.35105715668578852</c:v>
                </c:pt>
                <c:pt idx="17">
                  <c:v>-0.39638028498735001</c:v>
                </c:pt>
                <c:pt idx="18">
                  <c:v>-0.45931769938003919</c:v>
                </c:pt>
                <c:pt idx="19">
                  <c:v>-0.44845586387600178</c:v>
                </c:pt>
                <c:pt idx="20">
                  <c:v>-0.40763709754008071</c:v>
                </c:pt>
                <c:pt idx="21">
                  <c:v>-0.34054423395859257</c:v>
                </c:pt>
                <c:pt idx="22">
                  <c:v>-0.34398651035862915</c:v>
                </c:pt>
                <c:pt idx="23">
                  <c:v>-0.31872216720667323</c:v>
                </c:pt>
                <c:pt idx="24">
                  <c:v>-0.34559870054618169</c:v>
                </c:pt>
                <c:pt idx="25">
                  <c:v>-0.29928712804861668</c:v>
                </c:pt>
                <c:pt idx="26">
                  <c:v>-0.30875885229285138</c:v>
                </c:pt>
                <c:pt idx="27">
                  <c:v>-0.31768976161528861</c:v>
                </c:pt>
                <c:pt idx="28">
                  <c:v>-0.39029580799761265</c:v>
                </c:pt>
                <c:pt idx="29">
                  <c:v>-0.36565113621383039</c:v>
                </c:pt>
                <c:pt idx="30">
                  <c:v>-0.35263373001090781</c:v>
                </c:pt>
                <c:pt idx="31">
                  <c:v>-0.34923487717063018</c:v>
                </c:pt>
                <c:pt idx="32">
                  <c:v>-0.34209951698361374</c:v>
                </c:pt>
                <c:pt idx="33">
                  <c:v>-0.27874700529485297</c:v>
                </c:pt>
                <c:pt idx="34">
                  <c:v>-0.22327440546124477</c:v>
                </c:pt>
                <c:pt idx="35">
                  <c:v>-0.19378276399991168</c:v>
                </c:pt>
                <c:pt idx="36">
                  <c:v>-0.14440827389547883</c:v>
                </c:pt>
                <c:pt idx="37">
                  <c:v>-6.0051492769424897E-2</c:v>
                </c:pt>
                <c:pt idx="38">
                  <c:v>-2.8032658353878137E-3</c:v>
                </c:pt>
                <c:pt idx="39">
                  <c:v>-7.2583628185234006E-2</c:v>
                </c:pt>
                <c:pt idx="40">
                  <c:v>-7.2924887489532186E-2</c:v>
                </c:pt>
                <c:pt idx="41">
                  <c:v>-3.8024366356381178E-2</c:v>
                </c:pt>
                <c:pt idx="42">
                  <c:v>4.4106213804383509E-2</c:v>
                </c:pt>
                <c:pt idx="43">
                  <c:v>8.0134748070779027E-2</c:v>
                </c:pt>
                <c:pt idx="44">
                  <c:v>0.12333111779189765</c:v>
                </c:pt>
                <c:pt idx="45">
                  <c:v>0.10234405121417445</c:v>
                </c:pt>
                <c:pt idx="46">
                  <c:v>8.2101782905728893E-2</c:v>
                </c:pt>
                <c:pt idx="47">
                  <c:v>0.23029673479386403</c:v>
                </c:pt>
                <c:pt idx="48">
                  <c:v>0.24883499211824844</c:v>
                </c:pt>
                <c:pt idx="49">
                  <c:v>0.18221143215661906</c:v>
                </c:pt>
                <c:pt idx="50">
                  <c:v>0.20304394297243489</c:v>
                </c:pt>
                <c:pt idx="51">
                  <c:v>0.27731299700830192</c:v>
                </c:pt>
                <c:pt idx="52">
                  <c:v>0.26476850739912106</c:v>
                </c:pt>
                <c:pt idx="53">
                  <c:v>0.31956812114752031</c:v>
                </c:pt>
                <c:pt idx="54">
                  <c:v>0.37734813298804193</c:v>
                </c:pt>
                <c:pt idx="55">
                  <c:v>0.4335033347199464</c:v>
                </c:pt>
                <c:pt idx="56">
                  <c:v>0.49281348024151272</c:v>
                </c:pt>
                <c:pt idx="57">
                  <c:v>0.50078921777595542</c:v>
                </c:pt>
                <c:pt idx="58">
                  <c:v>0.57610664417433965</c:v>
                </c:pt>
                <c:pt idx="59">
                  <c:v>0.54455736494818496</c:v>
                </c:pt>
                <c:pt idx="60">
                  <c:v>0.53591749462856186</c:v>
                </c:pt>
                <c:pt idx="61">
                  <c:v>0.62766977581180061</c:v>
                </c:pt>
                <c:pt idx="62">
                  <c:v>0.69156755848584117</c:v>
                </c:pt>
                <c:pt idx="63">
                  <c:v>0.72698312707637291</c:v>
                </c:pt>
                <c:pt idx="64">
                  <c:v>0.78502538187814763</c:v>
                </c:pt>
                <c:pt idx="65">
                  <c:v>0.81300339399187327</c:v>
                </c:pt>
                <c:pt idx="66">
                  <c:v>0.84172775654088539</c:v>
                </c:pt>
                <c:pt idx="67">
                  <c:v>0.79028935094631025</c:v>
                </c:pt>
                <c:pt idx="68">
                  <c:v>0.71600316492232863</c:v>
                </c:pt>
                <c:pt idx="69">
                  <c:v>0.84300964253671595</c:v>
                </c:pt>
                <c:pt idx="70">
                  <c:v>0.82669009558878992</c:v>
                </c:pt>
                <c:pt idx="71">
                  <c:v>0.87368568416560777</c:v>
                </c:pt>
                <c:pt idx="72">
                  <c:v>0.8971216477541446</c:v>
                </c:pt>
                <c:pt idx="73">
                  <c:v>1.0014078667750019</c:v>
                </c:pt>
                <c:pt idx="74">
                  <c:v>0.98820599334280512</c:v>
                </c:pt>
                <c:pt idx="75">
                  <c:v>1.1075660649344727</c:v>
                </c:pt>
                <c:pt idx="76">
                  <c:v>1.05600390030104</c:v>
                </c:pt>
                <c:pt idx="77">
                  <c:v>1.1014983662161173</c:v>
                </c:pt>
                <c:pt idx="78">
                  <c:v>1.0746116263488275</c:v>
                </c:pt>
                <c:pt idx="79">
                  <c:v>1.2779582323506258</c:v>
                </c:pt>
                <c:pt idx="80">
                  <c:v>1.113588239802926</c:v>
                </c:pt>
                <c:pt idx="81">
                  <c:v>1.3087372861608602</c:v>
                </c:pt>
                <c:pt idx="82">
                  <c:v>1.4312551130532172</c:v>
                </c:pt>
                <c:pt idx="83">
                  <c:v>1.5884634536467721</c:v>
                </c:pt>
                <c:pt idx="84">
                  <c:v>1.3143845771441929</c:v>
                </c:pt>
                <c:pt idx="85">
                  <c:v>1.2480361358015886</c:v>
                </c:pt>
                <c:pt idx="86">
                  <c:v>1.2795454294443238</c:v>
                </c:pt>
                <c:pt idx="87">
                  <c:v>1.42149262048008</c:v>
                </c:pt>
                <c:pt idx="88">
                  <c:v>1.4990772691470653</c:v>
                </c:pt>
                <c:pt idx="89">
                  <c:v>1.4415317949058277</c:v>
                </c:pt>
                <c:pt idx="90">
                  <c:v>1.2618650367162418</c:v>
                </c:pt>
                <c:pt idx="91">
                  <c:v>1.4876202739328401</c:v>
                </c:pt>
                <c:pt idx="92">
                  <c:v>1.6199905987826639</c:v>
                </c:pt>
                <c:pt idx="93">
                  <c:v>1.7664720137449037</c:v>
                </c:pt>
                <c:pt idx="94">
                  <c:v>1.9297688900062617</c:v>
                </c:pt>
                <c:pt idx="95">
                  <c:v>1.9857291649656412</c:v>
                </c:pt>
                <c:pt idx="96">
                  <c:v>1.8546045906017765</c:v>
                </c:pt>
                <c:pt idx="97">
                  <c:v>1.9195346134519604</c:v>
                </c:pt>
                <c:pt idx="98">
                  <c:v>1.9096129182201094</c:v>
                </c:pt>
                <c:pt idx="99">
                  <c:v>2.015230147245084</c:v>
                </c:pt>
                <c:pt idx="100">
                  <c:v>1.9285147807339831</c:v>
                </c:pt>
                <c:pt idx="101">
                  <c:v>2.1161258729120687</c:v>
                </c:pt>
                <c:pt idx="102">
                  <c:v>2.0403906486048737</c:v>
                </c:pt>
                <c:pt idx="103">
                  <c:v>1.9687557820124031</c:v>
                </c:pt>
                <c:pt idx="104">
                  <c:v>2.0389152272333337</c:v>
                </c:pt>
                <c:pt idx="105">
                  <c:v>1.9879874150828116</c:v>
                </c:pt>
                <c:pt idx="106">
                  <c:v>2.0040756345498472</c:v>
                </c:pt>
                <c:pt idx="107">
                  <c:v>1.89635960435632</c:v>
                </c:pt>
                <c:pt idx="108">
                  <c:v>1.9295129479029107</c:v>
                </c:pt>
                <c:pt idx="109">
                  <c:v>1.9435008954301489</c:v>
                </c:pt>
                <c:pt idx="110">
                  <c:v>1.771018160646697</c:v>
                </c:pt>
                <c:pt idx="111">
                  <c:v>1.773854919182873</c:v>
                </c:pt>
                <c:pt idx="112">
                  <c:v>1.8267552814258297</c:v>
                </c:pt>
                <c:pt idx="113">
                  <c:v>1.7838870809068723</c:v>
                </c:pt>
                <c:pt idx="114">
                  <c:v>1.7992103445265206</c:v>
                </c:pt>
                <c:pt idx="115">
                  <c:v>1.9186316443542659</c:v>
                </c:pt>
                <c:pt idx="116">
                  <c:v>2.0393919116319799</c:v>
                </c:pt>
                <c:pt idx="117">
                  <c:v>2.1717261733641782</c:v>
                </c:pt>
                <c:pt idx="118">
                  <c:v>1.8882757926151887</c:v>
                </c:pt>
                <c:pt idx="119">
                  <c:v>2.0402641417150389</c:v>
                </c:pt>
                <c:pt idx="120">
                  <c:v>1.9337183698298062</c:v>
                </c:pt>
                <c:pt idx="121">
                  <c:v>1.8031181652920902</c:v>
                </c:pt>
                <c:pt idx="122">
                  <c:v>1.6772162569250613</c:v>
                </c:pt>
                <c:pt idx="123">
                  <c:v>1.9670579924860494</c:v>
                </c:pt>
                <c:pt idx="124">
                  <c:v>2.2588514326621283</c:v>
                </c:pt>
                <c:pt idx="125">
                  <c:v>1.9266717997592129</c:v>
                </c:pt>
                <c:pt idx="126">
                  <c:v>2.0378767821128507</c:v>
                </c:pt>
                <c:pt idx="127">
                  <c:v>1.971403258572594</c:v>
                </c:pt>
                <c:pt idx="128">
                  <c:v>2.2034855001436866</c:v>
                </c:pt>
                <c:pt idx="129">
                  <c:v>2.3097686057033084</c:v>
                </c:pt>
                <c:pt idx="130">
                  <c:v>2.3298899538792726</c:v>
                </c:pt>
                <c:pt idx="131">
                  <c:v>1.9881443162906374</c:v>
                </c:pt>
                <c:pt idx="132">
                  <c:v>2.0445221037812673</c:v>
                </c:pt>
                <c:pt idx="133">
                  <c:v>2.2575059722905446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EE-4AE6-8EF3-510A50F6CB65}"/>
            </c:ext>
          </c:extLst>
        </c:ser>
        <c:ser>
          <c:idx val="3"/>
          <c:order val="3"/>
          <c:tx>
            <c:strRef>
              <c:f>NN5再投資累積報酬!$B$15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NN5再投資累積報酬!$C$15:$EF$15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-8.1186281920692771E-2</c:v>
                </c:pt>
                <c:pt idx="2">
                  <c:v>-9.0556735882303507E-2</c:v>
                </c:pt>
                <c:pt idx="3">
                  <c:v>-0.18928798232772026</c:v>
                </c:pt>
                <c:pt idx="4">
                  <c:v>-0.23844706911646996</c:v>
                </c:pt>
                <c:pt idx="5">
                  <c:v>-0.2002492308590168</c:v>
                </c:pt>
                <c:pt idx="6">
                  <c:v>-0.1535186383541759</c:v>
                </c:pt>
                <c:pt idx="7">
                  <c:v>-0.11122718922174502</c:v>
                </c:pt>
                <c:pt idx="8">
                  <c:v>-0.3659447020689468</c:v>
                </c:pt>
                <c:pt idx="9">
                  <c:v>-0.34530080938131835</c:v>
                </c:pt>
                <c:pt idx="10">
                  <c:v>-0.32860747962246772</c:v>
                </c:pt>
                <c:pt idx="11">
                  <c:v>-0.24745750496694652</c:v>
                </c:pt>
                <c:pt idx="12">
                  <c:v>-0.19195196910081302</c:v>
                </c:pt>
                <c:pt idx="13">
                  <c:v>-0.24376092454023868</c:v>
                </c:pt>
                <c:pt idx="14">
                  <c:v>-0.36138396221578162</c:v>
                </c:pt>
                <c:pt idx="15">
                  <c:v>-0.39467481836163087</c:v>
                </c:pt>
                <c:pt idx="16">
                  <c:v>-0.55811739649602932</c:v>
                </c:pt>
                <c:pt idx="17">
                  <c:v>-0.58763520962028226</c:v>
                </c:pt>
                <c:pt idx="18">
                  <c:v>-0.6441160156584218</c:v>
                </c:pt>
                <c:pt idx="19">
                  <c:v>-0.65021296788710381</c:v>
                </c:pt>
                <c:pt idx="20">
                  <c:v>-0.6143445484856902</c:v>
                </c:pt>
                <c:pt idx="21">
                  <c:v>-0.56542672621848811</c:v>
                </c:pt>
                <c:pt idx="22">
                  <c:v>-0.55646149072030515</c:v>
                </c:pt>
                <c:pt idx="23">
                  <c:v>-0.53573938396216936</c:v>
                </c:pt>
                <c:pt idx="24">
                  <c:v>-0.56084713059743674</c:v>
                </c:pt>
                <c:pt idx="25">
                  <c:v>-0.52408995966762029</c:v>
                </c:pt>
                <c:pt idx="26">
                  <c:v>-0.51624650237476488</c:v>
                </c:pt>
                <c:pt idx="27">
                  <c:v>-0.50708600922658498</c:v>
                </c:pt>
                <c:pt idx="28">
                  <c:v>-0.55529185593983454</c:v>
                </c:pt>
                <c:pt idx="29">
                  <c:v>-0.5260213382235166</c:v>
                </c:pt>
                <c:pt idx="30">
                  <c:v>-0.52122302554453381</c:v>
                </c:pt>
                <c:pt idx="31">
                  <c:v>-0.53731202574919412</c:v>
                </c:pt>
                <c:pt idx="32">
                  <c:v>-0.50294496949608369</c:v>
                </c:pt>
                <c:pt idx="33">
                  <c:v>-0.50086507521226764</c:v>
                </c:pt>
                <c:pt idx="34">
                  <c:v>-0.47003869209913074</c:v>
                </c:pt>
                <c:pt idx="35">
                  <c:v>-0.44649163013063886</c:v>
                </c:pt>
                <c:pt idx="36">
                  <c:v>-0.41598079740997673</c:v>
                </c:pt>
                <c:pt idx="37">
                  <c:v>-0.35659264047061512</c:v>
                </c:pt>
                <c:pt idx="38">
                  <c:v>-0.31582003675962345</c:v>
                </c:pt>
                <c:pt idx="39">
                  <c:v>-0.36938153992941536</c:v>
                </c:pt>
                <c:pt idx="40">
                  <c:v>-0.39294593988684789</c:v>
                </c:pt>
                <c:pt idx="41">
                  <c:v>-0.33813268831692245</c:v>
                </c:pt>
                <c:pt idx="42">
                  <c:v>-0.30251020923601424</c:v>
                </c:pt>
                <c:pt idx="43">
                  <c:v>-0.25699551945954602</c:v>
                </c:pt>
                <c:pt idx="44">
                  <c:v>-0.22731749750267538</c:v>
                </c:pt>
                <c:pt idx="45">
                  <c:v>-0.26380883367290742</c:v>
                </c:pt>
                <c:pt idx="46">
                  <c:v>-0.25228012472846606</c:v>
                </c:pt>
                <c:pt idx="47">
                  <c:v>-0.15864019093561488</c:v>
                </c:pt>
                <c:pt idx="48">
                  <c:v>-0.13506775922545289</c:v>
                </c:pt>
                <c:pt idx="49">
                  <c:v>-0.21405620848998519</c:v>
                </c:pt>
                <c:pt idx="50">
                  <c:v>-0.20571458242081075</c:v>
                </c:pt>
                <c:pt idx="51">
                  <c:v>-0.11617886509584241</c:v>
                </c:pt>
                <c:pt idx="52">
                  <c:v>-6.1244835479209669E-2</c:v>
                </c:pt>
                <c:pt idx="53">
                  <c:v>-1.1450188157991481E-2</c:v>
                </c:pt>
                <c:pt idx="54">
                  <c:v>3.64378545891344E-2</c:v>
                </c:pt>
                <c:pt idx="55">
                  <c:v>8.583757076061671E-2</c:v>
                </c:pt>
                <c:pt idx="56">
                  <c:v>8.8540805452471449E-2</c:v>
                </c:pt>
                <c:pt idx="57">
                  <c:v>0.1260321596743792</c:v>
                </c:pt>
                <c:pt idx="58">
                  <c:v>0.20326294356245889</c:v>
                </c:pt>
                <c:pt idx="59">
                  <c:v>0.18970815390990858</c:v>
                </c:pt>
                <c:pt idx="60">
                  <c:v>0.19068817869971921</c:v>
                </c:pt>
                <c:pt idx="61">
                  <c:v>0.261419666074862</c:v>
                </c:pt>
                <c:pt idx="62">
                  <c:v>0.34571380992879397</c:v>
                </c:pt>
                <c:pt idx="63">
                  <c:v>0.39973422038477713</c:v>
                </c:pt>
                <c:pt idx="64">
                  <c:v>0.4385551154633327</c:v>
                </c:pt>
                <c:pt idx="65">
                  <c:v>0.45895989872140608</c:v>
                </c:pt>
                <c:pt idx="66">
                  <c:v>0.47763886206007977</c:v>
                </c:pt>
                <c:pt idx="67">
                  <c:v>0.4035242955683005</c:v>
                </c:pt>
                <c:pt idx="68">
                  <c:v>0.37991171517358957</c:v>
                </c:pt>
                <c:pt idx="69">
                  <c:v>0.50280693641802787</c:v>
                </c:pt>
                <c:pt idx="70">
                  <c:v>0.53207623518373581</c:v>
                </c:pt>
                <c:pt idx="71">
                  <c:v>0.6223384571740318</c:v>
                </c:pt>
                <c:pt idx="72">
                  <c:v>0.56402205723974763</c:v>
                </c:pt>
                <c:pt idx="73">
                  <c:v>0.60880922875135446</c:v>
                </c:pt>
                <c:pt idx="74">
                  <c:v>0.50955520502041285</c:v>
                </c:pt>
                <c:pt idx="75">
                  <c:v>0.66489820089543916</c:v>
                </c:pt>
                <c:pt idx="76">
                  <c:v>0.63394437892043176</c:v>
                </c:pt>
                <c:pt idx="77">
                  <c:v>0.65854650625505307</c:v>
                </c:pt>
                <c:pt idx="78">
                  <c:v>0.40591957991064254</c:v>
                </c:pt>
                <c:pt idx="79">
                  <c:v>0.5748437473214103</c:v>
                </c:pt>
                <c:pt idx="80">
                  <c:v>0.39134835706198756</c:v>
                </c:pt>
                <c:pt idx="81">
                  <c:v>0.52263132756474495</c:v>
                </c:pt>
                <c:pt idx="82">
                  <c:v>0.51608571934015468</c:v>
                </c:pt>
                <c:pt idx="83">
                  <c:v>0.61142622264109492</c:v>
                </c:pt>
                <c:pt idx="84">
                  <c:v>0.54890543948241399</c:v>
                </c:pt>
                <c:pt idx="85">
                  <c:v>0.41408196288513688</c:v>
                </c:pt>
                <c:pt idx="86">
                  <c:v>0.49422172906044115</c:v>
                </c:pt>
                <c:pt idx="87">
                  <c:v>0.54117312686534658</c:v>
                </c:pt>
                <c:pt idx="88">
                  <c:v>0.65619259747048653</c:v>
                </c:pt>
                <c:pt idx="89">
                  <c:v>0.58558229048421762</c:v>
                </c:pt>
                <c:pt idx="90">
                  <c:v>0.38033020911080184</c:v>
                </c:pt>
                <c:pt idx="91">
                  <c:v>0.55637177550308614</c:v>
                </c:pt>
                <c:pt idx="92">
                  <c:v>0.61454585648238336</c:v>
                </c:pt>
                <c:pt idx="93">
                  <c:v>0.69242681844498843</c:v>
                </c:pt>
                <c:pt idx="94">
                  <c:v>0.79428581839511292</c:v>
                </c:pt>
                <c:pt idx="95">
                  <c:v>0.80755379940663063</c:v>
                </c:pt>
                <c:pt idx="96">
                  <c:v>0.69335497263626378</c:v>
                </c:pt>
                <c:pt idx="97">
                  <c:v>0.6829546456388349</c:v>
                </c:pt>
                <c:pt idx="98">
                  <c:v>0.66194352878894103</c:v>
                </c:pt>
                <c:pt idx="99">
                  <c:v>0.70189599816585324</c:v>
                </c:pt>
                <c:pt idx="100">
                  <c:v>0.62961532961539923</c:v>
                </c:pt>
                <c:pt idx="101">
                  <c:v>0.75980032462168667</c:v>
                </c:pt>
                <c:pt idx="102">
                  <c:v>0.71338412084890424</c:v>
                </c:pt>
                <c:pt idx="103">
                  <c:v>0.66159431317386241</c:v>
                </c:pt>
                <c:pt idx="104">
                  <c:v>0.71987498290534835</c:v>
                </c:pt>
                <c:pt idx="105">
                  <c:v>0.63492401030122725</c:v>
                </c:pt>
                <c:pt idx="106">
                  <c:v>0.6757132630640541</c:v>
                </c:pt>
                <c:pt idx="107">
                  <c:v>0.60467758869197619</c:v>
                </c:pt>
                <c:pt idx="108">
                  <c:v>0.6306681209298266</c:v>
                </c:pt>
                <c:pt idx="109">
                  <c:v>0.60015993304642778</c:v>
                </c:pt>
                <c:pt idx="110">
                  <c:v>0.58140854046404589</c:v>
                </c:pt>
                <c:pt idx="111">
                  <c:v>0.49940641432458288</c:v>
                </c:pt>
                <c:pt idx="112">
                  <c:v>0.65200825331817391</c:v>
                </c:pt>
                <c:pt idx="113">
                  <c:v>0.75548260650293497</c:v>
                </c:pt>
                <c:pt idx="114">
                  <c:v>0.71368711659063266</c:v>
                </c:pt>
                <c:pt idx="115">
                  <c:v>0.78908334740060249</c:v>
                </c:pt>
                <c:pt idx="116">
                  <c:v>0.87191205113374348</c:v>
                </c:pt>
                <c:pt idx="117">
                  <c:v>0.91634301057136014</c:v>
                </c:pt>
                <c:pt idx="118">
                  <c:v>0.73421203184312467</c:v>
                </c:pt>
                <c:pt idx="119">
                  <c:v>0.85562519882810828</c:v>
                </c:pt>
                <c:pt idx="120">
                  <c:v>0.71414879237243278</c:v>
                </c:pt>
                <c:pt idx="121">
                  <c:v>0.5904495902095348</c:v>
                </c:pt>
                <c:pt idx="122">
                  <c:v>0.51765355310474259</c:v>
                </c:pt>
                <c:pt idx="123">
                  <c:v>0.72977349662766811</c:v>
                </c:pt>
                <c:pt idx="124">
                  <c:v>0.77394953700651481</c:v>
                </c:pt>
                <c:pt idx="125">
                  <c:v>0.56353029408452282</c:v>
                </c:pt>
                <c:pt idx="126">
                  <c:v>0.73010750857171924</c:v>
                </c:pt>
                <c:pt idx="127">
                  <c:v>0.69737345224326774</c:v>
                </c:pt>
                <c:pt idx="128">
                  <c:v>0.7437774803299968</c:v>
                </c:pt>
                <c:pt idx="129">
                  <c:v>0.82838307553400581</c:v>
                </c:pt>
                <c:pt idx="130">
                  <c:v>0.94920602273194543</c:v>
                </c:pt>
                <c:pt idx="131">
                  <c:v>0.72824976658367446</c:v>
                </c:pt>
                <c:pt idx="132">
                  <c:v>0.70017363270362476</c:v>
                </c:pt>
                <c:pt idx="133">
                  <c:v>0.8118767254803787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EE-4AE6-8EF3-510A50F6CB65}"/>
            </c:ext>
          </c:extLst>
        </c:ser>
        <c:ser>
          <c:idx val="4"/>
          <c:order val="4"/>
          <c:tx>
            <c:strRef>
              <c:f>NN5再投資累積報酬!$B$16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NN5再投資累積報酬!$C$16:$EF$16</c:f>
              <c:numCache>
                <c:formatCode>General</c:formatCode>
                <c:ptCount val="134"/>
                <c:pt idx="0">
                  <c:v>-2.738364461037901E-2</c:v>
                </c:pt>
                <c:pt idx="1">
                  <c:v>-2.8084170244159101E-2</c:v>
                </c:pt>
                <c:pt idx="2">
                  <c:v>-3.0834863692505765E-2</c:v>
                </c:pt>
                <c:pt idx="3">
                  <c:v>-0.12715291092737246</c:v>
                </c:pt>
                <c:pt idx="4">
                  <c:v>-0.19147848141893253</c:v>
                </c:pt>
                <c:pt idx="5">
                  <c:v>-0.14215947357411318</c:v>
                </c:pt>
                <c:pt idx="6">
                  <c:v>-9.2807377372389532E-2</c:v>
                </c:pt>
                <c:pt idx="7">
                  <c:v>-5.0432477063001468E-2</c:v>
                </c:pt>
                <c:pt idx="8">
                  <c:v>-0.32074638629472196</c:v>
                </c:pt>
                <c:pt idx="9">
                  <c:v>-0.31403092194888993</c:v>
                </c:pt>
                <c:pt idx="10">
                  <c:v>-0.28636273322732231</c:v>
                </c:pt>
                <c:pt idx="11">
                  <c:v>-0.19667949150138142</c:v>
                </c:pt>
                <c:pt idx="12">
                  <c:v>-0.1325529372755434</c:v>
                </c:pt>
                <c:pt idx="13">
                  <c:v>-0.18550644428634633</c:v>
                </c:pt>
                <c:pt idx="14">
                  <c:v>-0.31411747757436892</c:v>
                </c:pt>
                <c:pt idx="15">
                  <c:v>-0.34771953333516192</c:v>
                </c:pt>
                <c:pt idx="16">
                  <c:v>-0.53496513424310566</c:v>
                </c:pt>
                <c:pt idx="17">
                  <c:v>-0.56622434085980045</c:v>
                </c:pt>
                <c:pt idx="18">
                  <c:v>-0.62264227513364112</c:v>
                </c:pt>
                <c:pt idx="19">
                  <c:v>-0.62491477819530372</c:v>
                </c:pt>
                <c:pt idx="20">
                  <c:v>-0.58678148554498577</c:v>
                </c:pt>
                <c:pt idx="21">
                  <c:v>-0.53537305953729519</c:v>
                </c:pt>
                <c:pt idx="22">
                  <c:v>-0.52599661448314294</c:v>
                </c:pt>
                <c:pt idx="23">
                  <c:v>-0.50558700947067581</c:v>
                </c:pt>
                <c:pt idx="24">
                  <c:v>-0.52708786155539888</c:v>
                </c:pt>
                <c:pt idx="25">
                  <c:v>-0.49162652516302408</c:v>
                </c:pt>
                <c:pt idx="26">
                  <c:v>-0.4676179593612565</c:v>
                </c:pt>
                <c:pt idx="27">
                  <c:v>-0.4670206129500758</c:v>
                </c:pt>
                <c:pt idx="28">
                  <c:v>-0.51845438189216364</c:v>
                </c:pt>
                <c:pt idx="29">
                  <c:v>-0.48778674346149398</c:v>
                </c:pt>
                <c:pt idx="30">
                  <c:v>-0.4809790435668011</c:v>
                </c:pt>
                <c:pt idx="31">
                  <c:v>-0.49746595208955324</c:v>
                </c:pt>
                <c:pt idx="32">
                  <c:v>-0.45197523875087897</c:v>
                </c:pt>
                <c:pt idx="33">
                  <c:v>-0.46163649973714838</c:v>
                </c:pt>
                <c:pt idx="34">
                  <c:v>-0.42695436889319638</c:v>
                </c:pt>
                <c:pt idx="35">
                  <c:v>-0.39905338849439786</c:v>
                </c:pt>
                <c:pt idx="36">
                  <c:v>-0.35934480113987888</c:v>
                </c:pt>
                <c:pt idx="37">
                  <c:v>-0.29114308310153492</c:v>
                </c:pt>
                <c:pt idx="38">
                  <c:v>-0.24760177960951868</c:v>
                </c:pt>
                <c:pt idx="39">
                  <c:v>-0.30613713335154302</c:v>
                </c:pt>
                <c:pt idx="40">
                  <c:v>-0.33282740125396748</c:v>
                </c:pt>
                <c:pt idx="41">
                  <c:v>-0.26391435689263698</c:v>
                </c:pt>
                <c:pt idx="42">
                  <c:v>-0.21601857029877536</c:v>
                </c:pt>
                <c:pt idx="43">
                  <c:v>-0.177174520634651</c:v>
                </c:pt>
                <c:pt idx="44">
                  <c:v>-0.1427583323972299</c:v>
                </c:pt>
                <c:pt idx="45">
                  <c:v>-0.15053566323867051</c:v>
                </c:pt>
                <c:pt idx="46">
                  <c:v>-0.11719169902686855</c:v>
                </c:pt>
                <c:pt idx="47">
                  <c:v>-2.8178338221850674E-2</c:v>
                </c:pt>
                <c:pt idx="48">
                  <c:v>4.6814690297045658E-3</c:v>
                </c:pt>
                <c:pt idx="49">
                  <c:v>-0.10071929735701435</c:v>
                </c:pt>
                <c:pt idx="50">
                  <c:v>-8.7299236955213355E-2</c:v>
                </c:pt>
                <c:pt idx="51">
                  <c:v>1.1307971557528607E-2</c:v>
                </c:pt>
                <c:pt idx="52">
                  <c:v>7.9188445294865684E-2</c:v>
                </c:pt>
                <c:pt idx="53">
                  <c:v>0.11797092915709984</c:v>
                </c:pt>
                <c:pt idx="54">
                  <c:v>0.17544692632918135</c:v>
                </c:pt>
                <c:pt idx="55">
                  <c:v>0.25099061324045113</c:v>
                </c:pt>
                <c:pt idx="56">
                  <c:v>0.267845562611986</c:v>
                </c:pt>
                <c:pt idx="57">
                  <c:v>0.25038021091624163</c:v>
                </c:pt>
                <c:pt idx="58">
                  <c:v>0.30220072800844133</c:v>
                </c:pt>
                <c:pt idx="59">
                  <c:v>0.27550064351749692</c:v>
                </c:pt>
                <c:pt idx="60">
                  <c:v>0.27929141905154853</c:v>
                </c:pt>
                <c:pt idx="61">
                  <c:v>0.36963954064400606</c:v>
                </c:pt>
                <c:pt idx="62">
                  <c:v>0.48129786340800251</c:v>
                </c:pt>
                <c:pt idx="63">
                  <c:v>0.55226067088912933</c:v>
                </c:pt>
                <c:pt idx="64">
                  <c:v>0.58624021571679852</c:v>
                </c:pt>
                <c:pt idx="65">
                  <c:v>0.61930251168353756</c:v>
                </c:pt>
                <c:pt idx="66">
                  <c:v>0.64598540479270539</c:v>
                </c:pt>
                <c:pt idx="67">
                  <c:v>0.60270117675735602</c:v>
                </c:pt>
                <c:pt idx="68">
                  <c:v>0.58155902695063433</c:v>
                </c:pt>
                <c:pt idx="69">
                  <c:v>0.7167557397527704</c:v>
                </c:pt>
                <c:pt idx="70">
                  <c:v>0.81592432421997785</c:v>
                </c:pt>
                <c:pt idx="71">
                  <c:v>0.92617134068503937</c:v>
                </c:pt>
                <c:pt idx="72">
                  <c:v>0.79954305036599327</c:v>
                </c:pt>
                <c:pt idx="73">
                  <c:v>0.85633525692199397</c:v>
                </c:pt>
                <c:pt idx="74">
                  <c:v>0.76247201691607214</c:v>
                </c:pt>
                <c:pt idx="75">
                  <c:v>0.95903320406305026</c:v>
                </c:pt>
                <c:pt idx="76">
                  <c:v>0.90082172789343096</c:v>
                </c:pt>
                <c:pt idx="77">
                  <c:v>0.89810726894951731</c:v>
                </c:pt>
                <c:pt idx="78">
                  <c:v>0.59617057291748399</c:v>
                </c:pt>
                <c:pt idx="79">
                  <c:v>0.84369077339237664</c:v>
                </c:pt>
                <c:pt idx="80">
                  <c:v>0.59922648320997851</c:v>
                </c:pt>
                <c:pt idx="81">
                  <c:v>0.76746713068153727</c:v>
                </c:pt>
                <c:pt idx="82">
                  <c:v>0.75796077508191617</c:v>
                </c:pt>
                <c:pt idx="83">
                  <c:v>0.8312631945521618</c:v>
                </c:pt>
                <c:pt idx="84">
                  <c:v>0.76037521269413411</c:v>
                </c:pt>
                <c:pt idx="85">
                  <c:v>0.68023668229370338</c:v>
                </c:pt>
                <c:pt idx="86">
                  <c:v>0.80872939474061578</c:v>
                </c:pt>
                <c:pt idx="87">
                  <c:v>0.83744963422915286</c:v>
                </c:pt>
                <c:pt idx="88">
                  <c:v>1.0009617564730271</c:v>
                </c:pt>
                <c:pt idx="89">
                  <c:v>0.93481493291195816</c:v>
                </c:pt>
                <c:pt idx="90">
                  <c:v>0.58180416672932256</c:v>
                </c:pt>
                <c:pt idx="91">
                  <c:v>0.79792874245936174</c:v>
                </c:pt>
                <c:pt idx="92">
                  <c:v>0.87242700883562763</c:v>
                </c:pt>
                <c:pt idx="93">
                  <c:v>0.96286479649392853</c:v>
                </c:pt>
                <c:pt idx="94">
                  <c:v>1.0935114282949594</c:v>
                </c:pt>
                <c:pt idx="95">
                  <c:v>1.1041201017162861</c:v>
                </c:pt>
                <c:pt idx="96">
                  <c:v>0.97064597033414279</c:v>
                </c:pt>
                <c:pt idx="97">
                  <c:v>0.93763551399174183</c:v>
                </c:pt>
                <c:pt idx="98">
                  <c:v>0.91982058396002819</c:v>
                </c:pt>
                <c:pt idx="99">
                  <c:v>0.94331973458476948</c:v>
                </c:pt>
                <c:pt idx="100">
                  <c:v>0.84786960373186182</c:v>
                </c:pt>
                <c:pt idx="101">
                  <c:v>1.0375224836990671</c:v>
                </c:pt>
                <c:pt idx="102">
                  <c:v>0.97679454586880632</c:v>
                </c:pt>
                <c:pt idx="103">
                  <c:v>0.89236136160503299</c:v>
                </c:pt>
                <c:pt idx="104">
                  <c:v>0.97362382883639165</c:v>
                </c:pt>
                <c:pt idx="105">
                  <c:v>0.83533016169834307</c:v>
                </c:pt>
                <c:pt idx="106">
                  <c:v>0.8985469571569682</c:v>
                </c:pt>
                <c:pt idx="107">
                  <c:v>0.85460236678754598</c:v>
                </c:pt>
                <c:pt idx="108">
                  <c:v>0.88140683767186845</c:v>
                </c:pt>
                <c:pt idx="109">
                  <c:v>0.84541676016512413</c:v>
                </c:pt>
                <c:pt idx="110">
                  <c:v>0.82099557456083549</c:v>
                </c:pt>
                <c:pt idx="111">
                  <c:v>0.76792920305152879</c:v>
                </c:pt>
                <c:pt idx="112">
                  <c:v>1.0041145674927732</c:v>
                </c:pt>
                <c:pt idx="113">
                  <c:v>1.1346085517318736</c:v>
                </c:pt>
                <c:pt idx="114">
                  <c:v>1.069863846995569</c:v>
                </c:pt>
                <c:pt idx="115">
                  <c:v>1.1577044254083053</c:v>
                </c:pt>
                <c:pt idx="116">
                  <c:v>1.2725415708708683</c:v>
                </c:pt>
                <c:pt idx="117">
                  <c:v>1.3176332238642416</c:v>
                </c:pt>
                <c:pt idx="118">
                  <c:v>1.1251916592059645</c:v>
                </c:pt>
                <c:pt idx="119">
                  <c:v>1.2424836468726519</c:v>
                </c:pt>
                <c:pt idx="120">
                  <c:v>1.0322461742725859</c:v>
                </c:pt>
                <c:pt idx="121">
                  <c:v>0.82793607761748467</c:v>
                </c:pt>
                <c:pt idx="122">
                  <c:v>0.71008221360144019</c:v>
                </c:pt>
                <c:pt idx="123">
                  <c:v>0.94428435481140705</c:v>
                </c:pt>
                <c:pt idx="124">
                  <c:v>1.023840056500918</c:v>
                </c:pt>
                <c:pt idx="125">
                  <c:v>0.77028384937549865</c:v>
                </c:pt>
                <c:pt idx="126">
                  <c:v>0.97626404927210708</c:v>
                </c:pt>
                <c:pt idx="127">
                  <c:v>0.91445228084838504</c:v>
                </c:pt>
                <c:pt idx="128">
                  <c:v>1.0037832500507604</c:v>
                </c:pt>
                <c:pt idx="129">
                  <c:v>1.1613019312400428</c:v>
                </c:pt>
                <c:pt idx="130">
                  <c:v>1.2986139095530094</c:v>
                </c:pt>
                <c:pt idx="131">
                  <c:v>1.0333153683566221</c:v>
                </c:pt>
                <c:pt idx="132">
                  <c:v>0.98636466974734027</c:v>
                </c:pt>
                <c:pt idx="133">
                  <c:v>1.0707343202435009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EE-4AE6-8EF3-510A50F6CB65}"/>
            </c:ext>
          </c:extLst>
        </c:ser>
        <c:ser>
          <c:idx val="5"/>
          <c:order val="5"/>
          <c:tx>
            <c:strRef>
              <c:f>NN5再投資累積報酬!$B$17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NN5再投資累積報酬!$C$17:$EF$17</c:f>
              <c:numCache>
                <c:formatCode>General</c:formatCode>
                <c:ptCount val="134"/>
                <c:pt idx="0">
                  <c:v>-4.1028984252961864E-2</c:v>
                </c:pt>
                <c:pt idx="1">
                  <c:v>-5.7652147198090864E-2</c:v>
                </c:pt>
                <c:pt idx="2">
                  <c:v>-5.0698560983171714E-2</c:v>
                </c:pt>
                <c:pt idx="3">
                  <c:v>-0.1578153764591036</c:v>
                </c:pt>
                <c:pt idx="4">
                  <c:v>-0.21779809556994612</c:v>
                </c:pt>
                <c:pt idx="5">
                  <c:v>-0.15781273549707509</c:v>
                </c:pt>
                <c:pt idx="6">
                  <c:v>-6.2034965426831734E-2</c:v>
                </c:pt>
                <c:pt idx="7">
                  <c:v>-2.2773254402584597E-2</c:v>
                </c:pt>
                <c:pt idx="8">
                  <c:v>-0.31284009894149201</c:v>
                </c:pt>
                <c:pt idx="9">
                  <c:v>-0.30616716506787611</c:v>
                </c:pt>
                <c:pt idx="10">
                  <c:v>-0.26111518715737214</c:v>
                </c:pt>
                <c:pt idx="11">
                  <c:v>-0.16066495538380121</c:v>
                </c:pt>
                <c:pt idx="12">
                  <c:v>-7.5701780480251668E-2</c:v>
                </c:pt>
                <c:pt idx="13">
                  <c:v>-0.13701914125933645</c:v>
                </c:pt>
                <c:pt idx="14">
                  <c:v>-0.27665056143164979</c:v>
                </c:pt>
                <c:pt idx="15">
                  <c:v>-0.3143064036059503</c:v>
                </c:pt>
                <c:pt idx="16">
                  <c:v>-0.52731947307551841</c:v>
                </c:pt>
                <c:pt idx="17">
                  <c:v>-0.56097527882297027</c:v>
                </c:pt>
                <c:pt idx="18">
                  <c:v>-0.62299680278632064</c:v>
                </c:pt>
                <c:pt idx="19">
                  <c:v>-0.62148457139589341</c:v>
                </c:pt>
                <c:pt idx="20">
                  <c:v>-0.57621261812471603</c:v>
                </c:pt>
                <c:pt idx="21">
                  <c:v>-0.52669467381730173</c:v>
                </c:pt>
                <c:pt idx="22">
                  <c:v>-0.51584272406257137</c:v>
                </c:pt>
                <c:pt idx="23">
                  <c:v>-0.4897619030286412</c:v>
                </c:pt>
                <c:pt idx="24">
                  <c:v>-0.5077272790598244</c:v>
                </c:pt>
                <c:pt idx="25">
                  <c:v>-0.46595692318939963</c:v>
                </c:pt>
                <c:pt idx="26">
                  <c:v>-0.43459327272960746</c:v>
                </c:pt>
                <c:pt idx="27">
                  <c:v>-0.42220360322020323</c:v>
                </c:pt>
                <c:pt idx="28">
                  <c:v>-0.49567528153041307</c:v>
                </c:pt>
                <c:pt idx="29">
                  <c:v>-0.46469496199738469</c:v>
                </c:pt>
                <c:pt idx="30">
                  <c:v>-0.45252160041255984</c:v>
                </c:pt>
                <c:pt idx="31">
                  <c:v>-0.47194209318650782</c:v>
                </c:pt>
                <c:pt idx="32">
                  <c:v>-0.41128701458219596</c:v>
                </c:pt>
                <c:pt idx="33">
                  <c:v>-0.42436083437755445</c:v>
                </c:pt>
                <c:pt idx="34">
                  <c:v>-0.38192685949398053</c:v>
                </c:pt>
                <c:pt idx="35">
                  <c:v>-0.35057546673266859</c:v>
                </c:pt>
                <c:pt idx="36">
                  <c:v>-0.30162875036440051</c:v>
                </c:pt>
                <c:pt idx="37">
                  <c:v>-0.22251228256080335</c:v>
                </c:pt>
                <c:pt idx="38">
                  <c:v>-0.2126907975700455</c:v>
                </c:pt>
                <c:pt idx="39">
                  <c:v>-0.27350477618417435</c:v>
                </c:pt>
                <c:pt idx="40">
                  <c:v>-0.31747745241760761</c:v>
                </c:pt>
                <c:pt idx="41">
                  <c:v>-0.23971717405232651</c:v>
                </c:pt>
                <c:pt idx="42">
                  <c:v>-0.19689533714131624</c:v>
                </c:pt>
                <c:pt idx="43">
                  <c:v>-0.1549188180641492</c:v>
                </c:pt>
                <c:pt idx="44">
                  <c:v>-0.10881498548520507</c:v>
                </c:pt>
                <c:pt idx="45">
                  <c:v>-0.12771336826402024</c:v>
                </c:pt>
                <c:pt idx="46">
                  <c:v>-0.12036706791114893</c:v>
                </c:pt>
                <c:pt idx="47">
                  <c:v>-3.5710703244185349E-2</c:v>
                </c:pt>
                <c:pt idx="48">
                  <c:v>-9.2663260479609599E-3</c:v>
                </c:pt>
                <c:pt idx="49">
                  <c:v>-0.13326417715822814</c:v>
                </c:pt>
                <c:pt idx="50">
                  <c:v>-0.1247483424602569</c:v>
                </c:pt>
                <c:pt idx="51">
                  <c:v>-1.6423641076011242E-2</c:v>
                </c:pt>
                <c:pt idx="52">
                  <c:v>6.6062215084714548E-2</c:v>
                </c:pt>
                <c:pt idx="53">
                  <c:v>8.9895616069605611E-2</c:v>
                </c:pt>
                <c:pt idx="54">
                  <c:v>0.17419930598678968</c:v>
                </c:pt>
                <c:pt idx="55">
                  <c:v>0.23901216819723126</c:v>
                </c:pt>
                <c:pt idx="56">
                  <c:v>0.1951582790001074</c:v>
                </c:pt>
                <c:pt idx="57">
                  <c:v>0.21131617456469787</c:v>
                </c:pt>
                <c:pt idx="58">
                  <c:v>0.31683628307390332</c:v>
                </c:pt>
                <c:pt idx="59">
                  <c:v>0.30385482635803096</c:v>
                </c:pt>
                <c:pt idx="60">
                  <c:v>0.28583170358690824</c:v>
                </c:pt>
                <c:pt idx="61">
                  <c:v>0.38546175878625077</c:v>
                </c:pt>
                <c:pt idx="62">
                  <c:v>0.49075376349200561</c:v>
                </c:pt>
                <c:pt idx="63">
                  <c:v>0.56069325983728469</c:v>
                </c:pt>
                <c:pt idx="64">
                  <c:v>0.61559784850183319</c:v>
                </c:pt>
                <c:pt idx="65">
                  <c:v>0.67375287578632825</c:v>
                </c:pt>
                <c:pt idx="66">
                  <c:v>0.69279434286248986</c:v>
                </c:pt>
                <c:pt idx="67">
                  <c:v>0.67646501362218392</c:v>
                </c:pt>
                <c:pt idx="68">
                  <c:v>0.66958569122377276</c:v>
                </c:pt>
                <c:pt idx="69">
                  <c:v>0.85226571177135058</c:v>
                </c:pt>
                <c:pt idx="70">
                  <c:v>0.98401333159645676</c:v>
                </c:pt>
                <c:pt idx="71">
                  <c:v>1.1233115088028263</c:v>
                </c:pt>
                <c:pt idx="72">
                  <c:v>0.95252992776808365</c:v>
                </c:pt>
                <c:pt idx="73">
                  <c:v>1.0088076287949952</c:v>
                </c:pt>
                <c:pt idx="74">
                  <c:v>0.83957469073107216</c:v>
                </c:pt>
                <c:pt idx="75">
                  <c:v>1.0613872145449426</c:v>
                </c:pt>
                <c:pt idx="76">
                  <c:v>1.0038027082806957</c:v>
                </c:pt>
                <c:pt idx="77">
                  <c:v>0.98280744963166811</c:v>
                </c:pt>
                <c:pt idx="78">
                  <c:v>0.63589947543246517</c:v>
                </c:pt>
                <c:pt idx="79">
                  <c:v>0.91884422536380517</c:v>
                </c:pt>
                <c:pt idx="80">
                  <c:v>0.58282342890712768</c:v>
                </c:pt>
                <c:pt idx="81">
                  <c:v>0.7391212237088034</c:v>
                </c:pt>
                <c:pt idx="82">
                  <c:v>0.71211770572998012</c:v>
                </c:pt>
                <c:pt idx="83">
                  <c:v>0.81251020416700093</c:v>
                </c:pt>
                <c:pt idx="84">
                  <c:v>0.78617228309473353</c:v>
                </c:pt>
                <c:pt idx="85">
                  <c:v>0.69553775487934066</c:v>
                </c:pt>
                <c:pt idx="86">
                  <c:v>0.85108396839957368</c:v>
                </c:pt>
                <c:pt idx="87">
                  <c:v>0.83363501271701268</c:v>
                </c:pt>
                <c:pt idx="88">
                  <c:v>1.0803860743051223</c:v>
                </c:pt>
                <c:pt idx="89">
                  <c:v>1.0248021919541763</c:v>
                </c:pt>
                <c:pt idx="90">
                  <c:v>0.61470153551668538</c:v>
                </c:pt>
                <c:pt idx="91">
                  <c:v>0.85393453499066618</c:v>
                </c:pt>
                <c:pt idx="92">
                  <c:v>0.93010887329076652</c:v>
                </c:pt>
                <c:pt idx="93">
                  <c:v>1.0279200176623648</c:v>
                </c:pt>
                <c:pt idx="94">
                  <c:v>1.2243071003178403</c:v>
                </c:pt>
                <c:pt idx="95">
                  <c:v>1.3338765935063797</c:v>
                </c:pt>
                <c:pt idx="96">
                  <c:v>1.1602167860754</c:v>
                </c:pt>
                <c:pt idx="97">
                  <c:v>1.1685975802706228</c:v>
                </c:pt>
                <c:pt idx="98">
                  <c:v>1.1257420717011386</c:v>
                </c:pt>
                <c:pt idx="99">
                  <c:v>1.1486414039536572</c:v>
                </c:pt>
                <c:pt idx="100">
                  <c:v>1.0425344036684545</c:v>
                </c:pt>
                <c:pt idx="101">
                  <c:v>1.2963169295880426</c:v>
                </c:pt>
                <c:pt idx="102">
                  <c:v>1.1955181250942588</c:v>
                </c:pt>
                <c:pt idx="103">
                  <c:v>1.1189318426415369</c:v>
                </c:pt>
                <c:pt idx="104">
                  <c:v>1.2108160778653585</c:v>
                </c:pt>
                <c:pt idx="105">
                  <c:v>1.0226006098309974</c:v>
                </c:pt>
                <c:pt idx="106">
                  <c:v>1.1110356172582008</c:v>
                </c:pt>
                <c:pt idx="107">
                  <c:v>1.0873257944680059</c:v>
                </c:pt>
                <c:pt idx="108">
                  <c:v>1.0834866138544967</c:v>
                </c:pt>
                <c:pt idx="109">
                  <c:v>1.0028001550257315</c:v>
                </c:pt>
                <c:pt idx="110">
                  <c:v>0.99219884447347106</c:v>
                </c:pt>
                <c:pt idx="111">
                  <c:v>0.90188020380778222</c:v>
                </c:pt>
                <c:pt idx="112">
                  <c:v>1.1986427975155176</c:v>
                </c:pt>
                <c:pt idx="113">
                  <c:v>1.3602773440210538</c:v>
                </c:pt>
                <c:pt idx="114">
                  <c:v>1.2369459830144551</c:v>
                </c:pt>
                <c:pt idx="115">
                  <c:v>1.3163330321858639</c:v>
                </c:pt>
                <c:pt idx="116">
                  <c:v>1.4401442069197818</c:v>
                </c:pt>
                <c:pt idx="117">
                  <c:v>1.3998366646904254</c:v>
                </c:pt>
                <c:pt idx="118">
                  <c:v>1.1413683311945944</c:v>
                </c:pt>
                <c:pt idx="119">
                  <c:v>1.261038303965436</c:v>
                </c:pt>
                <c:pt idx="120">
                  <c:v>0.97995470484487024</c:v>
                </c:pt>
                <c:pt idx="121">
                  <c:v>0.7955438032114448</c:v>
                </c:pt>
                <c:pt idx="122">
                  <c:v>0.66674817846247825</c:v>
                </c:pt>
                <c:pt idx="123">
                  <c:v>0.86303344124981995</c:v>
                </c:pt>
                <c:pt idx="124">
                  <c:v>0.95372867282003027</c:v>
                </c:pt>
                <c:pt idx="125">
                  <c:v>0.70064464827336415</c:v>
                </c:pt>
                <c:pt idx="126">
                  <c:v>0.8913523113049584</c:v>
                </c:pt>
                <c:pt idx="127">
                  <c:v>0.83115402349373957</c:v>
                </c:pt>
                <c:pt idx="128">
                  <c:v>0.85279446232978184</c:v>
                </c:pt>
                <c:pt idx="129">
                  <c:v>1.0141735069847853</c:v>
                </c:pt>
                <c:pt idx="130">
                  <c:v>1.0472567443478451</c:v>
                </c:pt>
                <c:pt idx="131">
                  <c:v>0.78454366104969164</c:v>
                </c:pt>
                <c:pt idx="132">
                  <c:v>0.73919241000244895</c:v>
                </c:pt>
                <c:pt idx="133">
                  <c:v>0.8221688746689686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EE-4AE6-8EF3-510A50F6CB65}"/>
            </c:ext>
          </c:extLst>
        </c:ser>
        <c:ser>
          <c:idx val="6"/>
          <c:order val="6"/>
          <c:tx>
            <c:strRef>
              <c:f>NN5再投資累積報酬!$B$18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NN5再投資累積報酬!$C$18:$EF$18</c:f>
              <c:numCache>
                <c:formatCode>General</c:formatCode>
                <c:ptCount val="134"/>
                <c:pt idx="0">
                  <c:v>-5.3942228163147199E-2</c:v>
                </c:pt>
                <c:pt idx="1">
                  <c:v>-6.168804502715719E-2</c:v>
                </c:pt>
                <c:pt idx="2">
                  <c:v>-0.11704906693365891</c:v>
                </c:pt>
                <c:pt idx="3">
                  <c:v>-0.23573036425714533</c:v>
                </c:pt>
                <c:pt idx="4">
                  <c:v>-0.29747895399789603</c:v>
                </c:pt>
                <c:pt idx="5">
                  <c:v>-0.21183265369337734</c:v>
                </c:pt>
                <c:pt idx="6">
                  <c:v>-0.10503583622275625</c:v>
                </c:pt>
                <c:pt idx="7">
                  <c:v>-6.6184085329785591E-2</c:v>
                </c:pt>
                <c:pt idx="8">
                  <c:v>-0.40112713722377202</c:v>
                </c:pt>
                <c:pt idx="9">
                  <c:v>-0.39335227815976537</c:v>
                </c:pt>
                <c:pt idx="10">
                  <c:v>-0.34500089132877587</c:v>
                </c:pt>
                <c:pt idx="11">
                  <c:v>-0.25134097891051599</c:v>
                </c:pt>
                <c:pt idx="12">
                  <c:v>-0.17372713162853781</c:v>
                </c:pt>
                <c:pt idx="13">
                  <c:v>-0.24193811478199367</c:v>
                </c:pt>
                <c:pt idx="14">
                  <c:v>-0.38519317693361044</c:v>
                </c:pt>
                <c:pt idx="15">
                  <c:v>-0.42299902434292214</c:v>
                </c:pt>
                <c:pt idx="16">
                  <c:v>-0.64441312562808051</c:v>
                </c:pt>
                <c:pt idx="17">
                  <c:v>-0.6637017365109753</c:v>
                </c:pt>
                <c:pt idx="18">
                  <c:v>-0.70825958314765936</c:v>
                </c:pt>
                <c:pt idx="19">
                  <c:v>-0.70449755106701384</c:v>
                </c:pt>
                <c:pt idx="20">
                  <c:v>-0.66374266951284944</c:v>
                </c:pt>
                <c:pt idx="21">
                  <c:v>-0.6155060451386275</c:v>
                </c:pt>
                <c:pt idx="22">
                  <c:v>-0.60811132884032082</c:v>
                </c:pt>
                <c:pt idx="23">
                  <c:v>-0.57314139272983455</c:v>
                </c:pt>
                <c:pt idx="24">
                  <c:v>-0.59094363560439289</c:v>
                </c:pt>
                <c:pt idx="25">
                  <c:v>-0.55629725704615174</c:v>
                </c:pt>
                <c:pt idx="26">
                  <c:v>-0.53064102763610776</c:v>
                </c:pt>
                <c:pt idx="27">
                  <c:v>-0.51815814866637167</c:v>
                </c:pt>
                <c:pt idx="28">
                  <c:v>-0.58731654407706824</c:v>
                </c:pt>
                <c:pt idx="29">
                  <c:v>-0.57416291171846456</c:v>
                </c:pt>
                <c:pt idx="30">
                  <c:v>-0.56032613777015117</c:v>
                </c:pt>
                <c:pt idx="31">
                  <c:v>-0.57799991068601164</c:v>
                </c:pt>
                <c:pt idx="32">
                  <c:v>-0.52816772015582758</c:v>
                </c:pt>
                <c:pt idx="33">
                  <c:v>-0.53162504471149408</c:v>
                </c:pt>
                <c:pt idx="34">
                  <c:v>-0.51750237795974341</c:v>
                </c:pt>
                <c:pt idx="35">
                  <c:v>-0.49457034502628772</c:v>
                </c:pt>
                <c:pt idx="36">
                  <c:v>-0.46088679161617241</c:v>
                </c:pt>
                <c:pt idx="37">
                  <c:v>-0.41813800386228317</c:v>
                </c:pt>
                <c:pt idx="38">
                  <c:v>-0.41497992753187418</c:v>
                </c:pt>
                <c:pt idx="39">
                  <c:v>-0.46077447505769276</c:v>
                </c:pt>
                <c:pt idx="40">
                  <c:v>-0.50188009264564359</c:v>
                </c:pt>
                <c:pt idx="41">
                  <c:v>-0.43984149655473248</c:v>
                </c:pt>
                <c:pt idx="42">
                  <c:v>-0.39176502388039303</c:v>
                </c:pt>
                <c:pt idx="43">
                  <c:v>-0.36541284829640686</c:v>
                </c:pt>
                <c:pt idx="44">
                  <c:v>-0.3244339742505139</c:v>
                </c:pt>
                <c:pt idx="45">
                  <c:v>-0.34386916832728276</c:v>
                </c:pt>
                <c:pt idx="46">
                  <c:v>-0.32776900751305127</c:v>
                </c:pt>
                <c:pt idx="47">
                  <c:v>-0.25546325829267269</c:v>
                </c:pt>
                <c:pt idx="48">
                  <c:v>-0.22956582934729419</c:v>
                </c:pt>
                <c:pt idx="49">
                  <c:v>-0.34390525765491475</c:v>
                </c:pt>
                <c:pt idx="50">
                  <c:v>-0.3434904017817012</c:v>
                </c:pt>
                <c:pt idx="51">
                  <c:v>-0.25311788885266662</c:v>
                </c:pt>
                <c:pt idx="52">
                  <c:v>-0.19097612266338915</c:v>
                </c:pt>
                <c:pt idx="53">
                  <c:v>-0.21040585990301841</c:v>
                </c:pt>
                <c:pt idx="54">
                  <c:v>-0.1564282465202449</c:v>
                </c:pt>
                <c:pt idx="55">
                  <c:v>-0.11772134777640375</c:v>
                </c:pt>
                <c:pt idx="56">
                  <c:v>-0.13254913563440385</c:v>
                </c:pt>
                <c:pt idx="57">
                  <c:v>-0.11476305057138059</c:v>
                </c:pt>
                <c:pt idx="58">
                  <c:v>-1.8272216959002607E-2</c:v>
                </c:pt>
                <c:pt idx="59">
                  <c:v>-1.2424983403094836E-2</c:v>
                </c:pt>
                <c:pt idx="60">
                  <c:v>-6.9707538227157029E-2</c:v>
                </c:pt>
                <c:pt idx="61">
                  <c:v>5.7928339427979481E-3</c:v>
                </c:pt>
                <c:pt idx="62">
                  <c:v>0.10916212536887926</c:v>
                </c:pt>
                <c:pt idx="63">
                  <c:v>0.16769747952909198</c:v>
                </c:pt>
                <c:pt idx="64">
                  <c:v>0.19131707574969026</c:v>
                </c:pt>
                <c:pt idx="65">
                  <c:v>0.24713926367802674</c:v>
                </c:pt>
                <c:pt idx="66">
                  <c:v>0.24952976040141372</c:v>
                </c:pt>
                <c:pt idx="67">
                  <c:v>0.24234722144971377</c:v>
                </c:pt>
                <c:pt idx="68">
                  <c:v>0.23739817587901024</c:v>
                </c:pt>
                <c:pt idx="69">
                  <c:v>0.37999191769284546</c:v>
                </c:pt>
                <c:pt idx="70">
                  <c:v>0.49132613840821859</c:v>
                </c:pt>
                <c:pt idx="71">
                  <c:v>0.61200931299361194</c:v>
                </c:pt>
                <c:pt idx="72">
                  <c:v>0.47448704635569317</c:v>
                </c:pt>
                <c:pt idx="73">
                  <c:v>0.50252954096593094</c:v>
                </c:pt>
                <c:pt idx="74">
                  <c:v>0.31760575403666591</c:v>
                </c:pt>
                <c:pt idx="75">
                  <c:v>0.51962105217420063</c:v>
                </c:pt>
                <c:pt idx="76">
                  <c:v>0.49519079762840668</c:v>
                </c:pt>
                <c:pt idx="77">
                  <c:v>0.45844296019144237</c:v>
                </c:pt>
                <c:pt idx="78">
                  <c:v>0.41735359909700054</c:v>
                </c:pt>
                <c:pt idx="79">
                  <c:v>0.69191882921170711</c:v>
                </c:pt>
                <c:pt idx="80">
                  <c:v>0.39088187675968622</c:v>
                </c:pt>
                <c:pt idx="81">
                  <c:v>0.49077166348826329</c:v>
                </c:pt>
                <c:pt idx="82">
                  <c:v>0.48659547696212324</c:v>
                </c:pt>
                <c:pt idx="83">
                  <c:v>0.7284007068633811</c:v>
                </c:pt>
                <c:pt idx="84">
                  <c:v>0.66121925802361092</c:v>
                </c:pt>
                <c:pt idx="85">
                  <c:v>0.55770257638259202</c:v>
                </c:pt>
                <c:pt idx="86">
                  <c:v>0.69893601756958357</c:v>
                </c:pt>
                <c:pt idx="87">
                  <c:v>0.64628676330212387</c:v>
                </c:pt>
                <c:pt idx="88">
                  <c:v>0.88277345848129896</c:v>
                </c:pt>
                <c:pt idx="89">
                  <c:v>0.81671399073365403</c:v>
                </c:pt>
                <c:pt idx="90">
                  <c:v>0.39601048568444996</c:v>
                </c:pt>
                <c:pt idx="91">
                  <c:v>0.62333558925538557</c:v>
                </c:pt>
                <c:pt idx="92">
                  <c:v>0.70121760825613322</c:v>
                </c:pt>
                <c:pt idx="93">
                  <c:v>0.79505018563204133</c:v>
                </c:pt>
                <c:pt idx="94">
                  <c:v>0.93511300936262365</c:v>
                </c:pt>
                <c:pt idx="95">
                  <c:v>1.1102705935729156</c:v>
                </c:pt>
                <c:pt idx="96">
                  <c:v>0.95907246745478569</c:v>
                </c:pt>
                <c:pt idx="97">
                  <c:v>1.1374269778014576</c:v>
                </c:pt>
                <c:pt idx="98">
                  <c:v>1.1193527123892428</c:v>
                </c:pt>
                <c:pt idx="99">
                  <c:v>1.2498204592112461</c:v>
                </c:pt>
                <c:pt idx="100">
                  <c:v>1.1342754989685635</c:v>
                </c:pt>
                <c:pt idx="101">
                  <c:v>1.4177987673263641</c:v>
                </c:pt>
                <c:pt idx="102">
                  <c:v>1.3032411901633019</c:v>
                </c:pt>
                <c:pt idx="103">
                  <c:v>1.1979019736936691</c:v>
                </c:pt>
                <c:pt idx="104">
                  <c:v>1.2779249064024238</c:v>
                </c:pt>
                <c:pt idx="105">
                  <c:v>1.0900818575346589</c:v>
                </c:pt>
                <c:pt idx="106">
                  <c:v>1.192858382575158</c:v>
                </c:pt>
                <c:pt idx="107">
                  <c:v>1.1160145313735104</c:v>
                </c:pt>
                <c:pt idx="108">
                  <c:v>1.0998916154505598</c:v>
                </c:pt>
                <c:pt idx="109">
                  <c:v>1.0410148265158301</c:v>
                </c:pt>
                <c:pt idx="110">
                  <c:v>1.0081246293172121</c:v>
                </c:pt>
                <c:pt idx="111">
                  <c:v>0.917349283679737</c:v>
                </c:pt>
                <c:pt idx="112">
                  <c:v>1.2212752730388798</c:v>
                </c:pt>
                <c:pt idx="113">
                  <c:v>1.4020820666599021</c:v>
                </c:pt>
                <c:pt idx="114">
                  <c:v>1.2423240545205805</c:v>
                </c:pt>
                <c:pt idx="115">
                  <c:v>1.204827767997199</c:v>
                </c:pt>
                <c:pt idx="116">
                  <c:v>1.2976618373337843</c:v>
                </c:pt>
                <c:pt idx="117">
                  <c:v>1.250319235568639</c:v>
                </c:pt>
                <c:pt idx="118">
                  <c:v>1.0236507036505507</c:v>
                </c:pt>
                <c:pt idx="119">
                  <c:v>1.179149348748799</c:v>
                </c:pt>
                <c:pt idx="120">
                  <c:v>0.85724105202683454</c:v>
                </c:pt>
                <c:pt idx="121">
                  <c:v>0.64176879236371565</c:v>
                </c:pt>
                <c:pt idx="122">
                  <c:v>0.4826892997323784</c:v>
                </c:pt>
                <c:pt idx="123">
                  <c:v>0.63932150001744437</c:v>
                </c:pt>
                <c:pt idx="124">
                  <c:v>0.77359618031753041</c:v>
                </c:pt>
                <c:pt idx="125">
                  <c:v>0.50116652620467295</c:v>
                </c:pt>
                <c:pt idx="126">
                  <c:v>0.64742223402679988</c:v>
                </c:pt>
                <c:pt idx="127">
                  <c:v>0.52301490468921052</c:v>
                </c:pt>
                <c:pt idx="128">
                  <c:v>0.51332614981301061</c:v>
                </c:pt>
                <c:pt idx="129">
                  <c:v>0.66442628457171704</c:v>
                </c:pt>
                <c:pt idx="130">
                  <c:v>0.66902695093929543</c:v>
                </c:pt>
                <c:pt idx="131">
                  <c:v>0.4846361549588718</c:v>
                </c:pt>
                <c:pt idx="132">
                  <c:v>0.46406837092641351</c:v>
                </c:pt>
                <c:pt idx="133">
                  <c:v>0.53574186307593563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EE-4AE6-8EF3-510A50F6CB65}"/>
            </c:ext>
          </c:extLst>
        </c:ser>
        <c:ser>
          <c:idx val="7"/>
          <c:order val="7"/>
          <c:tx>
            <c:strRef>
              <c:f>NN5再投資累積報酬!$B$19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NN5再投資累積報酬!$C$19:$EF$19</c:f>
              <c:numCache>
                <c:formatCode>General</c:formatCode>
                <c:ptCount val="134"/>
                <c:pt idx="0">
                  <c:v>-7.7959416087486244E-2</c:v>
                </c:pt>
                <c:pt idx="1">
                  <c:v>-9.6557711794215129E-2</c:v>
                </c:pt>
                <c:pt idx="2">
                  <c:v>-0.14615497124558174</c:v>
                </c:pt>
                <c:pt idx="3">
                  <c:v>-0.17915324845200464</c:v>
                </c:pt>
                <c:pt idx="4">
                  <c:v>-0.25919573122614803</c:v>
                </c:pt>
                <c:pt idx="5">
                  <c:v>-0.14889433002665753</c:v>
                </c:pt>
                <c:pt idx="6">
                  <c:v>-3.4289263816252524E-2</c:v>
                </c:pt>
                <c:pt idx="7">
                  <c:v>-7.4533666574505553E-5</c:v>
                </c:pt>
                <c:pt idx="8">
                  <c:v>-0.41838120438230908</c:v>
                </c:pt>
                <c:pt idx="9">
                  <c:v>-0.39334312148994677</c:v>
                </c:pt>
                <c:pt idx="10">
                  <c:v>-0.34104302632106875</c:v>
                </c:pt>
                <c:pt idx="11">
                  <c:v>-0.27821287212011425</c:v>
                </c:pt>
                <c:pt idx="12">
                  <c:v>-0.21164866494138945</c:v>
                </c:pt>
                <c:pt idx="13">
                  <c:v>-0.28459811416023417</c:v>
                </c:pt>
                <c:pt idx="14">
                  <c:v>-0.42564895932266389</c:v>
                </c:pt>
                <c:pt idx="15">
                  <c:v>-0.47751233599871323</c:v>
                </c:pt>
                <c:pt idx="16">
                  <c:v>-0.57373372517425081</c:v>
                </c:pt>
                <c:pt idx="17">
                  <c:v>-0.58530867809705334</c:v>
                </c:pt>
                <c:pt idx="18">
                  <c:v>-0.64158160152435939</c:v>
                </c:pt>
                <c:pt idx="19">
                  <c:v>-0.62845679009401834</c:v>
                </c:pt>
                <c:pt idx="20">
                  <c:v>-0.57398075656323955</c:v>
                </c:pt>
                <c:pt idx="21">
                  <c:v>-0.5242902787446444</c:v>
                </c:pt>
                <c:pt idx="22">
                  <c:v>-0.51209848672997049</c:v>
                </c:pt>
                <c:pt idx="23">
                  <c:v>-0.46739738403547448</c:v>
                </c:pt>
                <c:pt idx="24">
                  <c:v>-0.48953777306662427</c:v>
                </c:pt>
                <c:pt idx="25">
                  <c:v>-0.43734116969513914</c:v>
                </c:pt>
                <c:pt idx="26">
                  <c:v>-0.42133193103678757</c:v>
                </c:pt>
                <c:pt idx="27">
                  <c:v>-0.4010270884888103</c:v>
                </c:pt>
                <c:pt idx="28">
                  <c:v>-0.50250271980141381</c:v>
                </c:pt>
                <c:pt idx="29">
                  <c:v>-0.48320695605329766</c:v>
                </c:pt>
                <c:pt idx="30">
                  <c:v>-0.47176711201732469</c:v>
                </c:pt>
                <c:pt idx="31">
                  <c:v>-0.50164275726658691</c:v>
                </c:pt>
                <c:pt idx="32">
                  <c:v>-0.45601881803551547</c:v>
                </c:pt>
                <c:pt idx="33">
                  <c:v>-0.44940009478082532</c:v>
                </c:pt>
                <c:pt idx="34">
                  <c:v>-0.44524194089283653</c:v>
                </c:pt>
                <c:pt idx="35">
                  <c:v>-0.40625856746087552</c:v>
                </c:pt>
                <c:pt idx="36">
                  <c:v>-0.38066474225692348</c:v>
                </c:pt>
                <c:pt idx="37">
                  <c:v>-0.32890795112680449</c:v>
                </c:pt>
                <c:pt idx="38">
                  <c:v>-0.3115314297707823</c:v>
                </c:pt>
                <c:pt idx="39">
                  <c:v>-0.3718234591441143</c:v>
                </c:pt>
                <c:pt idx="40">
                  <c:v>-0.42726177079546868</c:v>
                </c:pt>
                <c:pt idx="41">
                  <c:v>-0.33933639400460636</c:v>
                </c:pt>
                <c:pt idx="42">
                  <c:v>-0.27472550488167158</c:v>
                </c:pt>
                <c:pt idx="43">
                  <c:v>-0.23897311186968528</c:v>
                </c:pt>
                <c:pt idx="44">
                  <c:v>-0.18080880418632661</c:v>
                </c:pt>
                <c:pt idx="45">
                  <c:v>-0.22179541424125426</c:v>
                </c:pt>
                <c:pt idx="46">
                  <c:v>-0.20439774166371161</c:v>
                </c:pt>
                <c:pt idx="47">
                  <c:v>-0.1405853373052911</c:v>
                </c:pt>
                <c:pt idx="48">
                  <c:v>-0.11520770717494244</c:v>
                </c:pt>
                <c:pt idx="49">
                  <c:v>-0.28055735301623275</c:v>
                </c:pt>
                <c:pt idx="50">
                  <c:v>-0.30528019664879402</c:v>
                </c:pt>
                <c:pt idx="51">
                  <c:v>-0.19430134864309179</c:v>
                </c:pt>
                <c:pt idx="52">
                  <c:v>-0.1426919296819591</c:v>
                </c:pt>
                <c:pt idx="53">
                  <c:v>-0.14546480058629374</c:v>
                </c:pt>
                <c:pt idx="54">
                  <c:v>-0.10177081447235548</c:v>
                </c:pt>
                <c:pt idx="55">
                  <c:v>-8.9580969415558043E-2</c:v>
                </c:pt>
                <c:pt idx="56">
                  <c:v>-0.10446054699114748</c:v>
                </c:pt>
                <c:pt idx="57">
                  <c:v>-0.10265316774338651</c:v>
                </c:pt>
                <c:pt idx="58">
                  <c:v>1.2026526994278308E-2</c:v>
                </c:pt>
                <c:pt idx="59">
                  <c:v>3.3994891980784203E-2</c:v>
                </c:pt>
                <c:pt idx="60">
                  <c:v>-1.9513853660762193E-2</c:v>
                </c:pt>
                <c:pt idx="61">
                  <c:v>5.889038584863715E-2</c:v>
                </c:pt>
                <c:pt idx="62">
                  <c:v>0.1798692480400057</c:v>
                </c:pt>
                <c:pt idx="63">
                  <c:v>0.25921857863591513</c:v>
                </c:pt>
                <c:pt idx="64">
                  <c:v>0.29161696466995246</c:v>
                </c:pt>
                <c:pt idx="65">
                  <c:v>0.37275480218137402</c:v>
                </c:pt>
                <c:pt idx="66">
                  <c:v>0.38639180941112916</c:v>
                </c:pt>
                <c:pt idx="67">
                  <c:v>0.39564631582394139</c:v>
                </c:pt>
                <c:pt idx="68">
                  <c:v>0.36179304601982754</c:v>
                </c:pt>
                <c:pt idx="69">
                  <c:v>0.55466744453357641</c:v>
                </c:pt>
                <c:pt idx="70">
                  <c:v>0.67272306218736899</c:v>
                </c:pt>
                <c:pt idx="71">
                  <c:v>0.82938234395929111</c:v>
                </c:pt>
                <c:pt idx="72">
                  <c:v>0.63004010872915694</c:v>
                </c:pt>
                <c:pt idx="73">
                  <c:v>0.68560456594003272</c:v>
                </c:pt>
                <c:pt idx="74">
                  <c:v>0.50414967847959047</c:v>
                </c:pt>
                <c:pt idx="75">
                  <c:v>0.60748795744154749</c:v>
                </c:pt>
                <c:pt idx="76">
                  <c:v>0.56034233661257904</c:v>
                </c:pt>
                <c:pt idx="77">
                  <c:v>0.48538166748882561</c:v>
                </c:pt>
                <c:pt idx="78">
                  <c:v>0.44865820106977305</c:v>
                </c:pt>
                <c:pt idx="79">
                  <c:v>0.76101672069632542</c:v>
                </c:pt>
                <c:pt idx="80">
                  <c:v>0.41186728037297882</c:v>
                </c:pt>
                <c:pt idx="81">
                  <c:v>0.52468168434612594</c:v>
                </c:pt>
                <c:pt idx="82">
                  <c:v>0.44748166851899396</c:v>
                </c:pt>
                <c:pt idx="83">
                  <c:v>0.66878694837606845</c:v>
                </c:pt>
                <c:pt idx="84">
                  <c:v>0.60693011240777617</c:v>
                </c:pt>
                <c:pt idx="85">
                  <c:v>0.50739605783475983</c:v>
                </c:pt>
                <c:pt idx="86">
                  <c:v>0.66411658581433031</c:v>
                </c:pt>
                <c:pt idx="87">
                  <c:v>0.59215971873302697</c:v>
                </c:pt>
                <c:pt idx="88">
                  <c:v>0.87134117043426995</c:v>
                </c:pt>
                <c:pt idx="89">
                  <c:v>0.72737392640454268</c:v>
                </c:pt>
                <c:pt idx="90">
                  <c:v>0.2567432917151875</c:v>
                </c:pt>
                <c:pt idx="91">
                  <c:v>0.4566064436502657</c:v>
                </c:pt>
                <c:pt idx="92">
                  <c:v>0.45263004184175726</c:v>
                </c:pt>
                <c:pt idx="93">
                  <c:v>0.52481731449055591</c:v>
                </c:pt>
                <c:pt idx="94">
                  <c:v>0.61737502294495639</c:v>
                </c:pt>
                <c:pt idx="95">
                  <c:v>0.81569823827922283</c:v>
                </c:pt>
                <c:pt idx="96">
                  <c:v>0.6642029190311618</c:v>
                </c:pt>
                <c:pt idx="97">
                  <c:v>0.83391810224915419</c:v>
                </c:pt>
                <c:pt idx="98">
                  <c:v>0.79375198048594897</c:v>
                </c:pt>
                <c:pt idx="99">
                  <c:v>0.8971343850536464</c:v>
                </c:pt>
                <c:pt idx="100">
                  <c:v>0.7625860676507914</c:v>
                </c:pt>
                <c:pt idx="101">
                  <c:v>0.96149712852315017</c:v>
                </c:pt>
                <c:pt idx="102">
                  <c:v>0.84729116155826523</c:v>
                </c:pt>
                <c:pt idx="103">
                  <c:v>0.78130426050606894</c:v>
                </c:pt>
                <c:pt idx="104">
                  <c:v>0.71863904557842195</c:v>
                </c:pt>
                <c:pt idx="105">
                  <c:v>0.53602103912735766</c:v>
                </c:pt>
                <c:pt idx="106">
                  <c:v>0.61900450723296263</c:v>
                </c:pt>
                <c:pt idx="107">
                  <c:v>0.50617115019036074</c:v>
                </c:pt>
                <c:pt idx="108">
                  <c:v>0.4869727774133159</c:v>
                </c:pt>
                <c:pt idx="109">
                  <c:v>0.48673934777337791</c:v>
                </c:pt>
                <c:pt idx="110">
                  <c:v>0.49219036525756343</c:v>
                </c:pt>
                <c:pt idx="111">
                  <c:v>0.41979771853201142</c:v>
                </c:pt>
                <c:pt idx="112">
                  <c:v>0.59605792103612631</c:v>
                </c:pt>
                <c:pt idx="113">
                  <c:v>0.70804916805368023</c:v>
                </c:pt>
                <c:pt idx="114">
                  <c:v>0.56807068702274299</c:v>
                </c:pt>
                <c:pt idx="115">
                  <c:v>0.57195185499892287</c:v>
                </c:pt>
                <c:pt idx="116">
                  <c:v>0.65860815859518018</c:v>
                </c:pt>
                <c:pt idx="117">
                  <c:v>0.70478051653576435</c:v>
                </c:pt>
                <c:pt idx="118">
                  <c:v>0.4993725701522671</c:v>
                </c:pt>
                <c:pt idx="119">
                  <c:v>0.6132684390920593</c:v>
                </c:pt>
                <c:pt idx="120">
                  <c:v>0.32611384089229034</c:v>
                </c:pt>
                <c:pt idx="121">
                  <c:v>0.14957029360373331</c:v>
                </c:pt>
                <c:pt idx="122">
                  <c:v>-1.4623633894335741E-2</c:v>
                </c:pt>
                <c:pt idx="123">
                  <c:v>9.5270176069107926E-2</c:v>
                </c:pt>
                <c:pt idx="124">
                  <c:v>0.16165355878617627</c:v>
                </c:pt>
                <c:pt idx="125">
                  <c:v>9.2120818647001279E-4</c:v>
                </c:pt>
                <c:pt idx="126">
                  <c:v>7.109537139130917E-2</c:v>
                </c:pt>
                <c:pt idx="127">
                  <c:v>-4.8782510367192722E-2</c:v>
                </c:pt>
                <c:pt idx="128">
                  <c:v>-7.5492082490829282E-2</c:v>
                </c:pt>
                <c:pt idx="129">
                  <c:v>-5.5362984227909307E-2</c:v>
                </c:pt>
                <c:pt idx="130">
                  <c:v>-6.6878150280880178E-2</c:v>
                </c:pt>
                <c:pt idx="131">
                  <c:v>-0.20771919245867698</c:v>
                </c:pt>
                <c:pt idx="132">
                  <c:v>-0.1977094827153274</c:v>
                </c:pt>
                <c:pt idx="133">
                  <c:v>-0.1840882305164131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EE-4AE6-8EF3-510A50F6CB65}"/>
            </c:ext>
          </c:extLst>
        </c:ser>
        <c:ser>
          <c:idx val="8"/>
          <c:order val="8"/>
          <c:tx>
            <c:strRef>
              <c:f>NN5再投資累積報酬!$B$20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NN5再投資累積報酬!$C$20:$EF$20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-0.13902188870904963</c:v>
                </c:pt>
                <c:pt idx="2">
                  <c:v>-0.12567673819150882</c:v>
                </c:pt>
                <c:pt idx="3">
                  <c:v>-0.20543112660199603</c:v>
                </c:pt>
                <c:pt idx="4">
                  <c:v>-0.28517875616293098</c:v>
                </c:pt>
                <c:pt idx="5">
                  <c:v>-0.16768216000861069</c:v>
                </c:pt>
                <c:pt idx="6">
                  <c:v>-3.605145766887885E-2</c:v>
                </c:pt>
                <c:pt idx="7">
                  <c:v>-2.8229380668067794E-3</c:v>
                </c:pt>
                <c:pt idx="8">
                  <c:v>-9.2677221039609181E-2</c:v>
                </c:pt>
                <c:pt idx="9">
                  <c:v>-5.838595903126631E-3</c:v>
                </c:pt>
                <c:pt idx="10">
                  <c:v>9.3710179918087055E-2</c:v>
                </c:pt>
                <c:pt idx="11">
                  <c:v>0.20518651240273211</c:v>
                </c:pt>
                <c:pt idx="12">
                  <c:v>0.3246222844527451</c:v>
                </c:pt>
                <c:pt idx="13">
                  <c:v>0.20385656659107165</c:v>
                </c:pt>
                <c:pt idx="14">
                  <c:v>-5.7050137456966743E-2</c:v>
                </c:pt>
                <c:pt idx="15">
                  <c:v>-0.16007029125272432</c:v>
                </c:pt>
                <c:pt idx="16">
                  <c:v>-0.29041278266738479</c:v>
                </c:pt>
                <c:pt idx="17">
                  <c:v>-0.27929858157669374</c:v>
                </c:pt>
                <c:pt idx="18">
                  <c:v>-0.38643061688574487</c:v>
                </c:pt>
                <c:pt idx="19">
                  <c:v>-0.37867258233609824</c:v>
                </c:pt>
                <c:pt idx="20">
                  <c:v>-0.27112989252029684</c:v>
                </c:pt>
                <c:pt idx="21">
                  <c:v>-0.16274894745807889</c:v>
                </c:pt>
                <c:pt idx="22">
                  <c:v>-0.127527897564092</c:v>
                </c:pt>
                <c:pt idx="23">
                  <c:v>-3.5380045998023579E-2</c:v>
                </c:pt>
                <c:pt idx="24">
                  <c:v>-5.6210583093171285E-2</c:v>
                </c:pt>
                <c:pt idx="25">
                  <c:v>2.3784857562899386E-2</c:v>
                </c:pt>
                <c:pt idx="26">
                  <c:v>8.1570700139852237E-2</c:v>
                </c:pt>
                <c:pt idx="27">
                  <c:v>0.11883503196985612</c:v>
                </c:pt>
                <c:pt idx="28">
                  <c:v>-0.10414080627434263</c:v>
                </c:pt>
                <c:pt idx="29">
                  <c:v>-6.9162272174767669E-2</c:v>
                </c:pt>
                <c:pt idx="30">
                  <c:v>-4.3416028035672793E-2</c:v>
                </c:pt>
                <c:pt idx="31">
                  <c:v>-0.12967904946001596</c:v>
                </c:pt>
                <c:pt idx="32">
                  <c:v>-2.842873421752945E-2</c:v>
                </c:pt>
                <c:pt idx="33">
                  <c:v>-1.1677178654975306E-2</c:v>
                </c:pt>
                <c:pt idx="34">
                  <c:v>-2.5113541558496322E-2</c:v>
                </c:pt>
                <c:pt idx="35">
                  <c:v>4.5949297741407547E-2</c:v>
                </c:pt>
                <c:pt idx="36">
                  <c:v>8.0566015563680926E-2</c:v>
                </c:pt>
                <c:pt idx="37">
                  <c:v>0.1621165418683248</c:v>
                </c:pt>
                <c:pt idx="38">
                  <c:v>0.21474308471935211</c:v>
                </c:pt>
                <c:pt idx="39">
                  <c:v>5.472441786247928E-2</c:v>
                </c:pt>
                <c:pt idx="40">
                  <c:v>8.3679224474154212E-2</c:v>
                </c:pt>
                <c:pt idx="41">
                  <c:v>0.26795779798721275</c:v>
                </c:pt>
                <c:pt idx="42">
                  <c:v>0.41009055399623118</c:v>
                </c:pt>
                <c:pt idx="43">
                  <c:v>0.41835195553349847</c:v>
                </c:pt>
                <c:pt idx="44">
                  <c:v>0.52571040050519824</c:v>
                </c:pt>
                <c:pt idx="45">
                  <c:v>0.44236738085225125</c:v>
                </c:pt>
                <c:pt idx="46">
                  <c:v>0.45226961973466162</c:v>
                </c:pt>
                <c:pt idx="47">
                  <c:v>0.61308313510898604</c:v>
                </c:pt>
                <c:pt idx="48">
                  <c:v>0.67546863892266895</c:v>
                </c:pt>
                <c:pt idx="49">
                  <c:v>0.31724937056003455</c:v>
                </c:pt>
                <c:pt idx="50">
                  <c:v>0.26877608898516381</c:v>
                </c:pt>
                <c:pt idx="51">
                  <c:v>0.48149328135403913</c:v>
                </c:pt>
                <c:pt idx="52">
                  <c:v>0.58609495549479917</c:v>
                </c:pt>
                <c:pt idx="53">
                  <c:v>0.50135019827099425</c:v>
                </c:pt>
                <c:pt idx="54">
                  <c:v>0.49242197320688819</c:v>
                </c:pt>
                <c:pt idx="55">
                  <c:v>0.50091173847455961</c:v>
                </c:pt>
                <c:pt idx="56">
                  <c:v>0.49051620958073161</c:v>
                </c:pt>
                <c:pt idx="57">
                  <c:v>0.38378563944666366</c:v>
                </c:pt>
                <c:pt idx="58">
                  <c:v>0.5660928481041938</c:v>
                </c:pt>
                <c:pt idx="59">
                  <c:v>0.59996667189413233</c:v>
                </c:pt>
                <c:pt idx="60">
                  <c:v>0.50519557747489752</c:v>
                </c:pt>
                <c:pt idx="61">
                  <c:v>0.63508226221213859</c:v>
                </c:pt>
                <c:pt idx="62">
                  <c:v>0.85895390163383678</c:v>
                </c:pt>
                <c:pt idx="63">
                  <c:v>1.0793463481856551</c:v>
                </c:pt>
                <c:pt idx="64">
                  <c:v>0.99937111632385567</c:v>
                </c:pt>
                <c:pt idx="65">
                  <c:v>1.1201481685460415</c:v>
                </c:pt>
                <c:pt idx="66">
                  <c:v>1.1529080767599829</c:v>
                </c:pt>
                <c:pt idx="67">
                  <c:v>1.178901496028343</c:v>
                </c:pt>
                <c:pt idx="68">
                  <c:v>1.1906839193581118</c:v>
                </c:pt>
                <c:pt idx="69">
                  <c:v>1.5144736473749281</c:v>
                </c:pt>
                <c:pt idx="70">
                  <c:v>1.7627903651078718</c:v>
                </c:pt>
                <c:pt idx="71">
                  <c:v>2.0830484146897068</c:v>
                </c:pt>
                <c:pt idx="72">
                  <c:v>1.665285329003952</c:v>
                </c:pt>
                <c:pt idx="73">
                  <c:v>1.7470926285495803</c:v>
                </c:pt>
                <c:pt idx="74">
                  <c:v>1.4580051752634327</c:v>
                </c:pt>
                <c:pt idx="75">
                  <c:v>1.6798927541135074</c:v>
                </c:pt>
                <c:pt idx="76">
                  <c:v>1.5724217437874302</c:v>
                </c:pt>
                <c:pt idx="77">
                  <c:v>1.4740215958370495</c:v>
                </c:pt>
                <c:pt idx="78">
                  <c:v>1.4095905678366325</c:v>
                </c:pt>
                <c:pt idx="79">
                  <c:v>1.8457927183090446</c:v>
                </c:pt>
                <c:pt idx="80">
                  <c:v>1.1515223256302409</c:v>
                </c:pt>
                <c:pt idx="81">
                  <c:v>1.3257051349501645</c:v>
                </c:pt>
                <c:pt idx="82">
                  <c:v>1.0953373234640909</c:v>
                </c:pt>
                <c:pt idx="83">
                  <c:v>1.2459166985121537</c:v>
                </c:pt>
                <c:pt idx="84">
                  <c:v>1.1776527931483431</c:v>
                </c:pt>
                <c:pt idx="85">
                  <c:v>0.90884263575852819</c:v>
                </c:pt>
                <c:pt idx="86">
                  <c:v>1.0825060784080867</c:v>
                </c:pt>
                <c:pt idx="87">
                  <c:v>0.89053039262157618</c:v>
                </c:pt>
                <c:pt idx="88">
                  <c:v>1.2479373661371564</c:v>
                </c:pt>
                <c:pt idx="89">
                  <c:v>1.2977503349684736</c:v>
                </c:pt>
                <c:pt idx="90">
                  <c:v>0.34195206024659219</c:v>
                </c:pt>
                <c:pt idx="91">
                  <c:v>0.59964873157428733</c:v>
                </c:pt>
                <c:pt idx="92">
                  <c:v>0.60942475753370795</c:v>
                </c:pt>
                <c:pt idx="93">
                  <c:v>0.72709985161931145</c:v>
                </c:pt>
                <c:pt idx="94">
                  <c:v>0.87971378133563594</c:v>
                </c:pt>
                <c:pt idx="95">
                  <c:v>1.0497790763163084</c:v>
                </c:pt>
                <c:pt idx="96">
                  <c:v>0.85532133538248534</c:v>
                </c:pt>
                <c:pt idx="97">
                  <c:v>1.0269591078793936</c:v>
                </c:pt>
                <c:pt idx="98">
                  <c:v>1.0471335594189841</c:v>
                </c:pt>
                <c:pt idx="99">
                  <c:v>1.2319867532672872</c:v>
                </c:pt>
                <c:pt idx="100">
                  <c:v>1.2041321552673319</c:v>
                </c:pt>
                <c:pt idx="101">
                  <c:v>1.5461289266048595</c:v>
                </c:pt>
                <c:pt idx="102">
                  <c:v>1.4252593662417667</c:v>
                </c:pt>
                <c:pt idx="103">
                  <c:v>1.2872555364387406</c:v>
                </c:pt>
                <c:pt idx="104">
                  <c:v>1.1737777691499973</c:v>
                </c:pt>
                <c:pt idx="105">
                  <c:v>0.85182212112510025</c:v>
                </c:pt>
                <c:pt idx="106">
                  <c:v>0.80228613137923865</c:v>
                </c:pt>
                <c:pt idx="107">
                  <c:v>0.80383451420228935</c:v>
                </c:pt>
                <c:pt idx="108">
                  <c:v>0.79625442164931726</c:v>
                </c:pt>
                <c:pt idx="109">
                  <c:v>0.77653978977738114</c:v>
                </c:pt>
                <c:pt idx="110">
                  <c:v>0.7358983655011706</c:v>
                </c:pt>
                <c:pt idx="111">
                  <c:v>0.66739990927024428</c:v>
                </c:pt>
                <c:pt idx="112">
                  <c:v>0.80905217022554221</c:v>
                </c:pt>
                <c:pt idx="113">
                  <c:v>0.94622651096523702</c:v>
                </c:pt>
                <c:pt idx="114">
                  <c:v>0.96429459725760736</c:v>
                </c:pt>
                <c:pt idx="115">
                  <c:v>1.0782614114256233</c:v>
                </c:pt>
                <c:pt idx="116">
                  <c:v>1.2150438526475127</c:v>
                </c:pt>
                <c:pt idx="117">
                  <c:v>1.236818910773156</c:v>
                </c:pt>
                <c:pt idx="118">
                  <c:v>0.81807004222941648</c:v>
                </c:pt>
                <c:pt idx="119">
                  <c:v>0.9608115573625946</c:v>
                </c:pt>
                <c:pt idx="120">
                  <c:v>0.55672535947698809</c:v>
                </c:pt>
                <c:pt idx="121">
                  <c:v>0.34900217834892411</c:v>
                </c:pt>
                <c:pt idx="122">
                  <c:v>0.11688057790165174</c:v>
                </c:pt>
                <c:pt idx="123">
                  <c:v>0.26134402323799799</c:v>
                </c:pt>
                <c:pt idx="124">
                  <c:v>0.34845269874406859</c:v>
                </c:pt>
                <c:pt idx="125">
                  <c:v>0.14097123134058909</c:v>
                </c:pt>
                <c:pt idx="126">
                  <c:v>0.20214852207530987</c:v>
                </c:pt>
                <c:pt idx="127">
                  <c:v>0.10059753260737847</c:v>
                </c:pt>
                <c:pt idx="128">
                  <c:v>0.11701517398686279</c:v>
                </c:pt>
                <c:pt idx="129">
                  <c:v>0.16065431325164603</c:v>
                </c:pt>
                <c:pt idx="130">
                  <c:v>0.20017410678415071</c:v>
                </c:pt>
                <c:pt idx="131">
                  <c:v>-1.2159329270217567E-2</c:v>
                </c:pt>
                <c:pt idx="132">
                  <c:v>-9.8208822831403753E-3</c:v>
                </c:pt>
                <c:pt idx="133">
                  <c:v>1.0261352927646739E-2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EE-4AE6-8EF3-510A50F6CB65}"/>
            </c:ext>
          </c:extLst>
        </c:ser>
        <c:ser>
          <c:idx val="9"/>
          <c:order val="9"/>
          <c:tx>
            <c:strRef>
              <c:f>NN5再投資累積報酬!$B$21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NN5再投資累積報酬!$C$21:$EF$21</c:f>
              <c:numCache>
                <c:formatCode>General</c:formatCode>
                <c:ptCount val="134"/>
                <c:pt idx="0">
                  <c:v>-0.19764916434148616</c:v>
                </c:pt>
                <c:pt idx="1">
                  <c:v>-0.19794419628197157</c:v>
                </c:pt>
                <c:pt idx="2">
                  <c:v>-0.19816825239204194</c:v>
                </c:pt>
                <c:pt idx="3">
                  <c:v>-0.23913983716297682</c:v>
                </c:pt>
                <c:pt idx="4">
                  <c:v>-0.24469117793092932</c:v>
                </c:pt>
                <c:pt idx="5">
                  <c:v>-9.463543880955616E-2</c:v>
                </c:pt>
                <c:pt idx="6">
                  <c:v>3.8684570225605341E-2</c:v>
                </c:pt>
                <c:pt idx="7">
                  <c:v>0.10145781051807345</c:v>
                </c:pt>
                <c:pt idx="8">
                  <c:v>3.4577856281257091E-3</c:v>
                </c:pt>
                <c:pt idx="9">
                  <c:v>0.11351664165270936</c:v>
                </c:pt>
                <c:pt idx="10">
                  <c:v>0.19776603446441698</c:v>
                </c:pt>
                <c:pt idx="11">
                  <c:v>0.31704845416548633</c:v>
                </c:pt>
                <c:pt idx="12">
                  <c:v>0.48797824055068473</c:v>
                </c:pt>
                <c:pt idx="13">
                  <c:v>0.27255976059890497</c:v>
                </c:pt>
                <c:pt idx="14">
                  <c:v>-5.488268569016308E-2</c:v>
                </c:pt>
                <c:pt idx="15">
                  <c:v>-0.14521256703758856</c:v>
                </c:pt>
                <c:pt idx="16">
                  <c:v>-0.25512992704126103</c:v>
                </c:pt>
                <c:pt idx="17">
                  <c:v>-0.26558817425171677</c:v>
                </c:pt>
                <c:pt idx="18">
                  <c:v>-0.3289520644526408</c:v>
                </c:pt>
                <c:pt idx="19">
                  <c:v>-0.29301233454423425</c:v>
                </c:pt>
                <c:pt idx="20">
                  <c:v>-0.18145782570508373</c:v>
                </c:pt>
                <c:pt idx="21">
                  <c:v>-1.9929022478001435E-2</c:v>
                </c:pt>
                <c:pt idx="22">
                  <c:v>4.888774371840654E-4</c:v>
                </c:pt>
                <c:pt idx="23">
                  <c:v>0.11474869641249819</c:v>
                </c:pt>
                <c:pt idx="24">
                  <c:v>0.13647631179053721</c:v>
                </c:pt>
                <c:pt idx="25">
                  <c:v>0.2840359215175825</c:v>
                </c:pt>
                <c:pt idx="26">
                  <c:v>0.37944124117987954</c:v>
                </c:pt>
                <c:pt idx="27">
                  <c:v>0.44385759446482265</c:v>
                </c:pt>
                <c:pt idx="28">
                  <c:v>9.6673213193762431E-2</c:v>
                </c:pt>
                <c:pt idx="29">
                  <c:v>0.15493464649093758</c:v>
                </c:pt>
                <c:pt idx="30">
                  <c:v>0.20610145949615988</c:v>
                </c:pt>
                <c:pt idx="31">
                  <c:v>7.6347421092171075E-2</c:v>
                </c:pt>
                <c:pt idx="32">
                  <c:v>0.18626797586141031</c:v>
                </c:pt>
                <c:pt idx="33">
                  <c:v>0.19241987338010369</c:v>
                </c:pt>
                <c:pt idx="34">
                  <c:v>0.14972746478231014</c:v>
                </c:pt>
                <c:pt idx="35">
                  <c:v>0.22489644262116615</c:v>
                </c:pt>
                <c:pt idx="36">
                  <c:v>0.30884570935593803</c:v>
                </c:pt>
                <c:pt idx="37">
                  <c:v>0.4553789129705319</c:v>
                </c:pt>
                <c:pt idx="38">
                  <c:v>0.52483890278250023</c:v>
                </c:pt>
                <c:pt idx="39">
                  <c:v>0.41423449404802115</c:v>
                </c:pt>
                <c:pt idx="40">
                  <c:v>0.52294034546482782</c:v>
                </c:pt>
                <c:pt idx="41">
                  <c:v>0.83542071515641747</c:v>
                </c:pt>
                <c:pt idx="42">
                  <c:v>0.95372435168384229</c:v>
                </c:pt>
                <c:pt idx="43">
                  <c:v>0.94885389021507738</c:v>
                </c:pt>
                <c:pt idx="44">
                  <c:v>1.042027876571058</c:v>
                </c:pt>
                <c:pt idx="45">
                  <c:v>0.9286528959552105</c:v>
                </c:pt>
                <c:pt idx="46">
                  <c:v>0.94753639423056457</c:v>
                </c:pt>
                <c:pt idx="47">
                  <c:v>1.2263217253278582</c:v>
                </c:pt>
                <c:pt idx="48">
                  <c:v>1.3310062469852273</c:v>
                </c:pt>
                <c:pt idx="49">
                  <c:v>0.73680648442806507</c:v>
                </c:pt>
                <c:pt idx="50">
                  <c:v>0.61343733073859719</c:v>
                </c:pt>
                <c:pt idx="51">
                  <c:v>0.97701919734711296</c:v>
                </c:pt>
                <c:pt idx="52">
                  <c:v>1.052780842064196</c:v>
                </c:pt>
                <c:pt idx="53">
                  <c:v>1.008131086438615</c:v>
                </c:pt>
                <c:pt idx="54">
                  <c:v>1.0208837899694037</c:v>
                </c:pt>
                <c:pt idx="55">
                  <c:v>1.0281126937391409</c:v>
                </c:pt>
                <c:pt idx="56">
                  <c:v>1.1024129860272938</c:v>
                </c:pt>
                <c:pt idx="57">
                  <c:v>0.94195396105306983</c:v>
                </c:pt>
                <c:pt idx="58">
                  <c:v>1.2642592757660762</c:v>
                </c:pt>
                <c:pt idx="59">
                  <c:v>1.3176483045115619</c:v>
                </c:pt>
                <c:pt idx="60">
                  <c:v>1.1590055553059138</c:v>
                </c:pt>
                <c:pt idx="61">
                  <c:v>1.4671411871887128</c:v>
                </c:pt>
                <c:pt idx="62">
                  <c:v>1.8498441378193329</c:v>
                </c:pt>
                <c:pt idx="63">
                  <c:v>2.0312308692892707</c:v>
                </c:pt>
                <c:pt idx="64">
                  <c:v>1.8376648430446201</c:v>
                </c:pt>
                <c:pt idx="65">
                  <c:v>2.1342267253752922</c:v>
                </c:pt>
                <c:pt idx="66">
                  <c:v>2.305174442918386</c:v>
                </c:pt>
                <c:pt idx="67">
                  <c:v>2.3459069572465427</c:v>
                </c:pt>
                <c:pt idx="68">
                  <c:v>2.3655145500387533</c:v>
                </c:pt>
                <c:pt idx="69">
                  <c:v>2.810585991775163</c:v>
                </c:pt>
                <c:pt idx="70">
                  <c:v>3.326906912564124</c:v>
                </c:pt>
                <c:pt idx="71">
                  <c:v>3.9419464426391659</c:v>
                </c:pt>
                <c:pt idx="72">
                  <c:v>3.2170657071334601</c:v>
                </c:pt>
                <c:pt idx="73">
                  <c:v>3.2044532256929248</c:v>
                </c:pt>
                <c:pt idx="74">
                  <c:v>2.9926334977289852</c:v>
                </c:pt>
                <c:pt idx="75">
                  <c:v>3.1829341035391829</c:v>
                </c:pt>
                <c:pt idx="76">
                  <c:v>2.9297929568211249</c:v>
                </c:pt>
                <c:pt idx="77">
                  <c:v>2.6805600203784126</c:v>
                </c:pt>
                <c:pt idx="78">
                  <c:v>2.5087016089933858</c:v>
                </c:pt>
                <c:pt idx="79">
                  <c:v>3.5194043855022983</c:v>
                </c:pt>
                <c:pt idx="80">
                  <c:v>1.7338964385193179</c:v>
                </c:pt>
                <c:pt idx="81">
                  <c:v>2.0927632048255971</c:v>
                </c:pt>
                <c:pt idx="82">
                  <c:v>1.6481748163487819</c:v>
                </c:pt>
                <c:pt idx="83">
                  <c:v>1.8602944694042574</c:v>
                </c:pt>
                <c:pt idx="84">
                  <c:v>1.6300418618519661</c:v>
                </c:pt>
                <c:pt idx="85">
                  <c:v>1.4048372763620769</c:v>
                </c:pt>
                <c:pt idx="86">
                  <c:v>1.7103731671208857</c:v>
                </c:pt>
                <c:pt idx="87">
                  <c:v>1.3474801528883806</c:v>
                </c:pt>
                <c:pt idx="88">
                  <c:v>1.8768439425823131</c:v>
                </c:pt>
                <c:pt idx="89">
                  <c:v>1.9646995638782312</c:v>
                </c:pt>
                <c:pt idx="90">
                  <c:v>0.43827878590489111</c:v>
                </c:pt>
                <c:pt idx="91">
                  <c:v>0.75858355908532049</c:v>
                </c:pt>
                <c:pt idx="92">
                  <c:v>0.76436594313382966</c:v>
                </c:pt>
                <c:pt idx="93">
                  <c:v>0.92461320601089647</c:v>
                </c:pt>
                <c:pt idx="94">
                  <c:v>1.0586555797860395</c:v>
                </c:pt>
                <c:pt idx="95">
                  <c:v>1.2280682616642475</c:v>
                </c:pt>
                <c:pt idx="96">
                  <c:v>1.0884272914050994</c:v>
                </c:pt>
                <c:pt idx="97">
                  <c:v>1.2935643820340785</c:v>
                </c:pt>
                <c:pt idx="98">
                  <c:v>1.4426584917490168</c:v>
                </c:pt>
                <c:pt idx="99">
                  <c:v>1.6921080913144673</c:v>
                </c:pt>
                <c:pt idx="100">
                  <c:v>1.6692738555336359</c:v>
                </c:pt>
                <c:pt idx="101">
                  <c:v>2.3030965916396466</c:v>
                </c:pt>
                <c:pt idx="102">
                  <c:v>2.3070347298782377</c:v>
                </c:pt>
                <c:pt idx="103">
                  <c:v>2.1363109348008988</c:v>
                </c:pt>
                <c:pt idx="104">
                  <c:v>1.9950277822228015</c:v>
                </c:pt>
                <c:pt idx="105">
                  <c:v>2.358392605998378</c:v>
                </c:pt>
                <c:pt idx="106">
                  <c:v>2.3994929793927935</c:v>
                </c:pt>
                <c:pt idx="107">
                  <c:v>2.4727890419547447</c:v>
                </c:pt>
                <c:pt idx="108">
                  <c:v>2.5000378579385489</c:v>
                </c:pt>
                <c:pt idx="109">
                  <c:v>2.5493072616015344</c:v>
                </c:pt>
                <c:pt idx="110">
                  <c:v>2.6714299741147727</c:v>
                </c:pt>
                <c:pt idx="111">
                  <c:v>2.5322412425088978</c:v>
                </c:pt>
                <c:pt idx="112">
                  <c:v>3.0249984569762596</c:v>
                </c:pt>
                <c:pt idx="113">
                  <c:v>3.4209171840253143</c:v>
                </c:pt>
                <c:pt idx="114">
                  <c:v>3.2890230118286672</c:v>
                </c:pt>
                <c:pt idx="115">
                  <c:v>3.5943912102026632</c:v>
                </c:pt>
                <c:pt idx="116">
                  <c:v>3.9731794338049324</c:v>
                </c:pt>
                <c:pt idx="117">
                  <c:v>4.0938593772537759</c:v>
                </c:pt>
                <c:pt idx="118">
                  <c:v>3.3056295357508727</c:v>
                </c:pt>
                <c:pt idx="119">
                  <c:v>3.5216466682549203</c:v>
                </c:pt>
                <c:pt idx="120">
                  <c:v>2.6135215305244412</c:v>
                </c:pt>
                <c:pt idx="121">
                  <c:v>1.9971602625416924</c:v>
                </c:pt>
                <c:pt idx="122">
                  <c:v>1.9129691496126329</c:v>
                </c:pt>
                <c:pt idx="123">
                  <c:v>2.3215887426663628</c:v>
                </c:pt>
                <c:pt idx="124">
                  <c:v>2.7475754194920614</c:v>
                </c:pt>
                <c:pt idx="125">
                  <c:v>2.0506530069327988</c:v>
                </c:pt>
                <c:pt idx="126">
                  <c:v>2.125686854679353</c:v>
                </c:pt>
                <c:pt idx="127">
                  <c:v>1.9605128504840574</c:v>
                </c:pt>
                <c:pt idx="128">
                  <c:v>1.8868981517414865</c:v>
                </c:pt>
                <c:pt idx="129">
                  <c:v>1.9111716133809229</c:v>
                </c:pt>
                <c:pt idx="130">
                  <c:v>1.9520358897178065</c:v>
                </c:pt>
                <c:pt idx="131">
                  <c:v>1.7911533098294021</c:v>
                </c:pt>
                <c:pt idx="132">
                  <c:v>1.8314264481488518</c:v>
                </c:pt>
                <c:pt idx="133">
                  <c:v>1.7782769946748105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EE-4AE6-8EF3-510A50F6CB65}"/>
            </c:ext>
          </c:extLst>
        </c:ser>
        <c:ser>
          <c:idx val="10"/>
          <c:order val="10"/>
          <c:tx>
            <c:strRef>
              <c:f>NN5再投資累積報酬!$B$22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NN5再投資累積報酬!$C$22:$EF$22</c:f>
              <c:numCache>
                <c:formatCode>General</c:formatCode>
                <c:ptCount val="134"/>
                <c:pt idx="0">
                  <c:v>6.4235717628454703E-2</c:v>
                </c:pt>
                <c:pt idx="1">
                  <c:v>1.6684711248089679E-2</c:v>
                </c:pt>
                <c:pt idx="2">
                  <c:v>-2.5027353277181419E-2</c:v>
                </c:pt>
                <c:pt idx="3">
                  <c:v>-0.12002283382760526</c:v>
                </c:pt>
                <c:pt idx="4">
                  <c:v>-0.14902232668265236</c:v>
                </c:pt>
                <c:pt idx="5">
                  <c:v>3.0894758627693086E-3</c:v>
                </c:pt>
                <c:pt idx="6">
                  <c:v>0.12696417436672602</c:v>
                </c:pt>
                <c:pt idx="7">
                  <c:v>0.1862409000909977</c:v>
                </c:pt>
                <c:pt idx="8">
                  <c:v>4.4058632977501677E-3</c:v>
                </c:pt>
                <c:pt idx="9">
                  <c:v>0.17634343320413137</c:v>
                </c:pt>
                <c:pt idx="10">
                  <c:v>-8.852041329181537E-2</c:v>
                </c:pt>
                <c:pt idx="11">
                  <c:v>3.2961967955786875E-2</c:v>
                </c:pt>
                <c:pt idx="12">
                  <c:v>0.18117170852733722</c:v>
                </c:pt>
                <c:pt idx="13">
                  <c:v>9.5202624929355384E-2</c:v>
                </c:pt>
                <c:pt idx="14">
                  <c:v>-0.20792415571639644</c:v>
                </c:pt>
                <c:pt idx="15">
                  <c:v>-0.23693665371685102</c:v>
                </c:pt>
                <c:pt idx="16">
                  <c:v>-0.36638772208630332</c:v>
                </c:pt>
                <c:pt idx="17">
                  <c:v>-0.37921115543956263</c:v>
                </c:pt>
                <c:pt idx="18">
                  <c:v>-0.44786420828751494</c:v>
                </c:pt>
                <c:pt idx="19">
                  <c:v>-0.4267247086216055</c:v>
                </c:pt>
                <c:pt idx="20">
                  <c:v>-0.30778139808798433</c:v>
                </c:pt>
                <c:pt idx="21">
                  <c:v>-0.15902358749779932</c:v>
                </c:pt>
                <c:pt idx="22">
                  <c:v>-0.14579317130545955</c:v>
                </c:pt>
                <c:pt idx="23">
                  <c:v>-8.1259323905024883E-2</c:v>
                </c:pt>
                <c:pt idx="24">
                  <c:v>-7.4784024105265301E-2</c:v>
                </c:pt>
                <c:pt idx="25">
                  <c:v>4.9598507635886468E-2</c:v>
                </c:pt>
                <c:pt idx="26">
                  <c:v>0.12771002830369338</c:v>
                </c:pt>
                <c:pt idx="27">
                  <c:v>0.14176953055119523</c:v>
                </c:pt>
                <c:pt idx="28">
                  <c:v>-0.1192630887217071</c:v>
                </c:pt>
                <c:pt idx="29">
                  <c:v>-7.7707881321733119E-2</c:v>
                </c:pt>
                <c:pt idx="30">
                  <c:v>-2.8972545278832751E-2</c:v>
                </c:pt>
                <c:pt idx="31">
                  <c:v>-0.13177129839650881</c:v>
                </c:pt>
                <c:pt idx="32">
                  <c:v>-3.5394690324765943E-2</c:v>
                </c:pt>
                <c:pt idx="33">
                  <c:v>-2.2776165802633641E-2</c:v>
                </c:pt>
                <c:pt idx="34">
                  <c:v>7.6205429884428799E-2</c:v>
                </c:pt>
                <c:pt idx="35">
                  <c:v>0.11962059740880249</c:v>
                </c:pt>
                <c:pt idx="36">
                  <c:v>0.21376826574476371</c:v>
                </c:pt>
                <c:pt idx="37">
                  <c:v>0.34865774339744493</c:v>
                </c:pt>
                <c:pt idx="38">
                  <c:v>0.44942590759118439</c:v>
                </c:pt>
                <c:pt idx="39">
                  <c:v>0.35878409609963713</c:v>
                </c:pt>
                <c:pt idx="40">
                  <c:v>0.4667070413444907</c:v>
                </c:pt>
                <c:pt idx="41">
                  <c:v>0.83416508448628357</c:v>
                </c:pt>
                <c:pt idx="42">
                  <c:v>0.98605310014498881</c:v>
                </c:pt>
                <c:pt idx="43">
                  <c:v>0.93613095078623831</c:v>
                </c:pt>
                <c:pt idx="44">
                  <c:v>1.0009922125961994</c:v>
                </c:pt>
                <c:pt idx="45">
                  <c:v>0.88130651185712305</c:v>
                </c:pt>
                <c:pt idx="46">
                  <c:v>0.82458626961346226</c:v>
                </c:pt>
                <c:pt idx="47">
                  <c:v>1.1416325833783669</c:v>
                </c:pt>
                <c:pt idx="48">
                  <c:v>1.2952591387261911</c:v>
                </c:pt>
                <c:pt idx="49">
                  <c:v>0.9397148259113508</c:v>
                </c:pt>
                <c:pt idx="50">
                  <c:v>0.85126688457581556</c:v>
                </c:pt>
                <c:pt idx="51">
                  <c:v>1.4102197923653135</c:v>
                </c:pt>
                <c:pt idx="52">
                  <c:v>1.0948740145288913</c:v>
                </c:pt>
                <c:pt idx="53">
                  <c:v>1.0484218979826796</c:v>
                </c:pt>
                <c:pt idx="54">
                  <c:v>1.0939300145375328</c:v>
                </c:pt>
                <c:pt idx="55">
                  <c:v>1.122488743525035</c:v>
                </c:pt>
                <c:pt idx="56">
                  <c:v>1.2207164871582643</c:v>
                </c:pt>
                <c:pt idx="57">
                  <c:v>0.93655240108226168</c:v>
                </c:pt>
                <c:pt idx="58">
                  <c:v>1.1516815273886709</c:v>
                </c:pt>
                <c:pt idx="59">
                  <c:v>1.2700162979410754</c:v>
                </c:pt>
                <c:pt idx="60">
                  <c:v>1.1750396424717344</c:v>
                </c:pt>
                <c:pt idx="61">
                  <c:v>1.5269182933237548</c:v>
                </c:pt>
                <c:pt idx="62">
                  <c:v>2.0115737409305781</c:v>
                </c:pt>
                <c:pt idx="63">
                  <c:v>1.9654136877452366</c:v>
                </c:pt>
                <c:pt idx="64">
                  <c:v>1.8157064706362824</c:v>
                </c:pt>
                <c:pt idx="65">
                  <c:v>2.0264214134416414</c:v>
                </c:pt>
                <c:pt idx="66">
                  <c:v>2.1106470161460611</c:v>
                </c:pt>
                <c:pt idx="67">
                  <c:v>2.1753908083281122</c:v>
                </c:pt>
                <c:pt idx="68">
                  <c:v>2.1234008256620673</c:v>
                </c:pt>
                <c:pt idx="69">
                  <c:v>2.5311005322376858</c:v>
                </c:pt>
                <c:pt idx="70">
                  <c:v>3.2830440336869726</c:v>
                </c:pt>
                <c:pt idx="71">
                  <c:v>3.9620948487415841</c:v>
                </c:pt>
                <c:pt idx="72">
                  <c:v>3.095373194937574</c:v>
                </c:pt>
                <c:pt idx="73">
                  <c:v>3.2454172079554588</c:v>
                </c:pt>
                <c:pt idx="74">
                  <c:v>3.2252651192788004</c:v>
                </c:pt>
                <c:pt idx="75">
                  <c:v>3.4249415822363689</c:v>
                </c:pt>
                <c:pt idx="76">
                  <c:v>3.3032995908698446</c:v>
                </c:pt>
                <c:pt idx="77">
                  <c:v>2.662136877551792</c:v>
                </c:pt>
                <c:pt idx="78">
                  <c:v>2.6072571803548645</c:v>
                </c:pt>
                <c:pt idx="79">
                  <c:v>3.8116411256496194</c:v>
                </c:pt>
                <c:pt idx="80">
                  <c:v>1.9188024265056018</c:v>
                </c:pt>
                <c:pt idx="81">
                  <c:v>2.4698716993064376</c:v>
                </c:pt>
                <c:pt idx="82">
                  <c:v>1.7645748481591657</c:v>
                </c:pt>
                <c:pt idx="83">
                  <c:v>2.0850409676678434</c:v>
                </c:pt>
                <c:pt idx="84">
                  <c:v>1.7216856252375812</c:v>
                </c:pt>
                <c:pt idx="85">
                  <c:v>1.4403191122911427</c:v>
                </c:pt>
                <c:pt idx="86">
                  <c:v>1.5285692084136815</c:v>
                </c:pt>
                <c:pt idx="87">
                  <c:v>0.9200644804610334</c:v>
                </c:pt>
                <c:pt idx="88">
                  <c:v>1.5353145890873838</c:v>
                </c:pt>
                <c:pt idx="89">
                  <c:v>1.5136458338002363</c:v>
                </c:pt>
                <c:pt idx="90">
                  <c:v>-0.12011453476576939</c:v>
                </c:pt>
                <c:pt idx="91">
                  <c:v>0.10813528406899375</c:v>
                </c:pt>
                <c:pt idx="92">
                  <c:v>9.4467788012304155E-2</c:v>
                </c:pt>
                <c:pt idx="93">
                  <c:v>0.27160786060289821</c:v>
                </c:pt>
                <c:pt idx="94">
                  <c:v>0.25227664453872922</c:v>
                </c:pt>
                <c:pt idx="95">
                  <c:v>0.32519987098543246</c:v>
                </c:pt>
                <c:pt idx="96">
                  <c:v>0.16586882180225238</c:v>
                </c:pt>
                <c:pt idx="97">
                  <c:v>0.29671858779981375</c:v>
                </c:pt>
                <c:pt idx="98">
                  <c:v>0.34398560553645186</c:v>
                </c:pt>
                <c:pt idx="99">
                  <c:v>0.34902500491505717</c:v>
                </c:pt>
                <c:pt idx="100">
                  <c:v>0.33824787918668342</c:v>
                </c:pt>
                <c:pt idx="101">
                  <c:v>0.6901006600963504</c:v>
                </c:pt>
                <c:pt idx="102">
                  <c:v>0.68335419422556831</c:v>
                </c:pt>
                <c:pt idx="103">
                  <c:v>0.58507407313222903</c:v>
                </c:pt>
                <c:pt idx="104">
                  <c:v>0.55222375463854068</c:v>
                </c:pt>
                <c:pt idx="105">
                  <c:v>0.78178849382299531</c:v>
                </c:pt>
                <c:pt idx="106">
                  <c:v>0.77200334263989601</c:v>
                </c:pt>
                <c:pt idx="107">
                  <c:v>0.8021837053557237</c:v>
                </c:pt>
                <c:pt idx="108">
                  <c:v>0.8598266288112002</c:v>
                </c:pt>
                <c:pt idx="109">
                  <c:v>0.88576255499127154</c:v>
                </c:pt>
                <c:pt idx="110">
                  <c:v>1.0056235073578494</c:v>
                </c:pt>
                <c:pt idx="111">
                  <c:v>0.90484893690815271</c:v>
                </c:pt>
                <c:pt idx="112">
                  <c:v>1.2460735060969359</c:v>
                </c:pt>
                <c:pt idx="113">
                  <c:v>1.5267016308879682</c:v>
                </c:pt>
                <c:pt idx="114">
                  <c:v>1.3663418562241501</c:v>
                </c:pt>
                <c:pt idx="115">
                  <c:v>1.4769998770896402</c:v>
                </c:pt>
                <c:pt idx="116">
                  <c:v>1.7827545526668205</c:v>
                </c:pt>
                <c:pt idx="117">
                  <c:v>1.8112145010182865</c:v>
                </c:pt>
                <c:pt idx="118">
                  <c:v>1.4428582429980947</c:v>
                </c:pt>
                <c:pt idx="119">
                  <c:v>1.4279750006208656</c:v>
                </c:pt>
                <c:pt idx="120">
                  <c:v>0.94954028921815414</c:v>
                </c:pt>
                <c:pt idx="121">
                  <c:v>0.83577094902069393</c:v>
                </c:pt>
                <c:pt idx="122">
                  <c:v>0.73022258081983438</c:v>
                </c:pt>
                <c:pt idx="123">
                  <c:v>0.94772041395123252</c:v>
                </c:pt>
                <c:pt idx="124">
                  <c:v>1.1004016790593476</c:v>
                </c:pt>
                <c:pt idx="125">
                  <c:v>0.63318285078020842</c:v>
                </c:pt>
                <c:pt idx="126">
                  <c:v>0.61987711962407022</c:v>
                </c:pt>
                <c:pt idx="127">
                  <c:v>0.45181813908316748</c:v>
                </c:pt>
                <c:pt idx="128">
                  <c:v>0.34939433101037776</c:v>
                </c:pt>
                <c:pt idx="129">
                  <c:v>0.24063756377623169</c:v>
                </c:pt>
                <c:pt idx="130">
                  <c:v>0.26730519422815413</c:v>
                </c:pt>
                <c:pt idx="131">
                  <c:v>0.16919857859231868</c:v>
                </c:pt>
                <c:pt idx="132">
                  <c:v>0.20830394946872555</c:v>
                </c:pt>
                <c:pt idx="133">
                  <c:v>0.16626675737423979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EE-4AE6-8EF3-510A50F6CB65}"/>
            </c:ext>
          </c:extLst>
        </c:ser>
        <c:ser>
          <c:idx val="11"/>
          <c:order val="11"/>
          <c:tx>
            <c:strRef>
              <c:f>NN5再投資累積報酬!$B$23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NN5再投資累積報酬!$C$23:$EF$23</c:f>
              <c:numCache>
                <c:formatCode>General</c:formatCode>
                <c:ptCount val="134"/>
                <c:pt idx="0">
                  <c:v>-3.4987009286289172E-2</c:v>
                </c:pt>
                <c:pt idx="1">
                  <c:v>-6.3754690864570862E-2</c:v>
                </c:pt>
                <c:pt idx="2">
                  <c:v>-0.13953548399978399</c:v>
                </c:pt>
                <c:pt idx="3">
                  <c:v>-0.26143311140134329</c:v>
                </c:pt>
                <c:pt idx="4">
                  <c:v>-0.30000415698878691</c:v>
                </c:pt>
                <c:pt idx="5">
                  <c:v>-0.15740218832822594</c:v>
                </c:pt>
                <c:pt idx="6">
                  <c:v>-3.2569613234884165E-2</c:v>
                </c:pt>
                <c:pt idx="7">
                  <c:v>-0.12753479652444644</c:v>
                </c:pt>
                <c:pt idx="8">
                  <c:v>-0.30594474922340309</c:v>
                </c:pt>
                <c:pt idx="9">
                  <c:v>-0.26843555361214755</c:v>
                </c:pt>
                <c:pt idx="10">
                  <c:v>-0.4605219526232549</c:v>
                </c:pt>
                <c:pt idx="11">
                  <c:v>-0.37613720773121972</c:v>
                </c:pt>
                <c:pt idx="12">
                  <c:v>-0.24851710369025637</c:v>
                </c:pt>
                <c:pt idx="13">
                  <c:v>-0.31645244344075685</c:v>
                </c:pt>
                <c:pt idx="14">
                  <c:v>-0.27573487103932626</c:v>
                </c:pt>
                <c:pt idx="15">
                  <c:v>-0.31644664200012784</c:v>
                </c:pt>
                <c:pt idx="16">
                  <c:v>-0.39418342830116959</c:v>
                </c:pt>
                <c:pt idx="17">
                  <c:v>-0.39440962155502812</c:v>
                </c:pt>
                <c:pt idx="18">
                  <c:v>-0.45118821449297386</c:v>
                </c:pt>
                <c:pt idx="19">
                  <c:v>-0.46382705196865581</c:v>
                </c:pt>
                <c:pt idx="20">
                  <c:v>-0.28602183455592267</c:v>
                </c:pt>
                <c:pt idx="21">
                  <c:v>-9.747041454600347E-2</c:v>
                </c:pt>
                <c:pt idx="22">
                  <c:v>-8.4239509947852342E-2</c:v>
                </c:pt>
                <c:pt idx="23">
                  <c:v>-5.3989637417313996E-2</c:v>
                </c:pt>
                <c:pt idx="24">
                  <c:v>-4.77400167559483E-2</c:v>
                </c:pt>
                <c:pt idx="25">
                  <c:v>1.3242502956470448E-2</c:v>
                </c:pt>
                <c:pt idx="26">
                  <c:v>9.0599857711933796E-2</c:v>
                </c:pt>
                <c:pt idx="27">
                  <c:v>0.10697074350545765</c:v>
                </c:pt>
                <c:pt idx="28">
                  <c:v>-0.26092461648091225</c:v>
                </c:pt>
                <c:pt idx="29">
                  <c:v>-0.21147584664525154</c:v>
                </c:pt>
                <c:pt idx="30">
                  <c:v>-0.13903124853405135</c:v>
                </c:pt>
                <c:pt idx="31">
                  <c:v>-0.21150035256988697</c:v>
                </c:pt>
                <c:pt idx="32">
                  <c:v>-4.6584390798364517E-2</c:v>
                </c:pt>
                <c:pt idx="33">
                  <c:v>-2.4095757040930255E-2</c:v>
                </c:pt>
                <c:pt idx="34">
                  <c:v>8.7265748980717373E-2</c:v>
                </c:pt>
                <c:pt idx="35">
                  <c:v>0.23016694906481838</c:v>
                </c:pt>
                <c:pt idx="36">
                  <c:v>0.23972471764972614</c:v>
                </c:pt>
                <c:pt idx="37">
                  <c:v>0.54012823989283398</c:v>
                </c:pt>
                <c:pt idx="38">
                  <c:v>0.53190864910786395</c:v>
                </c:pt>
                <c:pt idx="39">
                  <c:v>0.53668988820038588</c:v>
                </c:pt>
                <c:pt idx="40">
                  <c:v>0.67410836955812736</c:v>
                </c:pt>
                <c:pt idx="41">
                  <c:v>1.2378543917580043</c:v>
                </c:pt>
                <c:pt idx="42">
                  <c:v>1.2049425178639797</c:v>
                </c:pt>
                <c:pt idx="43">
                  <c:v>1.1135967726188225</c:v>
                </c:pt>
                <c:pt idx="44">
                  <c:v>1.1836530496707822</c:v>
                </c:pt>
                <c:pt idx="45">
                  <c:v>1.1232990757018535</c:v>
                </c:pt>
                <c:pt idx="46">
                  <c:v>1.0128303861303491</c:v>
                </c:pt>
                <c:pt idx="47">
                  <c:v>1.1534027442646688</c:v>
                </c:pt>
                <c:pt idx="48">
                  <c:v>1.5199850657738776</c:v>
                </c:pt>
                <c:pt idx="49">
                  <c:v>1.3593269020341441</c:v>
                </c:pt>
                <c:pt idx="50">
                  <c:v>1.3820868097951329</c:v>
                </c:pt>
                <c:pt idx="51">
                  <c:v>1.2604825070668038</c:v>
                </c:pt>
                <c:pt idx="52">
                  <c:v>0.58046551217955478</c:v>
                </c:pt>
                <c:pt idx="53">
                  <c:v>0.73034244963721084</c:v>
                </c:pt>
                <c:pt idx="54">
                  <c:v>0.60674276925121906</c:v>
                </c:pt>
                <c:pt idx="55">
                  <c:v>0.57003353229798881</c:v>
                </c:pt>
                <c:pt idx="56">
                  <c:v>0.68741154900082058</c:v>
                </c:pt>
                <c:pt idx="57">
                  <c:v>0.34405032882524123</c:v>
                </c:pt>
                <c:pt idx="58">
                  <c:v>0.60091458188206248</c:v>
                </c:pt>
                <c:pt idx="59">
                  <c:v>0.76741500585856404</c:v>
                </c:pt>
                <c:pt idx="60">
                  <c:v>0.77101011945599618</c:v>
                </c:pt>
                <c:pt idx="61">
                  <c:v>1.035836871320901</c:v>
                </c:pt>
                <c:pt idx="62">
                  <c:v>1.4209778888239999</c:v>
                </c:pt>
                <c:pt idx="63">
                  <c:v>1.4041589420270282</c:v>
                </c:pt>
                <c:pt idx="64">
                  <c:v>1.4919707073326878</c:v>
                </c:pt>
                <c:pt idx="65">
                  <c:v>1.7368476956826973</c:v>
                </c:pt>
                <c:pt idx="66">
                  <c:v>1.9340318287045797</c:v>
                </c:pt>
                <c:pt idx="67">
                  <c:v>1.9863876358414827</c:v>
                </c:pt>
                <c:pt idx="68">
                  <c:v>1.7675589211420157</c:v>
                </c:pt>
                <c:pt idx="69">
                  <c:v>2.1651182233295843</c:v>
                </c:pt>
                <c:pt idx="70">
                  <c:v>2.8161442243709893</c:v>
                </c:pt>
                <c:pt idx="71">
                  <c:v>3.2491528300221431</c:v>
                </c:pt>
                <c:pt idx="72">
                  <c:v>2.3901766709881604</c:v>
                </c:pt>
                <c:pt idx="73">
                  <c:v>2.3623327440927944</c:v>
                </c:pt>
                <c:pt idx="74">
                  <c:v>2.3280178093704409</c:v>
                </c:pt>
                <c:pt idx="75">
                  <c:v>2.3535429153372611</c:v>
                </c:pt>
                <c:pt idx="76">
                  <c:v>2.0998366633043584</c:v>
                </c:pt>
                <c:pt idx="77">
                  <c:v>1.4252681784126362</c:v>
                </c:pt>
                <c:pt idx="78">
                  <c:v>1.9708531791372912</c:v>
                </c:pt>
                <c:pt idx="79">
                  <c:v>2.5402957848837318</c:v>
                </c:pt>
                <c:pt idx="80">
                  <c:v>2.1274101810284969</c:v>
                </c:pt>
                <c:pt idx="81">
                  <c:v>2.6188354977043806</c:v>
                </c:pt>
                <c:pt idx="82">
                  <c:v>1.1957509187144457</c:v>
                </c:pt>
                <c:pt idx="83">
                  <c:v>1.591417436982753</c:v>
                </c:pt>
                <c:pt idx="84">
                  <c:v>0.78833868372621119</c:v>
                </c:pt>
                <c:pt idx="85">
                  <c:v>0.75279479508253533</c:v>
                </c:pt>
                <c:pt idx="86">
                  <c:v>0.92126816316068205</c:v>
                </c:pt>
                <c:pt idx="87">
                  <c:v>0.1361207699977669</c:v>
                </c:pt>
                <c:pt idx="88">
                  <c:v>0.57549610298487996</c:v>
                </c:pt>
                <c:pt idx="89">
                  <c:v>0.49198665102523642</c:v>
                </c:pt>
                <c:pt idx="90">
                  <c:v>-0.86411476053024328</c:v>
                </c:pt>
                <c:pt idx="91">
                  <c:v>-0.82180543138409057</c:v>
                </c:pt>
                <c:pt idx="92">
                  <c:v>-0.82344192477351219</c:v>
                </c:pt>
                <c:pt idx="93">
                  <c:v>-0.8213942388540082</c:v>
                </c:pt>
                <c:pt idx="94">
                  <c:v>-0.82799804737972404</c:v>
                </c:pt>
                <c:pt idx="95">
                  <c:v>-0.8201440010437836</c:v>
                </c:pt>
                <c:pt idx="96">
                  <c:v>-0.82393115610041401</c:v>
                </c:pt>
                <c:pt idx="97">
                  <c:v>-0.8278478317404554</c:v>
                </c:pt>
                <c:pt idx="98">
                  <c:v>-0.81047744869039318</c:v>
                </c:pt>
                <c:pt idx="99">
                  <c:v>-0.82729131975608627</c:v>
                </c:pt>
                <c:pt idx="100">
                  <c:v>-0.82348369252571341</c:v>
                </c:pt>
                <c:pt idx="101">
                  <c:v>-0.79135793746923988</c:v>
                </c:pt>
                <c:pt idx="102">
                  <c:v>-0.79782211427302274</c:v>
                </c:pt>
                <c:pt idx="103">
                  <c:v>-0.80104789415483435</c:v>
                </c:pt>
                <c:pt idx="104">
                  <c:v>-0.77733469595441651</c:v>
                </c:pt>
                <c:pt idx="105">
                  <c:v>-0.72981546086484705</c:v>
                </c:pt>
                <c:pt idx="106">
                  <c:v>-0.73235390565866298</c:v>
                </c:pt>
                <c:pt idx="107">
                  <c:v>-0.71577533727989906</c:v>
                </c:pt>
                <c:pt idx="108">
                  <c:v>-0.70489805606251332</c:v>
                </c:pt>
                <c:pt idx="109">
                  <c:v>-0.68854544004142593</c:v>
                </c:pt>
                <c:pt idx="110">
                  <c:v>-0.67188897571718487</c:v>
                </c:pt>
                <c:pt idx="111">
                  <c:v>-0.70045366795063546</c:v>
                </c:pt>
                <c:pt idx="112">
                  <c:v>-0.61722974700895739</c:v>
                </c:pt>
                <c:pt idx="113">
                  <c:v>-0.53451268977709443</c:v>
                </c:pt>
                <c:pt idx="114">
                  <c:v>-0.54358843780060584</c:v>
                </c:pt>
                <c:pt idx="115">
                  <c:v>-0.54062304240426173</c:v>
                </c:pt>
                <c:pt idx="116">
                  <c:v>-0.46524327852709479</c:v>
                </c:pt>
                <c:pt idx="117">
                  <c:v>-0.44006252961216696</c:v>
                </c:pt>
                <c:pt idx="118">
                  <c:v>-0.53537004442655034</c:v>
                </c:pt>
                <c:pt idx="119">
                  <c:v>-0.57713377388227238</c:v>
                </c:pt>
                <c:pt idx="120">
                  <c:v>-0.6989600861214651</c:v>
                </c:pt>
                <c:pt idx="121">
                  <c:v>-0.73627555583724336</c:v>
                </c:pt>
                <c:pt idx="122">
                  <c:v>-0.72723318696396366</c:v>
                </c:pt>
                <c:pt idx="123">
                  <c:v>-0.65187546082760228</c:v>
                </c:pt>
                <c:pt idx="124">
                  <c:v>-0.60271044744156943</c:v>
                </c:pt>
                <c:pt idx="125">
                  <c:v>-0.72725802313397669</c:v>
                </c:pt>
                <c:pt idx="126">
                  <c:v>-0.68092548106363016</c:v>
                </c:pt>
                <c:pt idx="127">
                  <c:v>-0.7137496399934169</c:v>
                </c:pt>
                <c:pt idx="128">
                  <c:v>-0.72046189823943341</c:v>
                </c:pt>
                <c:pt idx="129">
                  <c:v>-0.73800387565510173</c:v>
                </c:pt>
                <c:pt idx="130">
                  <c:v>-0.74758882474427257</c:v>
                </c:pt>
                <c:pt idx="131">
                  <c:v>-0.77066574477816951</c:v>
                </c:pt>
                <c:pt idx="132">
                  <c:v>-0.75712340016832025</c:v>
                </c:pt>
                <c:pt idx="133">
                  <c:v>-0.76872859752487255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EE-4AE6-8EF3-510A50F6CB65}"/>
            </c:ext>
          </c:extLst>
        </c:ser>
        <c:ser>
          <c:idx val="12"/>
          <c:order val="12"/>
          <c:tx>
            <c:strRef>
              <c:f>NN5再投資累積報酬!$B$24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NN5再投資累積報酬!$C$24:$EF$24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4.1984852428694763E-2</c:v>
                </c:pt>
                <c:pt idx="2">
                  <c:v>0.11638291492350961</c:v>
                </c:pt>
                <c:pt idx="3">
                  <c:v>-0.137214121903527</c:v>
                </c:pt>
                <c:pt idx="4">
                  <c:v>5.7568437829280672E-2</c:v>
                </c:pt>
                <c:pt idx="5">
                  <c:v>0.31845653591226841</c:v>
                </c:pt>
                <c:pt idx="6">
                  <c:v>0.31567204377717362</c:v>
                </c:pt>
                <c:pt idx="7">
                  <c:v>0.18414142441020886</c:v>
                </c:pt>
                <c:pt idx="8">
                  <c:v>0.15866429205238419</c:v>
                </c:pt>
                <c:pt idx="9">
                  <c:v>0.26945953790677413</c:v>
                </c:pt>
                <c:pt idx="10">
                  <c:v>-0.31833519439164204</c:v>
                </c:pt>
                <c:pt idx="11">
                  <c:v>-0.2200865375738561</c:v>
                </c:pt>
                <c:pt idx="12">
                  <c:v>-3.6565729804329483E-2</c:v>
                </c:pt>
                <c:pt idx="13">
                  <c:v>-0.13700222485951974</c:v>
                </c:pt>
                <c:pt idx="14">
                  <c:v>-8.4389598596887549E-2</c:v>
                </c:pt>
                <c:pt idx="15">
                  <c:v>-0.30935266687977481</c:v>
                </c:pt>
                <c:pt idx="16">
                  <c:v>-0.55281583929729083</c:v>
                </c:pt>
                <c:pt idx="17">
                  <c:v>-0.49750316355866231</c:v>
                </c:pt>
                <c:pt idx="18">
                  <c:v>-0.57213332750864265</c:v>
                </c:pt>
                <c:pt idx="19">
                  <c:v>-0.60085999760716835</c:v>
                </c:pt>
                <c:pt idx="20">
                  <c:v>-0.40300151434655807</c:v>
                </c:pt>
                <c:pt idx="21">
                  <c:v>-0.33254230086733816</c:v>
                </c:pt>
                <c:pt idx="22">
                  <c:v>-0.32621679428990591</c:v>
                </c:pt>
                <c:pt idx="23">
                  <c:v>-0.25490201171617444</c:v>
                </c:pt>
                <c:pt idx="24">
                  <c:v>-0.24480759685662012</c:v>
                </c:pt>
                <c:pt idx="25">
                  <c:v>-9.7288597779381703E-2</c:v>
                </c:pt>
                <c:pt idx="26">
                  <c:v>1.5893701561844775E-2</c:v>
                </c:pt>
                <c:pt idx="27">
                  <c:v>2.3839858427498806E-2</c:v>
                </c:pt>
                <c:pt idx="28">
                  <c:v>-0.53032177980202777</c:v>
                </c:pt>
                <c:pt idx="29">
                  <c:v>-0.51974368221360656</c:v>
                </c:pt>
                <c:pt idx="30">
                  <c:v>-0.45311497732078465</c:v>
                </c:pt>
                <c:pt idx="31">
                  <c:v>-0.48412191436730945</c:v>
                </c:pt>
                <c:pt idx="32">
                  <c:v>-0.3239860129440606</c:v>
                </c:pt>
                <c:pt idx="33">
                  <c:v>-0.2662306215464898</c:v>
                </c:pt>
                <c:pt idx="34">
                  <c:v>-0.20394537606296537</c:v>
                </c:pt>
                <c:pt idx="35">
                  <c:v>-0.24747120338299256</c:v>
                </c:pt>
                <c:pt idx="36">
                  <c:v>-0.26170850746324004</c:v>
                </c:pt>
                <c:pt idx="37">
                  <c:v>-9.8406207107611832E-2</c:v>
                </c:pt>
                <c:pt idx="38">
                  <c:v>-3.8819772511030637E-2</c:v>
                </c:pt>
                <c:pt idx="39">
                  <c:v>-6.0784389603353528E-2</c:v>
                </c:pt>
                <c:pt idx="40">
                  <c:v>-1.6568961827211126E-2</c:v>
                </c:pt>
                <c:pt idx="41">
                  <c:v>-7.0894176943783194E-3</c:v>
                </c:pt>
                <c:pt idx="42">
                  <c:v>-3.4847302652129208E-2</c:v>
                </c:pt>
                <c:pt idx="43">
                  <c:v>-5.449516389184339E-3</c:v>
                </c:pt>
                <c:pt idx="44">
                  <c:v>3.8405505307748111E-2</c:v>
                </c:pt>
                <c:pt idx="45">
                  <c:v>-5.2093561641442188E-2</c:v>
                </c:pt>
                <c:pt idx="46">
                  <c:v>-4.7365838931547555E-2</c:v>
                </c:pt>
                <c:pt idx="47">
                  <c:v>-2.0400398617836712E-2</c:v>
                </c:pt>
                <c:pt idx="48">
                  <c:v>0.14429703145326278</c:v>
                </c:pt>
                <c:pt idx="49">
                  <c:v>0.18762821136318175</c:v>
                </c:pt>
                <c:pt idx="50">
                  <c:v>0.12374006991674724</c:v>
                </c:pt>
                <c:pt idx="51">
                  <c:v>2.6919711705114313E-2</c:v>
                </c:pt>
                <c:pt idx="52">
                  <c:v>-0.79791864484734909</c:v>
                </c:pt>
                <c:pt idx="53">
                  <c:v>-0.76041331143217605</c:v>
                </c:pt>
                <c:pt idx="54">
                  <c:v>-0.77144971747564384</c:v>
                </c:pt>
                <c:pt idx="55">
                  <c:v>-0.75141697985684375</c:v>
                </c:pt>
                <c:pt idx="56">
                  <c:v>-0.74474601441333754</c:v>
                </c:pt>
                <c:pt idx="57">
                  <c:v>-0.84333922861463639</c:v>
                </c:pt>
                <c:pt idx="58">
                  <c:v>-0.80830532035348357</c:v>
                </c:pt>
                <c:pt idx="59">
                  <c:v>-0.80766346603749561</c:v>
                </c:pt>
                <c:pt idx="60">
                  <c:v>-0.80688959097361301</c:v>
                </c:pt>
                <c:pt idx="61">
                  <c:v>-0.74564186444524583</c:v>
                </c:pt>
                <c:pt idx="62">
                  <c:v>-0.74272360869327403</c:v>
                </c:pt>
                <c:pt idx="63">
                  <c:v>-0.74096143474041842</c:v>
                </c:pt>
                <c:pt idx="64">
                  <c:v>-0.78269505797124794</c:v>
                </c:pt>
                <c:pt idx="65">
                  <c:v>-0.75589023670676248</c:v>
                </c:pt>
                <c:pt idx="66">
                  <c:v>-0.77155467070959072</c:v>
                </c:pt>
                <c:pt idx="67">
                  <c:v>-0.76187858932954333</c:v>
                </c:pt>
                <c:pt idx="68">
                  <c:v>-0.7621845080692552</c:v>
                </c:pt>
                <c:pt idx="69">
                  <c:v>-0.73453353528999865</c:v>
                </c:pt>
                <c:pt idx="70">
                  <c:v>-0.67392047161063806</c:v>
                </c:pt>
                <c:pt idx="71">
                  <c:v>-0.63879242817272952</c:v>
                </c:pt>
                <c:pt idx="72">
                  <c:v>-0.66112801755253581</c:v>
                </c:pt>
                <c:pt idx="73">
                  <c:v>-0.70618445521746387</c:v>
                </c:pt>
                <c:pt idx="74">
                  <c:v>-0.6739394716435152</c:v>
                </c:pt>
                <c:pt idx="75">
                  <c:v>-0.58952471625674319</c:v>
                </c:pt>
                <c:pt idx="76">
                  <c:v>-0.63682036836558553</c:v>
                </c:pt>
                <c:pt idx="77">
                  <c:v>-0.56100227144444414</c:v>
                </c:pt>
                <c:pt idx="78">
                  <c:v>-0.3679071396643484</c:v>
                </c:pt>
                <c:pt idx="79">
                  <c:v>-0.27669215094282906</c:v>
                </c:pt>
                <c:pt idx="80">
                  <c:v>-0.42867463430424979</c:v>
                </c:pt>
                <c:pt idx="81">
                  <c:v>-0.30199959593684333</c:v>
                </c:pt>
                <c:pt idx="82">
                  <c:v>-0.52802467613506243</c:v>
                </c:pt>
                <c:pt idx="83">
                  <c:v>-0.36081453421982745</c:v>
                </c:pt>
                <c:pt idx="84">
                  <c:v>-0.15087290421343047</c:v>
                </c:pt>
                <c:pt idx="85">
                  <c:v>-0.13974128493198235</c:v>
                </c:pt>
                <c:pt idx="86">
                  <c:v>-5.9281219079651448E-2</c:v>
                </c:pt>
                <c:pt idx="87">
                  <c:v>7.4070685319522767E-2</c:v>
                </c:pt>
                <c:pt idx="88">
                  <c:v>0.66436608915606965</c:v>
                </c:pt>
                <c:pt idx="89">
                  <c:v>0.48504933977717868</c:v>
                </c:pt>
                <c:pt idx="90">
                  <c:v>-0.66831900934886235</c:v>
                </c:pt>
                <c:pt idx="91">
                  <c:v>-0.61513588465070668</c:v>
                </c:pt>
                <c:pt idx="92">
                  <c:v>-0.57099690693989835</c:v>
                </c:pt>
                <c:pt idx="93">
                  <c:v>-0.54479132239605244</c:v>
                </c:pt>
                <c:pt idx="94">
                  <c:v>-0.58389157770720912</c:v>
                </c:pt>
                <c:pt idx="95">
                  <c:v>-0.54377081634796054</c:v>
                </c:pt>
                <c:pt idx="96">
                  <c:v>-0.5769621042989671</c:v>
                </c:pt>
                <c:pt idx="97">
                  <c:v>-0.57058944132716949</c:v>
                </c:pt>
                <c:pt idx="98">
                  <c:v>-0.49539228121098589</c:v>
                </c:pt>
                <c:pt idx="99">
                  <c:v>-0.46753430513290206</c:v>
                </c:pt>
                <c:pt idx="100">
                  <c:v>-0.51016718514620352</c:v>
                </c:pt>
                <c:pt idx="101">
                  <c:v>-0.4552046964899471</c:v>
                </c:pt>
                <c:pt idx="102">
                  <c:v>-0.44185110757870216</c:v>
                </c:pt>
                <c:pt idx="103">
                  <c:v>-0.55094726545356221</c:v>
                </c:pt>
                <c:pt idx="104">
                  <c:v>-0.46509926846809502</c:v>
                </c:pt>
                <c:pt idx="105">
                  <c:v>-0.38305545570737354</c:v>
                </c:pt>
                <c:pt idx="106">
                  <c:v>-0.49167641340599688</c:v>
                </c:pt>
                <c:pt idx="107">
                  <c:v>-0.54488008940754395</c:v>
                </c:pt>
                <c:pt idx="108">
                  <c:v>-0.51797984746537995</c:v>
                </c:pt>
                <c:pt idx="109">
                  <c:v>-0.51757180532424774</c:v>
                </c:pt>
                <c:pt idx="110">
                  <c:v>-0.44912708379986455</c:v>
                </c:pt>
                <c:pt idx="111">
                  <c:v>-0.52211147103439337</c:v>
                </c:pt>
                <c:pt idx="112">
                  <c:v>-0.3598639137959363</c:v>
                </c:pt>
                <c:pt idx="113">
                  <c:v>-0.22344808040052988</c:v>
                </c:pt>
                <c:pt idx="114">
                  <c:v>-0.33328321677580108</c:v>
                </c:pt>
                <c:pt idx="115">
                  <c:v>-0.17771514233389651</c:v>
                </c:pt>
                <c:pt idx="116">
                  <c:v>-2.522997833558871E-2</c:v>
                </c:pt>
                <c:pt idx="117">
                  <c:v>8.6257808103245903E-2</c:v>
                </c:pt>
                <c:pt idx="118">
                  <c:v>-5.8189877977714355E-2</c:v>
                </c:pt>
                <c:pt idx="119">
                  <c:v>-7.7511706171069727E-2</c:v>
                </c:pt>
                <c:pt idx="120">
                  <c:v>-0.27701044617927462</c:v>
                </c:pt>
                <c:pt idx="121">
                  <c:v>-0.30474639767490086</c:v>
                </c:pt>
                <c:pt idx="122">
                  <c:v>-0.33786729708665941</c:v>
                </c:pt>
                <c:pt idx="123">
                  <c:v>-0.23310154970598185</c:v>
                </c:pt>
                <c:pt idx="124">
                  <c:v>-0.149619216164804</c:v>
                </c:pt>
                <c:pt idx="125">
                  <c:v>-0.41459202441465393</c:v>
                </c:pt>
                <c:pt idx="126">
                  <c:v>-0.21332625288255092</c:v>
                </c:pt>
                <c:pt idx="127">
                  <c:v>-0.2530290337175648</c:v>
                </c:pt>
                <c:pt idx="128">
                  <c:v>-0.19525014059857426</c:v>
                </c:pt>
                <c:pt idx="129">
                  <c:v>-0.21905639286933276</c:v>
                </c:pt>
                <c:pt idx="130">
                  <c:v>-0.23023163245185363</c:v>
                </c:pt>
                <c:pt idx="131">
                  <c:v>-0.27347171187770836</c:v>
                </c:pt>
                <c:pt idx="132">
                  <c:v>-0.19106201559944058</c:v>
                </c:pt>
                <c:pt idx="133">
                  <c:v>-0.13663935607432542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EE-4AE6-8EF3-510A50F6CB65}"/>
            </c:ext>
          </c:extLst>
        </c:ser>
        <c:ser>
          <c:idx val="13"/>
          <c:order val="13"/>
          <c:tx>
            <c:strRef>
              <c:f>NN5再投資累積報酬!$B$25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NN5再投資累積報酬!$C$11:$EF$11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NN5再投資累積報酬!$C$25:$EF$25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EE-4AE6-8EF3-510A50F6C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71567"/>
        <c:axId val="127255727"/>
      </c:lineChart>
      <c:catAx>
        <c:axId val="12727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7255727"/>
        <c:crosses val="autoZero"/>
        <c:auto val="1"/>
        <c:lblAlgn val="ctr"/>
        <c:lblOffset val="100"/>
        <c:noMultiLvlLbl val="0"/>
      </c:catAx>
      <c:valAx>
        <c:axId val="1272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727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NN</a:t>
            </a:r>
            <a:r>
              <a:rPr lang="zh-TW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畫圖!$B$12:$B$12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畫圖!$C$12:$EF$12</c:f>
              <c:numCache>
                <c:formatCode>General</c:formatCode>
                <c:ptCount val="134"/>
                <c:pt idx="0">
                  <c:v>8.4653346747999555E-2</c:v>
                </c:pt>
                <c:pt idx="1">
                  <c:v>0.10547514201987786</c:v>
                </c:pt>
                <c:pt idx="2">
                  <c:v>9.8721113661519935E-2</c:v>
                </c:pt>
                <c:pt idx="3">
                  <c:v>7.8852288713613591E-2</c:v>
                </c:pt>
                <c:pt idx="4">
                  <c:v>8.6756635459541959E-2</c:v>
                </c:pt>
                <c:pt idx="5">
                  <c:v>9.6116019221297616E-2</c:v>
                </c:pt>
                <c:pt idx="6">
                  <c:v>0.13241995607034962</c:v>
                </c:pt>
                <c:pt idx="7">
                  <c:v>0.17620453481522114</c:v>
                </c:pt>
                <c:pt idx="8">
                  <c:v>0.16521613096239904</c:v>
                </c:pt>
                <c:pt idx="9">
                  <c:v>0.16293890018143578</c:v>
                </c:pt>
                <c:pt idx="10">
                  <c:v>0.14738709598127464</c:v>
                </c:pt>
                <c:pt idx="11">
                  <c:v>0.19946120365663375</c:v>
                </c:pt>
                <c:pt idx="12">
                  <c:v>0.21809109230261273</c:v>
                </c:pt>
                <c:pt idx="13">
                  <c:v>0.19667067109815037</c:v>
                </c:pt>
                <c:pt idx="14">
                  <c:v>0.16287788697724265</c:v>
                </c:pt>
                <c:pt idx="15">
                  <c:v>0.17627539321717839</c:v>
                </c:pt>
                <c:pt idx="16">
                  <c:v>0.10522149612257134</c:v>
                </c:pt>
                <c:pt idx="17">
                  <c:v>6.197800730305817E-2</c:v>
                </c:pt>
                <c:pt idx="18">
                  <c:v>4.161078674992718E-2</c:v>
                </c:pt>
                <c:pt idx="19">
                  <c:v>8.6640777552775897E-2</c:v>
                </c:pt>
                <c:pt idx="20">
                  <c:v>0.10891921952608764</c:v>
                </c:pt>
                <c:pt idx="21">
                  <c:v>0.15743849430640211</c:v>
                </c:pt>
                <c:pt idx="22">
                  <c:v>0.14065011705458602</c:v>
                </c:pt>
                <c:pt idx="23">
                  <c:v>0.20427380037015999</c:v>
                </c:pt>
                <c:pt idx="24">
                  <c:v>0.1648701389690482</c:v>
                </c:pt>
                <c:pt idx="25">
                  <c:v>0.19955924952052637</c:v>
                </c:pt>
                <c:pt idx="26">
                  <c:v>0.23467401358417278</c:v>
                </c:pt>
                <c:pt idx="27">
                  <c:v>0.24052112358340999</c:v>
                </c:pt>
                <c:pt idx="28">
                  <c:v>0.20262350005117941</c:v>
                </c:pt>
                <c:pt idx="29">
                  <c:v>0.22305565135504435</c:v>
                </c:pt>
                <c:pt idx="30">
                  <c:v>0.25303779628776873</c:v>
                </c:pt>
                <c:pt idx="31">
                  <c:v>0.26644360093740194</c:v>
                </c:pt>
                <c:pt idx="32">
                  <c:v>0.28969006011626652</c:v>
                </c:pt>
                <c:pt idx="33">
                  <c:v>0.31075232280994008</c:v>
                </c:pt>
                <c:pt idx="34">
                  <c:v>0.35887602696207449</c:v>
                </c:pt>
                <c:pt idx="35">
                  <c:v>0.37673502998399655</c:v>
                </c:pt>
                <c:pt idx="36">
                  <c:v>0.40682114559659449</c:v>
                </c:pt>
                <c:pt idx="37">
                  <c:v>0.47605437991002303</c:v>
                </c:pt>
                <c:pt idx="38">
                  <c:v>0.47828317294969608</c:v>
                </c:pt>
                <c:pt idx="39">
                  <c:v>0.44456482816784693</c:v>
                </c:pt>
                <c:pt idx="40">
                  <c:v>0.4369428917792631</c:v>
                </c:pt>
                <c:pt idx="41">
                  <c:v>0.45046915122922948</c:v>
                </c:pt>
                <c:pt idx="42">
                  <c:v>0.46956886968393008</c:v>
                </c:pt>
                <c:pt idx="43">
                  <c:v>0.48340377439160126</c:v>
                </c:pt>
                <c:pt idx="44">
                  <c:v>0.50411243307247666</c:v>
                </c:pt>
                <c:pt idx="45">
                  <c:v>0.46275234832745166</c:v>
                </c:pt>
                <c:pt idx="46">
                  <c:v>0.46337382534546773</c:v>
                </c:pt>
                <c:pt idx="47">
                  <c:v>0.50697229259889054</c:v>
                </c:pt>
                <c:pt idx="48">
                  <c:v>0.53192758566656384</c:v>
                </c:pt>
                <c:pt idx="49">
                  <c:v>0.52962755959490615</c:v>
                </c:pt>
                <c:pt idx="50">
                  <c:v>0.53456544777814796</c:v>
                </c:pt>
                <c:pt idx="51">
                  <c:v>0.54984005303060735</c:v>
                </c:pt>
                <c:pt idx="52">
                  <c:v>0.56211284206908385</c:v>
                </c:pt>
                <c:pt idx="53">
                  <c:v>0.57574339901073646</c:v>
                </c:pt>
                <c:pt idx="54">
                  <c:v>0.59435220885012174</c:v>
                </c:pt>
                <c:pt idx="55">
                  <c:v>0.66214456133332189</c:v>
                </c:pt>
                <c:pt idx="56">
                  <c:v>0.69581542377458472</c:v>
                </c:pt>
                <c:pt idx="57">
                  <c:v>0.71003878378590668</c:v>
                </c:pt>
                <c:pt idx="58">
                  <c:v>0.76006003681689749</c:v>
                </c:pt>
                <c:pt idx="59">
                  <c:v>0.75926404349697962</c:v>
                </c:pt>
                <c:pt idx="60">
                  <c:v>0.7379793785368457</c:v>
                </c:pt>
                <c:pt idx="61">
                  <c:v>0.76268862436699436</c:v>
                </c:pt>
                <c:pt idx="62">
                  <c:v>0.75751953241076453</c:v>
                </c:pt>
                <c:pt idx="63">
                  <c:v>0.76903606792286106</c:v>
                </c:pt>
                <c:pt idx="64">
                  <c:v>0.79328237817909797</c:v>
                </c:pt>
                <c:pt idx="65">
                  <c:v>0.78277339287380387</c:v>
                </c:pt>
                <c:pt idx="66">
                  <c:v>0.79667014249255053</c:v>
                </c:pt>
                <c:pt idx="67">
                  <c:v>0.7944091340391517</c:v>
                </c:pt>
                <c:pt idx="68">
                  <c:v>0.81327242742354766</c:v>
                </c:pt>
                <c:pt idx="69">
                  <c:v>0.83530389610099187</c:v>
                </c:pt>
                <c:pt idx="70">
                  <c:v>0.84408541324108832</c:v>
                </c:pt>
                <c:pt idx="71">
                  <c:v>0.86714786897427931</c:v>
                </c:pt>
                <c:pt idx="72">
                  <c:v>0.8376641002547498</c:v>
                </c:pt>
                <c:pt idx="73">
                  <c:v>0.8491412622586999</c:v>
                </c:pt>
                <c:pt idx="74">
                  <c:v>0.81577046192712843</c:v>
                </c:pt>
                <c:pt idx="75">
                  <c:v>0.86112740761840145</c:v>
                </c:pt>
                <c:pt idx="76">
                  <c:v>0.82672712017805894</c:v>
                </c:pt>
                <c:pt idx="77">
                  <c:v>0.82867036230982183</c:v>
                </c:pt>
                <c:pt idx="78">
                  <c:v>0.81189939791571164</c:v>
                </c:pt>
                <c:pt idx="79">
                  <c:v>0.92283303150016416</c:v>
                </c:pt>
                <c:pt idx="80">
                  <c:v>0.93445243994239335</c:v>
                </c:pt>
                <c:pt idx="81">
                  <c:v>0.96222002335616552</c:v>
                </c:pt>
                <c:pt idx="82">
                  <c:v>1.0040772574062287</c:v>
                </c:pt>
                <c:pt idx="83">
                  <c:v>1.0673746297841886</c:v>
                </c:pt>
                <c:pt idx="84">
                  <c:v>1.032718717371983</c:v>
                </c:pt>
                <c:pt idx="85">
                  <c:v>1.0481638978506718</c:v>
                </c:pt>
                <c:pt idx="86">
                  <c:v>1.0609670420055066</c:v>
                </c:pt>
                <c:pt idx="87">
                  <c:v>1.178982649675117</c:v>
                </c:pt>
                <c:pt idx="88">
                  <c:v>1.1637629235077762</c:v>
                </c:pt>
                <c:pt idx="89">
                  <c:v>1.1366792222932169</c:v>
                </c:pt>
                <c:pt idx="90">
                  <c:v>1.1094130954131112</c:v>
                </c:pt>
                <c:pt idx="91">
                  <c:v>1.1547121168806049</c:v>
                </c:pt>
                <c:pt idx="92">
                  <c:v>1.1912843117905385</c:v>
                </c:pt>
                <c:pt idx="93">
                  <c:v>1.1934021902211909</c:v>
                </c:pt>
                <c:pt idx="94">
                  <c:v>1.1782005425341453</c:v>
                </c:pt>
                <c:pt idx="95">
                  <c:v>1.1773765065106143</c:v>
                </c:pt>
                <c:pt idx="96">
                  <c:v>1.2130002221728096</c:v>
                </c:pt>
                <c:pt idx="97">
                  <c:v>1.2211128485483467</c:v>
                </c:pt>
                <c:pt idx="98">
                  <c:v>1.2266607732928789</c:v>
                </c:pt>
                <c:pt idx="99">
                  <c:v>1.2876506558298706</c:v>
                </c:pt>
                <c:pt idx="100">
                  <c:v>1.2816677136183801</c:v>
                </c:pt>
                <c:pt idx="101">
                  <c:v>1.3594600409578808</c:v>
                </c:pt>
                <c:pt idx="102">
                  <c:v>1.3650638250282412</c:v>
                </c:pt>
                <c:pt idx="103">
                  <c:v>1.3420819490741143</c:v>
                </c:pt>
                <c:pt idx="104">
                  <c:v>1.3760551519488891</c:v>
                </c:pt>
                <c:pt idx="105">
                  <c:v>1.4009441300061296</c:v>
                </c:pt>
                <c:pt idx="106">
                  <c:v>1.4021422383873507</c:v>
                </c:pt>
                <c:pt idx="107">
                  <c:v>1.3953077126513103</c:v>
                </c:pt>
                <c:pt idx="108">
                  <c:v>1.3943600037119934</c:v>
                </c:pt>
                <c:pt idx="109">
                  <c:v>1.3905373217405608</c:v>
                </c:pt>
                <c:pt idx="110">
                  <c:v>1.3360941487484284</c:v>
                </c:pt>
                <c:pt idx="111">
                  <c:v>1.3441567470031988</c:v>
                </c:pt>
                <c:pt idx="112">
                  <c:v>1.3282107938761825</c:v>
                </c:pt>
                <c:pt idx="113">
                  <c:v>1.3278561178535386</c:v>
                </c:pt>
                <c:pt idx="114">
                  <c:v>1.3230157686084587</c:v>
                </c:pt>
                <c:pt idx="115">
                  <c:v>1.3654261339945235</c:v>
                </c:pt>
                <c:pt idx="116">
                  <c:v>1.3880258676748523</c:v>
                </c:pt>
                <c:pt idx="117">
                  <c:v>1.4206103172751494</c:v>
                </c:pt>
                <c:pt idx="118">
                  <c:v>1.3978404523661134</c:v>
                </c:pt>
                <c:pt idx="119">
                  <c:v>1.4166193956455004</c:v>
                </c:pt>
                <c:pt idx="120">
                  <c:v>1.3808932401938026</c:v>
                </c:pt>
                <c:pt idx="121">
                  <c:v>1.3355953567994021</c:v>
                </c:pt>
                <c:pt idx="122">
                  <c:v>1.3493480048857847</c:v>
                </c:pt>
                <c:pt idx="123">
                  <c:v>1.3978988293633154</c:v>
                </c:pt>
                <c:pt idx="124">
                  <c:v>1.4416243935833528</c:v>
                </c:pt>
                <c:pt idx="125">
                  <c:v>1.3914723130409912</c:v>
                </c:pt>
                <c:pt idx="126">
                  <c:v>1.4068295831594861</c:v>
                </c:pt>
                <c:pt idx="127">
                  <c:v>1.4026938576793087</c:v>
                </c:pt>
                <c:pt idx="128">
                  <c:v>1.4666977990025056</c:v>
                </c:pt>
                <c:pt idx="129">
                  <c:v>1.4695261257773584</c:v>
                </c:pt>
                <c:pt idx="130">
                  <c:v>1.4961776353570237</c:v>
                </c:pt>
                <c:pt idx="131">
                  <c:v>1.4356694825485397</c:v>
                </c:pt>
                <c:pt idx="132">
                  <c:v>1.4475865788210271</c:v>
                </c:pt>
                <c:pt idx="133">
                  <c:v>1.4868199268598228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C-4760-AB70-E8AAF46B019B}"/>
            </c:ext>
          </c:extLst>
        </c:ser>
        <c:ser>
          <c:idx val="1"/>
          <c:order val="1"/>
          <c:tx>
            <c:strRef>
              <c:f>畫圖!$B$13:$B$13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畫圖!$C$13:$EF$13</c:f>
              <c:numCache>
                <c:formatCode>General</c:formatCode>
                <c:ptCount val="134"/>
                <c:pt idx="0">
                  <c:v>0.104112750252762</c:v>
                </c:pt>
                <c:pt idx="1">
                  <c:v>0.13399036085732077</c:v>
                </c:pt>
                <c:pt idx="2">
                  <c:v>9.9493741365967725E-2</c:v>
                </c:pt>
                <c:pt idx="3">
                  <c:v>6.4571585483313224E-2</c:v>
                </c:pt>
                <c:pt idx="4">
                  <c:v>4.9663605726009835E-2</c:v>
                </c:pt>
                <c:pt idx="5">
                  <c:v>6.5593990295354954E-2</c:v>
                </c:pt>
                <c:pt idx="6">
                  <c:v>9.8276853280077292E-2</c:v>
                </c:pt>
                <c:pt idx="7">
                  <c:v>0.13282674524972199</c:v>
                </c:pt>
                <c:pt idx="8">
                  <c:v>8.7495755007502979E-2</c:v>
                </c:pt>
                <c:pt idx="9">
                  <c:v>5.8360085970057513E-2</c:v>
                </c:pt>
                <c:pt idx="10">
                  <c:v>6.6068742232549715E-2</c:v>
                </c:pt>
                <c:pt idx="11">
                  <c:v>0.10922069445631657</c:v>
                </c:pt>
                <c:pt idx="12">
                  <c:v>0.14549397017623905</c:v>
                </c:pt>
                <c:pt idx="13">
                  <c:v>0.1246370571148335</c:v>
                </c:pt>
                <c:pt idx="14">
                  <c:v>8.0418792886863447E-2</c:v>
                </c:pt>
                <c:pt idx="15">
                  <c:v>8.6908703062937839E-2</c:v>
                </c:pt>
                <c:pt idx="16">
                  <c:v>-3.6006594940612757E-2</c:v>
                </c:pt>
                <c:pt idx="17">
                  <c:v>-8.8906397849306096E-2</c:v>
                </c:pt>
                <c:pt idx="18">
                  <c:v>-0.14306747289100027</c:v>
                </c:pt>
                <c:pt idx="19">
                  <c:v>-9.0287733990766617E-2</c:v>
                </c:pt>
                <c:pt idx="20">
                  <c:v>-5.9184646106396725E-2</c:v>
                </c:pt>
                <c:pt idx="21">
                  <c:v>1.056632266265984E-2</c:v>
                </c:pt>
                <c:pt idx="22">
                  <c:v>-1.5905560554682681E-2</c:v>
                </c:pt>
                <c:pt idx="23">
                  <c:v>6.2518874250500872E-2</c:v>
                </c:pt>
                <c:pt idx="24">
                  <c:v>3.0399363912029589E-2</c:v>
                </c:pt>
                <c:pt idx="25">
                  <c:v>7.7077584033406865E-2</c:v>
                </c:pt>
                <c:pt idx="26">
                  <c:v>9.8949140194784402E-2</c:v>
                </c:pt>
                <c:pt idx="27">
                  <c:v>0.10552818539732518</c:v>
                </c:pt>
                <c:pt idx="28">
                  <c:v>6.3010973941534015E-2</c:v>
                </c:pt>
                <c:pt idx="29">
                  <c:v>9.4951437775835243E-2</c:v>
                </c:pt>
                <c:pt idx="30">
                  <c:v>0.12663322083083814</c:v>
                </c:pt>
                <c:pt idx="31">
                  <c:v>0.13627456007035454</c:v>
                </c:pt>
                <c:pt idx="32">
                  <c:v>0.15618447029076801</c:v>
                </c:pt>
                <c:pt idx="33">
                  <c:v>0.17607079432194572</c:v>
                </c:pt>
                <c:pt idx="34">
                  <c:v>0.24205870713260172</c:v>
                </c:pt>
                <c:pt idx="35">
                  <c:v>0.26521013572777274</c:v>
                </c:pt>
                <c:pt idx="36">
                  <c:v>0.31149257926460167</c:v>
                </c:pt>
                <c:pt idx="37">
                  <c:v>0.41682281740063576</c:v>
                </c:pt>
                <c:pt idx="38">
                  <c:v>0.42613400530005069</c:v>
                </c:pt>
                <c:pt idx="39">
                  <c:v>0.36658316493805299</c:v>
                </c:pt>
                <c:pt idx="40">
                  <c:v>0.36053387616915328</c:v>
                </c:pt>
                <c:pt idx="41">
                  <c:v>0.37122306170508895</c:v>
                </c:pt>
                <c:pt idx="42">
                  <c:v>0.41253618018932303</c:v>
                </c:pt>
                <c:pt idx="43">
                  <c:v>0.45299926804376278</c:v>
                </c:pt>
                <c:pt idx="44">
                  <c:v>0.49397539451974165</c:v>
                </c:pt>
                <c:pt idx="45">
                  <c:v>0.48449992188018859</c:v>
                </c:pt>
                <c:pt idx="46">
                  <c:v>0.48857993546325201</c:v>
                </c:pt>
                <c:pt idx="47">
                  <c:v>0.55573372324636239</c:v>
                </c:pt>
                <c:pt idx="48">
                  <c:v>0.5732980695949873</c:v>
                </c:pt>
                <c:pt idx="49">
                  <c:v>0.56519460212548789</c:v>
                </c:pt>
                <c:pt idx="50">
                  <c:v>0.57173553973254887</c:v>
                </c:pt>
                <c:pt idx="51">
                  <c:v>0.61461091422935976</c:v>
                </c:pt>
                <c:pt idx="52">
                  <c:v>0.62589468134101744</c:v>
                </c:pt>
                <c:pt idx="53">
                  <c:v>0.62923910972469876</c:v>
                </c:pt>
                <c:pt idx="54">
                  <c:v>0.65663091603034029</c:v>
                </c:pt>
                <c:pt idx="55">
                  <c:v>0.74056033133783705</c:v>
                </c:pt>
                <c:pt idx="56">
                  <c:v>0.7871267936765487</c:v>
                </c:pt>
                <c:pt idx="57">
                  <c:v>0.79560252348816773</c:v>
                </c:pt>
                <c:pt idx="58">
                  <c:v>0.84801165594486916</c:v>
                </c:pt>
                <c:pt idx="59">
                  <c:v>0.8311645699546043</c:v>
                </c:pt>
                <c:pt idx="60">
                  <c:v>0.81277354507485489</c:v>
                </c:pt>
                <c:pt idx="61">
                  <c:v>0.84472140528803008</c:v>
                </c:pt>
                <c:pt idx="62">
                  <c:v>0.86164002090691172</c:v>
                </c:pt>
                <c:pt idx="63">
                  <c:v>0.87269256278218799</c:v>
                </c:pt>
                <c:pt idx="64">
                  <c:v>0.90357127901566214</c:v>
                </c:pt>
                <c:pt idx="65">
                  <c:v>0.91300397471031369</c:v>
                </c:pt>
                <c:pt idx="66">
                  <c:v>0.95465703849973949</c:v>
                </c:pt>
                <c:pt idx="67">
                  <c:v>0.94797562101618205</c:v>
                </c:pt>
                <c:pt idx="68">
                  <c:v>0.95539509285640167</c:v>
                </c:pt>
                <c:pt idx="69">
                  <c:v>0.99373859847287449</c:v>
                </c:pt>
                <c:pt idx="70">
                  <c:v>1.0114451535094282</c:v>
                </c:pt>
                <c:pt idx="71">
                  <c:v>1.0320987503856369</c:v>
                </c:pt>
                <c:pt idx="72">
                  <c:v>1.033861988196314</c:v>
                </c:pt>
                <c:pt idx="73">
                  <c:v>1.0549400557203406</c:v>
                </c:pt>
                <c:pt idx="74">
                  <c:v>1.0404276580498502</c:v>
                </c:pt>
                <c:pt idx="75">
                  <c:v>1.1165657811089003</c:v>
                </c:pt>
                <c:pt idx="76">
                  <c:v>1.0830342155085033</c:v>
                </c:pt>
                <c:pt idx="77">
                  <c:v>1.0764383887832831</c:v>
                </c:pt>
                <c:pt idx="78">
                  <c:v>1.0639074765706498</c:v>
                </c:pt>
                <c:pt idx="79">
                  <c:v>1.1689933094629772</c:v>
                </c:pt>
                <c:pt idx="80">
                  <c:v>1.178214293788391</c:v>
                </c:pt>
                <c:pt idx="81">
                  <c:v>1.2227285605134603</c:v>
                </c:pt>
                <c:pt idx="82">
                  <c:v>1.2631776234824155</c:v>
                </c:pt>
                <c:pt idx="83">
                  <c:v>1.3215122353096227</c:v>
                </c:pt>
                <c:pt idx="84">
                  <c:v>1.2696587261753594</c:v>
                </c:pt>
                <c:pt idx="85">
                  <c:v>1.2665526382034082</c:v>
                </c:pt>
                <c:pt idx="86">
                  <c:v>1.2985979074398721</c:v>
                </c:pt>
                <c:pt idx="87">
                  <c:v>1.3800512735420529</c:v>
                </c:pt>
                <c:pt idx="88">
                  <c:v>1.3697544697856578</c:v>
                </c:pt>
                <c:pt idx="89">
                  <c:v>1.3428669037868055</c:v>
                </c:pt>
                <c:pt idx="90">
                  <c:v>1.3294094452235781</c:v>
                </c:pt>
                <c:pt idx="91">
                  <c:v>1.3991359855013124</c:v>
                </c:pt>
                <c:pt idx="92">
                  <c:v>1.4373209356974721</c:v>
                </c:pt>
                <c:pt idx="93">
                  <c:v>1.4456007166951206</c:v>
                </c:pt>
                <c:pt idx="94">
                  <c:v>1.4564337678103951</c:v>
                </c:pt>
                <c:pt idx="95">
                  <c:v>1.4645045671267738</c:v>
                </c:pt>
                <c:pt idx="96">
                  <c:v>1.501665969409085</c:v>
                </c:pt>
                <c:pt idx="97">
                  <c:v>1.4987126572358271</c:v>
                </c:pt>
                <c:pt idx="98">
                  <c:v>1.5046896880920733</c:v>
                </c:pt>
                <c:pt idx="99">
                  <c:v>1.5647229433321264</c:v>
                </c:pt>
                <c:pt idx="100">
                  <c:v>1.5516042032171138</c:v>
                </c:pt>
                <c:pt idx="101">
                  <c:v>1.608828423570599</c:v>
                </c:pt>
                <c:pt idx="102">
                  <c:v>1.6032447466447777</c:v>
                </c:pt>
                <c:pt idx="103">
                  <c:v>1.5614831769279931</c:v>
                </c:pt>
                <c:pt idx="104">
                  <c:v>1.5912587428062861</c:v>
                </c:pt>
                <c:pt idx="105">
                  <c:v>1.6019563434070219</c:v>
                </c:pt>
                <c:pt idx="106">
                  <c:v>1.6078853005330969</c:v>
                </c:pt>
                <c:pt idx="107">
                  <c:v>1.5793665037394622</c:v>
                </c:pt>
                <c:pt idx="108">
                  <c:v>1.5777358465665723</c:v>
                </c:pt>
                <c:pt idx="109">
                  <c:v>1.5890316144484873</c:v>
                </c:pt>
                <c:pt idx="110">
                  <c:v>1.5430545893538103</c:v>
                </c:pt>
                <c:pt idx="111">
                  <c:v>1.5397228331742996</c:v>
                </c:pt>
                <c:pt idx="112">
                  <c:v>1.5521319073929272</c:v>
                </c:pt>
                <c:pt idx="113">
                  <c:v>1.5358316609016127</c:v>
                </c:pt>
                <c:pt idx="114">
                  <c:v>1.5291727918531688</c:v>
                </c:pt>
                <c:pt idx="115">
                  <c:v>1.5406723697756819</c:v>
                </c:pt>
                <c:pt idx="116">
                  <c:v>1.5875637821638136</c:v>
                </c:pt>
                <c:pt idx="117">
                  <c:v>1.636350418020083</c:v>
                </c:pt>
                <c:pt idx="118">
                  <c:v>1.6099203366029542</c:v>
                </c:pt>
                <c:pt idx="119">
                  <c:v>1.6236915458752661</c:v>
                </c:pt>
                <c:pt idx="120">
                  <c:v>1.5848039180355962</c:v>
                </c:pt>
                <c:pt idx="121">
                  <c:v>1.5493776169879314</c:v>
                </c:pt>
                <c:pt idx="122">
                  <c:v>1.5680827806250761</c:v>
                </c:pt>
                <c:pt idx="123">
                  <c:v>1.6477029246492647</c:v>
                </c:pt>
                <c:pt idx="124">
                  <c:v>1.692120714273615</c:v>
                </c:pt>
                <c:pt idx="125">
                  <c:v>1.6275973346951189</c:v>
                </c:pt>
                <c:pt idx="126">
                  <c:v>1.6629833793489524</c:v>
                </c:pt>
                <c:pt idx="127">
                  <c:v>1.6483745648617341</c:v>
                </c:pt>
                <c:pt idx="128">
                  <c:v>1.7216174339044161</c:v>
                </c:pt>
                <c:pt idx="129">
                  <c:v>1.7429906521038026</c:v>
                </c:pt>
                <c:pt idx="130">
                  <c:v>1.7846504055390315</c:v>
                </c:pt>
                <c:pt idx="131">
                  <c:v>1.7189683118797965</c:v>
                </c:pt>
                <c:pt idx="132">
                  <c:v>1.726920905454761</c:v>
                </c:pt>
                <c:pt idx="133">
                  <c:v>1.7934981208183172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C-4760-AB70-E8AAF46B019B}"/>
            </c:ext>
          </c:extLst>
        </c:ser>
        <c:ser>
          <c:idx val="2"/>
          <c:order val="2"/>
          <c:tx>
            <c:strRef>
              <c:f>畫圖!$B$14:$B$14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畫圖!$C$14:$EF$14</c:f>
              <c:numCache>
                <c:formatCode>General</c:formatCode>
                <c:ptCount val="134"/>
                <c:pt idx="0">
                  <c:v>0.1199414897527061</c:v>
                </c:pt>
                <c:pt idx="1">
                  <c:v>0.20328880129600749</c:v>
                </c:pt>
                <c:pt idx="2">
                  <c:v>0.15576285802875148</c:v>
                </c:pt>
                <c:pt idx="3">
                  <c:v>0.10730871522889163</c:v>
                </c:pt>
                <c:pt idx="4">
                  <c:v>6.6288798730966186E-2</c:v>
                </c:pt>
                <c:pt idx="5">
                  <c:v>7.3963123002645015E-2</c:v>
                </c:pt>
                <c:pt idx="6">
                  <c:v>0.11775048282578732</c:v>
                </c:pt>
                <c:pt idx="7">
                  <c:v>0.1410604547906982</c:v>
                </c:pt>
                <c:pt idx="8">
                  <c:v>6.8817510766447099E-3</c:v>
                </c:pt>
                <c:pt idx="9">
                  <c:v>1.1728948264351516E-2</c:v>
                </c:pt>
                <c:pt idx="10">
                  <c:v>1.6723468331139267E-2</c:v>
                </c:pt>
                <c:pt idx="11">
                  <c:v>9.9482453025238393E-2</c:v>
                </c:pt>
                <c:pt idx="12">
                  <c:v>0.13695824003824489</c:v>
                </c:pt>
                <c:pt idx="13">
                  <c:v>7.8612318140003662E-2</c:v>
                </c:pt>
                <c:pt idx="14">
                  <c:v>-4.5491553031445031E-2</c:v>
                </c:pt>
                <c:pt idx="15">
                  <c:v>-6.1432740328546856E-2</c:v>
                </c:pt>
                <c:pt idx="16">
                  <c:v>-0.22732596751325557</c:v>
                </c:pt>
                <c:pt idx="17">
                  <c:v>-0.29716744703415143</c:v>
                </c:pt>
                <c:pt idx="18">
                  <c:v>-0.40143411166979903</c:v>
                </c:pt>
                <c:pt idx="19">
                  <c:v>-0.38134498448442067</c:v>
                </c:pt>
                <c:pt idx="20">
                  <c:v>-0.30733682509616767</c:v>
                </c:pt>
                <c:pt idx="21">
                  <c:v>-0.19407371678389818</c:v>
                </c:pt>
                <c:pt idx="22">
                  <c:v>-0.19929359137943009</c:v>
                </c:pt>
                <c:pt idx="23">
                  <c:v>-0.16078166509912242</c:v>
                </c:pt>
                <c:pt idx="24">
                  <c:v>-0.20023184540120459</c:v>
                </c:pt>
                <c:pt idx="25">
                  <c:v>-0.12946246805397438</c:v>
                </c:pt>
                <c:pt idx="26">
                  <c:v>-0.14297973685746773</c:v>
                </c:pt>
                <c:pt idx="27">
                  <c:v>-0.15589984346868607</c:v>
                </c:pt>
                <c:pt idx="28">
                  <c:v>-0.2623119157163637</c:v>
                </c:pt>
                <c:pt idx="29">
                  <c:v>-0.2218912131739646</c:v>
                </c:pt>
                <c:pt idx="30">
                  <c:v>-0.20137031852740209</c:v>
                </c:pt>
                <c:pt idx="31">
                  <c:v>-0.19612004059689606</c:v>
                </c:pt>
                <c:pt idx="32">
                  <c:v>-0.18515546991432213</c:v>
                </c:pt>
                <c:pt idx="33">
                  <c:v>-8.8860493205537919E-2</c:v>
                </c:pt>
                <c:pt idx="34">
                  <c:v>-1.1949062347235917E-2</c:v>
                </c:pt>
                <c:pt idx="35">
                  <c:v>2.60201273752248E-2</c:v>
                </c:pt>
                <c:pt idx="36">
                  <c:v>8.7262293753850043E-2</c:v>
                </c:pt>
                <c:pt idx="37">
                  <c:v>0.18585696052339376</c:v>
                </c:pt>
                <c:pt idx="38">
                  <c:v>0.2467626659888037</c:v>
                </c:pt>
                <c:pt idx="39">
                  <c:v>0.17678614083671951</c:v>
                </c:pt>
                <c:pt idx="40">
                  <c:v>0.17641817309895955</c:v>
                </c:pt>
                <c:pt idx="41">
                  <c:v>0.21406401286122245</c:v>
                </c:pt>
                <c:pt idx="42">
                  <c:v>0.29944099881426922</c:v>
                </c:pt>
                <c:pt idx="43">
                  <c:v>0.3339475784994137</c:v>
                </c:pt>
                <c:pt idx="44">
                  <c:v>0.37393922750271752</c:v>
                </c:pt>
                <c:pt idx="45">
                  <c:v>0.35525634206910034</c:v>
                </c:pt>
                <c:pt idx="46">
                  <c:v>0.33689341056314281</c:v>
                </c:pt>
                <c:pt idx="47">
                  <c:v>0.47384443885753552</c:v>
                </c:pt>
                <c:pt idx="48">
                  <c:v>0.48891255762929708</c:v>
                </c:pt>
                <c:pt idx="49">
                  <c:v>0.435563988457141</c:v>
                </c:pt>
                <c:pt idx="50">
                  <c:v>0.45318563400138412</c:v>
                </c:pt>
                <c:pt idx="51">
                  <c:v>0.51491991600305898</c:v>
                </c:pt>
                <c:pt idx="52">
                  <c:v>0.50509891704778154</c:v>
                </c:pt>
                <c:pt idx="53">
                  <c:v>0.5484266987151869</c:v>
                </c:pt>
                <c:pt idx="54">
                  <c:v>0.59221376125067393</c:v>
                </c:pt>
                <c:pt idx="55">
                  <c:v>0.63298428279636376</c:v>
                </c:pt>
                <c:pt idx="56">
                  <c:v>0.6743585468702965</c:v>
                </c:pt>
                <c:pt idx="57">
                  <c:v>0.67970130243889715</c:v>
                </c:pt>
                <c:pt idx="58">
                  <c:v>0.72988651532975091</c:v>
                </c:pt>
                <c:pt idx="59">
                  <c:v>0.70986929165851764</c:v>
                </c:pt>
                <c:pt idx="60">
                  <c:v>0.70427554000144477</c:v>
                </c:pt>
                <c:pt idx="61">
                  <c:v>0.76401330684381508</c:v>
                </c:pt>
                <c:pt idx="62">
                  <c:v>0.80327052205024219</c:v>
                </c:pt>
                <c:pt idx="63">
                  <c:v>0.82420706012279354</c:v>
                </c:pt>
                <c:pt idx="64">
                  <c:v>0.85781610580005807</c:v>
                </c:pt>
                <c:pt idx="65">
                  <c:v>0.87348983929301727</c:v>
                </c:pt>
                <c:pt idx="66">
                  <c:v>0.88933336316296807</c:v>
                </c:pt>
                <c:pt idx="67">
                  <c:v>0.86140393363035017</c:v>
                </c:pt>
                <c:pt idx="68">
                  <c:v>0.8199099784857723</c:v>
                </c:pt>
                <c:pt idx="69">
                  <c:v>0.89392294082208368</c:v>
                </c:pt>
                <c:pt idx="70">
                  <c:v>0.88506810546405279</c:v>
                </c:pt>
                <c:pt idx="71">
                  <c:v>0.91079528748048022</c:v>
                </c:pt>
                <c:pt idx="72">
                  <c:v>0.92330323573807349</c:v>
                </c:pt>
                <c:pt idx="73">
                  <c:v>0.97827399586002661</c:v>
                </c:pt>
                <c:pt idx="74">
                  <c:v>0.97167770249506158</c:v>
                </c:pt>
                <c:pt idx="75">
                  <c:v>1.0317117593238438</c:v>
                </c:pt>
                <c:pt idx="76">
                  <c:v>1.0072464932089067</c:v>
                </c:pt>
                <c:pt idx="77">
                  <c:v>1.0293741097510816</c:v>
                </c:pt>
                <c:pt idx="78">
                  <c:v>1.016580028965903</c:v>
                </c:pt>
                <c:pt idx="79">
                  <c:v>1.1145967388981008</c:v>
                </c:pt>
                <c:pt idx="80">
                  <c:v>1.042440019686403</c:v>
                </c:pt>
                <c:pt idx="81">
                  <c:v>1.1347707029684646</c:v>
                </c:pt>
                <c:pt idx="82">
                  <c:v>1.1878377312643036</c:v>
                </c:pt>
                <c:pt idx="83">
                  <c:v>1.2524991235425207</c:v>
                </c:pt>
                <c:pt idx="84">
                  <c:v>1.1466143461791618</c:v>
                </c:pt>
                <c:pt idx="85">
                  <c:v>1.1179464912349872</c:v>
                </c:pt>
                <c:pt idx="86">
                  <c:v>1.1319628556256334</c:v>
                </c:pt>
                <c:pt idx="87">
                  <c:v>1.1942328105044699</c:v>
                </c:pt>
                <c:pt idx="88">
                  <c:v>1.2262728208727871</c:v>
                </c:pt>
                <c:pt idx="89">
                  <c:v>1.2032461322018611</c:v>
                </c:pt>
                <c:pt idx="90">
                  <c:v>1.129658412162968</c:v>
                </c:pt>
                <c:pt idx="91">
                  <c:v>1.2294677436447208</c:v>
                </c:pt>
                <c:pt idx="92">
                  <c:v>1.2826793717363953</c:v>
                </c:pt>
                <c:pt idx="93">
                  <c:v>1.3385885093608967</c:v>
                </c:pt>
                <c:pt idx="94">
                  <c:v>1.3976156296245523</c:v>
                </c:pt>
                <c:pt idx="95">
                  <c:v>1.4167162061752372</c:v>
                </c:pt>
                <c:pt idx="96">
                  <c:v>1.3727991034780225</c:v>
                </c:pt>
                <c:pt idx="97">
                  <c:v>1.3955448186162778</c:v>
                </c:pt>
                <c:pt idx="98">
                  <c:v>1.3921464361528071</c:v>
                </c:pt>
                <c:pt idx="99">
                  <c:v>1.4284458450410462</c:v>
                </c:pt>
                <c:pt idx="100">
                  <c:v>1.3996867247495719</c:v>
                </c:pt>
                <c:pt idx="101">
                  <c:v>1.4637502880999553</c:v>
                </c:pt>
                <c:pt idx="102">
                  <c:v>1.4394459989293709</c:v>
                </c:pt>
                <c:pt idx="103">
                  <c:v>1.4158849257411801</c:v>
                </c:pt>
                <c:pt idx="104">
                  <c:v>1.4395175349460276</c:v>
                </c:pt>
                <c:pt idx="105">
                  <c:v>1.4227589851536111</c:v>
                </c:pt>
                <c:pt idx="106">
                  <c:v>1.4281432847613755</c:v>
                </c:pt>
                <c:pt idx="107">
                  <c:v>1.3922866542043131</c:v>
                </c:pt>
                <c:pt idx="108">
                  <c:v>1.4037332105976303</c:v>
                </c:pt>
                <c:pt idx="109">
                  <c:v>1.4085080478405418</c:v>
                </c:pt>
                <c:pt idx="110">
                  <c:v>1.3499102281316249</c:v>
                </c:pt>
                <c:pt idx="111">
                  <c:v>1.3509339523989223</c:v>
                </c:pt>
                <c:pt idx="112">
                  <c:v>1.3700050155165782</c:v>
                </c:pt>
                <c:pt idx="113">
                  <c:v>1.3548398539616897</c:v>
                </c:pt>
                <c:pt idx="114">
                  <c:v>1.3603441230553401</c:v>
                </c:pt>
                <c:pt idx="115">
                  <c:v>1.4030066189486043</c:v>
                </c:pt>
                <c:pt idx="116">
                  <c:v>1.4443822641114017</c:v>
                </c:pt>
                <c:pt idx="117">
                  <c:v>1.4879219804690538</c:v>
                </c:pt>
                <c:pt idx="118">
                  <c:v>1.3985541204282419</c:v>
                </c:pt>
                <c:pt idx="119">
                  <c:v>1.4511766398872414</c:v>
                </c:pt>
                <c:pt idx="120">
                  <c:v>1.4161317336163246</c:v>
                </c:pt>
                <c:pt idx="121">
                  <c:v>1.3716147800188694</c:v>
                </c:pt>
                <c:pt idx="122">
                  <c:v>1.3266998313998875</c:v>
                </c:pt>
                <c:pt idx="123">
                  <c:v>1.4349621859299948</c:v>
                </c:pt>
                <c:pt idx="124">
                  <c:v>1.5333065529477725</c:v>
                </c:pt>
                <c:pt idx="125">
                  <c:v>1.4313750473953515</c:v>
                </c:pt>
                <c:pt idx="126">
                  <c:v>1.4693721273422</c:v>
                </c:pt>
                <c:pt idx="127">
                  <c:v>1.4474905540237377</c:v>
                </c:pt>
                <c:pt idx="128">
                  <c:v>1.5255958199116739</c:v>
                </c:pt>
                <c:pt idx="129">
                  <c:v>1.5587731530242648</c:v>
                </c:pt>
                <c:pt idx="130">
                  <c:v>1.5648525351723979</c:v>
                </c:pt>
                <c:pt idx="131">
                  <c:v>1.4622228259862109</c:v>
                </c:pt>
                <c:pt idx="132">
                  <c:v>1.4810899828311035</c:v>
                </c:pt>
                <c:pt idx="133">
                  <c:v>1.5510464033296616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7C-4760-AB70-E8AAF46B019B}"/>
            </c:ext>
          </c:extLst>
        </c:ser>
        <c:ser>
          <c:idx val="3"/>
          <c:order val="3"/>
          <c:tx>
            <c:strRef>
              <c:f>畫圖!$B$15:$B$15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畫圖!$C$15:$EF$15</c:f>
              <c:numCache>
                <c:formatCode>General</c:formatCode>
                <c:ptCount val="134"/>
                <c:pt idx="0">
                  <c:v>0.22764465877785839</c:v>
                </c:pt>
                <c:pt idx="1">
                  <c:v>0.24459752356992412</c:v>
                </c:pt>
                <c:pt idx="2">
                  <c:v>0.23439909729784061</c:v>
                </c:pt>
                <c:pt idx="3">
                  <c:v>0.12583680392465071</c:v>
                </c:pt>
                <c:pt idx="4">
                  <c:v>6.5199875253116435E-2</c:v>
                </c:pt>
                <c:pt idx="5">
                  <c:v>0.11535769975670951</c:v>
                </c:pt>
                <c:pt idx="6">
                  <c:v>0.17378914403657506</c:v>
                </c:pt>
                <c:pt idx="7">
                  <c:v>0.2237506092839647</c:v>
                </c:pt>
                <c:pt idx="8">
                  <c:v>-6.284401845240592E-2</c:v>
                </c:pt>
                <c:pt idx="9">
                  <c:v>-3.0285513295221278E-2</c:v>
                </c:pt>
                <c:pt idx="10">
                  <c:v>-4.7878038157340187E-3</c:v>
                </c:pt>
                <c:pt idx="11">
                  <c:v>0.11608035034524708</c:v>
                </c:pt>
                <c:pt idx="12">
                  <c:v>0.18983769459156169</c:v>
                </c:pt>
                <c:pt idx="13">
                  <c:v>0.12572151156989991</c:v>
                </c:pt>
                <c:pt idx="14">
                  <c:v>-2.9815330537912577E-2</c:v>
                </c:pt>
                <c:pt idx="15">
                  <c:v>-8.1945020643030039E-2</c:v>
                </c:pt>
                <c:pt idx="16">
                  <c:v>-0.35195291572518383</c:v>
                </c:pt>
                <c:pt idx="17">
                  <c:v>-0.41875304066829594</c:v>
                </c:pt>
                <c:pt idx="18">
                  <c:v>-0.55572110233556471</c:v>
                </c:pt>
                <c:pt idx="19">
                  <c:v>-0.57285295568367745</c:v>
                </c:pt>
                <c:pt idx="20">
                  <c:v>-0.47030936170093435</c:v>
                </c:pt>
                <c:pt idx="21">
                  <c:v>-0.34346603023726124</c:v>
                </c:pt>
                <c:pt idx="22">
                  <c:v>-0.32283605587144143</c:v>
                </c:pt>
                <c:pt idx="23">
                  <c:v>-0.27611608381808272</c:v>
                </c:pt>
                <c:pt idx="24">
                  <c:v>-0.33019723084611641</c:v>
                </c:pt>
                <c:pt idx="25">
                  <c:v>-0.2464970583302859</c:v>
                </c:pt>
                <c:pt idx="26">
                  <c:v>-0.23001609212209781</c:v>
                </c:pt>
                <c:pt idx="27">
                  <c:v>-0.21107980909127938</c:v>
                </c:pt>
                <c:pt idx="28">
                  <c:v>-0.30887749310023049</c:v>
                </c:pt>
                <c:pt idx="29">
                  <c:v>-0.24305788060319064</c:v>
                </c:pt>
                <c:pt idx="30">
                  <c:v>-0.23293440234153509</c:v>
                </c:pt>
                <c:pt idx="31">
                  <c:v>-0.26653877569921158</c:v>
                </c:pt>
                <c:pt idx="32">
                  <c:v>-0.19226181548912968</c:v>
                </c:pt>
                <c:pt idx="33">
                  <c:v>-0.18807738085679654</c:v>
                </c:pt>
                <c:pt idx="34">
                  <c:v>-0.12631776119835161</c:v>
                </c:pt>
                <c:pt idx="35">
                  <c:v>-8.1886098702537075E-2</c:v>
                </c:pt>
                <c:pt idx="36">
                  <c:v>-2.6763476567909963E-2</c:v>
                </c:pt>
                <c:pt idx="37">
                  <c:v>7.4925229344473543E-2</c:v>
                </c:pt>
                <c:pt idx="38">
                  <c:v>0.13829504180794064</c:v>
                </c:pt>
                <c:pt idx="39">
                  <c:v>6.0009347915186403E-2</c:v>
                </c:pt>
                <c:pt idx="40">
                  <c:v>2.2642221119064734E-2</c:v>
                </c:pt>
                <c:pt idx="41">
                  <c:v>0.11293607659498141</c:v>
                </c:pt>
                <c:pt idx="42">
                  <c:v>0.16675725563209542</c:v>
                </c:pt>
                <c:pt idx="43">
                  <c:v>0.23201224628452399</c:v>
                </c:pt>
                <c:pt idx="44">
                  <c:v>0.27195550737399032</c:v>
                </c:pt>
                <c:pt idx="45">
                  <c:v>0.22472868904655147</c:v>
                </c:pt>
                <c:pt idx="46">
                  <c:v>0.24038862830113242</c:v>
                </c:pt>
                <c:pt idx="47">
                  <c:v>0.36562260547586761</c:v>
                </c:pt>
                <c:pt idx="48">
                  <c:v>0.39363966958590052</c:v>
                </c:pt>
                <c:pt idx="49">
                  <c:v>0.30231638951739703</c:v>
                </c:pt>
                <c:pt idx="50">
                  <c:v>0.31292990432505002</c:v>
                </c:pt>
                <c:pt idx="51">
                  <c:v>0.42565477040386313</c:v>
                </c:pt>
                <c:pt idx="52">
                  <c:v>0.48780991407169338</c:v>
                </c:pt>
                <c:pt idx="53">
                  <c:v>0.5408531879764894</c:v>
                </c:pt>
                <c:pt idx="54">
                  <c:v>0.58929590899415252</c:v>
                </c:pt>
                <c:pt idx="55">
                  <c:v>0.63695888845090465</c:v>
                </c:pt>
                <c:pt idx="56">
                  <c:v>0.6394484271854699</c:v>
                </c:pt>
                <c:pt idx="57">
                  <c:v>0.6738902726671594</c:v>
                </c:pt>
                <c:pt idx="58">
                  <c:v>0.74247693178212903</c:v>
                </c:pt>
                <c:pt idx="59">
                  <c:v>0.73121190469468378</c:v>
                </c:pt>
                <c:pt idx="60">
                  <c:v>0.73203565696248984</c:v>
                </c:pt>
                <c:pt idx="61">
                  <c:v>0.79143952830383824</c:v>
                </c:pt>
                <c:pt idx="62">
                  <c:v>0.85826434967056742</c:v>
                </c:pt>
                <c:pt idx="63">
                  <c:v>0.89840691940375728</c:v>
                </c:pt>
                <c:pt idx="64">
                  <c:v>0.92614139535868822</c:v>
                </c:pt>
                <c:pt idx="65">
                  <c:v>0.94032561606649301</c:v>
                </c:pt>
                <c:pt idx="66">
                  <c:v>0.95312854735682073</c:v>
                </c:pt>
                <c:pt idx="67">
                  <c:v>0.90297111823476106</c:v>
                </c:pt>
                <c:pt idx="68">
                  <c:v>0.88614734078447477</c:v>
                </c:pt>
                <c:pt idx="69">
                  <c:v>0.97520754651580921</c:v>
                </c:pt>
                <c:pt idx="70">
                  <c:v>0.99468396631160272</c:v>
                </c:pt>
                <c:pt idx="71">
                  <c:v>1.0535989340641514</c:v>
                </c:pt>
                <c:pt idx="72">
                  <c:v>1.0176530439347478</c:v>
                </c:pt>
                <c:pt idx="73">
                  <c:v>1.0462889390004793</c:v>
                </c:pt>
                <c:pt idx="74">
                  <c:v>0.98459484752141946</c:v>
                </c:pt>
                <c:pt idx="75">
                  <c:v>1.0875013164987668</c:v>
                </c:pt>
                <c:pt idx="76">
                  <c:v>1.0689092957023245</c:v>
                </c:pt>
                <c:pt idx="77">
                  <c:v>1.083966189714149</c:v>
                </c:pt>
                <c:pt idx="78">
                  <c:v>0.93164792465998758</c:v>
                </c:pt>
                <c:pt idx="79">
                  <c:v>1.0518000086230719</c:v>
                </c:pt>
                <c:pt idx="80">
                  <c:v>0.93528343955295123</c:v>
                </c:pt>
                <c:pt idx="81">
                  <c:v>1.0296400899463714</c:v>
                </c:pt>
                <c:pt idx="82">
                  <c:v>1.0253412106930071</c:v>
                </c:pt>
                <c:pt idx="83">
                  <c:v>1.0882271689767085</c:v>
                </c:pt>
                <c:pt idx="84">
                  <c:v>1.0494287540817278</c:v>
                </c:pt>
                <c:pt idx="85">
                  <c:v>0.96238439800900966</c:v>
                </c:pt>
                <c:pt idx="86">
                  <c:v>1.0190570437811091</c:v>
                </c:pt>
                <c:pt idx="87">
                  <c:v>1.0504790187743573</c:v>
                </c:pt>
                <c:pt idx="88">
                  <c:v>1.1251101349028112</c:v>
                </c:pt>
                <c:pt idx="89">
                  <c:v>1.0824760191036509</c:v>
                </c:pt>
                <c:pt idx="90">
                  <c:v>0.95302699422160941</c:v>
                </c:pt>
                <c:pt idx="91">
                  <c:v>1.0805628296545591</c:v>
                </c:pt>
                <c:pt idx="92">
                  <c:v>1.117940840419688</c:v>
                </c:pt>
                <c:pt idx="93">
                  <c:v>1.1661779107078523</c:v>
                </c:pt>
                <c:pt idx="94">
                  <c:v>1.2263630831714469</c:v>
                </c:pt>
                <c:pt idx="95">
                  <c:v>1.2337576581469016</c:v>
                </c:pt>
                <c:pt idx="96">
                  <c:v>1.1705789982321289</c:v>
                </c:pt>
                <c:pt idx="97">
                  <c:v>1.16443715132732</c:v>
                </c:pt>
                <c:pt idx="98">
                  <c:v>1.1519524911468797</c:v>
                </c:pt>
                <c:pt idx="99">
                  <c:v>1.1759920982002106</c:v>
                </c:pt>
                <c:pt idx="100">
                  <c:v>1.1335214251224481</c:v>
                </c:pt>
                <c:pt idx="101">
                  <c:v>1.2134083730667904</c:v>
                </c:pt>
                <c:pt idx="102">
                  <c:v>1.1870325376249138</c:v>
                </c:pt>
                <c:pt idx="103">
                  <c:v>1.15680591941079</c:v>
                </c:pt>
                <c:pt idx="104">
                  <c:v>1.1918810693853721</c:v>
                </c:pt>
                <c:pt idx="105">
                  <c:v>1.1424873788854875</c:v>
                </c:pt>
                <c:pt idx="106">
                  <c:v>1.1674360936305304</c:v>
                </c:pt>
                <c:pt idx="107">
                  <c:v>1.1250447872311355</c:v>
                </c:pt>
                <c:pt idx="108">
                  <c:v>1.1412415188493767</c:v>
                </c:pt>
                <c:pt idx="109">
                  <c:v>1.1225325078054846</c:v>
                </c:pt>
                <c:pt idx="110">
                  <c:v>1.1108140587960269</c:v>
                </c:pt>
                <c:pt idx="111">
                  <c:v>1.0589602057016201</c:v>
                </c:pt>
                <c:pt idx="112">
                  <c:v>1.160735039753088</c:v>
                </c:pt>
                <c:pt idx="113">
                  <c:v>1.2233705338415259</c:v>
                </c:pt>
                <c:pt idx="114">
                  <c:v>1.1995619869738572</c:v>
                </c:pt>
                <c:pt idx="115">
                  <c:v>1.2435584843974767</c:v>
                </c:pt>
                <c:pt idx="116">
                  <c:v>1.2898552116312776</c:v>
                </c:pt>
                <c:pt idx="117">
                  <c:v>1.3135908136381702</c:v>
                </c:pt>
                <c:pt idx="118">
                  <c:v>1.2185499061787417</c:v>
                </c:pt>
                <c:pt idx="119">
                  <c:v>1.2885604727966802</c:v>
                </c:pt>
                <c:pt idx="120">
                  <c:v>1.2123185643848831</c:v>
                </c:pt>
                <c:pt idx="121">
                  <c:v>1.14015493266672</c:v>
                </c:pt>
                <c:pt idx="122">
                  <c:v>1.0943842037150393</c:v>
                </c:pt>
                <c:pt idx="123">
                  <c:v>1.2341525606559107</c:v>
                </c:pt>
                <c:pt idx="124">
                  <c:v>1.2596911878027433</c:v>
                </c:pt>
                <c:pt idx="125">
                  <c:v>1.1410749371527569</c:v>
                </c:pt>
                <c:pt idx="126">
                  <c:v>1.2476141037537665</c:v>
                </c:pt>
                <c:pt idx="127">
                  <c:v>1.2286938596843822</c:v>
                </c:pt>
                <c:pt idx="128">
                  <c:v>1.2560325858942218</c:v>
                </c:pt>
                <c:pt idx="129">
                  <c:v>1.3045511590254668</c:v>
                </c:pt>
                <c:pt idx="130">
                  <c:v>1.3706330150734132</c:v>
                </c:pt>
                <c:pt idx="131">
                  <c:v>1.2572759591381018</c:v>
                </c:pt>
                <c:pt idx="132">
                  <c:v>1.2410305446020136</c:v>
                </c:pt>
                <c:pt idx="133">
                  <c:v>1.3067315357408558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7C-4760-AB70-E8AAF46B019B}"/>
            </c:ext>
          </c:extLst>
        </c:ser>
        <c:ser>
          <c:idx val="4"/>
          <c:order val="4"/>
          <c:tx>
            <c:strRef>
              <c:f>畫圖!$B$16:$B$16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畫圖!$C$16:$EF$16</c:f>
              <c:numCache>
                <c:formatCode>General</c:formatCode>
                <c:ptCount val="134"/>
                <c:pt idx="0">
                  <c:v>0.20787477708292909</c:v>
                </c:pt>
                <c:pt idx="1">
                  <c:v>0.20715452841561205</c:v>
                </c:pt>
                <c:pt idx="2">
                  <c:v>0.20432435180552666</c:v>
                </c:pt>
                <c:pt idx="3">
                  <c:v>0.10494185895003957</c:v>
                </c:pt>
                <c:pt idx="4">
                  <c:v>3.1245593823115717E-2</c:v>
                </c:pt>
                <c:pt idx="5">
                  <c:v>9.2244598440052561E-2</c:v>
                </c:pt>
                <c:pt idx="6">
                  <c:v>0.14977521710567399</c:v>
                </c:pt>
                <c:pt idx="7">
                  <c:v>0.19648514314834015</c:v>
                </c:pt>
                <c:pt idx="8">
                  <c:v>-8.8185407078191946E-2</c:v>
                </c:pt>
                <c:pt idx="9">
                  <c:v>-7.8298872490323149E-2</c:v>
                </c:pt>
                <c:pt idx="10">
                  <c:v>-3.7964417765082567E-2</c:v>
                </c:pt>
                <c:pt idx="11">
                  <c:v>8.770620777766773E-2</c:v>
                </c:pt>
                <c:pt idx="12">
                  <c:v>0.16753306834878481</c:v>
                </c:pt>
                <c:pt idx="13">
                  <c:v>0.10648783655736251</c:v>
                </c:pt>
                <c:pt idx="14">
                  <c:v>-5.1415233866975482E-2</c:v>
                </c:pt>
                <c:pt idx="15">
                  <c:v>-0.100406212149902</c:v>
                </c:pt>
                <c:pt idx="16">
                  <c:v>-0.38746923254869681</c:v>
                </c:pt>
                <c:pt idx="17">
                  <c:v>-0.45468829270629813</c:v>
                </c:pt>
                <c:pt idx="18">
                  <c:v>-0.58475076413604266</c:v>
                </c:pt>
                <c:pt idx="19">
                  <c:v>-0.59077290946900829</c:v>
                </c:pt>
                <c:pt idx="20">
                  <c:v>-0.4891072334211965</c:v>
                </c:pt>
                <c:pt idx="21">
                  <c:v>-0.36469744971270968</c:v>
                </c:pt>
                <c:pt idx="22">
                  <c:v>-0.34451686129307407</c:v>
                </c:pt>
                <c:pt idx="23">
                  <c:v>-0.30145893040886235</c:v>
                </c:pt>
                <c:pt idx="24">
                  <c:v>-0.34494656624485448</c:v>
                </c:pt>
                <c:pt idx="25">
                  <c:v>-0.26996152460687406</c:v>
                </c:pt>
                <c:pt idx="26">
                  <c:v>-0.2227352884043135</c:v>
                </c:pt>
                <c:pt idx="27">
                  <c:v>-0.22161326255523725</c:v>
                </c:pt>
                <c:pt idx="28">
                  <c:v>-0.31811562304384289</c:v>
                </c:pt>
                <c:pt idx="29">
                  <c:v>-0.25442978046225373</c:v>
                </c:pt>
                <c:pt idx="30">
                  <c:v>-0.24113902742571833</c:v>
                </c:pt>
                <c:pt idx="31">
                  <c:v>-0.27290442787515889</c:v>
                </c:pt>
                <c:pt idx="32">
                  <c:v>-0.18238177865800403</c:v>
                </c:pt>
                <c:pt idx="33">
                  <c:v>-0.20001102038103918</c:v>
                </c:pt>
                <c:pt idx="34">
                  <c:v>-0.13558961954866711</c:v>
                </c:pt>
                <c:pt idx="35">
                  <c:v>-8.6900686444143865E-2</c:v>
                </c:pt>
                <c:pt idx="36">
                  <c:v>-2.0823955842345893E-2</c:v>
                </c:pt>
                <c:pt idx="37">
                  <c:v>8.5632244247329709E-2</c:v>
                </c:pt>
                <c:pt idx="38">
                  <c:v>0.14705691607324203</c:v>
                </c:pt>
                <c:pt idx="39">
                  <c:v>6.9258547927653513E-2</c:v>
                </c:pt>
                <c:pt idx="40">
                  <c:v>3.0792347781584906E-2</c:v>
                </c:pt>
                <c:pt idx="41">
                  <c:v>0.13408352684207731</c:v>
                </c:pt>
                <c:pt idx="42">
                  <c:v>0.19915175231604665</c:v>
                </c:pt>
                <c:pt idx="43">
                  <c:v>0.24869890763441665</c:v>
                </c:pt>
                <c:pt idx="44">
                  <c:v>0.29052574588931179</c:v>
                </c:pt>
                <c:pt idx="45">
                  <c:v>0.2814532391092931</c:v>
                </c:pt>
                <c:pt idx="46">
                  <c:v>0.32070616918394373</c:v>
                </c:pt>
                <c:pt idx="47">
                  <c:v>0.42153594242791664</c:v>
                </c:pt>
                <c:pt idx="48">
                  <c:v>0.45534853227226257</c:v>
                </c:pt>
                <c:pt idx="49">
                  <c:v>0.35043889709355036</c:v>
                </c:pt>
                <c:pt idx="50">
                  <c:v>0.36536200215113646</c:v>
                </c:pt>
                <c:pt idx="51">
                  <c:v>0.47340092630387454</c:v>
                </c:pt>
                <c:pt idx="52">
                  <c:v>0.54052239241156641</c:v>
                </c:pt>
                <c:pt idx="53">
                  <c:v>0.57645910395747046</c:v>
                </c:pt>
                <c:pt idx="54">
                  <c:v>0.6278700983519454</c:v>
                </c:pt>
                <c:pt idx="55">
                  <c:v>0.69213815267166368</c:v>
                </c:pt>
                <c:pt idx="56">
                  <c:v>0.70561143471962029</c:v>
                </c:pt>
                <c:pt idx="57">
                  <c:v>0.69183582023565848</c:v>
                </c:pt>
                <c:pt idx="58">
                  <c:v>0.73327962799892032</c:v>
                </c:pt>
                <c:pt idx="59">
                  <c:v>0.71277581171571269</c:v>
                </c:pt>
                <c:pt idx="60">
                  <c:v>0.71574780201090971</c:v>
                </c:pt>
                <c:pt idx="61">
                  <c:v>0.78637136771843286</c:v>
                </c:pt>
                <c:pt idx="62">
                  <c:v>0.86789524276039787</c:v>
                </c:pt>
                <c:pt idx="63">
                  <c:v>0.91580107536442512</c:v>
                </c:pt>
                <c:pt idx="64">
                  <c:v>0.93769143531808286</c:v>
                </c:pt>
                <c:pt idx="65">
                  <c:v>0.95853461886566338</c:v>
                </c:pt>
                <c:pt idx="66">
                  <c:v>0.975012635120592</c:v>
                </c:pt>
                <c:pt idx="67">
                  <c:v>0.94871578709914761</c:v>
                </c:pt>
                <c:pt idx="68">
                  <c:v>0.93552421395168339</c:v>
                </c:pt>
                <c:pt idx="69">
                  <c:v>1.0210074052194831</c:v>
                </c:pt>
                <c:pt idx="70">
                  <c:v>1.0787725154042835</c:v>
                </c:pt>
                <c:pt idx="71">
                  <c:v>1.1394837548511243</c:v>
                </c:pt>
                <c:pt idx="72">
                  <c:v>1.0737428274245897</c:v>
                </c:pt>
                <c:pt idx="73">
                  <c:v>1.1053020649457206</c:v>
                </c:pt>
                <c:pt idx="74">
                  <c:v>1.0547383320984776</c:v>
                </c:pt>
                <c:pt idx="75">
                  <c:v>1.1662641806001268</c:v>
                </c:pt>
                <c:pt idx="76">
                  <c:v>1.1365497908445636</c:v>
                </c:pt>
                <c:pt idx="77">
                  <c:v>1.1351217458553464</c:v>
                </c:pt>
                <c:pt idx="78">
                  <c:v>0.97604923137141197</c:v>
                </c:pt>
                <c:pt idx="79">
                  <c:v>1.1311205029977738</c:v>
                </c:pt>
                <c:pt idx="80">
                  <c:v>0.99852544220426243</c:v>
                </c:pt>
                <c:pt idx="81">
                  <c:v>1.1037267062140135</c:v>
                </c:pt>
                <c:pt idx="82">
                  <c:v>1.0983481871826835</c:v>
                </c:pt>
                <c:pt idx="83">
                  <c:v>1.1400456018857106</c:v>
                </c:pt>
                <c:pt idx="84">
                  <c:v>1.1013357200571932</c:v>
                </c:pt>
                <c:pt idx="85">
                  <c:v>1.0558121692695266</c:v>
                </c:pt>
                <c:pt idx="86">
                  <c:v>1.1322851529872169</c:v>
                </c:pt>
                <c:pt idx="87">
                  <c:v>1.1481638353219261</c:v>
                </c:pt>
                <c:pt idx="88">
                  <c:v>1.2371524634714377</c:v>
                </c:pt>
                <c:pt idx="89">
                  <c:v>1.2040949483304877</c:v>
                </c:pt>
                <c:pt idx="90">
                  <c:v>1.0216429937906584</c:v>
                </c:pt>
                <c:pt idx="91">
                  <c:v>1.1582746832727497</c:v>
                </c:pt>
                <c:pt idx="92">
                  <c:v>1.1997102889321603</c:v>
                </c:pt>
                <c:pt idx="93">
                  <c:v>1.2480100556154767</c:v>
                </c:pt>
                <c:pt idx="94">
                  <c:v>1.3145692154895505</c:v>
                </c:pt>
                <c:pt idx="95">
                  <c:v>1.3196366219903914</c:v>
                </c:pt>
                <c:pt idx="96">
                  <c:v>1.2562019676314167</c:v>
                </c:pt>
                <c:pt idx="97">
                  <c:v>1.2394508835506959</c:v>
                </c:pt>
                <c:pt idx="98">
                  <c:v>1.2302567240180742</c:v>
                </c:pt>
                <c:pt idx="99">
                  <c:v>1.2424970087723242</c:v>
                </c:pt>
                <c:pt idx="100">
                  <c:v>1.1933799596556987</c:v>
                </c:pt>
                <c:pt idx="101">
                  <c:v>1.2960132188338311</c:v>
                </c:pt>
                <c:pt idx="102">
                  <c:v>1.2662084248665957</c:v>
                </c:pt>
                <c:pt idx="103">
                  <c:v>1.2234962550863697</c:v>
                </c:pt>
                <c:pt idx="104">
                  <c:v>1.26643861740687</c:v>
                </c:pt>
                <c:pt idx="105">
                  <c:v>1.1963676823495124</c:v>
                </c:pt>
                <c:pt idx="106">
                  <c:v>1.2308120546907411</c:v>
                </c:pt>
                <c:pt idx="107">
                  <c:v>1.207665621465182</c:v>
                </c:pt>
                <c:pt idx="108">
                  <c:v>1.2221185690966205</c:v>
                </c:pt>
                <c:pt idx="109">
                  <c:v>1.2029892256786494</c:v>
                </c:pt>
                <c:pt idx="110">
                  <c:v>1.1897557999661272</c:v>
                </c:pt>
                <c:pt idx="111">
                  <c:v>1.1606143938854976</c:v>
                </c:pt>
                <c:pt idx="112">
                  <c:v>1.2942087505110782</c:v>
                </c:pt>
                <c:pt idx="113">
                  <c:v>1.3593217866397231</c:v>
                </c:pt>
                <c:pt idx="114">
                  <c:v>1.3289908368813821</c:v>
                </c:pt>
                <c:pt idx="115">
                  <c:v>1.3714286902407893</c:v>
                </c:pt>
                <c:pt idx="116">
                  <c:v>1.424650597796933</c:v>
                </c:pt>
                <c:pt idx="117">
                  <c:v>1.4444925463761591</c:v>
                </c:pt>
                <c:pt idx="118">
                  <c:v>1.3614588882991425</c:v>
                </c:pt>
                <c:pt idx="119">
                  <c:v>1.4166501399486577</c:v>
                </c:pt>
                <c:pt idx="120">
                  <c:v>1.3228980749589034</c:v>
                </c:pt>
                <c:pt idx="121">
                  <c:v>1.2223639471344379</c:v>
                </c:pt>
                <c:pt idx="122">
                  <c:v>1.1578902133648992</c:v>
                </c:pt>
                <c:pt idx="123">
                  <c:v>1.2948439453826928</c:v>
                </c:pt>
                <c:pt idx="124">
                  <c:v>1.3357616750823835</c:v>
                </c:pt>
                <c:pt idx="125">
                  <c:v>1.210476968758406</c:v>
                </c:pt>
                <c:pt idx="126">
                  <c:v>1.3268313036687491</c:v>
                </c:pt>
                <c:pt idx="127">
                  <c:v>1.2955542238440727</c:v>
                </c:pt>
                <c:pt idx="128">
                  <c:v>1.3422155953997996</c:v>
                </c:pt>
                <c:pt idx="129">
                  <c:v>1.4208262341429332</c:v>
                </c:pt>
                <c:pt idx="130">
                  <c:v>1.484358300777503</c:v>
                </c:pt>
                <c:pt idx="131">
                  <c:v>1.3689415532785818</c:v>
                </c:pt>
                <c:pt idx="132">
                  <c:v>1.3458508417539703</c:v>
                </c:pt>
                <c:pt idx="133">
                  <c:v>1.3883252432478774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7C-4760-AB70-E8AAF46B019B}"/>
            </c:ext>
          </c:extLst>
        </c:ser>
        <c:ser>
          <c:idx val="5"/>
          <c:order val="5"/>
          <c:tx>
            <c:strRef>
              <c:f>畫圖!$B$17:$B$17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畫圖!$C$17:$EF$17</c:f>
              <c:numCache>
                <c:formatCode>General</c:formatCode>
                <c:ptCount val="134"/>
                <c:pt idx="0">
                  <c:v>0.2060921883792059</c:v>
                </c:pt>
                <c:pt idx="1">
                  <c:v>0.1887578136461181</c:v>
                </c:pt>
                <c:pt idx="2">
                  <c:v>0.19613681514141945</c:v>
                </c:pt>
                <c:pt idx="3">
                  <c:v>8.3299300024123751E-2</c:v>
                </c:pt>
                <c:pt idx="4">
                  <c:v>1.2076533145941981E-2</c:v>
                </c:pt>
                <c:pt idx="5">
                  <c:v>8.876435470855884E-2</c:v>
                </c:pt>
                <c:pt idx="6">
                  <c:v>0.20248938251074633</c:v>
                </c:pt>
                <c:pt idx="8">
                  <c:v>-0.29682655110056239</c:v>
                </c:pt>
                <c:pt idx="9">
                  <c:v>-0.28711566159240437</c:v>
                </c:pt>
                <c:pt idx="10">
                  <c:v>-0.22218362660891819</c:v>
                </c:pt>
                <c:pt idx="11">
                  <c:v>-8.6235194556132988E-2</c:v>
                </c:pt>
                <c:pt idx="12">
                  <c:v>1.4991574716202716E-2</c:v>
                </c:pt>
                <c:pt idx="13">
                  <c:v>-5.1347794422628296E-2</c:v>
                </c:pt>
                <c:pt idx="14">
                  <c:v>-0.2131490890377552</c:v>
                </c:pt>
                <c:pt idx="15">
                  <c:v>-0.26520669794228241</c:v>
                </c:pt>
                <c:pt idx="16">
                  <c:v>-0.57586013059758057</c:v>
                </c:pt>
                <c:pt idx="17">
                  <c:v>-0.64706214513038762</c:v>
                </c:pt>
                <c:pt idx="18">
                  <c:v>-0.7883332876689445</c:v>
                </c:pt>
                <c:pt idx="19">
                  <c:v>-0.784322097839246</c:v>
                </c:pt>
                <c:pt idx="20">
                  <c:v>-0.66471811382693846</c:v>
                </c:pt>
                <c:pt idx="21">
                  <c:v>-0.54787191588613482</c:v>
                </c:pt>
                <c:pt idx="22">
                  <c:v>-0.52494390482347997</c:v>
                </c:pt>
                <c:pt idx="23">
                  <c:v>-0.47107541553261417</c:v>
                </c:pt>
                <c:pt idx="24">
                  <c:v>-0.50628520511481323</c:v>
                </c:pt>
                <c:pt idx="25">
                  <c:v>-0.42143314223664091</c:v>
                </c:pt>
                <c:pt idx="26">
                  <c:v>-0.36270445194614709</c:v>
                </c:pt>
                <c:pt idx="27">
                  <c:v>-0.3407916077725065</c:v>
                </c:pt>
                <c:pt idx="28">
                  <c:v>-0.46795003021973147</c:v>
                </c:pt>
                <c:pt idx="29">
                  <c:v>-0.40652072009779133</c:v>
                </c:pt>
                <c:pt idx="30">
                  <c:v>-0.38377973931000114</c:v>
                </c:pt>
                <c:pt idx="31">
                  <c:v>-0.41925235848289</c:v>
                </c:pt>
                <c:pt idx="32">
                  <c:v>-0.30438791308460339</c:v>
                </c:pt>
                <c:pt idx="33">
                  <c:v>-0.32659537260934984</c:v>
                </c:pt>
                <c:pt idx="34">
                  <c:v>-0.25287909787031337</c:v>
                </c:pt>
                <c:pt idx="35">
                  <c:v>-0.20215469212175685</c:v>
                </c:pt>
                <c:pt idx="36">
                  <c:v>-0.12678532453409988</c:v>
                </c:pt>
                <c:pt idx="37">
                  <c:v>-1.3498204188182178E-2</c:v>
                </c:pt>
                <c:pt idx="38">
                  <c:v>-8.658695924579872E-4</c:v>
                </c:pt>
                <c:pt idx="39">
                  <c:v>-7.8108684012043475E-2</c:v>
                </c:pt>
                <c:pt idx="40">
                  <c:v>-0.1386358214135425</c:v>
                </c:pt>
                <c:pt idx="41">
                  <c:v>-2.4705111518725204E-2</c:v>
                </c:pt>
                <c:pt idx="42">
                  <c:v>3.1618450515750504E-2</c:v>
                </c:pt>
                <c:pt idx="43">
                  <c:v>8.3886256965472722E-2</c:v>
                </c:pt>
                <c:pt idx="44">
                  <c:v>0.13844176425216051</c:v>
                </c:pt>
                <c:pt idx="45">
                  <c:v>0.11723586146989214</c:v>
                </c:pt>
                <c:pt idx="46">
                  <c:v>0.12565774951172892</c:v>
                </c:pt>
                <c:pt idx="47">
                  <c:v>0.2218983080205279</c:v>
                </c:pt>
                <c:pt idx="48">
                  <c:v>0.24932200471112878</c:v>
                </c:pt>
                <c:pt idx="49">
                  <c:v>0.12416440245093768</c:v>
                </c:pt>
                <c:pt idx="50">
                  <c:v>0.13398958155805066</c:v>
                </c:pt>
                <c:pt idx="51">
                  <c:v>0.25775364467189504</c:v>
                </c:pt>
                <c:pt idx="52">
                  <c:v>0.3416168398497087</c:v>
                </c:pt>
                <c:pt idx="53">
                  <c:v>0.36397332209591349</c:v>
                </c:pt>
                <c:pt idx="54">
                  <c:v>0.44132356433397391</c:v>
                </c:pt>
                <c:pt idx="55">
                  <c:v>0.49652106094292764</c:v>
                </c:pt>
                <c:pt idx="56">
                  <c:v>0.46112682485489037</c:v>
                </c:pt>
                <c:pt idx="57">
                  <c:v>0.47464628570664341</c:v>
                </c:pt>
                <c:pt idx="58">
                  <c:v>0.56175823114659063</c:v>
                </c:pt>
                <c:pt idx="59">
                  <c:v>0.55190016687335419</c:v>
                </c:pt>
                <c:pt idx="60">
                  <c:v>0.53807721480324866</c:v>
                </c:pt>
                <c:pt idx="61">
                  <c:v>0.61556018160319481</c:v>
                </c:pt>
                <c:pt idx="62">
                  <c:v>0.69155795204905479</c:v>
                </c:pt>
                <c:pt idx="63">
                  <c:v>0.73847347764293281</c:v>
                </c:pt>
                <c:pt idx="64">
                  <c:v>0.77365309305965646</c:v>
                </c:pt>
                <c:pt idx="65">
                  <c:v>0.80964907271413733</c:v>
                </c:pt>
                <c:pt idx="66">
                  <c:v>0.82102558316058893</c:v>
                </c:pt>
                <c:pt idx="67">
                  <c:v>0.81137920803583907</c:v>
                </c:pt>
                <c:pt idx="68">
                  <c:v>0.80727573892523252</c:v>
                </c:pt>
                <c:pt idx="69">
                  <c:v>0.91669211779565585</c:v>
                </c:pt>
                <c:pt idx="70">
                  <c:v>0.98781993654640821</c:v>
                </c:pt>
                <c:pt idx="71">
                  <c:v>1.0580302395660366</c:v>
                </c:pt>
                <c:pt idx="72">
                  <c:v>0.97759852696677063</c:v>
                </c:pt>
                <c:pt idx="73">
                  <c:v>1.0064214915864433</c:v>
                </c:pt>
                <c:pt idx="74">
                  <c:v>0.922176023957749</c:v>
                </c:pt>
                <c:pt idx="75">
                  <c:v>1.0427541798388342</c:v>
                </c:pt>
                <c:pt idx="76">
                  <c:v>1.0148193474803446</c:v>
                </c:pt>
                <c:pt idx="77">
                  <c:v>1.004341639988352</c:v>
                </c:pt>
                <c:pt idx="78">
                  <c:v>0.82938366599867108</c:v>
                </c:pt>
                <c:pt idx="79">
                  <c:v>1.0023434072178197</c:v>
                </c:pt>
                <c:pt idx="80">
                  <c:v>0.82722716171176813</c:v>
                </c:pt>
                <c:pt idx="81">
                  <c:v>0.92597335913796663</c:v>
                </c:pt>
                <c:pt idx="82">
                  <c:v>0.91044625406288948</c:v>
                </c:pt>
                <c:pt idx="83">
                  <c:v>0.96908270066993951</c:v>
                </c:pt>
                <c:pt idx="84">
                  <c:v>0.95455151568035101</c:v>
                </c:pt>
                <c:pt idx="85">
                  <c:v>0.90380919419590899</c:v>
                </c:pt>
                <c:pt idx="86">
                  <c:v>0.99554776685382196</c:v>
                </c:pt>
                <c:pt idx="87">
                  <c:v>0.9861214220847907</c:v>
                </c:pt>
                <c:pt idx="88">
                  <c:v>1.120690766516365</c:v>
                </c:pt>
                <c:pt idx="89">
                  <c:v>1.0939727053653781</c:v>
                </c:pt>
                <c:pt idx="90">
                  <c:v>0.89143407810238862</c:v>
                </c:pt>
                <c:pt idx="91">
                  <c:v>1.0395933472997323</c:v>
                </c:pt>
                <c:pt idx="92">
                  <c:v>1.0806812804831356</c:v>
                </c:pt>
                <c:pt idx="93">
                  <c:v>1.1313577711853589</c:v>
                </c:pt>
                <c:pt idx="94">
                  <c:v>1.2281994024849285</c:v>
                </c:pt>
                <c:pt idx="95">
                  <c:v>1.2774594588741217</c:v>
                </c:pt>
                <c:pt idx="96">
                  <c:v>1.2030511512908677</c:v>
                </c:pt>
                <c:pt idx="97">
                  <c:v>1.2069307592307952</c:v>
                </c:pt>
                <c:pt idx="98">
                  <c:v>1.1871689053214423</c:v>
                </c:pt>
                <c:pt idx="99">
                  <c:v>1.19794129984539</c:v>
                </c:pt>
                <c:pt idx="100">
                  <c:v>1.1485580011293</c:v>
                </c:pt>
                <c:pt idx="101">
                  <c:v>1.2728068389769205</c:v>
                </c:pt>
                <c:pt idx="102">
                  <c:v>1.2289109798317863</c:v>
                </c:pt>
                <c:pt idx="103">
                  <c:v>1.1940279690393183</c:v>
                </c:pt>
                <c:pt idx="104">
                  <c:v>1.2373914380168176</c:v>
                </c:pt>
                <c:pt idx="105">
                  <c:v>1.1522575049326638</c:v>
                </c:pt>
                <c:pt idx="106">
                  <c:v>1.1959809207159671</c:v>
                </c:pt>
                <c:pt idx="107">
                  <c:v>1.1847495503893077</c:v>
                </c:pt>
                <c:pt idx="108">
                  <c:v>1.1829102684603994</c:v>
                </c:pt>
                <c:pt idx="109">
                  <c:v>1.1441836175223867</c:v>
                </c:pt>
                <c:pt idx="110">
                  <c:v>1.1388903731986042</c:v>
                </c:pt>
                <c:pt idx="111">
                  <c:v>1.0935542156577842</c:v>
                </c:pt>
                <c:pt idx="112">
                  <c:v>1.2495906437743305</c:v>
                </c:pt>
                <c:pt idx="113">
                  <c:v>1.3231062447115016</c:v>
                </c:pt>
                <c:pt idx="114">
                  <c:v>1.2708533341291857</c:v>
                </c:pt>
                <c:pt idx="115">
                  <c:v>1.3063423668435248</c:v>
                </c:pt>
                <c:pt idx="116">
                  <c:v>1.3597937371834281</c:v>
                </c:pt>
                <c:pt idx="117">
                  <c:v>1.3432752289268046</c:v>
                </c:pt>
                <c:pt idx="118">
                  <c:v>1.2355727601301738</c:v>
                </c:pt>
                <c:pt idx="119">
                  <c:v>1.291457575006502</c:v>
                </c:pt>
                <c:pt idx="120">
                  <c:v>1.1671414152016912</c:v>
                </c:pt>
                <c:pt idx="121">
                  <c:v>1.0740024655165397</c:v>
                </c:pt>
                <c:pt idx="122">
                  <c:v>1.0022717594660344</c:v>
                </c:pt>
                <c:pt idx="123">
                  <c:v>1.1200371575769887</c:v>
                </c:pt>
                <c:pt idx="124">
                  <c:v>1.168718640991139</c:v>
                </c:pt>
                <c:pt idx="125">
                  <c:v>1.0391796583946649</c:v>
                </c:pt>
                <c:pt idx="126">
                  <c:v>1.1513181132007388</c:v>
                </c:pt>
                <c:pt idx="127">
                  <c:v>1.1194899406009526</c:v>
                </c:pt>
                <c:pt idx="128">
                  <c:v>1.1313078644666652</c:v>
                </c:pt>
                <c:pt idx="129">
                  <c:v>1.2184082136614045</c:v>
                </c:pt>
                <c:pt idx="130">
                  <c:v>1.2348334308774651</c:v>
                </c:pt>
                <c:pt idx="131">
                  <c:v>1.1065089869485525</c:v>
                </c:pt>
                <c:pt idx="132">
                  <c:v>1.0810956266385185</c:v>
                </c:pt>
                <c:pt idx="133">
                  <c:v>1.1288053936483704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7C-4760-AB70-E8AAF46B019B}"/>
            </c:ext>
          </c:extLst>
        </c:ser>
        <c:ser>
          <c:idx val="6"/>
          <c:order val="6"/>
          <c:tx>
            <c:strRef>
              <c:f>畫圖!$B$18:$B$18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畫圖!$C$18:$EF$18</c:f>
              <c:numCache>
                <c:formatCode>General</c:formatCode>
                <c:ptCount val="134"/>
                <c:pt idx="0">
                  <c:v>0.18975112249235829</c:v>
                </c:pt>
                <c:pt idx="1">
                  <c:v>0.18156365541096556</c:v>
                </c:pt>
                <c:pt idx="2">
                  <c:v>0.12256299831275777</c:v>
                </c:pt>
                <c:pt idx="3">
                  <c:v>-1.1851376120627921E-2</c:v>
                </c:pt>
                <c:pt idx="4">
                  <c:v>-9.2645623141487776E-2</c:v>
                </c:pt>
                <c:pt idx="5">
                  <c:v>2.9267166221782326E-2</c:v>
                </c:pt>
                <c:pt idx="6">
                  <c:v>0.16476734644502342</c:v>
                </c:pt>
                <c:pt idx="7">
                  <c:v>0.20817886219666504</c:v>
                </c:pt>
                <c:pt idx="8">
                  <c:v>-0.15050323631123469</c:v>
                </c:pt>
                <c:pt idx="9">
                  <c:v>-0.13752074946425308</c:v>
                </c:pt>
                <c:pt idx="10">
                  <c:v>-5.7818172350276628E-2</c:v>
                </c:pt>
                <c:pt idx="11">
                  <c:v>8.5174254934494473E-2</c:v>
                </c:pt>
                <c:pt idx="12">
                  <c:v>0.18884474456411365</c:v>
                </c:pt>
                <c:pt idx="13">
                  <c:v>0.10629213299416589</c:v>
                </c:pt>
                <c:pt idx="14">
                  <c:v>-8.2683285695324002E-2</c:v>
                </c:pt>
                <c:pt idx="15">
                  <c:v>-0.14417552356729899</c:v>
                </c:pt>
                <c:pt idx="16">
                  <c:v>-0.52790815249919332</c:v>
                </c:pt>
                <c:pt idx="17">
                  <c:v>-0.58215259253080198</c:v>
                </c:pt>
                <c:pt idx="18">
                  <c:v>-0.71464761696062096</c:v>
                </c:pt>
                <c:pt idx="19">
                  <c:v>-0.70175248189077011</c:v>
                </c:pt>
                <c:pt idx="20">
                  <c:v>-0.5638352439750639</c:v>
                </c:pt>
                <c:pt idx="21">
                  <c:v>-0.42038372634022331</c:v>
                </c:pt>
                <c:pt idx="22">
                  <c:v>-0.40115139198278776</c:v>
                </c:pt>
                <c:pt idx="23">
                  <c:v>-0.31191702854226488</c:v>
                </c:pt>
                <c:pt idx="24">
                  <c:v>-0.35362227372498894</c:v>
                </c:pt>
                <c:pt idx="25">
                  <c:v>-0.26892397399450474</c:v>
                </c:pt>
                <c:pt idx="26">
                  <c:v>-0.21110096113854748</c:v>
                </c:pt>
                <c:pt idx="27">
                  <c:v>-0.1845053707594673</c:v>
                </c:pt>
                <c:pt idx="28">
                  <c:v>-0.3280346121885418</c:v>
                </c:pt>
                <c:pt idx="29">
                  <c:v>-0.29616119402791619</c:v>
                </c:pt>
                <c:pt idx="30">
                  <c:v>-0.2636680779300401</c:v>
                </c:pt>
                <c:pt idx="31">
                  <c:v>-0.30386553889855483</c:v>
                </c:pt>
                <c:pt idx="32">
                  <c:v>-0.18577980434055463</c:v>
                </c:pt>
                <c:pt idx="33">
                  <c:v>-0.19310724822974412</c:v>
                </c:pt>
                <c:pt idx="34">
                  <c:v>-0.16295476763211814</c:v>
                </c:pt>
                <c:pt idx="35">
                  <c:v>-0.1154270039998604</c:v>
                </c:pt>
                <c:pt idx="36">
                  <c:v>-4.8783598575089196E-2</c:v>
                </c:pt>
                <c:pt idx="37">
                  <c:v>3.0511041380112597E-2</c:v>
                </c:pt>
                <c:pt idx="38">
                  <c:v>3.5938576347805382E-2</c:v>
                </c:pt>
                <c:pt idx="39">
                  <c:v>-4.2340015586001589E-2</c:v>
                </c:pt>
                <c:pt idx="40">
                  <c:v>-0.11857086091245153</c:v>
                </c:pt>
                <c:pt idx="41">
                  <c:v>5.9746454504926716E-3</c:v>
                </c:pt>
                <c:pt idx="42">
                  <c:v>9.1801197004461807E-2</c:v>
                </c:pt>
                <c:pt idx="43">
                  <c:v>0.1351268468250405</c:v>
                </c:pt>
                <c:pt idx="44">
                  <c:v>0.19970249090463205</c:v>
                </c:pt>
                <c:pt idx="45">
                  <c:v>0.17093373502291484</c:v>
                </c:pt>
                <c:pt idx="46">
                  <c:v>0.19547176926402229</c:v>
                </c:pt>
                <c:pt idx="47">
                  <c:v>0.30303263751985843</c:v>
                </c:pt>
                <c:pt idx="48">
                  <c:v>0.33781591616100648</c:v>
                </c:pt>
                <c:pt idx="49">
                  <c:v>0.18940683377210737</c:v>
                </c:pt>
                <c:pt idx="50">
                  <c:v>0.19003914469679295</c:v>
                </c:pt>
                <c:pt idx="51">
                  <c:v>0.32769518685413002</c:v>
                </c:pt>
                <c:pt idx="52">
                  <c:v>0.41089675944745063</c:v>
                </c:pt>
                <c:pt idx="53">
                  <c:v>0.38688048776015022</c:v>
                </c:pt>
                <c:pt idx="54">
                  <c:v>0.45524170099831307</c:v>
                </c:pt>
                <c:pt idx="55">
                  <c:v>0.50112623729789196</c:v>
                </c:pt>
                <c:pt idx="56">
                  <c:v>0.4843199960716878</c:v>
                </c:pt>
                <c:pt idx="57">
                  <c:v>0.50482384913549327</c:v>
                </c:pt>
                <c:pt idx="58">
                  <c:v>0.61382385605415901</c:v>
                </c:pt>
                <c:pt idx="59">
                  <c:v>0.61977992010461858</c:v>
                </c:pt>
                <c:pt idx="60">
                  <c:v>0.56177667593441594</c:v>
                </c:pt>
                <c:pt idx="61">
                  <c:v>0.64293434975462005</c:v>
                </c:pt>
                <c:pt idx="62">
                  <c:v>0.74570828881805962</c:v>
                </c:pt>
                <c:pt idx="63">
                  <c:v>0.7984826784418898</c:v>
                </c:pt>
                <c:pt idx="64">
                  <c:v>0.81871017454826445</c:v>
                </c:pt>
                <c:pt idx="65">
                  <c:v>0.86556771488294648</c:v>
                </c:pt>
                <c:pt idx="66">
                  <c:v>0.86748449899279545</c:v>
                </c:pt>
                <c:pt idx="67">
                  <c:v>0.86173630540884072</c:v>
                </c:pt>
                <c:pt idx="68">
                  <c:v>0.85775268031172147</c:v>
                </c:pt>
                <c:pt idx="69">
                  <c:v>0.97298942834760804</c:v>
                </c:pt>
                <c:pt idx="70">
                  <c:v>1.0536668723876488</c:v>
                </c:pt>
                <c:pt idx="71">
                  <c:v>1.1345902676646911</c:v>
                </c:pt>
                <c:pt idx="72">
                  <c:v>1.0492791807314956</c:v>
                </c:pt>
                <c:pt idx="73">
                  <c:v>1.0682976554475312</c:v>
                </c:pt>
                <c:pt idx="74">
                  <c:v>0.94522267962350637</c:v>
                </c:pt>
                <c:pt idx="75">
                  <c:v>1.0985426674261045</c:v>
                </c:pt>
                <c:pt idx="76">
                  <c:v>1.0824661235332438</c:v>
                </c:pt>
                <c:pt idx="77">
                  <c:v>1.0578887669207955</c:v>
                </c:pt>
                <c:pt idx="78">
                  <c:v>1.0297153229013953</c:v>
                </c:pt>
                <c:pt idx="79">
                  <c:v>1.2234321415482261</c:v>
                </c:pt>
                <c:pt idx="80">
                  <c:v>1.0455057852393488</c:v>
                </c:pt>
                <c:pt idx="81">
                  <c:v>1.1173233769397228</c:v>
                </c:pt>
                <c:pt idx="82">
                  <c:v>1.1145220180003073</c:v>
                </c:pt>
                <c:pt idx="83">
                  <c:v>1.2771790646875405</c:v>
                </c:pt>
                <c:pt idx="84">
                  <c:v>1.238309924809851</c:v>
                </c:pt>
                <c:pt idx="85">
                  <c:v>1.1759962469849414</c:v>
                </c:pt>
                <c:pt idx="86">
                  <c:v>1.2666640312772253</c:v>
                </c:pt>
                <c:pt idx="87">
                  <c:v>1.2356744862190321</c:v>
                </c:pt>
                <c:pt idx="88">
                  <c:v>1.3793230293834258</c:v>
                </c:pt>
                <c:pt idx="89">
                  <c:v>1.3442367754052491</c:v>
                </c:pt>
                <c:pt idx="90">
                  <c:v>1.1126628968558199</c:v>
                </c:pt>
                <c:pt idx="91">
                  <c:v>1.2755020058038307</c:v>
                </c:pt>
                <c:pt idx="92">
                  <c:v>1.3234785422120983</c:v>
                </c:pt>
                <c:pt idx="93">
                  <c:v>1.3786346709286903</c:v>
                </c:pt>
                <c:pt idx="94">
                  <c:v>1.4566619176606617</c:v>
                </c:pt>
                <c:pt idx="95">
                  <c:v>1.5471773466629111</c:v>
                </c:pt>
                <c:pt idx="96">
                  <c:v>1.4755286554578011</c:v>
                </c:pt>
                <c:pt idx="97">
                  <c:v>1.5665689376880898</c:v>
                </c:pt>
                <c:pt idx="98">
                  <c:v>1.5581128521235641</c:v>
                </c:pt>
                <c:pt idx="99">
                  <c:v>1.6196730379573421</c:v>
                </c:pt>
                <c:pt idx="100">
                  <c:v>1.5683156241825598</c:v>
                </c:pt>
                <c:pt idx="101">
                  <c:v>1.7011584874843311</c:v>
                </c:pt>
                <c:pt idx="102">
                  <c:v>1.6537775479656376</c:v>
                </c:pt>
                <c:pt idx="103">
                  <c:v>1.6080423392868781</c:v>
                </c:pt>
                <c:pt idx="104">
                  <c:v>1.6444511207823844</c:v>
                </c:pt>
                <c:pt idx="105">
                  <c:v>1.5619887672869703</c:v>
                </c:pt>
                <c:pt idx="106">
                  <c:v>1.6111622121786113</c:v>
                </c:pt>
                <c:pt idx="107">
                  <c:v>1.5761194333962412</c:v>
                </c:pt>
                <c:pt idx="108">
                  <c:v>1.5684999602386134</c:v>
                </c:pt>
                <c:pt idx="109">
                  <c:v>1.5404619469899643</c:v>
                </c:pt>
                <c:pt idx="110">
                  <c:v>1.5243473177519375</c:v>
                </c:pt>
                <c:pt idx="111">
                  <c:v>1.479143277966648</c:v>
                </c:pt>
                <c:pt idx="112">
                  <c:v>1.6376569050590755</c:v>
                </c:pt>
                <c:pt idx="113">
                  <c:v>1.7190546479753166</c:v>
                </c:pt>
                <c:pt idx="114">
                  <c:v>1.6525465072432783</c:v>
                </c:pt>
                <c:pt idx="115">
                  <c:v>1.6358244431652571</c:v>
                </c:pt>
                <c:pt idx="116">
                  <c:v>1.6779293507158877</c:v>
                </c:pt>
                <c:pt idx="117">
                  <c:v>1.657324664249022</c:v>
                </c:pt>
                <c:pt idx="118">
                  <c:v>1.5565973859431905</c:v>
                </c:pt>
                <c:pt idx="119">
                  <c:v>1.6334380407151516</c:v>
                </c:pt>
                <c:pt idx="120">
                  <c:v>1.485716042263419</c:v>
                </c:pt>
                <c:pt idx="121">
                  <c:v>1.3696986521524419</c:v>
                </c:pt>
                <c:pt idx="122">
                  <c:v>1.2728034660755372</c:v>
                </c:pt>
                <c:pt idx="123">
                  <c:v>1.3784440748755991</c:v>
                </c:pt>
                <c:pt idx="124">
                  <c:v>1.4603527671599723</c:v>
                </c:pt>
                <c:pt idx="125">
                  <c:v>1.3067497896974904</c:v>
                </c:pt>
                <c:pt idx="126">
                  <c:v>1.4041778266734402</c:v>
                </c:pt>
                <c:pt idx="127">
                  <c:v>1.3286614673770745</c:v>
                </c:pt>
                <c:pt idx="128">
                  <c:v>1.3222999046330928</c:v>
                </c:pt>
                <c:pt idx="129">
                  <c:v>1.4221462826114133</c:v>
                </c:pt>
                <c:pt idx="130">
                  <c:v>1.4249103980367848</c:v>
                </c:pt>
                <c:pt idx="131">
                  <c:v>1.3144323761710193</c:v>
                </c:pt>
                <c:pt idx="132">
                  <c:v>1.3005786221965121</c:v>
                </c:pt>
                <c:pt idx="133">
                  <c:v>1.3495336393069286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7C-4760-AB70-E8AAF46B019B}"/>
            </c:ext>
          </c:extLst>
        </c:ser>
        <c:ser>
          <c:idx val="7"/>
          <c:order val="7"/>
          <c:tx>
            <c:strRef>
              <c:f>畫圖!$B$19:$B$19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0.17642946585745856</c:v>
                </c:pt>
                <c:pt idx="2">
                  <c:v>0.12153137209004639</c:v>
                </c:pt>
                <c:pt idx="3">
                  <c:v>8.2884690203802305E-2</c:v>
                </c:pt>
                <c:pt idx="4">
                  <c:v>-1.4627400357797818E-2</c:v>
                </c:pt>
                <c:pt idx="5">
                  <c:v>0.13426672167804948</c:v>
                </c:pt>
                <c:pt idx="6">
                  <c:v>0.26892105456951598</c:v>
                </c:pt>
                <c:pt idx="7">
                  <c:v>0.304350639089707</c:v>
                </c:pt>
                <c:pt idx="8">
                  <c:v>-0.11398721187992722</c:v>
                </c:pt>
                <c:pt idx="9">
                  <c:v>-7.093825424476119E-2</c:v>
                </c:pt>
                <c:pt idx="10">
                  <c:v>1.5272084781356526E-2</c:v>
                </c:pt>
                <c:pt idx="11">
                  <c:v>0.11061997047133743</c:v>
                </c:pt>
                <c:pt idx="12">
                  <c:v>0.20284135349079463</c:v>
                </c:pt>
                <c:pt idx="13">
                  <c:v>0.11030716730409752</c:v>
                </c:pt>
                <c:pt idx="14">
                  <c:v>-8.685592096042237E-2</c:v>
                </c:pt>
                <c:pt idx="15">
                  <c:v>-0.17715501159127867</c:v>
                </c:pt>
                <c:pt idx="16">
                  <c:v>-0.36131512828888668</c:v>
                </c:pt>
                <c:pt idx="17">
                  <c:v>-0.38846940627518578</c:v>
                </c:pt>
                <c:pt idx="18">
                  <c:v>-0.52416774490710893</c:v>
                </c:pt>
                <c:pt idx="19">
                  <c:v>-0.48754905712165764</c:v>
                </c:pt>
                <c:pt idx="20">
                  <c:v>-0.34092806640414752</c:v>
                </c:pt>
                <c:pt idx="21">
                  <c:v>-0.22428902114005411</c:v>
                </c:pt>
                <c:pt idx="22">
                  <c:v>-0.19866038361189761</c:v>
                </c:pt>
                <c:pt idx="23">
                  <c:v>-0.10704127303587405</c:v>
                </c:pt>
                <c:pt idx="24">
                  <c:v>-0.14861145757402977</c:v>
                </c:pt>
                <c:pt idx="25">
                  <c:v>-4.6357851690087076E-2</c:v>
                </c:pt>
                <c:pt idx="26">
                  <c:v>-1.7905017048395755E-2</c:v>
                </c:pt>
                <c:pt idx="27">
                  <c:v>1.7183911539554578E-2</c:v>
                </c:pt>
                <c:pt idx="28">
                  <c:v>-0.15223214945823521</c:v>
                </c:pt>
                <c:pt idx="29">
                  <c:v>-0.11344648264933546</c:v>
                </c:pt>
                <c:pt idx="30">
                  <c:v>-9.1310263576787648E-2</c:v>
                </c:pt>
                <c:pt idx="31">
                  <c:v>-0.1478679787984912</c:v>
                </c:pt>
                <c:pt idx="32">
                  <c:v>-5.6319315873816736E-2</c:v>
                </c:pt>
                <c:pt idx="33">
                  <c:v>-4.4152124297836229E-2</c:v>
                </c:pt>
                <c:pt idx="34">
                  <c:v>-3.6600081791883517E-2</c:v>
                </c:pt>
                <c:pt idx="35">
                  <c:v>3.3670863878922035E-2</c:v>
                </c:pt>
                <c:pt idx="36">
                  <c:v>7.6776875690326984E-2</c:v>
                </c:pt>
                <c:pt idx="37">
                  <c:v>0.16034517005600907</c:v>
                </c:pt>
                <c:pt idx="38">
                  <c:v>0.18623807310142348</c:v>
                </c:pt>
                <c:pt idx="39">
                  <c:v>9.8663952828571405E-2</c:v>
                </c:pt>
                <c:pt idx="40">
                  <c:v>1.0411195767920753E-2</c:v>
                </c:pt>
                <c:pt idx="41">
                  <c:v>0.16392875808077817</c:v>
                </c:pt>
                <c:pt idx="42">
                  <c:v>0.26172571334909261</c:v>
                </c:pt>
                <c:pt idx="43">
                  <c:v>0.31102069511479391</c:v>
                </c:pt>
                <c:pt idx="44">
                  <c:v>0.38744941082844808</c:v>
                </c:pt>
                <c:pt idx="45">
                  <c:v>0.33741639013147018</c:v>
                </c:pt>
                <c:pt idx="46">
                  <c:v>0.35977255828560667</c:v>
                </c:pt>
                <c:pt idx="47">
                  <c:v>0.43997897259601954</c:v>
                </c:pt>
                <c:pt idx="48">
                  <c:v>0.46950794298939935</c:v>
                </c:pt>
                <c:pt idx="49">
                  <c:v>0.28262832482122502</c:v>
                </c:pt>
                <c:pt idx="50">
                  <c:v>0.24826444086715199</c:v>
                </c:pt>
                <c:pt idx="51">
                  <c:v>0.40801063993958359</c:v>
                </c:pt>
                <c:pt idx="52">
                  <c:v>0.47206612628576938</c:v>
                </c:pt>
                <c:pt idx="53">
                  <c:v>0.46883173365570124</c:v>
                </c:pt>
                <c:pt idx="54">
                  <c:v>0.51996360761936777</c:v>
                </c:pt>
                <c:pt idx="55">
                  <c:v>0.53353458176850643</c:v>
                </c:pt>
                <c:pt idx="56">
                  <c:v>0.51719092343566431</c:v>
                </c:pt>
                <c:pt idx="57">
                  <c:v>0.51920912513709527</c:v>
                </c:pt>
                <c:pt idx="58">
                  <c:v>0.64700775395631394</c:v>
                </c:pt>
                <c:pt idx="59">
                  <c:v>0.66871505549489318</c:v>
                </c:pt>
                <c:pt idx="60">
                  <c:v>0.61696552940290084</c:v>
                </c:pt>
                <c:pt idx="61">
                  <c:v>0.69693018754940395</c:v>
                </c:pt>
                <c:pt idx="62">
                  <c:v>0.81118078780809966</c:v>
                </c:pt>
                <c:pt idx="63">
                  <c:v>0.87843343527537143</c:v>
                </c:pt>
                <c:pt idx="64">
                  <c:v>0.9041623965404868</c:v>
                </c:pt>
                <c:pt idx="65">
                  <c:v>0.96698120407461896</c:v>
                </c:pt>
                <c:pt idx="66">
                  <c:v>0.97691524852894207</c:v>
                </c:pt>
                <c:pt idx="67">
                  <c:v>0.98359049455246206</c:v>
                </c:pt>
                <c:pt idx="68">
                  <c:v>0.95933415580797998</c:v>
                </c:pt>
                <c:pt idx="69">
                  <c:v>1.1009668356615534</c:v>
                </c:pt>
                <c:pt idx="70">
                  <c:v>1.1769030868957915</c:v>
                </c:pt>
                <c:pt idx="71">
                  <c:v>1.2705583280491379</c:v>
                </c:pt>
                <c:pt idx="72">
                  <c:v>1.1615913666654929</c:v>
                </c:pt>
                <c:pt idx="73">
                  <c:v>1.1956791519373511</c:v>
                </c:pt>
                <c:pt idx="74">
                  <c:v>1.0880294153817029</c:v>
                </c:pt>
                <c:pt idx="75">
                  <c:v>1.1567315402037568</c:v>
                </c:pt>
                <c:pt idx="76">
                  <c:v>1.1274027849799824</c:v>
                </c:pt>
                <c:pt idx="77">
                  <c:v>1.0793616164717375</c:v>
                </c:pt>
                <c:pt idx="78">
                  <c:v>1.05463836370591</c:v>
                </c:pt>
                <c:pt idx="79">
                  <c:v>1.2702575617996279</c:v>
                </c:pt>
                <c:pt idx="80">
                  <c:v>1.0719917326226687</c:v>
                </c:pt>
                <c:pt idx="81">
                  <c:v>1.151896129828718</c:v>
                </c:pt>
                <c:pt idx="82">
                  <c:v>1.1012625998140646</c:v>
                </c:pt>
                <c:pt idx="83">
                  <c:v>1.254152466863991</c:v>
                </c:pt>
                <c:pt idx="84">
                  <c:v>1.2170855207037958</c:v>
                </c:pt>
                <c:pt idx="85">
                  <c:v>1.1551450207377596</c:v>
                </c:pt>
                <c:pt idx="86">
                  <c:v>1.2591127385548577</c:v>
                </c:pt>
                <c:pt idx="87">
                  <c:v>1.2158724585800678</c:v>
                </c:pt>
                <c:pt idx="88">
                  <c:v>1.3912201001617828</c:v>
                </c:pt>
                <c:pt idx="89">
                  <c:v>1.3142874454944793</c:v>
                </c:pt>
                <c:pt idx="90">
                  <c:v>1.0418330408659728</c:v>
                </c:pt>
                <c:pt idx="91">
                  <c:v>1.2008656398483055</c:v>
                </c:pt>
                <c:pt idx="92">
                  <c:v>1.1981357316937435</c:v>
                </c:pt>
                <c:pt idx="93">
                  <c:v>1.2478299212461461</c:v>
                </c:pt>
                <c:pt idx="94">
                  <c:v>1.3085307721446842</c:v>
                </c:pt>
                <c:pt idx="95">
                  <c:v>1.431151198774715</c:v>
                </c:pt>
                <c:pt idx="96">
                  <c:v>1.347714801660822</c:v>
                </c:pt>
                <c:pt idx="97">
                  <c:v>1.4496946631772256</c:v>
                </c:pt>
                <c:pt idx="98">
                  <c:v>1.427792855395327</c:v>
                </c:pt>
                <c:pt idx="99">
                  <c:v>1.4854275817635119</c:v>
                </c:pt>
                <c:pt idx="100">
                  <c:v>1.4145057121991422</c:v>
                </c:pt>
                <c:pt idx="101">
                  <c:v>1.5273575408406062</c:v>
                </c:pt>
                <c:pt idx="102">
                  <c:v>1.4691336641373693</c:v>
                </c:pt>
                <c:pt idx="103">
                  <c:v>1.4334127651121538</c:v>
                </c:pt>
                <c:pt idx="104">
                  <c:v>1.3982333652100596</c:v>
                </c:pt>
                <c:pt idx="105">
                  <c:v>1.2919760292552589</c:v>
                </c:pt>
                <c:pt idx="106">
                  <c:v>1.3460009846378684</c:v>
                </c:pt>
                <c:pt idx="107">
                  <c:v>1.2763079377448459</c:v>
                </c:pt>
                <c:pt idx="108">
                  <c:v>1.2635614628341967</c:v>
                </c:pt>
                <c:pt idx="109">
                  <c:v>1.2634044797047919</c:v>
                </c:pt>
                <c:pt idx="110">
                  <c:v>1.267070904147213</c:v>
                </c:pt>
                <c:pt idx="111">
                  <c:v>1.2185565534242364</c:v>
                </c:pt>
                <c:pt idx="112">
                  <c:v>1.342701141208444</c:v>
                </c:pt>
                <c:pt idx="113">
                  <c:v>1.4128685490083135</c:v>
                </c:pt>
                <c:pt idx="114">
                  <c:v>1.3309162939743191</c:v>
                </c:pt>
                <c:pt idx="115">
                  <c:v>1.3333914170719576</c:v>
                </c:pt>
                <c:pt idx="116">
                  <c:v>1.3885179804719014</c:v>
                </c:pt>
                <c:pt idx="117">
                  <c:v>1.4163559949548952</c:v>
                </c:pt>
                <c:pt idx="118">
                  <c:v>1.29586661559426</c:v>
                </c:pt>
                <c:pt idx="119">
                  <c:v>1.3718289689193082</c:v>
                </c:pt>
                <c:pt idx="120">
                  <c:v>1.1938334219653379</c:v>
                </c:pt>
                <c:pt idx="121">
                  <c:v>1.0607049213459885</c:v>
                </c:pt>
                <c:pt idx="122">
                  <c:v>0.91787422329154822</c:v>
                </c:pt>
                <c:pt idx="123">
                  <c:v>1.0293989297321526</c:v>
                </c:pt>
                <c:pt idx="124">
                  <c:v>1.0900080690728369</c:v>
                </c:pt>
                <c:pt idx="125">
                  <c:v>0.95164293483465912</c:v>
                </c:pt>
                <c:pt idx="126">
                  <c:v>1.0217525125225821</c:v>
                </c:pt>
                <c:pt idx="127">
                  <c:v>0.90983168365858902</c:v>
                </c:pt>
                <c:pt idx="128">
                  <c:v>0.88175233018292165</c:v>
                </c:pt>
                <c:pt idx="129">
                  <c:v>0.9035251001957002</c:v>
                </c:pt>
                <c:pt idx="130">
                  <c:v>0.891335056971998</c:v>
                </c:pt>
                <c:pt idx="131">
                  <c:v>0.74039973998184117</c:v>
                </c:pt>
                <c:pt idx="132">
                  <c:v>0.75303378292226364</c:v>
                </c:pt>
                <c:pt idx="133">
                  <c:v>0.7700117377970328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7C-4760-AB70-E8AAF46B019B}"/>
            </c:ext>
          </c:extLst>
        </c:ser>
        <c:ser>
          <c:idx val="8"/>
          <c:order val="8"/>
          <c:tx>
            <c:strRef>
              <c:f>畫圖!$B$20:$B$20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畫圖!$C$20:$EF$20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0.20190276612766125</c:v>
                </c:pt>
                <c:pt idx="2">
                  <c:v>0.21740275427199524</c:v>
                </c:pt>
                <c:pt idx="3">
                  <c:v>0.12618433209994928</c:v>
                </c:pt>
                <c:pt idx="4">
                  <c:v>2.5818420181085378E-2</c:v>
                </c:pt>
                <c:pt idx="5">
                  <c:v>0.19019041830975528</c:v>
                </c:pt>
                <c:pt idx="6">
                  <c:v>0.34833998091085694</c:v>
                </c:pt>
                <c:pt idx="7">
                  <c:v>0.38281123963771319</c:v>
                </c:pt>
                <c:pt idx="8">
                  <c:v>0.29270258551503919</c:v>
                </c:pt>
                <c:pt idx="9">
                  <c:v>0.38841122101957493</c:v>
                </c:pt>
                <c:pt idx="10">
                  <c:v>0.48854463538366094</c:v>
                </c:pt>
                <c:pt idx="11">
                  <c:v>0.59046956442930087</c:v>
                </c:pt>
                <c:pt idx="12">
                  <c:v>0.6895710485737746</c:v>
                </c:pt>
                <c:pt idx="13">
                  <c:v>0.59840112090524933</c:v>
                </c:pt>
                <c:pt idx="14">
                  <c:v>0.38167538190227079</c:v>
                </c:pt>
                <c:pt idx="15">
                  <c:v>0.27242232626480201</c:v>
                </c:pt>
                <c:pt idx="16">
                  <c:v>0.1172397079370594</c:v>
                </c:pt>
                <c:pt idx="17">
                  <c:v>0.13290261845631876</c:v>
                </c:pt>
                <c:pt idx="18">
                  <c:v>-1.5747061661456146E-2</c:v>
                </c:pt>
                <c:pt idx="19">
                  <c:v>-3.1029585442672071E-3</c:v>
                </c:pt>
                <c:pt idx="20">
                  <c:v>0.1699824176333137</c:v>
                </c:pt>
                <c:pt idx="21">
                  <c:v>0.31867961889044727</c:v>
                </c:pt>
                <c:pt idx="22">
                  <c:v>0.36074710842904451</c:v>
                </c:pt>
                <c:pt idx="23">
                  <c:v>0.46636406891270382</c:v>
                </c:pt>
                <c:pt idx="24">
                  <c:v>0.44476951552540672</c:v>
                </c:pt>
                <c:pt idx="25">
                  <c:v>0.52952935625157993</c:v>
                </c:pt>
                <c:pt idx="26">
                  <c:v>0.58597270189209949</c:v>
                </c:pt>
                <c:pt idx="27">
                  <c:v>0.62042660474392919</c:v>
                </c:pt>
                <c:pt idx="28">
                  <c:v>0.42113374040483131</c:v>
                </c:pt>
                <c:pt idx="29">
                  <c:v>0.46017841879241128</c:v>
                </c:pt>
                <c:pt idx="30">
                  <c:v>0.48783763733230356</c:v>
                </c:pt>
                <c:pt idx="31">
                  <c:v>0.3976594366175209</c:v>
                </c:pt>
                <c:pt idx="32">
                  <c:v>0.51399619167284449</c:v>
                </c:pt>
                <c:pt idx="33">
                  <c:v>0.53123790738894572</c:v>
                </c:pt>
                <c:pt idx="34">
                  <c:v>0.51764279189294282</c:v>
                </c:pt>
                <c:pt idx="35">
                  <c:v>0.59053624392991977</c:v>
                </c:pt>
                <c:pt idx="36">
                  <c:v>0.62363222467872237</c:v>
                </c:pt>
                <c:pt idx="37">
                  <c:v>0.69910241819772068</c:v>
                </c:pt>
                <c:pt idx="38">
                  <c:v>0.74438750016240907</c:v>
                </c:pt>
                <c:pt idx="39">
                  <c:v>0.61265703890702128</c:v>
                </c:pt>
                <c:pt idx="40">
                  <c:v>0.64010952423997236</c:v>
                </c:pt>
                <c:pt idx="41">
                  <c:v>0.81015852891889661</c:v>
                </c:pt>
                <c:pt idx="42">
                  <c:v>0.92225433860171357</c:v>
                </c:pt>
                <c:pt idx="43">
                  <c:v>0.92811311236191929</c:v>
                </c:pt>
                <c:pt idx="44">
                  <c:v>1.0038054992570451</c:v>
                </c:pt>
                <c:pt idx="45">
                  <c:v>0.94917978547456694</c:v>
                </c:pt>
                <c:pt idx="46">
                  <c:v>0.95604505365371795</c:v>
                </c:pt>
                <c:pt idx="47">
                  <c:v>1.0667776016524195</c:v>
                </c:pt>
                <c:pt idx="48">
                  <c:v>1.1054523000953289</c:v>
                </c:pt>
                <c:pt idx="49">
                  <c:v>0.89164986891824016</c:v>
                </c:pt>
                <c:pt idx="50">
                  <c:v>0.85485100405769965</c:v>
                </c:pt>
                <c:pt idx="51">
                  <c:v>1.022506427434269</c:v>
                </c:pt>
                <c:pt idx="52">
                  <c:v>1.0931119951120092</c:v>
                </c:pt>
                <c:pt idx="53">
                  <c:v>1.0396821818904118</c:v>
                </c:pt>
                <c:pt idx="54">
                  <c:v>1.0337353847511515</c:v>
                </c:pt>
                <c:pt idx="55">
                  <c:v>1.0394239670824801</c:v>
                </c:pt>
                <c:pt idx="56">
                  <c:v>1.0324978243737868</c:v>
                </c:pt>
                <c:pt idx="57">
                  <c:v>0.96089137725967577</c:v>
                </c:pt>
                <c:pt idx="58">
                  <c:v>1.0926366443448507</c:v>
                </c:pt>
                <c:pt idx="59">
                  <c:v>1.1142661561780374</c:v>
                </c:pt>
                <c:pt idx="60">
                  <c:v>1.0550329883352101</c:v>
                </c:pt>
                <c:pt idx="61">
                  <c:v>1.1413252195116648</c:v>
                </c:pt>
                <c:pt idx="62">
                  <c:v>1.2782428808401032</c:v>
                </c:pt>
                <c:pt idx="63">
                  <c:v>1.3968001222854747</c:v>
                </c:pt>
                <c:pt idx="64">
                  <c:v>1.3583384047694955</c:v>
                </c:pt>
                <c:pt idx="65">
                  <c:v>1.4187459255324506</c:v>
                </c:pt>
                <c:pt idx="66">
                  <c:v>1.4341976324932937</c:v>
                </c:pt>
                <c:pt idx="67">
                  <c:v>1.4462712642237663</c:v>
                </c:pt>
                <c:pt idx="68">
                  <c:v>1.4516787704149574</c:v>
                </c:pt>
                <c:pt idx="69">
                  <c:v>1.5994818035936047</c:v>
                </c:pt>
                <c:pt idx="70">
                  <c:v>1.6982367529613114</c:v>
                </c:pt>
                <c:pt idx="71">
                  <c:v>1.8141550845243835</c:v>
                </c:pt>
                <c:pt idx="72">
                  <c:v>1.6786518327119073</c:v>
                </c:pt>
                <c:pt idx="73">
                  <c:v>1.7093454693951515</c:v>
                </c:pt>
                <c:pt idx="74">
                  <c:v>1.6041115030258482</c:v>
                </c:pt>
                <c:pt idx="75">
                  <c:v>1.6943829072861318</c:v>
                </c:pt>
                <c:pt idx="76">
                  <c:v>1.6542801792343789</c:v>
                </c:pt>
                <c:pt idx="77">
                  <c:v>1.6160282292234509</c:v>
                </c:pt>
                <c:pt idx="78">
                  <c:v>1.5899851954403859</c:v>
                </c:pt>
                <c:pt idx="79">
                  <c:v>1.7710126929309831</c:v>
                </c:pt>
                <c:pt idx="80">
                  <c:v>1.5270488974612499</c:v>
                </c:pt>
                <c:pt idx="81">
                  <c:v>1.6080068346599266</c:v>
                </c:pt>
                <c:pt idx="82">
                  <c:v>1.5089539461298378</c:v>
                </c:pt>
                <c:pt idx="83">
                  <c:v>1.5808179717269761</c:v>
                </c:pt>
                <c:pt idx="84">
                  <c:v>1.5504232979578942</c:v>
                </c:pt>
                <c:pt idx="85">
                  <c:v>1.4269829780705432</c:v>
                </c:pt>
                <c:pt idx="86">
                  <c:v>1.5179613748206497</c:v>
                </c:pt>
                <c:pt idx="87">
                  <c:v>1.4257764406315208</c:v>
                </c:pt>
                <c:pt idx="88">
                  <c:v>1.6148276058021414</c:v>
                </c:pt>
                <c:pt idx="89">
                  <c:v>1.636987017172626</c:v>
                </c:pt>
                <c:pt idx="90">
                  <c:v>1.2210156820036135</c:v>
                </c:pt>
                <c:pt idx="91">
                  <c:v>1.4130468871126409</c:v>
                </c:pt>
                <c:pt idx="92">
                  <c:v>1.4191582450417031</c:v>
                </c:pt>
                <c:pt idx="93">
                  <c:v>1.4922744895475535</c:v>
                </c:pt>
                <c:pt idx="94">
                  <c:v>1.5806387665598149</c:v>
                </c:pt>
                <c:pt idx="95">
                  <c:v>1.6711128039740812</c:v>
                </c:pt>
                <c:pt idx="96">
                  <c:v>1.5762451457075688</c:v>
                </c:pt>
                <c:pt idx="97">
                  <c:v>1.668756221402995</c:v>
                </c:pt>
                <c:pt idx="98">
                  <c:v>1.6787092843242777</c:v>
                </c:pt>
                <c:pt idx="99">
                  <c:v>1.7690078351920422</c:v>
                </c:pt>
                <c:pt idx="100">
                  <c:v>1.7565281025237454</c:v>
                </c:pt>
                <c:pt idx="101">
                  <c:v>1.9116897476729438</c:v>
                </c:pt>
                <c:pt idx="102">
                  <c:v>1.8642178545177661</c:v>
                </c:pt>
                <c:pt idx="103">
                  <c:v>1.8073151447606319</c:v>
                </c:pt>
                <c:pt idx="104">
                  <c:v>1.7577020755250761</c:v>
                </c:pt>
                <c:pt idx="105">
                  <c:v>1.6095932611862536</c:v>
                </c:pt>
                <c:pt idx="106">
                  <c:v>1.5828433972653251</c:v>
                </c:pt>
                <c:pt idx="107">
                  <c:v>1.5837025187977456</c:v>
                </c:pt>
                <c:pt idx="108">
                  <c:v>1.5795003081773749</c:v>
                </c:pt>
                <c:pt idx="109">
                  <c:v>1.5685248964348477</c:v>
                </c:pt>
                <c:pt idx="110">
                  <c:v>1.5456481646497953</c:v>
                </c:pt>
                <c:pt idx="111">
                  <c:v>1.5061882183809074</c:v>
                </c:pt>
                <c:pt idx="112">
                  <c:v>1.5911421998269624</c:v>
                </c:pt>
                <c:pt idx="113">
                  <c:v>1.6669688360055048</c:v>
                </c:pt>
                <c:pt idx="114">
                  <c:v>1.6762524862849419</c:v>
                </c:pt>
                <c:pt idx="115">
                  <c:v>1.7342716929391411</c:v>
                </c:pt>
                <c:pt idx="116">
                  <c:v>1.8000874947771115</c:v>
                </c:pt>
                <c:pt idx="117">
                  <c:v>1.8099180261679988</c:v>
                </c:pt>
                <c:pt idx="118">
                  <c:v>1.6227107084334582</c:v>
                </c:pt>
                <c:pt idx="119">
                  <c:v>1.7012233684617488</c:v>
                </c:pt>
                <c:pt idx="120">
                  <c:v>1.4951422708833941</c:v>
                </c:pt>
                <c:pt idx="121">
                  <c:v>1.3617062862612559</c:v>
                </c:pt>
                <c:pt idx="122">
                  <c:v>1.1896371790553866</c:v>
                </c:pt>
                <c:pt idx="123">
                  <c:v>1.3189826508942453</c:v>
                </c:pt>
                <c:pt idx="124">
                  <c:v>1.388042854852285</c:v>
                </c:pt>
                <c:pt idx="125">
                  <c:v>1.2341765252459702</c:v>
                </c:pt>
                <c:pt idx="126">
                  <c:v>1.2877951345976191</c:v>
                </c:pt>
                <c:pt idx="127">
                  <c:v>1.203320556287927</c:v>
                </c:pt>
                <c:pt idx="128">
                  <c:v>1.2182375817155509</c:v>
                </c:pt>
                <c:pt idx="129">
                  <c:v>1.257305215066516</c:v>
                </c:pt>
                <c:pt idx="130">
                  <c:v>1.2913547964804579</c:v>
                </c:pt>
                <c:pt idx="131">
                  <c:v>1.1144359354134477</c:v>
                </c:pt>
                <c:pt idx="132">
                  <c:v>1.1168031663408295</c:v>
                </c:pt>
                <c:pt idx="133">
                  <c:v>1.1370845829567369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7C-4760-AB70-E8AAF46B019B}"/>
            </c:ext>
          </c:extLst>
        </c:ser>
        <c:ser>
          <c:idx val="9"/>
          <c:order val="9"/>
          <c:tx>
            <c:strRef>
              <c:f>畫圖!$B$21:$B$21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畫圖!$C$21:$EF$21</c:f>
              <c:numCache>
                <c:formatCode>General</c:formatCode>
                <c:ptCount val="134"/>
                <c:pt idx="0">
                  <c:v>0.21462957980695321</c:v>
                </c:pt>
                <c:pt idx="1">
                  <c:v>0.21426187041179401</c:v>
                </c:pt>
                <c:pt idx="2">
                  <c:v>0.21398251814100216</c:v>
                </c:pt>
                <c:pt idx="3">
                  <c:v>0.16288503429459394</c:v>
                </c:pt>
                <c:pt idx="4">
                  <c:v>0.15558889626674249</c:v>
                </c:pt>
                <c:pt idx="5">
                  <c:v>0.3542569572465083</c:v>
                </c:pt>
                <c:pt idx="6">
                  <c:v>0.50151256537398126</c:v>
                </c:pt>
                <c:pt idx="7">
                  <c:v>0.56194789106562359</c:v>
                </c:pt>
                <c:pt idx="8">
                  <c:v>0.47297487371160152</c:v>
                </c:pt>
                <c:pt idx="9">
                  <c:v>0.58265448116583141</c:v>
                </c:pt>
                <c:pt idx="10">
                  <c:v>0.65831513109259188</c:v>
                </c:pt>
                <c:pt idx="11">
                  <c:v>0.75790254321553341</c:v>
                </c:pt>
                <c:pt idx="12">
                  <c:v>0.88768500174588694</c:v>
                </c:pt>
                <c:pt idx="13">
                  <c:v>0.74291240085620203</c:v>
                </c:pt>
                <c:pt idx="14">
                  <c:v>0.48560232676194975</c:v>
                </c:pt>
                <c:pt idx="15">
                  <c:v>0.39002701565531955</c:v>
                </c:pt>
                <c:pt idx="16">
                  <c:v>0.26143673020536257</c:v>
                </c:pt>
                <c:pt idx="17">
                  <c:v>0.24739636586515765</c:v>
                </c:pt>
                <c:pt idx="18">
                  <c:v>0.16111794825339965</c:v>
                </c:pt>
                <c:pt idx="19">
                  <c:v>0.21467556761943085</c:v>
                </c:pt>
                <c:pt idx="20">
                  <c:v>0.37246404723489346</c:v>
                </c:pt>
                <c:pt idx="21">
                  <c:v>0.56980122581854009</c:v>
                </c:pt>
                <c:pt idx="22">
                  <c:v>0.59063430871097489</c:v>
                </c:pt>
                <c:pt idx="23">
                  <c:v>0.7048382959336994</c:v>
                </c:pt>
                <c:pt idx="24">
                  <c:v>0.7243293394737933</c:v>
                </c:pt>
                <c:pt idx="25">
                  <c:v>0.85416892187086313</c:v>
                </c:pt>
                <c:pt idx="26">
                  <c:v>0.92847005166288554</c:v>
                </c:pt>
                <c:pt idx="27">
                  <c:v>0.97516747621563116</c:v>
                </c:pt>
                <c:pt idx="28">
                  <c:v>0.73471136572244444</c:v>
                </c:pt>
                <c:pt idx="29">
                  <c:v>0.78783697560900745</c:v>
                </c:pt>
                <c:pt idx="30">
                  <c:v>0.83213975339880153</c:v>
                </c:pt>
                <c:pt idx="31">
                  <c:v>0.7245583908340032</c:v>
                </c:pt>
                <c:pt idx="32">
                  <c:v>0.82668206634548713</c:v>
                </c:pt>
                <c:pt idx="33">
                  <c:v>0.83186799199118822</c:v>
                </c:pt>
                <c:pt idx="34">
                  <c:v>0.79606482437307813</c:v>
                </c:pt>
                <c:pt idx="35">
                  <c:v>0.86144464710618873</c:v>
                </c:pt>
                <c:pt idx="36">
                  <c:v>0.92998045455381928</c:v>
                </c:pt>
                <c:pt idx="37">
                  <c:v>1.0419365106169136</c:v>
                </c:pt>
                <c:pt idx="38">
                  <c:v>1.0896629062606402</c:v>
                </c:pt>
                <c:pt idx="39">
                  <c:v>1.017127762690621</c:v>
                </c:pt>
                <c:pt idx="40">
                  <c:v>1.0939932697011687</c:v>
                </c:pt>
                <c:pt idx="41">
                  <c:v>1.29917554793165</c:v>
                </c:pt>
                <c:pt idx="42">
                  <c:v>1.3636314165782795</c:v>
                </c:pt>
                <c:pt idx="43">
                  <c:v>1.3611385053011245</c:v>
                </c:pt>
                <c:pt idx="44">
                  <c:v>1.4089481368100816</c:v>
                </c:pt>
                <c:pt idx="45">
                  <c:v>1.3534273567479478</c:v>
                </c:pt>
                <c:pt idx="46">
                  <c:v>1.3632183867020451</c:v>
                </c:pt>
                <c:pt idx="47">
                  <c:v>1.5063660741718019</c:v>
                </c:pt>
                <c:pt idx="48">
                  <c:v>1.55338736514984</c:v>
                </c:pt>
                <c:pt idx="49">
                  <c:v>1.2984760952527035</c:v>
                </c:pt>
                <c:pt idx="50">
                  <c:v>1.2274439136046176</c:v>
                </c:pt>
                <c:pt idx="51">
                  <c:v>1.4527900486429557</c:v>
                </c:pt>
                <c:pt idx="52">
                  <c:v>1.4911111963681496</c:v>
                </c:pt>
                <c:pt idx="53">
                  <c:v>1.4693603329975218</c:v>
                </c:pt>
                <c:pt idx="54">
                  <c:v>1.4757108663949232</c:v>
                </c:pt>
                <c:pt idx="55">
                  <c:v>1.479287966575358</c:v>
                </c:pt>
                <c:pt idx="56">
                  <c:v>1.5159231557921706</c:v>
                </c:pt>
                <c:pt idx="57">
                  <c:v>1.4396017926534153</c:v>
                </c:pt>
                <c:pt idx="58">
                  <c:v>1.6055713888318071</c:v>
                </c:pt>
                <c:pt idx="59">
                  <c:v>1.6291504150135248</c:v>
                </c:pt>
                <c:pt idx="60">
                  <c:v>1.5607005346339899</c:v>
                </c:pt>
                <c:pt idx="61">
                  <c:v>1.7034216272803397</c:v>
                </c:pt>
                <c:pt idx="62">
                  <c:v>1.8585416312014396</c:v>
                </c:pt>
                <c:pt idx="63">
                  <c:v>1.9221895791936876</c:v>
                </c:pt>
                <c:pt idx="64">
                  <c:v>1.8583323427800074</c:v>
                </c:pt>
                <c:pt idx="65">
                  <c:v>1.9628414721994216</c:v>
                </c:pt>
                <c:pt idx="66">
                  <c:v>2.0173837030339263</c:v>
                </c:pt>
                <c:pt idx="67">
                  <c:v>2.0297075652177909</c:v>
                </c:pt>
                <c:pt idx="68">
                  <c:v>2.0355677379729671</c:v>
                </c:pt>
                <c:pt idx="69">
                  <c:v>2.1678124319474099</c:v>
                </c:pt>
                <c:pt idx="70">
                  <c:v>2.3033088941459789</c:v>
                </c:pt>
                <c:pt idx="71">
                  <c:v>2.4454518943314323</c:v>
                </c:pt>
                <c:pt idx="72">
                  <c:v>2.2987726973957012</c:v>
                </c:pt>
                <c:pt idx="73">
                  <c:v>2.2957818781112871</c:v>
                </c:pt>
                <c:pt idx="74">
                  <c:v>2.2454020268931707</c:v>
                </c:pt>
                <c:pt idx="75">
                  <c:v>2.2930649556138865</c:v>
                </c:pt>
                <c:pt idx="76">
                  <c:v>2.2325473523114878</c:v>
                </c:pt>
                <c:pt idx="77">
                  <c:v>2.1691259611132296</c:v>
                </c:pt>
                <c:pt idx="78">
                  <c:v>2.1224324116442665</c:v>
                </c:pt>
                <c:pt idx="79">
                  <c:v>2.4104884760067398</c:v>
                </c:pt>
                <c:pt idx="80">
                  <c:v>2.0154125335416944</c:v>
                </c:pt>
                <c:pt idx="81">
                  <c:v>2.1466782103427668</c:v>
                </c:pt>
                <c:pt idx="82">
                  <c:v>2.0029270211850809</c:v>
                </c:pt>
                <c:pt idx="83">
                  <c:v>2.0830273422612926</c:v>
                </c:pt>
                <c:pt idx="84">
                  <c:v>2.0025277258703102</c:v>
                </c:pt>
                <c:pt idx="85">
                  <c:v>1.916899968853808</c:v>
                </c:pt>
                <c:pt idx="86">
                  <c:v>2.0439505155839419</c:v>
                </c:pt>
                <c:pt idx="87">
                  <c:v>1.9100600909609773</c:v>
                </c:pt>
                <c:pt idx="88">
                  <c:v>2.1355630793643487</c:v>
                </c:pt>
                <c:pt idx="89">
                  <c:v>2.1661019695681243</c:v>
                </c:pt>
                <c:pt idx="90">
                  <c:v>1.6512367209705316</c:v>
                </c:pt>
                <c:pt idx="91">
                  <c:v>1.8739367818484443</c:v>
                </c:pt>
                <c:pt idx="92">
                  <c:v>1.8772248735735351</c:v>
                </c:pt>
                <c:pt idx="93">
                  <c:v>1.9680491515532148</c:v>
                </c:pt>
                <c:pt idx="94">
                  <c:v>2.0376955476999865</c:v>
                </c:pt>
                <c:pt idx="95">
                  <c:v>2.1199884205543253</c:v>
                </c:pt>
                <c:pt idx="96">
                  <c:v>2.0573148603848339</c:v>
                </c:pt>
                <c:pt idx="97">
                  <c:v>2.1555404924062209</c:v>
                </c:pt>
                <c:pt idx="98">
                  <c:v>2.2205459096872096</c:v>
                </c:pt>
                <c:pt idx="99">
                  <c:v>2.3226680853446164</c:v>
                </c:pt>
                <c:pt idx="100">
                  <c:v>2.3141861689407022</c:v>
                </c:pt>
                <c:pt idx="101">
                  <c:v>2.5516375397665323</c:v>
                </c:pt>
                <c:pt idx="102">
                  <c:v>2.5528297962232642</c:v>
                </c:pt>
                <c:pt idx="103">
                  <c:v>2.5012053625471098</c:v>
                </c:pt>
                <c:pt idx="104">
                  <c:v>2.4561578033238192</c:v>
                </c:pt>
                <c:pt idx="105">
                  <c:v>2.5774804921924681</c:v>
                </c:pt>
                <c:pt idx="106">
                  <c:v>2.5897186007807869</c:v>
                </c:pt>
                <c:pt idx="107">
                  <c:v>2.6112794814786615</c:v>
                </c:pt>
                <c:pt idx="108">
                  <c:v>2.6191258596071947</c:v>
                </c:pt>
                <c:pt idx="109">
                  <c:v>2.6332026798196493</c:v>
                </c:pt>
                <c:pt idx="110">
                  <c:v>2.6676101580998286</c:v>
                </c:pt>
                <c:pt idx="111">
                  <c:v>2.6296988449092686</c:v>
                </c:pt>
                <c:pt idx="112">
                  <c:v>2.7692015517281732</c:v>
                </c:pt>
                <c:pt idx="113">
                  <c:v>2.8675664905675498</c:v>
                </c:pt>
                <c:pt idx="114">
                  <c:v>2.8377323709253095</c:v>
                </c:pt>
                <c:pt idx="115">
                  <c:v>2.9089299834193025</c:v>
                </c:pt>
                <c:pt idx="116">
                  <c:v>2.9913757757499821</c:v>
                </c:pt>
                <c:pt idx="117">
                  <c:v>3.015641930843548</c:v>
                </c:pt>
                <c:pt idx="118">
                  <c:v>2.8609007448142125</c:v>
                </c:pt>
                <c:pt idx="119">
                  <c:v>2.9110716038512932</c:v>
                </c:pt>
                <c:pt idx="120">
                  <c:v>2.7102321300139973</c:v>
                </c:pt>
                <c:pt idx="121">
                  <c:v>2.5396613273285364</c:v>
                </c:pt>
                <c:pt idx="122">
                  <c:v>2.5115710333321579</c:v>
                </c:pt>
                <c:pt idx="123">
                  <c:v>2.6518470102020357</c:v>
                </c:pt>
                <c:pt idx="124">
                  <c:v>2.7800948788661568</c:v>
                </c:pt>
                <c:pt idx="125">
                  <c:v>2.5941286648349733</c:v>
                </c:pt>
                <c:pt idx="126">
                  <c:v>2.6187246603729895</c:v>
                </c:pt>
                <c:pt idx="127">
                  <c:v>2.5658805938127007</c:v>
                </c:pt>
                <c:pt idx="128">
                  <c:v>2.5410150713642725</c:v>
                </c:pt>
                <c:pt idx="129">
                  <c:v>2.5494232175348586</c:v>
                </c:pt>
                <c:pt idx="130">
                  <c:v>2.5634602726329008</c:v>
                </c:pt>
                <c:pt idx="131">
                  <c:v>2.5089614162847202</c:v>
                </c:pt>
                <c:pt idx="132">
                  <c:v>2.5233902683931384</c:v>
                </c:pt>
                <c:pt idx="133">
                  <c:v>2.5046190043510195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17C-4760-AB70-E8AAF46B019B}"/>
            </c:ext>
          </c:extLst>
        </c:ser>
        <c:ser>
          <c:idx val="10"/>
          <c:order val="10"/>
          <c:tx>
            <c:strRef>
              <c:f>畫圖!$B$22:$B$22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畫圖!$C$22:$EF$22</c:f>
              <c:numCache>
                <c:formatCode>General</c:formatCode>
                <c:ptCount val="134"/>
                <c:pt idx="0">
                  <c:v>0.20528030103697539</c:v>
                </c:pt>
                <c:pt idx="1">
                  <c:v>0.16059940413348889</c:v>
                </c:pt>
                <c:pt idx="2">
                  <c:v>0.11957187213286984</c:v>
                </c:pt>
                <c:pt idx="3">
                  <c:v>2.2137876553883384E-2</c:v>
                </c:pt>
                <c:pt idx="4">
                  <c:v>-1.0816947695915229E-2</c:v>
                </c:pt>
                <c:pt idx="5">
                  <c:v>0.16793251579170768</c:v>
                </c:pt>
                <c:pt idx="6">
                  <c:v>0.29142568512977746</c:v>
                </c:pt>
                <c:pt idx="7">
                  <c:v>0.34402427439512034</c:v>
                </c:pt>
                <c:pt idx="8">
                  <c:v>0.19073750374061105</c:v>
                </c:pt>
                <c:pt idx="9">
                  <c:v>0.36192086316651229</c:v>
                </c:pt>
                <c:pt idx="10">
                  <c:v>0.13676225810293058</c:v>
                </c:pt>
                <c:pt idx="11">
                  <c:v>0.27004267712617708</c:v>
                </c:pt>
                <c:pt idx="12">
                  <c:v>0.41352302313044947</c:v>
                </c:pt>
                <c:pt idx="13">
                  <c:v>0.34074013900163247</c:v>
                </c:pt>
                <c:pt idx="14">
                  <c:v>6.3963245168580651E-2</c:v>
                </c:pt>
                <c:pt idx="15">
                  <c:v>2.7334810896992599E-2</c:v>
                </c:pt>
                <c:pt idx="16">
                  <c:v>-0.14231174466094798</c:v>
                </c:pt>
                <c:pt idx="17">
                  <c:v>-0.16255035713778201</c:v>
                </c:pt>
                <c:pt idx="18">
                  <c:v>-0.27314038054028622</c:v>
                </c:pt>
                <c:pt idx="19">
                  <c:v>-0.23485360402043071</c:v>
                </c:pt>
                <c:pt idx="20">
                  <c:v>-2.7373336996133313E-2</c:v>
                </c:pt>
                <c:pt idx="21">
                  <c:v>0.18752671073343169</c:v>
                </c:pt>
                <c:pt idx="22">
                  <c:v>0.20325891914695274</c:v>
                </c:pt>
                <c:pt idx="23">
                  <c:v>0.27880718829279877</c:v>
                </c:pt>
                <c:pt idx="24">
                  <c:v>0.28585520517965551</c:v>
                </c:pt>
                <c:pt idx="25">
                  <c:v>0.42029141789298102</c:v>
                </c:pt>
                <c:pt idx="26">
                  <c:v>0.49471179873340843</c:v>
                </c:pt>
                <c:pt idx="27">
                  <c:v>0.50717910140398093</c:v>
                </c:pt>
                <c:pt idx="28">
                  <c:v>0.27855798979760671</c:v>
                </c:pt>
                <c:pt idx="29">
                  <c:v>0.32574030595563086</c:v>
                </c:pt>
                <c:pt idx="30">
                  <c:v>0.37858184613136475</c:v>
                </c:pt>
                <c:pt idx="31">
                  <c:v>0.27271588671089209</c:v>
                </c:pt>
                <c:pt idx="32">
                  <c:v>0.38371959793784111</c:v>
                </c:pt>
                <c:pt idx="33">
                  <c:v>0.39680113957519808</c:v>
                </c:pt>
                <c:pt idx="34">
                  <c:v>0.4980897003155938</c:v>
                </c:pt>
                <c:pt idx="35">
                  <c:v>0.53843066712249421</c:v>
                </c:pt>
                <c:pt idx="36">
                  <c:v>0.6225195705901978</c:v>
                </c:pt>
                <c:pt idx="37">
                  <c:v>0.73365238025375712</c:v>
                </c:pt>
                <c:pt idx="38">
                  <c:v>0.80836975364746277</c:v>
                </c:pt>
                <c:pt idx="39">
                  <c:v>0.74583339975947005</c:v>
                </c:pt>
                <c:pt idx="40">
                  <c:v>0.82525951723806323</c:v>
                </c:pt>
                <c:pt idx="41">
                  <c:v>1.0757921953964455</c:v>
                </c:pt>
                <c:pt idx="42">
                  <c:v>1.1586026342949955</c:v>
                </c:pt>
                <c:pt idx="43">
                  <c:v>1.1334662724549691</c:v>
                </c:pt>
                <c:pt idx="44">
                  <c:v>1.166966724365839</c:v>
                </c:pt>
                <c:pt idx="45">
                  <c:v>1.107153547689959</c:v>
                </c:pt>
                <c:pt idx="46">
                  <c:v>1.0770041584829499</c:v>
                </c:pt>
                <c:pt idx="47">
                  <c:v>1.2507675584629743</c:v>
                </c:pt>
                <c:pt idx="48">
                  <c:v>1.3225009437972048</c:v>
                </c:pt>
                <c:pt idx="49">
                  <c:v>1.1675971654760526</c:v>
                </c:pt>
                <c:pt idx="50">
                  <c:v>1.1219987403085907</c:v>
                </c:pt>
                <c:pt idx="51">
                  <c:v>1.4239286848490136</c:v>
                </c:pt>
                <c:pt idx="52">
                  <c:v>1.2930917467260583</c:v>
                </c:pt>
                <c:pt idx="53">
                  <c:v>1.27091756526023</c:v>
                </c:pt>
                <c:pt idx="54">
                  <c:v>1.2931337486547105</c:v>
                </c:pt>
                <c:pt idx="55">
                  <c:v>1.3067725659930303</c:v>
                </c:pt>
                <c:pt idx="56">
                  <c:v>1.3530520781614164</c:v>
                </c:pt>
                <c:pt idx="57">
                  <c:v>1.2250915358232846</c:v>
                </c:pt>
                <c:pt idx="58">
                  <c:v>1.3361802552331916</c:v>
                </c:pt>
                <c:pt idx="59">
                  <c:v>1.3911766703839126</c:v>
                </c:pt>
                <c:pt idx="60">
                  <c:v>1.3493370344502473</c:v>
                </c:pt>
                <c:pt idx="61">
                  <c:v>1.5111173735212826</c:v>
                </c:pt>
                <c:pt idx="62">
                  <c:v>1.7029144129773297</c:v>
                </c:pt>
                <c:pt idx="63">
                  <c:v>1.6875868609542874</c:v>
                </c:pt>
                <c:pt idx="64">
                  <c:v>1.637102431841537</c:v>
                </c:pt>
                <c:pt idx="65">
                  <c:v>1.7119379819966434</c:v>
                </c:pt>
                <c:pt idx="66">
                  <c:v>1.7397680793949559</c:v>
                </c:pt>
                <c:pt idx="67">
                  <c:v>1.7605816888614088</c:v>
                </c:pt>
                <c:pt idx="68">
                  <c:v>1.7442089064846096</c:v>
                </c:pt>
                <c:pt idx="69">
                  <c:v>1.8747396098211557</c:v>
                </c:pt>
                <c:pt idx="70">
                  <c:v>2.087688375959166</c:v>
                </c:pt>
                <c:pt idx="71">
                  <c:v>2.246232348356775</c:v>
                </c:pt>
                <c:pt idx="72">
                  <c:v>2.0715638504291678</c:v>
                </c:pt>
                <c:pt idx="73">
                  <c:v>2.1082012961211403</c:v>
                </c:pt>
                <c:pt idx="74">
                  <c:v>2.1034545097184054</c:v>
                </c:pt>
                <c:pt idx="75">
                  <c:v>2.1507122455812975</c:v>
                </c:pt>
                <c:pt idx="76">
                  <c:v>2.1232221671009741</c:v>
                </c:pt>
                <c:pt idx="77">
                  <c:v>1.9742288888550474</c:v>
                </c:pt>
                <c:pt idx="78">
                  <c:v>1.959243185416891</c:v>
                </c:pt>
                <c:pt idx="79">
                  <c:v>2.293121222129614</c:v>
                </c:pt>
                <c:pt idx="80">
                  <c:v>1.8997338830253359</c:v>
                </c:pt>
                <c:pt idx="81">
                  <c:v>2.0885336687856131</c:v>
                </c:pt>
                <c:pt idx="82">
                  <c:v>1.885270576583026</c:v>
                </c:pt>
                <c:pt idx="83">
                  <c:v>2.001189347862474</c:v>
                </c:pt>
                <c:pt idx="84">
                  <c:v>1.8834096015841149</c:v>
                </c:pt>
                <c:pt idx="85">
                  <c:v>1.7800300964945521</c:v>
                </c:pt>
                <c:pt idx="86">
                  <c:v>1.8161934390992345</c:v>
                </c:pt>
                <c:pt idx="87">
                  <c:v>1.5755416404741938</c:v>
                </c:pt>
                <c:pt idx="88">
                  <c:v>1.895973644132019</c:v>
                </c:pt>
                <c:pt idx="89">
                  <c:v>1.8874268723111116</c:v>
                </c:pt>
                <c:pt idx="90">
                  <c:v>1.237470404061956</c:v>
                </c:pt>
                <c:pt idx="91">
                  <c:v>1.4968789610313584</c:v>
                </c:pt>
                <c:pt idx="92">
                  <c:v>1.4845451817056938</c:v>
                </c:pt>
                <c:pt idx="93">
                  <c:v>1.6463956030070859</c:v>
                </c:pt>
                <c:pt idx="94">
                  <c:v>1.631193419485663</c:v>
                </c:pt>
                <c:pt idx="95">
                  <c:v>1.6894259408416483</c:v>
                </c:pt>
                <c:pt idx="96">
                  <c:v>1.5691942288775504</c:v>
                </c:pt>
                <c:pt idx="97">
                  <c:v>1.6814279240846046</c:v>
                </c:pt>
                <c:pt idx="98">
                  <c:v>1.7178791774107698</c:v>
                </c:pt>
                <c:pt idx="99">
                  <c:v>1.7216287706786186</c:v>
                </c:pt>
                <c:pt idx="100">
                  <c:v>1.7136399449051094</c:v>
                </c:pt>
                <c:pt idx="101">
                  <c:v>1.9765604295043486</c:v>
                </c:pt>
                <c:pt idx="102">
                  <c:v>1.9725686756224245</c:v>
                </c:pt>
                <c:pt idx="103">
                  <c:v>1.9141851687939324</c:v>
                </c:pt>
                <c:pt idx="104">
                  <c:v>1.8934603843497748</c:v>
                </c:pt>
                <c:pt idx="105">
                  <c:v>2.0413544869225784</c:v>
                </c:pt>
                <c:pt idx="106">
                  <c:v>2.0358627289406281</c:v>
                </c:pt>
                <c:pt idx="107">
                  <c:v>2.0528945042141813</c:v>
                </c:pt>
                <c:pt idx="108">
                  <c:v>2.0848795472950687</c:v>
                </c:pt>
                <c:pt idx="109">
                  <c:v>2.0988248934785725</c:v>
                </c:pt>
                <c:pt idx="110">
                  <c:v>2.1623858927408217</c:v>
                </c:pt>
                <c:pt idx="111">
                  <c:v>2.1121398869077259</c:v>
                </c:pt>
                <c:pt idx="112">
                  <c:v>2.2912746007305662</c:v>
                </c:pt>
                <c:pt idx="113">
                  <c:v>2.4162162484679492</c:v>
                </c:pt>
                <c:pt idx="114">
                  <c:v>2.3527501974299159</c:v>
                </c:pt>
                <c:pt idx="115">
                  <c:v>2.3995135256339233</c:v>
                </c:pt>
                <c:pt idx="116">
                  <c:v>2.5229510269455613</c:v>
                </c:pt>
                <c:pt idx="117">
                  <c:v>2.5331782847984652</c:v>
                </c:pt>
                <c:pt idx="118">
                  <c:v>2.4021472809790252</c:v>
                </c:pt>
                <c:pt idx="119">
                  <c:v>2.396054728363707</c:v>
                </c:pt>
                <c:pt idx="120">
                  <c:v>2.1990038068013478</c:v>
                </c:pt>
                <c:pt idx="121">
                  <c:v>2.1406467978045827</c:v>
                </c:pt>
                <c:pt idx="122">
                  <c:v>2.0831514069677435</c:v>
                </c:pt>
                <c:pt idx="123">
                  <c:v>2.2088565246459213</c:v>
                </c:pt>
                <c:pt idx="124">
                  <c:v>2.2872462483529183</c:v>
                </c:pt>
                <c:pt idx="125">
                  <c:v>2.0648036399046235</c:v>
                </c:pt>
                <c:pt idx="126">
                  <c:v>2.0566565232790834</c:v>
                </c:pt>
                <c:pt idx="127">
                  <c:v>1.952908542333526</c:v>
                </c:pt>
                <c:pt idx="128">
                  <c:v>1.8823598934941672</c:v>
                </c:pt>
                <c:pt idx="129">
                  <c:v>1.8017631659588493</c:v>
                </c:pt>
                <c:pt idx="130">
                  <c:v>1.8232582675344875</c:v>
                </c:pt>
                <c:pt idx="131">
                  <c:v>1.74584470047688</c:v>
                </c:pt>
                <c:pt idx="132">
                  <c:v>1.7792910042890935</c:v>
                </c:pt>
                <c:pt idx="133">
                  <c:v>1.7445007579169212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7C-4760-AB70-E8AAF46B019B}"/>
            </c:ext>
          </c:extLst>
        </c:ser>
        <c:ser>
          <c:idx val="11"/>
          <c:order val="11"/>
          <c:tx>
            <c:strRef>
              <c:f>畫圖!$B$23:$B$23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0.25317859801090681</c:v>
                </c:pt>
                <c:pt idx="2">
                  <c:v>0.1722374254402346</c:v>
                </c:pt>
                <c:pt idx="3">
                  <c:v>3.0572516388332888E-2</c:v>
                </c:pt>
                <c:pt idx="4">
                  <c:v>-2.1651657458165489E-2</c:v>
                </c:pt>
                <c:pt idx="5">
                  <c:v>0.18206665042080961</c:v>
                </c:pt>
                <c:pt idx="6">
                  <c:v>0.33021867902110358</c:v>
                </c:pt>
                <c:pt idx="7">
                  <c:v>0.23205638787465122</c:v>
                </c:pt>
                <c:pt idx="8">
                  <c:v>2.7566911402417626E-2</c:v>
                </c:pt>
                <c:pt idx="9">
                  <c:v>8.1610441178016246E-2</c:v>
                </c:pt>
                <c:pt idx="10">
                  <c:v>-0.18095890586932406</c:v>
                </c:pt>
                <c:pt idx="11">
                  <c:v>-2.4539668233311274E-2</c:v>
                </c:pt>
                <c:pt idx="12">
                  <c:v>0.18002470973969081</c:v>
                </c:pt>
                <c:pt idx="13">
                  <c:v>8.9622998557565434E-2</c:v>
                </c:pt>
                <c:pt idx="14">
                  <c:v>0.14919101545808594</c:v>
                </c:pt>
                <c:pt idx="15">
                  <c:v>9.2979872144830888E-2</c:v>
                </c:pt>
                <c:pt idx="16">
                  <c:v>-2.0744660682431207E-2</c:v>
                </c:pt>
                <c:pt idx="17">
                  <c:v>-2.1118029890909953E-2</c:v>
                </c:pt>
                <c:pt idx="18">
                  <c:v>-0.11487545233170432</c:v>
                </c:pt>
                <c:pt idx="19">
                  <c:v>-0.13790490944149544</c:v>
                </c:pt>
                <c:pt idx="20">
                  <c:v>0.19371424080764907</c:v>
                </c:pt>
                <c:pt idx="21">
                  <c:v>0.45779993577094635</c:v>
                </c:pt>
                <c:pt idx="22">
                  <c:v>0.47245973730143659</c:v>
                </c:pt>
                <c:pt idx="23">
                  <c:v>0.50549225274531184</c:v>
                </c:pt>
                <c:pt idx="24">
                  <c:v>0.51209854471478211</c:v>
                </c:pt>
                <c:pt idx="25">
                  <c:v>0.57613832459156566</c:v>
                </c:pt>
                <c:pt idx="26">
                  <c:v>0.65248466273840366</c:v>
                </c:pt>
                <c:pt idx="27">
                  <c:v>0.66749556309545111</c:v>
                </c:pt>
                <c:pt idx="28">
                  <c:v>0.33515131448292562</c:v>
                </c:pt>
                <c:pt idx="29">
                  <c:v>0.40205757457267688</c:v>
                </c:pt>
                <c:pt idx="30">
                  <c:v>0.49393123221903706</c:v>
                </c:pt>
                <c:pt idx="31">
                  <c:v>0.40975964769585382</c:v>
                </c:pt>
                <c:pt idx="32">
                  <c:v>0.61891124631611749</c:v>
                </c:pt>
                <c:pt idx="33">
                  <c:v>0.64249868661014164</c:v>
                </c:pt>
                <c:pt idx="34">
                  <c:v>0.75660978595733264</c:v>
                </c:pt>
                <c:pt idx="35">
                  <c:v>0.88804149914986819</c:v>
                </c:pt>
                <c:pt idx="36">
                  <c:v>0.89581098815473348</c:v>
                </c:pt>
                <c:pt idx="37">
                  <c:v>1.1381256875120342</c:v>
                </c:pt>
                <c:pt idx="38">
                  <c:v>1.1327887353206101</c:v>
                </c:pt>
                <c:pt idx="39">
                  <c:v>1.1359098346729157</c:v>
                </c:pt>
                <c:pt idx="40">
                  <c:v>1.2253348269325264</c:v>
                </c:pt>
                <c:pt idx="41">
                  <c:v>1.5620788707775941</c:v>
                </c:pt>
                <c:pt idx="42">
                  <c:v>1.5473719827802166</c:v>
                </c:pt>
                <c:pt idx="43">
                  <c:v>1.505944260966567</c:v>
                </c:pt>
                <c:pt idx="44">
                  <c:v>1.5390897870950713</c:v>
                </c:pt>
                <c:pt idx="45">
                  <c:v>1.5114507928976972</c:v>
                </c:pt>
                <c:pt idx="46">
                  <c:v>1.4594238830592945</c:v>
                </c:pt>
                <c:pt idx="47">
                  <c:v>1.5292620368863385</c:v>
                </c:pt>
                <c:pt idx="48">
                  <c:v>1.6994960177269207</c:v>
                </c:pt>
                <c:pt idx="49">
                  <c:v>1.6357424003258605</c:v>
                </c:pt>
                <c:pt idx="50">
                  <c:v>1.6453891804059613</c:v>
                </c:pt>
                <c:pt idx="51">
                  <c:v>1.5943396963030763</c:v>
                </c:pt>
                <c:pt idx="52">
                  <c:v>1.2935114471300104</c:v>
                </c:pt>
                <c:pt idx="53">
                  <c:v>1.3883423284764607</c:v>
                </c:pt>
                <c:pt idx="54">
                  <c:v>1.3169115660791642</c:v>
                </c:pt>
                <c:pt idx="55">
                  <c:v>1.294064575474478</c:v>
                </c:pt>
                <c:pt idx="56">
                  <c:v>1.3688260466712305</c:v>
                </c:pt>
                <c:pt idx="57">
                  <c:v>1.1653420653159434</c:v>
                </c:pt>
                <c:pt idx="58">
                  <c:v>1.3564541446391425</c:v>
                </c:pt>
                <c:pt idx="59">
                  <c:v>1.4604574599070694</c:v>
                </c:pt>
                <c:pt idx="60">
                  <c:v>1.4624915682435469</c:v>
                </c:pt>
                <c:pt idx="61">
                  <c:v>1.6120258644937864</c:v>
                </c:pt>
                <c:pt idx="62">
                  <c:v>1.8012065512809403</c:v>
                </c:pt>
                <c:pt idx="63">
                  <c:v>1.7942593805221272</c:v>
                </c:pt>
                <c:pt idx="64">
                  <c:v>1.8307843222681264</c:v>
                </c:pt>
                <c:pt idx="65">
                  <c:v>1.9290507214795829</c:v>
                </c:pt>
                <c:pt idx="66">
                  <c:v>2.0010986229148489</c:v>
                </c:pt>
                <c:pt idx="67">
                  <c:v>2.0189429443788116</c:v>
                </c:pt>
                <c:pt idx="68">
                  <c:v>1.9456675557208998</c:v>
                </c:pt>
                <c:pt idx="69">
                  <c:v>2.0893173617468968</c:v>
                </c:pt>
                <c:pt idx="70">
                  <c:v>2.2950050975928429</c:v>
                </c:pt>
                <c:pt idx="71">
                  <c:v>2.4084726659530316</c:v>
                </c:pt>
                <c:pt idx="72">
                  <c:v>2.2063203326773402</c:v>
                </c:pt>
                <c:pt idx="73">
                  <c:v>2.1981072129500872</c:v>
                </c:pt>
                <c:pt idx="74">
                  <c:v>2.1879015202557395</c:v>
                </c:pt>
                <c:pt idx="75">
                  <c:v>2.1955712826875842</c:v>
                </c:pt>
                <c:pt idx="76">
                  <c:v>2.1199180829409552</c:v>
                </c:pt>
                <c:pt idx="77">
                  <c:v>1.9023038799485152</c:v>
                </c:pt>
                <c:pt idx="78">
                  <c:v>2.1272625074441955</c:v>
                </c:pt>
                <c:pt idx="79">
                  <c:v>2.3189389624589807</c:v>
                </c:pt>
                <c:pt idx="80">
                  <c:v>2.2023143556625193</c:v>
                </c:pt>
                <c:pt idx="81">
                  <c:v>2.3594492654536845</c:v>
                </c:pt>
                <c:pt idx="82">
                  <c:v>1.9662054775300077</c:v>
                </c:pt>
                <c:pt idx="83">
                  <c:v>2.146401926451436</c:v>
                </c:pt>
                <c:pt idx="84">
                  <c:v>1.8365025093233391</c:v>
                </c:pt>
                <c:pt idx="85">
                  <c:v>1.8166271417729285</c:v>
                </c:pt>
                <c:pt idx="86">
                  <c:v>1.9127441365008901</c:v>
                </c:pt>
                <c:pt idx="87">
                  <c:v>1.5040831238334718</c:v>
                </c:pt>
                <c:pt idx="88">
                  <c:v>1.8908160703563812</c:v>
                </c:pt>
                <c:pt idx="89">
                  <c:v>1.8378108919865779</c:v>
                </c:pt>
                <c:pt idx="90">
                  <c:v>0.9288876046209581</c:v>
                </c:pt>
                <c:pt idx="91">
                  <c:v>1.2402483477837147</c:v>
                </c:pt>
                <c:pt idx="92">
                  <c:v>1.2310646032839088</c:v>
                </c:pt>
                <c:pt idx="93">
                  <c:v>1.2426624071049874</c:v>
                </c:pt>
                <c:pt idx="94">
                  <c:v>1.2056881881137089</c:v>
                </c:pt>
                <c:pt idx="95">
                  <c:v>1.2513507298249629</c:v>
                </c:pt>
                <c:pt idx="96">
                  <c:v>1.2302941341116758</c:v>
                </c:pt>
                <c:pt idx="97">
                  <c:v>1.20804899662287</c:v>
                </c:pt>
                <c:pt idx="98">
                  <c:v>1.3089503284252886</c:v>
                </c:pt>
                <c:pt idx="99">
                  <c:v>1.2202333343287624</c:v>
                </c:pt>
                <c:pt idx="100">
                  <c:v>1.2422798650821409</c:v>
                </c:pt>
                <c:pt idx="101">
                  <c:v>1.4242786589394922</c:v>
                </c:pt>
                <c:pt idx="102">
                  <c:v>1.3932965227135818</c:v>
                </c:pt>
                <c:pt idx="103">
                  <c:v>1.3773413658465854</c:v>
                </c:pt>
                <c:pt idx="104">
                  <c:v>1.4965318519169997</c:v>
                </c:pt>
                <c:pt idx="105">
                  <c:v>1.7099428963239964</c:v>
                </c:pt>
                <c:pt idx="106">
                  <c:v>1.7005476703723517</c:v>
                </c:pt>
                <c:pt idx="107">
                  <c:v>1.7624897974172571</c:v>
                </c:pt>
                <c:pt idx="108">
                  <c:v>1.8007598092919741</c:v>
                </c:pt>
                <c:pt idx="109">
                  <c:v>1.8561732566007165</c:v>
                </c:pt>
                <c:pt idx="110">
                  <c:v>1.9096528535167374</c:v>
                </c:pt>
                <c:pt idx="111">
                  <c:v>1.8225948453443896</c:v>
                </c:pt>
                <c:pt idx="112">
                  <c:v>2.1004280619032327</c:v>
                </c:pt>
                <c:pt idx="113">
                  <c:v>2.3165291214435064</c:v>
                </c:pt>
                <c:pt idx="114">
                  <c:v>2.2970318165241403</c:v>
                </c:pt>
                <c:pt idx="115">
                  <c:v>2.3035290125681107</c:v>
                </c:pt>
                <c:pt idx="116">
                  <c:v>2.4676203163019448</c:v>
                </c:pt>
                <c:pt idx="117">
                  <c:v>2.5147085489576675</c:v>
                </c:pt>
                <c:pt idx="118">
                  <c:v>2.3444975524541296</c:v>
                </c:pt>
                <c:pt idx="119">
                  <c:v>2.254611549722823</c:v>
                </c:pt>
                <c:pt idx="120">
                  <c:v>1.9665149728037767</c:v>
                </c:pt>
                <c:pt idx="121">
                  <c:v>1.8425597496075778</c:v>
                </c:pt>
                <c:pt idx="122">
                  <c:v>1.8768469348625754</c:v>
                </c:pt>
                <c:pt idx="123">
                  <c:v>2.153118543192015</c:v>
                </c:pt>
                <c:pt idx="124">
                  <c:v>2.2943467757748537</c:v>
                </c:pt>
                <c:pt idx="125">
                  <c:v>1.9808535693958875</c:v>
                </c:pt>
                <c:pt idx="126">
                  <c:v>2.1507303980481418</c:v>
                </c:pt>
                <c:pt idx="127">
                  <c:v>2.0478573794216293</c:v>
                </c:pt>
                <c:pt idx="128">
                  <c:v>2.0244084718085098</c:v>
                </c:pt>
                <c:pt idx="129">
                  <c:v>1.9616550320978348</c:v>
                </c:pt>
                <c:pt idx="130">
                  <c:v>1.9250707157720215</c:v>
                </c:pt>
                <c:pt idx="131">
                  <c:v>1.8336448111522405</c:v>
                </c:pt>
                <c:pt idx="132">
                  <c:v>1.8926954950404808</c:v>
                </c:pt>
                <c:pt idx="133">
                  <c:v>1.8449132164488211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17C-4760-AB70-E8AAF46B019B}"/>
            </c:ext>
          </c:extLst>
        </c:ser>
        <c:ser>
          <c:idx val="12"/>
          <c:order val="12"/>
          <c:tx>
            <c:strRef>
              <c:f>畫圖!$B$24:$B$24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畫圖!$C$24:$EF$24</c:f>
              <c:numCache>
                <c:formatCode>General</c:formatCode>
                <c:ptCount val="134"/>
                <c:pt idx="0">
                  <c:v>9.9113364206882743E-2</c:v>
                </c:pt>
                <c:pt idx="1">
                  <c:v>-4.9356457655301555E-3</c:v>
                </c:pt>
                <c:pt idx="2">
                  <c:v>6.6464684403766752E-2</c:v>
                </c:pt>
                <c:pt idx="3">
                  <c:v>-0.16069486223298207</c:v>
                </c:pt>
                <c:pt idx="4">
                  <c:v>6.5065160824590323E-2</c:v>
                </c:pt>
                <c:pt idx="5">
                  <c:v>0.31175188931516012</c:v>
                </c:pt>
                <c:pt idx="6">
                  <c:v>0.30963995611201661</c:v>
                </c:pt>
                <c:pt idx="7">
                  <c:v>0.20966776320188046</c:v>
                </c:pt>
                <c:pt idx="8">
                  <c:v>0.18815248484692035</c:v>
                </c:pt>
                <c:pt idx="9">
                  <c:v>0.28377573535560247</c:v>
                </c:pt>
                <c:pt idx="10">
                  <c:v>-0.17925180884453601</c:v>
                </c:pt>
                <c:pt idx="11">
                  <c:v>-3.5121356444102803E-2</c:v>
                </c:pt>
                <c:pt idx="12">
                  <c:v>0.2001878369613202</c:v>
                </c:pt>
                <c:pt idx="13">
                  <c:v>9.5939422552320699E-2</c:v>
                </c:pt>
                <c:pt idx="14">
                  <c:v>0.15690438419902697</c:v>
                </c:pt>
                <c:pt idx="15">
                  <c:v>-8.8792986580232741E-2</c:v>
                </c:pt>
                <c:pt idx="16">
                  <c:v>-0.44130744764039709</c:v>
                </c:pt>
                <c:pt idx="17">
                  <c:v>-0.31761640354860787</c:v>
                </c:pt>
                <c:pt idx="18">
                  <c:v>-0.46613507777252589</c:v>
                </c:pt>
                <c:pt idx="19">
                  <c:v>-0.53327438061015442</c:v>
                </c:pt>
                <c:pt idx="20">
                  <c:v>-3.7562394654211795E-2</c:v>
                </c:pt>
                <c:pt idx="21">
                  <c:v>8.0460037851792107E-2</c:v>
                </c:pt>
                <c:pt idx="22">
                  <c:v>8.9937052778209195E-2</c:v>
                </c:pt>
                <c:pt idx="23">
                  <c:v>0.1957793800570162</c:v>
                </c:pt>
                <c:pt idx="24">
                  <c:v>0.20932714829459348</c:v>
                </c:pt>
                <c:pt idx="25">
                  <c:v>0.40466677096983728</c:v>
                </c:pt>
                <c:pt idx="26">
                  <c:v>0.5300471517458023</c:v>
                </c:pt>
                <c:pt idx="27">
                  <c:v>0.53786899063843197</c:v>
                </c:pt>
                <c:pt idx="28">
                  <c:v>-3.3891306078492889E-3</c:v>
                </c:pt>
                <c:pt idx="29">
                  <c:v>1.913287942694121E-2</c:v>
                </c:pt>
                <c:pt idx="30">
                  <c:v>0.15786859705357881</c:v>
                </c:pt>
                <c:pt idx="31">
                  <c:v>0.10117123698578923</c:v>
                </c:pt>
                <c:pt idx="32">
                  <c:v>0.41158547221513153</c:v>
                </c:pt>
                <c:pt idx="33">
                  <c:v>0.49702067400599564</c:v>
                </c:pt>
                <c:pt idx="34">
                  <c:v>0.58190462707418789</c:v>
                </c:pt>
                <c:pt idx="35">
                  <c:v>0.52722769158355254</c:v>
                </c:pt>
                <c:pt idx="36">
                  <c:v>0.50830841016302586</c:v>
                </c:pt>
                <c:pt idx="37">
                  <c:v>0.72949787530845711</c:v>
                </c:pt>
                <c:pt idx="38">
                  <c:v>0.79558798713744716</c:v>
                </c:pt>
                <c:pt idx="39">
                  <c:v>0.77273627164835079</c:v>
                </c:pt>
                <c:pt idx="40">
                  <c:v>0.81981324448259651</c:v>
                </c:pt>
                <c:pt idx="41">
                  <c:v>0.82945250109020352</c:v>
                </c:pt>
                <c:pt idx="42">
                  <c:v>0.80149642382361341</c:v>
                </c:pt>
                <c:pt idx="43">
                  <c:v>0.83195563130832206</c:v>
                </c:pt>
                <c:pt idx="44">
                  <c:v>0.87605095117354637</c:v>
                </c:pt>
                <c:pt idx="45">
                  <c:v>0.7888989989866505</c:v>
                </c:pt>
                <c:pt idx="46">
                  <c:v>0.7938865404976897</c:v>
                </c:pt>
                <c:pt idx="47">
                  <c:v>0.82219272708611424</c:v>
                </c:pt>
                <c:pt idx="48">
                  <c:v>0.99032002097100369</c:v>
                </c:pt>
                <c:pt idx="49">
                  <c:v>1.0281870945706688</c:v>
                </c:pt>
                <c:pt idx="50">
                  <c:v>0.97439236248603567</c:v>
                </c:pt>
                <c:pt idx="51">
                  <c:v>0.88823332909070085</c:v>
                </c:pt>
                <c:pt idx="52">
                  <c:v>8.5017316046323455E-2</c:v>
                </c:pt>
                <c:pt idx="53">
                  <c:v>0.27061253529275864</c:v>
                </c:pt>
                <c:pt idx="54">
                  <c:v>0.22454818126107176</c:v>
                </c:pt>
                <c:pt idx="55">
                  <c:v>0.31219951731516404</c:v>
                </c:pt>
                <c:pt idx="56">
                  <c:v>0.33903548318147497</c:v>
                </c:pt>
                <c:pt idx="57">
                  <c:v>-4.7219853732060002E-2</c:v>
                </c:pt>
                <c:pt idx="58">
                  <c:v>0.1764092523379871</c:v>
                </c:pt>
                <c:pt idx="59">
                  <c:v>0.17975756809287169</c:v>
                </c:pt>
                <c:pt idx="60">
                  <c:v>0.18378111498715791</c:v>
                </c:pt>
                <c:pt idx="61">
                  <c:v>0.50094540891187456</c:v>
                </c:pt>
                <c:pt idx="62">
                  <c:v>0.51241842802961168</c:v>
                </c:pt>
                <c:pt idx="63">
                  <c:v>0.51926776987518641</c:v>
                </c:pt>
                <c:pt idx="64">
                  <c:v>0.35815807877954453</c:v>
                </c:pt>
                <c:pt idx="65">
                  <c:v>0.48150925990886645</c:v>
                </c:pt>
                <c:pt idx="66">
                  <c:v>0.4173396265787514</c:v>
                </c:pt>
                <c:pt idx="67">
                  <c:v>0.45969584988216911</c:v>
                </c:pt>
                <c:pt idx="68">
                  <c:v>0.45841113239771214</c:v>
                </c:pt>
                <c:pt idx="69">
                  <c:v>0.57468182845189941</c:v>
                </c:pt>
                <c:pt idx="70">
                  <c:v>0.80300846001184012</c:v>
                </c:pt>
                <c:pt idx="71">
                  <c:v>0.91073691389982303</c:v>
                </c:pt>
                <c:pt idx="72">
                  <c:v>0.84890103026422992</c:v>
                </c:pt>
                <c:pt idx="73">
                  <c:v>0.71594097455377215</c:v>
                </c:pt>
                <c:pt idx="74">
                  <c:v>0.82568664372118949</c:v>
                </c:pt>
                <c:pt idx="75">
                  <c:v>1.0845795425711864</c:v>
                </c:pt>
                <c:pt idx="76">
                  <c:v>0.96935786179777172</c:v>
                </c:pt>
                <c:pt idx="77">
                  <c:v>1.1781198360856409</c:v>
                </c:pt>
                <c:pt idx="78">
                  <c:v>1.6179743483525746</c:v>
                </c:pt>
                <c:pt idx="79">
                  <c:v>1.7622806590947695</c:v>
                </c:pt>
                <c:pt idx="80">
                  <c:v>1.552159223858681</c:v>
                </c:pt>
                <c:pt idx="81">
                  <c:v>1.7738805861040694</c:v>
                </c:pt>
                <c:pt idx="82">
                  <c:v>1.4500626070850089</c:v>
                </c:pt>
                <c:pt idx="83">
                  <c:v>1.8043399039275119</c:v>
                </c:pt>
                <c:pt idx="84">
                  <c:v>2.1327917246367765</c:v>
                </c:pt>
                <c:pt idx="85">
                  <c:v>2.1459012100561958</c:v>
                </c:pt>
                <c:pt idx="86">
                  <c:v>2.2394312893718924</c:v>
                </c:pt>
                <c:pt idx="87">
                  <c:v>2.3811866227444329</c:v>
                </c:pt>
                <c:pt idx="88">
                  <c:v>2.9307737327035333</c:v>
                </c:pt>
                <c:pt idx="89">
                  <c:v>2.8230349662463201</c:v>
                </c:pt>
                <c:pt idx="90">
                  <c:v>2.0463817479100888</c:v>
                </c:pt>
                <c:pt idx="91">
                  <c:v>2.206725952724931</c:v>
                </c:pt>
                <c:pt idx="92">
                  <c:v>2.3214131265882276</c:v>
                </c:pt>
                <c:pt idx="93">
                  <c:v>2.3824979648277842</c:v>
                </c:pt>
                <c:pt idx="94">
                  <c:v>2.2966027320809785</c:v>
                </c:pt>
                <c:pt idx="95">
                  <c:v>2.3930217402283742</c:v>
                </c:pt>
                <c:pt idx="96">
                  <c:v>2.3202703925716643</c:v>
                </c:pt>
                <c:pt idx="97">
                  <c:v>2.3353344401110396</c:v>
                </c:pt>
                <c:pt idx="98">
                  <c:v>2.5104516061830471</c:v>
                </c:pt>
                <c:pt idx="99">
                  <c:v>2.5656587998917342</c:v>
                </c:pt>
                <c:pt idx="100">
                  <c:v>2.4855918952549154</c:v>
                </c:pt>
                <c:pt idx="101">
                  <c:v>2.5977985236994825</c:v>
                </c:pt>
                <c:pt idx="102">
                  <c:v>2.6223097278622371</c:v>
                </c:pt>
                <c:pt idx="103">
                  <c:v>2.426849055349583</c:v>
                </c:pt>
                <c:pt idx="104">
                  <c:v>2.6180248135201176</c:v>
                </c:pt>
                <c:pt idx="105">
                  <c:v>2.7714061942592236</c:v>
                </c:pt>
                <c:pt idx="106">
                  <c:v>2.5953434367496886</c:v>
                </c:pt>
                <c:pt idx="107">
                  <c:v>2.4906784607291272</c:v>
                </c:pt>
                <c:pt idx="108">
                  <c:v>2.5497842948534712</c:v>
                </c:pt>
                <c:pt idx="109">
                  <c:v>2.5506308199188377</c:v>
                </c:pt>
                <c:pt idx="110">
                  <c:v>2.692506278857107</c:v>
                </c:pt>
                <c:pt idx="111">
                  <c:v>2.5600176683478675</c:v>
                </c:pt>
                <c:pt idx="112">
                  <c:v>2.8995268789783113</c:v>
                </c:pt>
                <c:pt idx="113">
                  <c:v>3.1126313052641925</c:v>
                </c:pt>
                <c:pt idx="114">
                  <c:v>2.9711917780373178</c:v>
                </c:pt>
                <c:pt idx="115">
                  <c:v>3.2045263488120139</c:v>
                </c:pt>
                <c:pt idx="116">
                  <c:v>3.3899671514447016</c:v>
                </c:pt>
                <c:pt idx="117">
                  <c:v>3.5043405769307157</c:v>
                </c:pt>
                <c:pt idx="118">
                  <c:v>3.3713632256947457</c:v>
                </c:pt>
                <c:pt idx="119">
                  <c:v>3.3508475954827164</c:v>
                </c:pt>
                <c:pt idx="120">
                  <c:v>3.1345860544498709</c:v>
                </c:pt>
                <c:pt idx="121">
                  <c:v>3.0962231882797413</c:v>
                </c:pt>
                <c:pt idx="122">
                  <c:v>3.0485846010059836</c:v>
                </c:pt>
                <c:pt idx="123">
                  <c:v>3.2068092996497981</c:v>
                </c:pt>
                <c:pt idx="124">
                  <c:v>3.3156663895411285</c:v>
                </c:pt>
                <c:pt idx="125">
                  <c:v>3.0040732617486245</c:v>
                </c:pt>
                <c:pt idx="126">
                  <c:v>3.3478775485468333</c:v>
                </c:pt>
                <c:pt idx="127">
                  <c:v>3.2974083661437166</c:v>
                </c:pt>
                <c:pt idx="128">
                  <c:v>3.3747592883710524</c:v>
                </c:pt>
                <c:pt idx="129">
                  <c:v>3.3451771120057585</c:v>
                </c:pt>
                <c:pt idx="130">
                  <c:v>3.3308671932350795</c:v>
                </c:pt>
                <c:pt idx="131">
                  <c:v>3.2746943479367174</c:v>
                </c:pt>
                <c:pt idx="132">
                  <c:v>3.3881237871279364</c:v>
                </c:pt>
                <c:pt idx="133">
                  <c:v>3.4554004641719049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17C-4760-AB70-E8AAF46B019B}"/>
            </c:ext>
          </c:extLst>
        </c:ser>
        <c:ser>
          <c:idx val="13"/>
          <c:order val="13"/>
          <c:tx>
            <c:strRef>
              <c:f>畫圖!$A$25:$B$25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17C-4760-AB70-E8AAF46B0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617423"/>
        <c:axId val="732617903"/>
      </c:lineChart>
      <c:catAx>
        <c:axId val="73261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903"/>
        <c:crosses val="autoZero"/>
        <c:auto val="1"/>
        <c:lblAlgn val="ctr"/>
        <c:lblOffset val="100"/>
        <c:noMultiLvlLbl val="0"/>
      </c:catAx>
      <c:valAx>
        <c:axId val="7326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22860</xdr:colOff>
      <xdr:row>26</xdr:row>
      <xdr:rowOff>91440</xdr:rowOff>
    </xdr:from>
    <xdr:to>
      <xdr:col>129</xdr:col>
      <xdr:colOff>148590</xdr:colOff>
      <xdr:row>47</xdr:row>
      <xdr:rowOff>129540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A90D610-5438-AEE7-89C0-2D6EAA8E8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540310</xdr:colOff>
      <xdr:row>26</xdr:row>
      <xdr:rowOff>104485</xdr:rowOff>
    </xdr:from>
    <xdr:to>
      <xdr:col>127</xdr:col>
      <xdr:colOff>174550</xdr:colOff>
      <xdr:row>40</xdr:row>
      <xdr:rowOff>180684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股價淨值比"/>
      <sheetName val="bm(函數)"/>
      <sheetName val="bm"/>
      <sheetName val="下個月月報酬"/>
      <sheetName val="bm補值"/>
      <sheetName val="下個月月報酬補值"/>
      <sheetName val="bmIC"/>
    </sheetNames>
    <sheetDataSet>
      <sheetData sheetId="0"/>
      <sheetData sheetId="1"/>
      <sheetData sheetId="2"/>
      <sheetData sheetId="3"/>
      <sheetData sheetId="4">
        <row r="2">
          <cell r="C2">
            <v>0.77519379844961234</v>
          </cell>
          <cell r="EG2">
            <v>0.78125</v>
          </cell>
        </row>
        <row r="3">
          <cell r="EG3">
            <v>0.77519379844961234</v>
          </cell>
        </row>
        <row r="4">
          <cell r="EG4">
            <v>1.4925373134328357</v>
          </cell>
        </row>
        <row r="5">
          <cell r="EG5">
            <v>1.2345679012345678</v>
          </cell>
        </row>
        <row r="6">
          <cell r="EG6">
            <v>1.2987012987012987</v>
          </cell>
        </row>
        <row r="7">
          <cell r="EG7">
            <v>1.4285714285714286</v>
          </cell>
        </row>
        <row r="8">
          <cell r="EG8">
            <v>1.2820512820512819</v>
          </cell>
        </row>
        <row r="9">
          <cell r="EG9">
            <v>0.28735632183908044</v>
          </cell>
        </row>
        <row r="10">
          <cell r="EG10">
            <v>0.72992700729927007</v>
          </cell>
        </row>
        <row r="11">
          <cell r="EG11">
            <v>0.61349693251533743</v>
          </cell>
        </row>
        <row r="12">
          <cell r="EG12">
            <v>0.96153846153846145</v>
          </cell>
        </row>
        <row r="13">
          <cell r="EG13">
            <v>0.85470085470085477</v>
          </cell>
        </row>
        <row r="14">
          <cell r="EG14">
            <v>0.45248868778280543</v>
          </cell>
        </row>
        <row r="15">
          <cell r="EG15">
            <v>0.81967213114754101</v>
          </cell>
        </row>
        <row r="16">
          <cell r="EG16">
            <v>0.89285714285714279</v>
          </cell>
        </row>
        <row r="17">
          <cell r="EG17">
            <v>1.0309278350515465</v>
          </cell>
        </row>
        <row r="18">
          <cell r="EG18">
            <v>0.83333333333333337</v>
          </cell>
        </row>
        <row r="19">
          <cell r="EG19">
            <v>0.76923076923076916</v>
          </cell>
        </row>
        <row r="20">
          <cell r="EG20">
            <v>0.29069767441860467</v>
          </cell>
        </row>
        <row r="21">
          <cell r="EG21">
            <v>1.2195121951219512</v>
          </cell>
        </row>
        <row r="22">
          <cell r="EG22">
            <v>1.0416666666666667</v>
          </cell>
        </row>
        <row r="23">
          <cell r="EG23">
            <v>0.4081632653061224</v>
          </cell>
        </row>
        <row r="24">
          <cell r="EG24">
            <v>0.31847133757961782</v>
          </cell>
        </row>
        <row r="25">
          <cell r="EG25">
            <v>0.67114093959731547</v>
          </cell>
        </row>
        <row r="26">
          <cell r="EG26">
            <v>0.4329004329004329</v>
          </cell>
        </row>
        <row r="27">
          <cell r="EG27">
            <v>0.63291139240506322</v>
          </cell>
        </row>
        <row r="28">
          <cell r="EG28">
            <v>0.49019607843137253</v>
          </cell>
        </row>
        <row r="29">
          <cell r="EG29">
            <v>0.47169811320754712</v>
          </cell>
        </row>
        <row r="30">
          <cell r="EG30">
            <v>0.74626865671641784</v>
          </cell>
        </row>
        <row r="31">
          <cell r="EG31">
            <v>0.9174311926605504</v>
          </cell>
        </row>
        <row r="32">
          <cell r="EG32">
            <v>0.4504504504504504</v>
          </cell>
        </row>
        <row r="33">
          <cell r="EG33">
            <v>0.79365079365079361</v>
          </cell>
        </row>
        <row r="34">
          <cell r="EG34">
            <v>0.88495575221238942</v>
          </cell>
        </row>
        <row r="35">
          <cell r="EG35">
            <v>0.61728395061728392</v>
          </cell>
        </row>
        <row r="36">
          <cell r="EG36">
            <v>0.76335877862595414</v>
          </cell>
        </row>
        <row r="37">
          <cell r="EG37">
            <v>0.81967213114754101</v>
          </cell>
        </row>
        <row r="38">
          <cell r="EG38">
            <v>0.88495575221238942</v>
          </cell>
        </row>
        <row r="39">
          <cell r="EG39">
            <v>1.0989010989010988</v>
          </cell>
        </row>
        <row r="40">
          <cell r="EG40">
            <v>1.1494252873563218</v>
          </cell>
        </row>
        <row r="41">
          <cell r="EG41">
            <v>0.3623188405797102</v>
          </cell>
        </row>
        <row r="42">
          <cell r="EG42">
            <v>0.47619047619047616</v>
          </cell>
        </row>
        <row r="43">
          <cell r="EG43">
            <v>0.75757575757575757</v>
          </cell>
        </row>
        <row r="44">
          <cell r="EG44">
            <v>0.56497175141242939</v>
          </cell>
        </row>
        <row r="45">
          <cell r="EG45">
            <v>0.625</v>
          </cell>
        </row>
        <row r="46">
          <cell r="EG46">
            <v>0.51546391752577325</v>
          </cell>
        </row>
        <row r="47">
          <cell r="EG47">
            <v>0.54347826086956519</v>
          </cell>
        </row>
        <row r="48">
          <cell r="EG48">
            <v>1</v>
          </cell>
        </row>
        <row r="49">
          <cell r="EG49">
            <v>0.78125</v>
          </cell>
        </row>
        <row r="50">
          <cell r="EG50">
            <v>1.3888888888888888</v>
          </cell>
        </row>
        <row r="51">
          <cell r="EG51">
            <v>1.3888888888888888</v>
          </cell>
        </row>
        <row r="52">
          <cell r="EG52">
            <v>0.87719298245614041</v>
          </cell>
        </row>
        <row r="53">
          <cell r="EG53">
            <v>1.2658227848101264</v>
          </cell>
        </row>
        <row r="54">
          <cell r="EG54">
            <v>0.65359477124183007</v>
          </cell>
        </row>
        <row r="55">
          <cell r="EG55">
            <v>0.43103448275862072</v>
          </cell>
        </row>
        <row r="56">
          <cell r="EG56">
            <v>1.6949152542372883</v>
          </cell>
        </row>
        <row r="57">
          <cell r="EG57">
            <v>0.52631578947368418</v>
          </cell>
        </row>
        <row r="58">
          <cell r="EG58">
            <v>1.1764705882352942</v>
          </cell>
        </row>
        <row r="59">
          <cell r="EG59">
            <v>1.0416666666666667</v>
          </cell>
        </row>
        <row r="60">
          <cell r="EG60">
            <v>1.25</v>
          </cell>
        </row>
        <row r="61">
          <cell r="EG61">
            <v>0.77519379844961234</v>
          </cell>
        </row>
        <row r="62">
          <cell r="EG62">
            <v>6.4350064350064351E-2</v>
          </cell>
        </row>
        <row r="63">
          <cell r="EG63">
            <v>0.36764705882352938</v>
          </cell>
        </row>
        <row r="64">
          <cell r="EG64">
            <v>1.1494252873563218</v>
          </cell>
        </row>
        <row r="65">
          <cell r="EG65">
            <v>0.83333333333333337</v>
          </cell>
        </row>
        <row r="66">
          <cell r="EG66">
            <v>0.64102564102564097</v>
          </cell>
        </row>
        <row r="67">
          <cell r="EG67">
            <v>2.1276595744680851</v>
          </cell>
        </row>
        <row r="68">
          <cell r="EG68">
            <v>0.96153846153846145</v>
          </cell>
        </row>
        <row r="69">
          <cell r="EG69">
            <v>1.5384615384615383</v>
          </cell>
        </row>
        <row r="70">
          <cell r="EG70">
            <v>1.0101010101010102</v>
          </cell>
        </row>
        <row r="71">
          <cell r="EG71">
            <v>0.63291139240506322</v>
          </cell>
        </row>
        <row r="72">
          <cell r="EG72">
            <v>1.5151515151515151</v>
          </cell>
        </row>
        <row r="73">
          <cell r="EG73">
            <v>1.0869565217391304</v>
          </cell>
        </row>
        <row r="74">
          <cell r="EG74">
            <v>1.3888888888888888</v>
          </cell>
        </row>
        <row r="75">
          <cell r="EG75">
            <v>1.2820512820512819</v>
          </cell>
        </row>
        <row r="76">
          <cell r="EG76">
            <v>1.5151515151515151</v>
          </cell>
        </row>
        <row r="77">
          <cell r="EG77">
            <v>0.85470085470085477</v>
          </cell>
        </row>
        <row r="78">
          <cell r="EG78">
            <v>2.2222222222222223</v>
          </cell>
        </row>
        <row r="79">
          <cell r="EG79">
            <v>1.4084507042253522</v>
          </cell>
        </row>
        <row r="80">
          <cell r="EG80">
            <v>1.0101010101010102</v>
          </cell>
        </row>
        <row r="81">
          <cell r="EG81">
            <v>1.7543859649122808</v>
          </cell>
        </row>
        <row r="82">
          <cell r="EG82">
            <v>0.970873786407767</v>
          </cell>
        </row>
        <row r="83">
          <cell r="EG83">
            <v>1.6129032258064517</v>
          </cell>
        </row>
        <row r="84">
          <cell r="EG84">
            <v>1.5384615384615383</v>
          </cell>
        </row>
        <row r="85">
          <cell r="EG85">
            <v>0.89285714285714279</v>
          </cell>
        </row>
        <row r="86">
          <cell r="EG86">
            <v>0.9009009009009008</v>
          </cell>
        </row>
        <row r="87">
          <cell r="EG87">
            <v>0.89285714285714279</v>
          </cell>
        </row>
        <row r="88">
          <cell r="EG88">
            <v>1.0416666666666667</v>
          </cell>
        </row>
        <row r="89">
          <cell r="EG89">
            <v>0.34843205574912889</v>
          </cell>
        </row>
        <row r="90">
          <cell r="EG90">
            <v>1.4925373134328357</v>
          </cell>
        </row>
        <row r="91">
          <cell r="EG91">
            <v>0.80645161290322587</v>
          </cell>
        </row>
        <row r="92">
          <cell r="EG92">
            <v>1.5625</v>
          </cell>
        </row>
        <row r="93">
          <cell r="EG93">
            <v>0.54945054945054939</v>
          </cell>
        </row>
        <row r="94">
          <cell r="EG94">
            <v>0.76335877862595414</v>
          </cell>
        </row>
        <row r="95">
          <cell r="EG95">
            <v>0.303951367781155</v>
          </cell>
        </row>
        <row r="96">
          <cell r="EG96">
            <v>0.77519379844961234</v>
          </cell>
        </row>
        <row r="97">
          <cell r="EG97">
            <v>1.3698630136986301</v>
          </cell>
        </row>
        <row r="98">
          <cell r="EG98">
            <v>0.43103448275862072</v>
          </cell>
        </row>
        <row r="99">
          <cell r="EG99">
            <v>1.2195121951219512</v>
          </cell>
        </row>
        <row r="100">
          <cell r="EG100">
            <v>0.82644628099173556</v>
          </cell>
        </row>
        <row r="101">
          <cell r="EG101">
            <v>0.80645161290322587</v>
          </cell>
        </row>
        <row r="102">
          <cell r="EG102">
            <v>0.76923076923076916</v>
          </cell>
        </row>
        <row r="103">
          <cell r="EG103">
            <v>0.44843049327354262</v>
          </cell>
        </row>
        <row r="104">
          <cell r="EG104">
            <v>1.0309278350515465</v>
          </cell>
        </row>
        <row r="105">
          <cell r="EG105">
            <v>0.46296296296296291</v>
          </cell>
        </row>
        <row r="106">
          <cell r="EG106">
            <v>0.36101083032490977</v>
          </cell>
        </row>
        <row r="107">
          <cell r="EG107">
            <v>0.70921985815602839</v>
          </cell>
        </row>
        <row r="108">
          <cell r="EG108">
            <v>0.96153846153846145</v>
          </cell>
        </row>
        <row r="109">
          <cell r="EG109">
            <v>0.57471264367816088</v>
          </cell>
        </row>
        <row r="110">
          <cell r="EG110">
            <v>0.96153846153846145</v>
          </cell>
        </row>
        <row r="111">
          <cell r="EG111">
            <v>0.51546391752577325</v>
          </cell>
        </row>
        <row r="112">
          <cell r="EG112">
            <v>1.0638297872340425</v>
          </cell>
        </row>
        <row r="113">
          <cell r="EG113">
            <v>1.2345679012345678</v>
          </cell>
        </row>
        <row r="114">
          <cell r="EG114">
            <v>0.5524861878453039</v>
          </cell>
        </row>
        <row r="115">
          <cell r="EG115">
            <v>0.87719298245614041</v>
          </cell>
        </row>
        <row r="116">
          <cell r="EG116">
            <v>0.73529411764705876</v>
          </cell>
        </row>
        <row r="117">
          <cell r="EG117">
            <v>0.70422535211267612</v>
          </cell>
        </row>
        <row r="118">
          <cell r="EG118">
            <v>0.35714285714285715</v>
          </cell>
        </row>
        <row r="119">
          <cell r="EG119">
            <v>0.5714285714285714</v>
          </cell>
        </row>
        <row r="120">
          <cell r="EG120">
            <v>0.49261083743842371</v>
          </cell>
        </row>
        <row r="121">
          <cell r="EG121">
            <v>0.27932960893854747</v>
          </cell>
        </row>
        <row r="122">
          <cell r="EG122">
            <v>1.2195121951219512</v>
          </cell>
        </row>
        <row r="123">
          <cell r="EG123">
            <v>0.51282051282051289</v>
          </cell>
        </row>
        <row r="124">
          <cell r="EG124">
            <v>0.5714285714285714</v>
          </cell>
        </row>
        <row r="125">
          <cell r="EG125">
            <v>0.5181347150259068</v>
          </cell>
        </row>
        <row r="126">
          <cell r="EG126">
            <v>0.16666666666666666</v>
          </cell>
        </row>
        <row r="127">
          <cell r="EG127">
            <v>0.93457943925233644</v>
          </cell>
        </row>
        <row r="128">
          <cell r="EG128">
            <v>1.639344262295082</v>
          </cell>
        </row>
        <row r="129">
          <cell r="EG129">
            <v>1.4285714285714286</v>
          </cell>
        </row>
        <row r="130">
          <cell r="EG130">
            <v>0.93457943925233644</v>
          </cell>
        </row>
        <row r="131">
          <cell r="EG131">
            <v>1.4084507042253522</v>
          </cell>
        </row>
        <row r="132">
          <cell r="EG132">
            <v>0.46511627906976744</v>
          </cell>
        </row>
        <row r="133">
          <cell r="EG133">
            <v>1.0869565217391304</v>
          </cell>
        </row>
        <row r="134">
          <cell r="EG134">
            <v>0.52083333333333337</v>
          </cell>
        </row>
        <row r="135">
          <cell r="EG135">
            <v>0.94339622641509424</v>
          </cell>
        </row>
        <row r="136">
          <cell r="EG136">
            <v>1.5151515151515151</v>
          </cell>
        </row>
        <row r="137">
          <cell r="EG137">
            <v>1.4705882352941175</v>
          </cell>
        </row>
        <row r="138">
          <cell r="EG138">
            <v>1.9230769230769229</v>
          </cell>
        </row>
        <row r="139">
          <cell r="EG139">
            <v>0.26954177897574122</v>
          </cell>
        </row>
        <row r="140">
          <cell r="EG140">
            <v>0.29154518950437314</v>
          </cell>
        </row>
        <row r="141">
          <cell r="EG141">
            <v>0.625</v>
          </cell>
        </row>
        <row r="142">
          <cell r="EG142">
            <v>0.970873786407767</v>
          </cell>
        </row>
        <row r="143">
          <cell r="EG143">
            <v>0.6097560975609756</v>
          </cell>
        </row>
        <row r="144">
          <cell r="EG144">
            <v>0.41152263374485593</v>
          </cell>
        </row>
        <row r="145">
          <cell r="EG145">
            <v>0.9174311926605504</v>
          </cell>
        </row>
        <row r="146">
          <cell r="EG146">
            <v>1.1627906976744187</v>
          </cell>
        </row>
        <row r="147">
          <cell r="EG147">
            <v>0.66666666666666663</v>
          </cell>
        </row>
        <row r="148">
          <cell r="EG148">
            <v>0.60606060606060608</v>
          </cell>
        </row>
        <row r="149">
          <cell r="EG149">
            <v>1.2195121951219512</v>
          </cell>
        </row>
        <row r="150">
          <cell r="EG150">
            <v>0.6097560975609756</v>
          </cell>
        </row>
        <row r="151">
          <cell r="EG151">
            <v>0.6097560975609756</v>
          </cell>
        </row>
        <row r="152">
          <cell r="EG152">
            <v>0.49751243781094534</v>
          </cell>
        </row>
        <row r="153">
          <cell r="EG153">
            <v>0.22172949002217296</v>
          </cell>
        </row>
        <row r="154">
          <cell r="EG154">
            <v>0.5780346820809249</v>
          </cell>
        </row>
        <row r="155">
          <cell r="EG155">
            <v>0.78740157480314954</v>
          </cell>
        </row>
        <row r="156">
          <cell r="EG156">
            <v>0.44247787610619471</v>
          </cell>
        </row>
        <row r="157">
          <cell r="EG157">
            <v>0.75757575757575757</v>
          </cell>
        </row>
        <row r="158">
          <cell r="EG158">
            <v>0.66225165562913912</v>
          </cell>
        </row>
        <row r="159">
          <cell r="EG159">
            <v>0.73529411764705876</v>
          </cell>
        </row>
        <row r="160">
          <cell r="EG160">
            <v>0.2293577981651376</v>
          </cell>
        </row>
        <row r="161">
          <cell r="EG161">
            <v>0.5181347150259068</v>
          </cell>
        </row>
        <row r="162">
          <cell r="EG162">
            <v>0.81967213114754101</v>
          </cell>
        </row>
        <row r="163">
          <cell r="EG163">
            <v>0.54054054054054046</v>
          </cell>
        </row>
        <row r="164">
          <cell r="EG164">
            <v>1.1494252873563218</v>
          </cell>
        </row>
        <row r="165">
          <cell r="EG165">
            <v>0.31645569620253161</v>
          </cell>
        </row>
        <row r="166">
          <cell r="EG166">
            <v>0.31446540880503143</v>
          </cell>
        </row>
        <row r="167">
          <cell r="EG167">
            <v>0.37174721189591081</v>
          </cell>
        </row>
        <row r="168">
          <cell r="EG168">
            <v>0.58479532163742687</v>
          </cell>
        </row>
        <row r="169">
          <cell r="EG169">
            <v>0.37735849056603776</v>
          </cell>
        </row>
        <row r="170">
          <cell r="EG170">
            <v>0.60240963855421692</v>
          </cell>
        </row>
        <row r="171">
          <cell r="EG171">
            <v>0.61349693251533743</v>
          </cell>
        </row>
        <row r="172">
          <cell r="EG172">
            <v>0.61349693251533743</v>
          </cell>
        </row>
        <row r="173">
          <cell r="EG173">
            <v>1.2820512820512819</v>
          </cell>
        </row>
        <row r="174">
          <cell r="EG174">
            <v>0.2386634844868735</v>
          </cell>
        </row>
        <row r="175">
          <cell r="EG175">
            <v>1.2658227848101264</v>
          </cell>
        </row>
        <row r="176">
          <cell r="EG176">
            <v>0.76923076923076916</v>
          </cell>
        </row>
        <row r="177">
          <cell r="EG177">
            <v>1.2658227848101264</v>
          </cell>
        </row>
        <row r="178">
          <cell r="EG178">
            <v>1.0204081632653061</v>
          </cell>
        </row>
        <row r="179">
          <cell r="EG179">
            <v>1.1363636363636365</v>
          </cell>
        </row>
        <row r="180">
          <cell r="EG180">
            <v>0.52356020942408377</v>
          </cell>
        </row>
        <row r="181">
          <cell r="EG181">
            <v>0.5524861878453039</v>
          </cell>
        </row>
        <row r="182">
          <cell r="EG182">
            <v>1.1363636363636365</v>
          </cell>
        </row>
        <row r="183">
          <cell r="EG183">
            <v>0.59171597633136097</v>
          </cell>
        </row>
        <row r="184">
          <cell r="EG184">
            <v>0.7142857142857143</v>
          </cell>
        </row>
        <row r="185">
          <cell r="EG185">
            <v>1.1764705882352942</v>
          </cell>
        </row>
        <row r="186">
          <cell r="EG186">
            <v>1.0416666666666667</v>
          </cell>
        </row>
        <row r="187">
          <cell r="EG187">
            <v>0.82644628099173556</v>
          </cell>
        </row>
        <row r="188">
          <cell r="EG188">
            <v>0.49261083743842371</v>
          </cell>
        </row>
        <row r="189">
          <cell r="EG189">
            <v>0.4366812227074236</v>
          </cell>
        </row>
        <row r="190">
          <cell r="EG190">
            <v>1.0204081632653061</v>
          </cell>
        </row>
        <row r="191">
          <cell r="EG191">
            <v>0.5617977528089888</v>
          </cell>
        </row>
        <row r="192">
          <cell r="EG192">
            <v>1.0638297872340425</v>
          </cell>
        </row>
        <row r="193">
          <cell r="EG193">
            <v>1.3888888888888888</v>
          </cell>
        </row>
        <row r="194">
          <cell r="EG194">
            <v>1.2345679012345678</v>
          </cell>
        </row>
        <row r="195">
          <cell r="EG195">
            <v>1.0869565217391304</v>
          </cell>
        </row>
        <row r="196">
          <cell r="EG196">
            <v>0.7246376811594204</v>
          </cell>
        </row>
        <row r="197">
          <cell r="EG197">
            <v>0.67114093959731547</v>
          </cell>
        </row>
        <row r="198">
          <cell r="EG198">
            <v>0.96153846153846145</v>
          </cell>
        </row>
        <row r="199">
          <cell r="EG199">
            <v>0.67567567567567566</v>
          </cell>
        </row>
        <row r="200">
          <cell r="EG200">
            <v>0.58823529411764708</v>
          </cell>
        </row>
        <row r="201">
          <cell r="EG201">
            <v>0.53475935828876997</v>
          </cell>
        </row>
        <row r="202">
          <cell r="EG202">
            <v>0.51282051282051289</v>
          </cell>
        </row>
        <row r="203">
          <cell r="EG203">
            <v>0.59523809523809523</v>
          </cell>
        </row>
        <row r="204">
          <cell r="EG204">
            <v>0.3236245954692557</v>
          </cell>
        </row>
        <row r="205">
          <cell r="EG205">
            <v>0.86206896551724144</v>
          </cell>
        </row>
        <row r="206">
          <cell r="EG206">
            <v>0.41841004184100417</v>
          </cell>
        </row>
        <row r="207">
          <cell r="EG207">
            <v>0.7246376811594204</v>
          </cell>
        </row>
        <row r="208">
          <cell r="EG208">
            <v>0.32786885245901642</v>
          </cell>
        </row>
        <row r="209">
          <cell r="EG209">
            <v>0.5</v>
          </cell>
        </row>
        <row r="210">
          <cell r="EG210">
            <v>0.58823529411764708</v>
          </cell>
        </row>
        <row r="211">
          <cell r="EG211">
            <v>0.64516129032258063</v>
          </cell>
        </row>
        <row r="212">
          <cell r="EG212">
            <v>0.94339622641509424</v>
          </cell>
        </row>
        <row r="213">
          <cell r="EG213">
            <v>1.0638297872340425</v>
          </cell>
        </row>
        <row r="214">
          <cell r="EG214">
            <v>1.3157894736842106</v>
          </cell>
        </row>
        <row r="215">
          <cell r="EG215">
            <v>1.25</v>
          </cell>
        </row>
        <row r="216">
          <cell r="EG216">
            <v>0.53475935828876997</v>
          </cell>
        </row>
        <row r="217">
          <cell r="EG217">
            <v>0.69930069930069938</v>
          </cell>
        </row>
        <row r="218">
          <cell r="EG218">
            <v>0.64102564102564097</v>
          </cell>
        </row>
        <row r="219">
          <cell r="EG219">
            <v>1.7857142857142856</v>
          </cell>
        </row>
        <row r="220">
          <cell r="EG220">
            <v>0.93457943925233644</v>
          </cell>
        </row>
        <row r="221">
          <cell r="EG221">
            <v>1.2195121951219512</v>
          </cell>
        </row>
        <row r="222">
          <cell r="EG222">
            <v>0.25188916876574308</v>
          </cell>
        </row>
        <row r="223">
          <cell r="EG223">
            <v>1.5384615384615383</v>
          </cell>
        </row>
        <row r="224">
          <cell r="EG224">
            <v>1.4705882352941175</v>
          </cell>
        </row>
        <row r="225">
          <cell r="EG225">
            <v>0.5617977528089888</v>
          </cell>
        </row>
        <row r="226">
          <cell r="EG226">
            <v>1.0526315789473684</v>
          </cell>
        </row>
        <row r="227">
          <cell r="EG227">
            <v>0.34965034965034969</v>
          </cell>
        </row>
        <row r="228">
          <cell r="EG228">
            <v>0.625</v>
          </cell>
        </row>
        <row r="229">
          <cell r="EG229">
            <v>1.6949152542372883</v>
          </cell>
        </row>
        <row r="230">
          <cell r="EG230">
            <v>0.49019607843137253</v>
          </cell>
        </row>
        <row r="231">
          <cell r="EG231">
            <v>1.0638297872340425</v>
          </cell>
        </row>
        <row r="232">
          <cell r="EG232">
            <v>0.4854368932038835</v>
          </cell>
        </row>
        <row r="233">
          <cell r="EG233">
            <v>0.69444444444444442</v>
          </cell>
        </row>
        <row r="234">
          <cell r="EG234">
            <v>0.29069767441860467</v>
          </cell>
        </row>
        <row r="235">
          <cell r="EG235">
            <v>1.3513513513513513</v>
          </cell>
        </row>
        <row r="236">
          <cell r="EG236">
            <v>0.66666666666666663</v>
          </cell>
        </row>
        <row r="237">
          <cell r="EG237">
            <v>0.56497175141242939</v>
          </cell>
        </row>
        <row r="238">
          <cell r="EG238">
            <v>0.96153846153846145</v>
          </cell>
        </row>
        <row r="239">
          <cell r="EG239">
            <v>0.4366812227074236</v>
          </cell>
        </row>
        <row r="240">
          <cell r="EG240">
            <v>0.58823529411764708</v>
          </cell>
        </row>
        <row r="241">
          <cell r="EG241">
            <v>1</v>
          </cell>
        </row>
        <row r="242">
          <cell r="EG242">
            <v>0.970873786407767</v>
          </cell>
        </row>
        <row r="243">
          <cell r="EG243">
            <v>0.32894736842105265</v>
          </cell>
        </row>
        <row r="244">
          <cell r="EG244">
            <v>0.16778523489932887</v>
          </cell>
        </row>
        <row r="245">
          <cell r="EG245">
            <v>1.3513513513513513</v>
          </cell>
        </row>
        <row r="246">
          <cell r="EG246">
            <v>0.41152263374485593</v>
          </cell>
        </row>
        <row r="247">
          <cell r="EG247">
            <v>0.64935064935064934</v>
          </cell>
        </row>
        <row r="248">
          <cell r="EG248">
            <v>0.35587188612099646</v>
          </cell>
        </row>
        <row r="249">
          <cell r="EG249">
            <v>0.38910505836575876</v>
          </cell>
        </row>
        <row r="250">
          <cell r="EG250">
            <v>0.96153846153846145</v>
          </cell>
        </row>
        <row r="251">
          <cell r="EG251">
            <v>0.76923076923076916</v>
          </cell>
        </row>
        <row r="252">
          <cell r="EG252">
            <v>0.70422535211267612</v>
          </cell>
        </row>
        <row r="253">
          <cell r="EG253">
            <v>1.3333333333333333</v>
          </cell>
        </row>
        <row r="254">
          <cell r="EG254">
            <v>0.25125628140703515</v>
          </cell>
        </row>
        <row r="255">
          <cell r="EG255">
            <v>0.2061855670103093</v>
          </cell>
        </row>
        <row r="256">
          <cell r="EG256">
            <v>0.81300813008130079</v>
          </cell>
        </row>
        <row r="257">
          <cell r="EG257">
            <v>0.970873786407767</v>
          </cell>
        </row>
        <row r="258">
          <cell r="EG258">
            <v>0.49504950495049505</v>
          </cell>
        </row>
        <row r="259">
          <cell r="EG259">
            <v>1.2658227848101264</v>
          </cell>
        </row>
        <row r="260">
          <cell r="EG260">
            <v>1.3333333333333333</v>
          </cell>
        </row>
        <row r="261">
          <cell r="EG261">
            <v>0.84745762711864414</v>
          </cell>
        </row>
        <row r="262">
          <cell r="EG262">
            <v>0.75187969924812026</v>
          </cell>
        </row>
        <row r="263">
          <cell r="EG263">
            <v>0.37878787878787878</v>
          </cell>
        </row>
        <row r="264">
          <cell r="EG264">
            <v>0.37735849056603776</v>
          </cell>
        </row>
        <row r="265">
          <cell r="EG265">
            <v>1.4705882352941175</v>
          </cell>
        </row>
        <row r="266">
          <cell r="EG266">
            <v>1.0101010101010102</v>
          </cell>
        </row>
        <row r="267">
          <cell r="EG267">
            <v>1.1904761904761905</v>
          </cell>
        </row>
        <row r="268">
          <cell r="EG268">
            <v>0.4065040650406504</v>
          </cell>
        </row>
        <row r="269">
          <cell r="EG269">
            <v>1.2345679012345678</v>
          </cell>
        </row>
        <row r="270">
          <cell r="EG270">
            <v>0.40485829959514169</v>
          </cell>
        </row>
        <row r="271">
          <cell r="EG271">
            <v>0.4587155963302752</v>
          </cell>
        </row>
        <row r="272">
          <cell r="EG272">
            <v>0.21551724137931036</v>
          </cell>
        </row>
        <row r="273">
          <cell r="EG273">
            <v>0.43859649122807021</v>
          </cell>
        </row>
        <row r="274">
          <cell r="EG274">
            <v>0.32786885245901642</v>
          </cell>
        </row>
        <row r="275">
          <cell r="EG275">
            <v>1.0638297872340425</v>
          </cell>
        </row>
        <row r="276">
          <cell r="EG276">
            <v>0.62893081761006286</v>
          </cell>
        </row>
        <row r="277">
          <cell r="EG277">
            <v>0.23529411764705882</v>
          </cell>
        </row>
        <row r="278">
          <cell r="EG278">
            <v>0.34965034965034969</v>
          </cell>
        </row>
        <row r="279">
          <cell r="EG279">
            <v>0.6211180124223602</v>
          </cell>
        </row>
        <row r="280">
          <cell r="EG280">
            <v>0.64516129032258063</v>
          </cell>
        </row>
        <row r="281">
          <cell r="EG281">
            <v>0.67114093959731547</v>
          </cell>
        </row>
        <row r="282">
          <cell r="EG282">
            <v>0.970873786407767</v>
          </cell>
        </row>
        <row r="283">
          <cell r="EG283">
            <v>0.51282051282051289</v>
          </cell>
        </row>
        <row r="284">
          <cell r="EG284">
            <v>0.28653295128939826</v>
          </cell>
        </row>
        <row r="285">
          <cell r="EG285">
            <v>0.2040816326530612</v>
          </cell>
        </row>
        <row r="286">
          <cell r="EG286">
            <v>0.1972386587771203</v>
          </cell>
        </row>
        <row r="287">
          <cell r="EG287">
            <v>0.84745762711864414</v>
          </cell>
        </row>
        <row r="288">
          <cell r="EG288">
            <v>0.6211180124223602</v>
          </cell>
        </row>
        <row r="289">
          <cell r="EG289">
            <v>0.75187969924812026</v>
          </cell>
        </row>
        <row r="290">
          <cell r="EG290">
            <v>0.69444444444444442</v>
          </cell>
        </row>
        <row r="291">
          <cell r="EG291">
            <v>1.075268817204301</v>
          </cell>
        </row>
        <row r="292">
          <cell r="EG292">
            <v>0.4065040650406504</v>
          </cell>
        </row>
        <row r="293">
          <cell r="EG293">
            <v>0.5988023952095809</v>
          </cell>
        </row>
        <row r="294">
          <cell r="EG294">
            <v>0.48780487804878053</v>
          </cell>
        </row>
        <row r="295">
          <cell r="EG295">
            <v>0.46082949308755761</v>
          </cell>
        </row>
        <row r="296">
          <cell r="EG296">
            <v>0.52356020942408377</v>
          </cell>
        </row>
        <row r="297">
          <cell r="EG297">
            <v>0.51546391752577325</v>
          </cell>
        </row>
        <row r="298">
          <cell r="EG298">
            <v>0.40485829959514169</v>
          </cell>
        </row>
        <row r="299">
          <cell r="EG299">
            <v>0.38167938931297707</v>
          </cell>
        </row>
        <row r="300">
          <cell r="EG300">
            <v>1.1627906976744187</v>
          </cell>
        </row>
        <row r="301">
          <cell r="EG301">
            <v>0.36101083032490977</v>
          </cell>
        </row>
        <row r="302">
          <cell r="EG302">
            <v>2.6925148088314484E-2</v>
          </cell>
        </row>
        <row r="303">
          <cell r="EG303">
            <v>0.9009009009009008</v>
          </cell>
        </row>
        <row r="304">
          <cell r="EG304">
            <v>0.64516129032258063</v>
          </cell>
        </row>
        <row r="305">
          <cell r="EG305">
            <v>0.79365079365079361</v>
          </cell>
        </row>
        <row r="306">
          <cell r="EG306">
            <v>0.4504504504504504</v>
          </cell>
        </row>
        <row r="307">
          <cell r="EG307">
            <v>0.42735042735042739</v>
          </cell>
        </row>
        <row r="308">
          <cell r="EG308">
            <v>1.8518518518518516</v>
          </cell>
        </row>
        <row r="309">
          <cell r="EG309">
            <v>0.43103448275862072</v>
          </cell>
        </row>
        <row r="310">
          <cell r="EG310">
            <v>0.90909090909090906</v>
          </cell>
        </row>
        <row r="311">
          <cell r="EG311">
            <v>0.5524861878453039</v>
          </cell>
        </row>
        <row r="312">
          <cell r="EG312">
            <v>0.5714285714285714</v>
          </cell>
        </row>
        <row r="313">
          <cell r="EG313">
            <v>0.7142857142857143</v>
          </cell>
        </row>
        <row r="314">
          <cell r="EG314">
            <v>1.0416666666666667</v>
          </cell>
        </row>
        <row r="315">
          <cell r="EG315">
            <v>0.32894736842105265</v>
          </cell>
        </row>
        <row r="316">
          <cell r="EG316">
            <v>0.34246575342465752</v>
          </cell>
        </row>
        <row r="317">
          <cell r="EG317">
            <v>0.86206896551724144</v>
          </cell>
        </row>
        <row r="318">
          <cell r="EG318">
            <v>0.1669449081803005</v>
          </cell>
        </row>
        <row r="319">
          <cell r="EG319">
            <v>0.16339869281045752</v>
          </cell>
        </row>
        <row r="320">
          <cell r="EG320">
            <v>0.56497175141242939</v>
          </cell>
        </row>
        <row r="321">
          <cell r="EG321">
            <v>0.27173913043478259</v>
          </cell>
        </row>
        <row r="322">
          <cell r="EG322">
            <v>1.0989010989010988</v>
          </cell>
        </row>
        <row r="323">
          <cell r="EG323">
            <v>0.59523809523809523</v>
          </cell>
        </row>
        <row r="324">
          <cell r="EG324">
            <v>0.56818181818181823</v>
          </cell>
        </row>
        <row r="325">
          <cell r="EG325">
            <v>0.29940119760479045</v>
          </cell>
        </row>
        <row r="326">
          <cell r="EG326">
            <v>0.49751243781094534</v>
          </cell>
        </row>
        <row r="327">
          <cell r="EG327">
            <v>0.4366812227074236</v>
          </cell>
        </row>
        <row r="328">
          <cell r="EG328">
            <v>0.36101083032490977</v>
          </cell>
        </row>
        <row r="329">
          <cell r="EG329">
            <v>0.70422535211267612</v>
          </cell>
        </row>
        <row r="330">
          <cell r="EG330">
            <v>0.96153846153846145</v>
          </cell>
        </row>
        <row r="331">
          <cell r="EG331">
            <v>0.47846889952153115</v>
          </cell>
        </row>
        <row r="332">
          <cell r="EG332">
            <v>0.63694267515923564</v>
          </cell>
        </row>
        <row r="333">
          <cell r="EG333">
            <v>0.59523809523809523</v>
          </cell>
        </row>
        <row r="334">
          <cell r="EG334">
            <v>0.67567567567567566</v>
          </cell>
        </row>
        <row r="335">
          <cell r="EG335">
            <v>0.93457943925233644</v>
          </cell>
        </row>
        <row r="336">
          <cell r="EG336">
            <v>0.44247787610619471</v>
          </cell>
        </row>
        <row r="337">
          <cell r="EG337">
            <v>0.5617977528089888</v>
          </cell>
        </row>
        <row r="338">
          <cell r="EG338">
            <v>0.51282051282051289</v>
          </cell>
        </row>
        <row r="339">
          <cell r="EG339">
            <v>0.53475935828876997</v>
          </cell>
        </row>
        <row r="340">
          <cell r="EG340">
            <v>1.0526315789473684</v>
          </cell>
        </row>
        <row r="341">
          <cell r="EG341">
            <v>1.2658227848101264</v>
          </cell>
        </row>
        <row r="342">
          <cell r="EG342">
            <v>0.32573289902280134</v>
          </cell>
        </row>
        <row r="343">
          <cell r="EG343">
            <v>0.390625</v>
          </cell>
        </row>
        <row r="344">
          <cell r="EG344">
            <v>1.0101010101010102</v>
          </cell>
        </row>
        <row r="345">
          <cell r="EG345">
            <v>0.41493775933609955</v>
          </cell>
        </row>
        <row r="346">
          <cell r="EG346">
            <v>2.1739130434782608</v>
          </cell>
        </row>
        <row r="347">
          <cell r="EG347">
            <v>1.1363636363636365</v>
          </cell>
        </row>
        <row r="348">
          <cell r="EG348">
            <v>0.7142857142857143</v>
          </cell>
        </row>
        <row r="349">
          <cell r="EG349">
            <v>0.29850746268656714</v>
          </cell>
        </row>
        <row r="350">
          <cell r="EG350">
            <v>0.23640661938534277</v>
          </cell>
        </row>
        <row r="351">
          <cell r="EG351">
            <v>0.36900369003690037</v>
          </cell>
        </row>
        <row r="352">
          <cell r="EG352">
            <v>0.2061855670103093</v>
          </cell>
        </row>
        <row r="353">
          <cell r="EG353">
            <v>0.88495575221238942</v>
          </cell>
        </row>
        <row r="354">
          <cell r="EG354">
            <v>0.95238095238095233</v>
          </cell>
        </row>
        <row r="355">
          <cell r="EG355">
            <v>0.50251256281407031</v>
          </cell>
        </row>
        <row r="356">
          <cell r="EG356">
            <v>0.80645161290322587</v>
          </cell>
        </row>
        <row r="357">
          <cell r="EG357">
            <v>0.7246376811594204</v>
          </cell>
        </row>
        <row r="358">
          <cell r="EG358">
            <v>0.76335877862595414</v>
          </cell>
        </row>
        <row r="359">
          <cell r="EG359">
            <v>0.52083333333333337</v>
          </cell>
        </row>
        <row r="360">
          <cell r="EG360">
            <v>1.5873015873015872</v>
          </cell>
        </row>
        <row r="361">
          <cell r="EG361">
            <v>1.2048192771084338</v>
          </cell>
        </row>
        <row r="362">
          <cell r="EG362">
            <v>0.65359477124183007</v>
          </cell>
        </row>
        <row r="363">
          <cell r="EG363">
            <v>0.53475935828876997</v>
          </cell>
        </row>
        <row r="364">
          <cell r="EG364">
            <v>0.85470085470085477</v>
          </cell>
        </row>
        <row r="365">
          <cell r="EG365">
            <v>0.42553191489361702</v>
          </cell>
        </row>
        <row r="366">
          <cell r="EG366">
            <v>0.85470085470085477</v>
          </cell>
        </row>
        <row r="367">
          <cell r="EG367">
            <v>0.94339622641509424</v>
          </cell>
        </row>
        <row r="368">
          <cell r="EG368">
            <v>0.7407407407407407</v>
          </cell>
        </row>
        <row r="369">
          <cell r="EG369">
            <v>0.76923076923076916</v>
          </cell>
        </row>
        <row r="370">
          <cell r="EG370">
            <v>0.34722222222222221</v>
          </cell>
        </row>
        <row r="371">
          <cell r="EG371">
            <v>0.81967213114754101</v>
          </cell>
        </row>
        <row r="372">
          <cell r="EG372">
            <v>0.44843049327354262</v>
          </cell>
        </row>
        <row r="373">
          <cell r="EG373">
            <v>1.2987012987012987</v>
          </cell>
        </row>
        <row r="374">
          <cell r="EG374">
            <v>0.29498525073746312</v>
          </cell>
        </row>
        <row r="375">
          <cell r="EG375">
            <v>1.5873015873015872</v>
          </cell>
        </row>
        <row r="376">
          <cell r="EG376">
            <v>0.40160642570281119</v>
          </cell>
        </row>
        <row r="377">
          <cell r="EG377">
            <v>0.5617977528089888</v>
          </cell>
        </row>
        <row r="378">
          <cell r="EG378">
            <v>0.5524861878453039</v>
          </cell>
        </row>
        <row r="379">
          <cell r="EG379">
            <v>0.39370078740157477</v>
          </cell>
        </row>
        <row r="380">
          <cell r="EG380">
            <v>0.42553191489361702</v>
          </cell>
        </row>
        <row r="381">
          <cell r="EG381">
            <v>0.99009900990099009</v>
          </cell>
        </row>
        <row r="382">
          <cell r="EG382">
            <v>0.59523809523809523</v>
          </cell>
        </row>
        <row r="383">
          <cell r="EG383">
            <v>0.48076923076923073</v>
          </cell>
        </row>
        <row r="384">
          <cell r="EG384">
            <v>0.69930069930069938</v>
          </cell>
        </row>
        <row r="385">
          <cell r="EG385">
            <v>0.5</v>
          </cell>
        </row>
        <row r="386">
          <cell r="EG386">
            <v>1.2195121951219512</v>
          </cell>
        </row>
        <row r="387">
          <cell r="EG387">
            <v>0.75757575757575757</v>
          </cell>
        </row>
        <row r="388">
          <cell r="EG388">
            <v>0.71942446043165476</v>
          </cell>
        </row>
        <row r="389">
          <cell r="EG389">
            <v>0.44843049327354262</v>
          </cell>
        </row>
        <row r="390">
          <cell r="EG390">
            <v>0.93457943925233644</v>
          </cell>
        </row>
        <row r="391">
          <cell r="EG391">
            <v>1.2987012987012987</v>
          </cell>
        </row>
        <row r="392">
          <cell r="EG392">
            <v>0.67567567567567566</v>
          </cell>
        </row>
        <row r="393">
          <cell r="EG393">
            <v>1.075268817204301</v>
          </cell>
        </row>
        <row r="394">
          <cell r="EG394">
            <v>0.52631578947368418</v>
          </cell>
        </row>
        <row r="395">
          <cell r="EG395">
            <v>0.68493150684931503</v>
          </cell>
        </row>
        <row r="396">
          <cell r="EG396">
            <v>1.0204081632653061</v>
          </cell>
        </row>
        <row r="397">
          <cell r="EG397">
            <v>0.43103448275862072</v>
          </cell>
        </row>
        <row r="398">
          <cell r="EG398">
            <v>0.65359477124183007</v>
          </cell>
        </row>
        <row r="399">
          <cell r="EG399">
            <v>0.72992700729927007</v>
          </cell>
        </row>
        <row r="400">
          <cell r="EG400">
            <v>0.73529411764705876</v>
          </cell>
        </row>
        <row r="401">
          <cell r="EG401">
            <v>9.9206349206349201E-2</v>
          </cell>
        </row>
        <row r="402">
          <cell r="EG402">
            <v>0.88495575221238942</v>
          </cell>
        </row>
        <row r="403">
          <cell r="EG403">
            <v>1.1627906976744187</v>
          </cell>
        </row>
        <row r="404">
          <cell r="EG404">
            <v>1.2987012987012987</v>
          </cell>
        </row>
        <row r="405">
          <cell r="EG405">
            <v>0.26455026455026459</v>
          </cell>
        </row>
        <row r="406">
          <cell r="EG406">
            <v>1.3698630136986301</v>
          </cell>
        </row>
        <row r="407">
          <cell r="EG407">
            <v>0.53475935828876997</v>
          </cell>
        </row>
        <row r="408">
          <cell r="EG408">
            <v>1.2658227848101264</v>
          </cell>
        </row>
        <row r="409">
          <cell r="EG409">
            <v>1.6129032258064517</v>
          </cell>
        </row>
        <row r="410">
          <cell r="EG410">
            <v>1.4705882352941175</v>
          </cell>
        </row>
        <row r="411">
          <cell r="EG411">
            <v>1.0309278350515465</v>
          </cell>
        </row>
        <row r="412">
          <cell r="EG412">
            <v>1.2195121951219512</v>
          </cell>
        </row>
        <row r="413">
          <cell r="EG413">
            <v>0.54644808743169393</v>
          </cell>
        </row>
        <row r="414">
          <cell r="EG414">
            <v>0.82644628099173556</v>
          </cell>
        </row>
        <row r="415">
          <cell r="EG415">
            <v>0.88495575221238942</v>
          </cell>
        </row>
        <row r="416">
          <cell r="EG416">
            <v>0.86206896551724144</v>
          </cell>
        </row>
        <row r="417">
          <cell r="EG417">
            <v>0.75187969924812026</v>
          </cell>
        </row>
        <row r="418">
          <cell r="EG418">
            <v>0.64516129032258063</v>
          </cell>
        </row>
        <row r="419">
          <cell r="EG419">
            <v>0.3968253968253968</v>
          </cell>
        </row>
        <row r="420">
          <cell r="EG420">
            <v>1.25</v>
          </cell>
        </row>
        <row r="421">
          <cell r="EG421">
            <v>1.0869565217391304</v>
          </cell>
        </row>
        <row r="422">
          <cell r="EG422">
            <v>0.73529411764705876</v>
          </cell>
        </row>
        <row r="423">
          <cell r="EG423">
            <v>0.94339622641509424</v>
          </cell>
        </row>
        <row r="424">
          <cell r="EG424">
            <v>1.2345679012345678</v>
          </cell>
        </row>
        <row r="425">
          <cell r="EG425">
            <v>0.7246376811594204</v>
          </cell>
        </row>
        <row r="426">
          <cell r="EG426">
            <v>1.075268817204301</v>
          </cell>
        </row>
        <row r="427">
          <cell r="EG427">
            <v>1.0526315789473684</v>
          </cell>
        </row>
        <row r="428">
          <cell r="EG428">
            <v>0.89285714285714279</v>
          </cell>
        </row>
        <row r="429">
          <cell r="EG429">
            <v>0.93457943925233644</v>
          </cell>
        </row>
        <row r="430">
          <cell r="EG430">
            <v>0.4464285714285714</v>
          </cell>
        </row>
        <row r="431">
          <cell r="EG431">
            <v>0.73529411764705876</v>
          </cell>
        </row>
        <row r="432">
          <cell r="EG432">
            <v>0.78125</v>
          </cell>
        </row>
        <row r="433">
          <cell r="EG433">
            <v>0.81967213114754101</v>
          </cell>
        </row>
        <row r="434">
          <cell r="EG434">
            <v>1.0638297872340425</v>
          </cell>
        </row>
        <row r="435">
          <cell r="EG435">
            <v>0.6097560975609756</v>
          </cell>
        </row>
        <row r="436">
          <cell r="EG436">
            <v>0.38314176245210729</v>
          </cell>
        </row>
        <row r="437">
          <cell r="EG437">
            <v>0.44843049327354262</v>
          </cell>
        </row>
        <row r="438">
          <cell r="EG438">
            <v>0.22075055187637968</v>
          </cell>
        </row>
        <row r="439">
          <cell r="EG439">
            <v>0.80645161290322587</v>
          </cell>
        </row>
        <row r="440">
          <cell r="EG440">
            <v>0.17152658662092624</v>
          </cell>
        </row>
        <row r="441">
          <cell r="EG441">
            <v>0.51546391752577325</v>
          </cell>
        </row>
        <row r="442">
          <cell r="EG442">
            <v>0.46948356807511737</v>
          </cell>
        </row>
        <row r="443">
          <cell r="EG443">
            <v>0.33444816053511706</v>
          </cell>
        </row>
        <row r="444">
          <cell r="EG444">
            <v>0.74626865671641784</v>
          </cell>
        </row>
        <row r="445">
          <cell r="EG445">
            <v>0.44843049327354262</v>
          </cell>
        </row>
        <row r="446">
          <cell r="EG446">
            <v>0.19960079840319361</v>
          </cell>
        </row>
        <row r="447">
          <cell r="EG447">
            <v>0.65789473684210531</v>
          </cell>
        </row>
        <row r="448">
          <cell r="EG448">
            <v>1.0638297872340425</v>
          </cell>
        </row>
        <row r="449">
          <cell r="EG449">
            <v>0.45662100456621008</v>
          </cell>
        </row>
        <row r="450">
          <cell r="EG450">
            <v>0.5</v>
          </cell>
        </row>
        <row r="451">
          <cell r="EG451">
            <v>0.5376344086021505</v>
          </cell>
        </row>
        <row r="452">
          <cell r="EG452">
            <v>0.3058103975535168</v>
          </cell>
        </row>
        <row r="453">
          <cell r="EG453">
            <v>0.52910052910052918</v>
          </cell>
        </row>
        <row r="454">
          <cell r="EG454">
            <v>0.4329004329004329</v>
          </cell>
        </row>
        <row r="455">
          <cell r="EG455">
            <v>0.85470085470085477</v>
          </cell>
        </row>
        <row r="456">
          <cell r="EG456">
            <v>0.46296296296296291</v>
          </cell>
        </row>
        <row r="457">
          <cell r="EG457">
            <v>0.7407407407407407</v>
          </cell>
        </row>
        <row r="458">
          <cell r="EG458">
            <v>1.0416666666666667</v>
          </cell>
        </row>
        <row r="459">
          <cell r="EG459">
            <v>0.6211180124223602</v>
          </cell>
        </row>
        <row r="460">
          <cell r="EG460">
            <v>0.54054054054054046</v>
          </cell>
        </row>
        <row r="461">
          <cell r="EG461">
            <v>0.6211180124223602</v>
          </cell>
        </row>
        <row r="462">
          <cell r="EG462">
            <v>0.82644628099173556</v>
          </cell>
        </row>
        <row r="463">
          <cell r="EG463">
            <v>0.34965034965034969</v>
          </cell>
        </row>
        <row r="464">
          <cell r="EG464">
            <v>0.34722222222222221</v>
          </cell>
        </row>
        <row r="465">
          <cell r="EG465">
            <v>0.3401360544217687</v>
          </cell>
        </row>
        <row r="466">
          <cell r="EG466">
            <v>0.89285714285714279</v>
          </cell>
        </row>
        <row r="467">
          <cell r="EG467">
            <v>0.69444444444444442</v>
          </cell>
        </row>
        <row r="468">
          <cell r="EG468">
            <v>0.33222591362126247</v>
          </cell>
        </row>
        <row r="469">
          <cell r="EG469">
            <v>0.27777777777777779</v>
          </cell>
        </row>
        <row r="470">
          <cell r="EG470">
            <v>0.84745762711864414</v>
          </cell>
        </row>
        <row r="471">
          <cell r="EG471">
            <v>0.47846889952153115</v>
          </cell>
        </row>
        <row r="472">
          <cell r="EG472">
            <v>0.7407407407407407</v>
          </cell>
        </row>
        <row r="473">
          <cell r="EG473">
            <v>1.1764705882352942</v>
          </cell>
        </row>
        <row r="474">
          <cell r="EG474">
            <v>0.24449877750611249</v>
          </cell>
        </row>
        <row r="475">
          <cell r="EG475">
            <v>0.34602076124567471</v>
          </cell>
        </row>
        <row r="476">
          <cell r="EG476">
            <v>0.60606060606060608</v>
          </cell>
        </row>
        <row r="477">
          <cell r="EG477">
            <v>0.32679738562091504</v>
          </cell>
        </row>
        <row r="478">
          <cell r="EG478">
            <v>0.21367521367521369</v>
          </cell>
        </row>
        <row r="479">
          <cell r="EG479">
            <v>0.51546391752577325</v>
          </cell>
        </row>
        <row r="480">
          <cell r="EG480">
            <v>0.3115264797507788</v>
          </cell>
        </row>
        <row r="481">
          <cell r="EG481">
            <v>0.68965517241379315</v>
          </cell>
        </row>
        <row r="482">
          <cell r="EG482">
            <v>0.26595744680851063</v>
          </cell>
        </row>
        <row r="483">
          <cell r="EG483">
            <v>0.7246376811594204</v>
          </cell>
        </row>
        <row r="484">
          <cell r="EG484">
            <v>1.3698630136986301</v>
          </cell>
        </row>
        <row r="485">
          <cell r="EG485">
            <v>0.54945054945054939</v>
          </cell>
        </row>
        <row r="486">
          <cell r="EG486">
            <v>0.53475935828876997</v>
          </cell>
        </row>
        <row r="487">
          <cell r="EG487">
            <v>0.74626865671641784</v>
          </cell>
        </row>
        <row r="488">
          <cell r="EG488">
            <v>0.32051282051282048</v>
          </cell>
        </row>
        <row r="489">
          <cell r="EG489">
            <v>0.46082949308755761</v>
          </cell>
        </row>
        <row r="490">
          <cell r="EG490">
            <v>0.49504950495049505</v>
          </cell>
        </row>
        <row r="491">
          <cell r="EG491">
            <v>0.49751243781094534</v>
          </cell>
        </row>
        <row r="492">
          <cell r="EG492">
            <v>0.29850746268656714</v>
          </cell>
        </row>
        <row r="493">
          <cell r="EG493">
            <v>0.34246575342465752</v>
          </cell>
        </row>
        <row r="494">
          <cell r="EG494">
            <v>0.27027027027027023</v>
          </cell>
        </row>
        <row r="495">
          <cell r="EG495">
            <v>0.63694267515923564</v>
          </cell>
        </row>
        <row r="496">
          <cell r="EG496">
            <v>0.303951367781155</v>
          </cell>
        </row>
        <row r="497">
          <cell r="EG497">
            <v>0.42735042735042739</v>
          </cell>
        </row>
        <row r="498">
          <cell r="EG498">
            <v>0.38759689922480617</v>
          </cell>
        </row>
        <row r="499">
          <cell r="EG499">
            <v>7.3637702503681887E-2</v>
          </cell>
        </row>
        <row r="500">
          <cell r="EG500">
            <v>0.39370078740157477</v>
          </cell>
        </row>
        <row r="501">
          <cell r="EG501">
            <v>0.38167938931297707</v>
          </cell>
        </row>
        <row r="502">
          <cell r="EG502">
            <v>0.46511627906976744</v>
          </cell>
        </row>
        <row r="503">
          <cell r="EG503">
            <v>1.0416666666666667</v>
          </cell>
        </row>
        <row r="504">
          <cell r="EG504">
            <v>0.67567567567567566</v>
          </cell>
        </row>
        <row r="505">
          <cell r="EG505">
            <v>0.52083333333333337</v>
          </cell>
        </row>
        <row r="506">
          <cell r="EG506">
            <v>0.49261083743842371</v>
          </cell>
        </row>
        <row r="507">
          <cell r="EG507">
            <v>0.76335877862595414</v>
          </cell>
        </row>
        <row r="508">
          <cell r="EG508">
            <v>0.58479532163742687</v>
          </cell>
        </row>
        <row r="509">
          <cell r="EG509">
            <v>0.32679738562091504</v>
          </cell>
        </row>
        <row r="510">
          <cell r="EG510">
            <v>0.2304147465437788</v>
          </cell>
        </row>
        <row r="511">
          <cell r="EG511">
            <v>0.53191489361702127</v>
          </cell>
        </row>
        <row r="512">
          <cell r="EG512">
            <v>0.47169811320754712</v>
          </cell>
        </row>
        <row r="513">
          <cell r="EG513">
            <v>0.54054054054054046</v>
          </cell>
        </row>
        <row r="514">
          <cell r="EG514">
            <v>0.90909090909090906</v>
          </cell>
        </row>
        <row r="515">
          <cell r="EG515">
            <v>0.35211267605633806</v>
          </cell>
        </row>
        <row r="516">
          <cell r="EG516">
            <v>0.4587155963302752</v>
          </cell>
        </row>
        <row r="517">
          <cell r="EG517">
            <v>0.625</v>
          </cell>
        </row>
        <row r="518">
          <cell r="EG518">
            <v>0.7407407407407407</v>
          </cell>
        </row>
        <row r="519">
          <cell r="EG519">
            <v>1.0104071940992221E-2</v>
          </cell>
        </row>
        <row r="520">
          <cell r="EG520">
            <v>0.32573289902280134</v>
          </cell>
        </row>
        <row r="521">
          <cell r="EG521">
            <v>0.59523809523809523</v>
          </cell>
        </row>
        <row r="522">
          <cell r="EG522">
            <v>0.6097560975609756</v>
          </cell>
        </row>
        <row r="523">
          <cell r="EG523">
            <v>0.34722222222222221</v>
          </cell>
        </row>
        <row r="524">
          <cell r="EG524">
            <v>0.9174311926605504</v>
          </cell>
        </row>
        <row r="525">
          <cell r="EG525">
            <v>0.64935064935064934</v>
          </cell>
        </row>
        <row r="526">
          <cell r="EG526">
            <v>0.23923444976076558</v>
          </cell>
        </row>
        <row r="527">
          <cell r="EG527">
            <v>0.59523809523809523</v>
          </cell>
        </row>
        <row r="528">
          <cell r="EG528">
            <v>0.38759689922480617</v>
          </cell>
        </row>
        <row r="529">
          <cell r="EG529">
            <v>0.37735849056603776</v>
          </cell>
        </row>
        <row r="530">
          <cell r="EG530">
            <v>0.55865921787709494</v>
          </cell>
        </row>
        <row r="531">
          <cell r="EG531">
            <v>0.16750418760469013</v>
          </cell>
        </row>
        <row r="532">
          <cell r="EG532">
            <v>0.53475935828876997</v>
          </cell>
        </row>
        <row r="533">
          <cell r="EG533">
            <v>0.34246575342465752</v>
          </cell>
        </row>
        <row r="534">
          <cell r="EG534">
            <v>0.38610038610038611</v>
          </cell>
        </row>
        <row r="535">
          <cell r="EG535">
            <v>0.69930069930069938</v>
          </cell>
        </row>
        <row r="536">
          <cell r="EG536">
            <v>0.87719298245614041</v>
          </cell>
        </row>
        <row r="537">
          <cell r="EG537">
            <v>0.49261083743842371</v>
          </cell>
        </row>
        <row r="538">
          <cell r="EG538">
            <v>0.37878787878787878</v>
          </cell>
        </row>
        <row r="539">
          <cell r="EG539">
            <v>0.36630036630036628</v>
          </cell>
        </row>
        <row r="540">
          <cell r="EG540">
            <v>0.4098360655737705</v>
          </cell>
        </row>
        <row r="541">
          <cell r="EG541">
            <v>0.81967213114754101</v>
          </cell>
        </row>
        <row r="542">
          <cell r="EG542">
            <v>0.30864197530864196</v>
          </cell>
        </row>
        <row r="543">
          <cell r="EG543">
            <v>0.18691588785046731</v>
          </cell>
        </row>
        <row r="544">
          <cell r="EG544">
            <v>0.36900369003690037</v>
          </cell>
        </row>
        <row r="545">
          <cell r="EG545">
            <v>0.13245033112582782</v>
          </cell>
        </row>
        <row r="546">
          <cell r="EG546">
            <v>0.58139534883720934</v>
          </cell>
        </row>
        <row r="547">
          <cell r="EG547">
            <v>0.94339622641509424</v>
          </cell>
        </row>
        <row r="548">
          <cell r="EG548">
            <v>1.5625</v>
          </cell>
        </row>
        <row r="549">
          <cell r="EG549">
            <v>0.75757575757575757</v>
          </cell>
        </row>
        <row r="550">
          <cell r="EG550">
            <v>0.58823529411764708</v>
          </cell>
        </row>
        <row r="551">
          <cell r="EG551">
            <v>0.66666666666666663</v>
          </cell>
        </row>
        <row r="552">
          <cell r="EG552">
            <v>1.2658227848101264</v>
          </cell>
        </row>
        <row r="553">
          <cell r="EG553">
            <v>1.2345679012345678</v>
          </cell>
        </row>
        <row r="554">
          <cell r="EG554">
            <v>1.2345679012345678</v>
          </cell>
        </row>
        <row r="555">
          <cell r="EG555">
            <v>4.7096500729995761E-3</v>
          </cell>
        </row>
        <row r="556">
          <cell r="EG556">
            <v>1.5384615384615383</v>
          </cell>
        </row>
        <row r="557">
          <cell r="EG557">
            <v>0.28409090909090912</v>
          </cell>
        </row>
        <row r="558">
          <cell r="EG558">
            <v>0.58479532163742687</v>
          </cell>
        </row>
        <row r="559">
          <cell r="EG559">
            <v>0.49019607843137253</v>
          </cell>
        </row>
        <row r="560">
          <cell r="EG560">
            <v>0.970873786407767</v>
          </cell>
        </row>
        <row r="561">
          <cell r="EG561">
            <v>1.0869565217391304</v>
          </cell>
        </row>
        <row r="562">
          <cell r="EG562">
            <v>0.95238095238095233</v>
          </cell>
        </row>
        <row r="563">
          <cell r="EG563">
            <v>1.3513513513513513</v>
          </cell>
        </row>
        <row r="564">
          <cell r="EG564">
            <v>0.87719298245614041</v>
          </cell>
        </row>
        <row r="565">
          <cell r="EG565">
            <v>0.75757575757575757</v>
          </cell>
        </row>
        <row r="566">
          <cell r="EG566">
            <v>0.78125</v>
          </cell>
        </row>
        <row r="567">
          <cell r="EG567">
            <v>0.68493150684931503</v>
          </cell>
        </row>
        <row r="568">
          <cell r="EG568">
            <v>0.80645161290322587</v>
          </cell>
        </row>
        <row r="569">
          <cell r="EG569">
            <v>0.81967213114754101</v>
          </cell>
        </row>
        <row r="570">
          <cell r="EG570">
            <v>0.73529411764705876</v>
          </cell>
        </row>
        <row r="571">
          <cell r="EG571">
            <v>0.69444444444444442</v>
          </cell>
        </row>
        <row r="572">
          <cell r="EG572">
            <v>0.84745762711864414</v>
          </cell>
        </row>
        <row r="573">
          <cell r="EG573">
            <v>0.85470085470085477</v>
          </cell>
        </row>
        <row r="574">
          <cell r="EG574">
            <v>0.83333333333333337</v>
          </cell>
        </row>
        <row r="575">
          <cell r="EG575">
            <v>0.5376344086021505</v>
          </cell>
        </row>
        <row r="576">
          <cell r="EG576">
            <v>0.41493775933609955</v>
          </cell>
        </row>
        <row r="577">
          <cell r="EG577">
            <v>1.0526315789473684</v>
          </cell>
        </row>
        <row r="578">
          <cell r="EG578">
            <v>1.0416666666666667</v>
          </cell>
        </row>
        <row r="579">
          <cell r="EG579">
            <v>0.99009900990099009</v>
          </cell>
        </row>
        <row r="580">
          <cell r="EG580">
            <v>0.73529411764705876</v>
          </cell>
        </row>
        <row r="581">
          <cell r="EG581">
            <v>0.970873786407767</v>
          </cell>
        </row>
        <row r="582">
          <cell r="EG582">
            <v>0.4</v>
          </cell>
        </row>
        <row r="583">
          <cell r="EG583">
            <v>0.67567567567567566</v>
          </cell>
        </row>
        <row r="584">
          <cell r="EG584">
            <v>0.35211267605633806</v>
          </cell>
        </row>
        <row r="585">
          <cell r="EG585">
            <v>0.69444444444444442</v>
          </cell>
        </row>
        <row r="586">
          <cell r="EG586">
            <v>0.86956521739130443</v>
          </cell>
        </row>
        <row r="587">
          <cell r="EG587">
            <v>0.55865921787709494</v>
          </cell>
        </row>
        <row r="588">
          <cell r="EG588">
            <v>0.72992700729927007</v>
          </cell>
        </row>
        <row r="589">
          <cell r="EG589">
            <v>0.51020408163265307</v>
          </cell>
        </row>
        <row r="590">
          <cell r="EG590">
            <v>0.42194092827004215</v>
          </cell>
        </row>
        <row r="591">
          <cell r="EG591">
            <v>0.22222222222222221</v>
          </cell>
        </row>
        <row r="592">
          <cell r="EG592">
            <v>0.41666666666666669</v>
          </cell>
        </row>
        <row r="593">
          <cell r="EG593">
            <v>0.47393364928909953</v>
          </cell>
        </row>
        <row r="594">
          <cell r="EG594">
            <v>0.62893081761006286</v>
          </cell>
        </row>
        <row r="595">
          <cell r="EG595">
            <v>0.2824858757062147</v>
          </cell>
        </row>
        <row r="596">
          <cell r="EG596">
            <v>0.87719298245614041</v>
          </cell>
        </row>
        <row r="597">
          <cell r="EG597">
            <v>1</v>
          </cell>
        </row>
        <row r="598">
          <cell r="EG598">
            <v>0.9009009009009008</v>
          </cell>
        </row>
        <row r="599">
          <cell r="EG599">
            <v>0.92592592592592582</v>
          </cell>
        </row>
        <row r="600">
          <cell r="EG600">
            <v>0.32894736842105265</v>
          </cell>
        </row>
        <row r="601">
          <cell r="EG601">
            <v>1.0638297872340425</v>
          </cell>
        </row>
        <row r="602">
          <cell r="EG602">
            <v>0.27548209366391185</v>
          </cell>
        </row>
        <row r="603">
          <cell r="EG603">
            <v>0.125</v>
          </cell>
        </row>
        <row r="604">
          <cell r="EG604">
            <v>1.4705882352941175</v>
          </cell>
        </row>
        <row r="605">
          <cell r="EG605">
            <v>0.23923444976076558</v>
          </cell>
        </row>
        <row r="606">
          <cell r="EG606">
            <v>1.0869565217391304</v>
          </cell>
        </row>
        <row r="607">
          <cell r="EG607">
            <v>0.2610966057441253</v>
          </cell>
        </row>
        <row r="608">
          <cell r="EG608">
            <v>0.36764705882352938</v>
          </cell>
        </row>
        <row r="609">
          <cell r="EG609">
            <v>0.32679738562091504</v>
          </cell>
        </row>
        <row r="610">
          <cell r="EG610">
            <v>1</v>
          </cell>
        </row>
        <row r="611">
          <cell r="EG611">
            <v>0.52910052910052918</v>
          </cell>
        </row>
        <row r="612">
          <cell r="EG612">
            <v>1</v>
          </cell>
        </row>
        <row r="613">
          <cell r="EG613">
            <v>0.5714285714285714</v>
          </cell>
        </row>
        <row r="614">
          <cell r="EG614">
            <v>0.22831050228310504</v>
          </cell>
        </row>
        <row r="615">
          <cell r="EG615">
            <v>0.20746887966804978</v>
          </cell>
        </row>
        <row r="616">
          <cell r="EG616">
            <v>0.75187969924812026</v>
          </cell>
        </row>
        <row r="617">
          <cell r="EG617">
            <v>1.0526315789473684</v>
          </cell>
        </row>
        <row r="618">
          <cell r="EG618">
            <v>1.1494252873563218</v>
          </cell>
        </row>
        <row r="619">
          <cell r="EG619">
            <v>0.28011204481792717</v>
          </cell>
        </row>
        <row r="620">
          <cell r="EG620">
            <v>0.83333333333333337</v>
          </cell>
        </row>
        <row r="621">
          <cell r="EG621">
            <v>0.98039215686274506</v>
          </cell>
        </row>
        <row r="622">
          <cell r="EG622">
            <v>0.49751243781094534</v>
          </cell>
        </row>
        <row r="623">
          <cell r="EG623">
            <v>0.83333333333333337</v>
          </cell>
        </row>
        <row r="624">
          <cell r="EG624">
            <v>0.7246376811594204</v>
          </cell>
        </row>
        <row r="625">
          <cell r="EG625">
            <v>0.58139534883720934</v>
          </cell>
        </row>
        <row r="626">
          <cell r="EG626">
            <v>0.49261083743842371</v>
          </cell>
        </row>
        <row r="627">
          <cell r="EG627">
            <v>1.0526315789473684</v>
          </cell>
        </row>
        <row r="628">
          <cell r="EG628">
            <v>0.29154518950437314</v>
          </cell>
        </row>
        <row r="629">
          <cell r="EG629">
            <v>1.0526315789473684</v>
          </cell>
        </row>
        <row r="630">
          <cell r="EG630">
            <v>0.48076923076923073</v>
          </cell>
        </row>
        <row r="631">
          <cell r="EG631">
            <v>0.5714285714285714</v>
          </cell>
        </row>
        <row r="632">
          <cell r="EG632">
            <v>1.2987012987012987</v>
          </cell>
        </row>
        <row r="633">
          <cell r="EG633">
            <v>4.8239266763145196E-2</v>
          </cell>
        </row>
        <row r="634">
          <cell r="EG634">
            <v>0.5617977528089888</v>
          </cell>
        </row>
        <row r="635">
          <cell r="EG635">
            <v>0.21881838074398249</v>
          </cell>
        </row>
        <row r="636">
          <cell r="EG636">
            <v>0.82644628099173556</v>
          </cell>
        </row>
        <row r="637">
          <cell r="EG637">
            <v>0.40322580645161293</v>
          </cell>
        </row>
        <row r="638">
          <cell r="EG638">
            <v>0.24570024570024568</v>
          </cell>
        </row>
        <row r="639">
          <cell r="EG639">
            <v>0.54945054945054939</v>
          </cell>
        </row>
        <row r="640">
          <cell r="EG640">
            <v>0.75187969924812026</v>
          </cell>
        </row>
        <row r="641">
          <cell r="EG641">
            <v>2.9205607476635514E-2</v>
          </cell>
        </row>
        <row r="642">
          <cell r="EG642">
            <v>0.59523809523809523</v>
          </cell>
        </row>
        <row r="643">
          <cell r="EG643">
            <v>0.54644808743169393</v>
          </cell>
        </row>
        <row r="644">
          <cell r="EG644">
            <v>0.5181347150259068</v>
          </cell>
        </row>
        <row r="645">
          <cell r="EG645">
            <v>0.6211180124223602</v>
          </cell>
        </row>
        <row r="646">
          <cell r="EG646">
            <v>0.34129692832764502</v>
          </cell>
        </row>
        <row r="647">
          <cell r="EG647">
            <v>0.56497175141242939</v>
          </cell>
        </row>
        <row r="648">
          <cell r="EG648">
            <v>0.53475935828876997</v>
          </cell>
        </row>
        <row r="649">
          <cell r="EG649">
            <v>0.66666666666666663</v>
          </cell>
        </row>
        <row r="650">
          <cell r="EG650">
            <v>0.64102564102564097</v>
          </cell>
        </row>
        <row r="651">
          <cell r="EG651">
            <v>0.44444444444444442</v>
          </cell>
        </row>
        <row r="652">
          <cell r="EG652">
            <v>0.84033613445378152</v>
          </cell>
        </row>
        <row r="653">
          <cell r="EG653">
            <v>0.51546391752577325</v>
          </cell>
        </row>
        <row r="654">
          <cell r="EG654">
            <v>0.79365079365079361</v>
          </cell>
        </row>
        <row r="655">
          <cell r="EG655">
            <v>0.22831050228310504</v>
          </cell>
        </row>
        <row r="656">
          <cell r="EG656">
            <v>0.49751243781094534</v>
          </cell>
        </row>
        <row r="657">
          <cell r="EG657">
            <v>0.66225165562913912</v>
          </cell>
        </row>
        <row r="658">
          <cell r="EG658">
            <v>0.23255813953488372</v>
          </cell>
        </row>
        <row r="659">
          <cell r="EG659">
            <v>1.1363636363636365</v>
          </cell>
        </row>
        <row r="660">
          <cell r="EG660">
            <v>0.3968253968253968</v>
          </cell>
        </row>
        <row r="661">
          <cell r="EG661">
            <v>0.4587155963302752</v>
          </cell>
        </row>
        <row r="662">
          <cell r="EG662">
            <v>0.72992700729927007</v>
          </cell>
        </row>
        <row r="663">
          <cell r="EG663">
            <v>0.75187969924812026</v>
          </cell>
        </row>
        <row r="664">
          <cell r="EG664">
            <v>0.34246575342465752</v>
          </cell>
        </row>
        <row r="665">
          <cell r="EG665">
            <v>0.52356020942408377</v>
          </cell>
        </row>
        <row r="666">
          <cell r="EG666">
            <v>0.53475935828876997</v>
          </cell>
        </row>
        <row r="667">
          <cell r="EG667">
            <v>1.0204081632653061</v>
          </cell>
        </row>
        <row r="668">
          <cell r="EG668">
            <v>0.41152263374485593</v>
          </cell>
        </row>
        <row r="669">
          <cell r="EG669">
            <v>0.96153846153846145</v>
          </cell>
        </row>
        <row r="670">
          <cell r="EG670">
            <v>0.96153846153846145</v>
          </cell>
        </row>
        <row r="671">
          <cell r="EG671">
            <v>0.69930069930069938</v>
          </cell>
        </row>
        <row r="672">
          <cell r="EG672">
            <v>0.77519379844961234</v>
          </cell>
        </row>
        <row r="673">
          <cell r="EG673">
            <v>0.86956521739130443</v>
          </cell>
        </row>
        <row r="674">
          <cell r="EG674">
            <v>0.49261083743842371</v>
          </cell>
        </row>
        <row r="675">
          <cell r="EG675">
            <v>0.95238095238095233</v>
          </cell>
        </row>
        <row r="676">
          <cell r="EG676">
            <v>0.92592592592592582</v>
          </cell>
        </row>
        <row r="677">
          <cell r="EG677">
            <v>0.42553191489361702</v>
          </cell>
        </row>
        <row r="678">
          <cell r="EG678">
            <v>1.0101010101010102</v>
          </cell>
        </row>
        <row r="679">
          <cell r="EG679">
            <v>0.8</v>
          </cell>
        </row>
        <row r="680">
          <cell r="EG680">
            <v>1.4084507042253522</v>
          </cell>
        </row>
        <row r="681">
          <cell r="EG681">
            <v>0.117096018735363</v>
          </cell>
        </row>
        <row r="682">
          <cell r="EG682">
            <v>0.40160642570281119</v>
          </cell>
        </row>
        <row r="683">
          <cell r="EG683">
            <v>0.7407407407407407</v>
          </cell>
        </row>
        <row r="684">
          <cell r="EG684">
            <v>0.43478260869565222</v>
          </cell>
        </row>
        <row r="685">
          <cell r="EG685">
            <v>1.2345679012345678</v>
          </cell>
        </row>
        <row r="686">
          <cell r="EG686">
            <v>0.99009900990099009</v>
          </cell>
        </row>
        <row r="687">
          <cell r="EG687">
            <v>0.81967213114754101</v>
          </cell>
        </row>
        <row r="688">
          <cell r="EG688">
            <v>0.50505050505050508</v>
          </cell>
        </row>
        <row r="689">
          <cell r="EG689">
            <v>0.5524861878453039</v>
          </cell>
        </row>
        <row r="690">
          <cell r="EG690">
            <v>0.35971223021582738</v>
          </cell>
        </row>
        <row r="691">
          <cell r="EG691">
            <v>0.86206896551724144</v>
          </cell>
        </row>
        <row r="692">
          <cell r="EG692">
            <v>0.4366812227074236</v>
          </cell>
        </row>
        <row r="693">
          <cell r="EG693">
            <v>0.60606060606060608</v>
          </cell>
        </row>
        <row r="694">
          <cell r="EG694">
            <v>0.26737967914438499</v>
          </cell>
        </row>
        <row r="695">
          <cell r="EG695">
            <v>0.68027210884353739</v>
          </cell>
        </row>
        <row r="696">
          <cell r="EG696">
            <v>0.26246719160104987</v>
          </cell>
        </row>
        <row r="697">
          <cell r="EG697">
            <v>0.55555555555555558</v>
          </cell>
        </row>
        <row r="698">
          <cell r="EG698">
            <v>0.45454545454545453</v>
          </cell>
        </row>
        <row r="699">
          <cell r="EG699">
            <v>0.61349693251533743</v>
          </cell>
        </row>
        <row r="700">
          <cell r="EG700">
            <v>0.92592592592592582</v>
          </cell>
        </row>
        <row r="701">
          <cell r="EG701">
            <v>1.0989010989010988</v>
          </cell>
        </row>
        <row r="702">
          <cell r="EG702">
            <v>0.87719298245614041</v>
          </cell>
        </row>
        <row r="703">
          <cell r="EG703">
            <v>0.75757575757575757</v>
          </cell>
        </row>
        <row r="704">
          <cell r="EG704">
            <v>0.43478260869565222</v>
          </cell>
        </row>
        <row r="705">
          <cell r="EG705">
            <v>0.93457943925233644</v>
          </cell>
        </row>
        <row r="706">
          <cell r="EG706">
            <v>0.390625</v>
          </cell>
        </row>
        <row r="707">
          <cell r="EG707">
            <v>0.42194092827004215</v>
          </cell>
        </row>
        <row r="708">
          <cell r="EG708">
            <v>0.42918454935622319</v>
          </cell>
        </row>
        <row r="709">
          <cell r="EG709">
            <v>8.5106382978723402E-2</v>
          </cell>
        </row>
        <row r="710">
          <cell r="EG710">
            <v>0.9174311926605504</v>
          </cell>
        </row>
        <row r="711">
          <cell r="EG711">
            <v>0.72992700729927007</v>
          </cell>
        </row>
        <row r="712">
          <cell r="EG712">
            <v>0.7246376811594204</v>
          </cell>
        </row>
        <row r="713">
          <cell r="EG713">
            <v>0.4081632653061224</v>
          </cell>
        </row>
        <row r="714">
          <cell r="EG714">
            <v>1.3333333333333333</v>
          </cell>
        </row>
        <row r="715">
          <cell r="EG715">
            <v>0.92592592592592582</v>
          </cell>
        </row>
        <row r="716">
          <cell r="EG716">
            <v>0.41493775933609955</v>
          </cell>
        </row>
        <row r="717">
          <cell r="EG717">
            <v>0.54644808743169393</v>
          </cell>
        </row>
        <row r="718">
          <cell r="EG718">
            <v>0.25575447570332482</v>
          </cell>
        </row>
        <row r="719">
          <cell r="EG719">
            <v>0.66666666666666663</v>
          </cell>
        </row>
        <row r="720">
          <cell r="EG720">
            <v>0.41841004184100417</v>
          </cell>
        </row>
        <row r="721">
          <cell r="EG721">
            <v>0.36764705882352938</v>
          </cell>
        </row>
        <row r="722">
          <cell r="EG722">
            <v>0.68027210884353739</v>
          </cell>
        </row>
        <row r="723">
          <cell r="EG723">
            <v>0.35087719298245612</v>
          </cell>
        </row>
        <row r="724">
          <cell r="EG724">
            <v>0.52631578947368418</v>
          </cell>
        </row>
        <row r="725">
          <cell r="EG725">
            <v>0.38610038610038611</v>
          </cell>
        </row>
        <row r="726">
          <cell r="EG726">
            <v>0.4854368932038835</v>
          </cell>
        </row>
        <row r="727">
          <cell r="EG727">
            <v>0.61349693251533743</v>
          </cell>
        </row>
        <row r="728">
          <cell r="EG728">
            <v>0.96153846153846145</v>
          </cell>
        </row>
        <row r="729">
          <cell r="EG729">
            <v>0.33112582781456956</v>
          </cell>
        </row>
        <row r="730">
          <cell r="EG730">
            <v>1.0101010101010102</v>
          </cell>
        </row>
        <row r="731">
          <cell r="EG731">
            <v>0.3623188405797102</v>
          </cell>
        </row>
        <row r="732">
          <cell r="EG732">
            <v>0.88495575221238942</v>
          </cell>
        </row>
        <row r="733">
          <cell r="EG733">
            <v>0.76335877862595414</v>
          </cell>
        </row>
        <row r="734">
          <cell r="EG734">
            <v>0.7142857142857143</v>
          </cell>
        </row>
        <row r="735">
          <cell r="EG735">
            <v>0.84745762711864414</v>
          </cell>
        </row>
        <row r="736">
          <cell r="EG736">
            <v>0.15797788309636651</v>
          </cell>
        </row>
        <row r="737">
          <cell r="EG737">
            <v>0.58823529411764708</v>
          </cell>
        </row>
        <row r="738">
          <cell r="EG738">
            <v>0.30211480362537763</v>
          </cell>
        </row>
        <row r="739">
          <cell r="EG739">
            <v>0.44843049327354262</v>
          </cell>
        </row>
        <row r="740">
          <cell r="EG740">
            <v>1.0989010989010988</v>
          </cell>
        </row>
        <row r="741">
          <cell r="EG741">
            <v>0.20661157024793389</v>
          </cell>
        </row>
        <row r="742">
          <cell r="EG742">
            <v>0.3546099290780142</v>
          </cell>
        </row>
        <row r="743">
          <cell r="EG743">
            <v>0.46082949308755761</v>
          </cell>
        </row>
        <row r="744">
          <cell r="EG744">
            <v>0.64516129032258063</v>
          </cell>
        </row>
        <row r="745">
          <cell r="EG745">
            <v>0.49019607843137253</v>
          </cell>
        </row>
        <row r="746">
          <cell r="EG746">
            <v>0.49504950495049505</v>
          </cell>
        </row>
        <row r="747">
          <cell r="EG747">
            <v>1.0309278350515465</v>
          </cell>
        </row>
        <row r="748">
          <cell r="EG748">
            <v>0.42016806722689076</v>
          </cell>
        </row>
        <row r="749">
          <cell r="EG749">
            <v>0.29069767441860467</v>
          </cell>
        </row>
        <row r="750">
          <cell r="EG750">
            <v>0.61728395061728392</v>
          </cell>
        </row>
        <row r="751">
          <cell r="EG751">
            <v>0.5780346820809249</v>
          </cell>
        </row>
        <row r="752">
          <cell r="EG752">
            <v>0.38759689922480617</v>
          </cell>
        </row>
        <row r="753">
          <cell r="EG753">
            <v>0.85470085470085477</v>
          </cell>
        </row>
        <row r="754">
          <cell r="EG754">
            <v>0.43478260869565222</v>
          </cell>
        </row>
        <row r="755">
          <cell r="EG755">
            <v>0.9009009009009008</v>
          </cell>
        </row>
        <row r="756">
          <cell r="EG756">
            <v>0.38759689922480617</v>
          </cell>
        </row>
        <row r="757">
          <cell r="EG757">
            <v>0.20576131687242796</v>
          </cell>
        </row>
        <row r="758">
          <cell r="EG758">
            <v>0.44247787610619471</v>
          </cell>
        </row>
        <row r="759">
          <cell r="EG759">
            <v>0.9009009009009008</v>
          </cell>
        </row>
        <row r="760">
          <cell r="EG760">
            <v>0.49019607843137253</v>
          </cell>
        </row>
        <row r="761">
          <cell r="EG761">
            <v>0.5</v>
          </cell>
        </row>
        <row r="762">
          <cell r="EG762">
            <v>0.71942446043165476</v>
          </cell>
        </row>
        <row r="763">
          <cell r="EG763">
            <v>0.73529411764705876</v>
          </cell>
        </row>
        <row r="764">
          <cell r="EG764">
            <v>0.3546099290780142</v>
          </cell>
        </row>
        <row r="765">
          <cell r="EG765">
            <v>0.4854368932038835</v>
          </cell>
        </row>
        <row r="766">
          <cell r="EG766">
            <v>0.3115264797507788</v>
          </cell>
        </row>
        <row r="767">
          <cell r="EG767">
            <v>0.4366812227074236</v>
          </cell>
        </row>
        <row r="768">
          <cell r="EG768">
            <v>0.58479532163742687</v>
          </cell>
        </row>
        <row r="769">
          <cell r="EG769">
            <v>0.41322314049586778</v>
          </cell>
        </row>
        <row r="770">
          <cell r="EG770">
            <v>0.52631578947368418</v>
          </cell>
        </row>
        <row r="771">
          <cell r="EG771">
            <v>0.42372881355932207</v>
          </cell>
        </row>
        <row r="772">
          <cell r="EG772">
            <v>0.39525691699604748</v>
          </cell>
        </row>
        <row r="773">
          <cell r="EG773">
            <v>0.51282051282051289</v>
          </cell>
        </row>
        <row r="774">
          <cell r="EG774">
            <v>0.63291139240506322</v>
          </cell>
        </row>
        <row r="775">
          <cell r="EG775">
            <v>0.64935064935064934</v>
          </cell>
        </row>
        <row r="776">
          <cell r="EG776">
            <v>0.92592592592592582</v>
          </cell>
        </row>
        <row r="777">
          <cell r="EG777">
            <v>0.42735042735042739</v>
          </cell>
        </row>
        <row r="778">
          <cell r="EG778">
            <v>0.67567567567567566</v>
          </cell>
        </row>
        <row r="779">
          <cell r="EG779">
            <v>0.1801801801801802</v>
          </cell>
        </row>
        <row r="780">
          <cell r="EG780">
            <v>1.3888888888888888</v>
          </cell>
        </row>
        <row r="781">
          <cell r="EG781">
            <v>0.15174506828528073</v>
          </cell>
        </row>
        <row r="782">
          <cell r="EG782">
            <v>0.63694267515923564</v>
          </cell>
        </row>
        <row r="783">
          <cell r="EG783">
            <v>0.71942446043165476</v>
          </cell>
        </row>
        <row r="784">
          <cell r="EG784">
            <v>0.82644628099173556</v>
          </cell>
        </row>
        <row r="785">
          <cell r="EG785">
            <v>0.33112582781456956</v>
          </cell>
        </row>
        <row r="786">
          <cell r="EG786">
            <v>0.20449897750511248</v>
          </cell>
        </row>
        <row r="787">
          <cell r="EG787">
            <v>0.5988023952095809</v>
          </cell>
        </row>
        <row r="788">
          <cell r="EG788">
            <v>0.42194092827004215</v>
          </cell>
        </row>
        <row r="789">
          <cell r="EG789">
            <v>0.2824858757062147</v>
          </cell>
        </row>
        <row r="790">
          <cell r="EG790">
            <v>0.42553191489361702</v>
          </cell>
        </row>
        <row r="791">
          <cell r="EG791">
            <v>0.8</v>
          </cell>
        </row>
        <row r="792">
          <cell r="EG792">
            <v>0.76335877862595414</v>
          </cell>
        </row>
        <row r="793">
          <cell r="EG793">
            <v>0.38314176245210729</v>
          </cell>
        </row>
        <row r="794">
          <cell r="EG794">
            <v>0.57471264367816088</v>
          </cell>
        </row>
        <row r="795">
          <cell r="EG795">
            <v>0.39840637450199207</v>
          </cell>
        </row>
        <row r="796">
          <cell r="EG796">
            <v>0.96153846153846145</v>
          </cell>
        </row>
        <row r="797">
          <cell r="EG797">
            <v>0.35087719298245612</v>
          </cell>
        </row>
        <row r="798">
          <cell r="EG798">
            <v>0.55555555555555558</v>
          </cell>
        </row>
        <row r="799">
          <cell r="EG799">
            <v>0.19493177387914232</v>
          </cell>
        </row>
        <row r="800">
          <cell r="EG800">
            <v>0.68965517241379315</v>
          </cell>
        </row>
        <row r="801">
          <cell r="EG801">
            <v>0.15974440894568689</v>
          </cell>
        </row>
        <row r="802">
          <cell r="EG802">
            <v>0.61349693251533743</v>
          </cell>
        </row>
        <row r="803">
          <cell r="EG803">
            <v>1</v>
          </cell>
        </row>
        <row r="804">
          <cell r="EG804">
            <v>0.42735042735042739</v>
          </cell>
        </row>
        <row r="805">
          <cell r="EG805">
            <v>0.21459227467811159</v>
          </cell>
        </row>
        <row r="806">
          <cell r="EG806">
            <v>0.22123893805309736</v>
          </cell>
        </row>
        <row r="807">
          <cell r="EG807">
            <v>0.26041666666666669</v>
          </cell>
        </row>
        <row r="808">
          <cell r="EG808">
            <v>0.65789473684210531</v>
          </cell>
        </row>
        <row r="809">
          <cell r="EG809">
            <v>0.87719298245614041</v>
          </cell>
        </row>
        <row r="810">
          <cell r="EG810">
            <v>0.86206896551724144</v>
          </cell>
        </row>
        <row r="811">
          <cell r="EG811">
            <v>0.66666666666666663</v>
          </cell>
        </row>
        <row r="812">
          <cell r="EG812">
            <v>0.45662100456621008</v>
          </cell>
        </row>
        <row r="813">
          <cell r="EG813">
            <v>0.13333333333333333</v>
          </cell>
        </row>
        <row r="814">
          <cell r="EG814">
            <v>0.3236245954692557</v>
          </cell>
        </row>
        <row r="815">
          <cell r="EG815">
            <v>1.2345679012345678</v>
          </cell>
        </row>
        <row r="816">
          <cell r="EG816">
            <v>0.75757575757575757</v>
          </cell>
        </row>
        <row r="817">
          <cell r="EG817">
            <v>0.16920473773265651</v>
          </cell>
        </row>
        <row r="818">
          <cell r="EG818">
            <v>0.23310023310023309</v>
          </cell>
        </row>
        <row r="819">
          <cell r="EG819">
            <v>0.30959752321981426</v>
          </cell>
        </row>
        <row r="820">
          <cell r="EG820">
            <v>0.2824858757062147</v>
          </cell>
        </row>
        <row r="821">
          <cell r="EG821">
            <v>0.33112582781456956</v>
          </cell>
        </row>
        <row r="822">
          <cell r="EG822">
            <v>1.2658227848101264</v>
          </cell>
        </row>
        <row r="823">
          <cell r="EG823">
            <v>0.29325513196480935</v>
          </cell>
        </row>
        <row r="824">
          <cell r="EG824">
            <v>0.24213075060532688</v>
          </cell>
        </row>
        <row r="825">
          <cell r="EG825">
            <v>0.50251256281407031</v>
          </cell>
        </row>
        <row r="826">
          <cell r="EG826">
            <v>0.31446540880503143</v>
          </cell>
        </row>
        <row r="827">
          <cell r="EG827">
            <v>0.43103448275862072</v>
          </cell>
        </row>
        <row r="828">
          <cell r="EG828">
            <v>0.77519379844961234</v>
          </cell>
        </row>
        <row r="829">
          <cell r="EG829">
            <v>0.38759689922480617</v>
          </cell>
        </row>
        <row r="830">
          <cell r="EG830">
            <v>0.40485829959514169</v>
          </cell>
        </row>
        <row r="831">
          <cell r="EG831">
            <v>0.40322580645161293</v>
          </cell>
        </row>
        <row r="832">
          <cell r="EG832">
            <v>0.4854368932038835</v>
          </cell>
        </row>
        <row r="833">
          <cell r="EG833">
            <v>0.88495575221238942</v>
          </cell>
        </row>
        <row r="834">
          <cell r="EG834">
            <v>1.1904761904761905</v>
          </cell>
        </row>
        <row r="835">
          <cell r="EG835">
            <v>0.27472527472527469</v>
          </cell>
        </row>
        <row r="836">
          <cell r="EG836">
            <v>0.98039215686274506</v>
          </cell>
        </row>
        <row r="837">
          <cell r="EG837">
            <v>1.0869565217391304</v>
          </cell>
        </row>
        <row r="838">
          <cell r="EG838">
            <v>0.36900369003690037</v>
          </cell>
        </row>
        <row r="839">
          <cell r="EG839">
            <v>1.0869565217391304</v>
          </cell>
        </row>
        <row r="840">
          <cell r="EG840">
            <v>0.35211267605633806</v>
          </cell>
        </row>
        <row r="841">
          <cell r="EG841">
            <v>0.40322580645161293</v>
          </cell>
        </row>
        <row r="842">
          <cell r="EG842">
            <v>0.20746887966804978</v>
          </cell>
        </row>
        <row r="843">
          <cell r="EG843">
            <v>0.51282051282051289</v>
          </cell>
        </row>
        <row r="844">
          <cell r="EG844">
            <v>1.0526315789473684</v>
          </cell>
        </row>
        <row r="845">
          <cell r="EG845">
            <v>1.0204081632653061</v>
          </cell>
        </row>
        <row r="846">
          <cell r="EG846">
            <v>0.4329004329004329</v>
          </cell>
        </row>
        <row r="847">
          <cell r="EG847">
            <v>0.5780346820809249</v>
          </cell>
        </row>
        <row r="848">
          <cell r="EG848">
            <v>0.49751243781094534</v>
          </cell>
        </row>
        <row r="849">
          <cell r="EG849">
            <v>0.58479532163742687</v>
          </cell>
        </row>
        <row r="850">
          <cell r="EG850">
            <v>0.12690355329949238</v>
          </cell>
        </row>
        <row r="851">
          <cell r="EG851">
            <v>0.27548209366391185</v>
          </cell>
        </row>
        <row r="852">
          <cell r="EG852">
            <v>0.64102564102564097</v>
          </cell>
        </row>
        <row r="853">
          <cell r="EG853">
            <v>0.52910052910052918</v>
          </cell>
        </row>
        <row r="854">
          <cell r="EG854">
            <v>1.1627906976744187</v>
          </cell>
        </row>
        <row r="855">
          <cell r="EG855">
            <v>0.5988023952095809</v>
          </cell>
        </row>
        <row r="856">
          <cell r="EG856">
            <v>0.9174311926605504</v>
          </cell>
        </row>
        <row r="857">
          <cell r="EG857">
            <v>0.4329004329004329</v>
          </cell>
        </row>
        <row r="858">
          <cell r="EG858">
            <v>0.67567567567567566</v>
          </cell>
        </row>
        <row r="859">
          <cell r="EG859">
            <v>0.75187969924812026</v>
          </cell>
        </row>
        <row r="860">
          <cell r="EG860">
            <v>0.86956521739130443</v>
          </cell>
        </row>
        <row r="861">
          <cell r="EG861">
            <v>1.0204081632653061</v>
          </cell>
        </row>
        <row r="862">
          <cell r="EG862">
            <v>0.3401360544217687</v>
          </cell>
        </row>
        <row r="863">
          <cell r="EG863">
            <v>0.390625</v>
          </cell>
        </row>
        <row r="864">
          <cell r="EG864">
            <v>0.86956521739130443</v>
          </cell>
        </row>
        <row r="865">
          <cell r="EG865">
            <v>0.17667844522968199</v>
          </cell>
        </row>
        <row r="866">
          <cell r="EG866">
            <v>0.83333333333333337</v>
          </cell>
        </row>
        <row r="867">
          <cell r="EG867">
            <v>0.33112582781456956</v>
          </cell>
        </row>
        <row r="868">
          <cell r="EG868">
            <v>0.32894736842105265</v>
          </cell>
        </row>
        <row r="869">
          <cell r="EG869">
            <v>0.3546099290780142</v>
          </cell>
        </row>
        <row r="870">
          <cell r="EG870">
            <v>1.2048192771084338</v>
          </cell>
        </row>
        <row r="871">
          <cell r="EG871">
            <v>0.67114093959731547</v>
          </cell>
        </row>
        <row r="872">
          <cell r="EG872">
            <v>0.117096018735363</v>
          </cell>
        </row>
        <row r="873">
          <cell r="EG873">
            <v>0.15552099533437014</v>
          </cell>
        </row>
        <row r="874">
          <cell r="EG874">
            <v>0.24509803921568626</v>
          </cell>
        </row>
        <row r="875">
          <cell r="EG875">
            <v>0.21186440677966104</v>
          </cell>
        </row>
        <row r="876">
          <cell r="EG876">
            <v>0.34722222222222221</v>
          </cell>
        </row>
        <row r="877">
          <cell r="EG877">
            <v>0.65789473684210531</v>
          </cell>
        </row>
        <row r="878">
          <cell r="EG878">
            <v>0.24154589371980678</v>
          </cell>
        </row>
        <row r="879">
          <cell r="EG879">
            <v>1.4492753623188408</v>
          </cell>
        </row>
        <row r="880">
          <cell r="EG880">
            <v>0.70921985815602839</v>
          </cell>
        </row>
        <row r="881">
          <cell r="EG881">
            <v>0.23584905660377356</v>
          </cell>
        </row>
        <row r="882">
          <cell r="EG882">
            <v>0.4854368932038835</v>
          </cell>
        </row>
        <row r="883">
          <cell r="EG883">
            <v>0.64935064935064934</v>
          </cell>
        </row>
        <row r="884">
          <cell r="EG884">
            <v>1.3513513513513513</v>
          </cell>
        </row>
        <row r="885">
          <cell r="EG885">
            <v>0.88495575221238942</v>
          </cell>
        </row>
        <row r="886">
          <cell r="EG886">
            <v>0.47846889952153115</v>
          </cell>
        </row>
        <row r="887">
          <cell r="EG887">
            <v>0.31645569620253161</v>
          </cell>
        </row>
        <row r="888">
          <cell r="EG888">
            <v>0.84033613445378152</v>
          </cell>
        </row>
        <row r="889">
          <cell r="EG889">
            <v>0.7246376811594204</v>
          </cell>
        </row>
        <row r="890">
          <cell r="EG890">
            <v>0.54054054054054046</v>
          </cell>
        </row>
        <row r="891">
          <cell r="EG891">
            <v>0.86956521739130443</v>
          </cell>
        </row>
        <row r="892">
          <cell r="EG892">
            <v>0.39215686274509809</v>
          </cell>
        </row>
        <row r="893">
          <cell r="EG893">
            <v>0.70422535211267612</v>
          </cell>
        </row>
        <row r="894">
          <cell r="EG894">
            <v>0.41666666666666669</v>
          </cell>
        </row>
        <row r="895">
          <cell r="EG895">
            <v>1.1235955056179776</v>
          </cell>
        </row>
        <row r="896">
          <cell r="EG896">
            <v>0.33444816053511706</v>
          </cell>
        </row>
        <row r="897">
          <cell r="EG897">
            <v>0.58823529411764708</v>
          </cell>
        </row>
        <row r="898">
          <cell r="EG898">
            <v>0.3623188405797102</v>
          </cell>
        </row>
        <row r="899">
          <cell r="EG899">
            <v>0.13477088948787061</v>
          </cell>
        </row>
        <row r="900">
          <cell r="EG900">
            <v>0.19047619047619047</v>
          </cell>
        </row>
        <row r="901">
          <cell r="EG901">
            <v>1.1363636363636365</v>
          </cell>
        </row>
        <row r="902">
          <cell r="EG902">
            <v>0.46296296296296291</v>
          </cell>
        </row>
        <row r="903">
          <cell r="EG903">
            <v>0.5714285714285714</v>
          </cell>
        </row>
        <row r="904">
          <cell r="EG904">
            <v>0.78125</v>
          </cell>
        </row>
        <row r="905">
          <cell r="EG905">
            <v>1.2195121951219512</v>
          </cell>
        </row>
        <row r="906">
          <cell r="EG906">
            <v>0.54945054945054939</v>
          </cell>
        </row>
        <row r="907">
          <cell r="EG907">
            <v>1.2195121951219512</v>
          </cell>
        </row>
        <row r="908">
          <cell r="EG908">
            <v>0.3401360544217687</v>
          </cell>
        </row>
        <row r="909">
          <cell r="EG909">
            <v>1.2987012987012987</v>
          </cell>
        </row>
        <row r="910">
          <cell r="EG910">
            <v>0.9174311926605504</v>
          </cell>
        </row>
        <row r="911">
          <cell r="EG911">
            <v>0.45248868778280543</v>
          </cell>
        </row>
        <row r="912">
          <cell r="EG912">
            <v>0.79365079365079361</v>
          </cell>
        </row>
        <row r="913">
          <cell r="EG913">
            <v>0.48076923076923073</v>
          </cell>
        </row>
        <row r="914">
          <cell r="EG914">
            <v>0.86956521739130443</v>
          </cell>
        </row>
        <row r="915">
          <cell r="EG915">
            <v>0.29325513196480935</v>
          </cell>
        </row>
        <row r="916">
          <cell r="EG916">
            <v>0.86206896551724144</v>
          </cell>
        </row>
        <row r="917">
          <cell r="EG917">
            <v>0.95238095238095233</v>
          </cell>
        </row>
        <row r="918">
          <cell r="EG918">
            <v>0.82644628099173556</v>
          </cell>
        </row>
        <row r="919">
          <cell r="EG919">
            <v>0.66666666666666663</v>
          </cell>
        </row>
        <row r="920">
          <cell r="EG920">
            <v>0.49261083743842371</v>
          </cell>
        </row>
        <row r="921">
          <cell r="EG921">
            <v>0.33003300330033003</v>
          </cell>
        </row>
        <row r="922">
          <cell r="EG922">
            <v>0.9009009009009008</v>
          </cell>
        </row>
        <row r="923">
          <cell r="EG923">
            <v>0.36630036630036628</v>
          </cell>
        </row>
        <row r="924">
          <cell r="EG924">
            <v>0.61349693251533743</v>
          </cell>
        </row>
        <row r="925">
          <cell r="EG925">
            <v>0.9174311926605504</v>
          </cell>
        </row>
        <row r="926">
          <cell r="EG926">
            <v>0.46728971962616822</v>
          </cell>
        </row>
        <row r="927">
          <cell r="EG927">
            <v>0.7142857142857143</v>
          </cell>
        </row>
        <row r="928">
          <cell r="EG928">
            <v>0.68493150684931503</v>
          </cell>
        </row>
        <row r="929">
          <cell r="EG929">
            <v>0.70921985815602839</v>
          </cell>
        </row>
        <row r="930">
          <cell r="EG930">
            <v>0.83333333333333337</v>
          </cell>
        </row>
        <row r="931">
          <cell r="EG931">
            <v>0.95238095238095233</v>
          </cell>
        </row>
        <row r="932">
          <cell r="EG932">
            <v>0.81967213114754101</v>
          </cell>
        </row>
        <row r="933">
          <cell r="EG933">
            <v>0.53475935828876997</v>
          </cell>
        </row>
        <row r="934">
          <cell r="EG934">
            <v>0.52083333333333337</v>
          </cell>
        </row>
        <row r="935">
          <cell r="EG935">
            <v>0.95238095238095233</v>
          </cell>
        </row>
        <row r="936">
          <cell r="EG936">
            <v>0.47619047619047616</v>
          </cell>
        </row>
        <row r="937">
          <cell r="EG937">
            <v>0.38167938931297707</v>
          </cell>
        </row>
        <row r="938">
          <cell r="EG938">
            <v>0.49019607843137253</v>
          </cell>
        </row>
        <row r="939">
          <cell r="EG939">
            <v>0.66666666666666663</v>
          </cell>
        </row>
        <row r="940">
          <cell r="EG940">
            <v>0.32051282051282048</v>
          </cell>
        </row>
        <row r="941">
          <cell r="EG941">
            <v>0.96153846153846145</v>
          </cell>
        </row>
        <row r="942">
          <cell r="EG942">
            <v>0.65789473684210531</v>
          </cell>
        </row>
        <row r="943">
          <cell r="EG943">
            <v>0.58479532163742687</v>
          </cell>
        </row>
        <row r="944">
          <cell r="EG944">
            <v>0.4065040650406504</v>
          </cell>
        </row>
        <row r="945">
          <cell r="EG945">
            <v>0.64935064935064934</v>
          </cell>
        </row>
        <row r="946">
          <cell r="EG946">
            <v>1.6129032258064517</v>
          </cell>
        </row>
        <row r="947">
          <cell r="EG947">
            <v>0.4081632653061224</v>
          </cell>
        </row>
        <row r="948">
          <cell r="EG948">
            <v>0.5988023952095809</v>
          </cell>
        </row>
        <row r="949">
          <cell r="EG949">
            <v>0.48780487804878053</v>
          </cell>
        </row>
        <row r="950">
          <cell r="EG950">
            <v>0.4464285714285714</v>
          </cell>
        </row>
        <row r="951">
          <cell r="EG951">
            <v>0.96153846153846145</v>
          </cell>
        </row>
        <row r="952">
          <cell r="EG952">
            <v>0.37453183520599254</v>
          </cell>
        </row>
        <row r="953">
          <cell r="EG953">
            <v>0.625</v>
          </cell>
        </row>
        <row r="954">
          <cell r="EG954">
            <v>0.47846889952153115</v>
          </cell>
        </row>
        <row r="955">
          <cell r="EG955">
            <v>0.25839793281653745</v>
          </cell>
        </row>
        <row r="956">
          <cell r="EG956">
            <v>0.51282051282051289</v>
          </cell>
        </row>
        <row r="957">
          <cell r="EG957">
            <v>0.5376344086021505</v>
          </cell>
        </row>
        <row r="958">
          <cell r="EG958">
            <v>0.60606060606060608</v>
          </cell>
        </row>
        <row r="959">
          <cell r="EG959">
            <v>1.0416666666666667</v>
          </cell>
        </row>
        <row r="960">
          <cell r="EG960">
            <v>0.29069767441860467</v>
          </cell>
        </row>
        <row r="961">
          <cell r="EG961">
            <v>0.3546099290780142</v>
          </cell>
        </row>
        <row r="962">
          <cell r="EG962">
            <v>0.78740157480314954</v>
          </cell>
        </row>
        <row r="963">
          <cell r="EG963">
            <v>0.27777777777777779</v>
          </cell>
        </row>
        <row r="964">
          <cell r="EG964">
            <v>0.26246719160104987</v>
          </cell>
        </row>
        <row r="965">
          <cell r="EG965">
            <v>0.44444444444444442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市值"/>
      <sheetName val="size(函數)"/>
      <sheetName val="size"/>
      <sheetName val="下個月月報酬"/>
      <sheetName val="size補值"/>
      <sheetName val="下個月月報酬補值"/>
      <sheetName val="sizeIC"/>
    </sheetNames>
    <sheetDataSet>
      <sheetData sheetId="0"/>
      <sheetData sheetId="1"/>
      <sheetData sheetId="2"/>
      <sheetData sheetId="3"/>
      <sheetData sheetId="4">
        <row r="2">
          <cell r="C2">
            <v>10.631788632342237</v>
          </cell>
          <cell r="EG2">
            <v>10.993881319528226</v>
          </cell>
        </row>
        <row r="3">
          <cell r="EG3">
            <v>10.966413961778308</v>
          </cell>
        </row>
        <row r="4">
          <cell r="EG4">
            <v>10.050573076755148</v>
          </cell>
        </row>
        <row r="5">
          <cell r="EG5">
            <v>9.9918017988446444</v>
          </cell>
        </row>
        <row r="6">
          <cell r="EG6">
            <v>9.5173278822943743</v>
          </cell>
        </row>
        <row r="7">
          <cell r="EG7">
            <v>9.6307328928171962</v>
          </cell>
        </row>
        <row r="8">
          <cell r="EG8">
            <v>9.8161749904288023</v>
          </cell>
        </row>
        <row r="9">
          <cell r="EG9">
            <v>10.273001272063738</v>
          </cell>
        </row>
        <row r="10">
          <cell r="EG10">
            <v>9.7667102072622587</v>
          </cell>
        </row>
        <row r="11">
          <cell r="EG11">
            <v>10.187012807018954</v>
          </cell>
        </row>
        <row r="12">
          <cell r="EG12">
            <v>8.7831886910752583</v>
          </cell>
        </row>
        <row r="13">
          <cell r="EG13">
            <v>9.5268559871258738</v>
          </cell>
        </row>
        <row r="14">
          <cell r="EG14">
            <v>11.148883251624792</v>
          </cell>
        </row>
        <row r="15">
          <cell r="EG15">
            <v>9.7615519885641824</v>
          </cell>
        </row>
        <row r="16">
          <cell r="EG16">
            <v>9.6126779183165016</v>
          </cell>
        </row>
        <row r="17">
          <cell r="EG17">
            <v>9.5385737338068548</v>
          </cell>
        </row>
        <row r="18">
          <cell r="EG18">
            <v>9.2588766293721321</v>
          </cell>
        </row>
        <row r="19">
          <cell r="EG19">
            <v>9.4044916177586853</v>
          </cell>
        </row>
        <row r="20">
          <cell r="EG20">
            <v>10.271980930009406</v>
          </cell>
        </row>
        <row r="21">
          <cell r="EG21">
            <v>10.09981870961523</v>
          </cell>
        </row>
        <row r="22">
          <cell r="EG22">
            <v>9.2174839442139067</v>
          </cell>
        </row>
        <row r="23">
          <cell r="EG23">
            <v>9.8168376309020342</v>
          </cell>
        </row>
        <row r="24">
          <cell r="EG24">
            <v>9.600537294364468</v>
          </cell>
        </row>
        <row r="25">
          <cell r="EG25">
            <v>10.152257759187657</v>
          </cell>
        </row>
        <row r="26">
          <cell r="EG26">
            <v>9.2462523122993225</v>
          </cell>
        </row>
        <row r="27">
          <cell r="EG27">
            <v>9.2769211320657732</v>
          </cell>
        </row>
        <row r="28">
          <cell r="EG28">
            <v>11.631913324299761</v>
          </cell>
        </row>
        <row r="29">
          <cell r="EG29">
            <v>11.706571855354714</v>
          </cell>
        </row>
        <row r="30">
          <cell r="EG30">
            <v>10.212587078123894</v>
          </cell>
        </row>
        <row r="31">
          <cell r="EG31">
            <v>9.7438232216037495</v>
          </cell>
        </row>
        <row r="32">
          <cell r="EG32">
            <v>10.031610414723481</v>
          </cell>
        </row>
        <row r="33">
          <cell r="EG33">
            <v>9.8796692056320534</v>
          </cell>
        </row>
        <row r="34">
          <cell r="EG34">
            <v>9.5639554649958125</v>
          </cell>
        </row>
        <row r="35">
          <cell r="EG35">
            <v>10.006722692201684</v>
          </cell>
        </row>
        <row r="36">
          <cell r="EG36">
            <v>10.149157506231855</v>
          </cell>
        </row>
        <row r="37">
          <cell r="EG37">
            <v>10.253725595250899</v>
          </cell>
        </row>
        <row r="38">
          <cell r="EG38">
            <v>10.392362752025857</v>
          </cell>
        </row>
        <row r="39">
          <cell r="EG39">
            <v>9.7125655278733092</v>
          </cell>
        </row>
        <row r="40">
          <cell r="EG40">
            <v>8.8432327780980096</v>
          </cell>
        </row>
        <row r="41">
          <cell r="EG41">
            <v>10.437607887914936</v>
          </cell>
        </row>
        <row r="42">
          <cell r="EG42">
            <v>9.7438232216037495</v>
          </cell>
        </row>
        <row r="43">
          <cell r="EG43">
            <v>9.1664301138432833</v>
          </cell>
        </row>
        <row r="44">
          <cell r="EG44">
            <v>9.2260841159758247</v>
          </cell>
        </row>
        <row r="45">
          <cell r="EG45">
            <v>9.3483048630481616</v>
          </cell>
        </row>
        <row r="46">
          <cell r="EG46">
            <v>11.626137033003671</v>
          </cell>
        </row>
        <row r="47">
          <cell r="EG47">
            <v>11.21133683334865</v>
          </cell>
        </row>
        <row r="48">
          <cell r="EG48">
            <v>10.243781916093795</v>
          </cell>
        </row>
        <row r="49">
          <cell r="EG49">
            <v>9.1637575239819551</v>
          </cell>
        </row>
        <row r="50">
          <cell r="EG50">
            <v>8.9921114877869499</v>
          </cell>
        </row>
        <row r="51">
          <cell r="EG51">
            <v>9.0542299098633965</v>
          </cell>
        </row>
        <row r="52">
          <cell r="EG52">
            <v>9.7488080049586028</v>
          </cell>
        </row>
        <row r="53">
          <cell r="EG53">
            <v>9.5146805441249818</v>
          </cell>
        </row>
        <row r="54">
          <cell r="EG54">
            <v>9.2489536154957079</v>
          </cell>
        </row>
        <row r="55">
          <cell r="EG55">
            <v>10.071587470514975</v>
          </cell>
        </row>
        <row r="56">
          <cell r="EG56">
            <v>9.1461280356782382</v>
          </cell>
        </row>
        <row r="57">
          <cell r="EG57">
            <v>8.9164539485499255</v>
          </cell>
        </row>
        <row r="58">
          <cell r="EG58">
            <v>10.629633824744316</v>
          </cell>
        </row>
        <row r="59">
          <cell r="EG59">
            <v>8.7965743332104296</v>
          </cell>
        </row>
        <row r="60">
          <cell r="EG60">
            <v>9.4474681309497566</v>
          </cell>
        </row>
        <row r="61">
          <cell r="EG61">
            <v>9.6419695977020599</v>
          </cell>
        </row>
        <row r="62">
          <cell r="EG62">
            <v>8.2787536009528289</v>
          </cell>
        </row>
        <row r="63">
          <cell r="EG63">
            <v>9.5658478186735181</v>
          </cell>
        </row>
        <row r="64">
          <cell r="EG64">
            <v>10.281419740153989</v>
          </cell>
        </row>
        <row r="65">
          <cell r="EG65">
            <v>8.8149131812750738</v>
          </cell>
        </row>
        <row r="66">
          <cell r="EG66">
            <v>9.5196967671598536</v>
          </cell>
        </row>
        <row r="67">
          <cell r="EG67">
            <v>8.958085848521085</v>
          </cell>
        </row>
        <row r="68">
          <cell r="EG68">
            <v>9.8960850854232856</v>
          </cell>
        </row>
        <row r="69">
          <cell r="EG69">
            <v>9.0707764628434351</v>
          </cell>
        </row>
        <row r="70">
          <cell r="EG70">
            <v>9.2817149700272967</v>
          </cell>
        </row>
        <row r="71">
          <cell r="EG71">
            <v>10.002338880892056</v>
          </cell>
        </row>
        <row r="72">
          <cell r="EG72">
            <v>8.7619278384205295</v>
          </cell>
        </row>
        <row r="73">
          <cell r="EG73">
            <v>10.038500943076674</v>
          </cell>
        </row>
        <row r="74">
          <cell r="EG74">
            <v>9.1031192535457137</v>
          </cell>
        </row>
        <row r="75">
          <cell r="EG75">
            <v>8.5740312677277188</v>
          </cell>
        </row>
        <row r="76">
          <cell r="EG76">
            <v>8.9863237770507656</v>
          </cell>
        </row>
        <row r="77">
          <cell r="EG77">
            <v>9.8182918907999959</v>
          </cell>
        </row>
        <row r="78">
          <cell r="EG78">
            <v>8.4116197059632309</v>
          </cell>
        </row>
        <row r="79">
          <cell r="EG79">
            <v>9.2662316966898928</v>
          </cell>
        </row>
        <row r="80">
          <cell r="EG80">
            <v>9.4963760540124014</v>
          </cell>
        </row>
        <row r="81">
          <cell r="EG81">
            <v>9.4426365257822322</v>
          </cell>
        </row>
        <row r="82">
          <cell r="EG82">
            <v>9.253338005326107</v>
          </cell>
        </row>
        <row r="83">
          <cell r="EG83">
            <v>9.0413926851582254</v>
          </cell>
        </row>
        <row r="84">
          <cell r="EG84">
            <v>8.998695158311655</v>
          </cell>
        </row>
        <row r="85">
          <cell r="EG85">
            <v>8.7481880270062007</v>
          </cell>
        </row>
        <row r="86">
          <cell r="EG86">
            <v>9.2817149700272967</v>
          </cell>
        </row>
        <row r="87">
          <cell r="EG87">
            <v>9.2734642726213465</v>
          </cell>
        </row>
        <row r="88">
          <cell r="EG88">
            <v>8.8948696567452519</v>
          </cell>
        </row>
        <row r="89">
          <cell r="EG89">
            <v>9.7799570512469067</v>
          </cell>
        </row>
        <row r="90">
          <cell r="EG90">
            <v>8.6464037262230704</v>
          </cell>
        </row>
        <row r="91">
          <cell r="EG91">
            <v>9.6833172619218821</v>
          </cell>
        </row>
        <row r="92">
          <cell r="EG92">
            <v>9.0507663112330423</v>
          </cell>
        </row>
        <row r="93">
          <cell r="EG93">
            <v>8.7355988996981804</v>
          </cell>
        </row>
        <row r="94">
          <cell r="EG94">
            <v>9.5941714791149124</v>
          </cell>
        </row>
        <row r="95">
          <cell r="EG95">
            <v>10.044696517110195</v>
          </cell>
        </row>
        <row r="96">
          <cell r="EG96">
            <v>10.302828588260255</v>
          </cell>
        </row>
        <row r="97">
          <cell r="EG97">
            <v>10.405414666951865</v>
          </cell>
        </row>
        <row r="98">
          <cell r="EG98">
            <v>9.2219355998280061</v>
          </cell>
        </row>
        <row r="99">
          <cell r="EG99">
            <v>9.2450188707377539</v>
          </cell>
        </row>
        <row r="100">
          <cell r="EG100">
            <v>9.9495851513266516</v>
          </cell>
        </row>
        <row r="101">
          <cell r="EG101">
            <v>9.4571246263034094</v>
          </cell>
        </row>
        <row r="102">
          <cell r="EG102">
            <v>9.3827372657613299</v>
          </cell>
        </row>
        <row r="103">
          <cell r="EG103">
            <v>9.1986570869544231</v>
          </cell>
        </row>
        <row r="104">
          <cell r="EG104">
            <v>9.4164740791002206</v>
          </cell>
        </row>
        <row r="105">
          <cell r="EG105">
            <v>9.8364507137201542</v>
          </cell>
        </row>
        <row r="106">
          <cell r="EG106">
            <v>9.5665553308830553</v>
          </cell>
        </row>
        <row r="107">
          <cell r="EG107">
            <v>9.8591983615338776</v>
          </cell>
        </row>
        <row r="108">
          <cell r="EG108">
            <v>9.3376588910261429</v>
          </cell>
        </row>
        <row r="109">
          <cell r="EG109">
            <v>9.5067755366066429</v>
          </cell>
        </row>
        <row r="110">
          <cell r="EG110">
            <v>8.6095944092252203</v>
          </cell>
        </row>
        <row r="111">
          <cell r="EG111">
            <v>9.7017406324372129</v>
          </cell>
        </row>
        <row r="112">
          <cell r="EG112">
            <v>9.1646502159342962</v>
          </cell>
        </row>
        <row r="113">
          <cell r="EG113">
            <v>8.9454685851318203</v>
          </cell>
        </row>
        <row r="114">
          <cell r="EG114">
            <v>9.5289167002776551</v>
          </cell>
        </row>
        <row r="115">
          <cell r="EG115">
            <v>9.6419695977020599</v>
          </cell>
        </row>
        <row r="116">
          <cell r="EG116">
            <v>10.099369826389838</v>
          </cell>
        </row>
        <row r="117">
          <cell r="EG117">
            <v>9.4234097277330928</v>
          </cell>
        </row>
        <row r="118">
          <cell r="EG118">
            <v>9.7322328802204972</v>
          </cell>
        </row>
        <row r="119">
          <cell r="EG119">
            <v>9.4036351897905472</v>
          </cell>
        </row>
        <row r="120">
          <cell r="EG120">
            <v>9.469527479187013</v>
          </cell>
        </row>
        <row r="121">
          <cell r="EG121">
            <v>9.8270460170047347</v>
          </cell>
        </row>
        <row r="122">
          <cell r="EG122">
            <v>8.7930916001765809</v>
          </cell>
        </row>
        <row r="123">
          <cell r="EG123">
            <v>9.4168068718229438</v>
          </cell>
        </row>
        <row r="124">
          <cell r="EG124">
            <v>9.2345172835126874</v>
          </cell>
        </row>
        <row r="125">
          <cell r="EG125">
            <v>9.7902147702439795</v>
          </cell>
        </row>
        <row r="126">
          <cell r="EG126">
            <v>10.066176785772006</v>
          </cell>
        </row>
        <row r="127">
          <cell r="EG127">
            <v>9.6296134453781832</v>
          </cell>
        </row>
        <row r="128">
          <cell r="EG128">
            <v>9.6838572054003471</v>
          </cell>
        </row>
        <row r="129">
          <cell r="EG129">
            <v>10.583935202536752</v>
          </cell>
        </row>
        <row r="130">
          <cell r="EG130">
            <v>9.8858133746604882</v>
          </cell>
        </row>
        <row r="131">
          <cell r="EG131">
            <v>9.6850247851057141</v>
          </cell>
        </row>
        <row r="132">
          <cell r="EG132">
            <v>10.054498146636677</v>
          </cell>
        </row>
        <row r="133">
          <cell r="EG133">
            <v>9.6505988981726567</v>
          </cell>
        </row>
        <row r="134">
          <cell r="EG134">
            <v>10.012415374762433</v>
          </cell>
        </row>
        <row r="135">
          <cell r="EG135">
            <v>9.1162755875805441</v>
          </cell>
        </row>
        <row r="136">
          <cell r="EG136">
            <v>9.1293675957229858</v>
          </cell>
        </row>
        <row r="137">
          <cell r="EG137">
            <v>8.9722028383790651</v>
          </cell>
        </row>
        <row r="138">
          <cell r="EG138">
            <v>9.6931991451537165</v>
          </cell>
        </row>
        <row r="139">
          <cell r="EG139">
            <v>10.00949338828754</v>
          </cell>
        </row>
        <row r="140">
          <cell r="EG140">
            <v>9.7868223794991867</v>
          </cell>
        </row>
        <row r="141">
          <cell r="EG141">
            <v>9.7219754015859543</v>
          </cell>
        </row>
        <row r="142">
          <cell r="EG142">
            <v>9.6427612032653212</v>
          </cell>
        </row>
        <row r="143">
          <cell r="EG143">
            <v>10.329967072734659</v>
          </cell>
        </row>
        <row r="144">
          <cell r="EG144">
            <v>10.1136760118971</v>
          </cell>
        </row>
        <row r="145">
          <cell r="EG145">
            <v>9.6966184592322247</v>
          </cell>
        </row>
        <row r="146">
          <cell r="EG146">
            <v>9.2688119037397811</v>
          </cell>
        </row>
        <row r="147">
          <cell r="EG147">
            <v>10.052693941924968</v>
          </cell>
        </row>
        <row r="148">
          <cell r="EG148">
            <v>10.46551668871213</v>
          </cell>
        </row>
        <row r="149">
          <cell r="EG149">
            <v>10.06744284277638</v>
          </cell>
        </row>
        <row r="150">
          <cell r="EG150">
            <v>9.6264430253312945</v>
          </cell>
        </row>
        <row r="151">
          <cell r="EG151">
            <v>9.0860037056183813</v>
          </cell>
        </row>
        <row r="152">
          <cell r="EG152">
            <v>10.997692117941726</v>
          </cell>
        </row>
        <row r="153">
          <cell r="EG153">
            <v>10.326397313347112</v>
          </cell>
        </row>
        <row r="154">
          <cell r="EG154">
            <v>9.498999363580154</v>
          </cell>
        </row>
        <row r="155">
          <cell r="EG155">
            <v>9.8675264111997425</v>
          </cell>
        </row>
        <row r="156">
          <cell r="EG156">
            <v>9.3380578754197554</v>
          </cell>
        </row>
        <row r="157">
          <cell r="EG157">
            <v>8.9523080096621257</v>
          </cell>
        </row>
        <row r="158">
          <cell r="EG158">
            <v>9.3809344633307017</v>
          </cell>
        </row>
        <row r="159">
          <cell r="EG159">
            <v>8.8293037728310253</v>
          </cell>
        </row>
        <row r="160">
          <cell r="EG160">
            <v>9.773932647467646</v>
          </cell>
        </row>
        <row r="161">
          <cell r="EG161">
            <v>9.5613399414589004</v>
          </cell>
        </row>
        <row r="162">
          <cell r="EG162">
            <v>9.1950689964685903</v>
          </cell>
        </row>
        <row r="163">
          <cell r="EG163">
            <v>9.9384196457931928</v>
          </cell>
        </row>
        <row r="164">
          <cell r="EG164">
            <v>9.7570162347313012</v>
          </cell>
        </row>
        <row r="165">
          <cell r="EG165">
            <v>9.2968844755385476</v>
          </cell>
        </row>
        <row r="166">
          <cell r="EG166">
            <v>8.8785217955012072</v>
          </cell>
        </row>
        <row r="167">
          <cell r="EG167">
            <v>10.27554168840131</v>
          </cell>
        </row>
        <row r="168">
          <cell r="EG168">
            <v>10.830505265872731</v>
          </cell>
        </row>
        <row r="169">
          <cell r="EG169">
            <v>8.7767011839884113</v>
          </cell>
        </row>
        <row r="170">
          <cell r="EG170">
            <v>9.9408152086508021</v>
          </cell>
        </row>
        <row r="171">
          <cell r="EG171">
            <v>9.3982873053574014</v>
          </cell>
        </row>
        <row r="172">
          <cell r="EG172">
            <v>9.6276730317666157</v>
          </cell>
        </row>
        <row r="173">
          <cell r="EG173">
            <v>9.6332664111554251</v>
          </cell>
        </row>
        <row r="174">
          <cell r="EG174">
            <v>10.272375437300544</v>
          </cell>
        </row>
        <row r="175">
          <cell r="EG175">
            <v>10.115810141409787</v>
          </cell>
        </row>
        <row r="176">
          <cell r="EG176">
            <v>10.003632837004409</v>
          </cell>
        </row>
        <row r="177">
          <cell r="EG177">
            <v>9.1577588860468637</v>
          </cell>
        </row>
        <row r="178">
          <cell r="EG178">
            <v>10.325720858019412</v>
          </cell>
        </row>
        <row r="179">
          <cell r="EG179">
            <v>9.8726806071519295</v>
          </cell>
        </row>
        <row r="180">
          <cell r="EG180">
            <v>11.633624975382235</v>
          </cell>
        </row>
        <row r="181">
          <cell r="EG181">
            <v>10.543708051190357</v>
          </cell>
        </row>
        <row r="182">
          <cell r="EG182">
            <v>9.7160033436347994</v>
          </cell>
        </row>
        <row r="183">
          <cell r="EG183">
            <v>9.53567380342575</v>
          </cell>
        </row>
        <row r="184">
          <cell r="EG184">
            <v>9.7362370989047289</v>
          </cell>
        </row>
        <row r="185">
          <cell r="EG185">
            <v>9.9004763713892565</v>
          </cell>
        </row>
        <row r="186">
          <cell r="EG186">
            <v>9.4718781993072909</v>
          </cell>
        </row>
        <row r="187">
          <cell r="EG187">
            <v>9.5766868052009961</v>
          </cell>
        </row>
        <row r="188">
          <cell r="EG188">
            <v>10.399673721481038</v>
          </cell>
        </row>
        <row r="189">
          <cell r="EG189">
            <v>10.495405563146193</v>
          </cell>
        </row>
        <row r="190">
          <cell r="EG190">
            <v>9.5502283530550933</v>
          </cell>
        </row>
        <row r="191">
          <cell r="EG191">
            <v>9.7647737169110407</v>
          </cell>
        </row>
        <row r="192">
          <cell r="EG192">
            <v>9.6397852129868209</v>
          </cell>
        </row>
        <row r="193">
          <cell r="EG193">
            <v>10.273209683400331</v>
          </cell>
        </row>
        <row r="194">
          <cell r="EG194">
            <v>8.876794976200701</v>
          </cell>
        </row>
        <row r="195">
          <cell r="EG195">
            <v>9.3277674899027296</v>
          </cell>
        </row>
        <row r="196">
          <cell r="EG196">
            <v>10.1081250947386</v>
          </cell>
        </row>
        <row r="197">
          <cell r="EG197">
            <v>9.43822580760453</v>
          </cell>
        </row>
        <row r="198">
          <cell r="EG198">
            <v>9.8694077493822014</v>
          </cell>
        </row>
        <row r="199">
          <cell r="EG199">
            <v>9.6852041344710145</v>
          </cell>
        </row>
        <row r="200">
          <cell r="EG200">
            <v>9.9752019622578523</v>
          </cell>
        </row>
        <row r="201">
          <cell r="EG201">
            <v>9.4692327425066125</v>
          </cell>
        </row>
        <row r="202">
          <cell r="EG202">
            <v>9.2392994791268919</v>
          </cell>
        </row>
        <row r="203">
          <cell r="EG203">
            <v>10.010935664704386</v>
          </cell>
        </row>
        <row r="204">
          <cell r="EG204">
            <v>10.49859998697719</v>
          </cell>
        </row>
        <row r="205">
          <cell r="EG205">
            <v>9.9347004017154248</v>
          </cell>
        </row>
        <row r="206">
          <cell r="EG206">
            <v>10.439190537827571</v>
          </cell>
        </row>
        <row r="207">
          <cell r="EG207">
            <v>10.240798771117332</v>
          </cell>
        </row>
        <row r="208">
          <cell r="EG208">
            <v>11.04698654038023</v>
          </cell>
        </row>
        <row r="209">
          <cell r="EG209">
            <v>10.291413254570214</v>
          </cell>
        </row>
        <row r="210">
          <cell r="EG210">
            <v>10.150049945162385</v>
          </cell>
        </row>
        <row r="211">
          <cell r="EG211">
            <v>9.8654001181793021</v>
          </cell>
        </row>
        <row r="212">
          <cell r="EG212">
            <v>9.6498214632245656</v>
          </cell>
        </row>
        <row r="213">
          <cell r="EG213">
            <v>10.743862387810379</v>
          </cell>
        </row>
        <row r="214">
          <cell r="EG214">
            <v>10.476875084758506</v>
          </cell>
        </row>
        <row r="215">
          <cell r="EG215">
            <v>10.042811691807147</v>
          </cell>
        </row>
        <row r="216">
          <cell r="EG216">
            <v>10.583051338285831</v>
          </cell>
        </row>
        <row r="217">
          <cell r="EG217">
            <v>10.352182518111363</v>
          </cell>
        </row>
        <row r="218">
          <cell r="EG218">
            <v>10.979398121064358</v>
          </cell>
        </row>
        <row r="219">
          <cell r="EG219">
            <v>9.0030294705536171</v>
          </cell>
        </row>
        <row r="220">
          <cell r="EG220">
            <v>11.340138613120468</v>
          </cell>
        </row>
        <row r="221">
          <cell r="EG221">
            <v>9.0224283711854874</v>
          </cell>
        </row>
        <row r="222">
          <cell r="EG222">
            <v>11.379378045219338</v>
          </cell>
        </row>
        <row r="223">
          <cell r="EG223">
            <v>10.138334282071019</v>
          </cell>
        </row>
        <row r="224">
          <cell r="EG224">
            <v>10.031892987710474</v>
          </cell>
        </row>
        <row r="225">
          <cell r="EG225">
            <v>9.9297764328049016</v>
          </cell>
        </row>
        <row r="226">
          <cell r="EG226">
            <v>9.7182525000977513</v>
          </cell>
        </row>
        <row r="227">
          <cell r="EG227">
            <v>12.071735868391281</v>
          </cell>
        </row>
        <row r="228">
          <cell r="EG228">
            <v>9.5433229006469116</v>
          </cell>
        </row>
        <row r="229">
          <cell r="EG229">
            <v>10.394731780469529</v>
          </cell>
        </row>
        <row r="230">
          <cell r="EG230">
            <v>11.247872655421908</v>
          </cell>
        </row>
        <row r="231">
          <cell r="EG231">
            <v>10.434824296268493</v>
          </cell>
        </row>
        <row r="232">
          <cell r="EG232">
            <v>10.408494360212361</v>
          </cell>
        </row>
        <row r="233">
          <cell r="EG233">
            <v>9.7889457270237479</v>
          </cell>
        </row>
        <row r="234">
          <cell r="EG234">
            <v>12.202238130622836</v>
          </cell>
        </row>
        <row r="235">
          <cell r="EG235">
            <v>10.224558958940841</v>
          </cell>
        </row>
        <row r="236">
          <cell r="EG236">
            <v>10.32717495893762</v>
          </cell>
        </row>
        <row r="237">
          <cell r="EG237">
            <v>10.844706998985673</v>
          </cell>
        </row>
        <row r="238">
          <cell r="EG238">
            <v>9.6538875580709771</v>
          </cell>
        </row>
        <row r="239">
          <cell r="EG239">
            <v>10.163906433457752</v>
          </cell>
        </row>
        <row r="240">
          <cell r="EG240">
            <v>9.9807757739626215</v>
          </cell>
        </row>
        <row r="241">
          <cell r="EG241">
            <v>10.514401635137583</v>
          </cell>
        </row>
        <row r="242">
          <cell r="EG242">
            <v>9.8668188029260477</v>
          </cell>
        </row>
        <row r="243">
          <cell r="EG243">
            <v>10.968534313680799</v>
          </cell>
        </row>
        <row r="244">
          <cell r="EG244">
            <v>8.649334858712141</v>
          </cell>
        </row>
        <row r="245">
          <cell r="EG245">
            <v>10.340820736655919</v>
          </cell>
        </row>
        <row r="246">
          <cell r="EG246">
            <v>9.8668188029260477</v>
          </cell>
        </row>
        <row r="247">
          <cell r="EG247">
            <v>10.538007877724324</v>
          </cell>
        </row>
        <row r="248">
          <cell r="EG248">
            <v>11.401822566409718</v>
          </cell>
        </row>
        <row r="249">
          <cell r="EG249">
            <v>11.05401136604619</v>
          </cell>
        </row>
        <row r="250">
          <cell r="EG250">
            <v>10.015150103229471</v>
          </cell>
        </row>
        <row r="251">
          <cell r="EG251">
            <v>10.709346295093871</v>
          </cell>
        </row>
        <row r="252">
          <cell r="EG252">
            <v>11.370785016757857</v>
          </cell>
        </row>
        <row r="253">
          <cell r="EG253">
            <v>9.4356851379416291</v>
          </cell>
        </row>
        <row r="254">
          <cell r="EG254">
            <v>10.383168827057428</v>
          </cell>
        </row>
        <row r="255">
          <cell r="EG255">
            <v>10.645294516889896</v>
          </cell>
        </row>
        <row r="256">
          <cell r="EG256">
            <v>10.19089171692217</v>
          </cell>
        </row>
        <row r="257">
          <cell r="EG257">
            <v>9.1565491513317809</v>
          </cell>
        </row>
        <row r="258">
          <cell r="EG258">
            <v>9.9647309210536292</v>
          </cell>
        </row>
        <row r="259">
          <cell r="EG259">
            <v>9.7604978752265268</v>
          </cell>
        </row>
        <row r="260">
          <cell r="EG260">
            <v>9.8397921844453293</v>
          </cell>
        </row>
        <row r="261">
          <cell r="EG261">
            <v>9.8007170782823856</v>
          </cell>
        </row>
        <row r="262">
          <cell r="EG262">
            <v>10.625271283656851</v>
          </cell>
        </row>
        <row r="263">
          <cell r="EG263">
            <v>10.13132989404281</v>
          </cell>
        </row>
        <row r="264">
          <cell r="EG264">
            <v>10.363517966582565</v>
          </cell>
        </row>
        <row r="265">
          <cell r="EG265">
            <v>9.3018977171952084</v>
          </cell>
        </row>
        <row r="266">
          <cell r="EG266">
            <v>10.296467738800116</v>
          </cell>
        </row>
        <row r="267">
          <cell r="EG267">
            <v>10.327869568756626</v>
          </cell>
        </row>
        <row r="268">
          <cell r="EG268">
            <v>10.611457765668343</v>
          </cell>
        </row>
        <row r="269">
          <cell r="EG269">
            <v>9.5324995860946622</v>
          </cell>
        </row>
        <row r="270">
          <cell r="EG270">
            <v>11.370459423990827</v>
          </cell>
        </row>
        <row r="271">
          <cell r="EG271">
            <v>9.9215304135012428</v>
          </cell>
        </row>
        <row r="272">
          <cell r="EG272">
            <v>10.698639815041942</v>
          </cell>
        </row>
        <row r="273">
          <cell r="EG273">
            <v>10.129141845792285</v>
          </cell>
        </row>
        <row r="274">
          <cell r="EG274">
            <v>10.099162492928595</v>
          </cell>
        </row>
        <row r="275">
          <cell r="EG275">
            <v>9.4151403521958734</v>
          </cell>
        </row>
        <row r="276">
          <cell r="EG276">
            <v>10.455499617516322</v>
          </cell>
        </row>
        <row r="277">
          <cell r="EG277">
            <v>10.615813327273354</v>
          </cell>
        </row>
        <row r="278">
          <cell r="EG278">
            <v>10.543993587485465</v>
          </cell>
        </row>
        <row r="279">
          <cell r="EG279">
            <v>9.6674529528899544</v>
          </cell>
        </row>
        <row r="280">
          <cell r="EG280">
            <v>9.6161603128475832</v>
          </cell>
        </row>
        <row r="281">
          <cell r="EG281">
            <v>10.23530114031999</v>
          </cell>
        </row>
        <row r="282">
          <cell r="EG282">
            <v>9.7827591926239972</v>
          </cell>
        </row>
        <row r="283">
          <cell r="EG283">
            <v>9.8890774926500633</v>
          </cell>
        </row>
        <row r="284">
          <cell r="EG284">
            <v>9.9381192691943117</v>
          </cell>
        </row>
        <row r="285">
          <cell r="EG285">
            <v>10.027594211826226</v>
          </cell>
        </row>
        <row r="286">
          <cell r="EG286">
            <v>11.016586287078004</v>
          </cell>
        </row>
        <row r="287">
          <cell r="EG287">
            <v>11.503322100259346</v>
          </cell>
        </row>
        <row r="288">
          <cell r="EG288">
            <v>11.779720557672581</v>
          </cell>
        </row>
        <row r="289">
          <cell r="EG289">
            <v>9.4278105726759893</v>
          </cell>
        </row>
        <row r="290">
          <cell r="EG290">
            <v>9.5378190950732744</v>
          </cell>
        </row>
        <row r="291">
          <cell r="EG291">
            <v>9.0285712526925384</v>
          </cell>
        </row>
        <row r="292">
          <cell r="EG292">
            <v>10.000303899784813</v>
          </cell>
        </row>
        <row r="293">
          <cell r="EG293">
            <v>9.4827307000799426</v>
          </cell>
        </row>
        <row r="294">
          <cell r="EG294">
            <v>9.6162654052817089</v>
          </cell>
        </row>
        <row r="295">
          <cell r="EG295">
            <v>9.873901597864462</v>
          </cell>
        </row>
        <row r="296">
          <cell r="EG296">
            <v>9.4308809464528913</v>
          </cell>
        </row>
        <row r="297">
          <cell r="EG297">
            <v>8.8375884382355121</v>
          </cell>
        </row>
        <row r="298">
          <cell r="EG298">
            <v>9.2586372827240773</v>
          </cell>
        </row>
        <row r="299">
          <cell r="EG299">
            <v>9.975063996095237</v>
          </cell>
        </row>
        <row r="300">
          <cell r="EG300">
            <v>9.2626883443016972</v>
          </cell>
        </row>
        <row r="301">
          <cell r="EG301">
            <v>9.8460895803579849</v>
          </cell>
        </row>
        <row r="302">
          <cell r="EG302">
            <v>9.4563660331290436</v>
          </cell>
        </row>
        <row r="303">
          <cell r="EG303">
            <v>9.862906213562999</v>
          </cell>
        </row>
        <row r="304">
          <cell r="EG304">
            <v>9.3752977382173395</v>
          </cell>
        </row>
        <row r="305">
          <cell r="EG305">
            <v>9.5336449787987636</v>
          </cell>
        </row>
        <row r="306">
          <cell r="EG306">
            <v>9.4073909044707307</v>
          </cell>
        </row>
        <row r="307">
          <cell r="EG307">
            <v>9.833274639290563</v>
          </cell>
        </row>
        <row r="308">
          <cell r="EG308">
            <v>8.5670263661590607</v>
          </cell>
        </row>
        <row r="309">
          <cell r="EG309">
            <v>9.9933480399232604</v>
          </cell>
        </row>
        <row r="310">
          <cell r="EG310">
            <v>9.220631019448092</v>
          </cell>
        </row>
        <row r="311">
          <cell r="EG311">
            <v>10.247826022935442</v>
          </cell>
        </row>
        <row r="312">
          <cell r="EG312">
            <v>9.4649364291217335</v>
          </cell>
        </row>
        <row r="313">
          <cell r="EG313">
            <v>9.198106998873401</v>
          </cell>
        </row>
        <row r="314">
          <cell r="EG314">
            <v>10.284904251407587</v>
          </cell>
        </row>
        <row r="315">
          <cell r="EG315">
            <v>10.090998297753199</v>
          </cell>
        </row>
        <row r="316">
          <cell r="EG316">
            <v>10.688179469624272</v>
          </cell>
        </row>
        <row r="317">
          <cell r="EG317">
            <v>9.2491983573911121</v>
          </cell>
        </row>
        <row r="318">
          <cell r="EG318">
            <v>11.778625096599027</v>
          </cell>
        </row>
        <row r="319">
          <cell r="EG319">
            <v>10.085968077046074</v>
          </cell>
        </row>
        <row r="320">
          <cell r="EG320">
            <v>10.050843580956919</v>
          </cell>
        </row>
        <row r="321">
          <cell r="EG321">
            <v>10.321453434333344</v>
          </cell>
        </row>
        <row r="322">
          <cell r="EG322">
            <v>9.5459253293558426</v>
          </cell>
        </row>
        <row r="323">
          <cell r="EG323">
            <v>9.6651117370750512</v>
          </cell>
        </row>
        <row r="324">
          <cell r="EG324">
            <v>9.568201724066995</v>
          </cell>
        </row>
        <row r="325">
          <cell r="EG325">
            <v>9.6688516480825193</v>
          </cell>
        </row>
        <row r="326">
          <cell r="EG326">
            <v>9.7272972028035873</v>
          </cell>
        </row>
        <row r="327">
          <cell r="EG327">
            <v>9.3682868849021315</v>
          </cell>
        </row>
        <row r="328">
          <cell r="EG328">
            <v>9.6331653536839035</v>
          </cell>
        </row>
        <row r="329">
          <cell r="EG329">
            <v>9.4855794769846788</v>
          </cell>
        </row>
        <row r="330">
          <cell r="EG330">
            <v>9.0472748673841803</v>
          </cell>
        </row>
        <row r="331">
          <cell r="EG331">
            <v>9.1556396337597761</v>
          </cell>
        </row>
        <row r="332">
          <cell r="EG332">
            <v>9.5204835327407924</v>
          </cell>
        </row>
        <row r="333">
          <cell r="EG333">
            <v>10.714857634796667</v>
          </cell>
        </row>
        <row r="334">
          <cell r="EG334">
            <v>9.7884512070234564</v>
          </cell>
        </row>
        <row r="335">
          <cell r="EG335">
            <v>9.5717088318086869</v>
          </cell>
        </row>
        <row r="336">
          <cell r="EG336">
            <v>9.9429500700770994</v>
          </cell>
        </row>
        <row r="337">
          <cell r="EG337">
            <v>9.668385916690001</v>
          </cell>
        </row>
        <row r="338">
          <cell r="EG338">
            <v>10.022304622935069</v>
          </cell>
        </row>
        <row r="339">
          <cell r="EG339">
            <v>9.2011238972073794</v>
          </cell>
        </row>
        <row r="340">
          <cell r="EG340">
            <v>9.3255156633631486</v>
          </cell>
        </row>
        <row r="341">
          <cell r="EG341">
            <v>9.3201462861110542</v>
          </cell>
        </row>
        <row r="342">
          <cell r="EG342">
            <v>10.277975746223223</v>
          </cell>
        </row>
        <row r="343">
          <cell r="EG343">
            <v>10.027349607774756</v>
          </cell>
        </row>
        <row r="344">
          <cell r="EG344">
            <v>9.204119982655925</v>
          </cell>
        </row>
        <row r="345">
          <cell r="EG345">
            <v>10.438621448045396</v>
          </cell>
        </row>
        <row r="346">
          <cell r="EG346">
            <v>8.7589118923979736</v>
          </cell>
        </row>
        <row r="347">
          <cell r="EG347">
            <v>10.113207769822735</v>
          </cell>
        </row>
        <row r="348">
          <cell r="EG348">
            <v>9.363987829748492</v>
          </cell>
        </row>
        <row r="349">
          <cell r="EG349">
            <v>10.175279818442384</v>
          </cell>
        </row>
        <row r="350">
          <cell r="EG350">
            <v>8.8325089127062366</v>
          </cell>
        </row>
        <row r="351">
          <cell r="EG351">
            <v>9.351216345339342</v>
          </cell>
        </row>
        <row r="352">
          <cell r="EG352">
            <v>11.466415303605789</v>
          </cell>
        </row>
        <row r="353">
          <cell r="EG353">
            <v>10.347915186501691</v>
          </cell>
        </row>
        <row r="354">
          <cell r="EG354">
            <v>10.295830894958586</v>
          </cell>
        </row>
        <row r="355">
          <cell r="EG355">
            <v>10.003934206173708</v>
          </cell>
        </row>
        <row r="356">
          <cell r="EG356">
            <v>9.7005306569785912</v>
          </cell>
        </row>
        <row r="357">
          <cell r="EG357">
            <v>9.6119356250401218</v>
          </cell>
        </row>
        <row r="358">
          <cell r="EG358">
            <v>10.139690221652923</v>
          </cell>
        </row>
        <row r="359">
          <cell r="EG359">
            <v>9.9629845843169971</v>
          </cell>
        </row>
        <row r="360">
          <cell r="EG360">
            <v>10.071440127177887</v>
          </cell>
        </row>
        <row r="361">
          <cell r="EG361">
            <v>9.2019430634016501</v>
          </cell>
        </row>
        <row r="362">
          <cell r="EG362">
            <v>10.079723775139918</v>
          </cell>
        </row>
        <row r="363">
          <cell r="EG363">
            <v>9.988603543345663</v>
          </cell>
        </row>
        <row r="364">
          <cell r="EG364">
            <v>9.6907275438703664</v>
          </cell>
        </row>
        <row r="365">
          <cell r="EG365">
            <v>9.2878017299302265</v>
          </cell>
        </row>
        <row r="366">
          <cell r="EG366">
            <v>9.5118833609788744</v>
          </cell>
        </row>
        <row r="367">
          <cell r="EG367">
            <v>10.015862508097314</v>
          </cell>
        </row>
        <row r="368">
          <cell r="EG368">
            <v>9.7113009599161657</v>
          </cell>
        </row>
        <row r="369">
          <cell r="EG369">
            <v>10.086573365620573</v>
          </cell>
        </row>
        <row r="370">
          <cell r="EG370">
            <v>9.277150613963796</v>
          </cell>
        </row>
        <row r="371">
          <cell r="EG371">
            <v>9.7978213113640233</v>
          </cell>
        </row>
        <row r="372">
          <cell r="EG372">
            <v>9.522183317618687</v>
          </cell>
        </row>
        <row r="373">
          <cell r="EG373">
            <v>7.7708520116421438</v>
          </cell>
        </row>
        <row r="374">
          <cell r="EG374">
            <v>10.543732887887259</v>
          </cell>
        </row>
        <row r="375">
          <cell r="EG375">
            <v>9.105169427999332</v>
          </cell>
        </row>
        <row r="376">
          <cell r="EG376">
            <v>10.260596042301909</v>
          </cell>
        </row>
        <row r="377">
          <cell r="EG377">
            <v>9.2750808984568582</v>
          </cell>
        </row>
        <row r="378">
          <cell r="EG378">
            <v>10.222430314660491</v>
          </cell>
        </row>
        <row r="379">
          <cell r="EG379">
            <v>10.303131232510763</v>
          </cell>
        </row>
        <row r="380">
          <cell r="EG380">
            <v>10.136181326960601</v>
          </cell>
        </row>
        <row r="381">
          <cell r="EG381">
            <v>10.757934766327757</v>
          </cell>
        </row>
        <row r="382">
          <cell r="EG382">
            <v>10.360422994329248</v>
          </cell>
        </row>
        <row r="383">
          <cell r="EG383">
            <v>10.742379442998091</v>
          </cell>
        </row>
        <row r="384">
          <cell r="EG384">
            <v>10.453104198432209</v>
          </cell>
        </row>
        <row r="385">
          <cell r="EG385">
            <v>10.089304451847871</v>
          </cell>
        </row>
        <row r="386">
          <cell r="EG386">
            <v>10.484200153763631</v>
          </cell>
        </row>
        <row r="387">
          <cell r="EG387">
            <v>10.724587138976274</v>
          </cell>
        </row>
        <row r="388">
          <cell r="EG388">
            <v>9.4559102403827424</v>
          </cell>
        </row>
        <row r="389">
          <cell r="EG389">
            <v>10.321784782959902</v>
          </cell>
        </row>
        <row r="390">
          <cell r="EG390">
            <v>9.2070955404192176</v>
          </cell>
        </row>
        <row r="391">
          <cell r="EG391">
            <v>10.069853021113625</v>
          </cell>
        </row>
        <row r="392">
          <cell r="EG392">
            <v>10.576468048945626</v>
          </cell>
        </row>
        <row r="393">
          <cell r="EG393">
            <v>9.2664668954402423</v>
          </cell>
        </row>
        <row r="394">
          <cell r="EG394">
            <v>10.235856568752974</v>
          </cell>
        </row>
        <row r="395">
          <cell r="EG395">
            <v>10.646325291243283</v>
          </cell>
        </row>
        <row r="396">
          <cell r="EG396">
            <v>9.7121444142148867</v>
          </cell>
        </row>
        <row r="397">
          <cell r="EG397">
            <v>9.3014640731433005</v>
          </cell>
        </row>
        <row r="398">
          <cell r="EG398">
            <v>10.104213884199323</v>
          </cell>
        </row>
        <row r="399">
          <cell r="EG399">
            <v>9.7216457662897469</v>
          </cell>
        </row>
        <row r="400">
          <cell r="EG400">
            <v>9.8796119070658506</v>
          </cell>
        </row>
        <row r="401">
          <cell r="EG401">
            <v>10.401900036760585</v>
          </cell>
        </row>
        <row r="402">
          <cell r="EG402">
            <v>10.951415237923166</v>
          </cell>
        </row>
        <row r="403">
          <cell r="EG403">
            <v>9.9754777631658751</v>
          </cell>
        </row>
        <row r="404">
          <cell r="EG404">
            <v>10.050070264367438</v>
          </cell>
        </row>
        <row r="405">
          <cell r="EG405">
            <v>9.7709992051639407</v>
          </cell>
        </row>
        <row r="406">
          <cell r="EG406">
            <v>10.202706226990356</v>
          </cell>
        </row>
        <row r="407">
          <cell r="EG407">
            <v>9.9425536803342105</v>
          </cell>
        </row>
        <row r="408">
          <cell r="EG408">
            <v>10.511869997866151</v>
          </cell>
        </row>
        <row r="409">
          <cell r="EG409">
            <v>9.7622282842864738</v>
          </cell>
        </row>
        <row r="410">
          <cell r="EG410">
            <v>10.060471192797678</v>
          </cell>
        </row>
        <row r="411">
          <cell r="EG411">
            <v>10.297125561527981</v>
          </cell>
        </row>
        <row r="412">
          <cell r="EG412">
            <v>10.178487731047397</v>
          </cell>
        </row>
        <row r="413">
          <cell r="EG413">
            <v>9.9373674175172901</v>
          </cell>
        </row>
        <row r="414">
          <cell r="EG414">
            <v>9.9522110581086682</v>
          </cell>
        </row>
        <row r="415">
          <cell r="EG415">
            <v>9.5910646070264995</v>
          </cell>
        </row>
        <row r="416">
          <cell r="EG416">
            <v>10.337618972419385</v>
          </cell>
        </row>
        <row r="417">
          <cell r="EG417">
            <v>11.086345591277974</v>
          </cell>
        </row>
        <row r="418">
          <cell r="EG418">
            <v>11.497080380188191</v>
          </cell>
        </row>
        <row r="419">
          <cell r="EG419">
            <v>11.709741321751897</v>
          </cell>
        </row>
        <row r="420">
          <cell r="EG420">
            <v>11.004127833122505</v>
          </cell>
        </row>
        <row r="421">
          <cell r="EG421">
            <v>10.671524580629669</v>
          </cell>
        </row>
        <row r="422">
          <cell r="EG422">
            <v>11.188492565093906</v>
          </cell>
        </row>
        <row r="423">
          <cell r="EG423">
            <v>11.308549474427771</v>
          </cell>
        </row>
        <row r="424">
          <cell r="EG424">
            <v>10.836811315727346</v>
          </cell>
        </row>
        <row r="425">
          <cell r="EG425">
            <v>10.992761116636471</v>
          </cell>
        </row>
        <row r="426">
          <cell r="EG426">
            <v>10.345706921278428</v>
          </cell>
        </row>
        <row r="427">
          <cell r="EG427">
            <v>10.898176483497677</v>
          </cell>
        </row>
        <row r="428">
          <cell r="EG428">
            <v>11.227681072752871</v>
          </cell>
        </row>
        <row r="429">
          <cell r="EG429">
            <v>11.042433743144318</v>
          </cell>
        </row>
        <row r="430">
          <cell r="EG430">
            <v>9.2683439139510639</v>
          </cell>
        </row>
        <row r="431">
          <cell r="EG431">
            <v>10.503572800457903</v>
          </cell>
        </row>
        <row r="432">
          <cell r="EG432">
            <v>9.0236639181977942</v>
          </cell>
        </row>
        <row r="433">
          <cell r="EG433">
            <v>9.9653428355606213</v>
          </cell>
        </row>
        <row r="434">
          <cell r="EG434">
            <v>9.4869968884318219</v>
          </cell>
        </row>
        <row r="435">
          <cell r="EG435">
            <v>9.9994350498763307</v>
          </cell>
        </row>
        <row r="436">
          <cell r="EG436">
            <v>9.6755950563867454</v>
          </cell>
        </row>
        <row r="437">
          <cell r="EG437">
            <v>9.7697464671794538</v>
          </cell>
        </row>
        <row r="438">
          <cell r="EG438">
            <v>10.91560031372398</v>
          </cell>
        </row>
        <row r="439">
          <cell r="EG439">
            <v>10.074816440645174</v>
          </cell>
        </row>
        <row r="440">
          <cell r="EG440">
            <v>10.711275630961277</v>
          </cell>
        </row>
        <row r="441">
          <cell r="EG441">
            <v>9.4431064567372669</v>
          </cell>
        </row>
        <row r="442">
          <cell r="EG442">
            <v>9.6480671294489344</v>
          </cell>
        </row>
        <row r="443">
          <cell r="EG443">
            <v>8.3283796034387372</v>
          </cell>
        </row>
        <row r="444">
          <cell r="EG444">
            <v>10.171082577357526</v>
          </cell>
        </row>
        <row r="445">
          <cell r="EG445">
            <v>10.087852375163168</v>
          </cell>
        </row>
        <row r="446">
          <cell r="EG446">
            <v>10.806532694976926</v>
          </cell>
        </row>
        <row r="447">
          <cell r="EG447">
            <v>10.006466042249231</v>
          </cell>
        </row>
        <row r="448">
          <cell r="EG448">
            <v>9.1806992012960347</v>
          </cell>
        </row>
        <row r="449">
          <cell r="EG449">
            <v>9.680063427481949</v>
          </cell>
        </row>
        <row r="450">
          <cell r="EG450">
            <v>10.091139153825754</v>
          </cell>
        </row>
        <row r="451">
          <cell r="EG451">
            <v>9.9593276459721718</v>
          </cell>
        </row>
        <row r="452">
          <cell r="EG452">
            <v>9.5398285583778986</v>
          </cell>
        </row>
        <row r="453">
          <cell r="EG453">
            <v>10.000477461374455</v>
          </cell>
        </row>
        <row r="454">
          <cell r="EG454">
            <v>8.9894498176666922</v>
          </cell>
        </row>
        <row r="455">
          <cell r="EG455">
            <v>10.23509899009494</v>
          </cell>
        </row>
        <row r="456">
          <cell r="EG456">
            <v>9.9146075677710801</v>
          </cell>
        </row>
        <row r="457">
          <cell r="EG457">
            <v>9.6238692683503029</v>
          </cell>
        </row>
        <row r="458">
          <cell r="EG458">
            <v>9.6049816296074315</v>
          </cell>
        </row>
        <row r="459">
          <cell r="EG459">
            <v>9.1673173347481764</v>
          </cell>
        </row>
        <row r="460">
          <cell r="EG460">
            <v>10.164085057458859</v>
          </cell>
        </row>
        <row r="461">
          <cell r="EG461">
            <v>9.3879234669734366</v>
          </cell>
        </row>
        <row r="462">
          <cell r="EG462">
            <v>9.6620018793899174</v>
          </cell>
        </row>
        <row r="463">
          <cell r="EG463">
            <v>9.5743785644130828</v>
          </cell>
        </row>
        <row r="464">
          <cell r="EG464">
            <v>9.9397188823541054</v>
          </cell>
        </row>
        <row r="465">
          <cell r="EG465">
            <v>9.9243309847086785</v>
          </cell>
        </row>
        <row r="466">
          <cell r="EG466">
            <v>9.2491983573911121</v>
          </cell>
        </row>
        <row r="467">
          <cell r="EG467">
            <v>9.6942541120252788</v>
          </cell>
        </row>
        <row r="468">
          <cell r="EG468">
            <v>10.770741583752775</v>
          </cell>
        </row>
        <row r="469">
          <cell r="EG469">
            <v>10.339530938740655</v>
          </cell>
        </row>
        <row r="470">
          <cell r="EG470">
            <v>9.8532113345033174</v>
          </cell>
        </row>
        <row r="471">
          <cell r="EG471">
            <v>10.799733304907949</v>
          </cell>
        </row>
        <row r="472">
          <cell r="EG472">
            <v>9.3889887851247149</v>
          </cell>
        </row>
        <row r="473">
          <cell r="EG473">
            <v>9.1841233542396719</v>
          </cell>
        </row>
        <row r="474">
          <cell r="EG474">
            <v>10.344333315681277</v>
          </cell>
        </row>
        <row r="475">
          <cell r="EG475">
            <v>10.209622234511551</v>
          </cell>
        </row>
        <row r="476">
          <cell r="EG476">
            <v>9.7007902213743478</v>
          </cell>
        </row>
        <row r="477">
          <cell r="EG477">
            <v>10.706743378506737</v>
          </cell>
        </row>
        <row r="478">
          <cell r="EG478">
            <v>11.356589882287693</v>
          </cell>
        </row>
        <row r="479">
          <cell r="EG479">
            <v>9.3900514964589874</v>
          </cell>
        </row>
        <row r="480">
          <cell r="EG480">
            <v>9.5700757053216048</v>
          </cell>
        </row>
        <row r="481">
          <cell r="EG481">
            <v>9.4707044297227885</v>
          </cell>
        </row>
        <row r="482">
          <cell r="EG482">
            <v>10.3220124385824</v>
          </cell>
        </row>
        <row r="483">
          <cell r="EG483">
            <v>9.5929535715478664</v>
          </cell>
        </row>
        <row r="484">
          <cell r="EG484">
            <v>9.1595671932336202</v>
          </cell>
        </row>
        <row r="485">
          <cell r="EG485">
            <v>9.494293768665333</v>
          </cell>
        </row>
        <row r="486">
          <cell r="EG486">
            <v>9.2683439139510639</v>
          </cell>
        </row>
        <row r="487">
          <cell r="EG487">
            <v>9.5737995822157398</v>
          </cell>
        </row>
        <row r="488">
          <cell r="EG488">
            <v>9.1875207208364635</v>
          </cell>
        </row>
        <row r="489">
          <cell r="EG489">
            <v>9.5790973265526436</v>
          </cell>
        </row>
        <row r="490">
          <cell r="EG490">
            <v>9.5639554649958125</v>
          </cell>
        </row>
        <row r="491">
          <cell r="EG491">
            <v>10.321266939574789</v>
          </cell>
        </row>
        <row r="492">
          <cell r="EG492">
            <v>9.9369156809452548</v>
          </cell>
        </row>
        <row r="493">
          <cell r="EG493">
            <v>10.164620489079711</v>
          </cell>
        </row>
        <row r="494">
          <cell r="EG494">
            <v>9.6420686273415033</v>
          </cell>
        </row>
        <row r="495">
          <cell r="EG495">
            <v>9.307067950661299</v>
          </cell>
        </row>
        <row r="496">
          <cell r="EG496">
            <v>9.0322157032979824</v>
          </cell>
        </row>
        <row r="497">
          <cell r="EG497">
            <v>9.5342800052050816</v>
          </cell>
        </row>
        <row r="498">
          <cell r="EG498">
            <v>9.8376515578463923</v>
          </cell>
        </row>
        <row r="499">
          <cell r="EG499">
            <v>10.480107595576447</v>
          </cell>
        </row>
        <row r="500">
          <cell r="EG500">
            <v>9.0394141191761364</v>
          </cell>
        </row>
        <row r="501">
          <cell r="EG501">
            <v>9.1911714557285578</v>
          </cell>
        </row>
        <row r="502">
          <cell r="EG502">
            <v>9.476251796007034</v>
          </cell>
        </row>
        <row r="503">
          <cell r="EG503">
            <v>8.8512583487190746</v>
          </cell>
        </row>
        <row r="504">
          <cell r="EG504">
            <v>8.7450747915820575</v>
          </cell>
        </row>
        <row r="505">
          <cell r="EG505">
            <v>9.0145205387579246</v>
          </cell>
        </row>
        <row r="506">
          <cell r="EG506">
            <v>10.569455844240684</v>
          </cell>
        </row>
        <row r="507">
          <cell r="EG507">
            <v>8.8061799739838875</v>
          </cell>
        </row>
        <row r="508">
          <cell r="EG508">
            <v>9.2116544005531829</v>
          </cell>
        </row>
        <row r="509">
          <cell r="EG509">
            <v>10.105612359686786</v>
          </cell>
        </row>
        <row r="510">
          <cell r="EG510">
            <v>9.5848963441374497</v>
          </cell>
        </row>
        <row r="511">
          <cell r="EG511">
            <v>9.3326404103874623</v>
          </cell>
        </row>
        <row r="512">
          <cell r="EG512">
            <v>9.1622656142980219</v>
          </cell>
        </row>
        <row r="513">
          <cell r="EG513">
            <v>8.8048206787211623</v>
          </cell>
        </row>
        <row r="514">
          <cell r="EG514">
            <v>8.5693739096150452</v>
          </cell>
        </row>
        <row r="515">
          <cell r="EG515">
            <v>8.8680563618230419</v>
          </cell>
        </row>
        <row r="516">
          <cell r="EG516">
            <v>11.032969116894197</v>
          </cell>
        </row>
        <row r="517">
          <cell r="EG517">
            <v>8.6127838567197355</v>
          </cell>
        </row>
        <row r="518">
          <cell r="EG518">
            <v>8.9122220565324159</v>
          </cell>
        </row>
        <row r="519">
          <cell r="EG519">
            <v>8.5809249756756198</v>
          </cell>
        </row>
        <row r="520">
          <cell r="EG520">
            <v>10.312790692146443</v>
          </cell>
        </row>
        <row r="521">
          <cell r="EG521">
            <v>10.037107632667928</v>
          </cell>
        </row>
        <row r="522">
          <cell r="EG522">
            <v>9.2100508498751381</v>
          </cell>
        </row>
        <row r="523">
          <cell r="EG523">
            <v>8.9489017609702142</v>
          </cell>
        </row>
        <row r="524">
          <cell r="EG524">
            <v>8.8864907251724823</v>
          </cell>
        </row>
        <row r="525">
          <cell r="EG525">
            <v>9.3040594662175984</v>
          </cell>
        </row>
        <row r="526">
          <cell r="EG526">
            <v>10.30982172568023</v>
          </cell>
        </row>
        <row r="527">
          <cell r="EG527">
            <v>10.148571808932157</v>
          </cell>
        </row>
        <row r="528">
          <cell r="EG528">
            <v>9.2484637175510311</v>
          </cell>
        </row>
        <row r="529">
          <cell r="EG529">
            <v>9.0902580529313166</v>
          </cell>
        </row>
        <row r="530">
          <cell r="EG530">
            <v>9.8510136068236704</v>
          </cell>
        </row>
        <row r="531">
          <cell r="EG531">
            <v>10.068705219691941</v>
          </cell>
        </row>
        <row r="532">
          <cell r="EG532">
            <v>9.3541084391474012</v>
          </cell>
        </row>
        <row r="533">
          <cell r="EG533">
            <v>9.5459253293558426</v>
          </cell>
        </row>
        <row r="534">
          <cell r="EG534">
            <v>9.7520484478194387</v>
          </cell>
        </row>
        <row r="535">
          <cell r="EG535">
            <v>8.9360107957152088</v>
          </cell>
        </row>
        <row r="536">
          <cell r="EG536">
            <v>8.9508514588885468</v>
          </cell>
        </row>
        <row r="537">
          <cell r="EG537">
            <v>8.9836262871245349</v>
          </cell>
        </row>
        <row r="538">
          <cell r="EG538">
            <v>9.4044916177586853</v>
          </cell>
        </row>
        <row r="539">
          <cell r="EG539">
            <v>9.43822580760453</v>
          </cell>
        </row>
        <row r="540">
          <cell r="EG540">
            <v>9.5975855017522047</v>
          </cell>
        </row>
        <row r="541">
          <cell r="EG541">
            <v>9.06744284277638</v>
          </cell>
        </row>
        <row r="542">
          <cell r="EG542">
            <v>9.5039268041935099</v>
          </cell>
        </row>
        <row r="543">
          <cell r="EG543">
            <v>9.6907275438703664</v>
          </cell>
        </row>
        <row r="544">
          <cell r="EG544">
            <v>9.2377949932739227</v>
          </cell>
        </row>
        <row r="545">
          <cell r="EG545">
            <v>9.4163075870598831</v>
          </cell>
        </row>
        <row r="546">
          <cell r="EG546">
            <v>9.2273724422896368</v>
          </cell>
        </row>
        <row r="547">
          <cell r="EG547">
            <v>9.1541195255158474</v>
          </cell>
        </row>
        <row r="548">
          <cell r="EG548">
            <v>8.6253124509616743</v>
          </cell>
        </row>
        <row r="549">
          <cell r="EG549">
            <v>8.8055008581583998</v>
          </cell>
        </row>
        <row r="550">
          <cell r="EG550">
            <v>9.0877814178095431</v>
          </cell>
        </row>
        <row r="551">
          <cell r="EG551">
            <v>9.7666358863102669</v>
          </cell>
        </row>
        <row r="552">
          <cell r="EG552">
            <v>9.10140335055533</v>
          </cell>
        </row>
        <row r="553">
          <cell r="EG553">
            <v>8.5932860670204576</v>
          </cell>
        </row>
        <row r="554">
          <cell r="EG554">
            <v>8.6711728427150838</v>
          </cell>
        </row>
        <row r="555">
          <cell r="EG555">
            <v>8.7450747915820575</v>
          </cell>
        </row>
        <row r="556">
          <cell r="EG556">
            <v>8.7168377232995251</v>
          </cell>
        </row>
        <row r="557">
          <cell r="EG557">
            <v>9.7080808104682319</v>
          </cell>
        </row>
        <row r="558">
          <cell r="EG558">
            <v>9.2169572073610961</v>
          </cell>
        </row>
        <row r="559">
          <cell r="EG559">
            <v>8.7126497016272122</v>
          </cell>
        </row>
        <row r="560">
          <cell r="EG560">
            <v>8.729974285699555</v>
          </cell>
        </row>
        <row r="561">
          <cell r="EG561">
            <v>8.3324384599156058</v>
          </cell>
        </row>
        <row r="562">
          <cell r="EG562">
            <v>8.423245873936807</v>
          </cell>
        </row>
        <row r="563">
          <cell r="EG563">
            <v>9.3692158574101434</v>
          </cell>
        </row>
        <row r="564">
          <cell r="EG564">
            <v>9.0526939419249679</v>
          </cell>
        </row>
        <row r="565">
          <cell r="EG565">
            <v>8.9439888750737726</v>
          </cell>
        </row>
        <row r="566">
          <cell r="EG566">
            <v>9.2187979981117376</v>
          </cell>
        </row>
        <row r="567">
          <cell r="EG567">
            <v>9.7743709598499162</v>
          </cell>
        </row>
        <row r="568">
          <cell r="EG568">
            <v>8.8864907251724823</v>
          </cell>
        </row>
        <row r="569">
          <cell r="EG569">
            <v>9.0546130545568886</v>
          </cell>
        </row>
        <row r="570">
          <cell r="EG570">
            <v>8.8567288903828825</v>
          </cell>
        </row>
        <row r="571">
          <cell r="EG571">
            <v>8.9449759084120473</v>
          </cell>
        </row>
        <row r="572">
          <cell r="EG572">
            <v>9.7370335313338785</v>
          </cell>
        </row>
        <row r="573">
          <cell r="EG573">
            <v>9.2496874278053021</v>
          </cell>
        </row>
        <row r="574">
          <cell r="EG574">
            <v>8.8954225460394074</v>
          </cell>
        </row>
        <row r="575">
          <cell r="EG575">
            <v>9.5011962420270883</v>
          </cell>
        </row>
        <row r="576">
          <cell r="EG576">
            <v>9.1664301138432833</v>
          </cell>
        </row>
        <row r="577">
          <cell r="EG577">
            <v>8.5514499979728757</v>
          </cell>
        </row>
        <row r="578">
          <cell r="EG578">
            <v>9.0576661039098294</v>
          </cell>
        </row>
        <row r="579">
          <cell r="EG579">
            <v>9.5319895514125506</v>
          </cell>
        </row>
        <row r="580">
          <cell r="EG580">
            <v>9.1568519010700111</v>
          </cell>
        </row>
        <row r="581">
          <cell r="EG581">
            <v>8.8195439355418692</v>
          </cell>
        </row>
        <row r="582">
          <cell r="EG582">
            <v>9.2211533219547057</v>
          </cell>
        </row>
        <row r="583">
          <cell r="EG583">
            <v>9.1179338350396417</v>
          </cell>
        </row>
        <row r="584">
          <cell r="EG584">
            <v>9.4104397862103468</v>
          </cell>
        </row>
        <row r="585">
          <cell r="EG585">
            <v>9.1139433523068369</v>
          </cell>
        </row>
        <row r="586">
          <cell r="EG586">
            <v>8.957607287060096</v>
          </cell>
        </row>
        <row r="587">
          <cell r="EG587">
            <v>11.092801321948428</v>
          </cell>
        </row>
        <row r="588">
          <cell r="EG588">
            <v>9.0488300865283495</v>
          </cell>
        </row>
        <row r="589">
          <cell r="EG589">
            <v>10.155457501451842</v>
          </cell>
        </row>
        <row r="590">
          <cell r="EG590">
            <v>8.3483048630481616</v>
          </cell>
        </row>
        <row r="591">
          <cell r="EG591">
            <v>9.5970366649776526</v>
          </cell>
        </row>
        <row r="592">
          <cell r="EG592">
            <v>9.612359947967775</v>
          </cell>
        </row>
        <row r="593">
          <cell r="EG593">
            <v>9.7979596437371956</v>
          </cell>
        </row>
        <row r="594">
          <cell r="EG594">
            <v>9.881897973573011</v>
          </cell>
        </row>
        <row r="595">
          <cell r="EG595">
            <v>8.9969492484953815</v>
          </cell>
        </row>
        <row r="596">
          <cell r="EG596">
            <v>9.0817072700973487</v>
          </cell>
        </row>
        <row r="597">
          <cell r="EG597">
            <v>9.2552725051033065</v>
          </cell>
        </row>
        <row r="598">
          <cell r="EG598">
            <v>9.0145205387579246</v>
          </cell>
        </row>
        <row r="599">
          <cell r="EG599">
            <v>8.9365137424788941</v>
          </cell>
        </row>
        <row r="600">
          <cell r="EG600">
            <v>8.6998377258672459</v>
          </cell>
        </row>
        <row r="601">
          <cell r="EG601">
            <v>8.7497363155690611</v>
          </cell>
        </row>
        <row r="602">
          <cell r="EG602">
            <v>10.232767474176342</v>
          </cell>
        </row>
        <row r="603">
          <cell r="EG603">
            <v>9.2810333672477281</v>
          </cell>
        </row>
        <row r="604">
          <cell r="EG604">
            <v>7.9395192526186182</v>
          </cell>
        </row>
        <row r="605">
          <cell r="EG605">
            <v>9.159867847092567</v>
          </cell>
        </row>
        <row r="606">
          <cell r="EG606">
            <v>8.8750612633917001</v>
          </cell>
        </row>
        <row r="607">
          <cell r="EG607">
            <v>9.2821687783046407</v>
          </cell>
        </row>
        <row r="608">
          <cell r="EG608">
            <v>8.9647309210536292</v>
          </cell>
        </row>
        <row r="609">
          <cell r="EG609">
            <v>9.6394864892685863</v>
          </cell>
        </row>
        <row r="610">
          <cell r="EG610">
            <v>8.5514499979728757</v>
          </cell>
        </row>
        <row r="611">
          <cell r="EG611">
            <v>9.4315245841874518</v>
          </cell>
        </row>
        <row r="612">
          <cell r="EG612">
            <v>8.668385916690001</v>
          </cell>
        </row>
        <row r="613">
          <cell r="EG613">
            <v>9.2636360685881076</v>
          </cell>
        </row>
        <row r="614">
          <cell r="EG614">
            <v>8.7678976160180913</v>
          </cell>
        </row>
        <row r="615">
          <cell r="EG615">
            <v>9.6553305580093411</v>
          </cell>
        </row>
        <row r="616">
          <cell r="EG616">
            <v>9.1038037209559572</v>
          </cell>
        </row>
        <row r="617">
          <cell r="EG617">
            <v>9.1934029030624167</v>
          </cell>
        </row>
        <row r="618">
          <cell r="EG618">
            <v>9.0877814178095431</v>
          </cell>
        </row>
        <row r="619">
          <cell r="EG619">
            <v>9.1661339703051095</v>
          </cell>
        </row>
        <row r="620">
          <cell r="EG620">
            <v>9.3100557377508917</v>
          </cell>
        </row>
        <row r="621">
          <cell r="EG621">
            <v>9.2342641243787895</v>
          </cell>
        </row>
        <row r="622">
          <cell r="EG622">
            <v>9.2523675144598982</v>
          </cell>
        </row>
        <row r="623">
          <cell r="EG623">
            <v>8.9138138523837167</v>
          </cell>
        </row>
        <row r="624">
          <cell r="EG624">
            <v>10.437100219421662</v>
          </cell>
        </row>
        <row r="625">
          <cell r="EG625">
            <v>8.568201724066995</v>
          </cell>
        </row>
        <row r="626">
          <cell r="EG626">
            <v>10.045557669136548</v>
          </cell>
        </row>
        <row r="627">
          <cell r="EG627">
            <v>9.1146109842321739</v>
          </cell>
        </row>
        <row r="628">
          <cell r="EG628">
            <v>9.6074550232146692</v>
          </cell>
        </row>
        <row r="629">
          <cell r="EG629">
            <v>9.4168068718229438</v>
          </cell>
        </row>
        <row r="630">
          <cell r="EG630">
            <v>9.5148132949992856</v>
          </cell>
        </row>
        <row r="631">
          <cell r="EG631">
            <v>10.513457328390572</v>
          </cell>
        </row>
        <row r="632">
          <cell r="EG632">
            <v>9.3390537357091397</v>
          </cell>
        </row>
        <row r="633">
          <cell r="EG633">
            <v>8.5965970956264606</v>
          </cell>
        </row>
        <row r="634">
          <cell r="EG634">
            <v>9.6231458746379399</v>
          </cell>
        </row>
        <row r="635">
          <cell r="EG635">
            <v>10.094051655509965</v>
          </cell>
        </row>
        <row r="636">
          <cell r="EG636">
            <v>8.7242758696007883</v>
          </cell>
        </row>
        <row r="637">
          <cell r="EG637">
            <v>9.2407987711173316</v>
          </cell>
        </row>
        <row r="638">
          <cell r="EG638">
            <v>9.5178554189300293</v>
          </cell>
        </row>
        <row r="639">
          <cell r="EG639">
            <v>9.8857003801283305</v>
          </cell>
        </row>
        <row r="640">
          <cell r="EG640">
            <v>9.4445132063340438</v>
          </cell>
        </row>
        <row r="641">
          <cell r="EG641">
            <v>8.2810333672477281</v>
          </cell>
        </row>
        <row r="642">
          <cell r="EG642">
            <v>9.784545974054522</v>
          </cell>
        </row>
        <row r="643">
          <cell r="EG643">
            <v>9.4937368022768407</v>
          </cell>
        </row>
        <row r="644">
          <cell r="EG644">
            <v>9.2787536009528289</v>
          </cell>
        </row>
        <row r="645">
          <cell r="EG645">
            <v>9.6444385894678391</v>
          </cell>
        </row>
        <row r="646">
          <cell r="EG646">
            <v>9.2844307338445198</v>
          </cell>
        </row>
        <row r="647">
          <cell r="EG647">
            <v>9.4611982886224926</v>
          </cell>
        </row>
        <row r="648">
          <cell r="EG648">
            <v>8.7267272090265724</v>
          </cell>
        </row>
        <row r="649">
          <cell r="EG649">
            <v>9.4313637641589878</v>
          </cell>
        </row>
        <row r="650">
          <cell r="EG650">
            <v>9.1129399760840801</v>
          </cell>
        </row>
        <row r="651">
          <cell r="EG651">
            <v>9.3332456989619637</v>
          </cell>
        </row>
        <row r="652">
          <cell r="EG652">
            <v>9.2362852774480277</v>
          </cell>
        </row>
        <row r="653">
          <cell r="EG653">
            <v>9.0362295440862948</v>
          </cell>
        </row>
        <row r="654">
          <cell r="EG654">
            <v>10.075473964588946</v>
          </cell>
        </row>
        <row r="655">
          <cell r="EG655">
            <v>10.129722108695878</v>
          </cell>
        </row>
        <row r="656">
          <cell r="EG656">
            <v>8.9722028383790651</v>
          </cell>
        </row>
        <row r="657">
          <cell r="EG657">
            <v>9.5065050324048723</v>
          </cell>
        </row>
        <row r="658">
          <cell r="EG658">
            <v>10.290991232025503</v>
          </cell>
        </row>
        <row r="659">
          <cell r="EG659">
            <v>9.2153731527834228</v>
          </cell>
        </row>
        <row r="660">
          <cell r="EG660">
            <v>10.385606273598313</v>
          </cell>
        </row>
        <row r="661">
          <cell r="EG661">
            <v>9.4886916983169414</v>
          </cell>
        </row>
        <row r="662">
          <cell r="EG662">
            <v>8.9978230807457251</v>
          </cell>
        </row>
        <row r="663">
          <cell r="EG663">
            <v>9.2942457161381178</v>
          </cell>
        </row>
        <row r="664">
          <cell r="EG664">
            <v>9.6002103064093287</v>
          </cell>
        </row>
        <row r="665">
          <cell r="EG665">
            <v>9.3981136917305026</v>
          </cell>
        </row>
        <row r="666">
          <cell r="EG666">
            <v>9.0603200286882846</v>
          </cell>
        </row>
        <row r="667">
          <cell r="EG667">
            <v>9.1838390370564209</v>
          </cell>
        </row>
        <row r="668">
          <cell r="EG668">
            <v>9.8778894253714835</v>
          </cell>
        </row>
        <row r="669">
          <cell r="EG669">
            <v>9.1328997699444834</v>
          </cell>
        </row>
        <row r="670">
          <cell r="EG670">
            <v>9.8947589943718928</v>
          </cell>
        </row>
        <row r="671">
          <cell r="EG671">
            <v>9.2385478876813281</v>
          </cell>
        </row>
        <row r="672">
          <cell r="EG672">
            <v>9.7277851741829053</v>
          </cell>
        </row>
        <row r="673">
          <cell r="EG673">
            <v>8.6989700043360187</v>
          </cell>
        </row>
        <row r="674">
          <cell r="EG674">
            <v>9.1945143418824671</v>
          </cell>
        </row>
        <row r="675">
          <cell r="EG675">
            <v>9.2650537885040141</v>
          </cell>
        </row>
        <row r="676">
          <cell r="EG676">
            <v>9.6237660001339318</v>
          </cell>
        </row>
        <row r="677">
          <cell r="EG677">
            <v>10.678982470996925</v>
          </cell>
        </row>
        <row r="678">
          <cell r="EG678">
            <v>9.0877814178095431</v>
          </cell>
        </row>
        <row r="679">
          <cell r="EG679">
            <v>9.5542468081661109</v>
          </cell>
        </row>
        <row r="680">
          <cell r="EG680">
            <v>8.6821450763738319</v>
          </cell>
        </row>
        <row r="681">
          <cell r="EG681">
            <v>10.23545269126322</v>
          </cell>
        </row>
        <row r="682">
          <cell r="EG682">
            <v>10.11169927757355</v>
          </cell>
        </row>
        <row r="683">
          <cell r="EG683">
            <v>9.6495295659478195</v>
          </cell>
        </row>
        <row r="684">
          <cell r="EG684">
            <v>10.128657700431415</v>
          </cell>
        </row>
        <row r="685">
          <cell r="EG685">
            <v>9.0588054866759062</v>
          </cell>
        </row>
        <row r="686">
          <cell r="EG686">
            <v>8.9258275746247424</v>
          </cell>
        </row>
        <row r="687">
          <cell r="EG687">
            <v>9.4239009185284175</v>
          </cell>
        </row>
        <row r="688">
          <cell r="EG688">
            <v>9.7449185424413525</v>
          </cell>
        </row>
        <row r="689">
          <cell r="EG689">
            <v>10.176669932668149</v>
          </cell>
        </row>
        <row r="690">
          <cell r="EG690">
            <v>9.6515687388657927</v>
          </cell>
        </row>
        <row r="691">
          <cell r="EG691">
            <v>9.7015679850559273</v>
          </cell>
        </row>
        <row r="692">
          <cell r="EG692">
            <v>9.2375437381428753</v>
          </cell>
        </row>
        <row r="693">
          <cell r="EG693">
            <v>9.0599418880619549</v>
          </cell>
        </row>
        <row r="694">
          <cell r="EG694">
            <v>9.4034637013453182</v>
          </cell>
        </row>
        <row r="695">
          <cell r="EG695">
            <v>9.0599418880619549</v>
          </cell>
        </row>
        <row r="696">
          <cell r="EG696">
            <v>10.154910645788524</v>
          </cell>
        </row>
        <row r="697">
          <cell r="EG697">
            <v>9.3378584290410949</v>
          </cell>
        </row>
        <row r="698">
          <cell r="EG698">
            <v>9.6475785542124548</v>
          </cell>
        </row>
        <row r="699">
          <cell r="EG699">
            <v>10.487590824516055</v>
          </cell>
        </row>
        <row r="700">
          <cell r="EG700">
            <v>9.6159500516564016</v>
          </cell>
        </row>
        <row r="701">
          <cell r="EG701">
            <v>9.8377146682849119</v>
          </cell>
        </row>
        <row r="702">
          <cell r="EG702">
            <v>9.5706596700215343</v>
          </cell>
        </row>
        <row r="703">
          <cell r="EG703">
            <v>9.6795187436957892</v>
          </cell>
        </row>
        <row r="704">
          <cell r="EG704">
            <v>8.9003671286564696</v>
          </cell>
        </row>
        <row r="705">
          <cell r="EG705">
            <v>8.1398790864012369</v>
          </cell>
        </row>
        <row r="706">
          <cell r="EG706">
            <v>9.5662017188549129</v>
          </cell>
        </row>
        <row r="707">
          <cell r="EG707">
            <v>9.8285954563717031</v>
          </cell>
        </row>
        <row r="708">
          <cell r="EG708">
            <v>9.0115704435972788</v>
          </cell>
        </row>
        <row r="709">
          <cell r="EG709">
            <v>9.0326187608507205</v>
          </cell>
        </row>
        <row r="710">
          <cell r="EG710">
            <v>9.2187979981117376</v>
          </cell>
        </row>
        <row r="711">
          <cell r="EG711">
            <v>8.8976270912904418</v>
          </cell>
        </row>
        <row r="712">
          <cell r="EG712">
            <v>8.3283796034387372</v>
          </cell>
        </row>
        <row r="713">
          <cell r="EG713">
            <v>9.9838517189914722</v>
          </cell>
        </row>
        <row r="714">
          <cell r="EG714">
            <v>10.563136835879313</v>
          </cell>
        </row>
        <row r="715">
          <cell r="EG715">
            <v>9.3306166672944375</v>
          </cell>
        </row>
        <row r="716">
          <cell r="EG716">
            <v>9.3762118502826723</v>
          </cell>
        </row>
        <row r="717">
          <cell r="EG717">
            <v>10.180326625415148</v>
          </cell>
        </row>
        <row r="718">
          <cell r="EG718">
            <v>10.622452353098465</v>
          </cell>
        </row>
        <row r="719">
          <cell r="EG719">
            <v>9.1055101847699742</v>
          </cell>
        </row>
        <row r="720">
          <cell r="EG720">
            <v>9.0927206446840998</v>
          </cell>
        </row>
        <row r="721">
          <cell r="EG721">
            <v>9.8431081419996076</v>
          </cell>
        </row>
        <row r="722">
          <cell r="EG722">
            <v>9.7921114090871679</v>
          </cell>
        </row>
        <row r="723">
          <cell r="EG723">
            <v>9.5718252490408293</v>
          </cell>
        </row>
        <row r="724">
          <cell r="EG724">
            <v>9.246744709723842</v>
          </cell>
        </row>
        <row r="725">
          <cell r="EG725">
            <v>9.5878231713189557</v>
          </cell>
        </row>
        <row r="726">
          <cell r="EG726">
            <v>9.6630409748939741</v>
          </cell>
        </row>
        <row r="727">
          <cell r="EG727">
            <v>9.5941714791149124</v>
          </cell>
        </row>
        <row r="728">
          <cell r="EG728">
            <v>9.1934029030624167</v>
          </cell>
        </row>
        <row r="729">
          <cell r="EG729">
            <v>9.7352794480604565</v>
          </cell>
        </row>
        <row r="730">
          <cell r="EG730">
            <v>9.5614591712419159</v>
          </cell>
        </row>
        <row r="731">
          <cell r="EG731">
            <v>9.746712022516661</v>
          </cell>
        </row>
        <row r="732">
          <cell r="EG732">
            <v>9.8280150642239761</v>
          </cell>
        </row>
        <row r="733">
          <cell r="EG733">
            <v>8.7209857441537384</v>
          </cell>
        </row>
        <row r="734">
          <cell r="EG734">
            <v>9.5435714239623657</v>
          </cell>
        </row>
        <row r="735">
          <cell r="EG735">
            <v>9.6062738531699878</v>
          </cell>
        </row>
        <row r="736">
          <cell r="EG736">
            <v>9.8293037728310253</v>
          </cell>
        </row>
        <row r="737">
          <cell r="EG737">
            <v>8.7242758696007883</v>
          </cell>
        </row>
        <row r="738">
          <cell r="EG738">
            <v>9.7070589406275971</v>
          </cell>
        </row>
        <row r="739">
          <cell r="EG739">
            <v>10.135832049712681</v>
          </cell>
        </row>
        <row r="740">
          <cell r="EG740">
            <v>8.8488047010518045</v>
          </cell>
        </row>
        <row r="741">
          <cell r="EG741">
            <v>9.585460729508501</v>
          </cell>
        </row>
        <row r="742">
          <cell r="EG742">
            <v>9.2022157758011307</v>
          </cell>
        </row>
        <row r="743">
          <cell r="EG743">
            <v>9.699404081815338</v>
          </cell>
        </row>
        <row r="744">
          <cell r="EG744">
            <v>9.9442852206887533</v>
          </cell>
        </row>
        <row r="745">
          <cell r="EG745">
            <v>9.3651134316275773</v>
          </cell>
        </row>
        <row r="746">
          <cell r="EG746">
            <v>9.4681995860726129</v>
          </cell>
        </row>
        <row r="747">
          <cell r="EG747">
            <v>8.9642596301968496</v>
          </cell>
        </row>
        <row r="748">
          <cell r="EG748">
            <v>9.8969669019331548</v>
          </cell>
        </row>
        <row r="749">
          <cell r="EG749">
            <v>9.5043349118024647</v>
          </cell>
        </row>
        <row r="750">
          <cell r="EG750">
            <v>9.3607826898732807</v>
          </cell>
        </row>
        <row r="751">
          <cell r="EG751">
            <v>9.3244882333076564</v>
          </cell>
        </row>
        <row r="752">
          <cell r="EG752">
            <v>9.5422027824340283</v>
          </cell>
        </row>
        <row r="753">
          <cell r="EG753">
            <v>9.0277572046905536</v>
          </cell>
        </row>
        <row r="754">
          <cell r="EG754">
            <v>9.6047658847038875</v>
          </cell>
        </row>
        <row r="755">
          <cell r="EG755">
            <v>8.989004615698537</v>
          </cell>
        </row>
        <row r="756">
          <cell r="EG756">
            <v>9.8501559224220916</v>
          </cell>
        </row>
        <row r="757">
          <cell r="EG757">
            <v>9.6231458746379399</v>
          </cell>
        </row>
        <row r="758">
          <cell r="EG758">
            <v>9.4353665066126613</v>
          </cell>
        </row>
        <row r="759">
          <cell r="EG759">
            <v>8.5477747053878232</v>
          </cell>
        </row>
        <row r="760">
          <cell r="EG760">
            <v>9.6769678142947591</v>
          </cell>
        </row>
        <row r="761">
          <cell r="EG761">
            <v>8.989004615698537</v>
          </cell>
        </row>
        <row r="762">
          <cell r="EG762">
            <v>9.1176026916900845</v>
          </cell>
        </row>
        <row r="763">
          <cell r="EG763">
            <v>10.258469661550693</v>
          </cell>
        </row>
        <row r="764">
          <cell r="EG764">
            <v>9.2506639194632427</v>
          </cell>
        </row>
        <row r="765">
          <cell r="EG765">
            <v>9.0762762554042169</v>
          </cell>
        </row>
        <row r="766">
          <cell r="EG766">
            <v>9.9062272630523598</v>
          </cell>
        </row>
        <row r="767">
          <cell r="EG767">
            <v>10.147985320683805</v>
          </cell>
        </row>
        <row r="768">
          <cell r="EG768">
            <v>9.4910814134231867</v>
          </cell>
        </row>
        <row r="769">
          <cell r="EG769">
            <v>9.4913616938342731</v>
          </cell>
        </row>
        <row r="770">
          <cell r="EG770">
            <v>9.4413808849165122</v>
          </cell>
        </row>
        <row r="771">
          <cell r="EG771">
            <v>8.7067177823367583</v>
          </cell>
        </row>
        <row r="772">
          <cell r="EG772">
            <v>9.4260230156898768</v>
          </cell>
        </row>
        <row r="773">
          <cell r="EG773">
            <v>10.193820026016112</v>
          </cell>
        </row>
        <row r="774">
          <cell r="EG774">
            <v>9.6552345070342938</v>
          </cell>
        </row>
        <row r="775">
          <cell r="EG775">
            <v>9.2929202996000058</v>
          </cell>
        </row>
        <row r="776">
          <cell r="EG776">
            <v>10.021520064114032</v>
          </cell>
        </row>
        <row r="777">
          <cell r="EG777">
            <v>9.7496590320949004</v>
          </cell>
        </row>
        <row r="778">
          <cell r="EG778">
            <v>9.6677330525332668</v>
          </cell>
        </row>
        <row r="779">
          <cell r="EG779">
            <v>9.0817072700973487</v>
          </cell>
        </row>
        <row r="780">
          <cell r="EG780">
            <v>9.4328090050331674</v>
          </cell>
        </row>
        <row r="781">
          <cell r="EG781">
            <v>10.308671106715419</v>
          </cell>
        </row>
        <row r="782">
          <cell r="EG782">
            <v>8.6766936096248664</v>
          </cell>
        </row>
        <row r="783">
          <cell r="EG783">
            <v>8.9628426812012432</v>
          </cell>
        </row>
        <row r="784">
          <cell r="EG784">
            <v>9.4608978427565482</v>
          </cell>
        </row>
        <row r="785">
          <cell r="EG785">
            <v>10.004020273253241</v>
          </cell>
        </row>
        <row r="786">
          <cell r="EG786">
            <v>9.6885977750811705</v>
          </cell>
        </row>
        <row r="787">
          <cell r="EG787">
            <v>9.0595634179012681</v>
          </cell>
        </row>
        <row r="788">
          <cell r="EG788">
            <v>9.4664227224337925</v>
          </cell>
        </row>
        <row r="789">
          <cell r="EG789">
            <v>9.8217754671834641</v>
          </cell>
        </row>
        <row r="790">
          <cell r="EG790">
            <v>9.4087486061842434</v>
          </cell>
        </row>
        <row r="791">
          <cell r="EG791">
            <v>9.1720188094245572</v>
          </cell>
        </row>
        <row r="792">
          <cell r="EG792">
            <v>9.6267508536833937</v>
          </cell>
        </row>
        <row r="793">
          <cell r="EG793">
            <v>9.0421815945157658</v>
          </cell>
        </row>
        <row r="794">
          <cell r="EG794">
            <v>9.1105897102992497</v>
          </cell>
        </row>
        <row r="795">
          <cell r="EG795">
            <v>10.066996420449694</v>
          </cell>
        </row>
        <row r="796">
          <cell r="EG796">
            <v>10.124699808932117</v>
          </cell>
        </row>
        <row r="797">
          <cell r="EG797">
            <v>9.383815365980432</v>
          </cell>
        </row>
        <row r="798">
          <cell r="EG798">
            <v>9.2782962080912732</v>
          </cell>
        </row>
        <row r="799">
          <cell r="EG799">
            <v>9.286456469746982</v>
          </cell>
        </row>
        <row r="800">
          <cell r="EG800">
            <v>9.0788191830988492</v>
          </cell>
        </row>
        <row r="801">
          <cell r="EG801">
            <v>9.6553305580093411</v>
          </cell>
        </row>
        <row r="802">
          <cell r="EG802">
            <v>9.4693801358499243</v>
          </cell>
        </row>
        <row r="803">
          <cell r="EG803">
            <v>8.6148972160331354</v>
          </cell>
        </row>
        <row r="804">
          <cell r="EG804">
            <v>8.7965743332104296</v>
          </cell>
        </row>
        <row r="805">
          <cell r="EG805">
            <v>9.9439888750737726</v>
          </cell>
        </row>
        <row r="806">
          <cell r="EG806">
            <v>9.6637951222194083</v>
          </cell>
        </row>
        <row r="807">
          <cell r="EG807">
            <v>9.5950550897593043</v>
          </cell>
        </row>
        <row r="808">
          <cell r="EG808">
            <v>9.1414497734004669</v>
          </cell>
        </row>
        <row r="809">
          <cell r="EG809">
            <v>9.1132746924643513</v>
          </cell>
        </row>
        <row r="810">
          <cell r="EG810">
            <v>8.7041505168397997</v>
          </cell>
        </row>
        <row r="811">
          <cell r="EG811">
            <v>8.8007170782823856</v>
          </cell>
        </row>
        <row r="812">
          <cell r="EG812">
            <v>9.6386888866901241</v>
          </cell>
        </row>
        <row r="813">
          <cell r="EG813">
            <v>9.6335694425540925</v>
          </cell>
        </row>
        <row r="814">
          <cell r="EG814">
            <v>9.5848963441374497</v>
          </cell>
        </row>
        <row r="815">
          <cell r="EG815">
            <v>9.3068537486930083</v>
          </cell>
        </row>
        <row r="816">
          <cell r="EG816">
            <v>9.4039779636693552</v>
          </cell>
        </row>
        <row r="817">
          <cell r="EG817">
            <v>8.2479732663618073</v>
          </cell>
        </row>
        <row r="818">
          <cell r="EG818">
            <v>9.6817837664678805</v>
          </cell>
        </row>
        <row r="819">
          <cell r="EG819">
            <v>10.88067070875198</v>
          </cell>
        </row>
        <row r="820">
          <cell r="EG820">
            <v>8.668385916690001</v>
          </cell>
        </row>
        <row r="821">
          <cell r="EG821">
            <v>8.8014037100173557</v>
          </cell>
        </row>
        <row r="822">
          <cell r="EG822">
            <v>8.0644579892269181</v>
          </cell>
        </row>
        <row r="823">
          <cell r="EG823">
            <v>9.6520528482481058</v>
          </cell>
        </row>
        <row r="824">
          <cell r="EG824">
            <v>10.706128653676931</v>
          </cell>
        </row>
        <row r="825">
          <cell r="EG825">
            <v>9.2513948500401035</v>
          </cell>
        </row>
        <row r="826">
          <cell r="EG826">
            <v>9.4220971631317099</v>
          </cell>
        </row>
        <row r="827">
          <cell r="EG827">
            <v>9.0511525224473814</v>
          </cell>
        </row>
        <row r="828">
          <cell r="EG828">
            <v>9.834357112718406</v>
          </cell>
        </row>
        <row r="829">
          <cell r="EG829">
            <v>8.9590413923210939</v>
          </cell>
        </row>
        <row r="830">
          <cell r="EG830">
            <v>9.8659918001262756</v>
          </cell>
        </row>
        <row r="831">
          <cell r="EG831">
            <v>9.3051363189436387</v>
          </cell>
        </row>
        <row r="832">
          <cell r="EG832">
            <v>8.9912260756924951</v>
          </cell>
        </row>
        <row r="833">
          <cell r="EG833">
            <v>9.219060332448862</v>
          </cell>
        </row>
        <row r="834">
          <cell r="EG834">
            <v>8.9148718175400496</v>
          </cell>
        </row>
        <row r="835">
          <cell r="EG835">
            <v>9.8313577854420675</v>
          </cell>
        </row>
        <row r="836">
          <cell r="EG836">
            <v>9.3645509953539712</v>
          </cell>
        </row>
        <row r="837">
          <cell r="EG837">
            <v>9.5770319856260322</v>
          </cell>
        </row>
        <row r="838">
          <cell r="EG838">
            <v>9.0515383905153275</v>
          </cell>
        </row>
        <row r="839">
          <cell r="EG839">
            <v>8.5440680443502757</v>
          </cell>
        </row>
        <row r="840">
          <cell r="EG840">
            <v>9.8539414458804906</v>
          </cell>
        </row>
        <row r="841">
          <cell r="EG841">
            <v>10.144698718643125</v>
          </cell>
        </row>
        <row r="842">
          <cell r="EG842">
            <v>9.8033888249836139</v>
          </cell>
        </row>
        <row r="843">
          <cell r="EG843">
            <v>10.126877868835267</v>
          </cell>
        </row>
        <row r="844">
          <cell r="EG844">
            <v>9.1411360901207388</v>
          </cell>
        </row>
        <row r="845">
          <cell r="EG845">
            <v>9.4490153163477864</v>
          </cell>
        </row>
        <row r="846">
          <cell r="EG846">
            <v>10.163012209774829</v>
          </cell>
        </row>
        <row r="847">
          <cell r="EG847">
            <v>9.2437819160937948</v>
          </cell>
        </row>
        <row r="848">
          <cell r="EG848">
            <v>8.9106244048892016</v>
          </cell>
        </row>
        <row r="849">
          <cell r="EG849">
            <v>9.151063253353751</v>
          </cell>
        </row>
        <row r="850">
          <cell r="EG850">
            <v>8.2095150145426317</v>
          </cell>
        </row>
        <row r="851">
          <cell r="EG851">
            <v>11.901634292161853</v>
          </cell>
        </row>
        <row r="852">
          <cell r="EG852">
            <v>9.357934847000454</v>
          </cell>
        </row>
        <row r="853">
          <cell r="EG853">
            <v>9.6690378008851567</v>
          </cell>
        </row>
        <row r="854">
          <cell r="EG854">
            <v>9.0354297381845488</v>
          </cell>
        </row>
        <row r="855">
          <cell r="EG855">
            <v>10.110050716147654</v>
          </cell>
        </row>
        <row r="856">
          <cell r="EG856">
            <v>9.0652061280543119</v>
          </cell>
        </row>
        <row r="857">
          <cell r="EG857">
            <v>9.8298181874388781</v>
          </cell>
        </row>
        <row r="858">
          <cell r="EG858">
            <v>9.6220066730068048</v>
          </cell>
        </row>
        <row r="859">
          <cell r="EG859">
            <v>9.0762762554042169</v>
          </cell>
        </row>
        <row r="860">
          <cell r="EG860">
            <v>9.1129399760840801</v>
          </cell>
        </row>
        <row r="861">
          <cell r="EG861">
            <v>8.7986506454452691</v>
          </cell>
        </row>
        <row r="862">
          <cell r="EG862">
            <v>10.019365574572488</v>
          </cell>
        </row>
        <row r="863">
          <cell r="EG863">
            <v>9.670060217473134</v>
          </cell>
        </row>
        <row r="864">
          <cell r="EG864">
            <v>9.3132342916947248</v>
          </cell>
        </row>
        <row r="865">
          <cell r="EG865">
            <v>9.570192561095725</v>
          </cell>
        </row>
        <row r="866">
          <cell r="EG866">
            <v>8.7993405494535821</v>
          </cell>
        </row>
        <row r="867">
          <cell r="EG867">
            <v>9.341236623238693</v>
          </cell>
        </row>
        <row r="868">
          <cell r="EG868">
            <v>9.5888317255942077</v>
          </cell>
        </row>
        <row r="869">
          <cell r="EG869">
            <v>9.6779717528107394</v>
          </cell>
        </row>
        <row r="870">
          <cell r="EG870">
            <v>8.3074960379132126</v>
          </cell>
        </row>
        <row r="871">
          <cell r="EG871">
            <v>8.8182258936139561</v>
          </cell>
        </row>
        <row r="872">
          <cell r="EG872">
            <v>9.2940250940953231</v>
          </cell>
        </row>
        <row r="873">
          <cell r="EG873">
            <v>10.79051738261732</v>
          </cell>
        </row>
        <row r="874">
          <cell r="EG874">
            <v>10.05522538385382</v>
          </cell>
        </row>
        <row r="875">
          <cell r="EG875">
            <v>9.2258259914618925</v>
          </cell>
        </row>
        <row r="876">
          <cell r="EG876">
            <v>10.071882007306126</v>
          </cell>
        </row>
        <row r="877">
          <cell r="EG877">
            <v>9.0043213737826431</v>
          </cell>
        </row>
        <row r="878">
          <cell r="EG878">
            <v>10.032256025890453</v>
          </cell>
        </row>
        <row r="879">
          <cell r="EG879">
            <v>8.8034571156484134</v>
          </cell>
        </row>
        <row r="880">
          <cell r="EG880">
            <v>8.9390197764486672</v>
          </cell>
        </row>
        <row r="881">
          <cell r="EG881">
            <v>10.173739713951887</v>
          </cell>
        </row>
        <row r="882">
          <cell r="EG882">
            <v>8.9090208542111569</v>
          </cell>
        </row>
        <row r="883">
          <cell r="EG883">
            <v>8.7701152947871019</v>
          </cell>
        </row>
        <row r="884">
          <cell r="EG884">
            <v>9.2437819160937948</v>
          </cell>
        </row>
        <row r="885">
          <cell r="EG885">
            <v>8.6803355134145637</v>
          </cell>
        </row>
        <row r="886">
          <cell r="EG886">
            <v>9.0813473078041334</v>
          </cell>
        </row>
        <row r="887">
          <cell r="EG887">
            <v>9.1734776434529941</v>
          </cell>
        </row>
        <row r="888">
          <cell r="EG888">
            <v>8.6020599913279625</v>
          </cell>
        </row>
        <row r="889">
          <cell r="EG889">
            <v>9.0445397603924107</v>
          </cell>
        </row>
        <row r="890">
          <cell r="EG890">
            <v>9.3923451553612036</v>
          </cell>
        </row>
        <row r="891">
          <cell r="EG891">
            <v>8.4345689040341991</v>
          </cell>
        </row>
        <row r="892">
          <cell r="EG892">
            <v>9.3664229572259732</v>
          </cell>
        </row>
        <row r="893">
          <cell r="EG893">
            <v>9.7031193462360772</v>
          </cell>
        </row>
        <row r="894">
          <cell r="EG894">
            <v>9.4527062265110295</v>
          </cell>
        </row>
        <row r="895">
          <cell r="EG895">
            <v>9.8806992892187022</v>
          </cell>
        </row>
        <row r="896">
          <cell r="EG896">
            <v>9.4658288153574368</v>
          </cell>
        </row>
        <row r="897">
          <cell r="EG897">
            <v>9.7343997425205675</v>
          </cell>
        </row>
        <row r="898">
          <cell r="EG898">
            <v>9.7690078709437742</v>
          </cell>
        </row>
        <row r="899">
          <cell r="EG899">
            <v>9.6770591773921613</v>
          </cell>
        </row>
        <row r="900">
          <cell r="EG900">
            <v>10.578650668774207</v>
          </cell>
        </row>
        <row r="901">
          <cell r="EG901">
            <v>8.8305886686851451</v>
          </cell>
        </row>
        <row r="902">
          <cell r="EG902">
            <v>9.3388547462523235</v>
          </cell>
        </row>
        <row r="903">
          <cell r="EG903">
            <v>9.4772659954248528</v>
          </cell>
        </row>
        <row r="904">
          <cell r="EG904">
            <v>9.2489536154957079</v>
          </cell>
        </row>
        <row r="905">
          <cell r="EG905">
            <v>8.5622928644564755</v>
          </cell>
        </row>
        <row r="906">
          <cell r="EG906">
            <v>9.1711411510283813</v>
          </cell>
        </row>
        <row r="907">
          <cell r="EG907">
            <v>9.1458177144918285</v>
          </cell>
        </row>
        <row r="908">
          <cell r="EG908">
            <v>9.6552345070342938</v>
          </cell>
        </row>
        <row r="909">
          <cell r="EG909">
            <v>8.77232170672292</v>
          </cell>
        </row>
        <row r="910">
          <cell r="EG910">
            <v>8.6618126855372619</v>
          </cell>
        </row>
        <row r="911">
          <cell r="EG911">
            <v>9.6986224297020982</v>
          </cell>
        </row>
        <row r="912">
          <cell r="EG912">
            <v>9.9592799501309397</v>
          </cell>
        </row>
        <row r="913">
          <cell r="EG913">
            <v>9.3382572302462563</v>
          </cell>
        </row>
        <row r="914">
          <cell r="EG914">
            <v>8.9334872878487062</v>
          </cell>
        </row>
        <row r="915">
          <cell r="EG915">
            <v>9.1092409685882032</v>
          </cell>
        </row>
        <row r="916">
          <cell r="EG916">
            <v>8.8350561017201166</v>
          </cell>
        </row>
        <row r="917">
          <cell r="EG917">
            <v>9.1892094895823053</v>
          </cell>
        </row>
        <row r="918">
          <cell r="EG918">
            <v>8.7092699609758313</v>
          </cell>
        </row>
        <row r="919">
          <cell r="EG919">
            <v>9.3986343245383921</v>
          </cell>
        </row>
        <row r="920">
          <cell r="EG920">
            <v>9.3182720802116261</v>
          </cell>
        </row>
        <row r="921">
          <cell r="EG921">
            <v>9.5335178620169678</v>
          </cell>
        </row>
        <row r="922">
          <cell r="EG922">
            <v>8.9921114877869499</v>
          </cell>
        </row>
        <row r="923">
          <cell r="EG923">
            <v>9.9649192942866431</v>
          </cell>
        </row>
        <row r="924">
          <cell r="EG924">
            <v>9.1482940974347464</v>
          </cell>
        </row>
        <row r="925">
          <cell r="EG925">
            <v>9.0955180423231514</v>
          </cell>
        </row>
        <row r="926">
          <cell r="EG926">
            <v>9.4886916983169414</v>
          </cell>
        </row>
        <row r="927">
          <cell r="EG927">
            <v>9.0670708560453708</v>
          </cell>
        </row>
        <row r="928">
          <cell r="EG928">
            <v>10.8679327645066</v>
          </cell>
        </row>
        <row r="929">
          <cell r="EG929">
            <v>9.8822398480188234</v>
          </cell>
        </row>
        <row r="930">
          <cell r="EG930">
            <v>8.1643528557844363</v>
          </cell>
        </row>
        <row r="931">
          <cell r="EG931">
            <v>10.272398632455404</v>
          </cell>
        </row>
        <row r="932">
          <cell r="EG932">
            <v>9.9777693180915747</v>
          </cell>
        </row>
        <row r="933">
          <cell r="EG933">
            <v>10.170467076385938</v>
          </cell>
        </row>
        <row r="934">
          <cell r="EG934">
            <v>9.7803893284709531</v>
          </cell>
        </row>
        <row r="935">
          <cell r="EG935">
            <v>8.6434526764861879</v>
          </cell>
        </row>
        <row r="936">
          <cell r="EG936">
            <v>10.078601800355392</v>
          </cell>
        </row>
        <row r="937">
          <cell r="EG937">
            <v>10.353762403067199</v>
          </cell>
        </row>
        <row r="938">
          <cell r="EG938">
            <v>9.6914351521440629</v>
          </cell>
        </row>
        <row r="939">
          <cell r="EG939">
            <v>9.6468936241677454</v>
          </cell>
        </row>
        <row r="940">
          <cell r="EG940">
            <v>10.514561033634031</v>
          </cell>
        </row>
        <row r="941">
          <cell r="EG941">
            <v>9.5890555310523435</v>
          </cell>
        </row>
        <row r="942">
          <cell r="EG942">
            <v>9.9543872501445154</v>
          </cell>
        </row>
        <row r="943">
          <cell r="EG943">
            <v>9.5336449787987636</v>
          </cell>
        </row>
        <row r="944">
          <cell r="EG944">
            <v>9.9187116653823217</v>
          </cell>
        </row>
        <row r="945">
          <cell r="EG945">
            <v>9.370883016777606</v>
          </cell>
        </row>
        <row r="946">
          <cell r="EG946">
            <v>8.8561244442423011</v>
          </cell>
        </row>
        <row r="947">
          <cell r="EG947">
            <v>9.9657189702442217</v>
          </cell>
        </row>
        <row r="948">
          <cell r="EG948">
            <v>9.3106933123433606</v>
          </cell>
        </row>
        <row r="949">
          <cell r="EG949">
            <v>10.345883212931712</v>
          </cell>
        </row>
        <row r="950">
          <cell r="EG950">
            <v>10.006637159068585</v>
          </cell>
        </row>
        <row r="951">
          <cell r="EG951">
            <v>9.3079237036118823</v>
          </cell>
        </row>
        <row r="952">
          <cell r="EG952">
            <v>10.030356805310841</v>
          </cell>
        </row>
        <row r="953">
          <cell r="EG953">
            <v>9.8663464227496025</v>
          </cell>
        </row>
        <row r="954">
          <cell r="EG954">
            <v>10.145848756590544</v>
          </cell>
        </row>
        <row r="955">
          <cell r="EG955">
            <v>10.272560963861556</v>
          </cell>
        </row>
        <row r="956">
          <cell r="EG956">
            <v>9.9288565335819108</v>
          </cell>
        </row>
        <row r="957">
          <cell r="EG957">
            <v>9.5054213275832815</v>
          </cell>
        </row>
        <row r="958">
          <cell r="EG958">
            <v>9.6801541417343735</v>
          </cell>
        </row>
        <row r="959">
          <cell r="EG959">
            <v>9.3651134316275773</v>
          </cell>
        </row>
        <row r="960">
          <cell r="EG960">
            <v>10.533632268794756</v>
          </cell>
        </row>
        <row r="961">
          <cell r="EG961">
            <v>9.2626883443016972</v>
          </cell>
        </row>
        <row r="962">
          <cell r="EG962">
            <v>8.9508514588885468</v>
          </cell>
        </row>
        <row r="963">
          <cell r="EG963">
            <v>9.4331295175804861</v>
          </cell>
        </row>
        <row r="964">
          <cell r="EG964">
            <v>9.7889457270237479</v>
          </cell>
        </row>
        <row r="965">
          <cell r="EG965">
            <v>8.9122220565324159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5"/>
  <sheetViews>
    <sheetView zoomScale="96" workbookViewId="0">
      <selection sqref="A1:XFD1048576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7.3912657797336578E-2</v>
      </c>
      <c r="D3" s="7">
        <v>7.5614765286445618E-2</v>
      </c>
      <c r="E3" s="7">
        <v>4.7493916004896157E-2</v>
      </c>
      <c r="F3" s="7">
        <v>5.0458244979381561E-2</v>
      </c>
      <c r="G3" s="7">
        <v>5.6787237524986267E-2</v>
      </c>
      <c r="H3" s="7">
        <v>5.273602157831192E-2</v>
      </c>
      <c r="I3" s="7">
        <v>5.543295294046402E-2</v>
      </c>
      <c r="J3" s="7">
        <v>6.5687850117683411E-2</v>
      </c>
      <c r="K3" s="7">
        <v>6.5738305449485779E-2</v>
      </c>
      <c r="L3" s="7">
        <v>6.5104179084300995E-2</v>
      </c>
      <c r="M3" s="7">
        <v>6.2918879091739655E-2</v>
      </c>
      <c r="N3" s="7">
        <v>5.0446849316358573E-2</v>
      </c>
      <c r="O3" s="7">
        <v>5.1143340766429901E-2</v>
      </c>
      <c r="P3" s="7">
        <v>5.4307941347360611E-2</v>
      </c>
      <c r="Q3" s="7">
        <v>5.3979594260454178E-2</v>
      </c>
      <c r="R3" s="7">
        <v>5.9017296880483627E-2</v>
      </c>
      <c r="S3" s="7">
        <v>5.8883927762508392E-2</v>
      </c>
      <c r="T3" s="7">
        <v>5.8087721467018127E-2</v>
      </c>
      <c r="U3" s="7">
        <v>5.8204345405101783E-2</v>
      </c>
      <c r="V3" s="7">
        <v>5.6997735053300858E-2</v>
      </c>
      <c r="W3" s="7">
        <v>5.7999409735202789E-2</v>
      </c>
      <c r="X3" s="7">
        <v>5.6064881384372711E-2</v>
      </c>
      <c r="Y3" s="7">
        <v>5.380716547369957E-2</v>
      </c>
      <c r="Z3" s="7">
        <v>5.5985435843467712E-2</v>
      </c>
      <c r="AA3" s="7">
        <v>5.8552555739879608E-2</v>
      </c>
      <c r="AB3" s="7">
        <v>5.7095140218734741E-2</v>
      </c>
      <c r="AC3" s="7">
        <v>5.5604040622711182E-2</v>
      </c>
      <c r="AD3" s="7">
        <v>5.7368185371160507E-2</v>
      </c>
      <c r="AE3" s="7">
        <v>5.711296945810318E-2</v>
      </c>
      <c r="AF3" s="7">
        <v>5.6432753801345832E-2</v>
      </c>
      <c r="AG3" s="7">
        <v>5.4296117275953293E-2</v>
      </c>
      <c r="AH3" s="7">
        <v>2.194706350564957E-2</v>
      </c>
      <c r="AI3" s="7">
        <v>2.647755108773708E-2</v>
      </c>
      <c r="AJ3" s="7">
        <v>3.2625593245029449E-2</v>
      </c>
      <c r="AK3" s="7">
        <v>3.427722305059433E-2</v>
      </c>
      <c r="AL3" s="7">
        <v>3.9366211742162698E-2</v>
      </c>
      <c r="AM3" s="7">
        <v>4.6164851635694497E-2</v>
      </c>
      <c r="AN3" s="7">
        <v>5.0585135817527771E-2</v>
      </c>
      <c r="AO3" s="7">
        <v>5.2576661109924323E-2</v>
      </c>
      <c r="AP3" s="7">
        <v>4.6018596738576889E-2</v>
      </c>
      <c r="AQ3" s="7">
        <v>5.1431342959403992E-2</v>
      </c>
      <c r="AR3" s="7">
        <v>5.3190842270851142E-2</v>
      </c>
      <c r="AS3" s="7">
        <v>5.4051004350185387E-2</v>
      </c>
      <c r="AT3" s="7">
        <v>4.2643662542104721E-2</v>
      </c>
      <c r="AU3" s="7">
        <v>4.2383186519145973E-2</v>
      </c>
      <c r="AV3" s="7">
        <v>4.4372159987688058E-2</v>
      </c>
      <c r="AW3" s="7">
        <v>5.0514377653598792E-2</v>
      </c>
      <c r="AX3" s="7">
        <v>4.8605483025312417E-2</v>
      </c>
      <c r="AY3" s="7">
        <v>5.6297924369573593E-2</v>
      </c>
      <c r="AZ3" s="7">
        <v>4.0032941848039627E-2</v>
      </c>
      <c r="BA3" s="7">
        <v>3.6459345370531082E-2</v>
      </c>
      <c r="BB3" s="7">
        <v>3.7515308707952499E-2</v>
      </c>
      <c r="BC3" s="7">
        <v>4.362085834145546E-2</v>
      </c>
      <c r="BD3" s="7">
        <v>4.9859002232551568E-2</v>
      </c>
      <c r="BE3" s="7">
        <v>5.3125970065593719E-2</v>
      </c>
      <c r="BF3" s="7">
        <v>5.2070312201976783E-2</v>
      </c>
      <c r="BG3" s="7">
        <v>5.2394859492778778E-2</v>
      </c>
      <c r="BH3" s="7">
        <v>5.2147150039672852E-2</v>
      </c>
      <c r="BI3" s="7">
        <v>5.3297452628612518E-2</v>
      </c>
      <c r="BJ3" s="7">
        <v>5.1574986428022378E-2</v>
      </c>
      <c r="BK3" s="7">
        <v>5.2271623164415359E-2</v>
      </c>
      <c r="BL3" s="7">
        <v>5.2872113883495331E-2</v>
      </c>
      <c r="BM3" s="7">
        <v>5.2642539143562317E-2</v>
      </c>
      <c r="BN3" s="7">
        <v>5.7873163372278207E-2</v>
      </c>
      <c r="BO3" s="7">
        <v>5.4300133138895028E-2</v>
      </c>
      <c r="BP3" s="7">
        <v>3.9404105395078659E-2</v>
      </c>
      <c r="BQ3" s="7">
        <v>5.2939504384994507E-2</v>
      </c>
      <c r="BR3" s="7">
        <v>3.4261241555213928E-2</v>
      </c>
      <c r="BS3" s="7">
        <v>5.4798267781734467E-2</v>
      </c>
      <c r="BT3" s="7">
        <v>4.7248825430870063E-2</v>
      </c>
      <c r="BU3" s="7">
        <v>5.5744320154190057E-2</v>
      </c>
      <c r="BV3" s="7">
        <v>5.2378721535205841E-2</v>
      </c>
      <c r="BW3" s="7">
        <v>4.0140356868505478E-2</v>
      </c>
      <c r="BX3" s="7">
        <v>4.7834541648626328E-2</v>
      </c>
      <c r="BY3" s="7">
        <v>4.9711667001247413E-2</v>
      </c>
      <c r="BZ3" s="7">
        <v>5.3135618567466743E-2</v>
      </c>
      <c r="CA3" s="7">
        <v>5.0331637263298028E-2</v>
      </c>
      <c r="CB3" s="7">
        <v>4.5716073364019387E-2</v>
      </c>
      <c r="CC3" s="7">
        <v>5.2729144692420959E-2</v>
      </c>
      <c r="CD3" s="7">
        <v>4.9658242613077157E-2</v>
      </c>
      <c r="CE3" s="7">
        <v>4.6769082546234131E-2</v>
      </c>
      <c r="CF3" s="7">
        <v>5.1047079265117652E-2</v>
      </c>
      <c r="CG3" s="7">
        <v>4.6370826661586761E-2</v>
      </c>
      <c r="CH3" s="7">
        <v>4.9930401146411903E-2</v>
      </c>
      <c r="CI3" s="7">
        <v>4.8304062336683273E-2</v>
      </c>
      <c r="CJ3" s="7">
        <v>4.9741979688405991E-2</v>
      </c>
      <c r="CK3" s="7">
        <v>5.0947833806276321E-2</v>
      </c>
      <c r="CL3" s="7">
        <v>5.12235127389431E-2</v>
      </c>
      <c r="CM3" s="7">
        <v>4.9852591007947922E-2</v>
      </c>
      <c r="CN3" s="7">
        <v>4.9947917461395257E-2</v>
      </c>
      <c r="CO3" s="7">
        <v>4.8367861658334732E-2</v>
      </c>
      <c r="CP3" s="7">
        <v>4.8762951046228409E-2</v>
      </c>
      <c r="CQ3" s="7">
        <v>4.9044318497180939E-2</v>
      </c>
      <c r="CR3" s="7">
        <v>4.9002893269062042E-2</v>
      </c>
      <c r="CS3" s="7">
        <v>4.7328062355518341E-2</v>
      </c>
      <c r="CT3" s="7">
        <v>3.085972927510738E-2</v>
      </c>
      <c r="CU3" s="7">
        <v>4.1540883481502533E-2</v>
      </c>
      <c r="CV3" s="7">
        <v>5.0552770495414727E-2</v>
      </c>
      <c r="CW3" s="7">
        <v>4.3886944651603699E-2</v>
      </c>
      <c r="CX3" s="7">
        <v>5.1949106156826019E-2</v>
      </c>
      <c r="CY3" s="7">
        <v>5.1065381616353989E-2</v>
      </c>
      <c r="CZ3" s="7">
        <v>4.2493745684623718E-2</v>
      </c>
      <c r="DA3" s="7">
        <v>4.438742995262146E-2</v>
      </c>
      <c r="DB3" s="7">
        <v>5.0981994718313217E-2</v>
      </c>
      <c r="DC3" s="7">
        <v>5.1738325506448753E-2</v>
      </c>
      <c r="DD3" s="7">
        <v>4.9757938832044601E-2</v>
      </c>
      <c r="DE3" s="7">
        <v>5.26866614818573E-2</v>
      </c>
      <c r="DF3" s="7">
        <v>4.552464559674263E-2</v>
      </c>
      <c r="DG3" s="7">
        <v>4.3648570775985718E-2</v>
      </c>
      <c r="DH3" s="7">
        <v>4.6830844134092331E-2</v>
      </c>
      <c r="DI3" s="7">
        <v>4.8355340957641602E-2</v>
      </c>
      <c r="DJ3" s="7">
        <v>5.1528535783290863E-2</v>
      </c>
      <c r="DK3" s="7">
        <v>4.6326920390129089E-2</v>
      </c>
      <c r="DL3" s="7">
        <v>4.7242101281881332E-2</v>
      </c>
      <c r="DM3" s="7">
        <v>4.848967120051384E-2</v>
      </c>
      <c r="DN3" s="7">
        <v>4.6750303357839577E-2</v>
      </c>
      <c r="DO3" s="7">
        <v>4.8154097050428391E-2</v>
      </c>
      <c r="DP3" s="7">
        <v>4.7626975923776627E-2</v>
      </c>
      <c r="DQ3" s="7">
        <v>4.8635251820087433E-2</v>
      </c>
      <c r="DR3" s="7">
        <v>4.8790115863084793E-2</v>
      </c>
      <c r="DS3" s="7">
        <v>4.7917254269123077E-2</v>
      </c>
      <c r="DT3" s="7">
        <v>4.6769026666879647E-2</v>
      </c>
      <c r="DU3" s="7">
        <v>4.7454036772251129E-2</v>
      </c>
      <c r="DV3" s="7">
        <v>4.6622030436992652E-2</v>
      </c>
      <c r="DW3" s="7">
        <v>4.7323465347290039E-2</v>
      </c>
      <c r="DX3" s="7">
        <v>4.7543596476316452E-2</v>
      </c>
      <c r="DY3" s="7">
        <v>4.7800637781620033E-2</v>
      </c>
      <c r="DZ3" s="7">
        <v>3.5176035016775131E-2</v>
      </c>
      <c r="EA3" s="7">
        <v>4.8215113580226898E-2</v>
      </c>
      <c r="EB3" s="7">
        <v>4.2192697525024407E-2</v>
      </c>
      <c r="EC3" s="7">
        <v>3.4884773194789893E-2</v>
      </c>
      <c r="ED3" s="7">
        <v>4.0104128420352943E-2</v>
      </c>
      <c r="EE3" s="7">
        <v>4.7643702477216721E-2</v>
      </c>
      <c r="EF3" s="7">
        <v>5.0313424319028847E-2</v>
      </c>
      <c r="EG3" s="1"/>
    </row>
    <row r="4" spans="1:137" x14ac:dyDescent="0.3">
      <c r="B4" s="1" t="s">
        <v>138</v>
      </c>
      <c r="C4" s="7">
        <v>-2.6131413877010349E-2</v>
      </c>
      <c r="D4" s="7">
        <v>-3.1095108017325401E-2</v>
      </c>
      <c r="E4" s="7">
        <v>-1.9964328035712239E-2</v>
      </c>
      <c r="F4" s="7">
        <v>-3.3693499863147743E-2</v>
      </c>
      <c r="G4" s="7">
        <v>-4.33683842420578E-2</v>
      </c>
      <c r="H4" s="7">
        <v>-2.4385051801800731E-2</v>
      </c>
      <c r="I4" s="7">
        <v>-2.7016714215278629E-2</v>
      </c>
      <c r="J4" s="7">
        <v>-3.6226242780685418E-2</v>
      </c>
      <c r="K4" s="7">
        <v>-3.3819511532783508E-2</v>
      </c>
      <c r="L4" s="7">
        <v>-3.9761558175086982E-2</v>
      </c>
      <c r="M4" s="7">
        <v>-3.8767080754041672E-2</v>
      </c>
      <c r="N4" s="7">
        <v>-2.7853298932313919E-2</v>
      </c>
      <c r="O4" s="7">
        <v>-2.7895199134945869E-2</v>
      </c>
      <c r="P4" s="7">
        <v>-3.8603350520133972E-2</v>
      </c>
      <c r="Q4" s="7">
        <v>-2.759944461286068E-2</v>
      </c>
      <c r="R4" s="7">
        <v>-3.4391477704048157E-2</v>
      </c>
      <c r="S4" s="7">
        <v>-2.9038142412900921E-2</v>
      </c>
      <c r="T4" s="7">
        <v>-2.833585441112518E-2</v>
      </c>
      <c r="U4" s="7">
        <v>-2.941813692450523E-2</v>
      </c>
      <c r="V4" s="7">
        <v>-2.7863774448633191E-2</v>
      </c>
      <c r="W4" s="7">
        <v>-2.7849160134792331E-2</v>
      </c>
      <c r="X4" s="7">
        <v>-2.8446506708860401E-2</v>
      </c>
      <c r="Y4" s="7">
        <v>-3.2019693404436111E-2</v>
      </c>
      <c r="Z4" s="7">
        <v>-3.0283678323030468E-2</v>
      </c>
      <c r="AA4" s="7">
        <v>-3.0246995389461521E-2</v>
      </c>
      <c r="AB4" s="7">
        <v>-2.8815284371376041E-2</v>
      </c>
      <c r="AC4" s="7">
        <v>-2.7407234534621239E-2</v>
      </c>
      <c r="AD4" s="7">
        <v>-2.898864634335041E-2</v>
      </c>
      <c r="AE4" s="7">
        <v>-2.8777450323104858E-2</v>
      </c>
      <c r="AF4" s="7">
        <v>-2.8814757242798809E-2</v>
      </c>
      <c r="AG4" s="7">
        <v>-2.831188403069973E-2</v>
      </c>
      <c r="AH4" s="7">
        <v>-1.9194178283214569E-2</v>
      </c>
      <c r="AI4" s="7">
        <v>-3.4112200140953057E-2</v>
      </c>
      <c r="AJ4" s="7">
        <v>-3.3533770591020577E-2</v>
      </c>
      <c r="AK4" s="7">
        <v>-2.8310606256127361E-2</v>
      </c>
      <c r="AL4" s="7">
        <v>-2.774333767592907E-2</v>
      </c>
      <c r="AM4" s="7">
        <v>-2.9019186273217201E-2</v>
      </c>
      <c r="AN4" s="7">
        <v>-2.502996101975441E-2</v>
      </c>
      <c r="AO4" s="7">
        <v>-3.3972892910242081E-2</v>
      </c>
      <c r="AP4" s="7">
        <v>-3.3305540680885308E-2</v>
      </c>
      <c r="AQ4" s="7">
        <v>-2.1524986252188679E-2</v>
      </c>
      <c r="AR4" s="7">
        <v>-2.6041945442557331E-2</v>
      </c>
      <c r="AS4" s="7">
        <v>-2.919994480907917E-2</v>
      </c>
      <c r="AT4" s="7">
        <v>-2.6011202484369281E-2</v>
      </c>
      <c r="AU4" s="7">
        <v>-3.079905174672604E-2</v>
      </c>
      <c r="AV4" s="7">
        <v>-3.2425452023744583E-2</v>
      </c>
      <c r="AW4" s="7">
        <v>-2.7081644162535671E-2</v>
      </c>
      <c r="AX4" s="7">
        <v>-2.642828598618507E-2</v>
      </c>
      <c r="AY4" s="7">
        <v>-3.4108471125364297E-2</v>
      </c>
      <c r="AZ4" s="7">
        <v>-2.7424925938248631E-2</v>
      </c>
      <c r="BA4" s="7">
        <v>-3.0970403924584389E-2</v>
      </c>
      <c r="BB4" s="7">
        <v>-3.367852047085762E-2</v>
      </c>
      <c r="BC4" s="7">
        <v>-3.1590018421411507E-2</v>
      </c>
      <c r="BD4" s="7">
        <v>-3.1616535037755973E-2</v>
      </c>
      <c r="BE4" s="7">
        <v>-3.2695736736059189E-2</v>
      </c>
      <c r="BF4" s="7">
        <v>-3.0927835032343861E-2</v>
      </c>
      <c r="BG4" s="7">
        <v>-3.1922973692417138E-2</v>
      </c>
      <c r="BH4" s="7">
        <v>-3.0257755890488621E-2</v>
      </c>
      <c r="BI4" s="7">
        <v>-3.1059287488460541E-2</v>
      </c>
      <c r="BJ4" s="7">
        <v>-3.0570598319172859E-2</v>
      </c>
      <c r="BK4" s="7">
        <v>-3.2292433083057397E-2</v>
      </c>
      <c r="BL4" s="7">
        <v>-3.1591743230819702E-2</v>
      </c>
      <c r="BM4" s="7">
        <v>-3.1662788242101669E-2</v>
      </c>
      <c r="BN4" s="7">
        <v>-2.610741555690765E-2</v>
      </c>
      <c r="BO4" s="7">
        <v>-2.3562490940093991E-2</v>
      </c>
      <c r="BP4" s="7">
        <v>-2.617854438722134E-2</v>
      </c>
      <c r="BQ4" s="7">
        <v>-3.3056959509849548E-2</v>
      </c>
      <c r="BR4" s="7">
        <v>-1.128055993467569E-2</v>
      </c>
      <c r="BS4" s="7">
        <v>-3.5085532814264297E-2</v>
      </c>
      <c r="BT4" s="7">
        <v>-2.58201640099287E-2</v>
      </c>
      <c r="BU4" s="7">
        <v>-3.6126136779785163E-2</v>
      </c>
      <c r="BV4" s="7">
        <v>-3.359081968665123E-2</v>
      </c>
      <c r="BW4" s="7">
        <v>-2.3733723908662799E-2</v>
      </c>
      <c r="BX4" s="7">
        <v>-3.2635565847158432E-2</v>
      </c>
      <c r="BY4" s="7">
        <v>-3.1805727630853653E-2</v>
      </c>
      <c r="BZ4" s="7">
        <v>-3.6172635853290558E-2</v>
      </c>
      <c r="CA4" s="7">
        <v>-3.2387357205152512E-2</v>
      </c>
      <c r="CB4" s="7">
        <v>-2.5262787938117981E-2</v>
      </c>
      <c r="CC4" s="7">
        <v>-2.8844675049185749E-2</v>
      </c>
      <c r="CD4" s="7">
        <v>-2.602348476648331E-2</v>
      </c>
      <c r="CE4" s="7">
        <v>-3.1458467245101929E-2</v>
      </c>
      <c r="CF4" s="7">
        <v>-3.0874317511916161E-2</v>
      </c>
      <c r="CG4" s="7">
        <v>-3.0603308230638501E-2</v>
      </c>
      <c r="CH4" s="7">
        <v>-3.1181734055280689E-2</v>
      </c>
      <c r="CI4" s="7">
        <v>-3.0873250216245651E-2</v>
      </c>
      <c r="CJ4" s="7">
        <v>-3.3130954951047897E-2</v>
      </c>
      <c r="CK4" s="7">
        <v>-3.1993120908737183E-2</v>
      </c>
      <c r="CL4" s="7">
        <v>-3.1403221189975739E-2</v>
      </c>
      <c r="CM4" s="7">
        <v>-3.055758960545063E-2</v>
      </c>
      <c r="CN4" s="7">
        <v>-3.158419206738472E-2</v>
      </c>
      <c r="CO4" s="7">
        <v>-3.0493555590510368E-2</v>
      </c>
      <c r="CP4" s="7">
        <v>-3.0075728893280029E-2</v>
      </c>
      <c r="CQ4" s="7">
        <v>-3.1882248818874359E-2</v>
      </c>
      <c r="CR4" s="7">
        <v>-2.9686905443668369E-2</v>
      </c>
      <c r="CS4" s="7">
        <v>-3.0936697497963909E-2</v>
      </c>
      <c r="CT4" s="7">
        <v>-2.3143557831645008E-2</v>
      </c>
      <c r="CU4" s="7">
        <v>-2.669419534504414E-2</v>
      </c>
      <c r="CV4" s="7">
        <v>-2.8416210785508159E-2</v>
      </c>
      <c r="CW4" s="7">
        <v>-3.165663406252861E-2</v>
      </c>
      <c r="CX4" s="7">
        <v>-2.7832625433802601E-2</v>
      </c>
      <c r="CY4" s="7">
        <v>-2.800340577960014E-2</v>
      </c>
      <c r="CZ4" s="7">
        <v>-2.5719694793224331E-2</v>
      </c>
      <c r="DA4" s="7">
        <v>-2.8508313000202179E-2</v>
      </c>
      <c r="DB4" s="7">
        <v>-3.3405143767595291E-2</v>
      </c>
      <c r="DC4" s="7">
        <v>-3.2501105219125748E-2</v>
      </c>
      <c r="DD4" s="7">
        <v>-3.2169993966817863E-2</v>
      </c>
      <c r="DE4" s="7">
        <v>-2.960301004350185E-2</v>
      </c>
      <c r="DF4" s="7">
        <v>-2.9721861705183979E-2</v>
      </c>
      <c r="DG4" s="7">
        <v>-2.7562553063035011E-2</v>
      </c>
      <c r="DH4" s="7">
        <v>-2.9859393835067749E-2</v>
      </c>
      <c r="DI4" s="7">
        <v>-2.980837412178516E-2</v>
      </c>
      <c r="DJ4" s="7">
        <v>-2.9853928834199909E-2</v>
      </c>
      <c r="DK4" s="7">
        <v>-3.0000308528542519E-2</v>
      </c>
      <c r="DL4" s="7">
        <v>-3.0369654297828671E-2</v>
      </c>
      <c r="DM4" s="7">
        <v>-2.8095215559005741E-2</v>
      </c>
      <c r="DN4" s="7">
        <v>-2.7387175709009171E-2</v>
      </c>
      <c r="DO4" s="7">
        <v>-2.8688935562968251E-2</v>
      </c>
      <c r="DP4" s="7">
        <v>-2.6695942506194111E-2</v>
      </c>
      <c r="DQ4" s="7">
        <v>-2.7622180059552189E-2</v>
      </c>
      <c r="DR4" s="7">
        <v>-2.868570946156979E-2</v>
      </c>
      <c r="DS4" s="7">
        <v>-2.8020348399877552E-2</v>
      </c>
      <c r="DT4" s="7">
        <v>-2.8484757989645001E-2</v>
      </c>
      <c r="DU4" s="7">
        <v>-2.8132598847150799E-2</v>
      </c>
      <c r="DV4" s="7">
        <v>-2.805108763277531E-2</v>
      </c>
      <c r="DW4" s="7">
        <v>-2.617622725665569E-2</v>
      </c>
      <c r="DX4" s="7">
        <v>-2.7581527829170231E-2</v>
      </c>
      <c r="DY4" s="7">
        <v>-2.975381538271904E-2</v>
      </c>
      <c r="DZ4" s="7">
        <v>-2.468108385801315E-2</v>
      </c>
      <c r="EA4" s="7">
        <v>-2.618090808391571E-2</v>
      </c>
      <c r="EB4" s="7">
        <v>-2.629938721656799E-2</v>
      </c>
      <c r="EC4" s="7">
        <v>-2.841800823807716E-2</v>
      </c>
      <c r="ED4" s="7">
        <v>-2.3903857916593552E-2</v>
      </c>
      <c r="EE4" s="7">
        <v>-3.5055045038461692E-2</v>
      </c>
      <c r="EF4" s="7">
        <v>-2.8889276087284092E-2</v>
      </c>
      <c r="EG4" s="1"/>
    </row>
    <row r="5" spans="1:137" x14ac:dyDescent="0.3">
      <c r="B5" s="1" t="s">
        <v>139</v>
      </c>
      <c r="C5" s="7">
        <v>-4.4859377667307854E-3</v>
      </c>
      <c r="D5" s="7">
        <v>-6.8200877867639056E-3</v>
      </c>
      <c r="E5" s="7">
        <v>-5.4813064634799957E-3</v>
      </c>
      <c r="F5" s="7">
        <v>-5.0773276016116142E-3</v>
      </c>
      <c r="G5" s="7">
        <v>-7.5386962853372097E-3</v>
      </c>
      <c r="H5" s="7">
        <v>-5.7653272524476051E-3</v>
      </c>
      <c r="I5" s="7">
        <v>-6.6190301440656194E-3</v>
      </c>
      <c r="J5" s="7">
        <v>-6.4722471870481968E-3</v>
      </c>
      <c r="K5" s="7">
        <v>-6.9217742420732984E-3</v>
      </c>
      <c r="L5" s="7">
        <v>-8.1595247611403465E-3</v>
      </c>
      <c r="M5" s="7">
        <v>-6.8620475940406322E-3</v>
      </c>
      <c r="N5" s="7">
        <v>1.252861600369215E-2</v>
      </c>
      <c r="O5" s="7">
        <v>2.116494998335838E-2</v>
      </c>
      <c r="P5" s="7">
        <v>1.739406026899815E-2</v>
      </c>
      <c r="Q5" s="7">
        <v>3.5704248584806919E-3</v>
      </c>
      <c r="R5" s="7">
        <v>-3.3342731185257431E-3</v>
      </c>
      <c r="S5" s="7">
        <v>-2.953482791781425E-3</v>
      </c>
      <c r="T5" s="7">
        <v>5.4125995375216007E-3</v>
      </c>
      <c r="U5" s="7">
        <v>3.649678081274033E-3</v>
      </c>
      <c r="V5" s="7">
        <v>2.270904369652271E-4</v>
      </c>
      <c r="W5" s="7">
        <v>5.8551557594910264E-4</v>
      </c>
      <c r="X5" s="7">
        <v>-4.6764584258198738E-3</v>
      </c>
      <c r="Y5" s="7">
        <v>-1.0939233936369421E-2</v>
      </c>
      <c r="Z5" s="7">
        <v>-3.0490474309772249E-3</v>
      </c>
      <c r="AA5" s="7">
        <v>-9.5849381759762764E-3</v>
      </c>
      <c r="AB5" s="7">
        <v>-8.1401970237493515E-3</v>
      </c>
      <c r="AC5" s="7">
        <v>-1.4467183500528341E-2</v>
      </c>
      <c r="AD5" s="7">
        <v>-1.123427972197533E-2</v>
      </c>
      <c r="AE5" s="7">
        <v>-9.2621175572276115E-3</v>
      </c>
      <c r="AF5" s="7">
        <v>-5.3848703391849986E-3</v>
      </c>
      <c r="AG5" s="7">
        <v>-6.0870260931551456E-3</v>
      </c>
      <c r="AH5" s="7">
        <v>-4.9908352084457874E-3</v>
      </c>
      <c r="AI5" s="7">
        <v>-3.714363789185882E-3</v>
      </c>
      <c r="AJ5" s="7">
        <v>-3.0339192599058151E-3</v>
      </c>
      <c r="AK5" s="7">
        <v>-6.4367637969553471E-3</v>
      </c>
      <c r="AL5" s="7">
        <v>-5.2836518734693527E-3</v>
      </c>
      <c r="AM5" s="7">
        <v>-8.0291330814361572E-3</v>
      </c>
      <c r="AN5" s="7">
        <v>-2.414187416434288E-3</v>
      </c>
      <c r="AO5" s="7">
        <v>-4.0044100023806104E-3</v>
      </c>
      <c r="AP5" s="7">
        <v>-6.2916334718465814E-3</v>
      </c>
      <c r="AQ5" s="7">
        <v>-9.1414758935570717E-4</v>
      </c>
      <c r="AR5" s="7">
        <v>-3.6019191611558199E-3</v>
      </c>
      <c r="AS5" s="7">
        <v>-1.877752598375082E-3</v>
      </c>
      <c r="AT5" s="7">
        <v>1.3957321643829349E-2</v>
      </c>
      <c r="AU5" s="7">
        <v>-6.8398695439100274E-3</v>
      </c>
      <c r="AV5" s="7">
        <v>1.6089035198092461E-2</v>
      </c>
      <c r="AW5" s="7">
        <v>8.8390298187732697E-3</v>
      </c>
      <c r="AX5" s="7">
        <v>-8.7636327371001244E-3</v>
      </c>
      <c r="AY5" s="7">
        <v>-9.5747923478484154E-4</v>
      </c>
      <c r="AZ5" s="7">
        <v>1.068404782563448E-2</v>
      </c>
      <c r="BA5" s="7">
        <v>-9.2858576681464911E-4</v>
      </c>
      <c r="BB5" s="7">
        <v>-7.0844977162778378E-3</v>
      </c>
      <c r="BC5" s="7">
        <v>1.5302810352295639E-3</v>
      </c>
      <c r="BD5" s="7">
        <v>-1.6690796241164211E-2</v>
      </c>
      <c r="BE5" s="7">
        <v>-6.3488553278148174E-3</v>
      </c>
      <c r="BF5" s="7">
        <v>5.3580378880724311E-4</v>
      </c>
      <c r="BG5" s="7">
        <v>-6.999872624874115E-3</v>
      </c>
      <c r="BH5" s="7">
        <v>-4.2074462398886681E-3</v>
      </c>
      <c r="BI5" s="7">
        <v>1.158756494987756E-4</v>
      </c>
      <c r="BJ5" s="7">
        <v>-2.9089913005009288E-4</v>
      </c>
      <c r="BK5" s="7">
        <v>-7.6996879652142516E-3</v>
      </c>
      <c r="BL5" s="7">
        <v>-1.872283290140331E-3</v>
      </c>
      <c r="BM5" s="7">
        <v>-3.0023134313523769E-3</v>
      </c>
      <c r="BN5" s="7">
        <v>-7.6709676068276167E-4</v>
      </c>
      <c r="BO5" s="7">
        <v>-4.3879691511392593E-3</v>
      </c>
      <c r="BP5" s="7">
        <v>-6.4803927671164274E-4</v>
      </c>
      <c r="BQ5" s="7">
        <v>8.2660757470875978E-4</v>
      </c>
      <c r="BR5" s="7">
        <v>5.6157034123316407E-4</v>
      </c>
      <c r="BS5" s="7">
        <v>-7.1664521237835288E-4</v>
      </c>
      <c r="BT5" s="7">
        <v>2.214284613728523E-4</v>
      </c>
      <c r="BU5" s="7">
        <v>-3.9298809133470058E-3</v>
      </c>
      <c r="BV5" s="7">
        <v>-1.6508846310898659E-3</v>
      </c>
      <c r="BW5" s="7">
        <v>-3.9023426361382012E-3</v>
      </c>
      <c r="BX5" s="7">
        <v>-2.188328886404634E-3</v>
      </c>
      <c r="BY5" s="7">
        <v>-2.6024996768683199E-3</v>
      </c>
      <c r="BZ5" s="7">
        <v>9.5953454729169607E-4</v>
      </c>
      <c r="CA5" s="7">
        <v>-1.6565380617976189E-2</v>
      </c>
      <c r="CB5" s="7">
        <v>-1.8035173416137699E-2</v>
      </c>
      <c r="CC5" s="7">
        <v>-8.9683076366782188E-3</v>
      </c>
      <c r="CD5" s="7">
        <v>-6.0307895764708519E-3</v>
      </c>
      <c r="CE5" s="7">
        <v>5.0105219706892967E-3</v>
      </c>
      <c r="CF5" s="7">
        <v>-4.9714795313775539E-3</v>
      </c>
      <c r="CG5" s="7">
        <v>-1.114965882152319E-3</v>
      </c>
      <c r="CH5" s="7">
        <v>-2.4325137492269282E-3</v>
      </c>
      <c r="CI5" s="7">
        <v>-6.1631430871784687E-3</v>
      </c>
      <c r="CJ5" s="7">
        <v>4.2279856279492378E-3</v>
      </c>
      <c r="CK5" s="7">
        <v>-6.7698555067181587E-3</v>
      </c>
      <c r="CL5" s="7">
        <v>-6.6941976547241211E-3</v>
      </c>
      <c r="CM5" s="7">
        <v>3.5807006061077118E-3</v>
      </c>
      <c r="CN5" s="7">
        <v>-1.4969374751672151E-3</v>
      </c>
      <c r="CO5" s="7">
        <v>2.3237979039549832E-3</v>
      </c>
      <c r="CP5" s="7">
        <v>-3.0186986550688739E-3</v>
      </c>
      <c r="CQ5" s="7">
        <v>-4.3872222304344177E-3</v>
      </c>
      <c r="CR5" s="7">
        <v>1.531448448076844E-3</v>
      </c>
      <c r="CS5" s="7">
        <v>-9.979248046875E-3</v>
      </c>
      <c r="CT5" s="7">
        <v>9.1006222646683455E-7</v>
      </c>
      <c r="CU5" s="7">
        <v>-5.6005371734499931E-3</v>
      </c>
      <c r="CV5" s="7">
        <v>-5.0555798225104809E-4</v>
      </c>
      <c r="CW5" s="7">
        <v>-3.7418641149997711E-3</v>
      </c>
      <c r="CX5" s="7">
        <v>-9.7009673481807113E-4</v>
      </c>
      <c r="CY5" s="7">
        <v>-2.0875819027423859E-3</v>
      </c>
      <c r="CZ5" s="7">
        <v>1.8259149510413411E-4</v>
      </c>
      <c r="DA5" s="7">
        <v>-1.4453929616138339E-3</v>
      </c>
      <c r="DB5" s="7">
        <v>-3.3683381043374538E-3</v>
      </c>
      <c r="DC5" s="7">
        <v>-3.631327068433166E-3</v>
      </c>
      <c r="DD5" s="7">
        <v>-4.7991173341870308E-3</v>
      </c>
      <c r="DE5" s="7">
        <v>-4.8127742484211922E-3</v>
      </c>
      <c r="DF5" s="7">
        <v>-2.241785824298859E-2</v>
      </c>
      <c r="DG5" s="7">
        <v>-8.7505551055073738E-3</v>
      </c>
      <c r="DH5" s="7">
        <v>-3.5138267558068041E-3</v>
      </c>
      <c r="DI5" s="7">
        <v>-1.633320190012455E-2</v>
      </c>
      <c r="DJ5" s="7">
        <v>7.2971731424331674E-3</v>
      </c>
      <c r="DK5" s="7">
        <v>-6.0421060770750046E-3</v>
      </c>
      <c r="DL5" s="7">
        <v>-3.903053468093276E-3</v>
      </c>
      <c r="DM5" s="7">
        <v>-4.8651336692273622E-4</v>
      </c>
      <c r="DN5" s="7">
        <v>-3.7150892894715071E-3</v>
      </c>
      <c r="DO5" s="7">
        <v>2.846660558134317E-3</v>
      </c>
      <c r="DP5" s="7">
        <v>-6.1275581829249859E-3</v>
      </c>
      <c r="DQ5" s="7">
        <v>-4.6822321601212016E-3</v>
      </c>
      <c r="DR5" s="7">
        <v>-7.945704273879528E-3</v>
      </c>
      <c r="DS5" s="7">
        <v>-4.489201121032238E-3</v>
      </c>
      <c r="DT5" s="7">
        <v>-2.3234868422150609E-4</v>
      </c>
      <c r="DU5" s="7">
        <v>-5.6635183282196522E-3</v>
      </c>
      <c r="DV5" s="7">
        <v>-3.1887232325971131E-3</v>
      </c>
      <c r="DW5" s="7">
        <v>-7.0267864502966404E-3</v>
      </c>
      <c r="DX5" s="7">
        <v>-6.6850422881543636E-3</v>
      </c>
      <c r="DY5" s="7">
        <v>-3.3572383690625429E-3</v>
      </c>
      <c r="DZ5" s="7">
        <v>-2.0100448746234179E-3</v>
      </c>
      <c r="EA5" s="7">
        <v>-2.5590537115931511E-3</v>
      </c>
      <c r="EB5" s="7">
        <v>-4.5051481574773788E-3</v>
      </c>
      <c r="EC5" s="7">
        <v>-4.6272263862192631E-3</v>
      </c>
      <c r="ED5" s="7">
        <v>-6.3249031081795692E-3</v>
      </c>
      <c r="EE5" s="7">
        <v>-5.9059690684080124E-3</v>
      </c>
      <c r="EF5" s="7">
        <v>-6.181029137223959E-3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1</v>
      </c>
      <c r="D6" s="7">
        <f t="array" ref="D6">MATCH(MAX(ABS(D3:D5)), ABS(D3:D5), 0)</f>
        <v>1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1</v>
      </c>
      <c r="N6" s="7">
        <f t="array" ref="N6">MATCH(MAX(ABS(N3:N5)), ABS(N3:N5), 0)</f>
        <v>1</v>
      </c>
      <c r="O6" s="7">
        <f t="array" ref="O6">MATCH(MAX(ABS(O3:O5)), ABS(O3:O5), 0)</f>
        <v>1</v>
      </c>
      <c r="P6" s="7">
        <f t="array" ref="P6">MATCH(MAX(ABS(P3:P5)), ABS(P3:P5), 0)</f>
        <v>1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1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1</v>
      </c>
      <c r="W6" s="7">
        <f t="array" ref="W6">MATCH(MAX(ABS(W3:W5)), ABS(W3:W5), 0)</f>
        <v>1</v>
      </c>
      <c r="X6" s="7">
        <f t="array" ref="X6">MATCH(MAX(ABS(X3:X5)), ABS(X3:X5), 0)</f>
        <v>1</v>
      </c>
      <c r="Y6" s="7">
        <f t="array" ref="Y6">MATCH(MAX(ABS(Y3:Y5)), ABS(Y3:Y5), 0)</f>
        <v>1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1</v>
      </c>
      <c r="AD6" s="7">
        <f t="array" ref="AD6">MATCH(MAX(ABS(AD3:AD5)), ABS(AD3:AD5), 0)</f>
        <v>1</v>
      </c>
      <c r="AE6" s="7">
        <f t="array" ref="AE6">MATCH(MAX(ABS(AE3:AE5)), ABS(AE3:AE5), 0)</f>
        <v>1</v>
      </c>
      <c r="AF6" s="7">
        <f t="array" ref="AF6">MATCH(MAX(ABS(AF3:AF5)), ABS(AF3:AF5), 0)</f>
        <v>1</v>
      </c>
      <c r="AG6" s="7">
        <f t="array" ref="AG6">MATCH(MAX(ABS(AG3:AG5)), ABS(AG3:AG5), 0)</f>
        <v>1</v>
      </c>
      <c r="AH6" s="7">
        <f t="array" ref="AH6">MATCH(MAX(ABS(AH3:AH5)), ABS(AH3:AH5), 0)</f>
        <v>1</v>
      </c>
      <c r="AI6" s="7">
        <f t="array" ref="AI6">MATCH(MAX(ABS(AI3:AI5)), ABS(AI3:AI5), 0)</f>
        <v>2</v>
      </c>
      <c r="AJ6" s="7">
        <f t="array" ref="AJ6">MATCH(MAX(ABS(AJ3:AJ5)), ABS(AJ3:AJ5), 0)</f>
        <v>2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1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1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1</v>
      </c>
      <c r="CF6" s="7">
        <f t="array" ref="CF6">MATCH(MAX(ABS(CF3:CF5)), ABS(CF3:CF5), 0)</f>
        <v>1</v>
      </c>
      <c r="CG6" s="7">
        <f t="array" ref="CG6">MATCH(MAX(ABS(CG3:CG5)), ABS(CG3:CG5), 0)</f>
        <v>1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1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1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1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1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1</v>
      </c>
      <c r="DZ6" s="7">
        <f t="array" ref="DZ6">MATCH(MAX(ABS(DZ3:DZ5)), ABS(DZ3:DZ5), 0)</f>
        <v>1</v>
      </c>
      <c r="EA6" s="7">
        <f t="array" ref="EA6">MATCH(MAX(ABS(EA3:EA5)), ABS(EA3:EA5), 0)</f>
        <v>1</v>
      </c>
      <c r="EB6" s="7">
        <f t="array" ref="EB6">MATCH(MAX(ABS(EB3:EB5)), ABS(EB3:EB5), 0)</f>
        <v>1</v>
      </c>
      <c r="EC6" s="7">
        <f t="array" ref="EC6">MATCH(MAX(ABS(EC3:EC5)), ABS(EC3:EC5), 0)</f>
        <v>1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bm</v>
      </c>
      <c r="D7" s="7" t="str">
        <f t="shared" si="0"/>
        <v>bm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bm</v>
      </c>
      <c r="K7" s="7" t="str">
        <f t="shared" si="0"/>
        <v>bm</v>
      </c>
      <c r="L7" s="7" t="str">
        <f t="shared" si="0"/>
        <v>bm</v>
      </c>
      <c r="M7" s="7" t="str">
        <f t="shared" si="0"/>
        <v>bm</v>
      </c>
      <c r="N7" s="7" t="str">
        <f t="shared" si="0"/>
        <v>bm</v>
      </c>
      <c r="O7" s="7" t="str">
        <f t="shared" si="0"/>
        <v>bm</v>
      </c>
      <c r="P7" s="7" t="str">
        <f t="shared" si="0"/>
        <v>bm</v>
      </c>
      <c r="Q7" s="7" t="str">
        <f t="shared" si="0"/>
        <v>bm</v>
      </c>
      <c r="R7" s="7" t="str">
        <f t="shared" si="0"/>
        <v>bm</v>
      </c>
      <c r="S7" s="7" t="str">
        <f t="shared" si="0"/>
        <v>bm</v>
      </c>
      <c r="T7" s="7" t="str">
        <f t="shared" si="0"/>
        <v>bm</v>
      </c>
      <c r="U7" s="7" t="str">
        <f t="shared" si="0"/>
        <v>bm</v>
      </c>
      <c r="V7" s="7" t="str">
        <f t="shared" si="0"/>
        <v>bm</v>
      </c>
      <c r="W7" s="7" t="str">
        <f t="shared" si="0"/>
        <v>bm</v>
      </c>
      <c r="X7" s="7" t="str">
        <f t="shared" si="0"/>
        <v>bm</v>
      </c>
      <c r="Y7" s="7" t="str">
        <f t="shared" si="0"/>
        <v>bm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bm</v>
      </c>
      <c r="AD7" s="7" t="str">
        <f t="shared" si="0"/>
        <v>bm</v>
      </c>
      <c r="AE7" s="7" t="str">
        <f t="shared" si="0"/>
        <v>bm</v>
      </c>
      <c r="AF7" s="7" t="str">
        <f t="shared" si="0"/>
        <v>bm</v>
      </c>
      <c r="AG7" s="7" t="str">
        <f t="shared" si="0"/>
        <v>bm</v>
      </c>
      <c r="AH7" s="7" t="str">
        <f t="shared" si="0"/>
        <v>bm</v>
      </c>
      <c r="AI7" s="7" t="str">
        <f t="shared" ref="AI7:BN7" si="1">IF(AI6=1,"bm",IF(AI6=2,"size",IF(AI6=3,"mom")))</f>
        <v>size</v>
      </c>
      <c r="AJ7" s="7" t="str">
        <f t="shared" si="1"/>
        <v>size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bm</v>
      </c>
      <c r="BB7" s="7" t="str">
        <f t="shared" si="1"/>
        <v>bm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bm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bm</v>
      </c>
      <c r="CD7" s="7" t="str">
        <f t="shared" si="2"/>
        <v>bm</v>
      </c>
      <c r="CE7" s="7" t="str">
        <f t="shared" si="2"/>
        <v>bm</v>
      </c>
      <c r="CF7" s="7" t="str">
        <f t="shared" si="2"/>
        <v>bm</v>
      </c>
      <c r="CG7" s="7" t="str">
        <f t="shared" si="2"/>
        <v>bm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bm</v>
      </c>
      <c r="CR7" s="7" t="str">
        <f t="shared" si="2"/>
        <v>bm</v>
      </c>
      <c r="CS7" s="7" t="str">
        <f t="shared" si="2"/>
        <v>bm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bm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bm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bm</v>
      </c>
      <c r="DR7" s="7" t="str">
        <f t="shared" si="3"/>
        <v>bm</v>
      </c>
      <c r="DS7" s="7" t="str">
        <f t="shared" si="3"/>
        <v>bm</v>
      </c>
      <c r="DT7" s="7" t="str">
        <f t="shared" si="3"/>
        <v>bm</v>
      </c>
      <c r="DU7" s="7" t="str">
        <f t="shared" si="3"/>
        <v>bm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bm</v>
      </c>
      <c r="DZ7" s="7" t="str">
        <f t="shared" si="3"/>
        <v>bm</v>
      </c>
      <c r="EA7" s="7" t="str">
        <f t="shared" ref="EA7:EG7" si="4">IF(EA6=1,"bm",IF(EA6=2,"size",IF(EA6=3,"mom")))</f>
        <v>bm</v>
      </c>
      <c r="EB7" s="7" t="str">
        <f t="shared" si="4"/>
        <v>bm</v>
      </c>
      <c r="EC7" s="7" t="str">
        <f t="shared" si="4"/>
        <v>bm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7.3912657797336578E-2</v>
      </c>
      <c r="D8" s="7">
        <f t="shared" si="5"/>
        <v>7.5614765286445618E-2</v>
      </c>
      <c r="E8" s="7">
        <f t="shared" si="5"/>
        <v>4.7493916004896157E-2</v>
      </c>
      <c r="F8" s="7">
        <f t="shared" si="5"/>
        <v>5.0458244979381561E-2</v>
      </c>
      <c r="G8" s="7">
        <f t="shared" si="5"/>
        <v>5.6787237524986267E-2</v>
      </c>
      <c r="H8" s="7">
        <f t="shared" si="5"/>
        <v>5.273602157831192E-2</v>
      </c>
      <c r="I8" s="7">
        <f t="shared" si="5"/>
        <v>5.543295294046402E-2</v>
      </c>
      <c r="J8" s="7">
        <f t="shared" si="5"/>
        <v>6.5687850117683411E-2</v>
      </c>
      <c r="K8" s="7">
        <f t="shared" si="5"/>
        <v>6.5738305449485779E-2</v>
      </c>
      <c r="L8" s="7">
        <f t="shared" si="5"/>
        <v>6.5104179084300995E-2</v>
      </c>
      <c r="M8" s="7">
        <f t="shared" si="5"/>
        <v>6.2918879091739655E-2</v>
      </c>
      <c r="N8" s="7">
        <f t="shared" si="5"/>
        <v>5.0446849316358573E-2</v>
      </c>
      <c r="O8" s="7">
        <f t="shared" si="5"/>
        <v>5.1143340766429901E-2</v>
      </c>
      <c r="P8" s="7">
        <f t="shared" si="5"/>
        <v>5.4307941347360611E-2</v>
      </c>
      <c r="Q8" s="7">
        <f t="shared" si="5"/>
        <v>5.3979594260454178E-2</v>
      </c>
      <c r="R8" s="7">
        <f t="shared" si="5"/>
        <v>5.9017296880483627E-2</v>
      </c>
      <c r="S8" s="7">
        <f t="shared" si="5"/>
        <v>5.8883927762508392E-2</v>
      </c>
      <c r="T8" s="7">
        <f t="shared" si="5"/>
        <v>5.8087721467018127E-2</v>
      </c>
      <c r="U8" s="7">
        <f t="shared" si="5"/>
        <v>5.8204345405101783E-2</v>
      </c>
      <c r="V8" s="7">
        <f t="shared" si="5"/>
        <v>5.6997735053300858E-2</v>
      </c>
      <c r="W8" s="7">
        <f t="shared" si="5"/>
        <v>5.7999409735202789E-2</v>
      </c>
      <c r="X8" s="7">
        <f t="shared" si="5"/>
        <v>5.6064881384372711E-2</v>
      </c>
      <c r="Y8" s="7">
        <f t="shared" si="5"/>
        <v>5.380716547369957E-2</v>
      </c>
      <c r="Z8" s="7">
        <f t="shared" si="5"/>
        <v>5.5985435843467712E-2</v>
      </c>
      <c r="AA8" s="7">
        <f t="shared" si="5"/>
        <v>5.8552555739879608E-2</v>
      </c>
      <c r="AB8" s="7">
        <f t="shared" si="5"/>
        <v>5.7095140218734741E-2</v>
      </c>
      <c r="AC8" s="7">
        <f t="shared" si="5"/>
        <v>5.5604040622711182E-2</v>
      </c>
      <c r="AD8" s="7">
        <f t="shared" si="5"/>
        <v>5.7368185371160507E-2</v>
      </c>
      <c r="AE8" s="7">
        <f t="shared" si="5"/>
        <v>5.711296945810318E-2</v>
      </c>
      <c r="AF8" s="7">
        <f t="shared" si="5"/>
        <v>5.6432753801345832E-2</v>
      </c>
      <c r="AG8" s="7">
        <f t="shared" si="5"/>
        <v>5.4296117275953293E-2</v>
      </c>
      <c r="AH8" s="7">
        <f t="shared" si="5"/>
        <v>2.194706350564957E-2</v>
      </c>
      <c r="AI8" s="7">
        <f t="shared" ref="AI8:BN8" si="6">IF(AI6=1,AI3,IF(AI6=2,AI4,IF(AI6=3,AI5)))</f>
        <v>-3.4112200140953057E-2</v>
      </c>
      <c r="AJ8" s="7">
        <f t="shared" si="6"/>
        <v>-3.3533770591020577E-2</v>
      </c>
      <c r="AK8" s="7">
        <f t="shared" si="6"/>
        <v>3.427722305059433E-2</v>
      </c>
      <c r="AL8" s="7">
        <f t="shared" si="6"/>
        <v>3.9366211742162698E-2</v>
      </c>
      <c r="AM8" s="7">
        <f t="shared" si="6"/>
        <v>4.6164851635694497E-2</v>
      </c>
      <c r="AN8" s="7">
        <f t="shared" si="6"/>
        <v>5.0585135817527771E-2</v>
      </c>
      <c r="AO8" s="7">
        <f t="shared" si="6"/>
        <v>5.2576661109924323E-2</v>
      </c>
      <c r="AP8" s="7">
        <f t="shared" si="6"/>
        <v>4.6018596738576889E-2</v>
      </c>
      <c r="AQ8" s="7">
        <f t="shared" si="6"/>
        <v>5.1431342959403992E-2</v>
      </c>
      <c r="AR8" s="7">
        <f t="shared" si="6"/>
        <v>5.3190842270851142E-2</v>
      </c>
      <c r="AS8" s="7">
        <f t="shared" si="6"/>
        <v>5.4051004350185387E-2</v>
      </c>
      <c r="AT8" s="7">
        <f t="shared" si="6"/>
        <v>4.2643662542104721E-2</v>
      </c>
      <c r="AU8" s="7">
        <f t="shared" si="6"/>
        <v>4.2383186519145973E-2</v>
      </c>
      <c r="AV8" s="7">
        <f t="shared" si="6"/>
        <v>4.4372159987688058E-2</v>
      </c>
      <c r="AW8" s="7">
        <f t="shared" si="6"/>
        <v>5.0514377653598792E-2</v>
      </c>
      <c r="AX8" s="7">
        <f t="shared" si="6"/>
        <v>4.8605483025312417E-2</v>
      </c>
      <c r="AY8" s="7">
        <f t="shared" si="6"/>
        <v>5.6297924369573593E-2</v>
      </c>
      <c r="AZ8" s="7">
        <f t="shared" si="6"/>
        <v>4.0032941848039627E-2</v>
      </c>
      <c r="BA8" s="7">
        <f t="shared" si="6"/>
        <v>3.6459345370531082E-2</v>
      </c>
      <c r="BB8" s="7">
        <f t="shared" si="6"/>
        <v>3.7515308707952499E-2</v>
      </c>
      <c r="BC8" s="7">
        <f t="shared" si="6"/>
        <v>4.362085834145546E-2</v>
      </c>
      <c r="BD8" s="7">
        <f t="shared" si="6"/>
        <v>4.9859002232551568E-2</v>
      </c>
      <c r="BE8" s="7">
        <f t="shared" si="6"/>
        <v>5.3125970065593719E-2</v>
      </c>
      <c r="BF8" s="7">
        <f t="shared" si="6"/>
        <v>5.2070312201976783E-2</v>
      </c>
      <c r="BG8" s="7">
        <f t="shared" si="6"/>
        <v>5.2394859492778778E-2</v>
      </c>
      <c r="BH8" s="7">
        <f t="shared" si="6"/>
        <v>5.2147150039672852E-2</v>
      </c>
      <c r="BI8" s="7">
        <f t="shared" si="6"/>
        <v>5.3297452628612518E-2</v>
      </c>
      <c r="BJ8" s="7">
        <f t="shared" si="6"/>
        <v>5.1574986428022378E-2</v>
      </c>
      <c r="BK8" s="7">
        <f t="shared" si="6"/>
        <v>5.2271623164415359E-2</v>
      </c>
      <c r="BL8" s="7">
        <f t="shared" si="6"/>
        <v>5.2872113883495331E-2</v>
      </c>
      <c r="BM8" s="7">
        <f t="shared" si="6"/>
        <v>5.2642539143562317E-2</v>
      </c>
      <c r="BN8" s="7">
        <f t="shared" si="6"/>
        <v>5.7873163372278207E-2</v>
      </c>
      <c r="BO8" s="7">
        <f t="shared" ref="BO8:CT8" si="7">IF(BO6=1,BO3,IF(BO6=2,BO4,IF(BO6=3,BO5)))</f>
        <v>5.4300133138895028E-2</v>
      </c>
      <c r="BP8" s="7">
        <f t="shared" si="7"/>
        <v>3.9404105395078659E-2</v>
      </c>
      <c r="BQ8" s="7">
        <f t="shared" si="7"/>
        <v>5.2939504384994507E-2</v>
      </c>
      <c r="BR8" s="7">
        <f t="shared" si="7"/>
        <v>3.4261241555213928E-2</v>
      </c>
      <c r="BS8" s="7">
        <f t="shared" si="7"/>
        <v>5.4798267781734467E-2</v>
      </c>
      <c r="BT8" s="7">
        <f t="shared" si="7"/>
        <v>4.7248825430870063E-2</v>
      </c>
      <c r="BU8" s="7">
        <f t="shared" si="7"/>
        <v>5.5744320154190057E-2</v>
      </c>
      <c r="BV8" s="7">
        <f t="shared" si="7"/>
        <v>5.2378721535205841E-2</v>
      </c>
      <c r="BW8" s="7">
        <f t="shared" si="7"/>
        <v>4.0140356868505478E-2</v>
      </c>
      <c r="BX8" s="7">
        <f t="shared" si="7"/>
        <v>4.7834541648626328E-2</v>
      </c>
      <c r="BY8" s="7">
        <f t="shared" si="7"/>
        <v>4.9711667001247413E-2</v>
      </c>
      <c r="BZ8" s="7">
        <f t="shared" si="7"/>
        <v>5.3135618567466743E-2</v>
      </c>
      <c r="CA8" s="7">
        <f t="shared" si="7"/>
        <v>5.0331637263298028E-2</v>
      </c>
      <c r="CB8" s="7">
        <f t="shared" si="7"/>
        <v>4.5716073364019387E-2</v>
      </c>
      <c r="CC8" s="7">
        <f t="shared" si="7"/>
        <v>5.2729144692420959E-2</v>
      </c>
      <c r="CD8" s="7">
        <f t="shared" si="7"/>
        <v>4.9658242613077157E-2</v>
      </c>
      <c r="CE8" s="7">
        <f t="shared" si="7"/>
        <v>4.6769082546234131E-2</v>
      </c>
      <c r="CF8" s="7">
        <f t="shared" si="7"/>
        <v>5.1047079265117652E-2</v>
      </c>
      <c r="CG8" s="7">
        <f t="shared" si="7"/>
        <v>4.6370826661586761E-2</v>
      </c>
      <c r="CH8" s="7">
        <f t="shared" si="7"/>
        <v>4.9930401146411903E-2</v>
      </c>
      <c r="CI8" s="7">
        <f t="shared" si="7"/>
        <v>4.8304062336683273E-2</v>
      </c>
      <c r="CJ8" s="7">
        <f t="shared" si="7"/>
        <v>4.9741979688405991E-2</v>
      </c>
      <c r="CK8" s="7">
        <f t="shared" si="7"/>
        <v>5.0947833806276321E-2</v>
      </c>
      <c r="CL8" s="7">
        <f t="shared" si="7"/>
        <v>5.12235127389431E-2</v>
      </c>
      <c r="CM8" s="7">
        <f t="shared" si="7"/>
        <v>4.9852591007947922E-2</v>
      </c>
      <c r="CN8" s="7">
        <f t="shared" si="7"/>
        <v>4.9947917461395257E-2</v>
      </c>
      <c r="CO8" s="7">
        <f t="shared" si="7"/>
        <v>4.8367861658334732E-2</v>
      </c>
      <c r="CP8" s="7">
        <f t="shared" si="7"/>
        <v>4.8762951046228409E-2</v>
      </c>
      <c r="CQ8" s="7">
        <f t="shared" si="7"/>
        <v>4.9044318497180939E-2</v>
      </c>
      <c r="CR8" s="7">
        <f t="shared" si="7"/>
        <v>4.9002893269062042E-2</v>
      </c>
      <c r="CS8" s="7">
        <f t="shared" si="7"/>
        <v>4.7328062355518341E-2</v>
      </c>
      <c r="CT8" s="7">
        <f t="shared" si="7"/>
        <v>3.085972927510738E-2</v>
      </c>
      <c r="CU8" s="7">
        <f t="shared" ref="CU8:DZ8" si="8">IF(CU6=1,CU3,IF(CU6=2,CU4,IF(CU6=3,CU5)))</f>
        <v>4.1540883481502533E-2</v>
      </c>
      <c r="CV8" s="7">
        <f t="shared" si="8"/>
        <v>5.0552770495414727E-2</v>
      </c>
      <c r="CW8" s="7">
        <f t="shared" si="8"/>
        <v>4.3886944651603699E-2</v>
      </c>
      <c r="CX8" s="7">
        <f t="shared" si="8"/>
        <v>5.1949106156826019E-2</v>
      </c>
      <c r="CY8" s="7">
        <f t="shared" si="8"/>
        <v>5.1065381616353989E-2</v>
      </c>
      <c r="CZ8" s="7">
        <f t="shared" si="8"/>
        <v>4.2493745684623718E-2</v>
      </c>
      <c r="DA8" s="7">
        <f t="shared" si="8"/>
        <v>4.438742995262146E-2</v>
      </c>
      <c r="DB8" s="7">
        <f t="shared" si="8"/>
        <v>5.0981994718313217E-2</v>
      </c>
      <c r="DC8" s="7">
        <f t="shared" si="8"/>
        <v>5.1738325506448753E-2</v>
      </c>
      <c r="DD8" s="7">
        <f t="shared" si="8"/>
        <v>4.9757938832044601E-2</v>
      </c>
      <c r="DE8" s="7">
        <f t="shared" si="8"/>
        <v>5.26866614818573E-2</v>
      </c>
      <c r="DF8" s="7">
        <f t="shared" si="8"/>
        <v>4.552464559674263E-2</v>
      </c>
      <c r="DG8" s="7">
        <f t="shared" si="8"/>
        <v>4.3648570775985718E-2</v>
      </c>
      <c r="DH8" s="7">
        <f t="shared" si="8"/>
        <v>4.6830844134092331E-2</v>
      </c>
      <c r="DI8" s="7">
        <f t="shared" si="8"/>
        <v>4.8355340957641602E-2</v>
      </c>
      <c r="DJ8" s="7">
        <f t="shared" si="8"/>
        <v>5.1528535783290863E-2</v>
      </c>
      <c r="DK8" s="7">
        <f t="shared" si="8"/>
        <v>4.6326920390129089E-2</v>
      </c>
      <c r="DL8" s="7">
        <f t="shared" si="8"/>
        <v>4.7242101281881332E-2</v>
      </c>
      <c r="DM8" s="7">
        <f t="shared" si="8"/>
        <v>4.848967120051384E-2</v>
      </c>
      <c r="DN8" s="7">
        <f t="shared" si="8"/>
        <v>4.6750303357839577E-2</v>
      </c>
      <c r="DO8" s="7">
        <f t="shared" si="8"/>
        <v>4.8154097050428391E-2</v>
      </c>
      <c r="DP8" s="7">
        <f t="shared" si="8"/>
        <v>4.7626975923776627E-2</v>
      </c>
      <c r="DQ8" s="7">
        <f t="shared" si="8"/>
        <v>4.8635251820087433E-2</v>
      </c>
      <c r="DR8" s="7">
        <f t="shared" si="8"/>
        <v>4.8790115863084793E-2</v>
      </c>
      <c r="DS8" s="7">
        <f t="shared" si="8"/>
        <v>4.7917254269123077E-2</v>
      </c>
      <c r="DT8" s="7">
        <f t="shared" si="8"/>
        <v>4.6769026666879647E-2</v>
      </c>
      <c r="DU8" s="7">
        <f t="shared" si="8"/>
        <v>4.7454036772251129E-2</v>
      </c>
      <c r="DV8" s="7">
        <f t="shared" si="8"/>
        <v>4.6622030436992652E-2</v>
      </c>
      <c r="DW8" s="7">
        <f t="shared" si="8"/>
        <v>4.7323465347290039E-2</v>
      </c>
      <c r="DX8" s="7">
        <f t="shared" si="8"/>
        <v>4.7543596476316452E-2</v>
      </c>
      <c r="DY8" s="7">
        <f t="shared" si="8"/>
        <v>4.7800637781620033E-2</v>
      </c>
      <c r="DZ8" s="7">
        <f t="shared" si="8"/>
        <v>3.5176035016775131E-2</v>
      </c>
      <c r="EA8" s="7">
        <f t="shared" ref="EA8:EG8" si="9">IF(EA6=1,EA3,IF(EA6=2,EA4,IF(EA6=3,EA5)))</f>
        <v>4.8215113580226898E-2</v>
      </c>
      <c r="EB8" s="7">
        <f t="shared" si="9"/>
        <v>4.2192697525024407E-2</v>
      </c>
      <c r="EC8" s="7">
        <f t="shared" si="9"/>
        <v>3.4884773194789893E-2</v>
      </c>
      <c r="ED8" s="7">
        <f t="shared" si="9"/>
        <v>4.0104128420352943E-2</v>
      </c>
      <c r="EE8" s="7">
        <f t="shared" si="9"/>
        <v>4.7643702477216721E-2</v>
      </c>
      <c r="EF8" s="7">
        <f t="shared" si="9"/>
        <v>5.0313424319028847E-2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4.701350899422875E-2</v>
      </c>
      <c r="D12" s="7">
        <v>2.0821795271878302E-2</v>
      </c>
      <c r="E12" s="7">
        <v>-6.7540283583579167E-3</v>
      </c>
      <c r="F12" s="7">
        <v>-1.986882494790634E-2</v>
      </c>
      <c r="G12" s="7">
        <v>7.9043467459283603E-3</v>
      </c>
      <c r="H12" s="7">
        <v>9.3593837617556644E-3</v>
      </c>
      <c r="I12" s="7">
        <v>3.6303936849052011E-2</v>
      </c>
      <c r="J12" s="7">
        <v>4.3784578744871523E-2</v>
      </c>
      <c r="K12" s="7">
        <v>-1.0988403852822111E-2</v>
      </c>
      <c r="L12" s="7">
        <v>-2.2772307809632709E-3</v>
      </c>
      <c r="M12" s="7">
        <v>-1.555180420016113E-2</v>
      </c>
      <c r="N12" s="7">
        <v>5.2074107675359117E-2</v>
      </c>
      <c r="O12" s="7">
        <v>1.8629888645978979E-2</v>
      </c>
      <c r="P12" s="7">
        <v>-2.1420421204462348E-2</v>
      </c>
      <c r="Q12" s="7">
        <v>-3.3792784120907728E-2</v>
      </c>
      <c r="R12" s="7">
        <v>1.3397506239935729E-2</v>
      </c>
      <c r="S12" s="7">
        <v>-7.1053897094607049E-2</v>
      </c>
      <c r="T12" s="7">
        <v>-4.3243488819513169E-2</v>
      </c>
      <c r="U12" s="7">
        <v>-2.0367220553130991E-2</v>
      </c>
      <c r="V12" s="7">
        <v>4.5029990802848717E-2</v>
      </c>
      <c r="W12" s="7">
        <v>2.227844197331175E-2</v>
      </c>
      <c r="X12" s="7">
        <v>4.851927478031446E-2</v>
      </c>
      <c r="Y12" s="7">
        <v>-1.6788377251816099E-2</v>
      </c>
      <c r="Z12" s="7">
        <v>6.362368331557397E-2</v>
      </c>
      <c r="AA12" s="7">
        <v>-3.9403661401111782E-2</v>
      </c>
      <c r="AB12" s="7">
        <v>3.4689110551478157E-2</v>
      </c>
      <c r="AC12" s="7">
        <v>3.5114764063646421E-2</v>
      </c>
      <c r="AD12" s="7">
        <v>5.84710999923721E-3</v>
      </c>
      <c r="AE12" s="7">
        <v>-3.789762353223057E-2</v>
      </c>
      <c r="AF12" s="7">
        <v>2.0432151303864929E-2</v>
      </c>
      <c r="AG12" s="7">
        <v>2.998214493272441E-2</v>
      </c>
      <c r="AH12" s="7">
        <v>1.3405804649633229E-2</v>
      </c>
      <c r="AI12" s="7">
        <v>2.324645917886457E-2</v>
      </c>
      <c r="AJ12" s="7">
        <v>2.1062262693673572E-2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4.9378881832418033E-3</v>
      </c>
      <c r="BB12" s="7">
        <v>1.527460525245942E-2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-5.1690919562298789E-3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-3.4400287440342493E-2</v>
      </c>
      <c r="CB12" s="7">
        <v>1.943242131762835E-3</v>
      </c>
      <c r="CC12" s="7">
        <v>-1.677096439411024E-2</v>
      </c>
      <c r="CD12" s="7">
        <v>0.1109336335844525</v>
      </c>
      <c r="CE12" s="7">
        <v>1.161940844222922E-2</v>
      </c>
      <c r="CF12" s="7">
        <v>2.776758341377213E-2</v>
      </c>
      <c r="CG12" s="7">
        <v>4.1857234050063037E-2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3.6572194909933541E-2</v>
      </c>
      <c r="CR12" s="7">
        <v>2.1178784306524409E-3</v>
      </c>
      <c r="CS12" s="7">
        <v>-1.5201647687045549E-2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-2.298187595412704E-2</v>
      </c>
      <c r="DC12" s="7">
        <v>3.3973202874774677E-2</v>
      </c>
      <c r="DD12" s="7">
        <v>2.4888978057240451E-2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8.0625982547704502E-3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-2.276986490903608E-2</v>
      </c>
      <c r="DR12" s="7">
        <v>1.8778943279386909E-2</v>
      </c>
      <c r="DS12" s="7">
        <v>-3.5726155451697807E-2</v>
      </c>
      <c r="DT12" s="7">
        <v>-4.5297883394400537E-2</v>
      </c>
      <c r="DU12" s="7">
        <v>1.3752648086382459E-2</v>
      </c>
      <c r="DV12" s="7">
        <v>4.8550824477530688E-2</v>
      </c>
      <c r="DW12" s="7">
        <v>4.3725564220037427E-2</v>
      </c>
      <c r="DX12" s="7">
        <v>-5.0152080542361532E-2</v>
      </c>
      <c r="DY12" s="7">
        <v>1.5357270118494901E-2</v>
      </c>
      <c r="DZ12" s="7">
        <v>-4.1357254801773907E-3</v>
      </c>
      <c r="EA12" s="7">
        <v>6.4003941323197033E-2</v>
      </c>
      <c r="EB12" s="7">
        <v>2.8283267748527709E-3</v>
      </c>
      <c r="EC12" s="7">
        <v>2.6651509579665299E-2</v>
      </c>
      <c r="ED12" s="7">
        <v>-6.050815280848415E-2</v>
      </c>
      <c r="EE12" s="7">
        <v>1.1917096272487391E-2</v>
      </c>
      <c r="EF12" s="8">
        <v>3.9233348038795662E-2</v>
      </c>
    </row>
    <row r="13" spans="1:137" x14ac:dyDescent="0.3">
      <c r="A13" s="1">
        <v>20</v>
      </c>
      <c r="B13" s="1">
        <v>48</v>
      </c>
      <c r="C13" s="7">
        <v>4.2506117601795589E-2</v>
      </c>
      <c r="D13" s="7">
        <v>2.987761060455878E-2</v>
      </c>
      <c r="E13" s="7">
        <v>-3.4496619491353048E-2</v>
      </c>
      <c r="F13" s="7">
        <v>-3.4922155882654501E-2</v>
      </c>
      <c r="G13" s="7">
        <v>-1.490797975730339E-2</v>
      </c>
      <c r="H13" s="7">
        <v>1.5930384569345112E-2</v>
      </c>
      <c r="I13" s="7">
        <v>3.2682862984722338E-2</v>
      </c>
      <c r="J13" s="7">
        <v>3.4549891969644697E-2</v>
      </c>
      <c r="K13" s="7">
        <v>-4.5330990242219003E-2</v>
      </c>
      <c r="L13" s="7">
        <v>-2.913566903744547E-2</v>
      </c>
      <c r="M13" s="7">
        <v>7.7086562624922028E-3</v>
      </c>
      <c r="N13" s="7">
        <v>4.3151952223766853E-2</v>
      </c>
      <c r="O13" s="7">
        <v>3.6273275719922483E-2</v>
      </c>
      <c r="P13" s="7">
        <v>-2.0856913061405559E-2</v>
      </c>
      <c r="Q13" s="7">
        <v>-4.4218264227970053E-2</v>
      </c>
      <c r="R13" s="7">
        <v>6.4899101760743979E-3</v>
      </c>
      <c r="S13" s="7">
        <v>-0.1229152980035506</v>
      </c>
      <c r="T13" s="7">
        <v>-5.2899802908693339E-2</v>
      </c>
      <c r="U13" s="7">
        <v>-5.4161075041694179E-2</v>
      </c>
      <c r="V13" s="7">
        <v>5.2779738900233658E-2</v>
      </c>
      <c r="W13" s="7">
        <v>3.1103087884369891E-2</v>
      </c>
      <c r="X13" s="7">
        <v>6.9750968769056565E-2</v>
      </c>
      <c r="Y13" s="7">
        <v>-2.6471883217342521E-2</v>
      </c>
      <c r="Z13" s="7">
        <v>7.842443480518356E-2</v>
      </c>
      <c r="AA13" s="7">
        <v>-3.2119510338471283E-2</v>
      </c>
      <c r="AB13" s="7">
        <v>4.6678220121377283E-2</v>
      </c>
      <c r="AC13" s="7">
        <v>2.187155616137754E-2</v>
      </c>
      <c r="AD13" s="7">
        <v>6.5790452025407779E-3</v>
      </c>
      <c r="AE13" s="7">
        <v>-4.2517211455791168E-2</v>
      </c>
      <c r="AF13" s="7">
        <v>3.1940463834301228E-2</v>
      </c>
      <c r="AG13" s="7">
        <v>3.1681783055002889E-2</v>
      </c>
      <c r="AH13" s="7">
        <v>9.6413392395163916E-3</v>
      </c>
      <c r="AI13" s="7">
        <v>1.9909910220413461E-2</v>
      </c>
      <c r="AJ13" s="7">
        <v>1.988632403117771E-2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6.5409376070610318E-3</v>
      </c>
      <c r="BB13" s="7">
        <v>4.2875374496810892E-2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1.6918615618881649E-2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-3.3531565600396843E-2</v>
      </c>
      <c r="CB13" s="7">
        <v>-6.5958267252201053E-3</v>
      </c>
      <c r="CC13" s="7">
        <v>-1.2530912212633369E-2</v>
      </c>
      <c r="CD13" s="7">
        <v>0.1050858328923274</v>
      </c>
      <c r="CE13" s="7">
        <v>9.2209843254137634E-3</v>
      </c>
      <c r="CF13" s="7">
        <v>4.4514266725069238E-2</v>
      </c>
      <c r="CG13" s="7">
        <v>4.0449062968955063E-2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3.8184950196159702E-2</v>
      </c>
      <c r="CR13" s="7">
        <v>8.2797809976485181E-3</v>
      </c>
      <c r="CS13" s="7">
        <v>1.0833051115274659E-2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-4.1761569716784581E-2</v>
      </c>
      <c r="DC13" s="7">
        <v>2.9775565878292928E-2</v>
      </c>
      <c r="DD13" s="7">
        <v>1.069760060073574E-2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-3.3317561795107452E-3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-2.6430081417128711E-2</v>
      </c>
      <c r="DR13" s="7">
        <v>1.377120927231194E-2</v>
      </c>
      <c r="DS13" s="7">
        <v>-3.8887627839669842E-2</v>
      </c>
      <c r="DT13" s="7">
        <v>-3.542630104766481E-2</v>
      </c>
      <c r="DU13" s="7">
        <v>1.8705163637144761E-2</v>
      </c>
      <c r="DV13" s="7">
        <v>7.9620144024188558E-2</v>
      </c>
      <c r="DW13" s="7">
        <v>4.4417789624350307E-2</v>
      </c>
      <c r="DX13" s="7">
        <v>-6.4523379578496173E-2</v>
      </c>
      <c r="DY13" s="7">
        <v>3.5386044653833333E-2</v>
      </c>
      <c r="DZ13" s="7">
        <v>-1.460881448721826E-2</v>
      </c>
      <c r="EA13" s="7">
        <v>7.3242869042682138E-2</v>
      </c>
      <c r="EB13" s="7">
        <v>2.1373218199386389E-2</v>
      </c>
      <c r="EC13" s="7">
        <v>4.1659753435228923E-2</v>
      </c>
      <c r="ED13" s="7">
        <v>-6.5682093659234955E-2</v>
      </c>
      <c r="EE13" s="7">
        <v>7.9525935749644935E-3</v>
      </c>
      <c r="EF13" s="8">
        <v>6.6577215363556236E-2</v>
      </c>
    </row>
    <row r="14" spans="1:137" x14ac:dyDescent="0.3">
      <c r="A14" s="1">
        <v>50</v>
      </c>
      <c r="B14" s="1">
        <v>19</v>
      </c>
      <c r="C14" s="7">
        <v>-3.7017512404591897E-2</v>
      </c>
      <c r="D14" s="7">
        <v>8.3347311543301383E-2</v>
      </c>
      <c r="E14" s="7">
        <v>-4.7525943267256017E-2</v>
      </c>
      <c r="F14" s="7">
        <v>-4.8454142799859858E-2</v>
      </c>
      <c r="G14" s="7">
        <v>-4.1019916497925447E-2</v>
      </c>
      <c r="H14" s="7">
        <v>7.6743242716788224E-3</v>
      </c>
      <c r="I14" s="7">
        <v>4.3787359823142302E-2</v>
      </c>
      <c r="J14" s="7">
        <v>2.330997196491089E-2</v>
      </c>
      <c r="K14" s="7">
        <v>-0.13417870371405349</v>
      </c>
      <c r="L14" s="7">
        <v>4.847197187706806E-3</v>
      </c>
      <c r="M14" s="7">
        <v>4.9945200667877512E-3</v>
      </c>
      <c r="N14" s="7">
        <v>8.2758984694099133E-2</v>
      </c>
      <c r="O14" s="7">
        <v>3.7475787013006502E-2</v>
      </c>
      <c r="P14" s="7">
        <v>-5.8345921898241233E-2</v>
      </c>
      <c r="Q14" s="7">
        <v>-0.12410387117144869</v>
      </c>
      <c r="R14" s="7">
        <v>-1.5941187297101821E-2</v>
      </c>
      <c r="S14" s="7">
        <v>-0.1658932271847087</v>
      </c>
      <c r="T14" s="7">
        <v>-6.9841479520895866E-2</v>
      </c>
      <c r="U14" s="7">
        <v>-0.1042666646356476</v>
      </c>
      <c r="V14" s="7">
        <v>2.0089127185378371E-2</v>
      </c>
      <c r="W14" s="7">
        <v>7.4008159388253003E-2</v>
      </c>
      <c r="X14" s="7">
        <v>0.1132631083122695</v>
      </c>
      <c r="Y14" s="7">
        <v>-5.2198745955319217E-3</v>
      </c>
      <c r="Z14" s="7">
        <v>3.8511926280307661E-2</v>
      </c>
      <c r="AA14" s="7">
        <v>-3.9450180302082173E-2</v>
      </c>
      <c r="AB14" s="7">
        <v>7.0769377347230211E-2</v>
      </c>
      <c r="AC14" s="7">
        <v>-1.351726880349334E-2</v>
      </c>
      <c r="AD14" s="7">
        <v>-1.292010661121834E-2</v>
      </c>
      <c r="AE14" s="7">
        <v>-0.1064120722476776</v>
      </c>
      <c r="AF14" s="7">
        <v>4.0420702542399108E-2</v>
      </c>
      <c r="AG14" s="7">
        <v>2.0520894646562499E-2</v>
      </c>
      <c r="AH14" s="7">
        <v>5.250277930506024E-3</v>
      </c>
      <c r="AI14" s="7">
        <v>1.096457068257391E-2</v>
      </c>
      <c r="AJ14" s="7">
        <v>9.6294976708784216E-2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1.7621645544243138E-2</v>
      </c>
      <c r="BB14" s="7">
        <v>6.1734282001674842E-2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3.9257215206427082E-2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-2.446526611493707E-2</v>
      </c>
      <c r="CB14" s="7">
        <v>2.2127616542174811E-2</v>
      </c>
      <c r="CC14" s="7">
        <v>-1.2794080785178611E-2</v>
      </c>
      <c r="CD14" s="7">
        <v>9.8016709932197757E-2</v>
      </c>
      <c r="CE14" s="7">
        <v>-7.2156719211697945E-2</v>
      </c>
      <c r="CF14" s="7">
        <v>9.2330683282061565E-2</v>
      </c>
      <c r="CG14" s="7">
        <v>5.3067028295838918E-2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5.321162809167454E-2</v>
      </c>
      <c r="CR14" s="7">
        <v>5.590913762450133E-2</v>
      </c>
      <c r="CS14" s="7">
        <v>5.9027120263655718E-2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-2.356107318819085E-2</v>
      </c>
      <c r="DC14" s="7">
        <v>2.3632609204847509E-2</v>
      </c>
      <c r="DD14" s="7">
        <v>-1.6758549792416429E-2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1.023724267297355E-3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-8.9367860040811792E-2</v>
      </c>
      <c r="DR14" s="7">
        <v>5.2622519458999567E-2</v>
      </c>
      <c r="DS14" s="7">
        <v>-3.5044906270916831E-2</v>
      </c>
      <c r="DT14" s="7">
        <v>-4.4516953597455299E-2</v>
      </c>
      <c r="DU14" s="7">
        <v>-4.4914948618981987E-2</v>
      </c>
      <c r="DV14" s="7">
        <v>0.1082623545301073</v>
      </c>
      <c r="DW14" s="7">
        <v>9.8344367017777726E-2</v>
      </c>
      <c r="DX14" s="7">
        <v>-0.1019315055524211</v>
      </c>
      <c r="DY14" s="7">
        <v>3.7997079946848547E-2</v>
      </c>
      <c r="DZ14" s="7">
        <v>-2.1881573318462251E-2</v>
      </c>
      <c r="EA14" s="7">
        <v>7.8105265887936245E-2</v>
      </c>
      <c r="EB14" s="7">
        <v>3.317733311259085E-2</v>
      </c>
      <c r="EC14" s="7">
        <v>6.0793821481329897E-3</v>
      </c>
      <c r="ED14" s="7">
        <v>-0.102629709186187</v>
      </c>
      <c r="EE14" s="7">
        <v>1.886715684489253E-2</v>
      </c>
      <c r="EF14" s="8">
        <v>6.9956420498558061E-2</v>
      </c>
    </row>
    <row r="15" spans="1:137" x14ac:dyDescent="0.3">
      <c r="A15" s="1">
        <v>100</v>
      </c>
      <c r="B15" s="1">
        <v>10</v>
      </c>
      <c r="C15" s="7">
        <v>-9.6503141994516081E-2</v>
      </c>
      <c r="D15" s="7">
        <v>1.6952864792065741E-2</v>
      </c>
      <c r="E15" s="7">
        <v>-1.019842627208351E-2</v>
      </c>
      <c r="F15" s="7">
        <v>-0.1085622933731899</v>
      </c>
      <c r="G15" s="7">
        <v>-6.0636928671534279E-2</v>
      </c>
      <c r="H15" s="7">
        <v>5.0157824503593081E-2</v>
      </c>
      <c r="I15" s="7">
        <v>5.843144427986554E-2</v>
      </c>
      <c r="J15" s="7">
        <v>4.9961465247389647E-2</v>
      </c>
      <c r="K15" s="7">
        <v>-0.28659462773637062</v>
      </c>
      <c r="L15" s="7">
        <v>3.2558505157184642E-2</v>
      </c>
      <c r="M15" s="7">
        <v>2.5497709479487259E-2</v>
      </c>
      <c r="N15" s="7">
        <v>0.12086815416098109</v>
      </c>
      <c r="O15" s="7">
        <v>7.375734424631461E-2</v>
      </c>
      <c r="P15" s="7">
        <v>-6.4116183021661763E-2</v>
      </c>
      <c r="Q15" s="7">
        <v>-0.15553684210781249</v>
      </c>
      <c r="R15" s="7">
        <v>-5.2129690105117463E-2</v>
      </c>
      <c r="S15" s="7">
        <v>-0.27000789508215378</v>
      </c>
      <c r="T15" s="7">
        <v>-6.6800124943112091E-2</v>
      </c>
      <c r="U15" s="7">
        <v>-0.1369680616672688</v>
      </c>
      <c r="V15" s="7">
        <v>-1.713185334811276E-2</v>
      </c>
      <c r="W15" s="7">
        <v>0.1025435939827431</v>
      </c>
      <c r="X15" s="7">
        <v>0.1268433314636731</v>
      </c>
      <c r="Y15" s="7">
        <v>2.0629974365819839E-2</v>
      </c>
      <c r="Z15" s="7">
        <v>4.6719972053358677E-2</v>
      </c>
      <c r="AA15" s="7">
        <v>-5.4081147028033669E-2</v>
      </c>
      <c r="AB15" s="7">
        <v>8.370017251583052E-2</v>
      </c>
      <c r="AC15" s="7">
        <v>1.6480966208188091E-2</v>
      </c>
      <c r="AD15" s="7">
        <v>1.8936283030818419E-2</v>
      </c>
      <c r="AE15" s="7">
        <v>-9.7797684008951086E-2</v>
      </c>
      <c r="AF15" s="7">
        <v>6.5819612497039853E-2</v>
      </c>
      <c r="AG15" s="7">
        <v>1.012347826165556E-2</v>
      </c>
      <c r="AH15" s="7">
        <v>-3.3604373357676472E-2</v>
      </c>
      <c r="AI15" s="7">
        <v>7.4276960210081885E-2</v>
      </c>
      <c r="AJ15" s="7">
        <v>4.1844346323331449E-3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1.061351480765297E-2</v>
      </c>
      <c r="BB15" s="7">
        <v>0.1127248660788131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6.6824821366729223E-2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-1.859202079644226E-2</v>
      </c>
      <c r="CB15" s="7">
        <v>1.5056894011824499E-2</v>
      </c>
      <c r="CC15" s="7">
        <v>-0.15231826505416149</v>
      </c>
      <c r="CD15" s="7">
        <v>0.1201520839630844</v>
      </c>
      <c r="CE15" s="7">
        <v>-0.1165165690701207</v>
      </c>
      <c r="CF15" s="7">
        <v>9.435665039342013E-2</v>
      </c>
      <c r="CG15" s="7">
        <v>-4.2988792533641554E-3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3.7378010765128991E-2</v>
      </c>
      <c r="CR15" s="7">
        <v>4.8237070288164277E-2</v>
      </c>
      <c r="CS15" s="7">
        <v>6.0185172463594637E-2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-3.0226618214123681E-2</v>
      </c>
      <c r="DC15" s="7">
        <v>3.5075149974582137E-2</v>
      </c>
      <c r="DD15" s="7">
        <v>-4.9393690499884603E-2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-5.1853853094406883E-2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-9.5040907459428614E-2</v>
      </c>
      <c r="DR15" s="7">
        <v>7.0010566617938433E-2</v>
      </c>
      <c r="DS15" s="7">
        <v>-7.6241908411797149E-2</v>
      </c>
      <c r="DT15" s="7">
        <v>-7.2163631718163007E-2</v>
      </c>
      <c r="DU15" s="7">
        <v>-4.5770728951680668E-2</v>
      </c>
      <c r="DV15" s="7">
        <v>0.13976835694087139</v>
      </c>
      <c r="DW15" s="7">
        <v>2.5538627146832551E-2</v>
      </c>
      <c r="DX15" s="7">
        <v>-0.1186162506499864</v>
      </c>
      <c r="DY15" s="7">
        <v>0.10653916660100959</v>
      </c>
      <c r="DZ15" s="7">
        <v>-1.8920244069384411E-2</v>
      </c>
      <c r="EA15" s="7">
        <v>2.7338726209839619E-2</v>
      </c>
      <c r="EB15" s="7">
        <v>4.8518573131244913E-2</v>
      </c>
      <c r="EC15" s="7">
        <v>6.6081856047946447E-2</v>
      </c>
      <c r="ED15" s="7">
        <v>-0.1133570559353114</v>
      </c>
      <c r="EE15" s="7">
        <v>-1.6245414536088298E-2</v>
      </c>
      <c r="EF15" s="8">
        <v>6.5700991138842244E-2</v>
      </c>
    </row>
    <row r="16" spans="1:137" x14ac:dyDescent="0.3">
      <c r="A16" s="1">
        <v>107</v>
      </c>
      <c r="B16" s="1">
        <v>9</v>
      </c>
      <c r="C16" s="7">
        <v>-2.7383644610379052E-2</v>
      </c>
      <c r="D16" s="7">
        <v>-7.202486673170555E-4</v>
      </c>
      <c r="E16" s="7">
        <v>-2.8301766100853822E-3</v>
      </c>
      <c r="F16" s="7">
        <v>-9.9382492855487087E-2</v>
      </c>
      <c r="G16" s="7">
        <v>-7.3696265126923857E-2</v>
      </c>
      <c r="H16" s="7">
        <v>6.0999004616936837E-2</v>
      </c>
      <c r="I16" s="7">
        <v>5.7530618665621432E-2</v>
      </c>
      <c r="J16" s="7">
        <v>4.6709926042666168E-2</v>
      </c>
      <c r="K16" s="7">
        <v>-0.28467055022653209</v>
      </c>
      <c r="L16" s="7">
        <v>9.8865345878687977E-3</v>
      </c>
      <c r="M16" s="7">
        <v>4.0334454725240582E-2</v>
      </c>
      <c r="N16" s="7">
        <v>0.1256706255427503</v>
      </c>
      <c r="O16" s="7">
        <v>7.9826860571117084E-2</v>
      </c>
      <c r="P16" s="7">
        <v>-6.1045231791422308E-2</v>
      </c>
      <c r="Q16" s="7">
        <v>-0.15790307042433799</v>
      </c>
      <c r="R16" s="7">
        <v>-4.899097828292652E-2</v>
      </c>
      <c r="S16" s="7">
        <v>-0.28706302039879478</v>
      </c>
      <c r="T16" s="7">
        <v>-6.7219060157601318E-2</v>
      </c>
      <c r="U16" s="7">
        <v>-0.1300624714297445</v>
      </c>
      <c r="V16" s="7">
        <v>-6.0221453329656824E-3</v>
      </c>
      <c r="W16" s="7">
        <v>0.10166567604781181</v>
      </c>
      <c r="X16" s="7">
        <v>0.12440978370848681</v>
      </c>
      <c r="Y16" s="7">
        <v>2.0180588419635579E-2</v>
      </c>
      <c r="Z16" s="7">
        <v>4.3057930884211712E-2</v>
      </c>
      <c r="AA16" s="7">
        <v>-4.3487635835992113E-2</v>
      </c>
      <c r="AB16" s="7">
        <v>7.4985041637980393E-2</v>
      </c>
      <c r="AC16" s="7">
        <v>4.7226236202560543E-2</v>
      </c>
      <c r="AD16" s="7">
        <v>1.122025849076259E-3</v>
      </c>
      <c r="AE16" s="7">
        <v>-9.6502360488605665E-2</v>
      </c>
      <c r="AF16" s="7">
        <v>6.3685842581589158E-2</v>
      </c>
      <c r="AG16" s="7">
        <v>1.32907530365354E-2</v>
      </c>
      <c r="AH16" s="7">
        <v>-3.1765400449440553E-2</v>
      </c>
      <c r="AI16" s="7">
        <v>9.0522649217154846E-2</v>
      </c>
      <c r="AJ16" s="7">
        <v>-1.7629241723035149E-2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1.4923105057586089E-2</v>
      </c>
      <c r="BB16" s="7">
        <v>0.10803892415273809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8.1523875041965066E-2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-2.971438975556321E-2</v>
      </c>
      <c r="CB16" s="7">
        <v>-1.4280449892172949E-3</v>
      </c>
      <c r="CC16" s="7">
        <v>-0.15907251448393439</v>
      </c>
      <c r="CD16" s="7">
        <v>0.15507127162636181</v>
      </c>
      <c r="CE16" s="7">
        <v>-0.13259506079351141</v>
      </c>
      <c r="CF16" s="7">
        <v>0.10520126400975099</v>
      </c>
      <c r="CG16" s="7">
        <v>-5.3785190313301026E-3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4.1435605659410409E-2</v>
      </c>
      <c r="CR16" s="7">
        <v>4.829976668331655E-2</v>
      </c>
      <c r="CS16" s="7">
        <v>6.6559159874073834E-2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-4.2712169780226052E-2</v>
      </c>
      <c r="DC16" s="7">
        <v>4.2942362320500277E-2</v>
      </c>
      <c r="DD16" s="7">
        <v>-7.0070935057357717E-2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-2.914140608062964E-2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-8.3033658077016542E-2</v>
      </c>
      <c r="DR16" s="7">
        <v>5.5191251649515209E-2</v>
      </c>
      <c r="DS16" s="7">
        <v>-9.3752064989754288E-2</v>
      </c>
      <c r="DT16" s="7">
        <v>-0.10053412782446559</v>
      </c>
      <c r="DU16" s="7">
        <v>-6.447373376953866E-2</v>
      </c>
      <c r="DV16" s="7">
        <v>0.13695373201779351</v>
      </c>
      <c r="DW16" s="7">
        <v>4.0917729699690833E-2</v>
      </c>
      <c r="DX16" s="7">
        <v>-0.1252847063239774</v>
      </c>
      <c r="DY16" s="7">
        <v>0.11635433491034319</v>
      </c>
      <c r="DZ16" s="7">
        <v>-3.1277079824676451E-2</v>
      </c>
      <c r="EA16" s="7">
        <v>4.6661371555726909E-2</v>
      </c>
      <c r="EB16" s="7">
        <v>7.8610638743133537E-2</v>
      </c>
      <c r="EC16" s="7">
        <v>6.3532066634569728E-2</v>
      </c>
      <c r="ED16" s="7">
        <v>-0.1154167474989211</v>
      </c>
      <c r="EE16" s="7">
        <v>-2.3090711524611399E-2</v>
      </c>
      <c r="EF16" s="8">
        <v>4.2474401493907223E-2</v>
      </c>
    </row>
    <row r="17" spans="1:136" x14ac:dyDescent="0.3">
      <c r="A17" s="1">
        <v>120</v>
      </c>
      <c r="B17" s="1">
        <v>8</v>
      </c>
      <c r="C17" s="7">
        <v>-4.1028984252961823E-2</v>
      </c>
      <c r="D17" s="7">
        <v>-1.7334374733087798E-2</v>
      </c>
      <c r="E17" s="7">
        <v>7.3790014953013412E-3</v>
      </c>
      <c r="F17" s="7">
        <v>-0.1128375151172957</v>
      </c>
      <c r="G17" s="7">
        <v>-7.122276687818177E-2</v>
      </c>
      <c r="H17" s="7">
        <v>7.6687821562616859E-2</v>
      </c>
      <c r="I17" s="7">
        <v>0.1137250278021875</v>
      </c>
      <c r="J17" s="7">
        <v>4.1858395118229183E-2</v>
      </c>
      <c r="K17" s="7">
        <v>-0.29682655110056239</v>
      </c>
      <c r="L17" s="7">
        <v>9.7108895081580021E-3</v>
      </c>
      <c r="M17" s="7">
        <v>6.4932034983486181E-2</v>
      </c>
      <c r="N17" s="7">
        <v>0.1359484320527852</v>
      </c>
      <c r="O17" s="7">
        <v>0.1012267692723357</v>
      </c>
      <c r="P17" s="7">
        <v>-6.6339369138831011E-2</v>
      </c>
      <c r="Q17" s="7">
        <v>-0.16180129461512691</v>
      </c>
      <c r="R17" s="7">
        <v>-5.2057608904527208E-2</v>
      </c>
      <c r="S17" s="7">
        <v>-0.31065343265529821</v>
      </c>
      <c r="T17" s="7">
        <v>-7.120201453280707E-2</v>
      </c>
      <c r="U17" s="7">
        <v>-0.14127114253855691</v>
      </c>
      <c r="V17" s="7">
        <v>4.0111898296984957E-3</v>
      </c>
      <c r="W17" s="7">
        <v>0.1196039840123075</v>
      </c>
      <c r="X17" s="7">
        <v>0.1168461979408036</v>
      </c>
      <c r="Y17" s="7">
        <v>2.2928011062654879E-2</v>
      </c>
      <c r="Z17" s="7">
        <v>5.3868489290865788E-2</v>
      </c>
      <c r="AA17" s="7">
        <v>-3.5209789582199093E-2</v>
      </c>
      <c r="AB17" s="7">
        <v>8.4852062878172319E-2</v>
      </c>
      <c r="AC17" s="7">
        <v>5.8728690290493803E-2</v>
      </c>
      <c r="AD17" s="7">
        <v>2.1912844173640599E-2</v>
      </c>
      <c r="AE17" s="7">
        <v>-0.127158422447225</v>
      </c>
      <c r="AF17" s="7">
        <v>6.1429310121940139E-2</v>
      </c>
      <c r="AG17" s="7">
        <v>2.2740980787790199E-2</v>
      </c>
      <c r="AH17" s="7">
        <v>-3.5472619172888853E-2</v>
      </c>
      <c r="AI17" s="7">
        <v>0.11486444539828659</v>
      </c>
      <c r="AJ17" s="7">
        <v>-2.220745952474644E-2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9.8251791071129642E-3</v>
      </c>
      <c r="BB17" s="7">
        <v>0.1237640631138444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7.5997770445859966E-2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-2.7934832358489561E-2</v>
      </c>
      <c r="CB17" s="7">
        <v>-1.047770749199251E-2</v>
      </c>
      <c r="CC17" s="7">
        <v>-0.17495797398968091</v>
      </c>
      <c r="CD17" s="7">
        <v>0.17295974121914859</v>
      </c>
      <c r="CE17" s="7">
        <v>-0.17511624550605151</v>
      </c>
      <c r="CF17" s="7">
        <v>9.8746197426198501E-2</v>
      </c>
      <c r="CG17" s="7">
        <v>-1.552710507507719E-2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4.1087933183403327E-2</v>
      </c>
      <c r="CR17" s="7">
        <v>5.0676490702223173E-2</v>
      </c>
      <c r="CS17" s="7">
        <v>9.6841631299569769E-2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-3.4883010792467917E-2</v>
      </c>
      <c r="DC17" s="7">
        <v>4.3363468977499313E-2</v>
      </c>
      <c r="DD17" s="7">
        <v>-8.5133933084153957E-2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-4.5336157540819967E-2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-0.1077024687966308</v>
      </c>
      <c r="DR17" s="7">
        <v>5.5884814876328279E-2</v>
      </c>
      <c r="DS17" s="7">
        <v>-0.12431615980481089</v>
      </c>
      <c r="DT17" s="7">
        <v>-9.3138949685151573E-2</v>
      </c>
      <c r="DU17" s="7">
        <v>-7.1730706050505327E-2</v>
      </c>
      <c r="DV17" s="7">
        <v>0.11776539811095429</v>
      </c>
      <c r="DW17" s="7">
        <v>4.8681483414150163E-2</v>
      </c>
      <c r="DX17" s="7">
        <v>-0.12953898259647401</v>
      </c>
      <c r="DY17" s="7">
        <v>0.11213845480607409</v>
      </c>
      <c r="DZ17" s="7">
        <v>-3.1828172599786188E-2</v>
      </c>
      <c r="EA17" s="7">
        <v>1.181792386571255E-2</v>
      </c>
      <c r="EB17" s="7">
        <v>8.7100349194739302E-2</v>
      </c>
      <c r="EC17" s="7">
        <v>1.6425217216060651E-2</v>
      </c>
      <c r="ED17" s="7">
        <v>-0.12832444392891271</v>
      </c>
      <c r="EE17" s="7">
        <v>-2.5413360310033831E-2</v>
      </c>
      <c r="EF17" s="8">
        <v>4.7709767009851849E-2</v>
      </c>
    </row>
    <row r="18" spans="1:136" x14ac:dyDescent="0.3">
      <c r="A18" s="1">
        <v>137</v>
      </c>
      <c r="B18" s="1">
        <v>7</v>
      </c>
      <c r="C18" s="7">
        <v>-5.3942228163147227E-2</v>
      </c>
      <c r="D18" s="7">
        <v>-8.1874670813927297E-3</v>
      </c>
      <c r="E18" s="7">
        <v>-5.900065709820778E-2</v>
      </c>
      <c r="F18" s="7">
        <v>-0.13441437443338569</v>
      </c>
      <c r="G18" s="7">
        <v>-8.0794247020859855E-2</v>
      </c>
      <c r="H18" s="7">
        <v>0.1219127893632701</v>
      </c>
      <c r="I18" s="7">
        <v>0.13550018022324109</v>
      </c>
      <c r="J18" s="7">
        <v>4.3411515751641608E-2</v>
      </c>
      <c r="K18" s="7">
        <v>-0.35868209850789973</v>
      </c>
      <c r="L18" s="7">
        <v>1.298248684698161E-2</v>
      </c>
      <c r="M18" s="7">
        <v>7.970257711397645E-2</v>
      </c>
      <c r="N18" s="7">
        <v>0.1429924272847711</v>
      </c>
      <c r="O18" s="7">
        <v>0.10367048962961919</v>
      </c>
      <c r="P18" s="7">
        <v>-8.2552611569947768E-2</v>
      </c>
      <c r="Q18" s="7">
        <v>-0.18897541868948989</v>
      </c>
      <c r="R18" s="7">
        <v>-6.149223787197499E-2</v>
      </c>
      <c r="S18" s="7">
        <v>-0.3837326289318943</v>
      </c>
      <c r="T18" s="7">
        <v>-5.4244440031608693E-2</v>
      </c>
      <c r="U18" s="7">
        <v>-0.132495024429819</v>
      </c>
      <c r="V18" s="7">
        <v>1.2895135069850801E-2</v>
      </c>
      <c r="W18" s="7">
        <v>0.1379172379157062</v>
      </c>
      <c r="X18" s="7">
        <v>0.1434515176348406</v>
      </c>
      <c r="Y18" s="7">
        <v>1.923233435743554E-2</v>
      </c>
      <c r="Z18" s="7">
        <v>8.9234363440522865E-2</v>
      </c>
      <c r="AA18" s="7">
        <v>-4.1705245182724067E-2</v>
      </c>
      <c r="AB18" s="7">
        <v>8.4698299730484178E-2</v>
      </c>
      <c r="AC18" s="7">
        <v>5.782301285595727E-2</v>
      </c>
      <c r="AD18" s="7">
        <v>2.659559037908019E-2</v>
      </c>
      <c r="AE18" s="7">
        <v>-0.1435292414290745</v>
      </c>
      <c r="AF18" s="7">
        <v>3.187341816062559E-2</v>
      </c>
      <c r="AG18" s="7">
        <v>3.2493116097876071E-2</v>
      </c>
      <c r="AH18" s="7">
        <v>-4.0197460968514703E-2</v>
      </c>
      <c r="AI18" s="7">
        <v>0.1180857345580002</v>
      </c>
      <c r="AJ18" s="7">
        <v>-7.3274438891894889E-3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6.3231092468556214E-4</v>
      </c>
      <c r="BB18" s="7">
        <v>0.13765604215733709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0.1027739390634396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-1.6076543892860819E-2</v>
      </c>
      <c r="CB18" s="7">
        <v>-2.4577356612448309E-2</v>
      </c>
      <c r="CC18" s="7">
        <v>-2.817344401940013E-2</v>
      </c>
      <c r="CD18" s="7">
        <v>0.19371681864683071</v>
      </c>
      <c r="CE18" s="7">
        <v>-0.1779263563088774</v>
      </c>
      <c r="CF18" s="7">
        <v>7.1817591700374064E-2</v>
      </c>
      <c r="CG18" s="7">
        <v>-2.8013589394155079E-3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4.7976536408267538E-2</v>
      </c>
      <c r="CR18" s="7">
        <v>5.5156128716592027E-2</v>
      </c>
      <c r="CS18" s="7">
        <v>7.802724673197127E-2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-4.5735208678759381E-2</v>
      </c>
      <c r="DC18" s="7">
        <v>3.6408781495506221E-2</v>
      </c>
      <c r="DD18" s="7">
        <v>-8.2462353495414184E-2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-4.5204039785289522E-2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-0.1007272783058315</v>
      </c>
      <c r="DR18" s="7">
        <v>7.6840654771961045E-2</v>
      </c>
      <c r="DS18" s="7">
        <v>-0.1477219984517327</v>
      </c>
      <c r="DT18" s="7">
        <v>-0.1160173901109771</v>
      </c>
      <c r="DU18" s="7">
        <v>-9.6895186076904644E-2</v>
      </c>
      <c r="DV18" s="7">
        <v>0.1056406088000619</v>
      </c>
      <c r="DW18" s="7">
        <v>8.1908692284373169E-2</v>
      </c>
      <c r="DX18" s="7">
        <v>-0.1536029774624818</v>
      </c>
      <c r="DY18" s="7">
        <v>9.7428036975949608E-2</v>
      </c>
      <c r="DZ18" s="7">
        <v>-7.5516359296365659E-2</v>
      </c>
      <c r="EA18" s="7">
        <v>-6.3615627439817801E-3</v>
      </c>
      <c r="EB18" s="7">
        <v>9.9846377978320619E-2</v>
      </c>
      <c r="EC18" s="7">
        <v>2.764115425371385E-3</v>
      </c>
      <c r="ED18" s="7">
        <v>-0.11047802186576559</v>
      </c>
      <c r="EE18" s="7">
        <v>-1.385375397450707E-2</v>
      </c>
      <c r="EF18" s="8">
        <v>4.8955017110416547E-2</v>
      </c>
    </row>
    <row r="19" spans="1:136" x14ac:dyDescent="0.3">
      <c r="A19" s="1">
        <v>160</v>
      </c>
      <c r="B19" s="1">
        <v>6</v>
      </c>
      <c r="C19" s="7">
        <v>-7.7959416087486216E-2</v>
      </c>
      <c r="D19" s="7">
        <v>-2.017079945419575E-2</v>
      </c>
      <c r="E19" s="7">
        <v>-5.4898093767412171E-2</v>
      </c>
      <c r="F19" s="7">
        <v>-3.864668188624408E-2</v>
      </c>
      <c r="G19" s="7">
        <v>-9.7512090561600123E-2</v>
      </c>
      <c r="H19" s="7">
        <v>0.14889412203584729</v>
      </c>
      <c r="I19" s="7">
        <v>0.1346543328914665</v>
      </c>
      <c r="J19" s="7">
        <v>3.5429584520191022E-2</v>
      </c>
      <c r="K19" s="7">
        <v>-0.41833785096963422</v>
      </c>
      <c r="L19" s="7">
        <v>4.3048957635166023E-2</v>
      </c>
      <c r="M19" s="7">
        <v>8.6210339026117716E-2</v>
      </c>
      <c r="N19" s="7">
        <v>9.5347885689980899E-2</v>
      </c>
      <c r="O19" s="7">
        <v>9.2221383019457218E-2</v>
      </c>
      <c r="P19" s="7">
        <v>-9.2534186186697107E-2</v>
      </c>
      <c r="Q19" s="7">
        <v>-0.19716308826451989</v>
      </c>
      <c r="R19" s="7">
        <v>-9.0299090630856282E-2</v>
      </c>
      <c r="S19" s="7">
        <v>-0.18416011669760801</v>
      </c>
      <c r="T19" s="7">
        <v>-2.7154277986299109E-2</v>
      </c>
      <c r="U19" s="7">
        <v>-0.13569833863192321</v>
      </c>
      <c r="V19" s="7">
        <v>3.6618687785451319E-2</v>
      </c>
      <c r="W19" s="7">
        <v>0.14662099071751011</v>
      </c>
      <c r="X19" s="7">
        <v>0.1166390452640934</v>
      </c>
      <c r="Y19" s="7">
        <v>2.5628637528156511E-2</v>
      </c>
      <c r="Z19" s="7">
        <v>9.1619110576023566E-2</v>
      </c>
      <c r="AA19" s="7">
        <v>-4.1570184538155738E-2</v>
      </c>
      <c r="AB19" s="7">
        <v>0.10225360588394269</v>
      </c>
      <c r="AC19" s="7">
        <v>2.8452834641691321E-2</v>
      </c>
      <c r="AD19" s="7">
        <v>3.5088928587950333E-2</v>
      </c>
      <c r="AE19" s="7">
        <v>-0.1694160609977898</v>
      </c>
      <c r="AF19" s="7">
        <v>3.8785666808899749E-2</v>
      </c>
      <c r="AG19" s="7">
        <v>2.2136219072547821E-2</v>
      </c>
      <c r="AH19" s="7">
        <v>-5.6557715221703553E-2</v>
      </c>
      <c r="AI19" s="7">
        <v>9.1548662924674465E-2</v>
      </c>
      <c r="AJ19" s="7">
        <v>1.2167191575980511E-2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-3.4363883954073027E-2</v>
      </c>
      <c r="BB19" s="7">
        <v>0.15974619907243159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0.1142506002586957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-2.932875522377449E-2</v>
      </c>
      <c r="CB19" s="7">
        <v>-4.804116850824483E-2</v>
      </c>
      <c r="CC19" s="7">
        <v>-2.4723252765827462E-2</v>
      </c>
      <c r="CD19" s="7">
        <v>0.21561919809371791</v>
      </c>
      <c r="CE19" s="7">
        <v>-0.1982658291769592</v>
      </c>
      <c r="CF19" s="7">
        <v>7.9904397206049291E-2</v>
      </c>
      <c r="CG19" s="7">
        <v>-5.0633530014653497E-2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-2.7299081545619341E-3</v>
      </c>
      <c r="CR19" s="7">
        <v>4.9694189552402651E-2</v>
      </c>
      <c r="CS19" s="7">
        <v>6.0700850898538133E-2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-3.572089902521567E-2</v>
      </c>
      <c r="DC19" s="7">
        <v>-3.5179399902094073E-2</v>
      </c>
      <c r="DD19" s="7">
        <v>-0.10625733595480071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-4.8514350722976607E-2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-0.1204893793606352</v>
      </c>
      <c r="DR19" s="7">
        <v>7.5962353325048193E-2</v>
      </c>
      <c r="DS19" s="7">
        <v>-0.1779955469539703</v>
      </c>
      <c r="DT19" s="7">
        <v>-0.13312850061934939</v>
      </c>
      <c r="DU19" s="7">
        <v>-0.14283069805444029</v>
      </c>
      <c r="DV19" s="7">
        <v>0.1115247064406045</v>
      </c>
      <c r="DW19" s="7">
        <v>6.0609139340684293E-2</v>
      </c>
      <c r="DX19" s="7">
        <v>-0.1383651342381777</v>
      </c>
      <c r="DY19" s="7">
        <v>7.0109577687923127E-2</v>
      </c>
      <c r="DZ19" s="7">
        <v>-0.1119208288639931</v>
      </c>
      <c r="EA19" s="7">
        <v>-2.807935347566733E-2</v>
      </c>
      <c r="EB19" s="7">
        <v>2.1772770012778581E-2</v>
      </c>
      <c r="EC19" s="7">
        <v>-1.2190043223702179E-2</v>
      </c>
      <c r="ED19" s="7">
        <v>-0.15093531699015689</v>
      </c>
      <c r="EE19" s="7">
        <v>1.2634042940422471E-2</v>
      </c>
      <c r="EF19" s="8">
        <v>1.697795487476916E-2</v>
      </c>
    </row>
    <row r="20" spans="1:136" x14ac:dyDescent="0.3">
      <c r="A20" s="1">
        <v>192</v>
      </c>
      <c r="B20" s="1">
        <v>5</v>
      </c>
      <c r="C20" s="7">
        <v>-0.13932460396499161</v>
      </c>
      <c r="D20" s="7">
        <v>3.5171826374555398E-4</v>
      </c>
      <c r="E20" s="7">
        <v>1.5499988144333969E-2</v>
      </c>
      <c r="F20" s="7">
        <v>-9.1218422172045968E-2</v>
      </c>
      <c r="G20" s="7">
        <v>-0.1003659119188639</v>
      </c>
      <c r="H20" s="7">
        <v>0.1643719981286699</v>
      </c>
      <c r="I20" s="7">
        <v>0.15814956260110169</v>
      </c>
      <c r="J20" s="7">
        <v>3.4471258726856233E-2</v>
      </c>
      <c r="K20" s="7">
        <v>-9.0108654122673978E-2</v>
      </c>
      <c r="L20" s="7">
        <v>9.5708635504535719E-2</v>
      </c>
      <c r="M20" s="7">
        <v>0.100133414364086</v>
      </c>
      <c r="N20" s="7">
        <v>0.10192492904563991</v>
      </c>
      <c r="O20" s="7">
        <v>9.9101484144473756E-2</v>
      </c>
      <c r="P20" s="7">
        <v>-9.1169927668525261E-2</v>
      </c>
      <c r="Q20" s="7">
        <v>-0.21672573900297851</v>
      </c>
      <c r="R20" s="7">
        <v>-0.1092530556374688</v>
      </c>
      <c r="S20" s="7">
        <v>-0.15518261832774261</v>
      </c>
      <c r="T20" s="7">
        <v>1.566291051925937E-2</v>
      </c>
      <c r="U20" s="7">
        <v>-0.14864968011777491</v>
      </c>
      <c r="V20" s="7">
        <v>1.2644103117188939E-2</v>
      </c>
      <c r="W20" s="7">
        <v>0.17308537617758091</v>
      </c>
      <c r="X20" s="7">
        <v>0.14869720125713359</v>
      </c>
      <c r="Y20" s="7">
        <v>4.2067489538597257E-2</v>
      </c>
      <c r="Z20" s="7">
        <v>0.1056169604836593</v>
      </c>
      <c r="AA20" s="7">
        <v>-2.159455338729711E-2</v>
      </c>
      <c r="AB20" s="7">
        <v>8.4759840726173208E-2</v>
      </c>
      <c r="AC20" s="7">
        <v>5.6443345640519567E-2</v>
      </c>
      <c r="AD20" s="7">
        <v>3.4453902851829692E-2</v>
      </c>
      <c r="AE20" s="7">
        <v>-0.1992928643390979</v>
      </c>
      <c r="AF20" s="7">
        <v>3.9044678387579961E-2</v>
      </c>
      <c r="AG20" s="7">
        <v>2.7659218539892259E-2</v>
      </c>
      <c r="AH20" s="7">
        <v>-9.0178200714782636E-2</v>
      </c>
      <c r="AI20" s="7">
        <v>0.11633675505532361</v>
      </c>
      <c r="AJ20" s="7">
        <v>1.7241715716101249E-2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-3.6798864860540501E-2</v>
      </c>
      <c r="BB20" s="7">
        <v>0.1676554233765693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0.1369176613284383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-4.0102728051752932E-2</v>
      </c>
      <c r="CB20" s="7">
        <v>-3.8251950010927849E-2</v>
      </c>
      <c r="CC20" s="7">
        <v>-2.6043033783065061E-2</v>
      </c>
      <c r="CD20" s="7">
        <v>0.1810274974905971</v>
      </c>
      <c r="CE20" s="7">
        <v>-0.2439637954697331</v>
      </c>
      <c r="CF20" s="7">
        <v>8.0957937198676569E-2</v>
      </c>
      <c r="CG20" s="7">
        <v>-9.9052888530088784E-2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6.1113579290622234E-3</v>
      </c>
      <c r="CR20" s="7">
        <v>7.3116244505850386E-2</v>
      </c>
      <c r="CS20" s="7">
        <v>8.8364277012261461E-2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-5.6902709757134122E-2</v>
      </c>
      <c r="DC20" s="7">
        <v>-4.9613069235555772E-2</v>
      </c>
      <c r="DD20" s="7">
        <v>-0.14810881433882259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-3.9459946268887811E-2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-0.18720731773454069</v>
      </c>
      <c r="DR20" s="7">
        <v>7.8512660028290493E-2</v>
      </c>
      <c r="DS20" s="7">
        <v>-0.20608109757835469</v>
      </c>
      <c r="DT20" s="7">
        <v>-0.13343598462213829</v>
      </c>
      <c r="DU20" s="7">
        <v>-0.1720691072058694</v>
      </c>
      <c r="DV20" s="7">
        <v>0.12934547183885869</v>
      </c>
      <c r="DW20" s="7">
        <v>6.9060203958039607E-2</v>
      </c>
      <c r="DX20" s="7">
        <v>-0.15386632960631469</v>
      </c>
      <c r="DY20" s="7">
        <v>5.3618609351648763E-2</v>
      </c>
      <c r="DZ20" s="7">
        <v>-8.4474578309692155E-2</v>
      </c>
      <c r="EA20" s="7">
        <v>1.4917025427623789E-2</v>
      </c>
      <c r="EB20" s="7">
        <v>3.9067633350965261E-2</v>
      </c>
      <c r="EC20" s="7">
        <v>3.4049581413941779E-2</v>
      </c>
      <c r="ED20" s="7">
        <v>-0.17691886106701021</v>
      </c>
      <c r="EE20" s="7">
        <v>2.3672309273819309E-3</v>
      </c>
      <c r="EF20" s="8">
        <v>2.0281416615907238E-2</v>
      </c>
    </row>
    <row r="21" spans="1:136" x14ac:dyDescent="0.3">
      <c r="A21" s="1">
        <v>241</v>
      </c>
      <c r="B21" s="1">
        <v>4</v>
      </c>
      <c r="C21" s="7">
        <v>-0.19764916434148611</v>
      </c>
      <c r="D21" s="7">
        <v>-3.6770939515919088E-4</v>
      </c>
      <c r="E21" s="7">
        <v>-2.7935227079184388E-4</v>
      </c>
      <c r="F21" s="7">
        <v>-5.1097483846408213E-2</v>
      </c>
      <c r="G21" s="7">
        <v>-7.2961380278514509E-3</v>
      </c>
      <c r="H21" s="7">
        <v>0.1986680609797658</v>
      </c>
      <c r="I21" s="7">
        <v>0.14725560812747299</v>
      </c>
      <c r="J21" s="7">
        <v>6.0435325691642318E-2</v>
      </c>
      <c r="K21" s="7">
        <v>-8.8973017354022049E-2</v>
      </c>
      <c r="L21" s="7">
        <v>0.1096796074542299</v>
      </c>
      <c r="M21" s="7">
        <v>7.5660649926760526E-2</v>
      </c>
      <c r="N21" s="7">
        <v>9.9587412122941574E-2</v>
      </c>
      <c r="O21" s="7">
        <v>0.1297824585303535</v>
      </c>
      <c r="P21" s="7">
        <v>-0.14477260088968491</v>
      </c>
      <c r="Q21" s="7">
        <v>-0.25731007409425227</v>
      </c>
      <c r="R21" s="7">
        <v>-9.5575311106630215E-2</v>
      </c>
      <c r="S21" s="7">
        <v>-0.12859028544995699</v>
      </c>
      <c r="T21" s="7">
        <v>-1.4040364340204919E-2</v>
      </c>
      <c r="U21" s="7">
        <v>-8.6278417611758002E-2</v>
      </c>
      <c r="V21" s="7">
        <v>5.3557619366031213E-2</v>
      </c>
      <c r="W21" s="7">
        <v>0.15778847961546261</v>
      </c>
      <c r="X21" s="7">
        <v>0.19733717858364669</v>
      </c>
      <c r="Y21" s="7">
        <v>2.0833082892434851E-2</v>
      </c>
      <c r="Z21" s="7">
        <v>0.1142039872227245</v>
      </c>
      <c r="AA21" s="7">
        <v>1.9491043540093941E-2</v>
      </c>
      <c r="AB21" s="7">
        <v>0.1298395823970698</v>
      </c>
      <c r="AC21" s="7">
        <v>7.43011297920224E-2</v>
      </c>
      <c r="AD21" s="7">
        <v>4.6697424552745621E-2</v>
      </c>
      <c r="AE21" s="7">
        <v>-0.24045611049318669</v>
      </c>
      <c r="AF21" s="7">
        <v>5.3125609886562987E-2</v>
      </c>
      <c r="AG21" s="7">
        <v>4.4302777789794079E-2</v>
      </c>
      <c r="AH21" s="7">
        <v>-0.10758136256479831</v>
      </c>
      <c r="AI21" s="7">
        <v>0.10212367551148389</v>
      </c>
      <c r="AJ21" s="7">
        <v>5.1859256457010838E-3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-7.1032181648085849E-2</v>
      </c>
      <c r="BB21" s="7">
        <v>0.2253461350383382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0.15512000392109981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-6.0517603302398457E-2</v>
      </c>
      <c r="CB21" s="7">
        <v>-6.3421391198258154E-2</v>
      </c>
      <c r="CC21" s="7">
        <v>-4.6693549468963022E-2</v>
      </c>
      <c r="CD21" s="7">
        <v>0.28805606436247322</v>
      </c>
      <c r="CE21" s="7">
        <v>-0.39507594246504552</v>
      </c>
      <c r="CF21" s="7">
        <v>0.13126567680107229</v>
      </c>
      <c r="CG21" s="7">
        <v>-0.14375118915768581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3.2880917250907721E-3</v>
      </c>
      <c r="CR21" s="7">
        <v>9.0824277979679707E-2</v>
      </c>
      <c r="CS21" s="7">
        <v>6.9646396146771747E-2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-5.1624433676154581E-2</v>
      </c>
      <c r="DC21" s="7">
        <v>-4.5047559223290658E-2</v>
      </c>
      <c r="DD21" s="7">
        <v>0.121322688868649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-3.7911313190560098E-2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-0.1547411860293357</v>
      </c>
      <c r="DR21" s="7">
        <v>5.0170859037080733E-2</v>
      </c>
      <c r="DS21" s="7">
        <v>-0.20083947383729561</v>
      </c>
      <c r="DT21" s="7">
        <v>-0.17057080268546079</v>
      </c>
      <c r="DU21" s="7">
        <v>-2.8090293996378659E-2</v>
      </c>
      <c r="DV21" s="7">
        <v>0.140275976869878</v>
      </c>
      <c r="DW21" s="7">
        <v>0.12824786866412111</v>
      </c>
      <c r="DX21" s="7">
        <v>-0.18596621403118341</v>
      </c>
      <c r="DY21" s="7">
        <v>2.459599553801604E-2</v>
      </c>
      <c r="DZ21" s="7">
        <v>-5.2844066560288887E-2</v>
      </c>
      <c r="EA21" s="7">
        <v>-2.4865522448428139E-2</v>
      </c>
      <c r="EB21" s="7">
        <v>8.4081461705858979E-3</v>
      </c>
      <c r="EC21" s="7">
        <v>1.403705509804205E-2</v>
      </c>
      <c r="ED21" s="7">
        <v>-5.4498856348180663E-2</v>
      </c>
      <c r="EE21" s="7">
        <v>1.4428852108417999E-2</v>
      </c>
      <c r="EF21" s="8">
        <v>-1.8771264042119089E-2</v>
      </c>
    </row>
    <row r="22" spans="1:136" x14ac:dyDescent="0.3">
      <c r="A22" s="1">
        <v>321</v>
      </c>
      <c r="B22" s="1">
        <v>3</v>
      </c>
      <c r="C22" s="7">
        <v>6.4235717628454689E-2</v>
      </c>
      <c r="D22" s="7">
        <v>-4.4680896903486519E-2</v>
      </c>
      <c r="E22" s="7">
        <v>-4.1027532000619052E-2</v>
      </c>
      <c r="F22" s="7">
        <v>-9.7433995578986451E-2</v>
      </c>
      <c r="G22" s="7">
        <v>-3.2954824249798613E-2</v>
      </c>
      <c r="H22" s="7">
        <v>0.17874946348762291</v>
      </c>
      <c r="I22" s="7">
        <v>0.12349316933806979</v>
      </c>
      <c r="J22" s="7">
        <v>5.2598589265342909E-2</v>
      </c>
      <c r="K22" s="7">
        <v>-0.1532867706545093</v>
      </c>
      <c r="L22" s="7">
        <v>0.17118335942590121</v>
      </c>
      <c r="M22" s="7">
        <v>-0.22515860506358171</v>
      </c>
      <c r="N22" s="7">
        <v>0.1332804190232465</v>
      </c>
      <c r="O22" s="7">
        <v>0.1434803460042724</v>
      </c>
      <c r="P22" s="7">
        <v>-7.2782884128816977E-2</v>
      </c>
      <c r="Q22" s="7">
        <v>-0.27677689383305182</v>
      </c>
      <c r="R22" s="7">
        <v>-3.6628434271588052E-2</v>
      </c>
      <c r="S22" s="7">
        <v>-0.16964655555794059</v>
      </c>
      <c r="T22" s="7">
        <v>-2.023861247683403E-2</v>
      </c>
      <c r="U22" s="7">
        <v>-0.11059002340250421</v>
      </c>
      <c r="V22" s="7">
        <v>3.8286776519855507E-2</v>
      </c>
      <c r="W22" s="7">
        <v>0.20748026702429739</v>
      </c>
      <c r="X22" s="7">
        <v>0.214900047729565</v>
      </c>
      <c r="Y22" s="7">
        <v>1.5732208413521059E-2</v>
      </c>
      <c r="Z22" s="7">
        <v>7.5548269145846045E-2</v>
      </c>
      <c r="AA22" s="7">
        <v>7.0480168868567589E-3</v>
      </c>
      <c r="AB22" s="7">
        <v>0.13443621271332551</v>
      </c>
      <c r="AC22" s="7">
        <v>7.4420380840427389E-2</v>
      </c>
      <c r="AD22" s="7">
        <v>1.2467302670572489E-2</v>
      </c>
      <c r="AE22" s="7">
        <v>-0.22862111160637419</v>
      </c>
      <c r="AF22" s="7">
        <v>4.718231615802413E-2</v>
      </c>
      <c r="AG22" s="7">
        <v>5.2841540175733892E-2</v>
      </c>
      <c r="AH22" s="7">
        <v>-0.10586595942047269</v>
      </c>
      <c r="AI22" s="7">
        <v>0.11100371122694901</v>
      </c>
      <c r="AJ22" s="7">
        <v>1.3081541637357001E-2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-4.5598425167461952E-2</v>
      </c>
      <c r="BB22" s="7">
        <v>0.30192994454042299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0.19179703945604709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-2.749007848032349E-2</v>
      </c>
      <c r="CB22" s="7">
        <v>-0.14899327824592659</v>
      </c>
      <c r="CC22" s="7">
        <v>-1.498570343815637E-2</v>
      </c>
      <c r="CD22" s="7">
        <v>0.33387803671272293</v>
      </c>
      <c r="CE22" s="7">
        <v>-0.39338733910427809</v>
      </c>
      <c r="CF22" s="7">
        <v>0.18879978576027739</v>
      </c>
      <c r="CG22" s="7">
        <v>-0.20326309220258709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-1.233377932566462E-2</v>
      </c>
      <c r="CR22" s="7">
        <v>0.16185042130139199</v>
      </c>
      <c r="CS22" s="7">
        <v>-1.5202183521422779E-2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-5.8383506828492103E-2</v>
      </c>
      <c r="DC22" s="7">
        <v>-2.0724784444157599E-2</v>
      </c>
      <c r="DD22" s="7">
        <v>0.1478941025728035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-5.0246005833095859E-2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-0.13103100381943991</v>
      </c>
      <c r="DR22" s="7">
        <v>-6.0925526153180337E-3</v>
      </c>
      <c r="DS22" s="7">
        <v>-0.19705092156235929</v>
      </c>
      <c r="DT22" s="7">
        <v>-5.8357008996765318E-2</v>
      </c>
      <c r="DU22" s="7">
        <v>-5.7495390836838987E-2</v>
      </c>
      <c r="DV22" s="7">
        <v>0.12570511767817799</v>
      </c>
      <c r="DW22" s="7">
        <v>7.838972370699715E-2</v>
      </c>
      <c r="DX22" s="7">
        <v>-0.22244260844829469</v>
      </c>
      <c r="DY22" s="7">
        <v>-8.1471166255399959E-3</v>
      </c>
      <c r="DZ22" s="7">
        <v>-0.10374798094555759</v>
      </c>
      <c r="EA22" s="7">
        <v>-7.0548648839358755E-2</v>
      </c>
      <c r="EB22" s="7">
        <v>-8.0596727535317977E-2</v>
      </c>
      <c r="EC22" s="7">
        <v>2.1495101575638179E-2</v>
      </c>
      <c r="ED22" s="7">
        <v>-7.7413567057607463E-2</v>
      </c>
      <c r="EE22" s="7">
        <v>3.344630381221339E-2</v>
      </c>
      <c r="EF22" s="8">
        <v>-3.4790246372172352E-2</v>
      </c>
    </row>
    <row r="23" spans="1:136" x14ac:dyDescent="0.3">
      <c r="A23" s="1">
        <v>482</v>
      </c>
      <c r="B23" s="1">
        <v>2</v>
      </c>
      <c r="C23" s="7">
        <v>-3.4987009286289193E-2</v>
      </c>
      <c r="D23" s="7">
        <v>-2.981066768542209E-2</v>
      </c>
      <c r="E23" s="7">
        <v>-8.094117257067221E-2</v>
      </c>
      <c r="F23" s="7">
        <v>-0.14166490905190171</v>
      </c>
      <c r="G23" s="7">
        <v>-5.2224173846498377E-2</v>
      </c>
      <c r="H23" s="7">
        <v>0.2037183078789751</v>
      </c>
      <c r="I23" s="7">
        <v>0.148152028600294</v>
      </c>
      <c r="J23" s="7">
        <v>-9.8162291146452377E-2</v>
      </c>
      <c r="K23" s="7">
        <v>-0.20448947647223359</v>
      </c>
      <c r="L23" s="7">
        <v>5.4043529775598627E-2</v>
      </c>
      <c r="M23" s="7">
        <v>-0.26256934704734031</v>
      </c>
      <c r="N23" s="7">
        <v>0.15641923763601279</v>
      </c>
      <c r="O23" s="7">
        <v>0.20456437797300209</v>
      </c>
      <c r="P23" s="7">
        <v>-9.040171118212538E-2</v>
      </c>
      <c r="Q23" s="7">
        <v>5.95680169005205E-2</v>
      </c>
      <c r="R23" s="7">
        <v>-5.6211143313255052E-2</v>
      </c>
      <c r="S23" s="7">
        <v>-0.1137245328272621</v>
      </c>
      <c r="T23" s="7">
        <v>-3.733692084787466E-4</v>
      </c>
      <c r="U23" s="7">
        <v>-9.3757422440794366E-2</v>
      </c>
      <c r="V23" s="7">
        <v>-2.302945710979112E-2</v>
      </c>
      <c r="W23" s="7">
        <v>0.33161915024914451</v>
      </c>
      <c r="X23" s="7">
        <v>0.26408569496329731</v>
      </c>
      <c r="Y23" s="7">
        <v>1.4659801530490259E-2</v>
      </c>
      <c r="Z23" s="7">
        <v>3.3032515443875303E-2</v>
      </c>
      <c r="AA23" s="7">
        <v>6.6062919694702682E-3</v>
      </c>
      <c r="AB23" s="7">
        <v>6.4039779876783498E-2</v>
      </c>
      <c r="AC23" s="7">
        <v>7.6346338146838E-2</v>
      </c>
      <c r="AD23" s="7">
        <v>1.5010900357047399E-2</v>
      </c>
      <c r="AE23" s="7">
        <v>-0.33234424861252548</v>
      </c>
      <c r="AF23" s="7">
        <v>6.6906260089751285E-2</v>
      </c>
      <c r="AG23" s="7">
        <v>9.1873657646360199E-2</v>
      </c>
      <c r="AH23" s="7">
        <v>-8.417158452318324E-2</v>
      </c>
      <c r="AI23" s="7">
        <v>0.2091515986202637</v>
      </c>
      <c r="AJ23" s="7">
        <v>2.3587440294024171E-2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9.6467800801007808E-3</v>
      </c>
      <c r="BB23" s="7">
        <v>-5.1049484102885123E-2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0.18918068678715391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-7.5653199746629096E-2</v>
      </c>
      <c r="CB23" s="7">
        <v>-0.21761420299243989</v>
      </c>
      <c r="CC23" s="7">
        <v>0.2249586274956801</v>
      </c>
      <c r="CD23" s="7">
        <v>0.19167645501478511</v>
      </c>
      <c r="CE23" s="7">
        <v>-0.1166246067964614</v>
      </c>
      <c r="CF23" s="7">
        <v>0.15713490979116501</v>
      </c>
      <c r="CG23" s="7">
        <v>-0.3932437879236767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-9.1837444998058917E-3</v>
      </c>
      <c r="CR23" s="7">
        <v>1.159780382107861E-2</v>
      </c>
      <c r="CS23" s="7">
        <v>-3.697421899127859E-2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-1.5955156866996431E-2</v>
      </c>
      <c r="DC23" s="7">
        <v>0.1191904860704142</v>
      </c>
      <c r="DD23" s="7">
        <v>0.21341104440699671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-8.7058008172347823E-2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-0.17021099650353791</v>
      </c>
      <c r="DR23" s="7">
        <v>-8.9886002731306744E-2</v>
      </c>
      <c r="DS23" s="7">
        <v>-0.28809657691904628</v>
      </c>
      <c r="DT23" s="7">
        <v>-0.12395522319619889</v>
      </c>
      <c r="DU23" s="7">
        <v>3.4287185254997438E-2</v>
      </c>
      <c r="DV23" s="7">
        <v>0.27627160832943959</v>
      </c>
      <c r="DW23" s="7">
        <v>0.14122823258283859</v>
      </c>
      <c r="DX23" s="7">
        <v>-0.31349320637896622</v>
      </c>
      <c r="DY23" s="7">
        <v>0.16987682865225409</v>
      </c>
      <c r="DZ23" s="7">
        <v>-0.10287301862651251</v>
      </c>
      <c r="EA23" s="7">
        <v>-2.3448907613119421E-2</v>
      </c>
      <c r="EB23" s="7">
        <v>-6.2753439710675096E-2</v>
      </c>
      <c r="EC23" s="7">
        <v>-3.6584316325813361E-2</v>
      </c>
      <c r="ED23" s="7">
        <v>-9.1425904619781034E-2</v>
      </c>
      <c r="EE23" s="7">
        <v>5.9050683888240307E-2</v>
      </c>
      <c r="EF23" s="8">
        <v>-4.7782278591659677E-2</v>
      </c>
    </row>
    <row r="24" spans="1:136" x14ac:dyDescent="0.3">
      <c r="A24" s="1">
        <v>964</v>
      </c>
      <c r="B24" s="1">
        <v>1</v>
      </c>
      <c r="C24" s="7">
        <v>0.162993136931085</v>
      </c>
      <c r="D24" s="7">
        <v>-0.1040490099724129</v>
      </c>
      <c r="E24" s="7">
        <v>7.1400330169296908E-2</v>
      </c>
      <c r="F24" s="7">
        <v>-0.22715954663674881</v>
      </c>
      <c r="G24" s="7">
        <v>0.2257600230575724</v>
      </c>
      <c r="H24" s="7">
        <v>0.2466867284905698</v>
      </c>
      <c r="I24" s="7">
        <v>-2.111933203143501E-3</v>
      </c>
      <c r="J24" s="7">
        <v>-9.9972192910136135E-2</v>
      </c>
      <c r="K24" s="7">
        <v>-2.1515278354960109E-2</v>
      </c>
      <c r="L24" s="7">
        <v>9.5623250508682117E-2</v>
      </c>
      <c r="M24" s="7">
        <v>-0.46302754420013847</v>
      </c>
      <c r="N24" s="7">
        <v>0.14413045240043321</v>
      </c>
      <c r="O24" s="7">
        <v>0.235309193405423</v>
      </c>
      <c r="P24" s="7">
        <v>-0.1042484144089995</v>
      </c>
      <c r="Q24" s="7">
        <v>6.096496164670627E-2</v>
      </c>
      <c r="R24" s="7">
        <v>-0.24569737077925971</v>
      </c>
      <c r="S24" s="7">
        <v>-0.35251446106016437</v>
      </c>
      <c r="T24" s="7">
        <v>0.1236910440917892</v>
      </c>
      <c r="U24" s="7">
        <v>-0.14851867422391801</v>
      </c>
      <c r="V24" s="7">
        <v>-6.7139302837628506E-2</v>
      </c>
      <c r="W24" s="7">
        <v>0.49571198595594262</v>
      </c>
      <c r="X24" s="7">
        <v>0.1180224325060039</v>
      </c>
      <c r="Y24" s="7">
        <v>9.4770149264170878E-3</v>
      </c>
      <c r="Z24" s="7">
        <v>0.10584232727880701</v>
      </c>
      <c r="AA24" s="7">
        <v>1.354776823757727E-2</v>
      </c>
      <c r="AB24" s="7">
        <v>0.1953396226752438</v>
      </c>
      <c r="AC24" s="7">
        <v>0.125380380775965</v>
      </c>
      <c r="AD24" s="7">
        <v>7.8218388926296623E-3</v>
      </c>
      <c r="AE24" s="7">
        <v>-0.54125812124628125</v>
      </c>
      <c r="AF24" s="7">
        <v>2.2522010034790499E-2</v>
      </c>
      <c r="AG24" s="7">
        <v>0.13873571762663761</v>
      </c>
      <c r="AH24" s="7">
        <v>-5.6697360067789589E-2</v>
      </c>
      <c r="AI24" s="7">
        <v>0.31041423522934231</v>
      </c>
      <c r="AJ24" s="7">
        <v>8.5435201790864113E-2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-5.3794732084633153E-2</v>
      </c>
      <c r="BB24" s="7">
        <v>-8.6159033395334803E-2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1.1473019117737151E-2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-0.1152216807734147</v>
      </c>
      <c r="CB24" s="7">
        <v>0.20876197428786911</v>
      </c>
      <c r="CC24" s="7">
        <v>0.43985451226693362</v>
      </c>
      <c r="CD24" s="7">
        <v>0.14430631074219491</v>
      </c>
      <c r="CE24" s="7">
        <v>-0.21012143523608839</v>
      </c>
      <c r="CF24" s="7">
        <v>0.2217213622453883</v>
      </c>
      <c r="CG24" s="7">
        <v>-0.32381797901906062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0.1146871738632968</v>
      </c>
      <c r="CR24" s="7">
        <v>6.1084838239556717E-2</v>
      </c>
      <c r="CS24" s="7">
        <v>-8.5895232746805786E-2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-0.19546067251265431</v>
      </c>
      <c r="DC24" s="7">
        <v>0.19117575817053481</v>
      </c>
      <c r="DD24" s="7">
        <v>0.15338138073910601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-0.13248861050923971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-0.13297735123596999</v>
      </c>
      <c r="DR24" s="7">
        <v>-2.0515630212029241E-2</v>
      </c>
      <c r="DS24" s="7">
        <v>-0.21626154103284559</v>
      </c>
      <c r="DT24" s="7">
        <v>-3.8362866170129663E-2</v>
      </c>
      <c r="DU24" s="7">
        <v>-4.7638587273757492E-2</v>
      </c>
      <c r="DV24" s="7">
        <v>0.1582246986438143</v>
      </c>
      <c r="DW24" s="7">
        <v>0.10885708989133031</v>
      </c>
      <c r="DX24" s="7">
        <v>-0.31159312779250392</v>
      </c>
      <c r="DY24" s="7">
        <v>0.34380428679820851</v>
      </c>
      <c r="DZ24" s="7">
        <v>-5.0469182403116652E-2</v>
      </c>
      <c r="EA24" s="7">
        <v>7.7350922227335792E-2</v>
      </c>
      <c r="EB24" s="7">
        <v>-2.9582176365294029E-2</v>
      </c>
      <c r="EC24" s="7">
        <v>-1.4309918770678909E-2</v>
      </c>
      <c r="ED24" s="7">
        <v>-5.6172845298362112E-2</v>
      </c>
      <c r="EE24" s="7">
        <v>0.1134294391912188</v>
      </c>
      <c r="EF24" s="8">
        <v>6.7276677043968364E-2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5"/>
  <sheetViews>
    <sheetView workbookViewId="0"/>
  </sheetViews>
  <sheetFormatPr defaultRowHeight="15" x14ac:dyDescent="0.3"/>
  <cols>
    <col min="137" max="139" width="10" bestFit="1" customWidth="1"/>
  </cols>
  <sheetData>
    <row r="1" spans="1:139" x14ac:dyDescent="0.3">
      <c r="A1" t="str">
        <f>預測IC!A1</f>
        <v>NN5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9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9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9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9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9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EG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9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9" x14ac:dyDescent="0.3">
      <c r="A10" s="19" t="s">
        <v>141</v>
      </c>
      <c r="B10" s="20"/>
      <c r="C10" s="1" t="s">
        <v>142</v>
      </c>
      <c r="D10" s="2">
        <v>964</v>
      </c>
    </row>
    <row r="11" spans="1:139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s="17" t="s">
        <v>147</v>
      </c>
      <c r="EH11" s="17" t="s">
        <v>148</v>
      </c>
      <c r="EI11" s="17" t="s">
        <v>149</v>
      </c>
    </row>
    <row r="12" spans="1:139" x14ac:dyDescent="0.3">
      <c r="A12" s="1">
        <v>10</v>
      </c>
      <c r="B12" s="1">
        <v>96</v>
      </c>
      <c r="C12" s="7">
        <v>8.4653346747999555E-2</v>
      </c>
      <c r="D12" s="7">
        <v>0.11468862904522351</v>
      </c>
      <c r="E12" s="7">
        <v>4.802682338720253E-2</v>
      </c>
      <c r="F12" s="7">
        <v>1.342110438955847E-2</v>
      </c>
      <c r="G12" s="7">
        <v>1.172466777602472E-2</v>
      </c>
      <c r="H12" s="7">
        <v>3.8530512249887933E-2</v>
      </c>
      <c r="I12" s="7">
        <v>1.2809788693165489E-2</v>
      </c>
      <c r="J12" s="7">
        <v>-2.9408122838989852E-2</v>
      </c>
      <c r="K12" s="7">
        <v>1.8774380137331209E-2</v>
      </c>
      <c r="L12" s="7">
        <v>-4.1890941049973679E-2</v>
      </c>
      <c r="M12" s="7">
        <v>-1.555180420016113E-2</v>
      </c>
      <c r="N12" s="7">
        <v>6.9326986778352848E-2</v>
      </c>
      <c r="O12" s="7">
        <v>1.7240739055052579E-2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-4.3243488819513169E-2</v>
      </c>
      <c r="U12" s="7">
        <v>-1.6178598882878859E-2</v>
      </c>
      <c r="V12" s="7">
        <v>6.2044700693444643E-3</v>
      </c>
      <c r="W12" s="7">
        <v>2.227844197331175E-2</v>
      </c>
      <c r="X12" s="7">
        <v>2.7073890424547119E-2</v>
      </c>
      <c r="Y12" s="7">
        <v>1.544036841356077E-2</v>
      </c>
      <c r="Z12" s="7">
        <v>5.1659076098035236E-3</v>
      </c>
      <c r="AA12" s="7">
        <v>-1.1512545712225739E-2</v>
      </c>
      <c r="AB12" s="7">
        <v>-1.073332960413877E-2</v>
      </c>
      <c r="AC12" s="7">
        <v>5.1673797604565516E-3</v>
      </c>
      <c r="AD12" s="7">
        <v>2.5304298312235208E-3</v>
      </c>
      <c r="AE12" s="7">
        <v>-5.8316963071098869E-2</v>
      </c>
      <c r="AF12" s="7">
        <v>2.0432151303864929E-2</v>
      </c>
      <c r="AG12" s="7">
        <v>1.207912796320139E-2</v>
      </c>
      <c r="AH12" s="7">
        <v>1.3405804649633229E-2</v>
      </c>
      <c r="AI12" s="7">
        <v>1.9506051180185949E-2</v>
      </c>
      <c r="AJ12" s="7">
        <v>1.298374754605458E-2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7.1276156280934935E-2</v>
      </c>
      <c r="BB12" s="7">
        <v>5.7853949142751861E-3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-5.030568452332447E-2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-3.4400287440342493E-2</v>
      </c>
      <c r="CB12" s="7">
        <v>1.943242131762835E-3</v>
      </c>
      <c r="CC12" s="7">
        <v>6.5566612627689883E-2</v>
      </c>
      <c r="CD12" s="7">
        <v>4.4258488563941309E-2</v>
      </c>
      <c r="CE12" s="7">
        <v>0.15400701288974189</v>
      </c>
      <c r="CF12" s="7">
        <v>4.0778952837748463E-3</v>
      </c>
      <c r="CG12" s="7">
        <v>3.0864849735211247E-4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-6.2684347003574781E-2</v>
      </c>
      <c r="CR12" s="7">
        <v>4.814662528730166E-2</v>
      </c>
      <c r="CS12" s="7">
        <v>-1.450965043846953E-2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8.8981816498044985E-2</v>
      </c>
      <c r="DC12" s="7">
        <v>1.1472973291489949E-2</v>
      </c>
      <c r="DD12" s="7">
        <v>-3.9091997331507103E-2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1.511820812609203E-2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-3.3862120353048523E-2</v>
      </c>
      <c r="DR12" s="7">
        <v>1.8778943279386909E-2</v>
      </c>
      <c r="DS12" s="7">
        <v>-3.5726155451697807E-2</v>
      </c>
      <c r="DT12" s="7">
        <v>2.5117616030836221E-2</v>
      </c>
      <c r="DU12" s="7">
        <v>-5.7230283144308662E-2</v>
      </c>
      <c r="DV12" s="7">
        <v>4.8550824477530688E-2</v>
      </c>
      <c r="DW12" s="7">
        <v>4.3725564220037427E-2</v>
      </c>
      <c r="DX12" s="7">
        <v>-5.0152080542361532E-2</v>
      </c>
      <c r="DY12" s="7">
        <v>5.3145310887610077E-2</v>
      </c>
      <c r="DZ12" s="7">
        <v>6.2271493484882473E-3</v>
      </c>
      <c r="EA12" s="7">
        <v>5.1097632537531287E-2</v>
      </c>
      <c r="EB12" s="7">
        <v>2.8283267748527709E-3</v>
      </c>
      <c r="EC12" s="7">
        <v>-9.8063813353844453E-3</v>
      </c>
      <c r="ED12" s="7">
        <v>-6.050815280848415E-2</v>
      </c>
      <c r="EE12" s="7">
        <v>1.1917096272487391E-2</v>
      </c>
      <c r="EF12" s="8">
        <v>3.9233348038795662E-2</v>
      </c>
      <c r="EG12" s="18">
        <f t="shared" ref="EG12:EG25" si="10">AVERAGE(C12:EF12)</f>
        <v>1.2224182543275309E-2</v>
      </c>
      <c r="EH12" s="18">
        <f t="shared" ref="EH12:EH25" si="11">STDEV(C12:EF12)</f>
        <v>3.6326969517111174E-2</v>
      </c>
      <c r="EI12" s="18">
        <f t="shared" ref="EI12:EI25" si="12">EG12/EH12</f>
        <v>0.33650433013734671</v>
      </c>
    </row>
    <row r="13" spans="1:139" x14ac:dyDescent="0.3">
      <c r="A13" s="1">
        <v>20</v>
      </c>
      <c r="B13" s="1">
        <v>48</v>
      </c>
      <c r="C13" s="7">
        <v>0.104112750252762</v>
      </c>
      <c r="D13" s="7">
        <v>0.1237450287927723</v>
      </c>
      <c r="E13" s="7">
        <v>6.9861556352806456E-2</v>
      </c>
      <c r="F13" s="7">
        <v>-1.14552398753768E-2</v>
      </c>
      <c r="G13" s="7">
        <v>1.574442605445054E-2</v>
      </c>
      <c r="H13" s="7">
        <v>2.9989631725721271E-2</v>
      </c>
      <c r="I13" s="7">
        <v>2.9130594923697638E-2</v>
      </c>
      <c r="J13" s="7">
        <v>-4.3899227077412117E-2</v>
      </c>
      <c r="K13" s="7">
        <v>-1.3673068264474649E-3</v>
      </c>
      <c r="L13" s="7">
        <v>-6.0251612936536372E-3</v>
      </c>
      <c r="M13" s="7">
        <v>7.7086562624922028E-3</v>
      </c>
      <c r="N13" s="7">
        <v>9.9806916956670585E-2</v>
      </c>
      <c r="O13" s="7">
        <v>3.9789291626632438E-2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-5.2899802908693339E-2</v>
      </c>
      <c r="U13" s="7">
        <v>1.5970162331858111E-3</v>
      </c>
      <c r="V13" s="7">
        <v>-2.009432801387449E-2</v>
      </c>
      <c r="W13" s="7">
        <v>3.1103087884369891E-2</v>
      </c>
      <c r="X13" s="7">
        <v>5.327689472594363E-2</v>
      </c>
      <c r="Y13" s="7">
        <v>1.392099255764867E-2</v>
      </c>
      <c r="Z13" s="7">
        <v>2.0583761169128259E-2</v>
      </c>
      <c r="AA13" s="7">
        <v>-1.6440619450324361E-2</v>
      </c>
      <c r="AB13" s="7">
        <v>-1.5001573328978489E-2</v>
      </c>
      <c r="AC13" s="7">
        <v>8.0314397959504041E-3</v>
      </c>
      <c r="AD13" s="7">
        <v>2.0440228373792429E-2</v>
      </c>
      <c r="AE13" s="7">
        <v>-6.5719382027610476E-2</v>
      </c>
      <c r="AF13" s="7">
        <v>3.1940463834301228E-2</v>
      </c>
      <c r="AG13" s="7">
        <v>3.282310180952513E-3</v>
      </c>
      <c r="AH13" s="7">
        <v>9.6413392395163916E-3</v>
      </c>
      <c r="AI13" s="7">
        <v>1.20675500740728E-2</v>
      </c>
      <c r="AJ13" s="7">
        <v>-1.628046998827572E-2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7.9829120343788335E-2</v>
      </c>
      <c r="BB13" s="7">
        <v>2.6046345532896049E-2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-5.3371768695190711E-2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-3.3531565600396843E-2</v>
      </c>
      <c r="CB13" s="7">
        <v>-6.5958267252201053E-3</v>
      </c>
      <c r="CC13" s="7">
        <v>0.12011817373823321</v>
      </c>
      <c r="CD13" s="7">
        <v>5.52560480214307E-2</v>
      </c>
      <c r="CE13" s="7">
        <v>0.18382783645560871</v>
      </c>
      <c r="CF13" s="7">
        <v>1.8228940836627482E-2</v>
      </c>
      <c r="CG13" s="7">
        <v>7.5602686763741878E-3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-7.1178864968403879E-2</v>
      </c>
      <c r="CR13" s="7">
        <v>6.4380648737412241E-2</v>
      </c>
      <c r="CS13" s="7">
        <v>3.947650662960555E-3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0.1062353213029536</v>
      </c>
      <c r="DC13" s="7">
        <v>2.354099866843842E-2</v>
      </c>
      <c r="DD13" s="7">
        <v>-5.1406653602818438E-2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5.9835846368128413E-3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-3.3966462251962683E-2</v>
      </c>
      <c r="DR13" s="7">
        <v>1.377120927231194E-2</v>
      </c>
      <c r="DS13" s="7">
        <v>-3.8887627839669842E-2</v>
      </c>
      <c r="DT13" s="7">
        <v>5.0831259890505333E-2</v>
      </c>
      <c r="DU13" s="7">
        <v>-3.3006159442618463E-2</v>
      </c>
      <c r="DV13" s="7">
        <v>7.9620144024188558E-2</v>
      </c>
      <c r="DW13" s="7">
        <v>4.4417789624350307E-2</v>
      </c>
      <c r="DX13" s="7">
        <v>-6.4523379578496173E-2</v>
      </c>
      <c r="DY13" s="7">
        <v>5.6981339047558921E-2</v>
      </c>
      <c r="DZ13" s="7">
        <v>1.8302124146301689E-2</v>
      </c>
      <c r="EA13" s="7">
        <v>6.2118677176029868E-2</v>
      </c>
      <c r="EB13" s="7">
        <v>2.1373218199386389E-2</v>
      </c>
      <c r="EC13" s="7">
        <v>-1.877600359538225E-2</v>
      </c>
      <c r="ED13" s="7">
        <v>-6.5682093659234955E-2</v>
      </c>
      <c r="EE13" s="7">
        <v>7.9525935749644935E-3</v>
      </c>
      <c r="EF13" s="8">
        <v>6.6577215363556236E-2</v>
      </c>
      <c r="EG13" s="18">
        <f t="shared" si="10"/>
        <v>1.7978749465763721E-2</v>
      </c>
      <c r="EH13" s="18">
        <f t="shared" si="11"/>
        <v>4.2571185334091759E-2</v>
      </c>
      <c r="EI13" s="18">
        <f t="shared" si="12"/>
        <v>0.42232203131459489</v>
      </c>
    </row>
    <row r="14" spans="1:139" x14ac:dyDescent="0.3">
      <c r="A14" s="1">
        <v>50</v>
      </c>
      <c r="B14" s="1">
        <v>19</v>
      </c>
      <c r="C14" s="7">
        <v>0.1199414897527061</v>
      </c>
      <c r="D14" s="7">
        <v>0.22230844854062601</v>
      </c>
      <c r="E14" s="7">
        <v>9.8768248142222112E-2</v>
      </c>
      <c r="F14" s="7">
        <v>3.454246416569963E-2</v>
      </c>
      <c r="G14" s="7">
        <v>8.5148761783734067E-2</v>
      </c>
      <c r="H14" s="7">
        <v>5.9587806435440108E-2</v>
      </c>
      <c r="I14" s="7">
        <v>7.7114962431364939E-2</v>
      </c>
      <c r="J14" s="7">
        <v>-0.1050943867827082</v>
      </c>
      <c r="K14" s="7">
        <v>1.245116151579238E-2</v>
      </c>
      <c r="L14" s="7">
        <v>-8.4804475655485129E-3</v>
      </c>
      <c r="M14" s="7">
        <v>4.9945200667877512E-3</v>
      </c>
      <c r="N14" s="7">
        <v>0.20483257514122591</v>
      </c>
      <c r="O14" s="7">
        <v>3.9642308069534393E-2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-6.9841479520895866E-2</v>
      </c>
      <c r="U14" s="7">
        <v>3.6579129519701881E-2</v>
      </c>
      <c r="V14" s="7">
        <v>-3.837554626450454E-2</v>
      </c>
      <c r="W14" s="7">
        <v>7.4008159388253003E-2</v>
      </c>
      <c r="X14" s="7">
        <v>5.3581708514183243E-2</v>
      </c>
      <c r="Y14" s="7">
        <v>-1.676266335668946E-2</v>
      </c>
      <c r="Z14" s="7">
        <v>2.1252201103450909E-2</v>
      </c>
      <c r="AA14" s="7">
        <v>-2.6273997668139859E-3</v>
      </c>
      <c r="AB14" s="7">
        <v>-2.7335978605554132E-2</v>
      </c>
      <c r="AC14" s="7">
        <v>-2.929208376556364E-2</v>
      </c>
      <c r="AD14" s="7">
        <v>6.9874591735142114E-2</v>
      </c>
      <c r="AE14" s="7">
        <v>-4.0189068228804886E-3</v>
      </c>
      <c r="AF14" s="7">
        <v>4.0420702542399108E-2</v>
      </c>
      <c r="AG14" s="7">
        <v>6.3902010138930376E-3</v>
      </c>
      <c r="AH14" s="7">
        <v>5.250277930506024E-3</v>
      </c>
      <c r="AI14" s="7">
        <v>7.2072950927120863E-2</v>
      </c>
      <c r="AJ14" s="7">
        <v>1.505903608315101E-2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9.6337325355973988E-2</v>
      </c>
      <c r="BB14" s="7">
        <v>0.101898340258458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-4.6278325003000387E-2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-2.446526611493707E-2</v>
      </c>
      <c r="CB14" s="7">
        <v>2.2127616542174811E-2</v>
      </c>
      <c r="CC14" s="7">
        <v>0.1205961585891825</v>
      </c>
      <c r="CD14" s="7">
        <v>4.7921840912584578E-2</v>
      </c>
      <c r="CE14" s="7">
        <v>0.1705553024885505</v>
      </c>
      <c r="CF14" s="7">
        <v>-2.0310216922519591E-2</v>
      </c>
      <c r="CG14" s="7">
        <v>0.13892667651794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-3.2227899887387702E-2</v>
      </c>
      <c r="CR14" s="7">
        <v>6.2640655376448015E-2</v>
      </c>
      <c r="CS14" s="7">
        <v>-3.8161133435199359E-3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0.1046074411002299</v>
      </c>
      <c r="DC14" s="7">
        <v>1.4753761497027579E-2</v>
      </c>
      <c r="DD14" s="7">
        <v>-5.389996674879375E-2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1.589759181276991E-2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-5.6019285986190409E-2</v>
      </c>
      <c r="DR14" s="7">
        <v>5.2622519458999567E-2</v>
      </c>
      <c r="DS14" s="7">
        <v>-3.5044906270916831E-2</v>
      </c>
      <c r="DT14" s="7">
        <v>0.1176725133317565</v>
      </c>
      <c r="DU14" s="7">
        <v>-6.8795273192164358E-2</v>
      </c>
      <c r="DV14" s="7">
        <v>0.1082623545301073</v>
      </c>
      <c r="DW14" s="7">
        <v>9.8344367017777726E-2</v>
      </c>
      <c r="DX14" s="7">
        <v>-0.1019315055524211</v>
      </c>
      <c r="DY14" s="7">
        <v>7.4258700078750628E-2</v>
      </c>
      <c r="DZ14" s="7">
        <v>3.5030999863780207E-2</v>
      </c>
      <c r="EA14" s="7">
        <v>0.10752548319752379</v>
      </c>
      <c r="EB14" s="7">
        <v>3.317733311259085E-2</v>
      </c>
      <c r="EC14" s="7">
        <v>-1.92914596657494E-2</v>
      </c>
      <c r="ED14" s="7">
        <v>-0.102629709186187</v>
      </c>
      <c r="EE14" s="7">
        <v>1.886715684489253E-2</v>
      </c>
      <c r="EF14" s="8">
        <v>6.9956420498558061E-2</v>
      </c>
      <c r="EG14" s="18">
        <f t="shared" si="10"/>
        <v>2.5218076261435955E-2</v>
      </c>
      <c r="EH14" s="18">
        <f t="shared" si="11"/>
        <v>5.8326888254879465E-2</v>
      </c>
      <c r="EI14" s="18">
        <f t="shared" si="12"/>
        <v>0.43235764869260418</v>
      </c>
    </row>
    <row r="15" spans="1:139" x14ac:dyDescent="0.3">
      <c r="A15" s="1">
        <v>100</v>
      </c>
      <c r="B15" s="1">
        <v>10</v>
      </c>
      <c r="C15" s="7">
        <v>0.22764465877785839</v>
      </c>
      <c r="D15" s="7">
        <v>0.37270921560992559</v>
      </c>
      <c r="E15" s="7">
        <v>6.204568011695779E-2</v>
      </c>
      <c r="F15" s="7">
        <v>9.0303713009756648E-2</v>
      </c>
      <c r="G15" s="7">
        <v>9.6605590550261633E-2</v>
      </c>
      <c r="H15" s="7">
        <v>0.1188437037073593</v>
      </c>
      <c r="I15" s="7">
        <v>0.12672874111951199</v>
      </c>
      <c r="J15" s="7">
        <v>-6.4524690109755506E-2</v>
      </c>
      <c r="K15" s="7">
        <v>-4.2103663853407802E-3</v>
      </c>
      <c r="L15" s="7">
        <v>1.296708496104035E-2</v>
      </c>
      <c r="M15" s="7">
        <v>2.5497709479487259E-2</v>
      </c>
      <c r="N15" s="7">
        <v>0.33030933686480701</v>
      </c>
      <c r="O15" s="7">
        <v>4.6103493253125377E-2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-6.6800124943112091E-2</v>
      </c>
      <c r="U15" s="7">
        <v>4.6790243158631693E-2</v>
      </c>
      <c r="V15" s="7">
        <v>-8.5680881878873433E-2</v>
      </c>
      <c r="W15" s="7">
        <v>0.1025435939827431</v>
      </c>
      <c r="X15" s="7">
        <v>7.8436412445587397E-2</v>
      </c>
      <c r="Y15" s="7">
        <v>-2.41886185471549E-2</v>
      </c>
      <c r="Z15" s="7">
        <v>-2.3656418685670762E-2</v>
      </c>
      <c r="AA15" s="7">
        <v>4.6586123925793019E-2</v>
      </c>
      <c r="AB15" s="7">
        <v>-2.2166400740933071E-2</v>
      </c>
      <c r="AC15" s="7">
        <v>-4.0055129570116199E-2</v>
      </c>
      <c r="AD15" s="7">
        <v>8.171337488818238E-2</v>
      </c>
      <c r="AE15" s="7">
        <v>4.7286476245703507E-2</v>
      </c>
      <c r="AF15" s="7">
        <v>6.5819612497039853E-2</v>
      </c>
      <c r="AG15" s="7">
        <v>-9.7453106019047206E-3</v>
      </c>
      <c r="AH15" s="7">
        <v>-3.3604373357676472E-2</v>
      </c>
      <c r="AI15" s="7">
        <v>8.5430110815606947E-2</v>
      </c>
      <c r="AJ15" s="7">
        <v>9.4648599674757375E-3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0.15768794840833861</v>
      </c>
      <c r="BB15" s="7">
        <v>0.1087890998161227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-4.8219004487744091E-2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-1.859202079644226E-2</v>
      </c>
      <c r="CB15" s="7">
        <v>1.5056894011824499E-2</v>
      </c>
      <c r="CC15" s="7">
        <v>0.17365170572211991</v>
      </c>
      <c r="CD15" s="7">
        <v>8.9094519675820161E-2</v>
      </c>
      <c r="CE15" s="7">
        <v>7.3368120048450503E-2</v>
      </c>
      <c r="CF15" s="7">
        <v>-3.626816930322469E-3</v>
      </c>
      <c r="CG15" s="7">
        <v>0.2257312272651272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2.49633604564388E-2</v>
      </c>
      <c r="CR15" s="7">
        <v>2.4374318697755349E-2</v>
      </c>
      <c r="CS15" s="7">
        <v>1.6910986704255612E-2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9.7048241525465193E-2</v>
      </c>
      <c r="DC15" s="7">
        <v>7.6727024332969171E-2</v>
      </c>
      <c r="DD15" s="7">
        <v>-6.7526409067735202E-2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4.7566622441064077E-2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-7.2938079904142805E-2</v>
      </c>
      <c r="DR15" s="7">
        <v>7.0010566617938433E-2</v>
      </c>
      <c r="DS15" s="7">
        <v>-7.6241908411797149E-2</v>
      </c>
      <c r="DT15" s="7">
        <v>3.4296398911167342E-2</v>
      </c>
      <c r="DU15" s="7">
        <v>-0.1171276535106479</v>
      </c>
      <c r="DV15" s="7">
        <v>0.13976835694087139</v>
      </c>
      <c r="DW15" s="7">
        <v>2.5538627146832551E-2</v>
      </c>
      <c r="DX15" s="7">
        <v>-0.1186162506499864</v>
      </c>
      <c r="DY15" s="7">
        <v>0.14360957438078251</v>
      </c>
      <c r="DZ15" s="7">
        <v>4.0455653304009277E-2</v>
      </c>
      <c r="EA15" s="7">
        <v>0.10917693290987859</v>
      </c>
      <c r="EB15" s="7">
        <v>4.8518573131244913E-2</v>
      </c>
      <c r="EC15" s="7">
        <v>-1.7785518394724049E-2</v>
      </c>
      <c r="ED15" s="7">
        <v>-0.1133570559353114</v>
      </c>
      <c r="EE15" s="7">
        <v>-1.6245414536088298E-2</v>
      </c>
      <c r="EF15" s="8">
        <v>6.5700991138842244E-2</v>
      </c>
      <c r="EG15" s="18">
        <f t="shared" si="10"/>
        <v>3.2002321068482872E-2</v>
      </c>
      <c r="EH15" s="18">
        <f t="shared" si="11"/>
        <v>7.7309795961343686E-2</v>
      </c>
      <c r="EI15" s="18">
        <f t="shared" si="12"/>
        <v>0.41394910787870426</v>
      </c>
    </row>
    <row r="16" spans="1:139" x14ac:dyDescent="0.3">
      <c r="A16" s="1">
        <v>107</v>
      </c>
      <c r="B16" s="1">
        <v>9</v>
      </c>
      <c r="C16" s="7">
        <v>0.20787477708292909</v>
      </c>
      <c r="D16" s="7">
        <v>0.40819497873258059</v>
      </c>
      <c r="E16" s="7">
        <v>6.500657711132822E-2</v>
      </c>
      <c r="F16" s="7">
        <v>0.1242597879076992</v>
      </c>
      <c r="G16" s="7">
        <v>0.1090125126967716</v>
      </c>
      <c r="H16" s="7">
        <v>7.2848056287647484E-2</v>
      </c>
      <c r="I16" s="7">
        <v>0.11179230197990719</v>
      </c>
      <c r="J16" s="7">
        <v>-6.869403325322769E-2</v>
      </c>
      <c r="K16" s="7">
        <v>1.79251045182631E-2</v>
      </c>
      <c r="L16" s="7">
        <v>3.1027150965473069E-2</v>
      </c>
      <c r="M16" s="7">
        <v>4.0334454725240582E-2</v>
      </c>
      <c r="N16" s="7">
        <v>0.36698760912258638</v>
      </c>
      <c r="O16" s="7">
        <v>1.562109222531044E-2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-6.7219060157601318E-2</v>
      </c>
      <c r="U16" s="7">
        <v>4.8651515792801768E-2</v>
      </c>
      <c r="V16" s="7">
        <v>-0.1043161756014417</v>
      </c>
      <c r="W16" s="7">
        <v>0.10166567604781181</v>
      </c>
      <c r="X16" s="7">
        <v>7.3678277657467109E-2</v>
      </c>
      <c r="Y16" s="7">
        <v>-4.2874470917364169E-3</v>
      </c>
      <c r="Z16" s="7">
        <v>-2.0075794878424799E-2</v>
      </c>
      <c r="AA16" s="7">
        <v>5.022552686591434E-2</v>
      </c>
      <c r="AB16" s="7">
        <v>-3.2295414434067762E-2</v>
      </c>
      <c r="AC16" s="7">
        <v>-4.1040522709083073E-2</v>
      </c>
      <c r="AD16" s="7">
        <v>5.3136055547856789E-2</v>
      </c>
      <c r="AE16" s="7">
        <v>5.1534991881901908E-2</v>
      </c>
      <c r="AF16" s="7">
        <v>6.3685842581589158E-2</v>
      </c>
      <c r="AG16" s="7">
        <v>-8.3019076028860647E-3</v>
      </c>
      <c r="AH16" s="7">
        <v>-3.1765400449440553E-2</v>
      </c>
      <c r="AI16" s="7">
        <v>4.9078043176568033E-2</v>
      </c>
      <c r="AJ16" s="7">
        <v>-7.0259660718760518E-3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0.15999070017462089</v>
      </c>
      <c r="BB16" s="7">
        <v>0.1324747375965718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-3.9497985491106162E-2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-2.971438975556321E-2</v>
      </c>
      <c r="CB16" s="7">
        <v>-1.4280449892172949E-3</v>
      </c>
      <c r="CC16" s="7">
        <v>4.4388153170205821E-2</v>
      </c>
      <c r="CD16" s="7">
        <v>8.7751090265593801E-2</v>
      </c>
      <c r="CE16" s="7">
        <v>9.3614230467915741E-2</v>
      </c>
      <c r="CF16" s="7">
        <v>-1.4696062966429431E-2</v>
      </c>
      <c r="CG16" s="7">
        <v>0.14619604002614181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2.0333779820360921E-2</v>
      </c>
      <c r="CR16" s="7">
        <v>2.5228656512159529E-2</v>
      </c>
      <c r="CS16" s="7">
        <v>2.1807008909622099E-2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9.8017282885796683E-2</v>
      </c>
      <c r="DC16" s="7">
        <v>6.3740658508044973E-2</v>
      </c>
      <c r="DD16" s="7">
        <v>-7.4371115002597243E-2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5.17532210725552E-2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-6.7560519945635999E-2</v>
      </c>
      <c r="DR16" s="7">
        <v>5.5191251649515209E-2</v>
      </c>
      <c r="DS16" s="7">
        <v>-9.3752064989754288E-2</v>
      </c>
      <c r="DT16" s="7">
        <v>3.2059492153239763E-2</v>
      </c>
      <c r="DU16" s="7">
        <v>-0.1227720465229642</v>
      </c>
      <c r="DV16" s="7">
        <v>0.13695373201779351</v>
      </c>
      <c r="DW16" s="7">
        <v>4.0917729699690833E-2</v>
      </c>
      <c r="DX16" s="7">
        <v>-0.1252847063239774</v>
      </c>
      <c r="DY16" s="7">
        <v>0.15757213273537249</v>
      </c>
      <c r="DZ16" s="7">
        <v>5.8810748191046001E-2</v>
      </c>
      <c r="EA16" s="7">
        <v>0.13979901874338971</v>
      </c>
      <c r="EB16" s="7">
        <v>7.8610638743133537E-2</v>
      </c>
      <c r="EC16" s="7">
        <v>-2.493799654212037E-2</v>
      </c>
      <c r="ED16" s="7">
        <v>-0.1154167474989211</v>
      </c>
      <c r="EE16" s="7">
        <v>-2.3090711524611399E-2</v>
      </c>
      <c r="EF16" s="8">
        <v>4.2474401493907223E-2</v>
      </c>
      <c r="EG16" s="18">
        <f t="shared" si="10"/>
        <v>3.1482594654816468E-2</v>
      </c>
      <c r="EH16" s="18">
        <f t="shared" si="11"/>
        <v>7.9538381244062498E-2</v>
      </c>
      <c r="EI16" s="18">
        <f t="shared" si="12"/>
        <v>0.39581638653435164</v>
      </c>
    </row>
    <row r="17" spans="1:139" x14ac:dyDescent="0.3">
      <c r="A17" s="1">
        <v>120</v>
      </c>
      <c r="B17" s="1">
        <v>8</v>
      </c>
      <c r="C17" s="7">
        <v>0.2060921883792059</v>
      </c>
      <c r="D17" s="7">
        <v>0.43958848862462141</v>
      </c>
      <c r="E17" s="7">
        <v>7.9589849390753017E-2</v>
      </c>
      <c r="F17" s="7">
        <v>0.14677181431251229</v>
      </c>
      <c r="G17" s="7">
        <v>0.1171314801951346</v>
      </c>
      <c r="H17" s="7">
        <v>0.104994053627741</v>
      </c>
      <c r="I17" s="7">
        <v>6.7489655086341166E-2</v>
      </c>
      <c r="J17" s="7">
        <v>-0.11529907324194991</v>
      </c>
      <c r="K17" s="7">
        <v>3.9444991917733881E-2</v>
      </c>
      <c r="L17" s="7">
        <v>3.3775929538638137E-2</v>
      </c>
      <c r="M17" s="7">
        <v>6.4932034983486181E-2</v>
      </c>
      <c r="N17" s="7">
        <v>0.40510800893946219</v>
      </c>
      <c r="O17" s="7">
        <v>2.4632055211945642E-2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-7.120201453280707E-2</v>
      </c>
      <c r="U17" s="7">
        <v>5.2290233946816159E-2</v>
      </c>
      <c r="V17" s="7">
        <v>-0.11635630202540009</v>
      </c>
      <c r="W17" s="7">
        <v>0.1196039840123075</v>
      </c>
      <c r="X17" s="7">
        <v>0.1001859670039883</v>
      </c>
      <c r="Y17" s="7">
        <v>1.500501326537191E-3</v>
      </c>
      <c r="Z17" s="7">
        <v>-2.160848979426638E-2</v>
      </c>
      <c r="AA17" s="7">
        <v>6.2254197086471723E-2</v>
      </c>
      <c r="AB17" s="7">
        <v>-4.4538303269439639E-2</v>
      </c>
      <c r="AC17" s="7">
        <v>-4.0799010987682183E-2</v>
      </c>
      <c r="AD17" s="7">
        <v>4.9777375460754107E-2</v>
      </c>
      <c r="AE17" s="7">
        <v>5.9443499695692369E-2</v>
      </c>
      <c r="AF17" s="7">
        <v>6.1429310121940139E-2</v>
      </c>
      <c r="AG17" s="7">
        <v>-1.3516708058117981E-3</v>
      </c>
      <c r="AH17" s="7">
        <v>-3.5472619172888853E-2</v>
      </c>
      <c r="AI17" s="7">
        <v>3.058770864151358E-2</v>
      </c>
      <c r="AJ17" s="7">
        <v>-4.2602630518956887E-2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0.1628064098097628</v>
      </c>
      <c r="BB17" s="7">
        <v>0.15327128427838471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-2.905901115235426E-2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-2.7934832358489561E-2</v>
      </c>
      <c r="CB17" s="7">
        <v>-1.047770749199251E-2</v>
      </c>
      <c r="CC17" s="7">
        <v>4.1760252474235628E-2</v>
      </c>
      <c r="CD17" s="7">
        <v>6.4105945265327313E-2</v>
      </c>
      <c r="CE17" s="7">
        <v>9.5708073661495086E-2</v>
      </c>
      <c r="CF17" s="7">
        <v>-9.5123348938203942E-2</v>
      </c>
      <c r="CG17" s="7">
        <v>0.17703460732335141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-5.1907103341726511E-2</v>
      </c>
      <c r="CR17" s="7">
        <v>2.3005829537998311E-2</v>
      </c>
      <c r="CS17" s="7">
        <v>1.1545515717005199E-2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0.1042716259030833</v>
      </c>
      <c r="DC17" s="7">
        <v>5.3888321948882503E-2</v>
      </c>
      <c r="DD17" s="7">
        <v>-4.8130589338511678E-2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5.7146500327343322E-2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-6.5244348133762259E-2</v>
      </c>
      <c r="DR17" s="7">
        <v>5.5884814876328279E-2</v>
      </c>
      <c r="DS17" s="7">
        <v>-0.12431615980481089</v>
      </c>
      <c r="DT17" s="7">
        <v>1.674318991919271E-2</v>
      </c>
      <c r="DU17" s="7">
        <v>-0.12949295631998961</v>
      </c>
      <c r="DV17" s="7">
        <v>0.11776539811095429</v>
      </c>
      <c r="DW17" s="7">
        <v>4.8681483414150163E-2</v>
      </c>
      <c r="DX17" s="7">
        <v>-0.12953898259647401</v>
      </c>
      <c r="DY17" s="7">
        <v>0.10728289560185179</v>
      </c>
      <c r="DZ17" s="7">
        <v>4.9212629169808252E-2</v>
      </c>
      <c r="EA17" s="7">
        <v>0.1645715232321148</v>
      </c>
      <c r="EB17" s="7">
        <v>8.7100349194739302E-2</v>
      </c>
      <c r="EC17" s="7">
        <v>-2.0361159093761828E-2</v>
      </c>
      <c r="ED17" s="7">
        <v>-0.12832444392891271</v>
      </c>
      <c r="EE17" s="7">
        <v>-2.5413360310033831E-2</v>
      </c>
      <c r="EF17" s="8">
        <v>4.7709767009851849E-2</v>
      </c>
      <c r="EG17" s="18">
        <f t="shared" si="10"/>
        <v>3.125171493547263E-2</v>
      </c>
      <c r="EH17" s="18">
        <f t="shared" si="11"/>
        <v>8.8565557383425975E-2</v>
      </c>
      <c r="EI17" s="18">
        <f t="shared" si="12"/>
        <v>0.35286533341821469</v>
      </c>
    </row>
    <row r="18" spans="1:139" x14ac:dyDescent="0.3">
      <c r="A18" s="1">
        <v>137</v>
      </c>
      <c r="B18" s="1">
        <v>7</v>
      </c>
      <c r="C18" s="7">
        <v>0.18975112249235829</v>
      </c>
      <c r="D18" s="7">
        <v>0.40188368142206798</v>
      </c>
      <c r="E18" s="7">
        <v>5.3439350267724013E-2</v>
      </c>
      <c r="F18" s="7">
        <v>0.21209065115804249</v>
      </c>
      <c r="G18" s="7">
        <v>0.13305805731961079</v>
      </c>
      <c r="H18" s="7">
        <v>0.12853956177457129</v>
      </c>
      <c r="I18" s="7">
        <v>5.4952662908801589E-2</v>
      </c>
      <c r="J18" s="7">
        <v>-0.12516179308854181</v>
      </c>
      <c r="K18" s="7">
        <v>3.1586450310913693E-2</v>
      </c>
      <c r="L18" s="7">
        <v>4.6672720340673143E-2</v>
      </c>
      <c r="M18" s="7">
        <v>7.970257711397645E-2</v>
      </c>
      <c r="N18" s="7">
        <v>0.46182001807061318</v>
      </c>
      <c r="O18" s="7">
        <v>2.432387484281975E-2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-5.4244440031608693E-2</v>
      </c>
      <c r="U18" s="7">
        <v>2.813552763259065E-2</v>
      </c>
      <c r="V18" s="7">
        <v>-0.13125392693944099</v>
      </c>
      <c r="W18" s="7">
        <v>0.1379172379157062</v>
      </c>
      <c r="X18" s="7">
        <v>0.1271228086254903</v>
      </c>
      <c r="Y18" s="7">
        <v>2.421380772058089E-2</v>
      </c>
      <c r="Z18" s="7">
        <v>-1.690571618738388E-2</v>
      </c>
      <c r="AA18" s="7">
        <v>5.4804497980215187E-2</v>
      </c>
      <c r="AB18" s="7">
        <v>-6.2644805262660919E-2</v>
      </c>
      <c r="AC18" s="7">
        <v>-7.4719823379266678E-2</v>
      </c>
      <c r="AD18" s="7">
        <v>7.2443789088531399E-2</v>
      </c>
      <c r="AE18" s="7">
        <v>7.7201591618879711E-2</v>
      </c>
      <c r="AF18" s="7">
        <v>3.187341816062559E-2</v>
      </c>
      <c r="AG18" s="7">
        <v>-8.6183643801437219E-3</v>
      </c>
      <c r="AH18" s="7">
        <v>-4.0197460968514703E-2</v>
      </c>
      <c r="AI18" s="7">
        <v>4.6855541353756011E-2</v>
      </c>
      <c r="AJ18" s="7">
        <v>-4.7393756166449127E-2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0.18047976466954649</v>
      </c>
      <c r="BB18" s="7">
        <v>0.16725801848079261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-2.8081356373095352E-2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-1.6076543892860819E-2</v>
      </c>
      <c r="CB18" s="7">
        <v>-2.4577356612448309E-2</v>
      </c>
      <c r="CC18" s="7">
        <v>0.1046606238416451</v>
      </c>
      <c r="CD18" s="7">
        <v>5.0445794555038302E-2</v>
      </c>
      <c r="CE18" s="7">
        <v>7.7260394878222755E-2</v>
      </c>
      <c r="CF18" s="7">
        <v>-0.101858615532994</v>
      </c>
      <c r="CG18" s="7">
        <v>0.22664140590161991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-3.8242675594942703E-2</v>
      </c>
      <c r="CR18" s="7">
        <v>3.3743302271192592E-2</v>
      </c>
      <c r="CS18" s="7">
        <v>2.8128560414088639E-2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0.1181147182852117</v>
      </c>
      <c r="DC18" s="7">
        <v>4.9208867424112533E-2</v>
      </c>
      <c r="DD18" s="7">
        <v>-7.1071299907563223E-2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5.0654511409894881E-2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-6.1955528967367397E-2</v>
      </c>
      <c r="DR18" s="7">
        <v>7.6840654771961045E-2</v>
      </c>
      <c r="DS18" s="7">
        <v>-0.1477219984517327</v>
      </c>
      <c r="DT18" s="7">
        <v>-7.4073899594950176E-3</v>
      </c>
      <c r="DU18" s="7">
        <v>-0.15871482271667761</v>
      </c>
      <c r="DV18" s="7">
        <v>0.1056406088000619</v>
      </c>
      <c r="DW18" s="7">
        <v>8.1908692284373169E-2</v>
      </c>
      <c r="DX18" s="7">
        <v>-0.1536029774624818</v>
      </c>
      <c r="DY18" s="7">
        <v>0.1368331149382522</v>
      </c>
      <c r="DZ18" s="7">
        <v>5.4630374156582083E-2</v>
      </c>
      <c r="EA18" s="7">
        <v>0.19894574816433719</v>
      </c>
      <c r="EB18" s="7">
        <v>9.9846377978320619E-2</v>
      </c>
      <c r="EC18" s="7">
        <v>-1.9600515916961631E-2</v>
      </c>
      <c r="ED18" s="7">
        <v>-0.11047802186576559</v>
      </c>
      <c r="EE18" s="7">
        <v>-1.385375397450707E-2</v>
      </c>
      <c r="EF18" s="8">
        <v>4.8955017110416547E-2</v>
      </c>
      <c r="EG18" s="18">
        <f t="shared" si="10"/>
        <v>3.335854161564409E-2</v>
      </c>
      <c r="EH18" s="18">
        <f t="shared" si="11"/>
        <v>9.8073907648061218E-2</v>
      </c>
      <c r="EI18" s="18">
        <f t="shared" si="12"/>
        <v>0.34013676436092877</v>
      </c>
    </row>
    <row r="19" spans="1:139" x14ac:dyDescent="0.3">
      <c r="A19" s="1">
        <v>160</v>
      </c>
      <c r="B19" s="1">
        <v>6</v>
      </c>
      <c r="C19" s="7">
        <v>0.19660026531165431</v>
      </c>
      <c r="D19" s="7">
        <v>0.40752071008946927</v>
      </c>
      <c r="E19" s="7">
        <v>6.5814207330017804E-2</v>
      </c>
      <c r="F19" s="7">
        <v>0.2361704653757343</v>
      </c>
      <c r="G19" s="7">
        <v>0.15286434188697251</v>
      </c>
      <c r="H19" s="7">
        <v>0.17761031882265199</v>
      </c>
      <c r="I19" s="7">
        <v>4.746340533639954E-2</v>
      </c>
      <c r="J19" s="7">
        <v>-0.15623035308620389</v>
      </c>
      <c r="K19" s="7">
        <v>5.6540969561565207E-2</v>
      </c>
      <c r="L19" s="7">
        <v>3.036283305602917E-2</v>
      </c>
      <c r="M19" s="7">
        <v>8.6210339026117716E-2</v>
      </c>
      <c r="N19" s="7">
        <v>0.53237403768824121</v>
      </c>
      <c r="O19" s="7">
        <v>-1.9797434001384839E-2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-2.7154277986299109E-2</v>
      </c>
      <c r="U19" s="7">
        <v>4.4186857998324967E-2</v>
      </c>
      <c r="V19" s="7">
        <v>-0.11868445851892109</v>
      </c>
      <c r="W19" s="7">
        <v>0.14662099071751011</v>
      </c>
      <c r="X19" s="7">
        <v>0.122923146245717</v>
      </c>
      <c r="Y19" s="7">
        <v>2.406430534505774E-2</v>
      </c>
      <c r="Z19" s="7">
        <v>-2.2223239298902381E-2</v>
      </c>
      <c r="AA19" s="7">
        <v>4.7300121799034582E-2</v>
      </c>
      <c r="AB19" s="7">
        <v>-5.1718752810757287E-2</v>
      </c>
      <c r="AC19" s="7">
        <v>-8.3512866892878637E-2</v>
      </c>
      <c r="AD19" s="7">
        <v>2.399745726106059E-2</v>
      </c>
      <c r="AE19" s="7">
        <v>0.11523186996306679</v>
      </c>
      <c r="AF19" s="7">
        <v>3.8785666808899749E-2</v>
      </c>
      <c r="AG19" s="7">
        <v>1.92975452240348E-2</v>
      </c>
      <c r="AH19" s="7">
        <v>-5.6557715221703553E-2</v>
      </c>
      <c r="AI19" s="7">
        <v>8.1770124789496509E-2</v>
      </c>
      <c r="AJ19" s="7">
        <v>-5.1545290327262273E-2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0.18699677755478061</v>
      </c>
      <c r="BB19" s="7">
        <v>0.2018019106632078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-3.1786264869145278E-2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-2.932875522377449E-2</v>
      </c>
      <c r="CB19" s="7">
        <v>-4.804116850824483E-2</v>
      </c>
      <c r="CC19" s="7">
        <v>2.2506232898517449E-2</v>
      </c>
      <c r="CD19" s="7">
        <v>8.7664948361316358E-2</v>
      </c>
      <c r="CE19" s="7">
        <v>8.8474858937667905E-2</v>
      </c>
      <c r="CF19" s="7">
        <v>-0.1116984874650168</v>
      </c>
      <c r="CG19" s="7">
        <v>0.2638931335655384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-3.2394607516418629E-2</v>
      </c>
      <c r="CR19" s="7">
        <v>2.4299202463726639E-2</v>
      </c>
      <c r="CS19" s="7">
        <v>4.3774986978304217E-2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0.14796184676961621</v>
      </c>
      <c r="DC19" s="7">
        <v>3.0276457178153349E-2</v>
      </c>
      <c r="DD19" s="7">
        <v>-6.3547464152502509E-2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8.0499602410030055E-2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-5.0623171449732877E-2</v>
      </c>
      <c r="DR19" s="7">
        <v>7.5962353325048193E-2</v>
      </c>
      <c r="DS19" s="7">
        <v>-0.1779955469539703</v>
      </c>
      <c r="DT19" s="7">
        <v>-3.0761271922289252E-3</v>
      </c>
      <c r="DU19" s="7">
        <v>-0.15058192195631251</v>
      </c>
      <c r="DV19" s="7">
        <v>0.1115247064406045</v>
      </c>
      <c r="DW19" s="7">
        <v>6.0609139340684293E-2</v>
      </c>
      <c r="DX19" s="7">
        <v>-0.1383651342381777</v>
      </c>
      <c r="DY19" s="7">
        <v>0.1392486786855984</v>
      </c>
      <c r="DZ19" s="7">
        <v>7.8537947622533175E-2</v>
      </c>
      <c r="EA19" s="7">
        <v>0.23304583030528039</v>
      </c>
      <c r="EB19" s="7">
        <v>2.1772770012778581E-2</v>
      </c>
      <c r="EC19" s="7">
        <v>-3.1325109885979932E-2</v>
      </c>
      <c r="ED19" s="7">
        <v>-0.15093531699015689</v>
      </c>
      <c r="EE19" s="7">
        <v>1.2634042940422471E-2</v>
      </c>
      <c r="EF19" s="8">
        <v>1.697795487476916E-2</v>
      </c>
      <c r="EG19" s="18">
        <f t="shared" si="10"/>
        <v>3.377533408449182E-2</v>
      </c>
      <c r="EH19" s="18">
        <f t="shared" si="11"/>
        <v>0.10744982800476002</v>
      </c>
      <c r="EI19" s="18">
        <f t="shared" si="12"/>
        <v>0.31433585992334556</v>
      </c>
    </row>
    <row r="20" spans="1:139" x14ac:dyDescent="0.3">
      <c r="A20" s="1">
        <v>192</v>
      </c>
      <c r="B20" s="1">
        <v>5</v>
      </c>
      <c r="C20" s="7">
        <v>0.2015510478639157</v>
      </c>
      <c r="D20" s="7">
        <v>0.38202502004734989</v>
      </c>
      <c r="E20" s="7">
        <v>5.7336350326780597E-2</v>
      </c>
      <c r="F20" s="7">
        <v>0.18241961869314111</v>
      </c>
      <c r="G20" s="7">
        <v>0.15802736357208361</v>
      </c>
      <c r="H20" s="7">
        <v>0.14393228225567539</v>
      </c>
      <c r="I20" s="7">
        <v>2.7935541644402932E-2</v>
      </c>
      <c r="J20" s="7">
        <v>-0.13320729307702719</v>
      </c>
      <c r="K20" s="7">
        <v>3.7404684852111583E-2</v>
      </c>
      <c r="L20" s="7">
        <v>3.069548300109538E-2</v>
      </c>
      <c r="M20" s="7">
        <v>0.100133414364086</v>
      </c>
      <c r="N20" s="7">
        <v>0.5000114780094741</v>
      </c>
      <c r="O20" s="7">
        <v>-0.1101145251033072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1.566291051925937E-2</v>
      </c>
      <c r="U20" s="7">
        <v>3.2237658419507161E-2</v>
      </c>
      <c r="V20" s="7">
        <v>-0.13628806336757671</v>
      </c>
      <c r="W20" s="7">
        <v>0.17308537617758091</v>
      </c>
      <c r="X20" s="7">
        <v>0.15004231162753859</v>
      </c>
      <c r="Y20" s="7">
        <v>-4.8557578603156213E-3</v>
      </c>
      <c r="Z20" s="7">
        <v>2.9157350054346439E-2</v>
      </c>
      <c r="AA20" s="7">
        <v>6.6961978782240111E-2</v>
      </c>
      <c r="AB20" s="7">
        <v>-3.2898545320226208E-2</v>
      </c>
      <c r="AC20" s="7">
        <v>-9.6309042825298966E-2</v>
      </c>
      <c r="AD20" s="7">
        <v>2.698730357067794E-2</v>
      </c>
      <c r="AE20" s="7">
        <v>1.7311149627037389E-2</v>
      </c>
      <c r="AF20" s="7">
        <v>3.9044678387579961E-2</v>
      </c>
      <c r="AG20" s="7">
        <v>-6.2417403721479496E-3</v>
      </c>
      <c r="AH20" s="7">
        <v>-9.0178200714782636E-2</v>
      </c>
      <c r="AI20" s="7">
        <v>7.8154544921168481E-2</v>
      </c>
      <c r="AJ20" s="7">
        <v>-6.1990034547547639E-2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0.15133772550591279</v>
      </c>
      <c r="BB20" s="7">
        <v>0.2312136261880767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-4.7468551464188873E-2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-4.0102728051752932E-2</v>
      </c>
      <c r="CB20" s="7">
        <v>-3.8251950010927849E-2</v>
      </c>
      <c r="CC20" s="7">
        <v>1.291514747808061E-2</v>
      </c>
      <c r="CD20" s="7">
        <v>9.606464764259523E-2</v>
      </c>
      <c r="CE20" s="7">
        <v>8.5778172602440458E-2</v>
      </c>
      <c r="CF20" s="7">
        <v>-0.1312085557648148</v>
      </c>
      <c r="CG20" s="7">
        <v>0.32193852229938452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-2.3118045300283038E-2</v>
      </c>
      <c r="CR20" s="7">
        <v>2.5362552774013961E-2</v>
      </c>
      <c r="CS20" s="7">
        <v>2.2293038159359669E-2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7.696806977078402E-2</v>
      </c>
      <c r="DC20" s="7">
        <v>2.890116070260346E-2</v>
      </c>
      <c r="DD20" s="7">
        <v>-6.8163012313784327E-2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8.1277020159802621E-2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-3.8540311084368499E-2</v>
      </c>
      <c r="DR20" s="7">
        <v>7.8512660028290493E-2</v>
      </c>
      <c r="DS20" s="7">
        <v>-0.20608109757835469</v>
      </c>
      <c r="DT20" s="7">
        <v>4.8293441839824189E-3</v>
      </c>
      <c r="DU20" s="7">
        <v>-0.17637516893039651</v>
      </c>
      <c r="DV20" s="7">
        <v>0.12934547183885869</v>
      </c>
      <c r="DW20" s="7">
        <v>6.9060203958039607E-2</v>
      </c>
      <c r="DX20" s="7">
        <v>-0.15386632960631469</v>
      </c>
      <c r="DY20" s="7">
        <v>0.1215914577754016</v>
      </c>
      <c r="DZ20" s="7">
        <v>9.0199646158974578E-2</v>
      </c>
      <c r="EA20" s="7">
        <v>0.29368998396417129</v>
      </c>
      <c r="EB20" s="7">
        <v>3.9067633350965261E-2</v>
      </c>
      <c r="EC20" s="7">
        <v>2.2976412108212281E-2</v>
      </c>
      <c r="ED20" s="7">
        <v>-0.17691886106701021</v>
      </c>
      <c r="EE20" s="7">
        <v>2.3672309273819309E-3</v>
      </c>
      <c r="EF20" s="8">
        <v>2.0281416615907238E-2</v>
      </c>
      <c r="EG20" s="18">
        <f t="shared" si="10"/>
        <v>3.1945673530255167E-2</v>
      </c>
      <c r="EH20" s="18">
        <f t="shared" si="11"/>
        <v>0.11491063164707004</v>
      </c>
      <c r="EI20" s="18">
        <f t="shared" si="12"/>
        <v>0.27800450726240272</v>
      </c>
    </row>
    <row r="21" spans="1:139" x14ac:dyDescent="0.3">
      <c r="A21" s="1">
        <v>241</v>
      </c>
      <c r="B21" s="1">
        <v>4</v>
      </c>
      <c r="C21" s="7">
        <v>0.21462957980695321</v>
      </c>
      <c r="D21" s="7">
        <v>0.12638791676682359</v>
      </c>
      <c r="E21" s="7">
        <v>-1.3690170285790599E-2</v>
      </c>
      <c r="F21" s="7">
        <v>0.20341349755932739</v>
      </c>
      <c r="G21" s="7">
        <v>0.14533185880700039</v>
      </c>
      <c r="H21" s="7">
        <v>0.1621640877938379</v>
      </c>
      <c r="I21" s="7">
        <v>1.4111278480981961E-2</v>
      </c>
      <c r="J21" s="7">
        <v>-0.13674291533985661</v>
      </c>
      <c r="K21" s="7">
        <v>1.4702959601359119E-3</v>
      </c>
      <c r="L21" s="7">
        <v>-5.0291533060606367E-3</v>
      </c>
      <c r="M21" s="7">
        <v>7.5660649926760526E-2</v>
      </c>
      <c r="N21" s="7">
        <v>0.58489126462072527</v>
      </c>
      <c r="O21" s="7">
        <v>-0.1392774934469892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-1.4040364340204919E-2</v>
      </c>
      <c r="U21" s="7">
        <v>-9.8246407343969278E-3</v>
      </c>
      <c r="V21" s="7">
        <v>-0.13175048865250241</v>
      </c>
      <c r="W21" s="7">
        <v>0.15778847961546261</v>
      </c>
      <c r="X21" s="7">
        <v>0.20780126735333779</v>
      </c>
      <c r="Y21" s="7">
        <v>-1.014366037320256E-2</v>
      </c>
      <c r="Z21" s="7">
        <v>3.9457715679957053E-2</v>
      </c>
      <c r="AA21" s="7">
        <v>2.8033456192208511E-2</v>
      </c>
      <c r="AB21" s="7">
        <v>-2.1955943889134161E-2</v>
      </c>
      <c r="AC21" s="7">
        <v>-0.15954227246420169</v>
      </c>
      <c r="AD21" s="7">
        <v>-2.593327599743489E-2</v>
      </c>
      <c r="AE21" s="7">
        <v>1.031161069406002E-2</v>
      </c>
      <c r="AF21" s="7">
        <v>5.3125609886562987E-2</v>
      </c>
      <c r="AG21" s="7">
        <v>-1.057075303995837E-2</v>
      </c>
      <c r="AH21" s="7">
        <v>-0.10758136256479831</v>
      </c>
      <c r="AI21" s="7">
        <v>7.9594209333291061E-2</v>
      </c>
      <c r="AJ21" s="7">
        <v>-7.0405341946468691E-2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0.1395926821613267</v>
      </c>
      <c r="BB21" s="7">
        <v>0.29451263697732177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-4.0795286028720637E-2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-6.0517603302398457E-2</v>
      </c>
      <c r="CB21" s="7">
        <v>-6.3421391198258154E-2</v>
      </c>
      <c r="CC21" s="7">
        <v>-8.0189542709663136E-3</v>
      </c>
      <c r="CD21" s="7">
        <v>8.4423550992515431E-2</v>
      </c>
      <c r="CE21" s="7">
        <v>6.1514882354154247E-2</v>
      </c>
      <c r="CF21" s="7">
        <v>-0.1271704760916082</v>
      </c>
      <c r="CG21" s="7">
        <v>0.32016678338047649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-2.2912194169496192E-2</v>
      </c>
      <c r="CR21" s="7">
        <v>1.161578886010306E-2</v>
      </c>
      <c r="CS21" s="7">
        <v>3.0907745682497659E-2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7.1461213773998111E-2</v>
      </c>
      <c r="DC21" s="7">
        <v>4.8309147365506719E-2</v>
      </c>
      <c r="DD21" s="7">
        <v>-6.7027496200741665E-2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7.330279150207536E-2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-2.821605205239688E-2</v>
      </c>
      <c r="DR21" s="7">
        <v>5.0170859037080733E-2</v>
      </c>
      <c r="DS21" s="7">
        <v>-0.20083947383729561</v>
      </c>
      <c r="DT21" s="7">
        <v>-9.7086429422632292E-3</v>
      </c>
      <c r="DU21" s="7">
        <v>-0.1486147166384135</v>
      </c>
      <c r="DV21" s="7">
        <v>0.140275976869878</v>
      </c>
      <c r="DW21" s="7">
        <v>0.12824786866412111</v>
      </c>
      <c r="DX21" s="7">
        <v>-0.18596621403118341</v>
      </c>
      <c r="DY21" s="7">
        <v>0.16673097108859181</v>
      </c>
      <c r="DZ21" s="7">
        <v>9.893057365990536E-2</v>
      </c>
      <c r="EA21" s="7">
        <v>0.26605683227934601</v>
      </c>
      <c r="EB21" s="7">
        <v>8.4081461705858979E-3</v>
      </c>
      <c r="EC21" s="7">
        <v>2.7188931609766109E-2</v>
      </c>
      <c r="ED21" s="7">
        <v>-5.4498856348180663E-2</v>
      </c>
      <c r="EE21" s="7">
        <v>1.4428852108417999E-2</v>
      </c>
      <c r="EF21" s="8">
        <v>-1.8771264042119089E-2</v>
      </c>
      <c r="EG21" s="18">
        <f t="shared" si="10"/>
        <v>3.4546902243615785E-2</v>
      </c>
      <c r="EH21" s="18">
        <f t="shared" si="11"/>
        <v>0.1231291582704544</v>
      </c>
      <c r="EI21" s="18">
        <f t="shared" si="12"/>
        <v>0.28057450183922461</v>
      </c>
    </row>
    <row r="22" spans="1:139" x14ac:dyDescent="0.3">
      <c r="A22" s="1">
        <v>321</v>
      </c>
      <c r="B22" s="1">
        <v>3</v>
      </c>
      <c r="C22" s="7">
        <v>0.20528030103697539</v>
      </c>
      <c r="D22" s="7">
        <v>0.1424278520773985</v>
      </c>
      <c r="E22" s="7">
        <v>-1.7355098916458981E-2</v>
      </c>
      <c r="F22" s="7">
        <v>-0.13986745030938699</v>
      </c>
      <c r="G22" s="7">
        <v>0.23294542459532269</v>
      </c>
      <c r="H22" s="7">
        <v>0.1241780629606463</v>
      </c>
      <c r="I22" s="7">
        <v>1.743734320629017E-2</v>
      </c>
      <c r="J22" s="7">
        <v>-0.10425350273662951</v>
      </c>
      <c r="K22" s="7">
        <v>2.8656780116393998E-2</v>
      </c>
      <c r="L22" s="7">
        <v>1.427320868498227E-2</v>
      </c>
      <c r="M22" s="7">
        <v>-0.22515860506358171</v>
      </c>
      <c r="N22" s="7">
        <v>0.75614344311733894</v>
      </c>
      <c r="O22" s="7">
        <v>-6.6442332164954182E-2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-2.023861247683403E-2</v>
      </c>
      <c r="U22" s="7">
        <v>5.2488906495621809E-2</v>
      </c>
      <c r="V22" s="7">
        <v>-0.1756249024704124</v>
      </c>
      <c r="W22" s="7">
        <v>0.20748026702429739</v>
      </c>
      <c r="X22" s="7">
        <v>0.25720235121349699</v>
      </c>
      <c r="Y22" s="7">
        <v>-6.9853331702800808E-2</v>
      </c>
      <c r="Z22" s="7">
        <v>2.386612179035642E-2</v>
      </c>
      <c r="AA22" s="7">
        <v>0.1181206143698829</v>
      </c>
      <c r="AB22" s="7">
        <v>3.8652301253394171E-3</v>
      </c>
      <c r="AC22" s="7">
        <v>-0.1772130781488627</v>
      </c>
      <c r="AD22" s="7">
        <v>-1.859374921466125E-2</v>
      </c>
      <c r="AE22" s="7">
        <v>-8.514768595770715E-2</v>
      </c>
      <c r="AF22" s="7">
        <v>4.718231615802413E-2</v>
      </c>
      <c r="AG22" s="7">
        <v>-4.5973813007689088E-2</v>
      </c>
      <c r="AH22" s="7">
        <v>-0.10586595942047269</v>
      </c>
      <c r="AI22" s="7">
        <v>9.4141260657386039E-2</v>
      </c>
      <c r="AJ22" s="7">
        <v>-3.1699849326408271E-2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4.9774957584186978E-2</v>
      </c>
      <c r="BB22" s="7">
        <v>0.36955058329648782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-2.4304832455331882E-3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-2.749007848032349E-2</v>
      </c>
      <c r="CB22" s="7">
        <v>-0.14899327824592659</v>
      </c>
      <c r="CC22" s="7">
        <v>-0.12510399532003291</v>
      </c>
      <c r="CD22" s="7">
        <v>9.5518542864996087E-2</v>
      </c>
      <c r="CE22" s="7">
        <v>6.6840145636817616E-2</v>
      </c>
      <c r="CF22" s="7">
        <v>-0.15557256842246689</v>
      </c>
      <c r="CG22" s="7">
        <v>0.4438008150544101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-1.7159615519123799E-2</v>
      </c>
      <c r="CR22" s="7">
        <v>-2.8422205079160712E-2</v>
      </c>
      <c r="CS22" s="7">
        <v>2.4439586832032689E-2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5.4041621710522049E-2</v>
      </c>
      <c r="DC22" s="7">
        <v>7.2342033732944094E-2</v>
      </c>
      <c r="DD22" s="7">
        <v>-1.596257781556271E-2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4.277692212467888E-2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-5.1850201837621311E-2</v>
      </c>
      <c r="DR22" s="7">
        <v>-6.0925526153180337E-3</v>
      </c>
      <c r="DS22" s="7">
        <v>-0.19705092156235929</v>
      </c>
      <c r="DT22" s="7">
        <v>-4.3681446324088213E-2</v>
      </c>
      <c r="DU22" s="7">
        <v>-0.16154691088272999</v>
      </c>
      <c r="DV22" s="7">
        <v>0.12570511767817799</v>
      </c>
      <c r="DW22" s="7">
        <v>7.838972370699715E-2</v>
      </c>
      <c r="DX22" s="7">
        <v>-0.22244260844829469</v>
      </c>
      <c r="DY22" s="7">
        <v>0.11995602471866181</v>
      </c>
      <c r="DZ22" s="7">
        <v>0.11083450478771149</v>
      </c>
      <c r="EA22" s="7">
        <v>0.14035616200069359</v>
      </c>
      <c r="EB22" s="7">
        <v>-8.0596727535317977E-2</v>
      </c>
      <c r="EC22" s="7">
        <v>8.808544742642449E-2</v>
      </c>
      <c r="ED22" s="7">
        <v>-7.7413567057607463E-2</v>
      </c>
      <c r="EE22" s="7">
        <v>3.344630381221339E-2</v>
      </c>
      <c r="EF22" s="8">
        <v>-3.4790246372172352E-2</v>
      </c>
      <c r="EG22" s="18">
        <f t="shared" si="10"/>
        <v>2.6924342732205633E-2</v>
      </c>
      <c r="EH22" s="18">
        <f t="shared" si="11"/>
        <v>0.14625772106250842</v>
      </c>
      <c r="EI22" s="18">
        <f t="shared" si="12"/>
        <v>0.18408835127889461</v>
      </c>
    </row>
    <row r="23" spans="1:139" x14ac:dyDescent="0.3">
      <c r="A23" s="1">
        <v>482</v>
      </c>
      <c r="B23" s="1">
        <v>2</v>
      </c>
      <c r="C23" s="7">
        <v>0.28298926569632887</v>
      </c>
      <c r="D23" s="7">
        <v>0.25409262745146127</v>
      </c>
      <c r="E23" s="7">
        <v>0.13300519405617101</v>
      </c>
      <c r="F23" s="7">
        <v>-3.740232941910691E-3</v>
      </c>
      <c r="G23" s="7">
        <v>0.36163212077843282</v>
      </c>
      <c r="H23" s="7">
        <v>-1.8188470841484668E-2</v>
      </c>
      <c r="I23" s="7">
        <v>-3.6386488866407093E-2</v>
      </c>
      <c r="J23" s="7">
        <v>-0.1148775059304451</v>
      </c>
      <c r="K23" s="7">
        <v>-5.9917884508062888E-2</v>
      </c>
      <c r="L23" s="7">
        <v>5.0770833705182927E-2</v>
      </c>
      <c r="M23" s="7">
        <v>-0.26256934704734031</v>
      </c>
      <c r="N23" s="7">
        <v>0.97590144327128003</v>
      </c>
      <c r="O23" s="7">
        <v>-0.1228997073071684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-3.733692084787466E-4</v>
      </c>
      <c r="U23" s="7">
        <v>5.924178948110146E-2</v>
      </c>
      <c r="V23" s="7">
        <v>-0.2324772033709247</v>
      </c>
      <c r="W23" s="7">
        <v>0.33161915024914451</v>
      </c>
      <c r="X23" s="7">
        <v>0.1945564614576443</v>
      </c>
      <c r="Y23" s="7">
        <v>-6.7949921591350784E-2</v>
      </c>
      <c r="Z23" s="7">
        <v>4.1051966520251372E-2</v>
      </c>
      <c r="AA23" s="7">
        <v>0.15164933184604609</v>
      </c>
      <c r="AB23" s="7">
        <v>3.09913850559921E-2</v>
      </c>
      <c r="AC23" s="7">
        <v>-0.23400862094644481</v>
      </c>
      <c r="AD23" s="7">
        <v>-2.9952915704841848E-3</v>
      </c>
      <c r="AE23" s="7">
        <v>-0.22171323582164909</v>
      </c>
      <c r="AF23" s="7">
        <v>6.6906260089751285E-2</v>
      </c>
      <c r="AG23" s="7">
        <v>-2.0576770504273641E-3</v>
      </c>
      <c r="AH23" s="7">
        <v>-8.417158452318324E-2</v>
      </c>
      <c r="AI23" s="7">
        <v>2.3228266622481949E-2</v>
      </c>
      <c r="AJ23" s="7">
        <v>5.6431378481542303E-3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5.3998338629857423E-2</v>
      </c>
      <c r="BB23" s="7">
        <v>0.56682652604744033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6.9495462024450616E-2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-7.5653199746629096E-2</v>
      </c>
      <c r="CB23" s="7">
        <v>-0.21761420299243989</v>
      </c>
      <c r="CC23" s="7">
        <v>-8.4544614715775346E-2</v>
      </c>
      <c r="CD23" s="7">
        <v>0.141241944161549</v>
      </c>
      <c r="CE23" s="7">
        <v>5.9602301837717461E-2</v>
      </c>
      <c r="CF23" s="7">
        <v>-0.18343323628555941</v>
      </c>
      <c r="CG23" s="7">
        <v>0.29290393811773718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2.4702270079380868E-2</v>
      </c>
      <c r="CR23" s="7">
        <v>-3.8232839171219918E-2</v>
      </c>
      <c r="CS23" s="7">
        <v>6.901537085690515E-2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1.8747066443219641E-2</v>
      </c>
      <c r="DC23" s="7">
        <v>7.2416033656425932E-2</v>
      </c>
      <c r="DD23" s="7">
        <v>-1.8407826273001211E-2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-3.3824576295396119E-2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-0.12113204125745761</v>
      </c>
      <c r="DR23" s="7">
        <v>-8.9886002731306744E-2</v>
      </c>
      <c r="DS23" s="7">
        <v>-0.28809657691904628</v>
      </c>
      <c r="DT23" s="7">
        <v>-5.4250460668612679E-2</v>
      </c>
      <c r="DU23" s="7">
        <v>-5.5639478708282321E-2</v>
      </c>
      <c r="DV23" s="7">
        <v>0.27627160832943959</v>
      </c>
      <c r="DW23" s="7">
        <v>0.14122823258283859</v>
      </c>
      <c r="DX23" s="7">
        <v>-0.31349320637896622</v>
      </c>
      <c r="DY23" s="7">
        <v>-5.3926224537590731E-2</v>
      </c>
      <c r="DZ23" s="7">
        <v>-0.21717398775244159</v>
      </c>
      <c r="EA23" s="7">
        <v>-2.875877977640498E-2</v>
      </c>
      <c r="EB23" s="7">
        <v>-6.2753439710675096E-2</v>
      </c>
      <c r="EC23" s="7">
        <v>9.3644533160520085E-2</v>
      </c>
      <c r="ED23" s="7">
        <v>-9.1425904619781034E-2</v>
      </c>
      <c r="EE23" s="7">
        <v>5.9050683888240307E-2</v>
      </c>
      <c r="EF23" s="8">
        <v>-4.7782278591659677E-2</v>
      </c>
      <c r="EG23" s="18">
        <f t="shared" si="10"/>
        <v>2.5798074158811645E-2</v>
      </c>
      <c r="EH23" s="18">
        <f t="shared" si="11"/>
        <v>0.19109655074705001</v>
      </c>
      <c r="EI23" s="18">
        <f t="shared" si="12"/>
        <v>0.13500020831333553</v>
      </c>
    </row>
    <row r="24" spans="1:139" x14ac:dyDescent="0.3">
      <c r="A24" s="1">
        <v>964</v>
      </c>
      <c r="B24" s="1">
        <v>1</v>
      </c>
      <c r="C24" s="7">
        <v>9.9113364206882743E-2</v>
      </c>
      <c r="D24" s="7">
        <v>0.1006099128992286</v>
      </c>
      <c r="E24" s="7">
        <v>0.28451249769050191</v>
      </c>
      <c r="F24" s="7">
        <v>7.5326493831706698E-2</v>
      </c>
      <c r="G24" s="7">
        <v>0.2296070518581638</v>
      </c>
      <c r="H24" s="7">
        <v>3.5855796654956661E-2</v>
      </c>
      <c r="I24" s="7">
        <v>1.692708918074378E-2</v>
      </c>
      <c r="J24" s="7">
        <v>-0.1154627982140225</v>
      </c>
      <c r="K24" s="7">
        <v>5.3732996668234008E-2</v>
      </c>
      <c r="L24" s="7">
        <v>9.3799693256750388E-2</v>
      </c>
      <c r="M24" s="7">
        <v>-0.46302754420013847</v>
      </c>
      <c r="N24" s="7">
        <v>1.769031369112569</v>
      </c>
      <c r="O24" s="7">
        <v>-0.24427786338818341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0.1236910440917892</v>
      </c>
      <c r="U24" s="7">
        <v>0.28585628998140078</v>
      </c>
      <c r="V24" s="7">
        <v>-9.8678511259329957E-2</v>
      </c>
      <c r="W24" s="7">
        <v>0.49571198595594262</v>
      </c>
      <c r="X24" s="7">
        <v>-8.988764650171982E-4</v>
      </c>
      <c r="Y24" s="7">
        <v>-0.1203174930645305</v>
      </c>
      <c r="Z24" s="7">
        <v>-2.439454874957615E-2</v>
      </c>
      <c r="AA24" s="7">
        <v>9.4359582813794432E-2</v>
      </c>
      <c r="AB24" s="7">
        <v>0.30039379355698248</v>
      </c>
      <c r="AC24" s="7">
        <v>-0.24616895878469969</v>
      </c>
      <c r="AD24" s="7">
        <v>-5.9922146810819088E-2</v>
      </c>
      <c r="AE24" s="7">
        <v>-0.17526881500734201</v>
      </c>
      <c r="AF24" s="7">
        <v>2.2522010034790499E-2</v>
      </c>
      <c r="AG24" s="7">
        <v>0.10590047247440069</v>
      </c>
      <c r="AH24" s="7">
        <v>-5.6697360067789589E-2</v>
      </c>
      <c r="AI24" s="7">
        <v>-8.8083310984272967E-3</v>
      </c>
      <c r="AJ24" s="7">
        <v>-8.089124399937539E-2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5.0491305412012258E-2</v>
      </c>
      <c r="BB24" s="7">
        <v>0.69077653138067185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-8.4782939838988242E-2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-0.1152216807734147</v>
      </c>
      <c r="CB24" s="7">
        <v>0.20876197428786911</v>
      </c>
      <c r="CC24" s="7">
        <v>-0.18246987988756161</v>
      </c>
      <c r="CD24" s="7">
        <v>2.9953525870016359E-2</v>
      </c>
      <c r="CE24" s="7">
        <v>0.16556487399111461</v>
      </c>
      <c r="CF24" s="7">
        <v>-0.16513135300939591</v>
      </c>
      <c r="CG24" s="7">
        <v>0.23727783485992521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0.1601896466275006</v>
      </c>
      <c r="CR24" s="7">
        <v>-9.681790719133844E-2</v>
      </c>
      <c r="CS24" s="7">
        <v>-2.6854922521108548E-2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-1.6501865848996312E-2</v>
      </c>
      <c r="DC24" s="7">
        <v>0.17955311523934811</v>
      </c>
      <c r="DD24" s="7">
        <v>4.9299772670775198E-2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2.108147115785142E-2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-5.0486190478925157E-2</v>
      </c>
      <c r="DR24" s="7">
        <v>-2.0515630212029241E-2</v>
      </c>
      <c r="DS24" s="7">
        <v>-0.21626154103284559</v>
      </c>
      <c r="DT24" s="7">
        <v>-7.4733345266004753E-2</v>
      </c>
      <c r="DU24" s="7">
        <v>2.1781395361230051E-2</v>
      </c>
      <c r="DV24" s="7">
        <v>0.1582246986438143</v>
      </c>
      <c r="DW24" s="7">
        <v>0.10885708989133031</v>
      </c>
      <c r="DX24" s="7">
        <v>-0.31159312779250392</v>
      </c>
      <c r="DY24" s="7">
        <v>-3.239876608542996E-3</v>
      </c>
      <c r="DZ24" s="7">
        <v>-0.43350657873669168</v>
      </c>
      <c r="EA24" s="7">
        <v>-5.4920183841502608E-2</v>
      </c>
      <c r="EB24" s="7">
        <v>-2.9582176365294029E-2</v>
      </c>
      <c r="EC24" s="7">
        <v>0.14364347355970919</v>
      </c>
      <c r="ED24" s="7">
        <v>-5.6172845298362112E-2</v>
      </c>
      <c r="EE24" s="7">
        <v>0.1134294391912188</v>
      </c>
      <c r="EF24" s="8">
        <v>6.7276677043968364E-2</v>
      </c>
      <c r="EG24" s="18">
        <f t="shared" si="10"/>
        <v>4.1666810092113302E-2</v>
      </c>
      <c r="EH24" s="18">
        <f t="shared" si="11"/>
        <v>0.24630108397727934</v>
      </c>
      <c r="EI24" s="18">
        <f t="shared" si="12"/>
        <v>0.16917022620962952</v>
      </c>
    </row>
    <row r="25" spans="1:139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18">
        <f t="shared" si="10"/>
        <v>7.3485376145559517E-3</v>
      </c>
      <c r="EH25" s="18">
        <f t="shared" si="11"/>
        <v>4.2276369775976368E-2</v>
      </c>
      <c r="EI25" s="18">
        <f t="shared" si="12"/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C25F-356D-4C67-861E-46E1CE055A05}">
  <dimension ref="A1:EG25"/>
  <sheetViews>
    <sheetView tabSelected="1" topLeftCell="DI13" workbookViewId="0">
      <selection activeCell="EA30" sqref="EA30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7.3912657797336578E-2</v>
      </c>
      <c r="D3" s="7">
        <v>7.5614765286445618E-2</v>
      </c>
      <c r="E3" s="7">
        <v>4.7493916004896157E-2</v>
      </c>
      <c r="F3" s="7">
        <v>5.0458244979381561E-2</v>
      </c>
      <c r="G3" s="7">
        <v>5.6787237524986267E-2</v>
      </c>
      <c r="H3" s="7">
        <v>5.273602157831192E-2</v>
      </c>
      <c r="I3" s="7">
        <v>5.543295294046402E-2</v>
      </c>
      <c r="J3" s="7">
        <v>6.5687850117683411E-2</v>
      </c>
      <c r="K3" s="7">
        <v>6.5738305449485779E-2</v>
      </c>
      <c r="L3" s="7">
        <v>6.5104179084300995E-2</v>
      </c>
      <c r="M3" s="7">
        <v>6.2918879091739655E-2</v>
      </c>
      <c r="N3" s="7">
        <v>5.0446849316358573E-2</v>
      </c>
      <c r="O3" s="7">
        <v>5.1143340766429901E-2</v>
      </c>
      <c r="P3" s="7">
        <v>5.4307941347360611E-2</v>
      </c>
      <c r="Q3" s="7">
        <v>5.3979594260454178E-2</v>
      </c>
      <c r="R3" s="7">
        <v>5.9017296880483627E-2</v>
      </c>
      <c r="S3" s="7">
        <v>5.8883927762508392E-2</v>
      </c>
      <c r="T3" s="7">
        <v>5.8087721467018127E-2</v>
      </c>
      <c r="U3" s="7">
        <v>5.8204345405101783E-2</v>
      </c>
      <c r="V3" s="7">
        <v>5.6997735053300858E-2</v>
      </c>
      <c r="W3" s="7">
        <v>5.7999409735202789E-2</v>
      </c>
      <c r="X3" s="7">
        <v>5.6064881384372711E-2</v>
      </c>
      <c r="Y3" s="7">
        <v>5.380716547369957E-2</v>
      </c>
      <c r="Z3" s="7">
        <v>5.5985435843467712E-2</v>
      </c>
      <c r="AA3" s="7">
        <v>5.8552555739879608E-2</v>
      </c>
      <c r="AB3" s="7">
        <v>5.7095140218734741E-2</v>
      </c>
      <c r="AC3" s="7">
        <v>5.5604040622711182E-2</v>
      </c>
      <c r="AD3" s="7">
        <v>5.7368185371160507E-2</v>
      </c>
      <c r="AE3" s="7">
        <v>5.711296945810318E-2</v>
      </c>
      <c r="AF3" s="7">
        <v>5.6432753801345832E-2</v>
      </c>
      <c r="AG3" s="7">
        <v>5.4296117275953293E-2</v>
      </c>
      <c r="AH3" s="7">
        <v>2.194706350564957E-2</v>
      </c>
      <c r="AI3" s="7">
        <v>2.647755108773708E-2</v>
      </c>
      <c r="AJ3" s="7">
        <v>3.2625593245029449E-2</v>
      </c>
      <c r="AK3" s="7">
        <v>3.427722305059433E-2</v>
      </c>
      <c r="AL3" s="7">
        <v>3.9366211742162698E-2</v>
      </c>
      <c r="AM3" s="7">
        <v>4.6164851635694497E-2</v>
      </c>
      <c r="AN3" s="7">
        <v>5.0585135817527771E-2</v>
      </c>
      <c r="AO3" s="7">
        <v>5.2576661109924323E-2</v>
      </c>
      <c r="AP3" s="7">
        <v>4.6018596738576889E-2</v>
      </c>
      <c r="AQ3" s="7">
        <v>5.1431342959403992E-2</v>
      </c>
      <c r="AR3" s="7">
        <v>5.3190842270851142E-2</v>
      </c>
      <c r="AS3" s="7">
        <v>5.4051004350185387E-2</v>
      </c>
      <c r="AT3" s="7">
        <v>4.2643662542104721E-2</v>
      </c>
      <c r="AU3" s="7">
        <v>4.2383186519145973E-2</v>
      </c>
      <c r="AV3" s="7">
        <v>4.4372159987688058E-2</v>
      </c>
      <c r="AW3" s="7">
        <v>5.0514377653598792E-2</v>
      </c>
      <c r="AX3" s="7">
        <v>4.8605483025312417E-2</v>
      </c>
      <c r="AY3" s="7">
        <v>5.6297924369573593E-2</v>
      </c>
      <c r="AZ3" s="7">
        <v>4.0032941848039627E-2</v>
      </c>
      <c r="BA3" s="7">
        <v>3.6459345370531082E-2</v>
      </c>
      <c r="BB3" s="7">
        <v>3.7515308707952499E-2</v>
      </c>
      <c r="BC3" s="7">
        <v>4.362085834145546E-2</v>
      </c>
      <c r="BD3" s="7">
        <v>4.9859002232551568E-2</v>
      </c>
      <c r="BE3" s="7">
        <v>5.3125970065593719E-2</v>
      </c>
      <c r="BF3" s="7">
        <v>5.2070312201976783E-2</v>
      </c>
      <c r="BG3" s="7">
        <v>5.2394859492778778E-2</v>
      </c>
      <c r="BH3" s="7">
        <v>5.2147150039672852E-2</v>
      </c>
      <c r="BI3" s="7">
        <v>5.3297452628612518E-2</v>
      </c>
      <c r="BJ3" s="7">
        <v>5.1574986428022378E-2</v>
      </c>
      <c r="BK3" s="7">
        <v>5.2271623164415359E-2</v>
      </c>
      <c r="BL3" s="7">
        <v>5.2872113883495331E-2</v>
      </c>
      <c r="BM3" s="7">
        <v>5.2642539143562317E-2</v>
      </c>
      <c r="BN3" s="7">
        <v>5.7873163372278207E-2</v>
      </c>
      <c r="BO3" s="7">
        <v>5.4300133138895028E-2</v>
      </c>
      <c r="BP3" s="7">
        <v>3.9404105395078659E-2</v>
      </c>
      <c r="BQ3" s="7">
        <v>5.2939504384994507E-2</v>
      </c>
      <c r="BR3" s="7">
        <v>3.4261241555213928E-2</v>
      </c>
      <c r="BS3" s="7">
        <v>5.4798267781734467E-2</v>
      </c>
      <c r="BT3" s="7">
        <v>4.7248825430870063E-2</v>
      </c>
      <c r="BU3" s="7">
        <v>5.5744320154190057E-2</v>
      </c>
      <c r="BV3" s="7">
        <v>5.2378721535205841E-2</v>
      </c>
      <c r="BW3" s="7">
        <v>4.0140356868505478E-2</v>
      </c>
      <c r="BX3" s="7">
        <v>4.7834541648626328E-2</v>
      </c>
      <c r="BY3" s="7">
        <v>4.9711667001247413E-2</v>
      </c>
      <c r="BZ3" s="7">
        <v>5.3135618567466743E-2</v>
      </c>
      <c r="CA3" s="7">
        <v>5.0331637263298028E-2</v>
      </c>
      <c r="CB3" s="7">
        <v>4.5716073364019387E-2</v>
      </c>
      <c r="CC3" s="7">
        <v>5.2729144692420959E-2</v>
      </c>
      <c r="CD3" s="7">
        <v>4.9658242613077157E-2</v>
      </c>
      <c r="CE3" s="7">
        <v>4.6769082546234131E-2</v>
      </c>
      <c r="CF3" s="7">
        <v>5.1047079265117652E-2</v>
      </c>
      <c r="CG3" s="7">
        <v>4.6370826661586761E-2</v>
      </c>
      <c r="CH3" s="7">
        <v>4.9930401146411903E-2</v>
      </c>
      <c r="CI3" s="7">
        <v>4.8304062336683273E-2</v>
      </c>
      <c r="CJ3" s="7">
        <v>4.9741979688405991E-2</v>
      </c>
      <c r="CK3" s="7">
        <v>5.0947833806276321E-2</v>
      </c>
      <c r="CL3" s="7">
        <v>5.12235127389431E-2</v>
      </c>
      <c r="CM3" s="7">
        <v>4.9852591007947922E-2</v>
      </c>
      <c r="CN3" s="7">
        <v>4.9947917461395257E-2</v>
      </c>
      <c r="CO3" s="7">
        <v>4.8367861658334732E-2</v>
      </c>
      <c r="CP3" s="7">
        <v>4.8762951046228409E-2</v>
      </c>
      <c r="CQ3" s="7">
        <v>4.9044318497180939E-2</v>
      </c>
      <c r="CR3" s="7">
        <v>4.9002893269062042E-2</v>
      </c>
      <c r="CS3" s="7">
        <v>4.7328062355518341E-2</v>
      </c>
      <c r="CT3" s="7">
        <v>3.085972927510738E-2</v>
      </c>
      <c r="CU3" s="7">
        <v>4.1540883481502533E-2</v>
      </c>
      <c r="CV3" s="7">
        <v>5.0552770495414727E-2</v>
      </c>
      <c r="CW3" s="7">
        <v>4.3886944651603699E-2</v>
      </c>
      <c r="CX3" s="7">
        <v>5.1949106156826019E-2</v>
      </c>
      <c r="CY3" s="7">
        <v>5.1065381616353989E-2</v>
      </c>
      <c r="CZ3" s="7">
        <v>4.2493745684623718E-2</v>
      </c>
      <c r="DA3" s="7">
        <v>4.438742995262146E-2</v>
      </c>
      <c r="DB3" s="7">
        <v>5.0981994718313217E-2</v>
      </c>
      <c r="DC3" s="7">
        <v>5.1738325506448753E-2</v>
      </c>
      <c r="DD3" s="7">
        <v>4.9757938832044601E-2</v>
      </c>
      <c r="DE3" s="7">
        <v>5.26866614818573E-2</v>
      </c>
      <c r="DF3" s="7">
        <v>4.552464559674263E-2</v>
      </c>
      <c r="DG3" s="7">
        <v>4.3648570775985718E-2</v>
      </c>
      <c r="DH3" s="7">
        <v>4.6830844134092331E-2</v>
      </c>
      <c r="DI3" s="7">
        <v>4.8355340957641602E-2</v>
      </c>
      <c r="DJ3" s="7">
        <v>5.1528535783290863E-2</v>
      </c>
      <c r="DK3" s="7">
        <v>4.6326920390129089E-2</v>
      </c>
      <c r="DL3" s="7">
        <v>4.7242101281881332E-2</v>
      </c>
      <c r="DM3" s="7">
        <v>4.848967120051384E-2</v>
      </c>
      <c r="DN3" s="7">
        <v>4.6750303357839577E-2</v>
      </c>
      <c r="DO3" s="7">
        <v>4.8154097050428391E-2</v>
      </c>
      <c r="DP3" s="7">
        <v>4.7626975923776627E-2</v>
      </c>
      <c r="DQ3" s="7">
        <v>4.8635251820087433E-2</v>
      </c>
      <c r="DR3" s="7">
        <v>4.8790115863084793E-2</v>
      </c>
      <c r="DS3" s="7">
        <v>4.7917254269123077E-2</v>
      </c>
      <c r="DT3" s="7">
        <v>4.6769026666879647E-2</v>
      </c>
      <c r="DU3" s="7">
        <v>4.7454036772251129E-2</v>
      </c>
      <c r="DV3" s="7">
        <v>4.6622030436992652E-2</v>
      </c>
      <c r="DW3" s="7">
        <v>4.7323465347290039E-2</v>
      </c>
      <c r="DX3" s="7">
        <v>4.7543596476316452E-2</v>
      </c>
      <c r="DY3" s="7">
        <v>4.7800637781620033E-2</v>
      </c>
      <c r="DZ3" s="7">
        <v>3.5176035016775131E-2</v>
      </c>
      <c r="EA3" s="7">
        <v>4.8215113580226898E-2</v>
      </c>
      <c r="EB3" s="7">
        <v>4.2192697525024407E-2</v>
      </c>
      <c r="EC3" s="7">
        <v>3.4884773194789893E-2</v>
      </c>
      <c r="ED3" s="7">
        <v>4.0104128420352943E-2</v>
      </c>
      <c r="EE3" s="7">
        <v>4.7643702477216721E-2</v>
      </c>
      <c r="EF3" s="7">
        <v>5.0313424319028847E-2</v>
      </c>
      <c r="EG3" s="1"/>
    </row>
    <row r="4" spans="1:137" x14ac:dyDescent="0.3">
      <c r="B4" s="1" t="s">
        <v>138</v>
      </c>
      <c r="C4" s="7">
        <v>-2.6131413877010349E-2</v>
      </c>
      <c r="D4" s="7">
        <v>-3.1095108017325401E-2</v>
      </c>
      <c r="E4" s="7">
        <v>-1.9964328035712239E-2</v>
      </c>
      <c r="F4" s="7">
        <v>-3.3693499863147743E-2</v>
      </c>
      <c r="G4" s="7">
        <v>-4.33683842420578E-2</v>
      </c>
      <c r="H4" s="7">
        <v>-2.4385051801800731E-2</v>
      </c>
      <c r="I4" s="7">
        <v>-2.7016714215278629E-2</v>
      </c>
      <c r="J4" s="7">
        <v>-3.6226242780685418E-2</v>
      </c>
      <c r="K4" s="7">
        <v>-3.3819511532783508E-2</v>
      </c>
      <c r="L4" s="7">
        <v>-3.9761558175086982E-2</v>
      </c>
      <c r="M4" s="7">
        <v>-3.8767080754041672E-2</v>
      </c>
      <c r="N4" s="7">
        <v>-2.7853298932313919E-2</v>
      </c>
      <c r="O4" s="7">
        <v>-2.7895199134945869E-2</v>
      </c>
      <c r="P4" s="7">
        <v>-3.8603350520133972E-2</v>
      </c>
      <c r="Q4" s="7">
        <v>-2.759944461286068E-2</v>
      </c>
      <c r="R4" s="7">
        <v>-3.4391477704048157E-2</v>
      </c>
      <c r="S4" s="7">
        <v>-2.9038142412900921E-2</v>
      </c>
      <c r="T4" s="7">
        <v>-2.833585441112518E-2</v>
      </c>
      <c r="U4" s="7">
        <v>-2.941813692450523E-2</v>
      </c>
      <c r="V4" s="7">
        <v>-2.7863774448633191E-2</v>
      </c>
      <c r="W4" s="7">
        <v>-2.7849160134792331E-2</v>
      </c>
      <c r="X4" s="7">
        <v>-2.8446506708860401E-2</v>
      </c>
      <c r="Y4" s="7">
        <v>-3.2019693404436111E-2</v>
      </c>
      <c r="Z4" s="7">
        <v>-3.0283678323030468E-2</v>
      </c>
      <c r="AA4" s="7">
        <v>-3.0246995389461521E-2</v>
      </c>
      <c r="AB4" s="7">
        <v>-2.8815284371376041E-2</v>
      </c>
      <c r="AC4" s="7">
        <v>-2.7407234534621239E-2</v>
      </c>
      <c r="AD4" s="7">
        <v>-2.898864634335041E-2</v>
      </c>
      <c r="AE4" s="7">
        <v>-2.8777450323104858E-2</v>
      </c>
      <c r="AF4" s="7">
        <v>-2.8814757242798809E-2</v>
      </c>
      <c r="AG4" s="7">
        <v>-2.831188403069973E-2</v>
      </c>
      <c r="AH4" s="7">
        <v>-1.9194178283214569E-2</v>
      </c>
      <c r="AI4" s="7">
        <v>-3.4112200140953057E-2</v>
      </c>
      <c r="AJ4" s="7">
        <v>-3.3533770591020577E-2</v>
      </c>
      <c r="AK4" s="7">
        <v>-2.8310606256127361E-2</v>
      </c>
      <c r="AL4" s="7">
        <v>-2.774333767592907E-2</v>
      </c>
      <c r="AM4" s="7">
        <v>-2.9019186273217201E-2</v>
      </c>
      <c r="AN4" s="7">
        <v>-2.502996101975441E-2</v>
      </c>
      <c r="AO4" s="7">
        <v>-3.3972892910242081E-2</v>
      </c>
      <c r="AP4" s="7">
        <v>-3.3305540680885308E-2</v>
      </c>
      <c r="AQ4" s="7">
        <v>-2.1524986252188679E-2</v>
      </c>
      <c r="AR4" s="7">
        <v>-2.6041945442557331E-2</v>
      </c>
      <c r="AS4" s="7">
        <v>-2.919994480907917E-2</v>
      </c>
      <c r="AT4" s="7">
        <v>-2.6011202484369281E-2</v>
      </c>
      <c r="AU4" s="7">
        <v>-3.079905174672604E-2</v>
      </c>
      <c r="AV4" s="7">
        <v>-3.2425452023744583E-2</v>
      </c>
      <c r="AW4" s="7">
        <v>-2.7081644162535671E-2</v>
      </c>
      <c r="AX4" s="7">
        <v>-2.642828598618507E-2</v>
      </c>
      <c r="AY4" s="7">
        <v>-3.4108471125364297E-2</v>
      </c>
      <c r="AZ4" s="7">
        <v>-2.7424925938248631E-2</v>
      </c>
      <c r="BA4" s="7">
        <v>-3.0970403924584389E-2</v>
      </c>
      <c r="BB4" s="7">
        <v>-3.367852047085762E-2</v>
      </c>
      <c r="BC4" s="7">
        <v>-3.1590018421411507E-2</v>
      </c>
      <c r="BD4" s="7">
        <v>-3.1616535037755973E-2</v>
      </c>
      <c r="BE4" s="7">
        <v>-3.2695736736059189E-2</v>
      </c>
      <c r="BF4" s="7">
        <v>-3.0927835032343861E-2</v>
      </c>
      <c r="BG4" s="7">
        <v>-3.1922973692417138E-2</v>
      </c>
      <c r="BH4" s="7">
        <v>-3.0257755890488621E-2</v>
      </c>
      <c r="BI4" s="7">
        <v>-3.1059287488460541E-2</v>
      </c>
      <c r="BJ4" s="7">
        <v>-3.0570598319172859E-2</v>
      </c>
      <c r="BK4" s="7">
        <v>-3.2292433083057397E-2</v>
      </c>
      <c r="BL4" s="7">
        <v>-3.1591743230819702E-2</v>
      </c>
      <c r="BM4" s="7">
        <v>-3.1662788242101669E-2</v>
      </c>
      <c r="BN4" s="7">
        <v>-2.610741555690765E-2</v>
      </c>
      <c r="BO4" s="7">
        <v>-2.3562490940093991E-2</v>
      </c>
      <c r="BP4" s="7">
        <v>-2.617854438722134E-2</v>
      </c>
      <c r="BQ4" s="7">
        <v>-3.3056959509849548E-2</v>
      </c>
      <c r="BR4" s="7">
        <v>-1.128055993467569E-2</v>
      </c>
      <c r="BS4" s="7">
        <v>-3.5085532814264297E-2</v>
      </c>
      <c r="BT4" s="7">
        <v>-2.58201640099287E-2</v>
      </c>
      <c r="BU4" s="7">
        <v>-3.6126136779785163E-2</v>
      </c>
      <c r="BV4" s="7">
        <v>-3.359081968665123E-2</v>
      </c>
      <c r="BW4" s="7">
        <v>-2.3733723908662799E-2</v>
      </c>
      <c r="BX4" s="7">
        <v>-3.2635565847158432E-2</v>
      </c>
      <c r="BY4" s="7">
        <v>-3.1805727630853653E-2</v>
      </c>
      <c r="BZ4" s="7">
        <v>-3.6172635853290558E-2</v>
      </c>
      <c r="CA4" s="7">
        <v>-3.2387357205152512E-2</v>
      </c>
      <c r="CB4" s="7">
        <v>-2.5262787938117981E-2</v>
      </c>
      <c r="CC4" s="7">
        <v>-2.8844675049185749E-2</v>
      </c>
      <c r="CD4" s="7">
        <v>-2.602348476648331E-2</v>
      </c>
      <c r="CE4" s="7">
        <v>-3.1458467245101929E-2</v>
      </c>
      <c r="CF4" s="7">
        <v>-3.0874317511916161E-2</v>
      </c>
      <c r="CG4" s="7">
        <v>-3.0603308230638501E-2</v>
      </c>
      <c r="CH4" s="7">
        <v>-3.1181734055280689E-2</v>
      </c>
      <c r="CI4" s="7">
        <v>-3.0873250216245651E-2</v>
      </c>
      <c r="CJ4" s="7">
        <v>-3.3130954951047897E-2</v>
      </c>
      <c r="CK4" s="7">
        <v>-3.1993120908737183E-2</v>
      </c>
      <c r="CL4" s="7">
        <v>-3.1403221189975739E-2</v>
      </c>
      <c r="CM4" s="7">
        <v>-3.055758960545063E-2</v>
      </c>
      <c r="CN4" s="7">
        <v>-3.158419206738472E-2</v>
      </c>
      <c r="CO4" s="7">
        <v>-3.0493555590510368E-2</v>
      </c>
      <c r="CP4" s="7">
        <v>-3.0075728893280029E-2</v>
      </c>
      <c r="CQ4" s="7">
        <v>-3.1882248818874359E-2</v>
      </c>
      <c r="CR4" s="7">
        <v>-2.9686905443668369E-2</v>
      </c>
      <c r="CS4" s="7">
        <v>-3.0936697497963909E-2</v>
      </c>
      <c r="CT4" s="7">
        <v>-2.3143557831645008E-2</v>
      </c>
      <c r="CU4" s="7">
        <v>-2.669419534504414E-2</v>
      </c>
      <c r="CV4" s="7">
        <v>-2.8416210785508159E-2</v>
      </c>
      <c r="CW4" s="7">
        <v>-3.165663406252861E-2</v>
      </c>
      <c r="CX4" s="7">
        <v>-2.7832625433802601E-2</v>
      </c>
      <c r="CY4" s="7">
        <v>-2.800340577960014E-2</v>
      </c>
      <c r="CZ4" s="7">
        <v>-2.5719694793224331E-2</v>
      </c>
      <c r="DA4" s="7">
        <v>-2.8508313000202179E-2</v>
      </c>
      <c r="DB4" s="7">
        <v>-3.3405143767595291E-2</v>
      </c>
      <c r="DC4" s="7">
        <v>-3.2501105219125748E-2</v>
      </c>
      <c r="DD4" s="7">
        <v>-3.2169993966817863E-2</v>
      </c>
      <c r="DE4" s="7">
        <v>-2.960301004350185E-2</v>
      </c>
      <c r="DF4" s="7">
        <v>-2.9721861705183979E-2</v>
      </c>
      <c r="DG4" s="7">
        <v>-2.7562553063035011E-2</v>
      </c>
      <c r="DH4" s="7">
        <v>-2.9859393835067749E-2</v>
      </c>
      <c r="DI4" s="7">
        <v>-2.980837412178516E-2</v>
      </c>
      <c r="DJ4" s="7">
        <v>-2.9853928834199909E-2</v>
      </c>
      <c r="DK4" s="7">
        <v>-3.0000308528542519E-2</v>
      </c>
      <c r="DL4" s="7">
        <v>-3.0369654297828671E-2</v>
      </c>
      <c r="DM4" s="7">
        <v>-2.8095215559005741E-2</v>
      </c>
      <c r="DN4" s="7">
        <v>-2.7387175709009171E-2</v>
      </c>
      <c r="DO4" s="7">
        <v>-2.8688935562968251E-2</v>
      </c>
      <c r="DP4" s="7">
        <v>-2.6695942506194111E-2</v>
      </c>
      <c r="DQ4" s="7">
        <v>-2.7622180059552189E-2</v>
      </c>
      <c r="DR4" s="7">
        <v>-2.868570946156979E-2</v>
      </c>
      <c r="DS4" s="7">
        <v>-2.8020348399877552E-2</v>
      </c>
      <c r="DT4" s="7">
        <v>-2.8484757989645001E-2</v>
      </c>
      <c r="DU4" s="7">
        <v>-2.8132598847150799E-2</v>
      </c>
      <c r="DV4" s="7">
        <v>-2.805108763277531E-2</v>
      </c>
      <c r="DW4" s="7">
        <v>-2.617622725665569E-2</v>
      </c>
      <c r="DX4" s="7">
        <v>-2.7581527829170231E-2</v>
      </c>
      <c r="DY4" s="7">
        <v>-2.975381538271904E-2</v>
      </c>
      <c r="DZ4" s="7">
        <v>-2.468108385801315E-2</v>
      </c>
      <c r="EA4" s="7">
        <v>-2.618090808391571E-2</v>
      </c>
      <c r="EB4" s="7">
        <v>-2.629938721656799E-2</v>
      </c>
      <c r="EC4" s="7">
        <v>-2.841800823807716E-2</v>
      </c>
      <c r="ED4" s="7">
        <v>-2.3903857916593552E-2</v>
      </c>
      <c r="EE4" s="7">
        <v>-3.5055045038461692E-2</v>
      </c>
      <c r="EF4" s="7">
        <v>-2.8889276087284092E-2</v>
      </c>
      <c r="EG4" s="1"/>
    </row>
    <row r="5" spans="1:137" x14ac:dyDescent="0.3">
      <c r="B5" s="1" t="s">
        <v>139</v>
      </c>
      <c r="C5" s="7">
        <v>-4.4859377667307854E-3</v>
      </c>
      <c r="D5" s="7">
        <v>-6.8200877867639056E-3</v>
      </c>
      <c r="E5" s="7">
        <v>-5.4813064634799957E-3</v>
      </c>
      <c r="F5" s="7">
        <v>-5.0773276016116142E-3</v>
      </c>
      <c r="G5" s="7">
        <v>-7.5386962853372097E-3</v>
      </c>
      <c r="H5" s="7">
        <v>-5.7653272524476051E-3</v>
      </c>
      <c r="I5" s="7">
        <v>-6.6190301440656194E-3</v>
      </c>
      <c r="J5" s="7">
        <v>-6.4722471870481968E-3</v>
      </c>
      <c r="K5" s="7">
        <v>-6.9217742420732984E-3</v>
      </c>
      <c r="L5" s="7">
        <v>-8.1595247611403465E-3</v>
      </c>
      <c r="M5" s="7">
        <v>-6.8620475940406322E-3</v>
      </c>
      <c r="N5" s="7">
        <v>1.252861600369215E-2</v>
      </c>
      <c r="O5" s="7">
        <v>2.116494998335838E-2</v>
      </c>
      <c r="P5" s="7">
        <v>1.739406026899815E-2</v>
      </c>
      <c r="Q5" s="7">
        <v>3.5704248584806919E-3</v>
      </c>
      <c r="R5" s="7">
        <v>-3.3342731185257431E-3</v>
      </c>
      <c r="S5" s="7">
        <v>-2.953482791781425E-3</v>
      </c>
      <c r="T5" s="7">
        <v>5.4125995375216007E-3</v>
      </c>
      <c r="U5" s="7">
        <v>3.649678081274033E-3</v>
      </c>
      <c r="V5" s="7">
        <v>2.270904369652271E-4</v>
      </c>
      <c r="W5" s="7">
        <v>5.8551557594910264E-4</v>
      </c>
      <c r="X5" s="7">
        <v>-4.6764584258198738E-3</v>
      </c>
      <c r="Y5" s="7">
        <v>-1.0939233936369421E-2</v>
      </c>
      <c r="Z5" s="7">
        <v>-3.0490474309772249E-3</v>
      </c>
      <c r="AA5" s="7">
        <v>-9.5849381759762764E-3</v>
      </c>
      <c r="AB5" s="7">
        <v>-8.1401970237493515E-3</v>
      </c>
      <c r="AC5" s="7">
        <v>-1.4467183500528341E-2</v>
      </c>
      <c r="AD5" s="7">
        <v>-1.123427972197533E-2</v>
      </c>
      <c r="AE5" s="7">
        <v>-9.2621175572276115E-3</v>
      </c>
      <c r="AF5" s="7">
        <v>-5.3848703391849986E-3</v>
      </c>
      <c r="AG5" s="7">
        <v>-6.0870260931551456E-3</v>
      </c>
      <c r="AH5" s="7">
        <v>-4.9908352084457874E-3</v>
      </c>
      <c r="AI5" s="7">
        <v>-3.714363789185882E-3</v>
      </c>
      <c r="AJ5" s="7">
        <v>-3.0339192599058151E-3</v>
      </c>
      <c r="AK5" s="7">
        <v>-6.4367637969553471E-3</v>
      </c>
      <c r="AL5" s="7">
        <v>-5.2836518734693527E-3</v>
      </c>
      <c r="AM5" s="7">
        <v>-8.0291330814361572E-3</v>
      </c>
      <c r="AN5" s="7">
        <v>-2.414187416434288E-3</v>
      </c>
      <c r="AO5" s="7">
        <v>-4.0044100023806104E-3</v>
      </c>
      <c r="AP5" s="7">
        <v>-6.2916334718465814E-3</v>
      </c>
      <c r="AQ5" s="7">
        <v>-9.1414758935570717E-4</v>
      </c>
      <c r="AR5" s="7">
        <v>-3.6019191611558199E-3</v>
      </c>
      <c r="AS5" s="7">
        <v>-1.877752598375082E-3</v>
      </c>
      <c r="AT5" s="7">
        <v>1.3957321643829349E-2</v>
      </c>
      <c r="AU5" s="7">
        <v>-6.8398695439100274E-3</v>
      </c>
      <c r="AV5" s="7">
        <v>1.6089035198092461E-2</v>
      </c>
      <c r="AW5" s="7">
        <v>8.8390298187732697E-3</v>
      </c>
      <c r="AX5" s="7">
        <v>-8.7636327371001244E-3</v>
      </c>
      <c r="AY5" s="7">
        <v>-9.5747923478484154E-4</v>
      </c>
      <c r="AZ5" s="7">
        <v>1.068404782563448E-2</v>
      </c>
      <c r="BA5" s="7">
        <v>-9.2858576681464911E-4</v>
      </c>
      <c r="BB5" s="7">
        <v>-7.0844977162778378E-3</v>
      </c>
      <c r="BC5" s="7">
        <v>1.5302810352295639E-3</v>
      </c>
      <c r="BD5" s="7">
        <v>-1.6690796241164211E-2</v>
      </c>
      <c r="BE5" s="7">
        <v>-6.3488553278148174E-3</v>
      </c>
      <c r="BF5" s="7">
        <v>5.3580378880724311E-4</v>
      </c>
      <c r="BG5" s="7">
        <v>-6.999872624874115E-3</v>
      </c>
      <c r="BH5" s="7">
        <v>-4.2074462398886681E-3</v>
      </c>
      <c r="BI5" s="7">
        <v>1.158756494987756E-4</v>
      </c>
      <c r="BJ5" s="7">
        <v>-2.9089913005009288E-4</v>
      </c>
      <c r="BK5" s="7">
        <v>-7.6996879652142516E-3</v>
      </c>
      <c r="BL5" s="7">
        <v>-1.872283290140331E-3</v>
      </c>
      <c r="BM5" s="7">
        <v>-3.0023134313523769E-3</v>
      </c>
      <c r="BN5" s="7">
        <v>-7.6709676068276167E-4</v>
      </c>
      <c r="BO5" s="7">
        <v>-4.3879691511392593E-3</v>
      </c>
      <c r="BP5" s="7">
        <v>-6.4803927671164274E-4</v>
      </c>
      <c r="BQ5" s="7">
        <v>8.2660757470875978E-4</v>
      </c>
      <c r="BR5" s="7">
        <v>5.6157034123316407E-4</v>
      </c>
      <c r="BS5" s="7">
        <v>-7.1664521237835288E-4</v>
      </c>
      <c r="BT5" s="7">
        <v>2.214284613728523E-4</v>
      </c>
      <c r="BU5" s="7">
        <v>-3.9298809133470058E-3</v>
      </c>
      <c r="BV5" s="7">
        <v>-1.6508846310898659E-3</v>
      </c>
      <c r="BW5" s="7">
        <v>-3.9023426361382012E-3</v>
      </c>
      <c r="BX5" s="7">
        <v>-2.188328886404634E-3</v>
      </c>
      <c r="BY5" s="7">
        <v>-2.6024996768683199E-3</v>
      </c>
      <c r="BZ5" s="7">
        <v>9.5953454729169607E-4</v>
      </c>
      <c r="CA5" s="7">
        <v>-1.6565380617976189E-2</v>
      </c>
      <c r="CB5" s="7">
        <v>-1.8035173416137699E-2</v>
      </c>
      <c r="CC5" s="7">
        <v>-8.9683076366782188E-3</v>
      </c>
      <c r="CD5" s="7">
        <v>-6.0307895764708519E-3</v>
      </c>
      <c r="CE5" s="7">
        <v>5.0105219706892967E-3</v>
      </c>
      <c r="CF5" s="7">
        <v>-4.9714795313775539E-3</v>
      </c>
      <c r="CG5" s="7">
        <v>-1.114965882152319E-3</v>
      </c>
      <c r="CH5" s="7">
        <v>-2.4325137492269282E-3</v>
      </c>
      <c r="CI5" s="7">
        <v>-6.1631430871784687E-3</v>
      </c>
      <c r="CJ5" s="7">
        <v>4.2279856279492378E-3</v>
      </c>
      <c r="CK5" s="7">
        <v>-6.7698555067181587E-3</v>
      </c>
      <c r="CL5" s="7">
        <v>-6.6941976547241211E-3</v>
      </c>
      <c r="CM5" s="7">
        <v>3.5807006061077118E-3</v>
      </c>
      <c r="CN5" s="7">
        <v>-1.4969374751672151E-3</v>
      </c>
      <c r="CO5" s="7">
        <v>2.3237979039549832E-3</v>
      </c>
      <c r="CP5" s="7">
        <v>-3.0186986550688739E-3</v>
      </c>
      <c r="CQ5" s="7">
        <v>-4.3872222304344177E-3</v>
      </c>
      <c r="CR5" s="7">
        <v>1.531448448076844E-3</v>
      </c>
      <c r="CS5" s="7">
        <v>-9.979248046875E-3</v>
      </c>
      <c r="CT5" s="7">
        <v>9.1006222646683455E-7</v>
      </c>
      <c r="CU5" s="7">
        <v>-5.6005371734499931E-3</v>
      </c>
      <c r="CV5" s="7">
        <v>-5.0555798225104809E-4</v>
      </c>
      <c r="CW5" s="7">
        <v>-3.7418641149997711E-3</v>
      </c>
      <c r="CX5" s="7">
        <v>-9.7009673481807113E-4</v>
      </c>
      <c r="CY5" s="7">
        <v>-2.0875819027423859E-3</v>
      </c>
      <c r="CZ5" s="7">
        <v>1.8259149510413411E-4</v>
      </c>
      <c r="DA5" s="7">
        <v>-1.4453929616138339E-3</v>
      </c>
      <c r="DB5" s="7">
        <v>-3.3683381043374538E-3</v>
      </c>
      <c r="DC5" s="7">
        <v>-3.631327068433166E-3</v>
      </c>
      <c r="DD5" s="7">
        <v>-4.7991173341870308E-3</v>
      </c>
      <c r="DE5" s="7">
        <v>-4.8127742484211922E-3</v>
      </c>
      <c r="DF5" s="7">
        <v>-2.241785824298859E-2</v>
      </c>
      <c r="DG5" s="7">
        <v>-8.7505551055073738E-3</v>
      </c>
      <c r="DH5" s="7">
        <v>-3.5138267558068041E-3</v>
      </c>
      <c r="DI5" s="7">
        <v>-1.633320190012455E-2</v>
      </c>
      <c r="DJ5" s="7">
        <v>7.2971731424331674E-3</v>
      </c>
      <c r="DK5" s="7">
        <v>-6.0421060770750046E-3</v>
      </c>
      <c r="DL5" s="7">
        <v>-3.903053468093276E-3</v>
      </c>
      <c r="DM5" s="7">
        <v>-4.8651336692273622E-4</v>
      </c>
      <c r="DN5" s="7">
        <v>-3.7150892894715071E-3</v>
      </c>
      <c r="DO5" s="7">
        <v>2.846660558134317E-3</v>
      </c>
      <c r="DP5" s="7">
        <v>-6.1275581829249859E-3</v>
      </c>
      <c r="DQ5" s="7">
        <v>-4.6822321601212016E-3</v>
      </c>
      <c r="DR5" s="7">
        <v>-7.945704273879528E-3</v>
      </c>
      <c r="DS5" s="7">
        <v>-4.489201121032238E-3</v>
      </c>
      <c r="DT5" s="7">
        <v>-2.3234868422150609E-4</v>
      </c>
      <c r="DU5" s="7">
        <v>-5.6635183282196522E-3</v>
      </c>
      <c r="DV5" s="7">
        <v>-3.1887232325971131E-3</v>
      </c>
      <c r="DW5" s="7">
        <v>-7.0267864502966404E-3</v>
      </c>
      <c r="DX5" s="7">
        <v>-6.6850422881543636E-3</v>
      </c>
      <c r="DY5" s="7">
        <v>-3.3572383690625429E-3</v>
      </c>
      <c r="DZ5" s="7">
        <v>-2.0100448746234179E-3</v>
      </c>
      <c r="EA5" s="7">
        <v>-2.5590537115931511E-3</v>
      </c>
      <c r="EB5" s="7">
        <v>-4.5051481574773788E-3</v>
      </c>
      <c r="EC5" s="7">
        <v>-4.6272263862192631E-3</v>
      </c>
      <c r="ED5" s="7">
        <v>-6.3249031081795692E-3</v>
      </c>
      <c r="EE5" s="7">
        <v>-5.9059690684080124E-3</v>
      </c>
      <c r="EF5" s="7">
        <v>-6.181029137223959E-3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1</v>
      </c>
      <c r="D6" s="7">
        <f t="array" ref="D6">MATCH(MAX(ABS(D3:D5)), ABS(D3:D5), 0)</f>
        <v>1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1</v>
      </c>
      <c r="N6" s="7">
        <f t="array" ref="N6">MATCH(MAX(ABS(N3:N5)), ABS(N3:N5), 0)</f>
        <v>1</v>
      </c>
      <c r="O6" s="7">
        <f t="array" ref="O6">MATCH(MAX(ABS(O3:O5)), ABS(O3:O5), 0)</f>
        <v>1</v>
      </c>
      <c r="P6" s="7">
        <f t="array" ref="P6">MATCH(MAX(ABS(P3:P5)), ABS(P3:P5), 0)</f>
        <v>1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1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1</v>
      </c>
      <c r="W6" s="7">
        <f t="array" ref="W6">MATCH(MAX(ABS(W3:W5)), ABS(W3:W5), 0)</f>
        <v>1</v>
      </c>
      <c r="X6" s="7">
        <f t="array" ref="X6">MATCH(MAX(ABS(X3:X5)), ABS(X3:X5), 0)</f>
        <v>1</v>
      </c>
      <c r="Y6" s="7">
        <f t="array" ref="Y6">MATCH(MAX(ABS(Y3:Y5)), ABS(Y3:Y5), 0)</f>
        <v>1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1</v>
      </c>
      <c r="AD6" s="7">
        <f t="array" ref="AD6">MATCH(MAX(ABS(AD3:AD5)), ABS(AD3:AD5), 0)</f>
        <v>1</v>
      </c>
      <c r="AE6" s="7">
        <f t="array" ref="AE6">MATCH(MAX(ABS(AE3:AE5)), ABS(AE3:AE5), 0)</f>
        <v>1</v>
      </c>
      <c r="AF6" s="7">
        <f t="array" ref="AF6">MATCH(MAX(ABS(AF3:AF5)), ABS(AF3:AF5), 0)</f>
        <v>1</v>
      </c>
      <c r="AG6" s="7">
        <f t="array" ref="AG6">MATCH(MAX(ABS(AG3:AG5)), ABS(AG3:AG5), 0)</f>
        <v>1</v>
      </c>
      <c r="AH6" s="7">
        <f t="array" ref="AH6">MATCH(MAX(ABS(AH3:AH5)), ABS(AH3:AH5), 0)</f>
        <v>1</v>
      </c>
      <c r="AI6" s="7">
        <f t="array" ref="AI6">MATCH(MAX(ABS(AI3:AI5)), ABS(AI3:AI5), 0)</f>
        <v>2</v>
      </c>
      <c r="AJ6" s="7">
        <f t="array" ref="AJ6">MATCH(MAX(ABS(AJ3:AJ5)), ABS(AJ3:AJ5), 0)</f>
        <v>2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1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1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1</v>
      </c>
      <c r="CF6" s="7">
        <f t="array" ref="CF6">MATCH(MAX(ABS(CF3:CF5)), ABS(CF3:CF5), 0)</f>
        <v>1</v>
      </c>
      <c r="CG6" s="7">
        <f t="array" ref="CG6">MATCH(MAX(ABS(CG3:CG5)), ABS(CG3:CG5), 0)</f>
        <v>1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1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1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1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1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1</v>
      </c>
      <c r="DZ6" s="7">
        <f t="array" ref="DZ6">MATCH(MAX(ABS(DZ3:DZ5)), ABS(DZ3:DZ5), 0)</f>
        <v>1</v>
      </c>
      <c r="EA6" s="7">
        <f t="array" ref="EA6">MATCH(MAX(ABS(EA3:EA5)), ABS(EA3:EA5), 0)</f>
        <v>1</v>
      </c>
      <c r="EB6" s="7">
        <f t="array" ref="EB6">MATCH(MAX(ABS(EB3:EB5)), ABS(EB3:EB5), 0)</f>
        <v>1</v>
      </c>
      <c r="EC6" s="7">
        <f t="array" ref="EC6">MATCH(MAX(ABS(EC3:EC5)), ABS(EC3:EC5), 0)</f>
        <v>1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bm</v>
      </c>
      <c r="D7" s="7" t="str">
        <f t="shared" si="0"/>
        <v>bm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bm</v>
      </c>
      <c r="K7" s="7" t="str">
        <f t="shared" si="0"/>
        <v>bm</v>
      </c>
      <c r="L7" s="7" t="str">
        <f t="shared" si="0"/>
        <v>bm</v>
      </c>
      <c r="M7" s="7" t="str">
        <f t="shared" si="0"/>
        <v>bm</v>
      </c>
      <c r="N7" s="7" t="str">
        <f t="shared" si="0"/>
        <v>bm</v>
      </c>
      <c r="O7" s="7" t="str">
        <f t="shared" si="0"/>
        <v>bm</v>
      </c>
      <c r="P7" s="7" t="str">
        <f t="shared" si="0"/>
        <v>bm</v>
      </c>
      <c r="Q7" s="7" t="str">
        <f t="shared" si="0"/>
        <v>bm</v>
      </c>
      <c r="R7" s="7" t="str">
        <f t="shared" si="0"/>
        <v>bm</v>
      </c>
      <c r="S7" s="7" t="str">
        <f t="shared" si="0"/>
        <v>bm</v>
      </c>
      <c r="T7" s="7" t="str">
        <f t="shared" si="0"/>
        <v>bm</v>
      </c>
      <c r="U7" s="7" t="str">
        <f t="shared" si="0"/>
        <v>bm</v>
      </c>
      <c r="V7" s="7" t="str">
        <f t="shared" si="0"/>
        <v>bm</v>
      </c>
      <c r="W7" s="7" t="str">
        <f t="shared" si="0"/>
        <v>bm</v>
      </c>
      <c r="X7" s="7" t="str">
        <f t="shared" si="0"/>
        <v>bm</v>
      </c>
      <c r="Y7" s="7" t="str">
        <f t="shared" si="0"/>
        <v>bm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bm</v>
      </c>
      <c r="AD7" s="7" t="str">
        <f t="shared" si="0"/>
        <v>bm</v>
      </c>
      <c r="AE7" s="7" t="str">
        <f t="shared" si="0"/>
        <v>bm</v>
      </c>
      <c r="AF7" s="7" t="str">
        <f t="shared" si="0"/>
        <v>bm</v>
      </c>
      <c r="AG7" s="7" t="str">
        <f t="shared" si="0"/>
        <v>bm</v>
      </c>
      <c r="AH7" s="7" t="str">
        <f t="shared" si="0"/>
        <v>bm</v>
      </c>
      <c r="AI7" s="7" t="str">
        <f t="shared" si="0"/>
        <v>size</v>
      </c>
      <c r="AJ7" s="7" t="str">
        <f t="shared" si="0"/>
        <v>size</v>
      </c>
      <c r="AK7" s="7" t="str">
        <f t="shared" si="0"/>
        <v>bm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bm</v>
      </c>
      <c r="AS7" s="7" t="str">
        <f t="shared" si="0"/>
        <v>bm</v>
      </c>
      <c r="AT7" s="7" t="str">
        <f t="shared" si="0"/>
        <v>bm</v>
      </c>
      <c r="AU7" s="7" t="str">
        <f t="shared" si="0"/>
        <v>bm</v>
      </c>
      <c r="AV7" s="7" t="str">
        <f t="shared" si="0"/>
        <v>bm</v>
      </c>
      <c r="AW7" s="7" t="str">
        <f t="shared" si="0"/>
        <v>bm</v>
      </c>
      <c r="AX7" s="7" t="str">
        <f t="shared" si="0"/>
        <v>bm</v>
      </c>
      <c r="AY7" s="7" t="str">
        <f t="shared" si="0"/>
        <v>bm</v>
      </c>
      <c r="AZ7" s="7" t="str">
        <f t="shared" si="0"/>
        <v>bm</v>
      </c>
      <c r="BA7" s="7" t="str">
        <f t="shared" si="0"/>
        <v>bm</v>
      </c>
      <c r="BB7" s="7" t="str">
        <f t="shared" si="0"/>
        <v>bm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bm</v>
      </c>
      <c r="BG7" s="7" t="str">
        <f t="shared" si="0"/>
        <v>bm</v>
      </c>
      <c r="BH7" s="7" t="str">
        <f t="shared" si="0"/>
        <v>bm</v>
      </c>
      <c r="BI7" s="7" t="str">
        <f t="shared" si="0"/>
        <v>bm</v>
      </c>
      <c r="BJ7" s="7" t="str">
        <f t="shared" si="0"/>
        <v>bm</v>
      </c>
      <c r="BK7" s="7" t="str">
        <f t="shared" si="0"/>
        <v>bm</v>
      </c>
      <c r="BL7" s="7" t="str">
        <f t="shared" si="0"/>
        <v>bm</v>
      </c>
      <c r="BM7" s="7" t="str">
        <f t="shared" si="0"/>
        <v>bm</v>
      </c>
      <c r="BN7" s="7" t="str">
        <f t="shared" si="0"/>
        <v>bm</v>
      </c>
      <c r="BO7" s="7" t="str">
        <f t="shared" ref="BO7:DZ7" si="1">IF(BO6=1,"bm",IF(BO6=2,"size",IF(BO6=3,"mom")))</f>
        <v>bm</v>
      </c>
      <c r="BP7" s="7" t="str">
        <f t="shared" si="1"/>
        <v>bm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bm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bm</v>
      </c>
      <c r="BZ7" s="7" t="str">
        <f t="shared" si="1"/>
        <v>bm</v>
      </c>
      <c r="CA7" s="7" t="str">
        <f t="shared" si="1"/>
        <v>bm</v>
      </c>
      <c r="CB7" s="7" t="str">
        <f t="shared" si="1"/>
        <v>bm</v>
      </c>
      <c r="CC7" s="7" t="str">
        <f t="shared" si="1"/>
        <v>bm</v>
      </c>
      <c r="CD7" s="7" t="str">
        <f t="shared" si="1"/>
        <v>bm</v>
      </c>
      <c r="CE7" s="7" t="str">
        <f t="shared" si="1"/>
        <v>bm</v>
      </c>
      <c r="CF7" s="7" t="str">
        <f t="shared" si="1"/>
        <v>bm</v>
      </c>
      <c r="CG7" s="7" t="str">
        <f t="shared" si="1"/>
        <v>bm</v>
      </c>
      <c r="CH7" s="7" t="str">
        <f t="shared" si="1"/>
        <v>bm</v>
      </c>
      <c r="CI7" s="7" t="str">
        <f t="shared" si="1"/>
        <v>bm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bm</v>
      </c>
      <c r="CN7" s="7" t="str">
        <f t="shared" si="1"/>
        <v>bm</v>
      </c>
      <c r="CO7" s="7" t="str">
        <f t="shared" si="1"/>
        <v>bm</v>
      </c>
      <c r="CP7" s="7" t="str">
        <f t="shared" si="1"/>
        <v>bm</v>
      </c>
      <c r="CQ7" s="7" t="str">
        <f t="shared" si="1"/>
        <v>bm</v>
      </c>
      <c r="CR7" s="7" t="str">
        <f t="shared" si="1"/>
        <v>bm</v>
      </c>
      <c r="CS7" s="7" t="str">
        <f t="shared" si="1"/>
        <v>bm</v>
      </c>
      <c r="CT7" s="7" t="str">
        <f t="shared" si="1"/>
        <v>bm</v>
      </c>
      <c r="CU7" s="7" t="str">
        <f t="shared" si="1"/>
        <v>bm</v>
      </c>
      <c r="CV7" s="7" t="str">
        <f t="shared" si="1"/>
        <v>bm</v>
      </c>
      <c r="CW7" s="7" t="str">
        <f t="shared" si="1"/>
        <v>bm</v>
      </c>
      <c r="CX7" s="7" t="str">
        <f t="shared" si="1"/>
        <v>bm</v>
      </c>
      <c r="CY7" s="7" t="str">
        <f t="shared" si="1"/>
        <v>bm</v>
      </c>
      <c r="CZ7" s="7" t="str">
        <f t="shared" si="1"/>
        <v>bm</v>
      </c>
      <c r="DA7" s="7" t="str">
        <f t="shared" si="1"/>
        <v>bm</v>
      </c>
      <c r="DB7" s="7" t="str">
        <f t="shared" si="1"/>
        <v>bm</v>
      </c>
      <c r="DC7" s="7" t="str">
        <f t="shared" si="1"/>
        <v>bm</v>
      </c>
      <c r="DD7" s="7" t="str">
        <f t="shared" si="1"/>
        <v>bm</v>
      </c>
      <c r="DE7" s="7" t="str">
        <f t="shared" si="1"/>
        <v>bm</v>
      </c>
      <c r="DF7" s="7" t="str">
        <f t="shared" si="1"/>
        <v>bm</v>
      </c>
      <c r="DG7" s="7" t="str">
        <f t="shared" si="1"/>
        <v>bm</v>
      </c>
      <c r="DH7" s="7" t="str">
        <f t="shared" si="1"/>
        <v>bm</v>
      </c>
      <c r="DI7" s="7" t="str">
        <f t="shared" si="1"/>
        <v>bm</v>
      </c>
      <c r="DJ7" s="7" t="str">
        <f t="shared" si="1"/>
        <v>bm</v>
      </c>
      <c r="DK7" s="7" t="str">
        <f t="shared" si="1"/>
        <v>bm</v>
      </c>
      <c r="DL7" s="7" t="str">
        <f t="shared" si="1"/>
        <v>bm</v>
      </c>
      <c r="DM7" s="7" t="str">
        <f t="shared" si="1"/>
        <v>bm</v>
      </c>
      <c r="DN7" s="7" t="str">
        <f t="shared" si="1"/>
        <v>bm</v>
      </c>
      <c r="DO7" s="7" t="str">
        <f t="shared" si="1"/>
        <v>bm</v>
      </c>
      <c r="DP7" s="7" t="str">
        <f t="shared" si="1"/>
        <v>bm</v>
      </c>
      <c r="DQ7" s="7" t="str">
        <f t="shared" si="1"/>
        <v>bm</v>
      </c>
      <c r="DR7" s="7" t="str">
        <f t="shared" si="1"/>
        <v>bm</v>
      </c>
      <c r="DS7" s="7" t="str">
        <f t="shared" si="1"/>
        <v>bm</v>
      </c>
      <c r="DT7" s="7" t="str">
        <f t="shared" si="1"/>
        <v>bm</v>
      </c>
      <c r="DU7" s="7" t="str">
        <f t="shared" si="1"/>
        <v>bm</v>
      </c>
      <c r="DV7" s="7" t="str">
        <f t="shared" si="1"/>
        <v>bm</v>
      </c>
      <c r="DW7" s="7" t="str">
        <f t="shared" si="1"/>
        <v>bm</v>
      </c>
      <c r="DX7" s="7" t="str">
        <f t="shared" si="1"/>
        <v>bm</v>
      </c>
      <c r="DY7" s="7" t="str">
        <f t="shared" si="1"/>
        <v>bm</v>
      </c>
      <c r="DZ7" s="7" t="str">
        <f t="shared" si="1"/>
        <v>bm</v>
      </c>
      <c r="EA7" s="7" t="str">
        <f t="shared" ref="EA7:EG7" si="2">IF(EA6=1,"bm",IF(EA6=2,"size",IF(EA6=3,"mom")))</f>
        <v>bm</v>
      </c>
      <c r="EB7" s="7" t="str">
        <f t="shared" si="2"/>
        <v>bm</v>
      </c>
      <c r="EC7" s="7" t="str">
        <f t="shared" si="2"/>
        <v>bm</v>
      </c>
      <c r="ED7" s="7" t="str">
        <f t="shared" si="2"/>
        <v>bm</v>
      </c>
      <c r="EE7" s="7" t="str">
        <f t="shared" si="2"/>
        <v>bm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7.3912657797336578E-2</v>
      </c>
      <c r="D8" s="7">
        <f t="shared" si="3"/>
        <v>7.5614765286445618E-2</v>
      </c>
      <c r="E8" s="7">
        <f t="shared" si="3"/>
        <v>4.7493916004896157E-2</v>
      </c>
      <c r="F8" s="7">
        <f t="shared" si="3"/>
        <v>5.0458244979381561E-2</v>
      </c>
      <c r="G8" s="7">
        <f t="shared" si="3"/>
        <v>5.6787237524986267E-2</v>
      </c>
      <c r="H8" s="7">
        <f t="shared" si="3"/>
        <v>5.273602157831192E-2</v>
      </c>
      <c r="I8" s="7">
        <f t="shared" si="3"/>
        <v>5.543295294046402E-2</v>
      </c>
      <c r="J8" s="7">
        <f t="shared" si="3"/>
        <v>6.5687850117683411E-2</v>
      </c>
      <c r="K8" s="7">
        <f t="shared" si="3"/>
        <v>6.5738305449485779E-2</v>
      </c>
      <c r="L8" s="7">
        <f t="shared" si="3"/>
        <v>6.5104179084300995E-2</v>
      </c>
      <c r="M8" s="7">
        <f t="shared" si="3"/>
        <v>6.2918879091739655E-2</v>
      </c>
      <c r="N8" s="7">
        <f t="shared" si="3"/>
        <v>5.0446849316358573E-2</v>
      </c>
      <c r="O8" s="7">
        <f t="shared" si="3"/>
        <v>5.1143340766429901E-2</v>
      </c>
      <c r="P8" s="7">
        <f t="shared" si="3"/>
        <v>5.4307941347360611E-2</v>
      </c>
      <c r="Q8" s="7">
        <f t="shared" si="3"/>
        <v>5.3979594260454178E-2</v>
      </c>
      <c r="R8" s="7">
        <f t="shared" si="3"/>
        <v>5.9017296880483627E-2</v>
      </c>
      <c r="S8" s="7">
        <f t="shared" si="3"/>
        <v>5.8883927762508392E-2</v>
      </c>
      <c r="T8" s="7">
        <f t="shared" si="3"/>
        <v>5.8087721467018127E-2</v>
      </c>
      <c r="U8" s="7">
        <f t="shared" si="3"/>
        <v>5.8204345405101783E-2</v>
      </c>
      <c r="V8" s="7">
        <f t="shared" si="3"/>
        <v>5.6997735053300858E-2</v>
      </c>
      <c r="W8" s="7">
        <f t="shared" si="3"/>
        <v>5.7999409735202789E-2</v>
      </c>
      <c r="X8" s="7">
        <f t="shared" si="3"/>
        <v>5.6064881384372711E-2</v>
      </c>
      <c r="Y8" s="7">
        <f t="shared" si="3"/>
        <v>5.380716547369957E-2</v>
      </c>
      <c r="Z8" s="7">
        <f t="shared" si="3"/>
        <v>5.5985435843467712E-2</v>
      </c>
      <c r="AA8" s="7">
        <f t="shared" si="3"/>
        <v>5.8552555739879608E-2</v>
      </c>
      <c r="AB8" s="7">
        <f t="shared" si="3"/>
        <v>5.7095140218734741E-2</v>
      </c>
      <c r="AC8" s="7">
        <f t="shared" si="3"/>
        <v>5.5604040622711182E-2</v>
      </c>
      <c r="AD8" s="7">
        <f t="shared" si="3"/>
        <v>5.7368185371160507E-2</v>
      </c>
      <c r="AE8" s="7">
        <f t="shared" si="3"/>
        <v>5.711296945810318E-2</v>
      </c>
      <c r="AF8" s="7">
        <f t="shared" si="3"/>
        <v>5.6432753801345832E-2</v>
      </c>
      <c r="AG8" s="7">
        <f t="shared" si="3"/>
        <v>5.4296117275953293E-2</v>
      </c>
      <c r="AH8" s="7">
        <f t="shared" si="3"/>
        <v>2.194706350564957E-2</v>
      </c>
      <c r="AI8" s="7">
        <f t="shared" si="3"/>
        <v>-3.4112200140953057E-2</v>
      </c>
      <c r="AJ8" s="7">
        <f t="shared" si="3"/>
        <v>-3.3533770591020577E-2</v>
      </c>
      <c r="AK8" s="7">
        <f t="shared" si="3"/>
        <v>3.427722305059433E-2</v>
      </c>
      <c r="AL8" s="7">
        <f t="shared" si="3"/>
        <v>3.9366211742162698E-2</v>
      </c>
      <c r="AM8" s="7">
        <f t="shared" si="3"/>
        <v>4.6164851635694497E-2</v>
      </c>
      <c r="AN8" s="7">
        <f t="shared" si="3"/>
        <v>5.0585135817527771E-2</v>
      </c>
      <c r="AO8" s="7">
        <f t="shared" si="3"/>
        <v>5.2576661109924323E-2</v>
      </c>
      <c r="AP8" s="7">
        <f t="shared" si="3"/>
        <v>4.6018596738576889E-2</v>
      </c>
      <c r="AQ8" s="7">
        <f t="shared" si="3"/>
        <v>5.1431342959403992E-2</v>
      </c>
      <c r="AR8" s="7">
        <f t="shared" si="3"/>
        <v>5.3190842270851142E-2</v>
      </c>
      <c r="AS8" s="7">
        <f t="shared" si="3"/>
        <v>5.4051004350185387E-2</v>
      </c>
      <c r="AT8" s="7">
        <f t="shared" si="3"/>
        <v>4.2643662542104721E-2</v>
      </c>
      <c r="AU8" s="7">
        <f t="shared" si="3"/>
        <v>4.2383186519145973E-2</v>
      </c>
      <c r="AV8" s="7">
        <f t="shared" si="3"/>
        <v>4.4372159987688058E-2</v>
      </c>
      <c r="AW8" s="7">
        <f t="shared" si="3"/>
        <v>5.0514377653598792E-2</v>
      </c>
      <c r="AX8" s="7">
        <f t="shared" si="3"/>
        <v>4.8605483025312417E-2</v>
      </c>
      <c r="AY8" s="7">
        <f t="shared" si="3"/>
        <v>5.6297924369573593E-2</v>
      </c>
      <c r="AZ8" s="7">
        <f t="shared" si="3"/>
        <v>4.0032941848039627E-2</v>
      </c>
      <c r="BA8" s="7">
        <f t="shared" si="3"/>
        <v>3.6459345370531082E-2</v>
      </c>
      <c r="BB8" s="7">
        <f t="shared" si="3"/>
        <v>3.7515308707952499E-2</v>
      </c>
      <c r="BC8" s="7">
        <f t="shared" si="3"/>
        <v>4.362085834145546E-2</v>
      </c>
      <c r="BD8" s="7">
        <f t="shared" si="3"/>
        <v>4.9859002232551568E-2</v>
      </c>
      <c r="BE8" s="7">
        <f t="shared" si="3"/>
        <v>5.3125970065593719E-2</v>
      </c>
      <c r="BF8" s="7">
        <f t="shared" si="3"/>
        <v>5.2070312201976783E-2</v>
      </c>
      <c r="BG8" s="7">
        <f t="shared" si="3"/>
        <v>5.2394859492778778E-2</v>
      </c>
      <c r="BH8" s="7">
        <f t="shared" si="3"/>
        <v>5.2147150039672852E-2</v>
      </c>
      <c r="BI8" s="7">
        <f t="shared" si="3"/>
        <v>5.3297452628612518E-2</v>
      </c>
      <c r="BJ8" s="7">
        <f t="shared" si="3"/>
        <v>5.1574986428022378E-2</v>
      </c>
      <c r="BK8" s="7">
        <f t="shared" si="3"/>
        <v>5.2271623164415359E-2</v>
      </c>
      <c r="BL8" s="7">
        <f t="shared" si="3"/>
        <v>5.2872113883495331E-2</v>
      </c>
      <c r="BM8" s="7">
        <f t="shared" si="3"/>
        <v>5.2642539143562317E-2</v>
      </c>
      <c r="BN8" s="7">
        <f t="shared" si="3"/>
        <v>5.7873163372278207E-2</v>
      </c>
      <c r="BO8" s="7">
        <f t="shared" ref="BO8:DZ8" si="4">IF(BO6=1,BO3,IF(BO6=2,BO4,IF(BO6=3,BO5)))</f>
        <v>5.4300133138895028E-2</v>
      </c>
      <c r="BP8" s="7">
        <f t="shared" si="4"/>
        <v>3.9404105395078659E-2</v>
      </c>
      <c r="BQ8" s="7">
        <f t="shared" si="4"/>
        <v>5.2939504384994507E-2</v>
      </c>
      <c r="BR8" s="7">
        <f t="shared" si="4"/>
        <v>3.4261241555213928E-2</v>
      </c>
      <c r="BS8" s="7">
        <f t="shared" si="4"/>
        <v>5.4798267781734467E-2</v>
      </c>
      <c r="BT8" s="7">
        <f t="shared" si="4"/>
        <v>4.7248825430870063E-2</v>
      </c>
      <c r="BU8" s="7">
        <f t="shared" si="4"/>
        <v>5.5744320154190057E-2</v>
      </c>
      <c r="BV8" s="7">
        <f t="shared" si="4"/>
        <v>5.2378721535205841E-2</v>
      </c>
      <c r="BW8" s="7">
        <f t="shared" si="4"/>
        <v>4.0140356868505478E-2</v>
      </c>
      <c r="BX8" s="7">
        <f t="shared" si="4"/>
        <v>4.7834541648626328E-2</v>
      </c>
      <c r="BY8" s="7">
        <f t="shared" si="4"/>
        <v>4.9711667001247413E-2</v>
      </c>
      <c r="BZ8" s="7">
        <f t="shared" si="4"/>
        <v>5.3135618567466743E-2</v>
      </c>
      <c r="CA8" s="7">
        <f t="shared" si="4"/>
        <v>5.0331637263298028E-2</v>
      </c>
      <c r="CB8" s="7">
        <f t="shared" si="4"/>
        <v>4.5716073364019387E-2</v>
      </c>
      <c r="CC8" s="7">
        <f t="shared" si="4"/>
        <v>5.2729144692420959E-2</v>
      </c>
      <c r="CD8" s="7">
        <f t="shared" si="4"/>
        <v>4.9658242613077157E-2</v>
      </c>
      <c r="CE8" s="7">
        <f t="shared" si="4"/>
        <v>4.6769082546234131E-2</v>
      </c>
      <c r="CF8" s="7">
        <f t="shared" si="4"/>
        <v>5.1047079265117652E-2</v>
      </c>
      <c r="CG8" s="7">
        <f t="shared" si="4"/>
        <v>4.6370826661586761E-2</v>
      </c>
      <c r="CH8" s="7">
        <f t="shared" si="4"/>
        <v>4.9930401146411903E-2</v>
      </c>
      <c r="CI8" s="7">
        <f t="shared" si="4"/>
        <v>4.8304062336683273E-2</v>
      </c>
      <c r="CJ8" s="7">
        <f t="shared" si="4"/>
        <v>4.9741979688405991E-2</v>
      </c>
      <c r="CK8" s="7">
        <f t="shared" si="4"/>
        <v>5.0947833806276321E-2</v>
      </c>
      <c r="CL8" s="7">
        <f t="shared" si="4"/>
        <v>5.12235127389431E-2</v>
      </c>
      <c r="CM8" s="7">
        <f t="shared" si="4"/>
        <v>4.9852591007947922E-2</v>
      </c>
      <c r="CN8" s="7">
        <f t="shared" si="4"/>
        <v>4.9947917461395257E-2</v>
      </c>
      <c r="CO8" s="7">
        <f t="shared" si="4"/>
        <v>4.8367861658334732E-2</v>
      </c>
      <c r="CP8" s="7">
        <f t="shared" si="4"/>
        <v>4.8762951046228409E-2</v>
      </c>
      <c r="CQ8" s="7">
        <f t="shared" si="4"/>
        <v>4.9044318497180939E-2</v>
      </c>
      <c r="CR8" s="7">
        <f t="shared" si="4"/>
        <v>4.9002893269062042E-2</v>
      </c>
      <c r="CS8" s="7">
        <f t="shared" si="4"/>
        <v>4.7328062355518341E-2</v>
      </c>
      <c r="CT8" s="7">
        <f t="shared" si="4"/>
        <v>3.085972927510738E-2</v>
      </c>
      <c r="CU8" s="7">
        <f t="shared" si="4"/>
        <v>4.1540883481502533E-2</v>
      </c>
      <c r="CV8" s="7">
        <f t="shared" si="4"/>
        <v>5.0552770495414727E-2</v>
      </c>
      <c r="CW8" s="7">
        <f t="shared" si="4"/>
        <v>4.3886944651603699E-2</v>
      </c>
      <c r="CX8" s="7">
        <f t="shared" si="4"/>
        <v>5.1949106156826019E-2</v>
      </c>
      <c r="CY8" s="7">
        <f t="shared" si="4"/>
        <v>5.1065381616353989E-2</v>
      </c>
      <c r="CZ8" s="7">
        <f t="shared" si="4"/>
        <v>4.2493745684623718E-2</v>
      </c>
      <c r="DA8" s="7">
        <f t="shared" si="4"/>
        <v>4.438742995262146E-2</v>
      </c>
      <c r="DB8" s="7">
        <f t="shared" si="4"/>
        <v>5.0981994718313217E-2</v>
      </c>
      <c r="DC8" s="7">
        <f t="shared" si="4"/>
        <v>5.1738325506448753E-2</v>
      </c>
      <c r="DD8" s="7">
        <f t="shared" si="4"/>
        <v>4.9757938832044601E-2</v>
      </c>
      <c r="DE8" s="7">
        <f t="shared" si="4"/>
        <v>5.26866614818573E-2</v>
      </c>
      <c r="DF8" s="7">
        <f t="shared" si="4"/>
        <v>4.552464559674263E-2</v>
      </c>
      <c r="DG8" s="7">
        <f t="shared" si="4"/>
        <v>4.3648570775985718E-2</v>
      </c>
      <c r="DH8" s="7">
        <f t="shared" si="4"/>
        <v>4.6830844134092331E-2</v>
      </c>
      <c r="DI8" s="7">
        <f t="shared" si="4"/>
        <v>4.8355340957641602E-2</v>
      </c>
      <c r="DJ8" s="7">
        <f t="shared" si="4"/>
        <v>5.1528535783290863E-2</v>
      </c>
      <c r="DK8" s="7">
        <f t="shared" si="4"/>
        <v>4.6326920390129089E-2</v>
      </c>
      <c r="DL8" s="7">
        <f t="shared" si="4"/>
        <v>4.7242101281881332E-2</v>
      </c>
      <c r="DM8" s="7">
        <f t="shared" si="4"/>
        <v>4.848967120051384E-2</v>
      </c>
      <c r="DN8" s="7">
        <f t="shared" si="4"/>
        <v>4.6750303357839577E-2</v>
      </c>
      <c r="DO8" s="7">
        <f t="shared" si="4"/>
        <v>4.8154097050428391E-2</v>
      </c>
      <c r="DP8" s="7">
        <f t="shared" si="4"/>
        <v>4.7626975923776627E-2</v>
      </c>
      <c r="DQ8" s="7">
        <f t="shared" si="4"/>
        <v>4.8635251820087433E-2</v>
      </c>
      <c r="DR8" s="7">
        <f t="shared" si="4"/>
        <v>4.8790115863084793E-2</v>
      </c>
      <c r="DS8" s="7">
        <f t="shared" si="4"/>
        <v>4.7917254269123077E-2</v>
      </c>
      <c r="DT8" s="7">
        <f t="shared" si="4"/>
        <v>4.6769026666879647E-2</v>
      </c>
      <c r="DU8" s="7">
        <f t="shared" si="4"/>
        <v>4.7454036772251129E-2</v>
      </c>
      <c r="DV8" s="7">
        <f t="shared" si="4"/>
        <v>4.6622030436992652E-2</v>
      </c>
      <c r="DW8" s="7">
        <f t="shared" si="4"/>
        <v>4.7323465347290039E-2</v>
      </c>
      <c r="DX8" s="7">
        <f t="shared" si="4"/>
        <v>4.7543596476316452E-2</v>
      </c>
      <c r="DY8" s="7">
        <f t="shared" si="4"/>
        <v>4.7800637781620033E-2</v>
      </c>
      <c r="DZ8" s="7">
        <f t="shared" si="4"/>
        <v>3.5176035016775131E-2</v>
      </c>
      <c r="EA8" s="7">
        <f t="shared" ref="EA8:EG8" si="5">IF(EA6=1,EA3,IF(EA6=2,EA4,IF(EA6=3,EA5)))</f>
        <v>4.8215113580226898E-2</v>
      </c>
      <c r="EB8" s="7">
        <f t="shared" si="5"/>
        <v>4.2192697525024407E-2</v>
      </c>
      <c r="EC8" s="7">
        <f t="shared" si="5"/>
        <v>3.4884773194789893E-2</v>
      </c>
      <c r="ED8" s="7">
        <f t="shared" si="5"/>
        <v>4.0104128420352943E-2</v>
      </c>
      <c r="EE8" s="7">
        <f t="shared" si="5"/>
        <v>4.7643702477216721E-2</v>
      </c>
      <c r="EF8" s="7">
        <f t="shared" si="5"/>
        <v>5.0313424319028847E-2</v>
      </c>
      <c r="EG8" s="1">
        <f t="shared" si="5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169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96</v>
      </c>
      <c r="B12" s="1" t="s">
        <v>170</v>
      </c>
      <c r="C12" s="7" cm="1">
        <f t="array" ref="C12">PRODUCT(1 + 預測IC!$C12:C12) - 1</f>
        <v>4.7013508994228737E-2</v>
      </c>
      <c r="D12" s="7" cm="1">
        <f t="array" ref="D12">PRODUCT(1 + 預測IC!$C12:D12) - 1</f>
        <v>6.881420992539744E-2</v>
      </c>
      <c r="E12" s="7" cm="1">
        <f t="array" ref="E12">PRODUCT(1 + 預測IC!$C12:E12) - 1</f>
        <v>6.1595408441745381E-2</v>
      </c>
      <c r="F12" s="7" cm="1">
        <f t="array" ref="F12">PRODUCT(1 + 預測IC!$C12:F12) - 1</f>
        <v>4.0502755105915167E-2</v>
      </c>
      <c r="G12" s="7" cm="1">
        <f t="array" ref="G12">PRODUCT(1 + 預測IC!$C12:G12) - 1</f>
        <v>4.872724967236608E-2</v>
      </c>
      <c r="H12" s="7" cm="1">
        <f t="array" ref="H12">PRODUCT(1 + 預測IC!$C12:H12) - 1</f>
        <v>5.8542690463460278E-2</v>
      </c>
      <c r="I12" s="7" cm="1">
        <f t="array" ref="I12">PRODUCT(1 + 預測IC!$C12:I12) - 1</f>
        <v>9.6971957450071367E-2</v>
      </c>
      <c r="J12" s="7" cm="1">
        <f t="array" ref="J12">PRODUCT(1 + 預測IC!$C12:J12) - 1</f>
        <v>0.14500241250196</v>
      </c>
      <c r="K12" s="7" cm="1">
        <f t="array" ref="K12">PRODUCT(1 + 預測IC!$C12:K12) - 1</f>
        <v>0.13242066358093285</v>
      </c>
      <c r="L12" s="7" cm="1">
        <f t="array" ref="L12">PRODUCT(1 + 預測IC!$C12:L12) - 1</f>
        <v>0.12984188038882749</v>
      </c>
      <c r="M12" s="7" cm="1">
        <f t="array" ref="M12">PRODUCT(1 + 預測IC!$C12:M12) - 1</f>
        <v>0.11227080068787854</v>
      </c>
      <c r="N12" s="7" cm="1">
        <f t="array" ref="N12">PRODUCT(1 + 預測IC!$C12:N12) - 1</f>
        <v>0.17019131012705691</v>
      </c>
      <c r="O12" s="7" cm="1">
        <f t="array" ref="O12">PRODUCT(1 + 預測IC!$C12:O12) - 1</f>
        <v>0.19199184392921631</v>
      </c>
      <c r="P12" s="7" cm="1">
        <f t="array" ref="P12">PRODUCT(1 + 預測IC!$C12:P12) - 1</f>
        <v>0.16645887655996883</v>
      </c>
      <c r="Q12" s="7" cm="1">
        <f t="array" ref="Q12">PRODUCT(1 + 預測IC!$C12:Q12) - 1</f>
        <v>0.12704098355846138</v>
      </c>
      <c r="R12" s="7" cm="1">
        <f t="array" ref="R12">PRODUCT(1 + 預測IC!$C12:R12) - 1</f>
        <v>0.14214052216834916</v>
      </c>
      <c r="S12" s="7" cm="1">
        <f t="array" ref="S12">PRODUCT(1 + 預測IC!$C12:S12) - 1</f>
        <v>6.0986987038618379E-2</v>
      </c>
      <c r="T12" s="7" cm="1">
        <f t="array" ref="T12">PRODUCT(1 + 預測IC!$C12:T12) - 1</f>
        <v>1.5106208126965059E-2</v>
      </c>
      <c r="U12" s="7" cm="1">
        <f t="array" ref="U12">PRODUCT(1 + 預測IC!$C12:U12) - 1</f>
        <v>-5.568683898809379E-3</v>
      </c>
      <c r="V12" s="7" cm="1">
        <f t="array" ref="V12">PRODUCT(1 + 預測IC!$C12:V12) - 1</f>
        <v>3.9210549119292004E-2</v>
      </c>
      <c r="W12" s="7" cm="1">
        <f t="array" ref="W12">PRODUCT(1 + 預測IC!$C12:W12) - 1</f>
        <v>6.2362541035899666E-2</v>
      </c>
      <c r="X12" s="7" cm="1">
        <f t="array" ref="X12">PRODUCT(1 + 預測IC!$C12:X12) - 1</f>
        <v>0.11390760108073361</v>
      </c>
      <c r="Y12" s="7" cm="1">
        <f t="array" ref="Y12">PRODUCT(1 + 預測IC!$C12:Y12) - 1</f>
        <v>9.5206900050124776E-2</v>
      </c>
      <c r="Z12" s="7" cm="1">
        <f t="array" ref="Z12">PRODUCT(1 + 預測IC!$C12:Z12) - 1</f>
        <v>0.16488799702394519</v>
      </c>
      <c r="AA12" s="7" cm="1">
        <f t="array" ref="AA12">PRODUCT(1 + 預測IC!$C12:AA12) - 1</f>
        <v>0.11898714481899431</v>
      </c>
      <c r="AB12" s="7" cm="1">
        <f t="array" ref="AB12">PRODUCT(1 + 預測IC!$C12:AB12) - 1</f>
        <v>0.15780381359130335</v>
      </c>
      <c r="AC12" s="7" cm="1">
        <f t="array" ref="AC12">PRODUCT(1 + 預測IC!$C12:AC12) - 1</f>
        <v>0.19845982133755213</v>
      </c>
      <c r="AD12" s="7" cm="1">
        <f t="array" ref="AD12">PRODUCT(1 + 預測IC!$C12:AD12) - 1</f>
        <v>0.20546734774257902</v>
      </c>
      <c r="AE12" s="7" cm="1">
        <f t="array" ref="AE12">PRODUCT(1 + 預測IC!$C12:AE12) - 1</f>
        <v>0.15978300001743428</v>
      </c>
      <c r="AF12" s="7" cm="1">
        <f t="array" ref="AF12">PRODUCT(1 + 預測IC!$C12:AF12) - 1</f>
        <v>0.183479861753441</v>
      </c>
      <c r="AG12" s="7" cm="1">
        <f t="array" ref="AG12">PRODUCT(1 + 預測IC!$C12:AG12) - 1</f>
        <v>0.21896312649349325</v>
      </c>
      <c r="AH12" s="7" cm="1">
        <f t="array" ref="AH12">PRODUCT(1 + 預測IC!$C12:AH12) - 1</f>
        <v>0.23530430804237112</v>
      </c>
      <c r="AI12" s="7" cm="1">
        <f t="array" ref="AI12">PRODUCT(1 + 預測IC!$C12:AI12) - 1</f>
        <v>0.2640207592127537</v>
      </c>
      <c r="AJ12" s="7" cm="1">
        <f t="array" ref="AJ12">PRODUCT(1 + 預測IC!$C12:AJ12) - 1</f>
        <v>0.29064389649354938</v>
      </c>
      <c r="AK12" s="7" cm="1">
        <f t="array" ref="AK12">PRODUCT(1 + 預測IC!$C12:AK12) - 1</f>
        <v>0.35275446153416312</v>
      </c>
      <c r="AL12" s="7" cm="1">
        <f t="array" ref="AL12">PRODUCT(1 + 預測IC!$C12:AL12) - 1</f>
        <v>0.37691330755062036</v>
      </c>
      <c r="AM12" s="7" cm="1">
        <f t="array" ref="AM12">PRODUCT(1 + 預測IC!$C12:AM12) - 1</f>
        <v>0.41833928051011293</v>
      </c>
      <c r="AN12" s="7" cm="1">
        <f t="array" ref="AN12">PRODUCT(1 + 預測IC!$C12:AN12) - 1</f>
        <v>0.51653549625360928</v>
      </c>
      <c r="AO12" s="7" cm="1">
        <f t="array" ref="AO12">PRODUCT(1 + 預測IC!$C12:AO12) - 1</f>
        <v>0.51991554001207652</v>
      </c>
      <c r="AP12" s="7" cm="1">
        <f t="array" ref="AP12">PRODUCT(1 + 預測IC!$C12:AP12) - 1</f>
        <v>0.46866650379465868</v>
      </c>
      <c r="AQ12" s="7" cm="1">
        <f t="array" ref="AQ12">PRODUCT(1 + 預測IC!$C12:AQ12) - 1</f>
        <v>0.45747242112669206</v>
      </c>
      <c r="AR12" s="7" cm="1">
        <f t="array" ref="AR12">PRODUCT(1 + 預測IC!$C12:AR12) - 1</f>
        <v>0.47718657123602237</v>
      </c>
      <c r="AS12" s="7" cm="1">
        <f t="array" ref="AS12">PRODUCT(1 + 預測IC!$C12:AS12) - 1</f>
        <v>0.50540041885169495</v>
      </c>
      <c r="AT12" s="7" cm="1">
        <f t="array" ref="AT12">PRODUCT(1 + 預測IC!$C12:AT12) - 1</f>
        <v>0.52622749019339632</v>
      </c>
      <c r="AU12" s="7" cm="1">
        <f t="array" ref="AU12">PRODUCT(1 + 預測IC!$C12:AU12) - 1</f>
        <v>0.55783361435718049</v>
      </c>
      <c r="AV12" s="7" cm="1">
        <f t="array" ref="AV12">PRODUCT(1 + 預測IC!$C12:AV12) - 1</f>
        <v>0.49340148404871886</v>
      </c>
      <c r="AW12" s="7" cm="1">
        <f t="array" ref="AW12">PRODUCT(1 + 預測IC!$C12:AW12) - 1</f>
        <v>0.49432959874972648</v>
      </c>
      <c r="AX12" s="7" cm="1">
        <f t="array" ref="AX12">PRODUCT(1 + 預測IC!$C12:AX12) - 1</f>
        <v>0.55948007882663697</v>
      </c>
      <c r="AY12" s="7" cm="1">
        <f t="array" ref="AY12">PRODUCT(1 + 預測IC!$C12:AY12) - 1</f>
        <v>0.59839736122695397</v>
      </c>
      <c r="AZ12" s="7" cm="1">
        <f t="array" ref="AZ12">PRODUCT(1 + 預測IC!$C12:AZ12) - 1</f>
        <v>0.59472100562326302</v>
      </c>
      <c r="BA12" s="7" cm="1">
        <f t="array" ref="BA12">PRODUCT(1 + 預測IC!$C12:BA12) - 1</f>
        <v>0.60259555963249767</v>
      </c>
      <c r="BB12" s="7" cm="1">
        <f t="array" ref="BB12">PRODUCT(1 + 預測IC!$C12:BB12) - 1</f>
        <v>0.62707457418522838</v>
      </c>
      <c r="BC12" s="7" cm="1">
        <f t="array" ref="BC12">PRODUCT(1 + 預測IC!$C12:BC12) - 1</f>
        <v>0.6470433171840726</v>
      </c>
      <c r="BD12" s="7" cm="1">
        <f t="array" ref="BD12">PRODUCT(1 + 預測IC!$C12:BD12) - 1</f>
        <v>0.66949343490431845</v>
      </c>
      <c r="BE12" s="7" cm="1">
        <f t="array" ref="BE12">PRODUCT(1 + 預測IC!$C12:BE12) - 1</f>
        <v>0.70056072076255504</v>
      </c>
      <c r="BF12" s="7" cm="1">
        <f t="array" ref="BF12">PRODUCT(1 + 預測IC!$C12:BF12) - 1</f>
        <v>0.81584573256357484</v>
      </c>
      <c r="BG12" s="7" cm="1">
        <f t="array" ref="BG12">PRODUCT(1 + 預測IC!$C12:BG12) - 1</f>
        <v>0.87698682443927689</v>
      </c>
      <c r="BH12" s="7" cm="1">
        <f t="array" ref="BH12">PRODUCT(1 + 預測IC!$C12:BH12) - 1</f>
        <v>0.9036838837797847</v>
      </c>
      <c r="BI12" s="7" cm="1">
        <f t="array" ref="BI12">PRODUCT(1 + 預測IC!$C12:BI12) - 1</f>
        <v>0.99890853702135241</v>
      </c>
      <c r="BJ12" s="7" cm="1">
        <f t="array" ref="BJ12">PRODUCT(1 + 預測IC!$C12:BJ12) - 1</f>
        <v>0.9973174191787566</v>
      </c>
      <c r="BK12" s="7" cm="1">
        <f t="array" ref="BK12">PRODUCT(1 + 預測IC!$C12:BK12) - 1</f>
        <v>0.9548051870924974</v>
      </c>
      <c r="BL12" s="7" cm="1">
        <f t="array" ref="BL12">PRODUCT(1 + 預測IC!$C12:BL12) - 1</f>
        <v>1.0031069490104154</v>
      </c>
      <c r="BM12" s="7" cm="1">
        <f t="array" ref="BM12">PRODUCT(1 + 預測IC!$C12:BM12) - 1</f>
        <v>0.99275270499281754</v>
      </c>
      <c r="BN12" s="7" cm="1">
        <f t="array" ref="BN12">PRODUCT(1 + 預測IC!$C12:BN12) - 1</f>
        <v>1.0157023122866939</v>
      </c>
      <c r="BO12" s="7" cm="1">
        <f t="array" ref="BO12">PRODUCT(1 + 預測IC!$C12:BO12) - 1</f>
        <v>1.0645756559346111</v>
      </c>
      <c r="BP12" s="7" cm="1">
        <f t="array" ref="BP12">PRODUCT(1 + 預測IC!$C12:BP12) - 1</f>
        <v>1.0428790607047262</v>
      </c>
      <c r="BQ12" s="7" cm="1">
        <f t="array" ref="BQ12">PRODUCT(1 + 預測IC!$C12:BQ12) - 1</f>
        <v>1.0712684395127203</v>
      </c>
      <c r="BR12" s="7" cm="1">
        <f t="array" ref="BR12">PRODUCT(1 + 預測IC!$C12:BR12) - 1</f>
        <v>1.0665852840617238</v>
      </c>
      <c r="BS12" s="7" cm="1">
        <f t="array" ref="BS12">PRODUCT(1 + 預測IC!$C12:BS12) - 1</f>
        <v>1.1055678885788556</v>
      </c>
      <c r="BT12" s="7" cm="1">
        <f t="array" ref="BT12">PRODUCT(1 + 預測IC!$C12:BT12) - 1</f>
        <v>1.151956641564313</v>
      </c>
      <c r="BU12" s="7" cm="1">
        <f t="array" ref="BU12">PRODUCT(1 + 預測IC!$C12:BU12) - 1</f>
        <v>1.1708540856969543</v>
      </c>
      <c r="BV12" s="7" cm="1">
        <f t="array" ref="BV12">PRODUCT(1 + 預測IC!$C12:BV12) - 1</f>
        <v>1.2209193119515573</v>
      </c>
      <c r="BW12" s="7" cm="1">
        <f t="array" ref="BW12">PRODUCT(1 + 預測IC!$C12:BW12) - 1</f>
        <v>1.1554382406132411</v>
      </c>
      <c r="BX12" s="7" cm="1">
        <f t="array" ref="BX12">PRODUCT(1 + 預測IC!$C12:BX12) - 1</f>
        <v>1.1801765544902683</v>
      </c>
      <c r="BY12" s="7" cm="1">
        <f t="array" ref="BY12">PRODUCT(1 + 預測IC!$C12:BY12) - 1</f>
        <v>1.1074223180028002</v>
      </c>
      <c r="BZ12" s="7" cm="1">
        <f t="array" ref="BZ12">PRODUCT(1 + 預測IC!$C12:BZ12) - 1</f>
        <v>1.2030085576290301</v>
      </c>
      <c r="CA12" s="7" cm="1">
        <f t="array" ref="CA12">PRODUCT(1 + 預測IC!$C12:CA12) - 1</f>
        <v>1.1272244300130572</v>
      </c>
      <c r="CB12" s="7" cm="1">
        <f t="array" ref="CB12">PRODUCT(1 + 預測IC!$C12:CB12) - 1</f>
        <v>1.1313581421491739</v>
      </c>
      <c r="CC12" s="7" cm="1">
        <f t="array" ref="CC12">PRODUCT(1 + 預測IC!$C12:CC12) - 1</f>
        <v>1.0956132106360932</v>
      </c>
      <c r="CD12" s="7" cm="1">
        <f t="array" ref="CD12">PRODUCT(1 + 預測IC!$C12:CD12) - 1</f>
        <v>1.3280871986795355</v>
      </c>
      <c r="CE12" s="7" cm="1">
        <f t="array" ref="CE12">PRODUCT(1 + 預測IC!$C12:CE12) - 1</f>
        <v>1.3551381947301184</v>
      </c>
      <c r="CF12" s="7" cm="1">
        <f t="array" ref="CF12">PRODUCT(1 + 預測IC!$C12:CF12) - 1</f>
        <v>1.4205346910032475</v>
      </c>
      <c r="CG12" s="7" cm="1">
        <f t="array" ref="CG12">PRODUCT(1 + 預測IC!$C12:CG12) - 1</f>
        <v>1.5218515780908675</v>
      </c>
      <c r="CH12" s="7" cm="1">
        <f t="array" ref="CH12">PRODUCT(1 + 預測IC!$C12:CH12) - 1</f>
        <v>1.6814781565112309</v>
      </c>
      <c r="CI12" s="7" cm="1">
        <f t="array" ref="CI12">PRODUCT(1 + 預測IC!$C12:CI12) - 1</f>
        <v>1.5885490843839349</v>
      </c>
      <c r="CJ12" s="7" cm="1">
        <f t="array" ref="CJ12">PRODUCT(1 + 預測IC!$C12:CJ12) - 1</f>
        <v>1.6285296921701895</v>
      </c>
      <c r="CK12" s="7" cm="1">
        <f t="array" ref="CK12">PRODUCT(1 + 預測IC!$C12:CK12) - 1</f>
        <v>1.6621831367343081</v>
      </c>
      <c r="CL12" s="7" cm="1">
        <f t="array" ref="CL12">PRODUCT(1 + 預測IC!$C12:CL12) - 1</f>
        <v>1.9763622973437971</v>
      </c>
      <c r="CM12" s="7" cm="1">
        <f t="array" ref="CM12">PRODUCT(1 + 預測IC!$C12:CM12) - 1</f>
        <v>1.9310628782034271</v>
      </c>
      <c r="CN12" s="7" cm="1">
        <f t="array" ref="CN12">PRODUCT(1 + 預測IC!$C12:CN12) - 1</f>
        <v>1.851678846969079</v>
      </c>
      <c r="CO12" s="7" cm="1">
        <f t="array" ref="CO12">PRODUCT(1 + 預測IC!$C12:CO12) - 1</f>
        <v>1.7739246097063064</v>
      </c>
      <c r="CP12" s="7" cm="1">
        <f t="array" ref="CP12">PRODUCT(1 + 預測IC!$C12:CP12) - 1</f>
        <v>1.8995806801506014</v>
      </c>
      <c r="CQ12" s="7" cm="1">
        <f t="array" ref="CQ12">PRODUCT(1 + 預測IC!$C12:CQ12) - 1</f>
        <v>2.0056247099421469</v>
      </c>
      <c r="CR12" s="7" cm="1">
        <f t="array" ref="CR12">PRODUCT(1 + 預測IC!$C12:CR12) - 1</f>
        <v>2.011990257685969</v>
      </c>
      <c r="CS12" s="7" cm="1">
        <f t="array" ref="CS12">PRODUCT(1 + 預測IC!$C12:CS12) - 1</f>
        <v>1.9662030429518134</v>
      </c>
      <c r="CT12" s="7" cm="1">
        <f t="array" ref="CT12">PRODUCT(1 + 預測IC!$C12:CT12) - 1</f>
        <v>1.963758784791314</v>
      </c>
      <c r="CU12" s="7" cm="1">
        <f t="array" ref="CU12">PRODUCT(1 + 預測IC!$C12:CU12) - 1</f>
        <v>2.0693388850320531</v>
      </c>
      <c r="CV12" s="7" cm="1">
        <f t="array" ref="CV12">PRODUCT(1 + 預測IC!$C12:CV12) - 1</f>
        <v>2.0942392846262257</v>
      </c>
      <c r="CW12" s="7" cm="1">
        <f t="array" ref="CW12">PRODUCT(1 + 預測IC!$C12:CW12) - 1</f>
        <v>2.1114058913189071</v>
      </c>
      <c r="CX12" s="7" cm="1">
        <f t="array" ref="CX12">PRODUCT(1 + 預測IC!$C12:CX12) - 1</f>
        <v>2.3011701711553512</v>
      </c>
      <c r="CY12" s="7" cm="1">
        <f t="array" ref="CY12">PRODUCT(1 + 預測IC!$C12:CY12) - 1</f>
        <v>2.2814194607910325</v>
      </c>
      <c r="CZ12" s="7" cm="1">
        <f t="array" ref="CZ12">PRODUCT(1 + 預測IC!$C12:CZ12) - 1</f>
        <v>2.5366887176230963</v>
      </c>
      <c r="DA12" s="7" cm="1">
        <f t="array" ref="DA12">PRODUCT(1 + 預測IC!$C12:DA12) - 1</f>
        <v>2.5565075575207361</v>
      </c>
      <c r="DB12" s="7" cm="1">
        <f t="array" ref="DB12">PRODUCT(1 + 預測IC!$C12:DB12) - 1</f>
        <v>2.4747723420038792</v>
      </c>
      <c r="DC12" s="7" cm="1">
        <f t="array" ref="DC12">PRODUCT(1 + 預測IC!$C12:DC12) - 1</f>
        <v>2.5928214877224334</v>
      </c>
      <c r="DD12" s="7" cm="1">
        <f t="array" ref="DD12">PRODUCT(1 + 預測IC!$C12:DD12) - 1</f>
        <v>2.6822431428939395</v>
      </c>
      <c r="DE12" s="7" cm="1">
        <f t="array" ref="DE12">PRODUCT(1 + 預測IC!$C12:DE12) - 1</f>
        <v>2.6866548692651349</v>
      </c>
      <c r="DF12" s="7" cm="1">
        <f t="array" ref="DF12">PRODUCT(1 + 預測IC!$C12:DF12) - 1</f>
        <v>2.6614583316812439</v>
      </c>
      <c r="DG12" s="7" cm="1">
        <f t="array" ref="DG12">PRODUCT(1 + 預測IC!$C12:DG12) - 1</f>
        <v>2.6579883348893731</v>
      </c>
      <c r="DH12" s="7" cm="1">
        <f t="array" ref="DH12">PRODUCT(1 + 預測IC!$C12:DH12) - 1</f>
        <v>2.6440050088298812</v>
      </c>
      <c r="DI12" s="7" cm="1">
        <f t="array" ref="DI12">PRODUCT(1 + 預測IC!$C12:DI12) - 1</f>
        <v>2.4456138137499588</v>
      </c>
      <c r="DJ12" s="7" cm="1">
        <f t="array" ref="DJ12">PRODUCT(1 + 預測IC!$C12:DJ12) - 1</f>
        <v>2.4733944136713122</v>
      </c>
      <c r="DK12" s="7" cm="1">
        <f t="array" ref="DK12">PRODUCT(1 + 預測IC!$C12:DK12) - 1</f>
        <v>2.418007829159269</v>
      </c>
      <c r="DL12" s="7" cm="1">
        <f t="array" ref="DL12">PRODUCT(1 + 預測IC!$C12:DL12) - 1</f>
        <v>2.4167955437370576</v>
      </c>
      <c r="DM12" s="7" cm="1">
        <f t="array" ref="DM12">PRODUCT(1 + 預測IC!$C12:DM12) - 1</f>
        <v>2.4002570600063375</v>
      </c>
      <c r="DN12" s="7" cm="1">
        <f t="array" ref="DN12">PRODUCT(1 + 預測IC!$C12:DN12) - 1</f>
        <v>2.5444632043277529</v>
      </c>
      <c r="DO12" s="7" cm="1">
        <f t="array" ref="DO12">PRODUCT(1 + 預測IC!$C12:DO12) - 1</f>
        <v>2.6245671287852845</v>
      </c>
      <c r="DP12" s="7" cm="1">
        <f t="array" ref="DP12">PRODUCT(1 + 預測IC!$C12:DP12) - 1</f>
        <v>2.7426716537160822</v>
      </c>
      <c r="DQ12" s="7" cm="1">
        <f t="array" ref="DQ12">PRODUCT(1 + 預測IC!$C12:DQ12) - 1</f>
        <v>2.6574515257620881</v>
      </c>
      <c r="DR12" s="7" cm="1">
        <f t="array" ref="DR12">PRODUCT(1 + 預測IC!$C12:DR12) - 1</f>
        <v>2.7261346005114819</v>
      </c>
      <c r="DS12" s="7" cm="1">
        <f t="array" ref="DS12">PRODUCT(1 + 預測IC!$C12:DS12) - 1</f>
        <v>2.5930141365396588</v>
      </c>
      <c r="DT12" s="7" cm="1">
        <f t="array" ref="DT12">PRODUCT(1 + 預測IC!$C12:DT12) - 1</f>
        <v>2.4302582011482525</v>
      </c>
      <c r="DU12" s="7" cm="1">
        <f t="array" ref="DU12">PRODUCT(1 + 預測IC!$C12:DU12) - 1</f>
        <v>2.477433335034072</v>
      </c>
      <c r="DV12" s="7" cm="1">
        <f t="array" ref="DV12">PRODUCT(1 + 預測IC!$C12:DV12) - 1</f>
        <v>2.6462655905156258</v>
      </c>
      <c r="DW12" s="7" cm="1">
        <f t="array" ref="DW12">PRODUCT(1 + 預測IC!$C12:DW12) - 1</f>
        <v>2.8057006107570293</v>
      </c>
      <c r="DX12" s="7" cm="1">
        <f t="array" ref="DX12">PRODUCT(1 + 預測IC!$C12:DX12) - 1</f>
        <v>2.6148368072062285</v>
      </c>
      <c r="DY12" s="7" cm="1">
        <f t="array" ref="DY12">PRODUCT(1 + 預測IC!$C12:DY12) - 1</f>
        <v>2.6703508324887726</v>
      </c>
      <c r="DZ12" s="7" cm="1">
        <f t="array" ref="DZ12">PRODUCT(1 + 預測IC!$C12:DZ12) - 1</f>
        <v>2.6551712690296587</v>
      </c>
      <c r="EA12" s="7" cm="1">
        <f t="array" ref="EA12">PRODUCT(1 + 預測IC!$C12:EA12) - 1</f>
        <v>2.8891166364588683</v>
      </c>
      <c r="EB12" s="7" cm="1">
        <f t="array" ref="EB12">PRODUCT(1 + 預測IC!$C12:EB12) - 1</f>
        <v>2.9001163291722905</v>
      </c>
      <c r="EC12" s="7" cm="1">
        <f t="array" ref="EC12">PRODUCT(1 + 預測IC!$C12:EC12) - 1</f>
        <v>3.0040603168810351</v>
      </c>
      <c r="ED12" s="7" cm="1">
        <f t="array" ref="ED12">PRODUCT(1 + 預測IC!$C12:ED12) - 1</f>
        <v>2.7617820233728101</v>
      </c>
      <c r="EE12" s="7" cm="1">
        <f t="array" ref="EE12">PRODUCT(1 + 預測IC!$C12:EE12) - 1</f>
        <v>2.8066115419014568</v>
      </c>
      <c r="EF12" s="7" cm="1">
        <f t="array" ref="EF12">PRODUCT(1 + 預測IC!$C12:EF12) - 1</f>
        <v>2.9559576573733732</v>
      </c>
    </row>
    <row r="13" spans="1:137" x14ac:dyDescent="0.3">
      <c r="A13" s="1">
        <v>48</v>
      </c>
      <c r="B13" s="1" t="s">
        <v>171</v>
      </c>
      <c r="C13" s="7" cm="1">
        <f t="array" ref="C13">PRODUCT(1 + 預測IC!$C13:C13) - 1</f>
        <v>4.2506117601795568E-2</v>
      </c>
      <c r="D13" s="7" cm="1">
        <f t="array" ref="D13">PRODUCT(1 + 預測IC!$C13:D13) - 1</f>
        <v>7.3653709436372505E-2</v>
      </c>
      <c r="E13" s="7" cm="1">
        <f t="array" ref="E13">PRODUCT(1 + 預測IC!$C13:E13) - 1</f>
        <v>3.6616285956466266E-2</v>
      </c>
      <c r="F13" s="7" cm="1">
        <f t="array" ref="F13">PRODUCT(1 + 預測IC!$C13:F13) - 1</f>
        <v>4.1541042779624782E-4</v>
      </c>
      <c r="G13" s="7" cm="1">
        <f t="array" ref="G13">PRODUCT(1 + 預測IC!$C13:G13) - 1</f>
        <v>-1.449876225975566E-2</v>
      </c>
      <c r="H13" s="7" cm="1">
        <f t="array" ref="H13">PRODUCT(1 + 預測IC!$C13:H13) - 1</f>
        <v>1.2006514510118915E-3</v>
      </c>
      <c r="I13" s="7" cm="1">
        <f t="array" ref="I13">PRODUCT(1 + 預測IC!$C13:I13) - 1</f>
        <v>3.3922755162600016E-2</v>
      </c>
      <c r="J13" s="7" cm="1">
        <f t="array" ref="J13">PRODUCT(1 + 預測IC!$C13:J13) - 1</f>
        <v>6.9644674658425387E-2</v>
      </c>
      <c r="K13" s="7" cm="1">
        <f t="array" ref="K13">PRODUCT(1 + 預測IC!$C13:K13) - 1</f>
        <v>2.1156622348842857E-2</v>
      </c>
      <c r="L13" s="7" cm="1">
        <f t="array" ref="L13">PRODUCT(1 + 預測IC!$C13:L13) - 1</f>
        <v>-8.5954590353086724E-3</v>
      </c>
      <c r="M13" s="7" cm="1">
        <f t="array" ref="M13">PRODUCT(1 + 預測IC!$C13:M13) - 1</f>
        <v>-9.530622119380272E-4</v>
      </c>
      <c r="N13" s="7" cm="1">
        <f t="array" ref="N13">PRODUCT(1 + 預測IC!$C13:N13) - 1</f>
        <v>4.2157763516793123E-2</v>
      </c>
      <c r="O13" s="7" cm="1">
        <f t="array" ref="O13">PRODUCT(1 + 預測IC!$C13:O13) - 1</f>
        <v>7.9960239416495549E-2</v>
      </c>
      <c r="P13" s="7" cm="1">
        <f t="array" ref="P13">PRODUCT(1 + 預測IC!$C13:P13) - 1</f>
        <v>5.743560259321101E-2</v>
      </c>
      <c r="Q13" s="7" cm="1">
        <f t="array" ref="Q13">PRODUCT(1 + 預測IC!$C13:Q13) - 1</f>
        <v>1.0677635713681743E-2</v>
      </c>
      <c r="R13" s="7" cm="1">
        <f t="array" ref="R13">PRODUCT(1 + 預測IC!$C13:R13) - 1</f>
        <v>1.7236842786430895E-2</v>
      </c>
      <c r="S13" s="7" cm="1">
        <f t="array" ref="S13">PRODUCT(1 + 預測IC!$C13:S13) - 1</f>
        <v>-0.10779712688485421</v>
      </c>
      <c r="T13" s="7" cm="1">
        <f t="array" ref="T13">PRODUCT(1 + 預測IC!$C13:T13) - 1</f>
        <v>-0.1549944830272153</v>
      </c>
      <c r="U13" s="7" cm="1">
        <f t="array" ref="U13">PRODUCT(1 + 預測IC!$C13:U13) - 1</f>
        <v>-0.20076089024262389</v>
      </c>
      <c r="V13" s="7" cm="1">
        <f t="array" ref="V13">PRODUCT(1 + 預測IC!$C13:V13) - 1</f>
        <v>-0.15857725871077444</v>
      </c>
      <c r="W13" s="7" cm="1">
        <f t="array" ref="W13">PRODUCT(1 + 預測IC!$C13:W13) - 1</f>
        <v>-0.13240641324054825</v>
      </c>
      <c r="X13" s="7" cm="1">
        <f t="array" ref="X13">PRODUCT(1 + 預測IC!$C13:X13) - 1</f>
        <v>-7.189092006625597E-2</v>
      </c>
      <c r="Y13" s="7" cm="1">
        <f t="array" ref="Y13">PRODUCT(1 + 預測IC!$C13:Y13) - 1</f>
        <v>-9.6459715243217281E-2</v>
      </c>
      <c r="Z13" s="7" cm="1">
        <f t="array" ref="Z13">PRODUCT(1 + 預測IC!$C13:Z13) - 1</f>
        <v>-2.5600079087452099E-2</v>
      </c>
      <c r="AA13" s="7" cm="1">
        <f t="array" ref="AA13">PRODUCT(1 + 預測IC!$C13:AA13) - 1</f>
        <v>-5.6897327421008281E-2</v>
      </c>
      <c r="AB13" s="7" cm="1">
        <f t="array" ref="AB13">PRODUCT(1 + 預測IC!$C13:AB13) - 1</f>
        <v>-1.2874973273306889E-2</v>
      </c>
      <c r="AC13" s="7" cm="1">
        <f t="array" ref="AC13">PRODUCT(1 + 預測IC!$C13:AC13) - 1</f>
        <v>8.7149871870473294E-3</v>
      </c>
      <c r="AD13" s="7" cm="1">
        <f t="array" ref="AD13">PRODUCT(1 + 預測IC!$C13:AD13) - 1</f>
        <v>1.5351368684231259E-2</v>
      </c>
      <c r="AE13" s="7" cm="1">
        <f t="array" ref="AE13">PRODUCT(1 + 預測IC!$C13:AE13) - 1</f>
        <v>-2.7818540160043148E-2</v>
      </c>
      <c r="AF13" s="7" cm="1">
        <f t="array" ref="AF13">PRODUCT(1 + 預測IC!$C13:AF13) - 1</f>
        <v>3.2333865983531496E-3</v>
      </c>
      <c r="AG13" s="7" cm="1">
        <f t="array" ref="AG13">PRODUCT(1 + 預測IC!$C13:AG13) - 1</f>
        <v>3.501760910609808E-2</v>
      </c>
      <c r="AH13" s="7" cm="1">
        <f t="array" ref="AH13">PRODUCT(1 + 預測IC!$C13:AH13) - 1</f>
        <v>4.4996564994363331E-2</v>
      </c>
      <c r="AI13" s="7" cm="1">
        <f t="array" ref="AI13">PRODUCT(1 + 預測IC!$C13:AI13) - 1</f>
        <v>6.5802352784041451E-2</v>
      </c>
      <c r="AJ13" s="7" cm="1">
        <f t="array" ref="AJ13">PRODUCT(1 + 預測IC!$C13:AJ13) - 1</f>
        <v>8.6997243724696416E-2</v>
      </c>
      <c r="AK13" s="7" cm="1">
        <f t="array" ref="AK13">PRODUCT(1 + 預測IC!$C13:AK13) - 1</f>
        <v>0.158725923069025</v>
      </c>
      <c r="AL13" s="7" cm="1">
        <f t="array" ref="AL13">PRODUCT(1 + 預測IC!$C13:AL13) - 1</f>
        <v>0.1855520835383313</v>
      </c>
      <c r="AM13" s="7" cm="1">
        <f t="array" ref="AM13">PRODUCT(1 + 預測IC!$C13:AM13) - 1</f>
        <v>0.24042233090466403</v>
      </c>
      <c r="AN13" s="7" cm="1">
        <f t="array" ref="AN13">PRODUCT(1 + 預測IC!$C13:AN13) - 1</f>
        <v>0.37107631040810674</v>
      </c>
      <c r="AO13" s="7" cm="1">
        <f t="array" ref="AO13">PRODUCT(1 + 預測IC!$C13:AO13) - 1</f>
        <v>0.38384265955875319</v>
      </c>
      <c r="AP13" s="7" cm="1">
        <f t="array" ref="AP13">PRODUCT(1 + 預測IC!$C13:AP13) - 1</f>
        <v>0.30143366625324752</v>
      </c>
      <c r="AQ13" s="7" cm="1">
        <f t="array" ref="AQ13">PRODUCT(1 + 預測IC!$C13:AQ13) - 1</f>
        <v>0.29356091819251384</v>
      </c>
      <c r="AR13" s="7" cm="1">
        <f t="array" ref="AR13">PRODUCT(1 + 預測IC!$C13:AR13) - 1</f>
        <v>0.30738803084910904</v>
      </c>
      <c r="AS13" s="7" cm="1">
        <f t="array" ref="AS13">PRODUCT(1 + 預測IC!$C13:AS13) - 1</f>
        <v>0.36140030747244789</v>
      </c>
      <c r="AT13" s="7" cm="1">
        <f t="array" ref="AT13">PRODUCT(1 + 預測IC!$C13:AT13) - 1</f>
        <v>0.41648676771876669</v>
      </c>
      <c r="AU13" s="7" cm="1">
        <f t="array" ref="AU13">PRODUCT(1 + 預測IC!$C13:AU13) - 1</f>
        <v>0.47452890866436137</v>
      </c>
      <c r="AV13" s="7" cm="1">
        <f t="array" ref="AV13">PRODUCT(1 + 預測IC!$C13:AV13) - 1</f>
        <v>0.46055705033408212</v>
      </c>
      <c r="AW13" s="7" cm="1">
        <f t="array" ref="AW13">PRODUCT(1 + 預測IC!$C13:AW13) - 1</f>
        <v>0.46651614293828425</v>
      </c>
      <c r="AX13" s="7" cm="1">
        <f t="array" ref="AX13">PRODUCT(1 + 預測IC!$C13:AX13) - 1</f>
        <v>0.56499825678166737</v>
      </c>
      <c r="AY13" s="7" cm="1">
        <f t="array" ref="AY13">PRODUCT(1 + 預測IC!$C13:AY13) - 1</f>
        <v>0.59248642819877495</v>
      </c>
      <c r="AZ13" s="7" cm="1">
        <f t="array" ref="AZ13">PRODUCT(1 + 預測IC!$C13:AZ13) - 1</f>
        <v>0.57958176623224689</v>
      </c>
      <c r="BA13" s="7" cm="1">
        <f t="array" ref="BA13">PRODUCT(1 + 預測IC!$C13:BA13) - 1</f>
        <v>0.58991371201042342</v>
      </c>
      <c r="BB13" s="7" cm="1">
        <f t="array" ref="BB13">PRODUCT(1 + 預測IC!$C13:BB13) - 1</f>
        <v>0.65808185783048501</v>
      </c>
      <c r="BC13" s="7" cm="1">
        <f t="array" ref="BC13">PRODUCT(1 + 預測IC!$C13:BC13) - 1</f>
        <v>0.67679126736630901</v>
      </c>
      <c r="BD13" s="7" cm="1">
        <f t="array" ref="BD13">PRODUCT(1 + 預測IC!$C13:BD13) - 1</f>
        <v>0.68239917567439812</v>
      </c>
      <c r="BE13" s="7" cm="1">
        <f t="array" ref="BE13">PRODUCT(1 + 預測IC!$C13:BE13) - 1</f>
        <v>0.72848312802324222</v>
      </c>
      <c r="BF13" s="7" cm="1">
        <f t="array" ref="BF13">PRODUCT(1 + 預測IC!$C13:BF13) - 1</f>
        <v>0.87355370632710594</v>
      </c>
      <c r="BG13" s="7" cm="1">
        <f t="array" ref="BG13">PRODUCT(1 + 預測IC!$C13:BG13) - 1</f>
        <v>0.96079847443234079</v>
      </c>
      <c r="BH13" s="7" cm="1">
        <f t="array" ref="BH13">PRODUCT(1 + 預測IC!$C13:BH13) - 1</f>
        <v>0.97741767251666389</v>
      </c>
      <c r="BI13" s="7" cm="1">
        <f t="array" ref="BI13">PRODUCT(1 + 預測IC!$C13:BI13) - 1</f>
        <v>1.0810524172378115</v>
      </c>
      <c r="BJ13" s="7" cm="1">
        <f t="array" ref="BJ13">PRODUCT(1 + 預測IC!$C13:BJ13) - 1</f>
        <v>1.0459927482143576</v>
      </c>
      <c r="BK13" s="7" cm="1">
        <f t="array" ref="BK13">PRODUCT(1 + 預測IC!$C13:BK13) - 1</f>
        <v>1.0083648446781606</v>
      </c>
      <c r="BL13" s="7" cm="1">
        <f t="array" ref="BL13">PRODUCT(1 + 預測IC!$C13:BL13) - 1</f>
        <v>1.0725278039929935</v>
      </c>
      <c r="BM13" s="7" cm="1">
        <f t="array" ref="BM13">PRODUCT(1 + 預測IC!$C13:BM13) - 1</f>
        <v>1.1075921052681958</v>
      </c>
      <c r="BN13" s="7" cm="1">
        <f t="array" ref="BN13">PRODUCT(1 + 預測IC!$C13:BN13) - 1</f>
        <v>1.1308863552676742</v>
      </c>
      <c r="BO13" s="7" cm="1">
        <f t="array" ref="BO13">PRODUCT(1 + 預測IC!$C13:BO13) - 1</f>
        <v>1.1966853903577666</v>
      </c>
      <c r="BP13" s="7" cm="1">
        <f t="array" ref="BP13">PRODUCT(1 + 預測IC!$C13:BP13) - 1</f>
        <v>1.2174060551818982</v>
      </c>
      <c r="BQ13" s="7" cm="1">
        <f t="array" ref="BQ13">PRODUCT(1 + 預測IC!$C13:BQ13) - 1</f>
        <v>1.3097678110454485</v>
      </c>
      <c r="BR13" s="7" cm="1">
        <f t="array" ref="BR13">PRODUCT(1 + 預測IC!$C13:BR13) - 1</f>
        <v>1.2943352880097714</v>
      </c>
      <c r="BS13" s="7" cm="1">
        <f t="array" ref="BS13">PRODUCT(1 + 預測IC!$C13:BS13) - 1</f>
        <v>1.3113580440711821</v>
      </c>
      <c r="BT13" s="7" cm="1">
        <f t="array" ref="BT13">PRODUCT(1 + 預測IC!$C13:BT13) - 1</f>
        <v>1.3999836142157052</v>
      </c>
      <c r="BU13" s="7" cm="1">
        <f t="array" ref="BU13">PRODUCT(1 + 預測IC!$C13:BU13) - 1</f>
        <v>1.442479056167643</v>
      </c>
      <c r="BV13" s="7" cm="1">
        <f t="array" ref="BV13">PRODUCT(1 + 預測IC!$C13:BV13) - 1</f>
        <v>1.4929250339723121</v>
      </c>
      <c r="BW13" s="7" cm="1">
        <f t="array" ref="BW13">PRODUCT(1 + 預測IC!$C13:BW13) - 1</f>
        <v>1.4973206536513954</v>
      </c>
      <c r="BX13" s="7" cm="1">
        <f t="array" ref="BX13">PRODUCT(1 + 預測IC!$C13:BX13) - 1</f>
        <v>1.5499593470182056</v>
      </c>
      <c r="BY13" s="7" cm="1">
        <f t="array" ref="BY13">PRODUCT(1 + 預測IC!$C13:BY13) - 1</f>
        <v>1.5129533229306933</v>
      </c>
      <c r="BZ13" s="7" cm="1">
        <f t="array" ref="BZ13">PRODUCT(1 + 預測IC!$C13:BZ13) - 1</f>
        <v>1.7042848722736399</v>
      </c>
      <c r="CA13" s="7" cm="1">
        <f t="array" ref="CA13">PRODUCT(1 + 預測IC!$C13:CA13) - 1</f>
        <v>1.6136059666768356</v>
      </c>
      <c r="CB13" s="7" cm="1">
        <f t="array" ref="CB13">PRODUCT(1 + 預測IC!$C13:CB13) - 1</f>
        <v>1.5963670745926337</v>
      </c>
      <c r="CC13" s="7" cm="1">
        <f t="array" ref="CC13">PRODUCT(1 + 預測IC!$C13:CC13) - 1</f>
        <v>1.5638322267091418</v>
      </c>
      <c r="CD13" s="7" cm="1">
        <f t="array" ref="CD13">PRODUCT(1 + 預測IC!$C13:CD13) - 1</f>
        <v>1.8332546716490623</v>
      </c>
      <c r="CE13" s="7" cm="1">
        <f t="array" ref="CE13">PRODUCT(1 + 預測IC!$C13:CE13) - 1</f>
        <v>1.859380068566244</v>
      </c>
      <c r="CF13" s="7" cm="1">
        <f t="array" ref="CF13">PRODUCT(1 + 預測IC!$C13:CF13) - 1</f>
        <v>1.9866632756067486</v>
      </c>
      <c r="CG13" s="7" cm="1">
        <f t="array" ref="CG13">PRODUCT(1 + 預測IC!$C13:CG13) - 1</f>
        <v>2.1074710065088316</v>
      </c>
      <c r="CH13" s="7" cm="1">
        <f t="array" ref="CH13">PRODUCT(1 + 預測IC!$C13:CH13) - 1</f>
        <v>2.288744121437825</v>
      </c>
      <c r="CI13" s="7" cm="1">
        <f t="array" ref="CI13">PRODUCT(1 + 預測IC!$C13:CI13) - 1</f>
        <v>2.1182111980965939</v>
      </c>
      <c r="CJ13" s="7" cm="1">
        <f t="array" ref="CJ13">PRODUCT(1 + 預測IC!$C13:CJ13) - 1</f>
        <v>2.1085257598001825</v>
      </c>
      <c r="CK13" s="7" cm="1">
        <f t="array" ref="CK13">PRODUCT(1 + 預測IC!$C13:CK13) - 1</f>
        <v>2.2081393047014628</v>
      </c>
      <c r="CL13" s="7" cm="1">
        <f t="array" ref="CL13">PRODUCT(1 + 預測IC!$C13:CL13) - 1</f>
        <v>2.4694530499941068</v>
      </c>
      <c r="CM13" s="7" cm="1">
        <f t="array" ref="CM13">PRODUCT(1 + 預測IC!$C13:CM13) - 1</f>
        <v>2.4337287727962913</v>
      </c>
      <c r="CN13" s="7" cm="1">
        <f t="array" ref="CN13">PRODUCT(1 + 預測IC!$C13:CN13) - 1</f>
        <v>2.3414041637955729</v>
      </c>
      <c r="CO13" s="7" cm="1">
        <f t="array" ref="CO13">PRODUCT(1 + 預測IC!$C13:CO13) - 1</f>
        <v>2.2964373557182984</v>
      </c>
      <c r="CP13" s="7" cm="1">
        <f t="array" ref="CP13">PRODUCT(1 + 預測IC!$C13:CP13) - 1</f>
        <v>2.5262865277748183</v>
      </c>
      <c r="CQ13" s="7" cm="1">
        <f t="array" ref="CQ13">PRODUCT(1 + 預測IC!$C13:CQ13) - 1</f>
        <v>2.6609376032152889</v>
      </c>
      <c r="CR13" s="7" cm="1">
        <f t="array" ref="CR13">PRODUCT(1 + 預測IC!$C13:CR13) - 1</f>
        <v>2.6912493648159677</v>
      </c>
      <c r="CS13" s="7" cm="1">
        <f t="array" ref="CS13">PRODUCT(1 + 預測IC!$C13:CS13) - 1</f>
        <v>2.7312368578642436</v>
      </c>
      <c r="CT13" s="7" cm="1">
        <f t="array" ref="CT13">PRODUCT(1 + 預測IC!$C13:CT13) - 1</f>
        <v>2.7613509217459411</v>
      </c>
      <c r="CU13" s="7" cm="1">
        <f t="array" ref="CU13">PRODUCT(1 + 預測IC!$C13:CU13) - 1</f>
        <v>2.9011279964738841</v>
      </c>
      <c r="CV13" s="7" cm="1">
        <f t="array" ref="CV13">PRODUCT(1 + 預測IC!$C13:CV13) - 1</f>
        <v>2.8896067476724605</v>
      </c>
      <c r="CW13" s="7" cm="1">
        <f t="array" ref="CW13">PRODUCT(1 + 預測IC!$C13:CW13) - 1</f>
        <v>2.9128550472219619</v>
      </c>
      <c r="CX13" s="7" cm="1">
        <f t="array" ref="CX13">PRODUCT(1 + 預測IC!$C13:CX13) - 1</f>
        <v>3.1477564729891681</v>
      </c>
      <c r="CY13" s="7" cm="1">
        <f t="array" ref="CY13">PRODUCT(1 + 預測IC!$C13:CY13) - 1</f>
        <v>3.093343133759662</v>
      </c>
      <c r="CZ13" s="7" cm="1">
        <f t="array" ref="CZ13">PRODUCT(1 + 預測IC!$C13:CZ13) - 1</f>
        <v>3.32758150322835</v>
      </c>
      <c r="DA13" s="7" cm="1">
        <f t="array" ref="DA13">PRODUCT(1 + 預測IC!$C13:DA13) - 1</f>
        <v>3.3034176862441624</v>
      </c>
      <c r="DB13" s="7" cm="1">
        <f t="array" ref="DB13">PRODUCT(1 + 預測IC!$C13:DB13) - 1</f>
        <v>3.123700208519633</v>
      </c>
      <c r="DC13" s="7" cm="1">
        <f t="array" ref="DC13">PRODUCT(1 + 預測IC!$C13:DC13) - 1</f>
        <v>3.2464857157407403</v>
      </c>
      <c r="DD13" s="7" cm="1">
        <f t="array" ref="DD13">PRODUCT(1 + 預測IC!$C13:DD13) - 1</f>
        <v>3.291912923884464</v>
      </c>
      <c r="DE13" s="7" cm="1">
        <f t="array" ref="DE13">PRODUCT(1 + 預測IC!$C13:DE13) - 1</f>
        <v>3.3173594915990225</v>
      </c>
      <c r="DF13" s="7" cm="1">
        <f t="array" ref="DF13">PRODUCT(1 + 預測IC!$C13:DF13) - 1</f>
        <v>3.1942335935730393</v>
      </c>
      <c r="DG13" s="7" cm="1">
        <f t="array" ref="DG13">PRODUCT(1 + 預測IC!$C13:DG13) - 1</f>
        <v>3.1873942364789034</v>
      </c>
      <c r="DH13" s="7" cm="1">
        <f t="array" ref="DH13">PRODUCT(1 + 預測IC!$C13:DH13) - 1</f>
        <v>3.2346940698042381</v>
      </c>
      <c r="DI13" s="7" cm="1">
        <f t="array" ref="DI13">PRODUCT(1 + 預測IC!$C13:DI13) - 1</f>
        <v>3.0399954342885698</v>
      </c>
      <c r="DJ13" s="7" cm="1">
        <f t="array" ref="DJ13">PRODUCT(1 + 預測IC!$C13:DJ13) - 1</f>
        <v>3.0265351545351837</v>
      </c>
      <c r="DK13" s="7" cm="1">
        <f t="array" ref="DK13">PRODUCT(1 + 預測IC!$C13:DK13) - 1</f>
        <v>3.076500728111724</v>
      </c>
      <c r="DL13" s="7" cm="1">
        <f t="array" ref="DL13">PRODUCT(1 + 預測IC!$C13:DL13) - 1</f>
        <v>3.0100527614214796</v>
      </c>
      <c r="DM13" s="7" cm="1">
        <f t="array" ref="DM13">PRODUCT(1 + 預測IC!$C13:DM13) - 1</f>
        <v>2.9833503452058232</v>
      </c>
      <c r="DN13" s="7" cm="1">
        <f t="array" ref="DN13">PRODUCT(1 + 預測IC!$C13:DN13) - 1</f>
        <v>3.0291571928931873</v>
      </c>
      <c r="DO13" s="7" cm="1">
        <f t="array" ref="DO13">PRODUCT(1 + 預測IC!$C13:DO13) - 1</f>
        <v>3.2180900644017489</v>
      </c>
      <c r="DP13" s="7" cm="1">
        <f t="array" ref="DP13">PRODUCT(1 + 預測IC!$C13:DP13) - 1</f>
        <v>3.4238764883826649</v>
      </c>
      <c r="DQ13" s="7" cm="1">
        <f t="array" ref="DQ13">PRODUCT(1 + 預測IC!$C13:DQ13) - 1</f>
        <v>3.3069530726153902</v>
      </c>
      <c r="DR13" s="7" cm="1">
        <f t="array" ref="DR13">PRODUCT(1 + 預測IC!$C13:DR13) - 1</f>
        <v>3.3662650247044033</v>
      </c>
      <c r="DS13" s="7" cm="1">
        <f t="array" ref="DS13">PRODUCT(1 + 預測IC!$C13:DS13) - 1</f>
        <v>3.1964713353743317</v>
      </c>
      <c r="DT13" s="7" cm="1">
        <f t="array" ref="DT13">PRODUCT(1 + 預測IC!$C13:DT13) - 1</f>
        <v>3.0478058785094646</v>
      </c>
      <c r="DU13" s="7" cm="1">
        <f t="array" ref="DU13">PRODUCT(1 + 預測IC!$C13:DU13) - 1</f>
        <v>3.1235207498383808</v>
      </c>
      <c r="DV13" s="7" cm="1">
        <f t="array" ref="DV13">PRODUCT(1 + 預測IC!$C13:DV13) - 1</f>
        <v>3.4518360658272425</v>
      </c>
      <c r="DW13" s="7" cm="1">
        <f t="array" ref="DW13">PRODUCT(1 + 預測IC!$C13:DW13) - 1</f>
        <v>3.649576783641252</v>
      </c>
      <c r="DX13" s="7" cm="1">
        <f t="array" ref="DX13">PRODUCT(1 + 預測IC!$C13:DX13) - 1</f>
        <v>3.3495703759510045</v>
      </c>
      <c r="DY13" s="7" cm="1">
        <f t="array" ref="DY13">PRODUCT(1 + 預測IC!$C13:DY13) - 1</f>
        <v>3.5034844674993977</v>
      </c>
      <c r="DZ13" s="7" cm="1">
        <f t="array" ref="DZ13">PRODUCT(1 + 預測IC!$C13:DZ13) - 1</f>
        <v>3.4376938983676295</v>
      </c>
      <c r="EA13" s="7" cm="1">
        <f t="array" ref="EA13">PRODUCT(1 + 預測IC!$C13:EA13) - 1</f>
        <v>3.7627233314172788</v>
      </c>
      <c r="EB13" s="7" cm="1">
        <f t="array" ref="EB13">PRODUCT(1 + 預測IC!$C13:EB13) - 1</f>
        <v>3.8645180564029689</v>
      </c>
      <c r="EC13" s="7" cm="1">
        <f t="array" ref="EC13">PRODUCT(1 + 預測IC!$C13:EC13) - 1</f>
        <v>4.067172679213936</v>
      </c>
      <c r="ED13" s="7" cm="1">
        <f t="array" ref="ED13">PRODUCT(1 + 預測IC!$C13:ED13) - 1</f>
        <v>3.7343501687102902</v>
      </c>
      <c r="EE13" s="7" cm="1">
        <f t="array" ref="EE13">PRODUCT(1 + 預測IC!$C13:EE13) - 1</f>
        <v>3.7720005314436076</v>
      </c>
      <c r="EF13" s="7" cm="1">
        <f t="array" ref="EF13">PRODUCT(1 + 預測IC!$C13:EF13) - 1</f>
        <v>4.0897070385405332</v>
      </c>
    </row>
    <row r="14" spans="1:137" x14ac:dyDescent="0.3">
      <c r="A14" s="1">
        <v>19</v>
      </c>
      <c r="B14" s="1" t="s">
        <v>172</v>
      </c>
      <c r="C14" s="7" cm="1">
        <f t="array" ref="C14">PRODUCT(1 + 預測IC!$C14:C14) - 1</f>
        <v>-3.7017512404591946E-2</v>
      </c>
      <c r="D14" s="7" cm="1">
        <f t="array" ref="D14">PRODUCT(1 + 預測IC!$C14:D14) - 1</f>
        <v>4.3244488999765851E-2</v>
      </c>
      <c r="E14" s="7" cm="1">
        <f t="array" ref="E14">PRODUCT(1 + 預測IC!$C14:E14) - 1</f>
        <v>-6.3366893983145545E-3</v>
      </c>
      <c r="F14" s="7" cm="1">
        <f t="array" ref="F14">PRODUCT(1 + 預測IC!$C14:F14) - 1</f>
        <v>-5.4483793345190046E-2</v>
      </c>
      <c r="G14" s="7" cm="1">
        <f t="array" ref="G14">PRODUCT(1 + 預測IC!$C14:G14) - 1</f>
        <v>-9.3268789189605572E-2</v>
      </c>
      <c r="H14" s="7" cm="1">
        <f t="array" ref="H14">PRODUCT(1 + 預測IC!$C14:H14) - 1</f>
        <v>-8.6310239850594606E-2</v>
      </c>
      <c r="I14" s="7" cm="1">
        <f t="array" ref="I14">PRODUCT(1 + 預測IC!$C14:I14) - 1</f>
        <v>-4.630217755621191E-2</v>
      </c>
      <c r="J14" s="7" cm="1">
        <f t="array" ref="J14">PRODUCT(1 + 預測IC!$C14:J14) - 1</f>
        <v>-2.4071508052050716E-2</v>
      </c>
      <c r="K14" s="7" cm="1">
        <f t="array" ref="K14">PRODUCT(1 + 預測IC!$C14:K14) - 1</f>
        <v>-0.1550203280192376</v>
      </c>
      <c r="L14" s="7" cm="1">
        <f t="array" ref="L14">PRODUCT(1 + 預測IC!$C14:L14) - 1</f>
        <v>-0.15092454492954299</v>
      </c>
      <c r="M14" s="7" cm="1">
        <f t="array" ref="M14">PRODUCT(1 + 預測IC!$C14:M14) - 1</f>
        <v>-0.14668382053097662</v>
      </c>
      <c r="N14" s="7" cm="1">
        <f t="array" ref="N14">PRODUCT(1 + 預測IC!$C14:N14) - 1</f>
        <v>-7.6064239895072605E-2</v>
      </c>
      <c r="O14" s="7" cm="1">
        <f t="array" ref="O14">PRODUCT(1 + 預測IC!$C14:O14) - 1</f>
        <v>-4.1439020135680127E-2</v>
      </c>
      <c r="P14" s="7" cm="1">
        <f t="array" ref="P14">PRODUCT(1 + 預測IC!$C14:P14) - 1</f>
        <v>-9.7367144201545353E-2</v>
      </c>
      <c r="Q14" s="7" cm="1">
        <f t="array" ref="Q14">PRODUCT(1 + 預測IC!$C14:Q14) - 1</f>
        <v>-0.20938737585267364</v>
      </c>
      <c r="R14" s="7" cm="1">
        <f t="array" ref="R14">PRODUCT(1 + 預測IC!$C14:R14) - 1</f>
        <v>-0.22199067977365938</v>
      </c>
      <c r="S14" s="7" cm="1">
        <f t="array" ref="S14">PRODUCT(1 + 預測IC!$C14:S14) - 1</f>
        <v>-0.35105715668578852</v>
      </c>
      <c r="T14" s="7" cm="1">
        <f t="array" ref="T14">PRODUCT(1 + 預測IC!$C14:T14) - 1</f>
        <v>-0.39638028498735001</v>
      </c>
      <c r="U14" s="7" cm="1">
        <f t="array" ref="U14">PRODUCT(1 + 預測IC!$C14:U14) - 1</f>
        <v>-0.45931769938003919</v>
      </c>
      <c r="V14" s="7" cm="1">
        <f t="array" ref="V14">PRODUCT(1 + 預測IC!$C14:V14) - 1</f>
        <v>-0.44845586387600178</v>
      </c>
      <c r="W14" s="7" cm="1">
        <f t="array" ref="W14">PRODUCT(1 + 預測IC!$C14:W14) - 1</f>
        <v>-0.40763709754008071</v>
      </c>
      <c r="X14" s="7" cm="1">
        <f t="array" ref="X14">PRODUCT(1 + 預測IC!$C14:X14) - 1</f>
        <v>-0.34054423395859257</v>
      </c>
      <c r="Y14" s="7" cm="1">
        <f t="array" ref="Y14">PRODUCT(1 + 預測IC!$C14:Y14) - 1</f>
        <v>-0.34398651035862915</v>
      </c>
      <c r="Z14" s="7" cm="1">
        <f t="array" ref="Z14">PRODUCT(1 + 預測IC!$C14:Z14) - 1</f>
        <v>-0.31872216720667323</v>
      </c>
      <c r="AA14" s="7" cm="1">
        <f t="array" ref="AA14">PRODUCT(1 + 預測IC!$C14:AA14) - 1</f>
        <v>-0.34559870054618169</v>
      </c>
      <c r="AB14" s="7" cm="1">
        <f t="array" ref="AB14">PRODUCT(1 + 預測IC!$C14:AB14) - 1</f>
        <v>-0.29928712804861668</v>
      </c>
      <c r="AC14" s="7" cm="1">
        <f t="array" ref="AC14">PRODUCT(1 + 預測IC!$C14:AC14) - 1</f>
        <v>-0.30875885229285138</v>
      </c>
      <c r="AD14" s="7" cm="1">
        <f t="array" ref="AD14">PRODUCT(1 + 預測IC!$C14:AD14) - 1</f>
        <v>-0.31768976161528861</v>
      </c>
      <c r="AE14" s="7" cm="1">
        <f t="array" ref="AE14">PRODUCT(1 + 預測IC!$C14:AE14) - 1</f>
        <v>-0.39029580799761265</v>
      </c>
      <c r="AF14" s="7" cm="1">
        <f t="array" ref="AF14">PRODUCT(1 + 預測IC!$C14:AF14) - 1</f>
        <v>-0.36565113621383039</v>
      </c>
      <c r="AG14" s="7" cm="1">
        <f t="array" ref="AG14">PRODUCT(1 + 預測IC!$C14:AG14) - 1</f>
        <v>-0.35263373001090781</v>
      </c>
      <c r="AH14" s="7" cm="1">
        <f t="array" ref="AH14">PRODUCT(1 + 預測IC!$C14:AH14) - 1</f>
        <v>-0.34923487717063018</v>
      </c>
      <c r="AI14" s="7" cm="1">
        <f t="array" ref="AI14">PRODUCT(1 + 預測IC!$C14:AI14) - 1</f>
        <v>-0.34209951698361374</v>
      </c>
      <c r="AJ14" s="7" cm="1">
        <f t="array" ref="AJ14">PRODUCT(1 + 預測IC!$C14:AJ14) - 1</f>
        <v>-0.27874700529485297</v>
      </c>
      <c r="AK14" s="7" cm="1">
        <f t="array" ref="AK14">PRODUCT(1 + 預測IC!$C14:AK14) - 1</f>
        <v>-0.22327440546124477</v>
      </c>
      <c r="AL14" s="7" cm="1">
        <f t="array" ref="AL14">PRODUCT(1 + 預測IC!$C14:AL14) - 1</f>
        <v>-0.19378276399991168</v>
      </c>
      <c r="AM14" s="7" cm="1">
        <f t="array" ref="AM14">PRODUCT(1 + 預測IC!$C14:AM14) - 1</f>
        <v>-0.14440827389547883</v>
      </c>
      <c r="AN14" s="7" cm="1">
        <f t="array" ref="AN14">PRODUCT(1 + 預測IC!$C14:AN14) - 1</f>
        <v>-6.0051492769424897E-2</v>
      </c>
      <c r="AO14" s="7" cm="1">
        <f t="array" ref="AO14">PRODUCT(1 + 預測IC!$C14:AO14) - 1</f>
        <v>-2.8032658353878137E-3</v>
      </c>
      <c r="AP14" s="7" cm="1">
        <f t="array" ref="AP14">PRODUCT(1 + 預測IC!$C14:AP14) - 1</f>
        <v>-7.2583628185234006E-2</v>
      </c>
      <c r="AQ14" s="7" cm="1">
        <f t="array" ref="AQ14">PRODUCT(1 + 預測IC!$C14:AQ14) - 1</f>
        <v>-7.2924887489532186E-2</v>
      </c>
      <c r="AR14" s="7" cm="1">
        <f t="array" ref="AR14">PRODUCT(1 + 預測IC!$C14:AR14) - 1</f>
        <v>-3.8024366356381178E-2</v>
      </c>
      <c r="AS14" s="7" cm="1">
        <f t="array" ref="AS14">PRODUCT(1 + 預測IC!$C14:AS14) - 1</f>
        <v>4.4106213804383509E-2</v>
      </c>
      <c r="AT14" s="7" cm="1">
        <f t="array" ref="AT14">PRODUCT(1 + 預測IC!$C14:AT14) - 1</f>
        <v>8.0134748070779027E-2</v>
      </c>
      <c r="AU14" s="7" cm="1">
        <f t="array" ref="AU14">PRODUCT(1 + 預測IC!$C14:AU14) - 1</f>
        <v>0.12333111779189765</v>
      </c>
      <c r="AV14" s="7" cm="1">
        <f t="array" ref="AV14">PRODUCT(1 + 預測IC!$C14:AV14) - 1</f>
        <v>0.10234405121417445</v>
      </c>
      <c r="AW14" s="7" cm="1">
        <f t="array" ref="AW14">PRODUCT(1 + 預測IC!$C14:AW14) - 1</f>
        <v>8.2101782905728893E-2</v>
      </c>
      <c r="AX14" s="7" cm="1">
        <f t="array" ref="AX14">PRODUCT(1 + 預測IC!$C14:AX14) - 1</f>
        <v>0.23029673479386403</v>
      </c>
      <c r="AY14" s="7" cm="1">
        <f t="array" ref="AY14">PRODUCT(1 + 預測IC!$C14:AY14) - 1</f>
        <v>0.24883499211824844</v>
      </c>
      <c r="AZ14" s="7" cm="1">
        <f t="array" ref="AZ14">PRODUCT(1 + 預測IC!$C14:AZ14) - 1</f>
        <v>0.18221143215661906</v>
      </c>
      <c r="BA14" s="7" cm="1">
        <f t="array" ref="BA14">PRODUCT(1 + 預測IC!$C14:BA14) - 1</f>
        <v>0.20304394297243489</v>
      </c>
      <c r="BB14" s="7" cm="1">
        <f t="array" ref="BB14">PRODUCT(1 + 預測IC!$C14:BB14) - 1</f>
        <v>0.27731299700830192</v>
      </c>
      <c r="BC14" s="7" cm="1">
        <f t="array" ref="BC14">PRODUCT(1 + 預測IC!$C14:BC14) - 1</f>
        <v>0.26476850739912106</v>
      </c>
      <c r="BD14" s="7" cm="1">
        <f t="array" ref="BD14">PRODUCT(1 + 預測IC!$C14:BD14) - 1</f>
        <v>0.31956812114752031</v>
      </c>
      <c r="BE14" s="7" cm="1">
        <f t="array" ref="BE14">PRODUCT(1 + 預測IC!$C14:BE14) - 1</f>
        <v>0.37734813298804193</v>
      </c>
      <c r="BF14" s="7" cm="1">
        <f t="array" ref="BF14">PRODUCT(1 + 預測IC!$C14:BF14) - 1</f>
        <v>0.4335033347199464</v>
      </c>
      <c r="BG14" s="7" cm="1">
        <f t="array" ref="BG14">PRODUCT(1 + 預測IC!$C14:BG14) - 1</f>
        <v>0.49281348024151272</v>
      </c>
      <c r="BH14" s="7" cm="1">
        <f t="array" ref="BH14">PRODUCT(1 + 預測IC!$C14:BH14) - 1</f>
        <v>0.50078921777595542</v>
      </c>
      <c r="BI14" s="7" cm="1">
        <f t="array" ref="BI14">PRODUCT(1 + 預測IC!$C14:BI14) - 1</f>
        <v>0.57610664417433965</v>
      </c>
      <c r="BJ14" s="7" cm="1">
        <f t="array" ref="BJ14">PRODUCT(1 + 預測IC!$C14:BJ14) - 1</f>
        <v>0.54455736494818496</v>
      </c>
      <c r="BK14" s="7" cm="1">
        <f t="array" ref="BK14">PRODUCT(1 + 預測IC!$C14:BK14) - 1</f>
        <v>0.53591749462856186</v>
      </c>
      <c r="BL14" s="7" cm="1">
        <f t="array" ref="BL14">PRODUCT(1 + 預測IC!$C14:BL14) - 1</f>
        <v>0.62766977581180061</v>
      </c>
      <c r="BM14" s="7" cm="1">
        <f t="array" ref="BM14">PRODUCT(1 + 預測IC!$C14:BM14) - 1</f>
        <v>0.69156755848584117</v>
      </c>
      <c r="BN14" s="7" cm="1">
        <f t="array" ref="BN14">PRODUCT(1 + 預測IC!$C14:BN14) - 1</f>
        <v>0.72698312707637291</v>
      </c>
      <c r="BO14" s="7" cm="1">
        <f t="array" ref="BO14">PRODUCT(1 + 預測IC!$C14:BO14) - 1</f>
        <v>0.78502538187814763</v>
      </c>
      <c r="BP14" s="7" cm="1">
        <f t="array" ref="BP14">PRODUCT(1 + 預測IC!$C14:BP14) - 1</f>
        <v>0.81300339399187327</v>
      </c>
      <c r="BQ14" s="7" cm="1">
        <f t="array" ref="BQ14">PRODUCT(1 + 預測IC!$C14:BQ14) - 1</f>
        <v>0.84172775654088539</v>
      </c>
      <c r="BR14" s="7" cm="1">
        <f t="array" ref="BR14">PRODUCT(1 + 預測IC!$C14:BR14) - 1</f>
        <v>0.79028935094631025</v>
      </c>
      <c r="BS14" s="7" cm="1">
        <f t="array" ref="BS14">PRODUCT(1 + 預測IC!$C14:BS14) - 1</f>
        <v>0.71600316492232863</v>
      </c>
      <c r="BT14" s="7" cm="1">
        <f t="array" ref="BT14">PRODUCT(1 + 預測IC!$C14:BT14) - 1</f>
        <v>0.84300964253671595</v>
      </c>
      <c r="BU14" s="7" cm="1">
        <f t="array" ref="BU14">PRODUCT(1 + 預測IC!$C14:BU14) - 1</f>
        <v>0.82669009558878992</v>
      </c>
      <c r="BV14" s="7" cm="1">
        <f t="array" ref="BV14">PRODUCT(1 + 預測IC!$C14:BV14) - 1</f>
        <v>0.87368568416560777</v>
      </c>
      <c r="BW14" s="7" cm="1">
        <f t="array" ref="BW14">PRODUCT(1 + 預測IC!$C14:BW14) - 1</f>
        <v>0.8971216477541446</v>
      </c>
      <c r="BX14" s="7" cm="1">
        <f t="array" ref="BX14">PRODUCT(1 + 預測IC!$C14:BX14) - 1</f>
        <v>1.0014078667750019</v>
      </c>
      <c r="BY14" s="7" cm="1">
        <f t="array" ref="BY14">PRODUCT(1 + 預測IC!$C14:BY14) - 1</f>
        <v>0.98820599334280512</v>
      </c>
      <c r="BZ14" s="7" cm="1">
        <f t="array" ref="BZ14">PRODUCT(1 + 預測IC!$C14:BZ14) - 1</f>
        <v>1.1075660649344727</v>
      </c>
      <c r="CA14" s="7" cm="1">
        <f t="array" ref="CA14">PRODUCT(1 + 預測IC!$C14:CA14) - 1</f>
        <v>1.05600390030104</v>
      </c>
      <c r="CB14" s="7" cm="1">
        <f t="array" ref="CB14">PRODUCT(1 + 預測IC!$C14:CB14) - 1</f>
        <v>1.1014983662161173</v>
      </c>
      <c r="CC14" s="7" cm="1">
        <f t="array" ref="CC14">PRODUCT(1 + 預測IC!$C14:CC14) - 1</f>
        <v>1.0746116263488275</v>
      </c>
      <c r="CD14" s="7" cm="1">
        <f t="array" ref="CD14">PRODUCT(1 + 預測IC!$C14:CD14) - 1</f>
        <v>1.2779582323506258</v>
      </c>
      <c r="CE14" s="7" cm="1">
        <f t="array" ref="CE14">PRODUCT(1 + 預測IC!$C14:CE14) - 1</f>
        <v>1.113588239802926</v>
      </c>
      <c r="CF14" s="7" cm="1">
        <f t="array" ref="CF14">PRODUCT(1 + 預測IC!$C14:CF14) - 1</f>
        <v>1.3087372861608602</v>
      </c>
      <c r="CG14" s="7" cm="1">
        <f t="array" ref="CG14">PRODUCT(1 + 預測IC!$C14:CG14) - 1</f>
        <v>1.4312551130532172</v>
      </c>
      <c r="CH14" s="7" cm="1">
        <f t="array" ref="CH14">PRODUCT(1 + 預測IC!$C14:CH14) - 1</f>
        <v>1.5884634536467721</v>
      </c>
      <c r="CI14" s="7" cm="1">
        <f t="array" ref="CI14">PRODUCT(1 + 預測IC!$C14:CI14) - 1</f>
        <v>1.3143845771441929</v>
      </c>
      <c r="CJ14" s="7" cm="1">
        <f t="array" ref="CJ14">PRODUCT(1 + 預測IC!$C14:CJ14) - 1</f>
        <v>1.2480361358015886</v>
      </c>
      <c r="CK14" s="7" cm="1">
        <f t="array" ref="CK14">PRODUCT(1 + 預測IC!$C14:CK14) - 1</f>
        <v>1.2795454294443238</v>
      </c>
      <c r="CL14" s="7" cm="1">
        <f t="array" ref="CL14">PRODUCT(1 + 預測IC!$C14:CL14) - 1</f>
        <v>1.42149262048008</v>
      </c>
      <c r="CM14" s="7" cm="1">
        <f t="array" ref="CM14">PRODUCT(1 + 預測IC!$C14:CM14) - 1</f>
        <v>1.4990772691470653</v>
      </c>
      <c r="CN14" s="7" cm="1">
        <f t="array" ref="CN14">PRODUCT(1 + 預測IC!$C14:CN14) - 1</f>
        <v>1.4415317949058277</v>
      </c>
      <c r="CO14" s="7" cm="1">
        <f t="array" ref="CO14">PRODUCT(1 + 預測IC!$C14:CO14) - 1</f>
        <v>1.2618650367162418</v>
      </c>
      <c r="CP14" s="7" cm="1">
        <f t="array" ref="CP14">PRODUCT(1 + 預測IC!$C14:CP14) - 1</f>
        <v>1.4876202739328401</v>
      </c>
      <c r="CQ14" s="7" cm="1">
        <f t="array" ref="CQ14">PRODUCT(1 + 預測IC!$C14:CQ14) - 1</f>
        <v>1.6199905987826639</v>
      </c>
      <c r="CR14" s="7" cm="1">
        <f t="array" ref="CR14">PRODUCT(1 + 預測IC!$C14:CR14) - 1</f>
        <v>1.7664720137449037</v>
      </c>
      <c r="CS14" s="7" cm="1">
        <f t="array" ref="CS14">PRODUCT(1 + 預測IC!$C14:CS14) - 1</f>
        <v>1.9297688900062617</v>
      </c>
      <c r="CT14" s="7" cm="1">
        <f t="array" ref="CT14">PRODUCT(1 + 預測IC!$C14:CT14) - 1</f>
        <v>1.9857291649656412</v>
      </c>
      <c r="CU14" s="7" cm="1">
        <f t="array" ref="CU14">PRODUCT(1 + 預測IC!$C14:CU14) - 1</f>
        <v>1.8546045906017765</v>
      </c>
      <c r="CV14" s="7" cm="1">
        <f t="array" ref="CV14">PRODUCT(1 + 預測IC!$C14:CV14) - 1</f>
        <v>1.9195346134519604</v>
      </c>
      <c r="CW14" s="7" cm="1">
        <f t="array" ref="CW14">PRODUCT(1 + 預測IC!$C14:CW14) - 1</f>
        <v>1.9096129182201094</v>
      </c>
      <c r="CX14" s="7" cm="1">
        <f t="array" ref="CX14">PRODUCT(1 + 預測IC!$C14:CX14) - 1</f>
        <v>2.015230147245084</v>
      </c>
      <c r="CY14" s="7" cm="1">
        <f t="array" ref="CY14">PRODUCT(1 + 預測IC!$C14:CY14) - 1</f>
        <v>1.9285147807339831</v>
      </c>
      <c r="CZ14" s="7" cm="1">
        <f t="array" ref="CZ14">PRODUCT(1 + 預測IC!$C14:CZ14) - 1</f>
        <v>2.1161258729120687</v>
      </c>
      <c r="DA14" s="7" cm="1">
        <f t="array" ref="DA14">PRODUCT(1 + 預測IC!$C14:DA14) - 1</f>
        <v>2.0403906486048737</v>
      </c>
      <c r="DB14" s="7" cm="1">
        <f t="array" ref="DB14">PRODUCT(1 + 預測IC!$C14:DB14) - 1</f>
        <v>1.9687557820124031</v>
      </c>
      <c r="DC14" s="7" cm="1">
        <f t="array" ref="DC14">PRODUCT(1 + 預測IC!$C14:DC14) - 1</f>
        <v>2.0389152272333337</v>
      </c>
      <c r="DD14" s="7" cm="1">
        <f t="array" ref="DD14">PRODUCT(1 + 預測IC!$C14:DD14) - 1</f>
        <v>1.9879874150828116</v>
      </c>
      <c r="DE14" s="7" cm="1">
        <f t="array" ref="DE14">PRODUCT(1 + 預測IC!$C14:DE14) - 1</f>
        <v>2.0040756345498472</v>
      </c>
      <c r="DF14" s="7" cm="1">
        <f t="array" ref="DF14">PRODUCT(1 + 預測IC!$C14:DF14) - 1</f>
        <v>1.89635960435632</v>
      </c>
      <c r="DG14" s="7" cm="1">
        <f t="array" ref="DG14">PRODUCT(1 + 預測IC!$C14:DG14) - 1</f>
        <v>1.9295129479029107</v>
      </c>
      <c r="DH14" s="7" cm="1">
        <f t="array" ref="DH14">PRODUCT(1 + 預測IC!$C14:DH14) - 1</f>
        <v>1.9435008954301489</v>
      </c>
      <c r="DI14" s="7" cm="1">
        <f t="array" ref="DI14">PRODUCT(1 + 預測IC!$C14:DI14) - 1</f>
        <v>1.771018160646697</v>
      </c>
      <c r="DJ14" s="7" cm="1">
        <f t="array" ref="DJ14">PRODUCT(1 + 預測IC!$C14:DJ14) - 1</f>
        <v>1.773854919182873</v>
      </c>
      <c r="DK14" s="7" cm="1">
        <f t="array" ref="DK14">PRODUCT(1 + 預測IC!$C14:DK14) - 1</f>
        <v>1.8267552814258297</v>
      </c>
      <c r="DL14" s="7" cm="1">
        <f t="array" ref="DL14">PRODUCT(1 + 預測IC!$C14:DL14) - 1</f>
        <v>1.7838870809068723</v>
      </c>
      <c r="DM14" s="7" cm="1">
        <f t="array" ref="DM14">PRODUCT(1 + 預測IC!$C14:DM14) - 1</f>
        <v>1.7992103445265206</v>
      </c>
      <c r="DN14" s="7" cm="1">
        <f t="array" ref="DN14">PRODUCT(1 + 預測IC!$C14:DN14) - 1</f>
        <v>1.9186316443542659</v>
      </c>
      <c r="DO14" s="7" cm="1">
        <f t="array" ref="DO14">PRODUCT(1 + 預測IC!$C14:DO14) - 1</f>
        <v>2.0393919116319799</v>
      </c>
      <c r="DP14" s="7" cm="1">
        <f t="array" ref="DP14">PRODUCT(1 + 預測IC!$C14:DP14) - 1</f>
        <v>2.1717261733641782</v>
      </c>
      <c r="DQ14" s="7" cm="1">
        <f t="array" ref="DQ14">PRODUCT(1 + 預測IC!$C14:DQ14) - 1</f>
        <v>1.8882757926151887</v>
      </c>
      <c r="DR14" s="7" cm="1">
        <f t="array" ref="DR14">PRODUCT(1 + 預測IC!$C14:DR14) - 1</f>
        <v>2.0402641417150389</v>
      </c>
      <c r="DS14" s="7" cm="1">
        <f t="array" ref="DS14">PRODUCT(1 + 預測IC!$C14:DS14) - 1</f>
        <v>1.9337183698298062</v>
      </c>
      <c r="DT14" s="7" cm="1">
        <f t="array" ref="DT14">PRODUCT(1 + 預測IC!$C14:DT14) - 1</f>
        <v>1.8031181652920902</v>
      </c>
      <c r="DU14" s="7" cm="1">
        <f t="array" ref="DU14">PRODUCT(1 + 預測IC!$C14:DU14) - 1</f>
        <v>1.6772162569250613</v>
      </c>
      <c r="DV14" s="7" cm="1">
        <f t="array" ref="DV14">PRODUCT(1 + 預測IC!$C14:DV14) - 1</f>
        <v>1.9670579924860494</v>
      </c>
      <c r="DW14" s="7" cm="1">
        <f t="array" ref="DW14">PRODUCT(1 + 預測IC!$C14:DW14) - 1</f>
        <v>2.2588514326621283</v>
      </c>
      <c r="DX14" s="7" cm="1">
        <f t="array" ref="DX14">PRODUCT(1 + 預測IC!$C14:DX14) - 1</f>
        <v>1.9266717997592129</v>
      </c>
      <c r="DY14" s="7" cm="1">
        <f t="array" ref="DY14">PRODUCT(1 + 預測IC!$C14:DY14) - 1</f>
        <v>2.0378767821128507</v>
      </c>
      <c r="DZ14" s="7" cm="1">
        <f t="array" ref="DZ14">PRODUCT(1 + 預測IC!$C14:DZ14) - 1</f>
        <v>1.971403258572594</v>
      </c>
      <c r="EA14" s="7" cm="1">
        <f t="array" ref="EA14">PRODUCT(1 + 預測IC!$C14:EA14) - 1</f>
        <v>2.2034855001436866</v>
      </c>
      <c r="EB14" s="7" cm="1">
        <f t="array" ref="EB14">PRODUCT(1 + 預測IC!$C14:EB14) - 1</f>
        <v>2.3097686057033084</v>
      </c>
      <c r="EC14" s="7" cm="1">
        <f t="array" ref="EC14">PRODUCT(1 + 預測IC!$C14:EC14) - 1</f>
        <v>2.3298899538792726</v>
      </c>
      <c r="ED14" s="7" cm="1">
        <f t="array" ref="ED14">PRODUCT(1 + 預測IC!$C14:ED14) - 1</f>
        <v>1.9881443162906374</v>
      </c>
      <c r="EE14" s="7" cm="1">
        <f t="array" ref="EE14">PRODUCT(1 + 預測IC!$C14:EE14) - 1</f>
        <v>2.0445221037812673</v>
      </c>
      <c r="EF14" s="7" cm="1">
        <f t="array" ref="EF14">PRODUCT(1 + 預測IC!$C14:EF14) - 1</f>
        <v>2.2575059722905446</v>
      </c>
    </row>
    <row r="15" spans="1:137" x14ac:dyDescent="0.3">
      <c r="A15" s="1">
        <v>10</v>
      </c>
      <c r="B15" s="1" t="s">
        <v>173</v>
      </c>
      <c r="C15" s="7" cm="1">
        <f t="array" ref="C15">PRODUCT(1 + 預測IC!$C15:C15) - 1</f>
        <v>-9.650314199451604E-2</v>
      </c>
      <c r="D15" s="7" cm="1">
        <f t="array" ref="D15">PRODUCT(1 + 預測IC!$C15:D15) - 1</f>
        <v>-8.1186281920692771E-2</v>
      </c>
      <c r="E15" s="7" cm="1">
        <f t="array" ref="E15">PRODUCT(1 + 預測IC!$C15:E15) - 1</f>
        <v>-9.0556735882303507E-2</v>
      </c>
      <c r="F15" s="7" cm="1">
        <f t="array" ref="F15">PRODUCT(1 + 預測IC!$C15:F15) - 1</f>
        <v>-0.18928798232772026</v>
      </c>
      <c r="G15" s="7" cm="1">
        <f t="array" ref="G15">PRODUCT(1 + 預測IC!$C15:G15) - 1</f>
        <v>-0.23844706911646996</v>
      </c>
      <c r="H15" s="7" cm="1">
        <f t="array" ref="H15">PRODUCT(1 + 預測IC!$C15:H15) - 1</f>
        <v>-0.2002492308590168</v>
      </c>
      <c r="I15" s="7" cm="1">
        <f t="array" ref="I15">PRODUCT(1 + 預測IC!$C15:I15) - 1</f>
        <v>-0.1535186383541759</v>
      </c>
      <c r="J15" s="7" cm="1">
        <f t="array" ref="J15">PRODUCT(1 + 預測IC!$C15:J15) - 1</f>
        <v>-0.11122718922174502</v>
      </c>
      <c r="K15" s="7" cm="1">
        <f t="array" ref="K15">PRODUCT(1 + 預測IC!$C15:K15) - 1</f>
        <v>-0.3659447020689468</v>
      </c>
      <c r="L15" s="7" cm="1">
        <f t="array" ref="L15">PRODUCT(1 + 預測IC!$C15:L15) - 1</f>
        <v>-0.34530080938131835</v>
      </c>
      <c r="M15" s="7" cm="1">
        <f t="array" ref="M15">PRODUCT(1 + 預測IC!$C15:M15) - 1</f>
        <v>-0.32860747962246772</v>
      </c>
      <c r="N15" s="7" cm="1">
        <f t="array" ref="N15">PRODUCT(1 + 預測IC!$C15:N15) - 1</f>
        <v>-0.24745750496694652</v>
      </c>
      <c r="O15" s="7" cm="1">
        <f t="array" ref="O15">PRODUCT(1 + 預測IC!$C15:O15) - 1</f>
        <v>-0.19195196910081302</v>
      </c>
      <c r="P15" s="7" cm="1">
        <f t="array" ref="P15">PRODUCT(1 + 預測IC!$C15:P15) - 1</f>
        <v>-0.24376092454023868</v>
      </c>
      <c r="Q15" s="7" cm="1">
        <f t="array" ref="Q15">PRODUCT(1 + 預測IC!$C15:Q15) - 1</f>
        <v>-0.36138396221578162</v>
      </c>
      <c r="R15" s="7" cm="1">
        <f t="array" ref="R15">PRODUCT(1 + 預測IC!$C15:R15) - 1</f>
        <v>-0.39467481836163087</v>
      </c>
      <c r="S15" s="7" cm="1">
        <f t="array" ref="S15">PRODUCT(1 + 預測IC!$C15:S15) - 1</f>
        <v>-0.55811739649602932</v>
      </c>
      <c r="T15" s="7" cm="1">
        <f t="array" ref="T15">PRODUCT(1 + 預測IC!$C15:T15) - 1</f>
        <v>-0.58763520962028226</v>
      </c>
      <c r="U15" s="7" cm="1">
        <f t="array" ref="U15">PRODUCT(1 + 預測IC!$C15:U15) - 1</f>
        <v>-0.6441160156584218</v>
      </c>
      <c r="V15" s="7" cm="1">
        <f t="array" ref="V15">PRODUCT(1 + 預測IC!$C15:V15) - 1</f>
        <v>-0.65021296788710381</v>
      </c>
      <c r="W15" s="7" cm="1">
        <f t="array" ref="W15">PRODUCT(1 + 預測IC!$C15:W15) - 1</f>
        <v>-0.6143445484856902</v>
      </c>
      <c r="X15" s="7" cm="1">
        <f t="array" ref="X15">PRODUCT(1 + 預測IC!$C15:X15) - 1</f>
        <v>-0.56542672621848811</v>
      </c>
      <c r="Y15" s="7" cm="1">
        <f t="array" ref="Y15">PRODUCT(1 + 預測IC!$C15:Y15) - 1</f>
        <v>-0.55646149072030515</v>
      </c>
      <c r="Z15" s="7" cm="1">
        <f t="array" ref="Z15">PRODUCT(1 + 預測IC!$C15:Z15) - 1</f>
        <v>-0.53573938396216936</v>
      </c>
      <c r="AA15" s="7" cm="1">
        <f t="array" ref="AA15">PRODUCT(1 + 預測IC!$C15:AA15) - 1</f>
        <v>-0.56084713059743674</v>
      </c>
      <c r="AB15" s="7" cm="1">
        <f t="array" ref="AB15">PRODUCT(1 + 預測IC!$C15:AB15) - 1</f>
        <v>-0.52408995966762029</v>
      </c>
      <c r="AC15" s="7" cm="1">
        <f t="array" ref="AC15">PRODUCT(1 + 預測IC!$C15:AC15) - 1</f>
        <v>-0.51624650237476488</v>
      </c>
      <c r="AD15" s="7" cm="1">
        <f t="array" ref="AD15">PRODUCT(1 + 預測IC!$C15:AD15) - 1</f>
        <v>-0.50708600922658498</v>
      </c>
      <c r="AE15" s="7" cm="1">
        <f t="array" ref="AE15">PRODUCT(1 + 預測IC!$C15:AE15) - 1</f>
        <v>-0.55529185593983454</v>
      </c>
      <c r="AF15" s="7" cm="1">
        <f t="array" ref="AF15">PRODUCT(1 + 預測IC!$C15:AF15) - 1</f>
        <v>-0.5260213382235166</v>
      </c>
      <c r="AG15" s="7" cm="1">
        <f t="array" ref="AG15">PRODUCT(1 + 預測IC!$C15:AG15) - 1</f>
        <v>-0.52122302554453381</v>
      </c>
      <c r="AH15" s="7" cm="1">
        <f t="array" ref="AH15">PRODUCT(1 + 預測IC!$C15:AH15) - 1</f>
        <v>-0.53731202574919412</v>
      </c>
      <c r="AI15" s="7" cm="1">
        <f t="array" ref="AI15">PRODUCT(1 + 預測IC!$C15:AI15) - 1</f>
        <v>-0.50294496949608369</v>
      </c>
      <c r="AJ15" s="7" cm="1">
        <f t="array" ref="AJ15">PRODUCT(1 + 預測IC!$C15:AJ15) - 1</f>
        <v>-0.50086507521226764</v>
      </c>
      <c r="AK15" s="7" cm="1">
        <f t="array" ref="AK15">PRODUCT(1 + 預測IC!$C15:AK15) - 1</f>
        <v>-0.47003869209913074</v>
      </c>
      <c r="AL15" s="7" cm="1">
        <f t="array" ref="AL15">PRODUCT(1 + 預測IC!$C15:AL15) - 1</f>
        <v>-0.44649163013063886</v>
      </c>
      <c r="AM15" s="7" cm="1">
        <f t="array" ref="AM15">PRODUCT(1 + 預測IC!$C15:AM15) - 1</f>
        <v>-0.41598079740997673</v>
      </c>
      <c r="AN15" s="7" cm="1">
        <f t="array" ref="AN15">PRODUCT(1 + 預測IC!$C15:AN15) - 1</f>
        <v>-0.35659264047061512</v>
      </c>
      <c r="AO15" s="7" cm="1">
        <f t="array" ref="AO15">PRODUCT(1 + 預測IC!$C15:AO15) - 1</f>
        <v>-0.31582003675962345</v>
      </c>
      <c r="AP15" s="7" cm="1">
        <f t="array" ref="AP15">PRODUCT(1 + 預測IC!$C15:AP15) - 1</f>
        <v>-0.36938153992941536</v>
      </c>
      <c r="AQ15" s="7" cm="1">
        <f t="array" ref="AQ15">PRODUCT(1 + 預測IC!$C15:AQ15) - 1</f>
        <v>-0.39294593988684789</v>
      </c>
      <c r="AR15" s="7" cm="1">
        <f t="array" ref="AR15">PRODUCT(1 + 預測IC!$C15:AR15) - 1</f>
        <v>-0.33813268831692245</v>
      </c>
      <c r="AS15" s="7" cm="1">
        <f t="array" ref="AS15">PRODUCT(1 + 預測IC!$C15:AS15) - 1</f>
        <v>-0.30251020923601424</v>
      </c>
      <c r="AT15" s="7" cm="1">
        <f t="array" ref="AT15">PRODUCT(1 + 預測IC!$C15:AT15) - 1</f>
        <v>-0.25699551945954602</v>
      </c>
      <c r="AU15" s="7" cm="1">
        <f t="array" ref="AU15">PRODUCT(1 + 預測IC!$C15:AU15) - 1</f>
        <v>-0.22731749750267538</v>
      </c>
      <c r="AV15" s="7" cm="1">
        <f t="array" ref="AV15">PRODUCT(1 + 預測IC!$C15:AV15) - 1</f>
        <v>-0.26380883367290742</v>
      </c>
      <c r="AW15" s="7" cm="1">
        <f t="array" ref="AW15">PRODUCT(1 + 預測IC!$C15:AW15) - 1</f>
        <v>-0.25228012472846606</v>
      </c>
      <c r="AX15" s="7" cm="1">
        <f t="array" ref="AX15">PRODUCT(1 + 預測IC!$C15:AX15) - 1</f>
        <v>-0.15864019093561488</v>
      </c>
      <c r="AY15" s="7" cm="1">
        <f t="array" ref="AY15">PRODUCT(1 + 預測IC!$C15:AY15) - 1</f>
        <v>-0.13506775922545289</v>
      </c>
      <c r="AZ15" s="7" cm="1">
        <f t="array" ref="AZ15">PRODUCT(1 + 預測IC!$C15:AZ15) - 1</f>
        <v>-0.21405620848998519</v>
      </c>
      <c r="BA15" s="7" cm="1">
        <f t="array" ref="BA15">PRODUCT(1 + 預測IC!$C15:BA15) - 1</f>
        <v>-0.20571458242081075</v>
      </c>
      <c r="BB15" s="7" cm="1">
        <f t="array" ref="BB15">PRODUCT(1 + 預測IC!$C15:BB15) - 1</f>
        <v>-0.11617886509584241</v>
      </c>
      <c r="BC15" s="7" cm="1">
        <f t="array" ref="BC15">PRODUCT(1 + 預測IC!$C15:BC15) - 1</f>
        <v>-6.1244835479209669E-2</v>
      </c>
      <c r="BD15" s="7" cm="1">
        <f t="array" ref="BD15">PRODUCT(1 + 預測IC!$C15:BD15) - 1</f>
        <v>-1.1450188157991481E-2</v>
      </c>
      <c r="BE15" s="7" cm="1">
        <f t="array" ref="BE15">PRODUCT(1 + 預測IC!$C15:BE15) - 1</f>
        <v>3.64378545891344E-2</v>
      </c>
      <c r="BF15" s="7" cm="1">
        <f t="array" ref="BF15">PRODUCT(1 + 預測IC!$C15:BF15) - 1</f>
        <v>8.583757076061671E-2</v>
      </c>
      <c r="BG15" s="7" cm="1">
        <f t="array" ref="BG15">PRODUCT(1 + 預測IC!$C15:BG15) - 1</f>
        <v>8.8540805452471449E-2</v>
      </c>
      <c r="BH15" s="7" cm="1">
        <f t="array" ref="BH15">PRODUCT(1 + 預測IC!$C15:BH15) - 1</f>
        <v>0.1260321596743792</v>
      </c>
      <c r="BI15" s="7" cm="1">
        <f t="array" ref="BI15">PRODUCT(1 + 預測IC!$C15:BI15) - 1</f>
        <v>0.20326294356245889</v>
      </c>
      <c r="BJ15" s="7" cm="1">
        <f t="array" ref="BJ15">PRODUCT(1 + 預測IC!$C15:BJ15) - 1</f>
        <v>0.18970815390990858</v>
      </c>
      <c r="BK15" s="7" cm="1">
        <f t="array" ref="BK15">PRODUCT(1 + 預測IC!$C15:BK15) - 1</f>
        <v>0.19068817869971921</v>
      </c>
      <c r="BL15" s="7" cm="1">
        <f t="array" ref="BL15">PRODUCT(1 + 預測IC!$C15:BL15) - 1</f>
        <v>0.261419666074862</v>
      </c>
      <c r="BM15" s="7" cm="1">
        <f t="array" ref="BM15">PRODUCT(1 + 預測IC!$C15:BM15) - 1</f>
        <v>0.34571380992879397</v>
      </c>
      <c r="BN15" s="7" cm="1">
        <f t="array" ref="BN15">PRODUCT(1 + 預測IC!$C15:BN15) - 1</f>
        <v>0.39973422038477713</v>
      </c>
      <c r="BO15" s="7" cm="1">
        <f t="array" ref="BO15">PRODUCT(1 + 預測IC!$C15:BO15) - 1</f>
        <v>0.4385551154633327</v>
      </c>
      <c r="BP15" s="7" cm="1">
        <f t="array" ref="BP15">PRODUCT(1 + 預測IC!$C15:BP15) - 1</f>
        <v>0.45895989872140608</v>
      </c>
      <c r="BQ15" s="7" cm="1">
        <f t="array" ref="BQ15">PRODUCT(1 + 預測IC!$C15:BQ15) - 1</f>
        <v>0.47763886206007977</v>
      </c>
      <c r="BR15" s="7" cm="1">
        <f t="array" ref="BR15">PRODUCT(1 + 預測IC!$C15:BR15) - 1</f>
        <v>0.4035242955683005</v>
      </c>
      <c r="BS15" s="7" cm="1">
        <f t="array" ref="BS15">PRODUCT(1 + 預測IC!$C15:BS15) - 1</f>
        <v>0.37991171517358957</v>
      </c>
      <c r="BT15" s="7" cm="1">
        <f t="array" ref="BT15">PRODUCT(1 + 預測IC!$C15:BT15) - 1</f>
        <v>0.50280693641802787</v>
      </c>
      <c r="BU15" s="7" cm="1">
        <f t="array" ref="BU15">PRODUCT(1 + 預測IC!$C15:BU15) - 1</f>
        <v>0.53207623518373581</v>
      </c>
      <c r="BV15" s="7" cm="1">
        <f t="array" ref="BV15">PRODUCT(1 + 預測IC!$C15:BV15) - 1</f>
        <v>0.6223384571740318</v>
      </c>
      <c r="BW15" s="7" cm="1">
        <f t="array" ref="BW15">PRODUCT(1 + 預測IC!$C15:BW15) - 1</f>
        <v>0.56402205723974763</v>
      </c>
      <c r="BX15" s="7" cm="1">
        <f t="array" ref="BX15">PRODUCT(1 + 預測IC!$C15:BX15) - 1</f>
        <v>0.60880922875135446</v>
      </c>
      <c r="BY15" s="7" cm="1">
        <f t="array" ref="BY15">PRODUCT(1 + 預測IC!$C15:BY15) - 1</f>
        <v>0.50955520502041285</v>
      </c>
      <c r="BZ15" s="7" cm="1">
        <f t="array" ref="BZ15">PRODUCT(1 + 預測IC!$C15:BZ15) - 1</f>
        <v>0.66489820089543916</v>
      </c>
      <c r="CA15" s="7" cm="1">
        <f t="array" ref="CA15">PRODUCT(1 + 預測IC!$C15:CA15) - 1</f>
        <v>0.63394437892043176</v>
      </c>
      <c r="CB15" s="7" cm="1">
        <f t="array" ref="CB15">PRODUCT(1 + 預測IC!$C15:CB15) - 1</f>
        <v>0.65854650625505307</v>
      </c>
      <c r="CC15" s="7" cm="1">
        <f t="array" ref="CC15">PRODUCT(1 + 預測IC!$C15:CC15) - 1</f>
        <v>0.40591957991064254</v>
      </c>
      <c r="CD15" s="7" cm="1">
        <f t="array" ref="CD15">PRODUCT(1 + 預測IC!$C15:CD15) - 1</f>
        <v>0.5748437473214103</v>
      </c>
      <c r="CE15" s="7" cm="1">
        <f t="array" ref="CE15">PRODUCT(1 + 預測IC!$C15:CE15) - 1</f>
        <v>0.39134835706198756</v>
      </c>
      <c r="CF15" s="7" cm="1">
        <f t="array" ref="CF15">PRODUCT(1 + 預測IC!$C15:CF15) - 1</f>
        <v>0.52263132756474495</v>
      </c>
      <c r="CG15" s="7" cm="1">
        <f t="array" ref="CG15">PRODUCT(1 + 預測IC!$C15:CG15) - 1</f>
        <v>0.51608571934015468</v>
      </c>
      <c r="CH15" s="7" cm="1">
        <f t="array" ref="CH15">PRODUCT(1 + 預測IC!$C15:CH15) - 1</f>
        <v>0.61142622264109492</v>
      </c>
      <c r="CI15" s="7" cm="1">
        <f t="array" ref="CI15">PRODUCT(1 + 預測IC!$C15:CI15) - 1</f>
        <v>0.54890543948241399</v>
      </c>
      <c r="CJ15" s="7" cm="1">
        <f t="array" ref="CJ15">PRODUCT(1 + 預測IC!$C15:CJ15) - 1</f>
        <v>0.41408196288513688</v>
      </c>
      <c r="CK15" s="7" cm="1">
        <f t="array" ref="CK15">PRODUCT(1 + 預測IC!$C15:CK15) - 1</f>
        <v>0.49422172906044115</v>
      </c>
      <c r="CL15" s="7" cm="1">
        <f t="array" ref="CL15">PRODUCT(1 + 預測IC!$C15:CL15) - 1</f>
        <v>0.54117312686534658</v>
      </c>
      <c r="CM15" s="7" cm="1">
        <f t="array" ref="CM15">PRODUCT(1 + 預測IC!$C15:CM15) - 1</f>
        <v>0.65619259747048653</v>
      </c>
      <c r="CN15" s="7" cm="1">
        <f t="array" ref="CN15">PRODUCT(1 + 預測IC!$C15:CN15) - 1</f>
        <v>0.58558229048421762</v>
      </c>
      <c r="CO15" s="7" cm="1">
        <f t="array" ref="CO15">PRODUCT(1 + 預測IC!$C15:CO15) - 1</f>
        <v>0.38033020911080184</v>
      </c>
      <c r="CP15" s="7" cm="1">
        <f t="array" ref="CP15">PRODUCT(1 + 預測IC!$C15:CP15) - 1</f>
        <v>0.55637177550308614</v>
      </c>
      <c r="CQ15" s="7" cm="1">
        <f t="array" ref="CQ15">PRODUCT(1 + 預測IC!$C15:CQ15) - 1</f>
        <v>0.61454585648238336</v>
      </c>
      <c r="CR15" s="7" cm="1">
        <f t="array" ref="CR15">PRODUCT(1 + 預測IC!$C15:CR15) - 1</f>
        <v>0.69242681844498843</v>
      </c>
      <c r="CS15" s="7" cm="1">
        <f t="array" ref="CS15">PRODUCT(1 + 預測IC!$C15:CS15) - 1</f>
        <v>0.79428581839511292</v>
      </c>
      <c r="CT15" s="7" cm="1">
        <f t="array" ref="CT15">PRODUCT(1 + 預測IC!$C15:CT15) - 1</f>
        <v>0.80755379940663063</v>
      </c>
      <c r="CU15" s="7" cm="1">
        <f t="array" ref="CU15">PRODUCT(1 + 預測IC!$C15:CU15) - 1</f>
        <v>0.69335497263626378</v>
      </c>
      <c r="CV15" s="7" cm="1">
        <f t="array" ref="CV15">PRODUCT(1 + 預測IC!$C15:CV15) - 1</f>
        <v>0.6829546456388349</v>
      </c>
      <c r="CW15" s="7" cm="1">
        <f t="array" ref="CW15">PRODUCT(1 + 預測IC!$C15:CW15) - 1</f>
        <v>0.66194352878894103</v>
      </c>
      <c r="CX15" s="7" cm="1">
        <f t="array" ref="CX15">PRODUCT(1 + 預測IC!$C15:CX15) - 1</f>
        <v>0.70189599816585324</v>
      </c>
      <c r="CY15" s="7" cm="1">
        <f t="array" ref="CY15">PRODUCT(1 + 預測IC!$C15:CY15) - 1</f>
        <v>0.62961532961539923</v>
      </c>
      <c r="CZ15" s="7" cm="1">
        <f t="array" ref="CZ15">PRODUCT(1 + 預測IC!$C15:CZ15) - 1</f>
        <v>0.75980032462168667</v>
      </c>
      <c r="DA15" s="7" cm="1">
        <f t="array" ref="DA15">PRODUCT(1 + 預測IC!$C15:DA15) - 1</f>
        <v>0.71338412084890424</v>
      </c>
      <c r="DB15" s="7" cm="1">
        <f t="array" ref="DB15">PRODUCT(1 + 預測IC!$C15:DB15) - 1</f>
        <v>0.66159431317386241</v>
      </c>
      <c r="DC15" s="7" cm="1">
        <f t="array" ref="DC15">PRODUCT(1 + 預測IC!$C15:DC15) - 1</f>
        <v>0.71987498290534835</v>
      </c>
      <c r="DD15" s="7" cm="1">
        <f t="array" ref="DD15">PRODUCT(1 + 預測IC!$C15:DD15) - 1</f>
        <v>0.63492401030122725</v>
      </c>
      <c r="DE15" s="7" cm="1">
        <f t="array" ref="DE15">PRODUCT(1 + 預測IC!$C15:DE15) - 1</f>
        <v>0.6757132630640541</v>
      </c>
      <c r="DF15" s="7" cm="1">
        <f t="array" ref="DF15">PRODUCT(1 + 預測IC!$C15:DF15) - 1</f>
        <v>0.60467758869197619</v>
      </c>
      <c r="DG15" s="7" cm="1">
        <f t="array" ref="DG15">PRODUCT(1 + 預測IC!$C15:DG15) - 1</f>
        <v>0.6306681209298266</v>
      </c>
      <c r="DH15" s="7" cm="1">
        <f t="array" ref="DH15">PRODUCT(1 + 預測IC!$C15:DH15) - 1</f>
        <v>0.60015993304642778</v>
      </c>
      <c r="DI15" s="7" cm="1">
        <f t="array" ref="DI15">PRODUCT(1 + 預測IC!$C15:DI15) - 1</f>
        <v>0.58140854046404589</v>
      </c>
      <c r="DJ15" s="7" cm="1">
        <f t="array" ref="DJ15">PRODUCT(1 + 預測IC!$C15:DJ15) - 1</f>
        <v>0.49940641432458288</v>
      </c>
      <c r="DK15" s="7" cm="1">
        <f t="array" ref="DK15">PRODUCT(1 + 預測IC!$C15:DK15) - 1</f>
        <v>0.65200825331817391</v>
      </c>
      <c r="DL15" s="7" cm="1">
        <f t="array" ref="DL15">PRODUCT(1 + 預測IC!$C15:DL15) - 1</f>
        <v>0.75548260650293497</v>
      </c>
      <c r="DM15" s="7" cm="1">
        <f t="array" ref="DM15">PRODUCT(1 + 預測IC!$C15:DM15) - 1</f>
        <v>0.71368711659063266</v>
      </c>
      <c r="DN15" s="7" cm="1">
        <f t="array" ref="DN15">PRODUCT(1 + 預測IC!$C15:DN15) - 1</f>
        <v>0.78908334740060249</v>
      </c>
      <c r="DO15" s="7" cm="1">
        <f t="array" ref="DO15">PRODUCT(1 + 預測IC!$C15:DO15) - 1</f>
        <v>0.87191205113374348</v>
      </c>
      <c r="DP15" s="7" cm="1">
        <f t="array" ref="DP15">PRODUCT(1 + 預測IC!$C15:DP15) - 1</f>
        <v>0.91634301057136014</v>
      </c>
      <c r="DQ15" s="7" cm="1">
        <f t="array" ref="DQ15">PRODUCT(1 + 預測IC!$C15:DQ15) - 1</f>
        <v>0.73421203184312467</v>
      </c>
      <c r="DR15" s="7" cm="1">
        <f t="array" ref="DR15">PRODUCT(1 + 預測IC!$C15:DR15) - 1</f>
        <v>0.85562519882810828</v>
      </c>
      <c r="DS15" s="7" cm="1">
        <f t="array" ref="DS15">PRODUCT(1 + 預測IC!$C15:DS15) - 1</f>
        <v>0.71414879237243278</v>
      </c>
      <c r="DT15" s="7" cm="1">
        <f t="array" ref="DT15">PRODUCT(1 + 預測IC!$C15:DT15) - 1</f>
        <v>0.5904495902095348</v>
      </c>
      <c r="DU15" s="7" cm="1">
        <f t="array" ref="DU15">PRODUCT(1 + 預測IC!$C15:DU15) - 1</f>
        <v>0.51765355310474259</v>
      </c>
      <c r="DV15" s="7" cm="1">
        <f t="array" ref="DV15">PRODUCT(1 + 預測IC!$C15:DV15) - 1</f>
        <v>0.72977349662766811</v>
      </c>
      <c r="DW15" s="7" cm="1">
        <f t="array" ref="DW15">PRODUCT(1 + 預測IC!$C15:DW15) - 1</f>
        <v>0.77394953700651481</v>
      </c>
      <c r="DX15" s="7" cm="1">
        <f t="array" ref="DX15">PRODUCT(1 + 預測IC!$C15:DX15) - 1</f>
        <v>0.56353029408452282</v>
      </c>
      <c r="DY15" s="7" cm="1">
        <f t="array" ref="DY15">PRODUCT(1 + 預測IC!$C15:DY15) - 1</f>
        <v>0.73010750857171924</v>
      </c>
      <c r="DZ15" s="7" cm="1">
        <f t="array" ref="DZ15">PRODUCT(1 + 預測IC!$C15:DZ15) - 1</f>
        <v>0.69737345224326774</v>
      </c>
      <c r="EA15" s="7" cm="1">
        <f t="array" ref="EA15">PRODUCT(1 + 預測IC!$C15:EA15) - 1</f>
        <v>0.7437774803299968</v>
      </c>
      <c r="EB15" s="7" cm="1">
        <f t="array" ref="EB15">PRODUCT(1 + 預測IC!$C15:EB15) - 1</f>
        <v>0.82838307553400581</v>
      </c>
      <c r="EC15" s="7" cm="1">
        <f t="array" ref="EC15">PRODUCT(1 + 預測IC!$C15:EC15) - 1</f>
        <v>0.94920602273194543</v>
      </c>
      <c r="ED15" s="7" cm="1">
        <f t="array" ref="ED15">PRODUCT(1 + 預測IC!$C15:ED15) - 1</f>
        <v>0.72824976658367446</v>
      </c>
      <c r="EE15" s="7" cm="1">
        <f t="array" ref="EE15">PRODUCT(1 + 預測IC!$C15:EE15) - 1</f>
        <v>0.70017363270362476</v>
      </c>
      <c r="EF15" s="7" cm="1">
        <f t="array" ref="EF15">PRODUCT(1 + 預測IC!$C15:EF15) - 1</f>
        <v>0.8118767254803787</v>
      </c>
    </row>
    <row r="16" spans="1:137" x14ac:dyDescent="0.3">
      <c r="A16" s="1">
        <v>9</v>
      </c>
      <c r="B16" s="1" t="s">
        <v>174</v>
      </c>
      <c r="C16" s="7" cm="1">
        <f t="array" ref="C16">PRODUCT(1 + 預測IC!$C16:C16) - 1</f>
        <v>-2.738364461037901E-2</v>
      </c>
      <c r="D16" s="7" cm="1">
        <f t="array" ref="D16">PRODUCT(1 + 預測IC!$C16:D16) - 1</f>
        <v>-2.8084170244159101E-2</v>
      </c>
      <c r="E16" s="7" cm="1">
        <f t="array" ref="E16">PRODUCT(1 + 預測IC!$C16:E16) - 1</f>
        <v>-3.0834863692505765E-2</v>
      </c>
      <c r="F16" s="7" cm="1">
        <f t="array" ref="F16">PRODUCT(1 + 預測IC!$C16:F16) - 1</f>
        <v>-0.12715291092737246</v>
      </c>
      <c r="G16" s="7" cm="1">
        <f t="array" ref="G16">PRODUCT(1 + 預測IC!$C16:G16) - 1</f>
        <v>-0.19147848141893253</v>
      </c>
      <c r="H16" s="7" cm="1">
        <f t="array" ref="H16">PRODUCT(1 + 預測IC!$C16:H16) - 1</f>
        <v>-0.14215947357411318</v>
      </c>
      <c r="I16" s="7" cm="1">
        <f t="array" ref="I16">PRODUCT(1 + 預測IC!$C16:I16) - 1</f>
        <v>-9.2807377372389532E-2</v>
      </c>
      <c r="J16" s="7" cm="1">
        <f t="array" ref="J16">PRODUCT(1 + 預測IC!$C16:J16) - 1</f>
        <v>-5.0432477063001468E-2</v>
      </c>
      <c r="K16" s="7" cm="1">
        <f t="array" ref="K16">PRODUCT(1 + 預測IC!$C16:K16) - 1</f>
        <v>-0.32074638629472196</v>
      </c>
      <c r="L16" s="7" cm="1">
        <f t="array" ref="L16">PRODUCT(1 + 預測IC!$C16:L16) - 1</f>
        <v>-0.31403092194888993</v>
      </c>
      <c r="M16" s="7" cm="1">
        <f t="array" ref="M16">PRODUCT(1 + 預測IC!$C16:M16) - 1</f>
        <v>-0.28636273322732231</v>
      </c>
      <c r="N16" s="7" cm="1">
        <f t="array" ref="N16">PRODUCT(1 + 預測IC!$C16:N16) - 1</f>
        <v>-0.19667949150138142</v>
      </c>
      <c r="O16" s="7" cm="1">
        <f t="array" ref="O16">PRODUCT(1 + 預測IC!$C16:O16) - 1</f>
        <v>-0.1325529372755434</v>
      </c>
      <c r="P16" s="7" cm="1">
        <f t="array" ref="P16">PRODUCT(1 + 預測IC!$C16:P16) - 1</f>
        <v>-0.18550644428634633</v>
      </c>
      <c r="Q16" s="7" cm="1">
        <f t="array" ref="Q16">PRODUCT(1 + 預測IC!$C16:Q16) - 1</f>
        <v>-0.31411747757436892</v>
      </c>
      <c r="R16" s="7" cm="1">
        <f t="array" ref="R16">PRODUCT(1 + 預測IC!$C16:R16) - 1</f>
        <v>-0.34771953333516192</v>
      </c>
      <c r="S16" s="7" cm="1">
        <f t="array" ref="S16">PRODUCT(1 + 預測IC!$C16:S16) - 1</f>
        <v>-0.53496513424310566</v>
      </c>
      <c r="T16" s="7" cm="1">
        <f t="array" ref="T16">PRODUCT(1 + 預測IC!$C16:T16) - 1</f>
        <v>-0.56622434085980045</v>
      </c>
      <c r="U16" s="7" cm="1">
        <f t="array" ref="U16">PRODUCT(1 + 預測IC!$C16:U16) - 1</f>
        <v>-0.62264227513364112</v>
      </c>
      <c r="V16" s="7" cm="1">
        <f t="array" ref="V16">PRODUCT(1 + 預測IC!$C16:V16) - 1</f>
        <v>-0.62491477819530372</v>
      </c>
      <c r="W16" s="7" cm="1">
        <f t="array" ref="W16">PRODUCT(1 + 預測IC!$C16:W16) - 1</f>
        <v>-0.58678148554498577</v>
      </c>
      <c r="X16" s="7" cm="1">
        <f t="array" ref="X16">PRODUCT(1 + 預測IC!$C16:X16) - 1</f>
        <v>-0.53537305953729519</v>
      </c>
      <c r="Y16" s="7" cm="1">
        <f t="array" ref="Y16">PRODUCT(1 + 預測IC!$C16:Y16) - 1</f>
        <v>-0.52599661448314294</v>
      </c>
      <c r="Z16" s="7" cm="1">
        <f t="array" ref="Z16">PRODUCT(1 + 預測IC!$C16:Z16) - 1</f>
        <v>-0.50558700947067581</v>
      </c>
      <c r="AA16" s="7" cm="1">
        <f t="array" ref="AA16">PRODUCT(1 + 預測IC!$C16:AA16) - 1</f>
        <v>-0.52708786155539888</v>
      </c>
      <c r="AB16" s="7" cm="1">
        <f t="array" ref="AB16">PRODUCT(1 + 預測IC!$C16:AB16) - 1</f>
        <v>-0.49162652516302408</v>
      </c>
      <c r="AC16" s="7" cm="1">
        <f t="array" ref="AC16">PRODUCT(1 + 預測IC!$C16:AC16) - 1</f>
        <v>-0.4676179593612565</v>
      </c>
      <c r="AD16" s="7" cm="1">
        <f t="array" ref="AD16">PRODUCT(1 + 預測IC!$C16:AD16) - 1</f>
        <v>-0.4670206129500758</v>
      </c>
      <c r="AE16" s="7" cm="1">
        <f t="array" ref="AE16">PRODUCT(1 + 預測IC!$C16:AE16) - 1</f>
        <v>-0.51845438189216364</v>
      </c>
      <c r="AF16" s="7" cm="1">
        <f t="array" ref="AF16">PRODUCT(1 + 預測IC!$C16:AF16) - 1</f>
        <v>-0.48778674346149398</v>
      </c>
      <c r="AG16" s="7" cm="1">
        <f t="array" ref="AG16">PRODUCT(1 + 預測IC!$C16:AG16) - 1</f>
        <v>-0.4809790435668011</v>
      </c>
      <c r="AH16" s="7" cm="1">
        <f t="array" ref="AH16">PRODUCT(1 + 預測IC!$C16:AH16) - 1</f>
        <v>-0.49746595208955324</v>
      </c>
      <c r="AI16" s="7" cm="1">
        <f t="array" ref="AI16">PRODUCT(1 + 預測IC!$C16:AI16) - 1</f>
        <v>-0.45197523875087897</v>
      </c>
      <c r="AJ16" s="7" cm="1">
        <f t="array" ref="AJ16">PRODUCT(1 + 預測IC!$C16:AJ16) - 1</f>
        <v>-0.46163649973714838</v>
      </c>
      <c r="AK16" s="7" cm="1">
        <f t="array" ref="AK16">PRODUCT(1 + 預測IC!$C16:AK16) - 1</f>
        <v>-0.42695436889319638</v>
      </c>
      <c r="AL16" s="7" cm="1">
        <f t="array" ref="AL16">PRODUCT(1 + 預測IC!$C16:AL16) - 1</f>
        <v>-0.39905338849439786</v>
      </c>
      <c r="AM16" s="7" cm="1">
        <f t="array" ref="AM16">PRODUCT(1 + 預測IC!$C16:AM16) - 1</f>
        <v>-0.35934480113987888</v>
      </c>
      <c r="AN16" s="7" cm="1">
        <f t="array" ref="AN16">PRODUCT(1 + 預測IC!$C16:AN16) - 1</f>
        <v>-0.29114308310153492</v>
      </c>
      <c r="AO16" s="7" cm="1">
        <f t="array" ref="AO16">PRODUCT(1 + 預測IC!$C16:AO16) - 1</f>
        <v>-0.24760177960951868</v>
      </c>
      <c r="AP16" s="7" cm="1">
        <f t="array" ref="AP16">PRODUCT(1 + 預測IC!$C16:AP16) - 1</f>
        <v>-0.30613713335154302</v>
      </c>
      <c r="AQ16" s="7" cm="1">
        <f t="array" ref="AQ16">PRODUCT(1 + 預測IC!$C16:AQ16) - 1</f>
        <v>-0.33282740125396748</v>
      </c>
      <c r="AR16" s="7" cm="1">
        <f t="array" ref="AR16">PRODUCT(1 + 預測IC!$C16:AR16) - 1</f>
        <v>-0.26391435689263698</v>
      </c>
      <c r="AS16" s="7" cm="1">
        <f t="array" ref="AS16">PRODUCT(1 + 預測IC!$C16:AS16) - 1</f>
        <v>-0.21601857029877536</v>
      </c>
      <c r="AT16" s="7" cm="1">
        <f t="array" ref="AT16">PRODUCT(1 + 預測IC!$C16:AT16) - 1</f>
        <v>-0.177174520634651</v>
      </c>
      <c r="AU16" s="7" cm="1">
        <f t="array" ref="AU16">PRODUCT(1 + 預測IC!$C16:AU16) - 1</f>
        <v>-0.1427583323972299</v>
      </c>
      <c r="AV16" s="7" cm="1">
        <f t="array" ref="AV16">PRODUCT(1 + 預測IC!$C16:AV16) - 1</f>
        <v>-0.15053566323867051</v>
      </c>
      <c r="AW16" s="7" cm="1">
        <f t="array" ref="AW16">PRODUCT(1 + 預測IC!$C16:AW16) - 1</f>
        <v>-0.11719169902686855</v>
      </c>
      <c r="AX16" s="7" cm="1">
        <f t="array" ref="AX16">PRODUCT(1 + 預測IC!$C16:AX16) - 1</f>
        <v>-2.8178338221850674E-2</v>
      </c>
      <c r="AY16" s="7" cm="1">
        <f t="array" ref="AY16">PRODUCT(1 + 預測IC!$C16:AY16) - 1</f>
        <v>4.6814690297045658E-3</v>
      </c>
      <c r="AZ16" s="7" cm="1">
        <f t="array" ref="AZ16">PRODUCT(1 + 預測IC!$C16:AZ16) - 1</f>
        <v>-0.10071929735701435</v>
      </c>
      <c r="BA16" s="7" cm="1">
        <f t="array" ref="BA16">PRODUCT(1 + 預測IC!$C16:BA16) - 1</f>
        <v>-8.7299236955213355E-2</v>
      </c>
      <c r="BB16" s="7" cm="1">
        <f t="array" ref="BB16">PRODUCT(1 + 預測IC!$C16:BB16) - 1</f>
        <v>1.1307971557528607E-2</v>
      </c>
      <c r="BC16" s="7" cm="1">
        <f t="array" ref="BC16">PRODUCT(1 + 預測IC!$C16:BC16) - 1</f>
        <v>7.9188445294865684E-2</v>
      </c>
      <c r="BD16" s="7" cm="1">
        <f t="array" ref="BD16">PRODUCT(1 + 預測IC!$C16:BD16) - 1</f>
        <v>0.11797092915709984</v>
      </c>
      <c r="BE16" s="7" cm="1">
        <f t="array" ref="BE16">PRODUCT(1 + 預測IC!$C16:BE16) - 1</f>
        <v>0.17544692632918135</v>
      </c>
      <c r="BF16" s="7" cm="1">
        <f t="array" ref="BF16">PRODUCT(1 + 預測IC!$C16:BF16) - 1</f>
        <v>0.25099061324045113</v>
      </c>
      <c r="BG16" s="7" cm="1">
        <f t="array" ref="BG16">PRODUCT(1 + 預測IC!$C16:BG16) - 1</f>
        <v>0.267845562611986</v>
      </c>
      <c r="BH16" s="7" cm="1">
        <f t="array" ref="BH16">PRODUCT(1 + 預測IC!$C16:BH16) - 1</f>
        <v>0.25038021091624163</v>
      </c>
      <c r="BI16" s="7" cm="1">
        <f t="array" ref="BI16">PRODUCT(1 + 預測IC!$C16:BI16) - 1</f>
        <v>0.30220072800844133</v>
      </c>
      <c r="BJ16" s="7" cm="1">
        <f t="array" ref="BJ16">PRODUCT(1 + 預測IC!$C16:BJ16) - 1</f>
        <v>0.27550064351749692</v>
      </c>
      <c r="BK16" s="7" cm="1">
        <f t="array" ref="BK16">PRODUCT(1 + 預測IC!$C16:BK16) - 1</f>
        <v>0.27929141905154853</v>
      </c>
      <c r="BL16" s="7" cm="1">
        <f t="array" ref="BL16">PRODUCT(1 + 預測IC!$C16:BL16) - 1</f>
        <v>0.36963954064400606</v>
      </c>
      <c r="BM16" s="7" cm="1">
        <f t="array" ref="BM16">PRODUCT(1 + 預測IC!$C16:BM16) - 1</f>
        <v>0.48129786340800251</v>
      </c>
      <c r="BN16" s="7" cm="1">
        <f t="array" ref="BN16">PRODUCT(1 + 預測IC!$C16:BN16) - 1</f>
        <v>0.55226067088912933</v>
      </c>
      <c r="BO16" s="7" cm="1">
        <f t="array" ref="BO16">PRODUCT(1 + 預測IC!$C16:BO16) - 1</f>
        <v>0.58624021571679852</v>
      </c>
      <c r="BP16" s="7" cm="1">
        <f t="array" ref="BP16">PRODUCT(1 + 預測IC!$C16:BP16) - 1</f>
        <v>0.61930251168353756</v>
      </c>
      <c r="BQ16" s="7" cm="1">
        <f t="array" ref="BQ16">PRODUCT(1 + 預測IC!$C16:BQ16) - 1</f>
        <v>0.64598540479270539</v>
      </c>
      <c r="BR16" s="7" cm="1">
        <f t="array" ref="BR16">PRODUCT(1 + 預測IC!$C16:BR16) - 1</f>
        <v>0.60270117675735602</v>
      </c>
      <c r="BS16" s="7" cm="1">
        <f t="array" ref="BS16">PRODUCT(1 + 預測IC!$C16:BS16) - 1</f>
        <v>0.58155902695063433</v>
      </c>
      <c r="BT16" s="7" cm="1">
        <f t="array" ref="BT16">PRODUCT(1 + 預測IC!$C16:BT16) - 1</f>
        <v>0.7167557397527704</v>
      </c>
      <c r="BU16" s="7" cm="1">
        <f t="array" ref="BU16">PRODUCT(1 + 預測IC!$C16:BU16) - 1</f>
        <v>0.81592432421997785</v>
      </c>
      <c r="BV16" s="7" cm="1">
        <f t="array" ref="BV16">PRODUCT(1 + 預測IC!$C16:BV16) - 1</f>
        <v>0.92617134068503937</v>
      </c>
      <c r="BW16" s="7" cm="1">
        <f t="array" ref="BW16">PRODUCT(1 + 預測IC!$C16:BW16) - 1</f>
        <v>0.79954305036599327</v>
      </c>
      <c r="BX16" s="7" cm="1">
        <f t="array" ref="BX16">PRODUCT(1 + 預測IC!$C16:BX16) - 1</f>
        <v>0.85633525692199397</v>
      </c>
      <c r="BY16" s="7" cm="1">
        <f t="array" ref="BY16">PRODUCT(1 + 預測IC!$C16:BY16) - 1</f>
        <v>0.76247201691607214</v>
      </c>
      <c r="BZ16" s="7" cm="1">
        <f t="array" ref="BZ16">PRODUCT(1 + 預測IC!$C16:BZ16) - 1</f>
        <v>0.95903320406305026</v>
      </c>
      <c r="CA16" s="7" cm="1">
        <f t="array" ref="CA16">PRODUCT(1 + 預測IC!$C16:CA16) - 1</f>
        <v>0.90082172789343096</v>
      </c>
      <c r="CB16" s="7" cm="1">
        <f t="array" ref="CB16">PRODUCT(1 + 預測IC!$C16:CB16) - 1</f>
        <v>0.89810726894951731</v>
      </c>
      <c r="CC16" s="7" cm="1">
        <f t="array" ref="CC16">PRODUCT(1 + 預測IC!$C16:CC16) - 1</f>
        <v>0.59617057291748399</v>
      </c>
      <c r="CD16" s="7" cm="1">
        <f t="array" ref="CD16">PRODUCT(1 + 預測IC!$C16:CD16) - 1</f>
        <v>0.84369077339237664</v>
      </c>
      <c r="CE16" s="7" cm="1">
        <f t="array" ref="CE16">PRODUCT(1 + 預測IC!$C16:CE16) - 1</f>
        <v>0.59922648320997851</v>
      </c>
      <c r="CF16" s="7" cm="1">
        <f t="array" ref="CF16">PRODUCT(1 + 預測IC!$C16:CF16) - 1</f>
        <v>0.76746713068153727</v>
      </c>
      <c r="CG16" s="7" cm="1">
        <f t="array" ref="CG16">PRODUCT(1 + 預測IC!$C16:CG16) - 1</f>
        <v>0.75796077508191617</v>
      </c>
      <c r="CH16" s="7" cm="1">
        <f t="array" ref="CH16">PRODUCT(1 + 預測IC!$C16:CH16) - 1</f>
        <v>0.8312631945521618</v>
      </c>
      <c r="CI16" s="7" cm="1">
        <f t="array" ref="CI16">PRODUCT(1 + 預測IC!$C16:CI16) - 1</f>
        <v>0.76037521269413411</v>
      </c>
      <c r="CJ16" s="7" cm="1">
        <f t="array" ref="CJ16">PRODUCT(1 + 預測IC!$C16:CJ16) - 1</f>
        <v>0.68023668229370338</v>
      </c>
      <c r="CK16" s="7" cm="1">
        <f t="array" ref="CK16">PRODUCT(1 + 預測IC!$C16:CK16) - 1</f>
        <v>0.80872939474061578</v>
      </c>
      <c r="CL16" s="7" cm="1">
        <f t="array" ref="CL16">PRODUCT(1 + 預測IC!$C16:CL16) - 1</f>
        <v>0.83744963422915286</v>
      </c>
      <c r="CM16" s="7" cm="1">
        <f t="array" ref="CM16">PRODUCT(1 + 預測IC!$C16:CM16) - 1</f>
        <v>1.0009617564730271</v>
      </c>
      <c r="CN16" s="7" cm="1">
        <f t="array" ref="CN16">PRODUCT(1 + 預測IC!$C16:CN16) - 1</f>
        <v>0.93481493291195816</v>
      </c>
      <c r="CO16" s="7" cm="1">
        <f t="array" ref="CO16">PRODUCT(1 + 預測IC!$C16:CO16) - 1</f>
        <v>0.58180416672932256</v>
      </c>
      <c r="CP16" s="7" cm="1">
        <f t="array" ref="CP16">PRODUCT(1 + 預測IC!$C16:CP16) - 1</f>
        <v>0.79792874245936174</v>
      </c>
      <c r="CQ16" s="7" cm="1">
        <f t="array" ref="CQ16">PRODUCT(1 + 預測IC!$C16:CQ16) - 1</f>
        <v>0.87242700883562763</v>
      </c>
      <c r="CR16" s="7" cm="1">
        <f t="array" ref="CR16">PRODUCT(1 + 預測IC!$C16:CR16) - 1</f>
        <v>0.96286479649392853</v>
      </c>
      <c r="CS16" s="7" cm="1">
        <f t="array" ref="CS16">PRODUCT(1 + 預測IC!$C16:CS16) - 1</f>
        <v>1.0935114282949594</v>
      </c>
      <c r="CT16" s="7" cm="1">
        <f t="array" ref="CT16">PRODUCT(1 + 預測IC!$C16:CT16) - 1</f>
        <v>1.1041201017162861</v>
      </c>
      <c r="CU16" s="7" cm="1">
        <f t="array" ref="CU16">PRODUCT(1 + 預測IC!$C16:CU16) - 1</f>
        <v>0.97064597033414279</v>
      </c>
      <c r="CV16" s="7" cm="1">
        <f t="array" ref="CV16">PRODUCT(1 + 預測IC!$C16:CV16) - 1</f>
        <v>0.93763551399174183</v>
      </c>
      <c r="CW16" s="7" cm="1">
        <f t="array" ref="CW16">PRODUCT(1 + 預測IC!$C16:CW16) - 1</f>
        <v>0.91982058396002819</v>
      </c>
      <c r="CX16" s="7" cm="1">
        <f t="array" ref="CX16">PRODUCT(1 + 預測IC!$C16:CX16) - 1</f>
        <v>0.94331973458476948</v>
      </c>
      <c r="CY16" s="7" cm="1">
        <f t="array" ref="CY16">PRODUCT(1 + 預測IC!$C16:CY16) - 1</f>
        <v>0.84786960373186182</v>
      </c>
      <c r="CZ16" s="7" cm="1">
        <f t="array" ref="CZ16">PRODUCT(1 + 預測IC!$C16:CZ16) - 1</f>
        <v>1.0375224836990671</v>
      </c>
      <c r="DA16" s="7" cm="1">
        <f t="array" ref="DA16">PRODUCT(1 + 預測IC!$C16:DA16) - 1</f>
        <v>0.97679454586880632</v>
      </c>
      <c r="DB16" s="7" cm="1">
        <f t="array" ref="DB16">PRODUCT(1 + 預測IC!$C16:DB16) - 1</f>
        <v>0.89236136160503299</v>
      </c>
      <c r="DC16" s="7" cm="1">
        <f t="array" ref="DC16">PRODUCT(1 + 預測IC!$C16:DC16) - 1</f>
        <v>0.97362382883639165</v>
      </c>
      <c r="DD16" s="7" cm="1">
        <f t="array" ref="DD16">PRODUCT(1 + 預測IC!$C16:DD16) - 1</f>
        <v>0.83533016169834307</v>
      </c>
      <c r="DE16" s="7" cm="1">
        <f t="array" ref="DE16">PRODUCT(1 + 預測IC!$C16:DE16) - 1</f>
        <v>0.8985469571569682</v>
      </c>
      <c r="DF16" s="7" cm="1">
        <f t="array" ref="DF16">PRODUCT(1 + 預測IC!$C16:DF16) - 1</f>
        <v>0.85460236678754598</v>
      </c>
      <c r="DG16" s="7" cm="1">
        <f t="array" ref="DG16">PRODUCT(1 + 預測IC!$C16:DG16) - 1</f>
        <v>0.88140683767186845</v>
      </c>
      <c r="DH16" s="7" cm="1">
        <f t="array" ref="DH16">PRODUCT(1 + 預測IC!$C16:DH16) - 1</f>
        <v>0.84541676016512413</v>
      </c>
      <c r="DI16" s="7" cm="1">
        <f t="array" ref="DI16">PRODUCT(1 + 預測IC!$C16:DI16) - 1</f>
        <v>0.82099557456083549</v>
      </c>
      <c r="DJ16" s="7" cm="1">
        <f t="array" ref="DJ16">PRODUCT(1 + 預測IC!$C16:DJ16) - 1</f>
        <v>0.76792920305152879</v>
      </c>
      <c r="DK16" s="7" cm="1">
        <f t="array" ref="DK16">PRODUCT(1 + 預測IC!$C16:DK16) - 1</f>
        <v>1.0041145674927732</v>
      </c>
      <c r="DL16" s="7" cm="1">
        <f t="array" ref="DL16">PRODUCT(1 + 預測IC!$C16:DL16) - 1</f>
        <v>1.1346085517318736</v>
      </c>
      <c r="DM16" s="7" cm="1">
        <f t="array" ref="DM16">PRODUCT(1 + 預測IC!$C16:DM16) - 1</f>
        <v>1.069863846995569</v>
      </c>
      <c r="DN16" s="7" cm="1">
        <f t="array" ref="DN16">PRODUCT(1 + 預測IC!$C16:DN16) - 1</f>
        <v>1.1577044254083053</v>
      </c>
      <c r="DO16" s="7" cm="1">
        <f t="array" ref="DO16">PRODUCT(1 + 預測IC!$C16:DO16) - 1</f>
        <v>1.2725415708708683</v>
      </c>
      <c r="DP16" s="7" cm="1">
        <f t="array" ref="DP16">PRODUCT(1 + 預測IC!$C16:DP16) - 1</f>
        <v>1.3176332238642416</v>
      </c>
      <c r="DQ16" s="7" cm="1">
        <f t="array" ref="DQ16">PRODUCT(1 + 預測IC!$C16:DQ16) - 1</f>
        <v>1.1251916592059645</v>
      </c>
      <c r="DR16" s="7" cm="1">
        <f t="array" ref="DR16">PRODUCT(1 + 預測IC!$C16:DR16) - 1</f>
        <v>1.2424836468726519</v>
      </c>
      <c r="DS16" s="7" cm="1">
        <f t="array" ref="DS16">PRODUCT(1 + 預測IC!$C16:DS16) - 1</f>
        <v>1.0322461742725859</v>
      </c>
      <c r="DT16" s="7" cm="1">
        <f t="array" ref="DT16">PRODUCT(1 + 預測IC!$C16:DT16) - 1</f>
        <v>0.82793607761748467</v>
      </c>
      <c r="DU16" s="7" cm="1">
        <f t="array" ref="DU16">PRODUCT(1 + 預測IC!$C16:DU16) - 1</f>
        <v>0.71008221360144019</v>
      </c>
      <c r="DV16" s="7" cm="1">
        <f t="array" ref="DV16">PRODUCT(1 + 預測IC!$C16:DV16) - 1</f>
        <v>0.94428435481140705</v>
      </c>
      <c r="DW16" s="7" cm="1">
        <f t="array" ref="DW16">PRODUCT(1 + 預測IC!$C16:DW16) - 1</f>
        <v>1.023840056500918</v>
      </c>
      <c r="DX16" s="7" cm="1">
        <f t="array" ref="DX16">PRODUCT(1 + 預測IC!$C16:DX16) - 1</f>
        <v>0.77028384937549865</v>
      </c>
      <c r="DY16" s="7" cm="1">
        <f t="array" ref="DY16">PRODUCT(1 + 預測IC!$C16:DY16) - 1</f>
        <v>0.97626404927210708</v>
      </c>
      <c r="DZ16" s="7" cm="1">
        <f t="array" ref="DZ16">PRODUCT(1 + 預測IC!$C16:DZ16) - 1</f>
        <v>0.91445228084838504</v>
      </c>
      <c r="EA16" s="7" cm="1">
        <f t="array" ref="EA16">PRODUCT(1 + 預測IC!$C16:EA16) - 1</f>
        <v>1.0037832500507604</v>
      </c>
      <c r="EB16" s="7" cm="1">
        <f t="array" ref="EB16">PRODUCT(1 + 預測IC!$C16:EB16) - 1</f>
        <v>1.1613019312400428</v>
      </c>
      <c r="EC16" s="7" cm="1">
        <f t="array" ref="EC16">PRODUCT(1 + 預測IC!$C16:EC16) - 1</f>
        <v>1.2986139095530094</v>
      </c>
      <c r="ED16" s="7" cm="1">
        <f t="array" ref="ED16">PRODUCT(1 + 預測IC!$C16:ED16) - 1</f>
        <v>1.0333153683566221</v>
      </c>
      <c r="EE16" s="7" cm="1">
        <f t="array" ref="EE16">PRODUCT(1 + 預測IC!$C16:EE16) - 1</f>
        <v>0.98636466974734027</v>
      </c>
      <c r="EF16" s="7" cm="1">
        <f t="array" ref="EF16">PRODUCT(1 + 預測IC!$C16:EF16) - 1</f>
        <v>1.0707343202435009</v>
      </c>
    </row>
    <row r="17" spans="1:136" x14ac:dyDescent="0.3">
      <c r="A17" s="1">
        <v>8</v>
      </c>
      <c r="B17" s="1" t="s">
        <v>175</v>
      </c>
      <c r="C17" s="7" cm="1">
        <f t="array" ref="C17">PRODUCT(1 + 預測IC!$C17:C17) - 1</f>
        <v>-4.1028984252961864E-2</v>
      </c>
      <c r="D17" s="7" cm="1">
        <f t="array" ref="D17">PRODUCT(1 + 預測IC!$C17:D17) - 1</f>
        <v>-5.7652147198090864E-2</v>
      </c>
      <c r="E17" s="7" cm="1">
        <f t="array" ref="E17">PRODUCT(1 + 預測IC!$C17:E17) - 1</f>
        <v>-5.0698560983171714E-2</v>
      </c>
      <c r="F17" s="7" cm="1">
        <f t="array" ref="F17">PRODUCT(1 + 預測IC!$C17:F17) - 1</f>
        <v>-0.1578153764591036</v>
      </c>
      <c r="G17" s="7" cm="1">
        <f t="array" ref="G17">PRODUCT(1 + 預測IC!$C17:G17) - 1</f>
        <v>-0.21779809556994612</v>
      </c>
      <c r="H17" s="7" cm="1">
        <f t="array" ref="H17">PRODUCT(1 + 預測IC!$C17:H17) - 1</f>
        <v>-0.15781273549707509</v>
      </c>
      <c r="I17" s="7" cm="1">
        <f t="array" ref="I17">PRODUCT(1 + 預測IC!$C17:I17) - 1</f>
        <v>-6.2034965426831734E-2</v>
      </c>
      <c r="J17" s="7" cm="1">
        <f t="array" ref="J17">PRODUCT(1 + 預測IC!$C17:J17) - 1</f>
        <v>-2.2773254402584597E-2</v>
      </c>
      <c r="K17" s="7" cm="1">
        <f t="array" ref="K17">PRODUCT(1 + 預測IC!$C17:K17) - 1</f>
        <v>-0.31284009894149201</v>
      </c>
      <c r="L17" s="7" cm="1">
        <f t="array" ref="L17">PRODUCT(1 + 預測IC!$C17:L17) - 1</f>
        <v>-0.30616716506787611</v>
      </c>
      <c r="M17" s="7" cm="1">
        <f t="array" ref="M17">PRODUCT(1 + 預測IC!$C17:M17) - 1</f>
        <v>-0.26111518715737214</v>
      </c>
      <c r="N17" s="7" cm="1">
        <f t="array" ref="N17">PRODUCT(1 + 預測IC!$C17:N17) - 1</f>
        <v>-0.16066495538380121</v>
      </c>
      <c r="O17" s="7" cm="1">
        <f t="array" ref="O17">PRODUCT(1 + 預測IC!$C17:O17) - 1</f>
        <v>-7.5701780480251668E-2</v>
      </c>
      <c r="P17" s="7" cm="1">
        <f t="array" ref="P17">PRODUCT(1 + 預測IC!$C17:P17) - 1</f>
        <v>-0.13701914125933645</v>
      </c>
      <c r="Q17" s="7" cm="1">
        <f t="array" ref="Q17">PRODUCT(1 + 預測IC!$C17:Q17) - 1</f>
        <v>-0.27665056143164979</v>
      </c>
      <c r="R17" s="7" cm="1">
        <f t="array" ref="R17">PRODUCT(1 + 預測IC!$C17:R17) - 1</f>
        <v>-0.3143064036059503</v>
      </c>
      <c r="S17" s="7" cm="1">
        <f t="array" ref="S17">PRODUCT(1 + 預測IC!$C17:S17) - 1</f>
        <v>-0.52731947307551841</v>
      </c>
      <c r="T17" s="7" cm="1">
        <f t="array" ref="T17">PRODUCT(1 + 預測IC!$C17:T17) - 1</f>
        <v>-0.56097527882297027</v>
      </c>
      <c r="U17" s="7" cm="1">
        <f t="array" ref="U17">PRODUCT(1 + 預測IC!$C17:U17) - 1</f>
        <v>-0.62299680278632064</v>
      </c>
      <c r="V17" s="7" cm="1">
        <f t="array" ref="V17">PRODUCT(1 + 預測IC!$C17:V17) - 1</f>
        <v>-0.62148457139589341</v>
      </c>
      <c r="W17" s="7" cm="1">
        <f t="array" ref="W17">PRODUCT(1 + 預測IC!$C17:W17) - 1</f>
        <v>-0.57621261812471603</v>
      </c>
      <c r="X17" s="7" cm="1">
        <f t="array" ref="X17">PRODUCT(1 + 預測IC!$C17:X17) - 1</f>
        <v>-0.52669467381730173</v>
      </c>
      <c r="Y17" s="7" cm="1">
        <f t="array" ref="Y17">PRODUCT(1 + 預測IC!$C17:Y17) - 1</f>
        <v>-0.51584272406257137</v>
      </c>
      <c r="Z17" s="7" cm="1">
        <f t="array" ref="Z17">PRODUCT(1 + 預測IC!$C17:Z17) - 1</f>
        <v>-0.4897619030286412</v>
      </c>
      <c r="AA17" s="7" cm="1">
        <f t="array" ref="AA17">PRODUCT(1 + 預測IC!$C17:AA17) - 1</f>
        <v>-0.5077272790598244</v>
      </c>
      <c r="AB17" s="7" cm="1">
        <f t="array" ref="AB17">PRODUCT(1 + 預測IC!$C17:AB17) - 1</f>
        <v>-0.46595692318939963</v>
      </c>
      <c r="AC17" s="7" cm="1">
        <f t="array" ref="AC17">PRODUCT(1 + 預測IC!$C17:AC17) - 1</f>
        <v>-0.43459327272960746</v>
      </c>
      <c r="AD17" s="7" cm="1">
        <f t="array" ref="AD17">PRODUCT(1 + 預測IC!$C17:AD17) - 1</f>
        <v>-0.42220360322020323</v>
      </c>
      <c r="AE17" s="7" cm="1">
        <f t="array" ref="AE17">PRODUCT(1 + 預測IC!$C17:AE17) - 1</f>
        <v>-0.49567528153041307</v>
      </c>
      <c r="AF17" s="7" cm="1">
        <f t="array" ref="AF17">PRODUCT(1 + 預測IC!$C17:AF17) - 1</f>
        <v>-0.46469496199738469</v>
      </c>
      <c r="AG17" s="7" cm="1">
        <f t="array" ref="AG17">PRODUCT(1 + 預測IC!$C17:AG17) - 1</f>
        <v>-0.45252160041255984</v>
      </c>
      <c r="AH17" s="7" cm="1">
        <f t="array" ref="AH17">PRODUCT(1 + 預測IC!$C17:AH17) - 1</f>
        <v>-0.47194209318650782</v>
      </c>
      <c r="AI17" s="7" cm="1">
        <f t="array" ref="AI17">PRODUCT(1 + 預測IC!$C17:AI17) - 1</f>
        <v>-0.41128701458219596</v>
      </c>
      <c r="AJ17" s="7" cm="1">
        <f t="array" ref="AJ17">PRODUCT(1 + 預測IC!$C17:AJ17) - 1</f>
        <v>-0.42436083437755445</v>
      </c>
      <c r="AK17" s="7" cm="1">
        <f t="array" ref="AK17">PRODUCT(1 + 預測IC!$C17:AK17) - 1</f>
        <v>-0.38192685949398053</v>
      </c>
      <c r="AL17" s="7" cm="1">
        <f t="array" ref="AL17">PRODUCT(1 + 預測IC!$C17:AL17) - 1</f>
        <v>-0.35057546673266859</v>
      </c>
      <c r="AM17" s="7" cm="1">
        <f t="array" ref="AM17">PRODUCT(1 + 預測IC!$C17:AM17) - 1</f>
        <v>-0.30162875036440051</v>
      </c>
      <c r="AN17" s="7" cm="1">
        <f t="array" ref="AN17">PRODUCT(1 + 預測IC!$C17:AN17) - 1</f>
        <v>-0.22251228256080335</v>
      </c>
      <c r="AO17" s="7" cm="1">
        <f t="array" ref="AO17">PRODUCT(1 + 預測IC!$C17:AO17) - 1</f>
        <v>-0.2126907975700455</v>
      </c>
      <c r="AP17" s="7" cm="1">
        <f t="array" ref="AP17">PRODUCT(1 + 預測IC!$C17:AP17) - 1</f>
        <v>-0.27350477618417435</v>
      </c>
      <c r="AQ17" s="7" cm="1">
        <f t="array" ref="AQ17">PRODUCT(1 + 預測IC!$C17:AQ17) - 1</f>
        <v>-0.31747745241760761</v>
      </c>
      <c r="AR17" s="7" cm="1">
        <f t="array" ref="AR17">PRODUCT(1 + 預測IC!$C17:AR17) - 1</f>
        <v>-0.23971717405232651</v>
      </c>
      <c r="AS17" s="7" cm="1">
        <f t="array" ref="AS17">PRODUCT(1 + 預測IC!$C17:AS17) - 1</f>
        <v>-0.19689533714131624</v>
      </c>
      <c r="AT17" s="7" cm="1">
        <f t="array" ref="AT17">PRODUCT(1 + 預測IC!$C17:AT17) - 1</f>
        <v>-0.1549188180641492</v>
      </c>
      <c r="AU17" s="7" cm="1">
        <f t="array" ref="AU17">PRODUCT(1 + 預測IC!$C17:AU17) - 1</f>
        <v>-0.10881498548520507</v>
      </c>
      <c r="AV17" s="7" cm="1">
        <f t="array" ref="AV17">PRODUCT(1 + 預測IC!$C17:AV17) - 1</f>
        <v>-0.12771336826402024</v>
      </c>
      <c r="AW17" s="7" cm="1">
        <f t="array" ref="AW17">PRODUCT(1 + 預測IC!$C17:AW17) - 1</f>
        <v>-0.12036706791114893</v>
      </c>
      <c r="AX17" s="7" cm="1">
        <f t="array" ref="AX17">PRODUCT(1 + 預測IC!$C17:AX17) - 1</f>
        <v>-3.5710703244185349E-2</v>
      </c>
      <c r="AY17" s="7" cm="1">
        <f t="array" ref="AY17">PRODUCT(1 + 預測IC!$C17:AY17) - 1</f>
        <v>-9.2663260479609599E-3</v>
      </c>
      <c r="AZ17" s="7" cm="1">
        <f t="array" ref="AZ17">PRODUCT(1 + 預測IC!$C17:AZ17) - 1</f>
        <v>-0.13326417715822814</v>
      </c>
      <c r="BA17" s="7" cm="1">
        <f t="array" ref="BA17">PRODUCT(1 + 預測IC!$C17:BA17) - 1</f>
        <v>-0.1247483424602569</v>
      </c>
      <c r="BB17" s="7" cm="1">
        <f t="array" ref="BB17">PRODUCT(1 + 預測IC!$C17:BB17) - 1</f>
        <v>-1.6423641076011242E-2</v>
      </c>
      <c r="BC17" s="7" cm="1">
        <f t="array" ref="BC17">PRODUCT(1 + 預測IC!$C17:BC17) - 1</f>
        <v>6.6062215084714548E-2</v>
      </c>
      <c r="BD17" s="7" cm="1">
        <f t="array" ref="BD17">PRODUCT(1 + 預測IC!$C17:BD17) - 1</f>
        <v>8.9895616069605611E-2</v>
      </c>
      <c r="BE17" s="7" cm="1">
        <f t="array" ref="BE17">PRODUCT(1 + 預測IC!$C17:BE17) - 1</f>
        <v>0.17419930598678968</v>
      </c>
      <c r="BF17" s="7" cm="1">
        <f t="array" ref="BF17">PRODUCT(1 + 預測IC!$C17:BF17) - 1</f>
        <v>0.23901216819723126</v>
      </c>
      <c r="BG17" s="7" cm="1">
        <f t="array" ref="BG17">PRODUCT(1 + 預測IC!$C17:BG17) - 1</f>
        <v>0.1951582790001074</v>
      </c>
      <c r="BH17" s="7" cm="1">
        <f t="array" ref="BH17">PRODUCT(1 + 預測IC!$C17:BH17) - 1</f>
        <v>0.21131617456469787</v>
      </c>
      <c r="BI17" s="7" cm="1">
        <f t="array" ref="BI17">PRODUCT(1 + 預測IC!$C17:BI17) - 1</f>
        <v>0.31683628307390332</v>
      </c>
      <c r="BJ17" s="7" cm="1">
        <f t="array" ref="BJ17">PRODUCT(1 + 預測IC!$C17:BJ17) - 1</f>
        <v>0.30385482635803096</v>
      </c>
      <c r="BK17" s="7" cm="1">
        <f t="array" ref="BK17">PRODUCT(1 + 預測IC!$C17:BK17) - 1</f>
        <v>0.28583170358690824</v>
      </c>
      <c r="BL17" s="7" cm="1">
        <f t="array" ref="BL17">PRODUCT(1 + 預測IC!$C17:BL17) - 1</f>
        <v>0.38546175878625077</v>
      </c>
      <c r="BM17" s="7" cm="1">
        <f t="array" ref="BM17">PRODUCT(1 + 預測IC!$C17:BM17) - 1</f>
        <v>0.49075376349200561</v>
      </c>
      <c r="BN17" s="7" cm="1">
        <f t="array" ref="BN17">PRODUCT(1 + 預測IC!$C17:BN17) - 1</f>
        <v>0.56069325983728469</v>
      </c>
      <c r="BO17" s="7" cm="1">
        <f t="array" ref="BO17">PRODUCT(1 + 預測IC!$C17:BO17) - 1</f>
        <v>0.61559784850183319</v>
      </c>
      <c r="BP17" s="7" cm="1">
        <f t="array" ref="BP17">PRODUCT(1 + 預測IC!$C17:BP17) - 1</f>
        <v>0.67375287578632825</v>
      </c>
      <c r="BQ17" s="7" cm="1">
        <f t="array" ref="BQ17">PRODUCT(1 + 預測IC!$C17:BQ17) - 1</f>
        <v>0.69279434286248986</v>
      </c>
      <c r="BR17" s="7" cm="1">
        <f t="array" ref="BR17">PRODUCT(1 + 預測IC!$C17:BR17) - 1</f>
        <v>0.67646501362218392</v>
      </c>
      <c r="BS17" s="7" cm="1">
        <f t="array" ref="BS17">PRODUCT(1 + 預測IC!$C17:BS17) - 1</f>
        <v>0.66958569122377276</v>
      </c>
      <c r="BT17" s="7" cm="1">
        <f t="array" ref="BT17">PRODUCT(1 + 預測IC!$C17:BT17) - 1</f>
        <v>0.85226571177135058</v>
      </c>
      <c r="BU17" s="7" cm="1">
        <f t="array" ref="BU17">PRODUCT(1 + 預測IC!$C17:BU17) - 1</f>
        <v>0.98401333159645676</v>
      </c>
      <c r="BV17" s="7" cm="1">
        <f t="array" ref="BV17">PRODUCT(1 + 預測IC!$C17:BV17) - 1</f>
        <v>1.1233115088028263</v>
      </c>
      <c r="BW17" s="7" cm="1">
        <f t="array" ref="BW17">PRODUCT(1 + 預測IC!$C17:BW17) - 1</f>
        <v>0.95252992776808365</v>
      </c>
      <c r="BX17" s="7" cm="1">
        <f t="array" ref="BX17">PRODUCT(1 + 預測IC!$C17:BX17) - 1</f>
        <v>1.0088076287949952</v>
      </c>
      <c r="BY17" s="7" cm="1">
        <f t="array" ref="BY17">PRODUCT(1 + 預測IC!$C17:BY17) - 1</f>
        <v>0.83957469073107216</v>
      </c>
      <c r="BZ17" s="7" cm="1">
        <f t="array" ref="BZ17">PRODUCT(1 + 預測IC!$C17:BZ17) - 1</f>
        <v>1.0613872145449426</v>
      </c>
      <c r="CA17" s="7" cm="1">
        <f t="array" ref="CA17">PRODUCT(1 + 預測IC!$C17:CA17) - 1</f>
        <v>1.0038027082806957</v>
      </c>
      <c r="CB17" s="7" cm="1">
        <f t="array" ref="CB17">PRODUCT(1 + 預測IC!$C17:CB17) - 1</f>
        <v>0.98280744963166811</v>
      </c>
      <c r="CC17" s="7" cm="1">
        <f t="array" ref="CC17">PRODUCT(1 + 預測IC!$C17:CC17) - 1</f>
        <v>0.63589947543246517</v>
      </c>
      <c r="CD17" s="7" cm="1">
        <f t="array" ref="CD17">PRODUCT(1 + 預測IC!$C17:CD17) - 1</f>
        <v>0.91884422536380517</v>
      </c>
      <c r="CE17" s="7" cm="1">
        <f t="array" ref="CE17">PRODUCT(1 + 預測IC!$C17:CE17) - 1</f>
        <v>0.58282342890712768</v>
      </c>
      <c r="CF17" s="7" cm="1">
        <f t="array" ref="CF17">PRODUCT(1 + 預測IC!$C17:CF17) - 1</f>
        <v>0.7391212237088034</v>
      </c>
      <c r="CG17" s="7" cm="1">
        <f t="array" ref="CG17">PRODUCT(1 + 預測IC!$C17:CG17) - 1</f>
        <v>0.71211770572998012</v>
      </c>
      <c r="CH17" s="7" cm="1">
        <f t="array" ref="CH17">PRODUCT(1 + 預測IC!$C17:CH17) - 1</f>
        <v>0.81251020416700093</v>
      </c>
      <c r="CI17" s="7" cm="1">
        <f t="array" ref="CI17">PRODUCT(1 + 預測IC!$C17:CI17) - 1</f>
        <v>0.78617228309473353</v>
      </c>
      <c r="CJ17" s="7" cm="1">
        <f t="array" ref="CJ17">PRODUCT(1 + 預測IC!$C17:CJ17) - 1</f>
        <v>0.69553775487934066</v>
      </c>
      <c r="CK17" s="7" cm="1">
        <f t="array" ref="CK17">PRODUCT(1 + 預測IC!$C17:CK17) - 1</f>
        <v>0.85108396839957368</v>
      </c>
      <c r="CL17" s="7" cm="1">
        <f t="array" ref="CL17">PRODUCT(1 + 預測IC!$C17:CL17) - 1</f>
        <v>0.83363501271701268</v>
      </c>
      <c r="CM17" s="7" cm="1">
        <f t="array" ref="CM17">PRODUCT(1 + 預測IC!$C17:CM17) - 1</f>
        <v>1.0803860743051223</v>
      </c>
      <c r="CN17" s="7" cm="1">
        <f t="array" ref="CN17">PRODUCT(1 + 預測IC!$C17:CN17) - 1</f>
        <v>1.0248021919541763</v>
      </c>
      <c r="CO17" s="7" cm="1">
        <f t="array" ref="CO17">PRODUCT(1 + 預測IC!$C17:CO17) - 1</f>
        <v>0.61470153551668538</v>
      </c>
      <c r="CP17" s="7" cm="1">
        <f t="array" ref="CP17">PRODUCT(1 + 預測IC!$C17:CP17) - 1</f>
        <v>0.85393453499066618</v>
      </c>
      <c r="CQ17" s="7" cm="1">
        <f t="array" ref="CQ17">PRODUCT(1 + 預測IC!$C17:CQ17) - 1</f>
        <v>0.93010887329076652</v>
      </c>
      <c r="CR17" s="7" cm="1">
        <f t="array" ref="CR17">PRODUCT(1 + 預測IC!$C17:CR17) - 1</f>
        <v>1.0279200176623648</v>
      </c>
      <c r="CS17" s="7" cm="1">
        <f t="array" ref="CS17">PRODUCT(1 + 預測IC!$C17:CS17) - 1</f>
        <v>1.2243071003178403</v>
      </c>
      <c r="CT17" s="7" cm="1">
        <f t="array" ref="CT17">PRODUCT(1 + 預測IC!$C17:CT17) - 1</f>
        <v>1.3338765935063797</v>
      </c>
      <c r="CU17" s="7" cm="1">
        <f t="array" ref="CU17">PRODUCT(1 + 預測IC!$C17:CU17) - 1</f>
        <v>1.1602167860754</v>
      </c>
      <c r="CV17" s="7" cm="1">
        <f t="array" ref="CV17">PRODUCT(1 + 預測IC!$C17:CV17) - 1</f>
        <v>1.1685975802706228</v>
      </c>
      <c r="CW17" s="7" cm="1">
        <f t="array" ref="CW17">PRODUCT(1 + 預測IC!$C17:CW17) - 1</f>
        <v>1.1257420717011386</v>
      </c>
      <c r="CX17" s="7" cm="1">
        <f t="array" ref="CX17">PRODUCT(1 + 預測IC!$C17:CX17) - 1</f>
        <v>1.1486414039536572</v>
      </c>
      <c r="CY17" s="7" cm="1">
        <f t="array" ref="CY17">PRODUCT(1 + 預測IC!$C17:CY17) - 1</f>
        <v>1.0425344036684545</v>
      </c>
      <c r="CZ17" s="7" cm="1">
        <f t="array" ref="CZ17">PRODUCT(1 + 預測IC!$C17:CZ17) - 1</f>
        <v>1.2963169295880426</v>
      </c>
      <c r="DA17" s="7" cm="1">
        <f t="array" ref="DA17">PRODUCT(1 + 預測IC!$C17:DA17) - 1</f>
        <v>1.1955181250942588</v>
      </c>
      <c r="DB17" s="7" cm="1">
        <f t="array" ref="DB17">PRODUCT(1 + 預測IC!$C17:DB17) - 1</f>
        <v>1.1189318426415369</v>
      </c>
      <c r="DC17" s="7" cm="1">
        <f t="array" ref="DC17">PRODUCT(1 + 預測IC!$C17:DC17) - 1</f>
        <v>1.2108160778653585</v>
      </c>
      <c r="DD17" s="7" cm="1">
        <f t="array" ref="DD17">PRODUCT(1 + 預測IC!$C17:DD17) - 1</f>
        <v>1.0226006098309974</v>
      </c>
      <c r="DE17" s="7" cm="1">
        <f t="array" ref="DE17">PRODUCT(1 + 預測IC!$C17:DE17) - 1</f>
        <v>1.1110356172582008</v>
      </c>
      <c r="DF17" s="7" cm="1">
        <f t="array" ref="DF17">PRODUCT(1 + 預測IC!$C17:DF17) - 1</f>
        <v>1.0873257944680059</v>
      </c>
      <c r="DG17" s="7" cm="1">
        <f t="array" ref="DG17">PRODUCT(1 + 預測IC!$C17:DG17) - 1</f>
        <v>1.0834866138544967</v>
      </c>
      <c r="DH17" s="7" cm="1">
        <f t="array" ref="DH17">PRODUCT(1 + 預測IC!$C17:DH17) - 1</f>
        <v>1.0028001550257315</v>
      </c>
      <c r="DI17" s="7" cm="1">
        <f t="array" ref="DI17">PRODUCT(1 + 預測IC!$C17:DI17) - 1</f>
        <v>0.99219884447347106</v>
      </c>
      <c r="DJ17" s="7" cm="1">
        <f t="array" ref="DJ17">PRODUCT(1 + 預測IC!$C17:DJ17) - 1</f>
        <v>0.90188020380778222</v>
      </c>
      <c r="DK17" s="7" cm="1">
        <f t="array" ref="DK17">PRODUCT(1 + 預測IC!$C17:DK17) - 1</f>
        <v>1.1986427975155176</v>
      </c>
      <c r="DL17" s="7" cm="1">
        <f t="array" ref="DL17">PRODUCT(1 + 預測IC!$C17:DL17) - 1</f>
        <v>1.3602773440210538</v>
      </c>
      <c r="DM17" s="7" cm="1">
        <f t="array" ref="DM17">PRODUCT(1 + 預測IC!$C17:DM17) - 1</f>
        <v>1.2369459830144551</v>
      </c>
      <c r="DN17" s="7" cm="1">
        <f t="array" ref="DN17">PRODUCT(1 + 預測IC!$C17:DN17) - 1</f>
        <v>1.3163330321858639</v>
      </c>
      <c r="DO17" s="7" cm="1">
        <f t="array" ref="DO17">PRODUCT(1 + 預測IC!$C17:DO17) - 1</f>
        <v>1.4401442069197818</v>
      </c>
      <c r="DP17" s="7" cm="1">
        <f t="array" ref="DP17">PRODUCT(1 + 預測IC!$C17:DP17) - 1</f>
        <v>1.3998366646904254</v>
      </c>
      <c r="DQ17" s="7" cm="1">
        <f t="array" ref="DQ17">PRODUCT(1 + 預測IC!$C17:DQ17) - 1</f>
        <v>1.1413683311945944</v>
      </c>
      <c r="DR17" s="7" cm="1">
        <f t="array" ref="DR17">PRODUCT(1 + 預測IC!$C17:DR17) - 1</f>
        <v>1.261038303965436</v>
      </c>
      <c r="DS17" s="7" cm="1">
        <f t="array" ref="DS17">PRODUCT(1 + 預測IC!$C17:DS17) - 1</f>
        <v>0.97995470484487024</v>
      </c>
      <c r="DT17" s="7" cm="1">
        <f t="array" ref="DT17">PRODUCT(1 + 預測IC!$C17:DT17) - 1</f>
        <v>0.7955438032114448</v>
      </c>
      <c r="DU17" s="7" cm="1">
        <f t="array" ref="DU17">PRODUCT(1 + 預測IC!$C17:DU17) - 1</f>
        <v>0.66674817846247825</v>
      </c>
      <c r="DV17" s="7" cm="1">
        <f t="array" ref="DV17">PRODUCT(1 + 預測IC!$C17:DV17) - 1</f>
        <v>0.86303344124981995</v>
      </c>
      <c r="DW17" s="7" cm="1">
        <f t="array" ref="DW17">PRODUCT(1 + 預測IC!$C17:DW17) - 1</f>
        <v>0.95372867282003027</v>
      </c>
      <c r="DX17" s="7" cm="1">
        <f t="array" ref="DX17">PRODUCT(1 + 預測IC!$C17:DX17) - 1</f>
        <v>0.70064464827336415</v>
      </c>
      <c r="DY17" s="7" cm="1">
        <f t="array" ref="DY17">PRODUCT(1 + 預測IC!$C17:DY17) - 1</f>
        <v>0.8913523113049584</v>
      </c>
      <c r="DZ17" s="7" cm="1">
        <f t="array" ref="DZ17">PRODUCT(1 + 預測IC!$C17:DZ17) - 1</f>
        <v>0.83115402349373957</v>
      </c>
      <c r="EA17" s="7" cm="1">
        <f t="array" ref="EA17">PRODUCT(1 + 預測IC!$C17:EA17) - 1</f>
        <v>0.85279446232978184</v>
      </c>
      <c r="EB17" s="7" cm="1">
        <f t="array" ref="EB17">PRODUCT(1 + 預測IC!$C17:EB17) - 1</f>
        <v>1.0141735069847853</v>
      </c>
      <c r="EC17" s="7" cm="1">
        <f t="array" ref="EC17">PRODUCT(1 + 預測IC!$C17:EC17) - 1</f>
        <v>1.0472567443478451</v>
      </c>
      <c r="ED17" s="7" cm="1">
        <f t="array" ref="ED17">PRODUCT(1 + 預測IC!$C17:ED17) - 1</f>
        <v>0.78454366104969164</v>
      </c>
      <c r="EE17" s="7" cm="1">
        <f t="array" ref="EE17">PRODUCT(1 + 預測IC!$C17:EE17) - 1</f>
        <v>0.73919241000244895</v>
      </c>
      <c r="EF17" s="7" cm="1">
        <f t="array" ref="EF17">PRODUCT(1 + 預測IC!$C17:EF17) - 1</f>
        <v>0.8221688746689686</v>
      </c>
    </row>
    <row r="18" spans="1:136" x14ac:dyDescent="0.3">
      <c r="A18" s="1">
        <v>7</v>
      </c>
      <c r="B18" s="1" t="s">
        <v>176</v>
      </c>
      <c r="C18" s="7" cm="1">
        <f t="array" ref="C18">PRODUCT(1 + 預測IC!$C18:C18) - 1</f>
        <v>-5.3942228163147199E-2</v>
      </c>
      <c r="D18" s="7" cm="1">
        <f t="array" ref="D18">PRODUCT(1 + 預測IC!$C18:D18) - 1</f>
        <v>-6.168804502715719E-2</v>
      </c>
      <c r="E18" s="7" cm="1">
        <f t="array" ref="E18">PRODUCT(1 + 預測IC!$C18:E18) - 1</f>
        <v>-0.11704906693365891</v>
      </c>
      <c r="F18" s="7" cm="1">
        <f t="array" ref="F18">PRODUCT(1 + 預測IC!$C18:F18) - 1</f>
        <v>-0.23573036425714533</v>
      </c>
      <c r="G18" s="7" cm="1">
        <f t="array" ref="G18">PRODUCT(1 + 預測IC!$C18:G18) - 1</f>
        <v>-0.29747895399789603</v>
      </c>
      <c r="H18" s="7" cm="1">
        <f t="array" ref="H18">PRODUCT(1 + 預測IC!$C18:H18) - 1</f>
        <v>-0.21183265369337734</v>
      </c>
      <c r="I18" s="7" cm="1">
        <f t="array" ref="I18">PRODUCT(1 + 預測IC!$C18:I18) - 1</f>
        <v>-0.10503583622275625</v>
      </c>
      <c r="J18" s="7" cm="1">
        <f t="array" ref="J18">PRODUCT(1 + 預測IC!$C18:J18) - 1</f>
        <v>-6.6184085329785591E-2</v>
      </c>
      <c r="K18" s="7" cm="1">
        <f t="array" ref="K18">PRODUCT(1 + 預測IC!$C18:K18) - 1</f>
        <v>-0.40112713722377202</v>
      </c>
      <c r="L18" s="7" cm="1">
        <f t="array" ref="L18">PRODUCT(1 + 預測IC!$C18:L18) - 1</f>
        <v>-0.39335227815976537</v>
      </c>
      <c r="M18" s="7" cm="1">
        <f t="array" ref="M18">PRODUCT(1 + 預測IC!$C18:M18) - 1</f>
        <v>-0.34500089132877587</v>
      </c>
      <c r="N18" s="7" cm="1">
        <f t="array" ref="N18">PRODUCT(1 + 預測IC!$C18:N18) - 1</f>
        <v>-0.25134097891051599</v>
      </c>
      <c r="O18" s="7" cm="1">
        <f t="array" ref="O18">PRODUCT(1 + 預測IC!$C18:O18) - 1</f>
        <v>-0.17372713162853781</v>
      </c>
      <c r="P18" s="7" cm="1">
        <f t="array" ref="P18">PRODUCT(1 + 預測IC!$C18:P18) - 1</f>
        <v>-0.24193811478199367</v>
      </c>
      <c r="Q18" s="7" cm="1">
        <f t="array" ref="Q18">PRODUCT(1 + 預測IC!$C18:Q18) - 1</f>
        <v>-0.38519317693361044</v>
      </c>
      <c r="R18" s="7" cm="1">
        <f t="array" ref="R18">PRODUCT(1 + 預測IC!$C18:R18) - 1</f>
        <v>-0.42299902434292214</v>
      </c>
      <c r="S18" s="7" cm="1">
        <f t="array" ref="S18">PRODUCT(1 + 預測IC!$C18:S18) - 1</f>
        <v>-0.64441312562808051</v>
      </c>
      <c r="T18" s="7" cm="1">
        <f t="array" ref="T18">PRODUCT(1 + 預測IC!$C18:T18) - 1</f>
        <v>-0.6637017365109753</v>
      </c>
      <c r="U18" s="7" cm="1">
        <f t="array" ref="U18">PRODUCT(1 + 預測IC!$C18:U18) - 1</f>
        <v>-0.70825958314765936</v>
      </c>
      <c r="V18" s="7" cm="1">
        <f t="array" ref="V18">PRODUCT(1 + 預測IC!$C18:V18) - 1</f>
        <v>-0.70449755106701384</v>
      </c>
      <c r="W18" s="7" cm="1">
        <f t="array" ref="W18">PRODUCT(1 + 預測IC!$C18:W18) - 1</f>
        <v>-0.66374266951284944</v>
      </c>
      <c r="X18" s="7" cm="1">
        <f t="array" ref="X18">PRODUCT(1 + 預測IC!$C18:X18) - 1</f>
        <v>-0.6155060451386275</v>
      </c>
      <c r="Y18" s="7" cm="1">
        <f t="array" ref="Y18">PRODUCT(1 + 預測IC!$C18:Y18) - 1</f>
        <v>-0.60811132884032082</v>
      </c>
      <c r="Z18" s="7" cm="1">
        <f t="array" ref="Z18">PRODUCT(1 + 預測IC!$C18:Z18) - 1</f>
        <v>-0.57314139272983455</v>
      </c>
      <c r="AA18" s="7" cm="1">
        <f t="array" ref="AA18">PRODUCT(1 + 預測IC!$C18:AA18) - 1</f>
        <v>-0.59094363560439289</v>
      </c>
      <c r="AB18" s="7" cm="1">
        <f t="array" ref="AB18">PRODUCT(1 + 預測IC!$C18:AB18) - 1</f>
        <v>-0.55629725704615174</v>
      </c>
      <c r="AC18" s="7" cm="1">
        <f t="array" ref="AC18">PRODUCT(1 + 預測IC!$C18:AC18) - 1</f>
        <v>-0.53064102763610776</v>
      </c>
      <c r="AD18" s="7" cm="1">
        <f t="array" ref="AD18">PRODUCT(1 + 預測IC!$C18:AD18) - 1</f>
        <v>-0.51815814866637167</v>
      </c>
      <c r="AE18" s="7" cm="1">
        <f t="array" ref="AE18">PRODUCT(1 + 預測IC!$C18:AE18) - 1</f>
        <v>-0.58731654407706824</v>
      </c>
      <c r="AF18" s="7" cm="1">
        <f t="array" ref="AF18">PRODUCT(1 + 預測IC!$C18:AF18) - 1</f>
        <v>-0.57416291171846456</v>
      </c>
      <c r="AG18" s="7" cm="1">
        <f t="array" ref="AG18">PRODUCT(1 + 預測IC!$C18:AG18) - 1</f>
        <v>-0.56032613777015117</v>
      </c>
      <c r="AH18" s="7" cm="1">
        <f t="array" ref="AH18">PRODUCT(1 + 預測IC!$C18:AH18) - 1</f>
        <v>-0.57799991068601164</v>
      </c>
      <c r="AI18" s="7" cm="1">
        <f t="array" ref="AI18">PRODUCT(1 + 預測IC!$C18:AI18) - 1</f>
        <v>-0.52816772015582758</v>
      </c>
      <c r="AJ18" s="7" cm="1">
        <f t="array" ref="AJ18">PRODUCT(1 + 預測IC!$C18:AJ18) - 1</f>
        <v>-0.53162504471149408</v>
      </c>
      <c r="AK18" s="7" cm="1">
        <f t="array" ref="AK18">PRODUCT(1 + 預測IC!$C18:AK18) - 1</f>
        <v>-0.51750237795974341</v>
      </c>
      <c r="AL18" s="7" cm="1">
        <f t="array" ref="AL18">PRODUCT(1 + 預測IC!$C18:AL18) - 1</f>
        <v>-0.49457034502628772</v>
      </c>
      <c r="AM18" s="7" cm="1">
        <f t="array" ref="AM18">PRODUCT(1 + 預測IC!$C18:AM18) - 1</f>
        <v>-0.46088679161617241</v>
      </c>
      <c r="AN18" s="7" cm="1">
        <f t="array" ref="AN18">PRODUCT(1 + 預測IC!$C18:AN18) - 1</f>
        <v>-0.41813800386228317</v>
      </c>
      <c r="AO18" s="7" cm="1">
        <f t="array" ref="AO18">PRODUCT(1 + 預測IC!$C18:AO18) - 1</f>
        <v>-0.41497992753187418</v>
      </c>
      <c r="AP18" s="7" cm="1">
        <f t="array" ref="AP18">PRODUCT(1 + 預測IC!$C18:AP18) - 1</f>
        <v>-0.46077447505769276</v>
      </c>
      <c r="AQ18" s="7" cm="1">
        <f t="array" ref="AQ18">PRODUCT(1 + 預測IC!$C18:AQ18) - 1</f>
        <v>-0.50188009264564359</v>
      </c>
      <c r="AR18" s="7" cm="1">
        <f t="array" ref="AR18">PRODUCT(1 + 預測IC!$C18:AR18) - 1</f>
        <v>-0.43984149655473248</v>
      </c>
      <c r="AS18" s="7" cm="1">
        <f t="array" ref="AS18">PRODUCT(1 + 預測IC!$C18:AS18) - 1</f>
        <v>-0.39176502388039303</v>
      </c>
      <c r="AT18" s="7" cm="1">
        <f t="array" ref="AT18">PRODUCT(1 + 預測IC!$C18:AT18) - 1</f>
        <v>-0.36541284829640686</v>
      </c>
      <c r="AU18" s="7" cm="1">
        <f t="array" ref="AU18">PRODUCT(1 + 預測IC!$C18:AU18) - 1</f>
        <v>-0.3244339742505139</v>
      </c>
      <c r="AV18" s="7" cm="1">
        <f t="array" ref="AV18">PRODUCT(1 + 預測IC!$C18:AV18) - 1</f>
        <v>-0.34386916832728276</v>
      </c>
      <c r="AW18" s="7" cm="1">
        <f t="array" ref="AW18">PRODUCT(1 + 預測IC!$C18:AW18) - 1</f>
        <v>-0.32776900751305127</v>
      </c>
      <c r="AX18" s="7" cm="1">
        <f t="array" ref="AX18">PRODUCT(1 + 預測IC!$C18:AX18) - 1</f>
        <v>-0.25546325829267269</v>
      </c>
      <c r="AY18" s="7" cm="1">
        <f t="array" ref="AY18">PRODUCT(1 + 預測IC!$C18:AY18) - 1</f>
        <v>-0.22956582934729419</v>
      </c>
      <c r="AZ18" s="7" cm="1">
        <f t="array" ref="AZ18">PRODUCT(1 + 預測IC!$C18:AZ18) - 1</f>
        <v>-0.34390525765491475</v>
      </c>
      <c r="BA18" s="7" cm="1">
        <f t="array" ref="BA18">PRODUCT(1 + 預測IC!$C18:BA18) - 1</f>
        <v>-0.3434904017817012</v>
      </c>
      <c r="BB18" s="7" cm="1">
        <f t="array" ref="BB18">PRODUCT(1 + 預測IC!$C18:BB18) - 1</f>
        <v>-0.25311788885266662</v>
      </c>
      <c r="BC18" s="7" cm="1">
        <f t="array" ref="BC18">PRODUCT(1 + 預測IC!$C18:BC18) - 1</f>
        <v>-0.19097612266338915</v>
      </c>
      <c r="BD18" s="7" cm="1">
        <f t="array" ref="BD18">PRODUCT(1 + 預測IC!$C18:BD18) - 1</f>
        <v>-0.21040585990301841</v>
      </c>
      <c r="BE18" s="7" cm="1">
        <f t="array" ref="BE18">PRODUCT(1 + 預測IC!$C18:BE18) - 1</f>
        <v>-0.1564282465202449</v>
      </c>
      <c r="BF18" s="7" cm="1">
        <f t="array" ref="BF18">PRODUCT(1 + 預測IC!$C18:BF18) - 1</f>
        <v>-0.11772134777640375</v>
      </c>
      <c r="BG18" s="7" cm="1">
        <f t="array" ref="BG18">PRODUCT(1 + 預測IC!$C18:BG18) - 1</f>
        <v>-0.13254913563440385</v>
      </c>
      <c r="BH18" s="7" cm="1">
        <f t="array" ref="BH18">PRODUCT(1 + 預測IC!$C18:BH18) - 1</f>
        <v>-0.11476305057138059</v>
      </c>
      <c r="BI18" s="7" cm="1">
        <f t="array" ref="BI18">PRODUCT(1 + 預測IC!$C18:BI18) - 1</f>
        <v>-1.8272216959002607E-2</v>
      </c>
      <c r="BJ18" s="7" cm="1">
        <f t="array" ref="BJ18">PRODUCT(1 + 預測IC!$C18:BJ18) - 1</f>
        <v>-1.2424983403094836E-2</v>
      </c>
      <c r="BK18" s="7" cm="1">
        <f t="array" ref="BK18">PRODUCT(1 + 預測IC!$C18:BK18) - 1</f>
        <v>-6.9707538227157029E-2</v>
      </c>
      <c r="BL18" s="7" cm="1">
        <f t="array" ref="BL18">PRODUCT(1 + 預測IC!$C18:BL18) - 1</f>
        <v>5.7928339427979481E-3</v>
      </c>
      <c r="BM18" s="7" cm="1">
        <f t="array" ref="BM18">PRODUCT(1 + 預測IC!$C18:BM18) - 1</f>
        <v>0.10916212536887926</v>
      </c>
      <c r="BN18" s="7" cm="1">
        <f t="array" ref="BN18">PRODUCT(1 + 預測IC!$C18:BN18) - 1</f>
        <v>0.16769747952909198</v>
      </c>
      <c r="BO18" s="7" cm="1">
        <f t="array" ref="BO18">PRODUCT(1 + 預測IC!$C18:BO18) - 1</f>
        <v>0.19131707574969026</v>
      </c>
      <c r="BP18" s="7" cm="1">
        <f t="array" ref="BP18">PRODUCT(1 + 預測IC!$C18:BP18) - 1</f>
        <v>0.24713926367802674</v>
      </c>
      <c r="BQ18" s="7" cm="1">
        <f t="array" ref="BQ18">PRODUCT(1 + 預測IC!$C18:BQ18) - 1</f>
        <v>0.24952976040141372</v>
      </c>
      <c r="BR18" s="7" cm="1">
        <f t="array" ref="BR18">PRODUCT(1 + 預測IC!$C18:BR18) - 1</f>
        <v>0.24234722144971377</v>
      </c>
      <c r="BS18" s="7" cm="1">
        <f t="array" ref="BS18">PRODUCT(1 + 預測IC!$C18:BS18) - 1</f>
        <v>0.23739817587901024</v>
      </c>
      <c r="BT18" s="7" cm="1">
        <f t="array" ref="BT18">PRODUCT(1 + 預測IC!$C18:BT18) - 1</f>
        <v>0.37999191769284546</v>
      </c>
      <c r="BU18" s="7" cm="1">
        <f t="array" ref="BU18">PRODUCT(1 + 預測IC!$C18:BU18) - 1</f>
        <v>0.49132613840821859</v>
      </c>
      <c r="BV18" s="7" cm="1">
        <f t="array" ref="BV18">PRODUCT(1 + 預測IC!$C18:BV18) - 1</f>
        <v>0.61200931299361194</v>
      </c>
      <c r="BW18" s="7" cm="1">
        <f t="array" ref="BW18">PRODUCT(1 + 預測IC!$C18:BW18) - 1</f>
        <v>0.47448704635569317</v>
      </c>
      <c r="BX18" s="7" cm="1">
        <f t="array" ref="BX18">PRODUCT(1 + 預測IC!$C18:BX18) - 1</f>
        <v>0.50252954096593094</v>
      </c>
      <c r="BY18" s="7" cm="1">
        <f t="array" ref="BY18">PRODUCT(1 + 預測IC!$C18:BY18) - 1</f>
        <v>0.31760575403666591</v>
      </c>
      <c r="BZ18" s="7" cm="1">
        <f t="array" ref="BZ18">PRODUCT(1 + 預測IC!$C18:BZ18) - 1</f>
        <v>0.51962105217420063</v>
      </c>
      <c r="CA18" s="7" cm="1">
        <f t="array" ref="CA18">PRODUCT(1 + 預測IC!$C18:CA18) - 1</f>
        <v>0.49519079762840668</v>
      </c>
      <c r="CB18" s="7" cm="1">
        <f t="array" ref="CB18">PRODUCT(1 + 預測IC!$C18:CB18) - 1</f>
        <v>0.45844296019144237</v>
      </c>
      <c r="CC18" s="7" cm="1">
        <f t="array" ref="CC18">PRODUCT(1 + 預測IC!$C18:CC18) - 1</f>
        <v>0.41735359909700054</v>
      </c>
      <c r="CD18" s="7" cm="1">
        <f t="array" ref="CD18">PRODUCT(1 + 預測IC!$C18:CD18) - 1</f>
        <v>0.69191882921170711</v>
      </c>
      <c r="CE18" s="7" cm="1">
        <f t="array" ref="CE18">PRODUCT(1 + 預測IC!$C18:CE18) - 1</f>
        <v>0.39088187675968622</v>
      </c>
      <c r="CF18" s="7" cm="1">
        <f t="array" ref="CF18">PRODUCT(1 + 預測IC!$C18:CF18) - 1</f>
        <v>0.49077166348826329</v>
      </c>
      <c r="CG18" s="7" cm="1">
        <f t="array" ref="CG18">PRODUCT(1 + 預測IC!$C18:CG18) - 1</f>
        <v>0.48659547696212324</v>
      </c>
      <c r="CH18" s="7" cm="1">
        <f t="array" ref="CH18">PRODUCT(1 + 預測IC!$C18:CH18) - 1</f>
        <v>0.7284007068633811</v>
      </c>
      <c r="CI18" s="7" cm="1">
        <f t="array" ref="CI18">PRODUCT(1 + 預測IC!$C18:CI18) - 1</f>
        <v>0.66121925802361092</v>
      </c>
      <c r="CJ18" s="7" cm="1">
        <f t="array" ref="CJ18">PRODUCT(1 + 預測IC!$C18:CJ18) - 1</f>
        <v>0.55770257638259202</v>
      </c>
      <c r="CK18" s="7" cm="1">
        <f t="array" ref="CK18">PRODUCT(1 + 預測IC!$C18:CK18) - 1</f>
        <v>0.69893601756958357</v>
      </c>
      <c r="CL18" s="7" cm="1">
        <f t="array" ref="CL18">PRODUCT(1 + 預測IC!$C18:CL18) - 1</f>
        <v>0.64628676330212387</v>
      </c>
      <c r="CM18" s="7" cm="1">
        <f t="array" ref="CM18">PRODUCT(1 + 預測IC!$C18:CM18) - 1</f>
        <v>0.88277345848129896</v>
      </c>
      <c r="CN18" s="7" cm="1">
        <f t="array" ref="CN18">PRODUCT(1 + 預測IC!$C18:CN18) - 1</f>
        <v>0.81671399073365403</v>
      </c>
      <c r="CO18" s="7" cm="1">
        <f t="array" ref="CO18">PRODUCT(1 + 預測IC!$C18:CO18) - 1</f>
        <v>0.39601048568444996</v>
      </c>
      <c r="CP18" s="7" cm="1">
        <f t="array" ref="CP18">PRODUCT(1 + 預測IC!$C18:CP18) - 1</f>
        <v>0.62333558925538557</v>
      </c>
      <c r="CQ18" s="7" cm="1">
        <f t="array" ref="CQ18">PRODUCT(1 + 預測IC!$C18:CQ18) - 1</f>
        <v>0.70121760825613322</v>
      </c>
      <c r="CR18" s="7" cm="1">
        <f t="array" ref="CR18">PRODUCT(1 + 預測IC!$C18:CR18) - 1</f>
        <v>0.79505018563204133</v>
      </c>
      <c r="CS18" s="7" cm="1">
        <f t="array" ref="CS18">PRODUCT(1 + 預測IC!$C18:CS18) - 1</f>
        <v>0.93511300936262365</v>
      </c>
      <c r="CT18" s="7" cm="1">
        <f t="array" ref="CT18">PRODUCT(1 + 預測IC!$C18:CT18) - 1</f>
        <v>1.1102705935729156</v>
      </c>
      <c r="CU18" s="7" cm="1">
        <f t="array" ref="CU18">PRODUCT(1 + 預測IC!$C18:CU18) - 1</f>
        <v>0.95907246745478569</v>
      </c>
      <c r="CV18" s="7" cm="1">
        <f t="array" ref="CV18">PRODUCT(1 + 預測IC!$C18:CV18) - 1</f>
        <v>1.1374269778014576</v>
      </c>
      <c r="CW18" s="7" cm="1">
        <f t="array" ref="CW18">PRODUCT(1 + 預測IC!$C18:CW18) - 1</f>
        <v>1.1193527123892428</v>
      </c>
      <c r="CX18" s="7" cm="1">
        <f t="array" ref="CX18">PRODUCT(1 + 預測IC!$C18:CX18) - 1</f>
        <v>1.2498204592112461</v>
      </c>
      <c r="CY18" s="7" cm="1">
        <f t="array" ref="CY18">PRODUCT(1 + 預測IC!$C18:CY18) - 1</f>
        <v>1.1342754989685635</v>
      </c>
      <c r="CZ18" s="7" cm="1">
        <f t="array" ref="CZ18">PRODUCT(1 + 預測IC!$C18:CZ18) - 1</f>
        <v>1.4177987673263641</v>
      </c>
      <c r="DA18" s="7" cm="1">
        <f t="array" ref="DA18">PRODUCT(1 + 預測IC!$C18:DA18) - 1</f>
        <v>1.3032411901633019</v>
      </c>
      <c r="DB18" s="7" cm="1">
        <f t="array" ref="DB18">PRODUCT(1 + 預測IC!$C18:DB18) - 1</f>
        <v>1.1979019736936691</v>
      </c>
      <c r="DC18" s="7" cm="1">
        <f t="array" ref="DC18">PRODUCT(1 + 預測IC!$C18:DC18) - 1</f>
        <v>1.2779249064024238</v>
      </c>
      <c r="DD18" s="7" cm="1">
        <f t="array" ref="DD18">PRODUCT(1 + 預測IC!$C18:DD18) - 1</f>
        <v>1.0900818575346589</v>
      </c>
      <c r="DE18" s="7" cm="1">
        <f t="array" ref="DE18">PRODUCT(1 + 預測IC!$C18:DE18) - 1</f>
        <v>1.192858382575158</v>
      </c>
      <c r="DF18" s="7" cm="1">
        <f t="array" ref="DF18">PRODUCT(1 + 預測IC!$C18:DF18) - 1</f>
        <v>1.1160145313735104</v>
      </c>
      <c r="DG18" s="7" cm="1">
        <f t="array" ref="DG18">PRODUCT(1 + 預測IC!$C18:DG18) - 1</f>
        <v>1.0998916154505598</v>
      </c>
      <c r="DH18" s="7" cm="1">
        <f t="array" ref="DH18">PRODUCT(1 + 預測IC!$C18:DH18) - 1</f>
        <v>1.0410148265158301</v>
      </c>
      <c r="DI18" s="7" cm="1">
        <f t="array" ref="DI18">PRODUCT(1 + 預測IC!$C18:DI18) - 1</f>
        <v>1.0081246293172121</v>
      </c>
      <c r="DJ18" s="7" cm="1">
        <f t="array" ref="DJ18">PRODUCT(1 + 預測IC!$C18:DJ18) - 1</f>
        <v>0.917349283679737</v>
      </c>
      <c r="DK18" s="7" cm="1">
        <f t="array" ref="DK18">PRODUCT(1 + 預測IC!$C18:DK18) - 1</f>
        <v>1.2212752730388798</v>
      </c>
      <c r="DL18" s="7" cm="1">
        <f t="array" ref="DL18">PRODUCT(1 + 預測IC!$C18:DL18) - 1</f>
        <v>1.4020820666599021</v>
      </c>
      <c r="DM18" s="7" cm="1">
        <f t="array" ref="DM18">PRODUCT(1 + 預測IC!$C18:DM18) - 1</f>
        <v>1.2423240545205805</v>
      </c>
      <c r="DN18" s="7" cm="1">
        <f t="array" ref="DN18">PRODUCT(1 + 預測IC!$C18:DN18) - 1</f>
        <v>1.204827767997199</v>
      </c>
      <c r="DO18" s="7" cm="1">
        <f t="array" ref="DO18">PRODUCT(1 + 預測IC!$C18:DO18) - 1</f>
        <v>1.2976618373337843</v>
      </c>
      <c r="DP18" s="7" cm="1">
        <f t="array" ref="DP18">PRODUCT(1 + 預測IC!$C18:DP18) - 1</f>
        <v>1.250319235568639</v>
      </c>
      <c r="DQ18" s="7" cm="1">
        <f t="array" ref="DQ18">PRODUCT(1 + 預測IC!$C18:DQ18) - 1</f>
        <v>1.0236507036505507</v>
      </c>
      <c r="DR18" s="7" cm="1">
        <f t="array" ref="DR18">PRODUCT(1 + 預測IC!$C18:DR18) - 1</f>
        <v>1.179149348748799</v>
      </c>
      <c r="DS18" s="7" cm="1">
        <f t="array" ref="DS18">PRODUCT(1 + 預測IC!$C18:DS18) - 1</f>
        <v>0.85724105202683454</v>
      </c>
      <c r="DT18" s="7" cm="1">
        <f t="array" ref="DT18">PRODUCT(1 + 預測IC!$C18:DT18) - 1</f>
        <v>0.64176879236371565</v>
      </c>
      <c r="DU18" s="7" cm="1">
        <f t="array" ref="DU18">PRODUCT(1 + 預測IC!$C18:DU18) - 1</f>
        <v>0.4826892997323784</v>
      </c>
      <c r="DV18" s="7" cm="1">
        <f t="array" ref="DV18">PRODUCT(1 + 預測IC!$C18:DV18) - 1</f>
        <v>0.63932150001744437</v>
      </c>
      <c r="DW18" s="7" cm="1">
        <f t="array" ref="DW18">PRODUCT(1 + 預測IC!$C18:DW18) - 1</f>
        <v>0.77359618031753041</v>
      </c>
      <c r="DX18" s="7" cm="1">
        <f t="array" ref="DX18">PRODUCT(1 + 預測IC!$C18:DX18) - 1</f>
        <v>0.50116652620467295</v>
      </c>
      <c r="DY18" s="7" cm="1">
        <f t="array" ref="DY18">PRODUCT(1 + 預測IC!$C18:DY18) - 1</f>
        <v>0.64742223402679988</v>
      </c>
      <c r="DZ18" s="7" cm="1">
        <f t="array" ref="DZ18">PRODUCT(1 + 預測IC!$C18:DZ18) - 1</f>
        <v>0.52301490468921052</v>
      </c>
      <c r="EA18" s="7" cm="1">
        <f t="array" ref="EA18">PRODUCT(1 + 預測IC!$C18:EA18) - 1</f>
        <v>0.51332614981301061</v>
      </c>
      <c r="EB18" s="7" cm="1">
        <f t="array" ref="EB18">PRODUCT(1 + 預測IC!$C18:EB18) - 1</f>
        <v>0.66442628457171704</v>
      </c>
      <c r="EC18" s="7" cm="1">
        <f t="array" ref="EC18">PRODUCT(1 + 預測IC!$C18:EC18) - 1</f>
        <v>0.66902695093929543</v>
      </c>
      <c r="ED18" s="7" cm="1">
        <f t="array" ref="ED18">PRODUCT(1 + 預測IC!$C18:ED18) - 1</f>
        <v>0.4846361549588718</v>
      </c>
      <c r="EE18" s="7" cm="1">
        <f t="array" ref="EE18">PRODUCT(1 + 預測IC!$C18:EE18) - 1</f>
        <v>0.46406837092641351</v>
      </c>
      <c r="EF18" s="7" cm="1">
        <f t="array" ref="EF18">PRODUCT(1 + 預測IC!$C18:EF18) - 1</f>
        <v>0.53574186307593563</v>
      </c>
    </row>
    <row r="19" spans="1:136" x14ac:dyDescent="0.3">
      <c r="A19" s="1">
        <v>6</v>
      </c>
      <c r="B19" s="1" t="s">
        <v>177</v>
      </c>
      <c r="C19" s="7" cm="1">
        <f t="array" ref="C19">PRODUCT(1 + 預測IC!$C19:C19) - 1</f>
        <v>-7.7959416087486244E-2</v>
      </c>
      <c r="D19" s="7" cm="1">
        <f t="array" ref="D19">PRODUCT(1 + 預測IC!$C19:D19) - 1</f>
        <v>-9.6557711794215129E-2</v>
      </c>
      <c r="E19" s="7" cm="1">
        <f t="array" ref="E19">PRODUCT(1 + 預測IC!$C19:E19) - 1</f>
        <v>-0.14615497124558174</v>
      </c>
      <c r="F19" s="7" cm="1">
        <f t="array" ref="F19">PRODUCT(1 + 預測IC!$C19:F19) - 1</f>
        <v>-0.17915324845200464</v>
      </c>
      <c r="G19" s="7" cm="1">
        <f t="array" ref="G19">PRODUCT(1 + 預測IC!$C19:G19) - 1</f>
        <v>-0.25919573122614803</v>
      </c>
      <c r="H19" s="7" cm="1">
        <f t="array" ref="H19">PRODUCT(1 + 預測IC!$C19:H19) - 1</f>
        <v>-0.14889433002665753</v>
      </c>
      <c r="I19" s="7" cm="1">
        <f t="array" ref="I19">PRODUCT(1 + 預測IC!$C19:I19) - 1</f>
        <v>-3.4289263816252524E-2</v>
      </c>
      <c r="J19" s="7" cm="1">
        <f t="array" ref="J19">PRODUCT(1 + 預測IC!$C19:J19) - 1</f>
        <v>-7.4533666574505553E-5</v>
      </c>
      <c r="K19" s="7" cm="1">
        <f t="array" ref="K19">PRODUCT(1 + 預測IC!$C19:K19) - 1</f>
        <v>-0.41838120438230908</v>
      </c>
      <c r="L19" s="7" cm="1">
        <f t="array" ref="L19">PRODUCT(1 + 預測IC!$C19:L19) - 1</f>
        <v>-0.39334312148994677</v>
      </c>
      <c r="M19" s="7" cm="1">
        <f t="array" ref="M19">PRODUCT(1 + 預測IC!$C19:M19) - 1</f>
        <v>-0.34104302632106875</v>
      </c>
      <c r="N19" s="7" cm="1">
        <f t="array" ref="N19">PRODUCT(1 + 預測IC!$C19:N19) - 1</f>
        <v>-0.27821287212011425</v>
      </c>
      <c r="O19" s="7" cm="1">
        <f t="array" ref="O19">PRODUCT(1 + 預測IC!$C19:O19) - 1</f>
        <v>-0.21164866494138945</v>
      </c>
      <c r="P19" s="7" cm="1">
        <f t="array" ref="P19">PRODUCT(1 + 預測IC!$C19:P19) - 1</f>
        <v>-0.28459811416023417</v>
      </c>
      <c r="Q19" s="7" cm="1">
        <f t="array" ref="Q19">PRODUCT(1 + 預測IC!$C19:Q19) - 1</f>
        <v>-0.42564895932266389</v>
      </c>
      <c r="R19" s="7" cm="1">
        <f t="array" ref="R19">PRODUCT(1 + 預測IC!$C19:R19) - 1</f>
        <v>-0.47751233599871323</v>
      </c>
      <c r="S19" s="7" cm="1">
        <f t="array" ref="S19">PRODUCT(1 + 預測IC!$C19:S19) - 1</f>
        <v>-0.57373372517425081</v>
      </c>
      <c r="T19" s="7" cm="1">
        <f t="array" ref="T19">PRODUCT(1 + 預測IC!$C19:T19) - 1</f>
        <v>-0.58530867809705334</v>
      </c>
      <c r="U19" s="7" cm="1">
        <f t="array" ref="U19">PRODUCT(1 + 預測IC!$C19:U19) - 1</f>
        <v>-0.64158160152435939</v>
      </c>
      <c r="V19" s="7" cm="1">
        <f t="array" ref="V19">PRODUCT(1 + 預測IC!$C19:V19) - 1</f>
        <v>-0.62845679009401834</v>
      </c>
      <c r="W19" s="7" cm="1">
        <f t="array" ref="W19">PRODUCT(1 + 預測IC!$C19:W19) - 1</f>
        <v>-0.57398075656323955</v>
      </c>
      <c r="X19" s="7" cm="1">
        <f t="array" ref="X19">PRODUCT(1 + 預測IC!$C19:X19) - 1</f>
        <v>-0.5242902787446444</v>
      </c>
      <c r="Y19" s="7" cm="1">
        <f t="array" ref="Y19">PRODUCT(1 + 預測IC!$C19:Y19) - 1</f>
        <v>-0.51209848672997049</v>
      </c>
      <c r="Z19" s="7" cm="1">
        <f t="array" ref="Z19">PRODUCT(1 + 預測IC!$C19:Z19) - 1</f>
        <v>-0.46739738403547448</v>
      </c>
      <c r="AA19" s="7" cm="1">
        <f t="array" ref="AA19">PRODUCT(1 + 預測IC!$C19:AA19) - 1</f>
        <v>-0.48953777306662427</v>
      </c>
      <c r="AB19" s="7" cm="1">
        <f t="array" ref="AB19">PRODUCT(1 + 預測IC!$C19:AB19) - 1</f>
        <v>-0.43734116969513914</v>
      </c>
      <c r="AC19" s="7" cm="1">
        <f t="array" ref="AC19">PRODUCT(1 + 預測IC!$C19:AC19) - 1</f>
        <v>-0.42133193103678757</v>
      </c>
      <c r="AD19" s="7" cm="1">
        <f t="array" ref="AD19">PRODUCT(1 + 預測IC!$C19:AD19) - 1</f>
        <v>-0.4010270884888103</v>
      </c>
      <c r="AE19" s="7" cm="1">
        <f t="array" ref="AE19">PRODUCT(1 + 預測IC!$C19:AE19) - 1</f>
        <v>-0.50250271980141381</v>
      </c>
      <c r="AF19" s="7" cm="1">
        <f t="array" ref="AF19">PRODUCT(1 + 預測IC!$C19:AF19) - 1</f>
        <v>-0.48320695605329766</v>
      </c>
      <c r="AG19" s="7" cm="1">
        <f t="array" ref="AG19">PRODUCT(1 + 預測IC!$C19:AG19) - 1</f>
        <v>-0.47176711201732469</v>
      </c>
      <c r="AH19" s="7" cm="1">
        <f t="array" ref="AH19">PRODUCT(1 + 預測IC!$C19:AH19) - 1</f>
        <v>-0.50164275726658691</v>
      </c>
      <c r="AI19" s="7" cm="1">
        <f t="array" ref="AI19">PRODUCT(1 + 預測IC!$C19:AI19) - 1</f>
        <v>-0.45601881803551547</v>
      </c>
      <c r="AJ19" s="7" cm="1">
        <f t="array" ref="AJ19">PRODUCT(1 + 預測IC!$C19:AJ19) - 1</f>
        <v>-0.44940009478082532</v>
      </c>
      <c r="AK19" s="7" cm="1">
        <f t="array" ref="AK19">PRODUCT(1 + 預測IC!$C19:AK19) - 1</f>
        <v>-0.44524194089283653</v>
      </c>
      <c r="AL19" s="7" cm="1">
        <f t="array" ref="AL19">PRODUCT(1 + 預測IC!$C19:AL19) - 1</f>
        <v>-0.40625856746087552</v>
      </c>
      <c r="AM19" s="7" cm="1">
        <f t="array" ref="AM19">PRODUCT(1 + 預測IC!$C19:AM19) - 1</f>
        <v>-0.38066474225692348</v>
      </c>
      <c r="AN19" s="7" cm="1">
        <f t="array" ref="AN19">PRODUCT(1 + 預測IC!$C19:AN19) - 1</f>
        <v>-0.32890795112680449</v>
      </c>
      <c r="AO19" s="7" cm="1">
        <f t="array" ref="AO19">PRODUCT(1 + 預測IC!$C19:AO19) - 1</f>
        <v>-0.3115314297707823</v>
      </c>
      <c r="AP19" s="7" cm="1">
        <f t="array" ref="AP19">PRODUCT(1 + 預測IC!$C19:AP19) - 1</f>
        <v>-0.3718234591441143</v>
      </c>
      <c r="AQ19" s="7" cm="1">
        <f t="array" ref="AQ19">PRODUCT(1 + 預測IC!$C19:AQ19) - 1</f>
        <v>-0.42726177079546868</v>
      </c>
      <c r="AR19" s="7" cm="1">
        <f t="array" ref="AR19">PRODUCT(1 + 預測IC!$C19:AR19) - 1</f>
        <v>-0.33933639400460636</v>
      </c>
      <c r="AS19" s="7" cm="1">
        <f t="array" ref="AS19">PRODUCT(1 + 預測IC!$C19:AS19) - 1</f>
        <v>-0.27472550488167158</v>
      </c>
      <c r="AT19" s="7" cm="1">
        <f t="array" ref="AT19">PRODUCT(1 + 預測IC!$C19:AT19) - 1</f>
        <v>-0.23897311186968528</v>
      </c>
      <c r="AU19" s="7" cm="1">
        <f t="array" ref="AU19">PRODUCT(1 + 預測IC!$C19:AU19) - 1</f>
        <v>-0.18080880418632661</v>
      </c>
      <c r="AV19" s="7" cm="1">
        <f t="array" ref="AV19">PRODUCT(1 + 預測IC!$C19:AV19) - 1</f>
        <v>-0.22179541424125426</v>
      </c>
      <c r="AW19" s="7" cm="1">
        <f t="array" ref="AW19">PRODUCT(1 + 預測IC!$C19:AW19) - 1</f>
        <v>-0.20439774166371161</v>
      </c>
      <c r="AX19" s="7" cm="1">
        <f t="array" ref="AX19">PRODUCT(1 + 預測IC!$C19:AX19) - 1</f>
        <v>-0.1405853373052911</v>
      </c>
      <c r="AY19" s="7" cm="1">
        <f t="array" ref="AY19">PRODUCT(1 + 預測IC!$C19:AY19) - 1</f>
        <v>-0.11520770717494244</v>
      </c>
      <c r="AZ19" s="7" cm="1">
        <f t="array" ref="AZ19">PRODUCT(1 + 預測IC!$C19:AZ19) - 1</f>
        <v>-0.28055735301623275</v>
      </c>
      <c r="BA19" s="7" cm="1">
        <f t="array" ref="BA19">PRODUCT(1 + 預測IC!$C19:BA19) - 1</f>
        <v>-0.30528019664879402</v>
      </c>
      <c r="BB19" s="7" cm="1">
        <f t="array" ref="BB19">PRODUCT(1 + 預測IC!$C19:BB19) - 1</f>
        <v>-0.19430134864309179</v>
      </c>
      <c r="BC19" s="7" cm="1">
        <f t="array" ref="BC19">PRODUCT(1 + 預測IC!$C19:BC19) - 1</f>
        <v>-0.1426919296819591</v>
      </c>
      <c r="BD19" s="7" cm="1">
        <f t="array" ref="BD19">PRODUCT(1 + 預測IC!$C19:BD19) - 1</f>
        <v>-0.14546480058629374</v>
      </c>
      <c r="BE19" s="7" cm="1">
        <f t="array" ref="BE19">PRODUCT(1 + 預測IC!$C19:BE19) - 1</f>
        <v>-0.10177081447235548</v>
      </c>
      <c r="BF19" s="7" cm="1">
        <f t="array" ref="BF19">PRODUCT(1 + 預測IC!$C19:BF19) - 1</f>
        <v>-8.9580969415558043E-2</v>
      </c>
      <c r="BG19" s="7" cm="1">
        <f t="array" ref="BG19">PRODUCT(1 + 預測IC!$C19:BG19) - 1</f>
        <v>-0.10446054699114748</v>
      </c>
      <c r="BH19" s="7" cm="1">
        <f t="array" ref="BH19">PRODUCT(1 + 預測IC!$C19:BH19) - 1</f>
        <v>-0.10265316774338651</v>
      </c>
      <c r="BI19" s="7" cm="1">
        <f t="array" ref="BI19">PRODUCT(1 + 預測IC!$C19:BI19) - 1</f>
        <v>1.2026526994278308E-2</v>
      </c>
      <c r="BJ19" s="7" cm="1">
        <f t="array" ref="BJ19">PRODUCT(1 + 預測IC!$C19:BJ19) - 1</f>
        <v>3.3994891980784203E-2</v>
      </c>
      <c r="BK19" s="7" cm="1">
        <f t="array" ref="BK19">PRODUCT(1 + 預測IC!$C19:BK19) - 1</f>
        <v>-1.9513853660762193E-2</v>
      </c>
      <c r="BL19" s="7" cm="1">
        <f t="array" ref="BL19">PRODUCT(1 + 預測IC!$C19:BL19) - 1</f>
        <v>5.889038584863715E-2</v>
      </c>
      <c r="BM19" s="7" cm="1">
        <f t="array" ref="BM19">PRODUCT(1 + 預測IC!$C19:BM19) - 1</f>
        <v>0.1798692480400057</v>
      </c>
      <c r="BN19" s="7" cm="1">
        <f t="array" ref="BN19">PRODUCT(1 + 預測IC!$C19:BN19) - 1</f>
        <v>0.25921857863591513</v>
      </c>
      <c r="BO19" s="7" cm="1">
        <f t="array" ref="BO19">PRODUCT(1 + 預測IC!$C19:BO19) - 1</f>
        <v>0.29161696466995246</v>
      </c>
      <c r="BP19" s="7" cm="1">
        <f t="array" ref="BP19">PRODUCT(1 + 預測IC!$C19:BP19) - 1</f>
        <v>0.37275480218137402</v>
      </c>
      <c r="BQ19" s="7" cm="1">
        <f t="array" ref="BQ19">PRODUCT(1 + 預測IC!$C19:BQ19) - 1</f>
        <v>0.38639180941112916</v>
      </c>
      <c r="BR19" s="7" cm="1">
        <f t="array" ref="BR19">PRODUCT(1 + 預測IC!$C19:BR19) - 1</f>
        <v>0.39564631582394139</v>
      </c>
      <c r="BS19" s="7" cm="1">
        <f t="array" ref="BS19">PRODUCT(1 + 預測IC!$C19:BS19) - 1</f>
        <v>0.36179304601982754</v>
      </c>
      <c r="BT19" s="7" cm="1">
        <f t="array" ref="BT19">PRODUCT(1 + 預測IC!$C19:BT19) - 1</f>
        <v>0.55466744453357641</v>
      </c>
      <c r="BU19" s="7" cm="1">
        <f t="array" ref="BU19">PRODUCT(1 + 預測IC!$C19:BU19) - 1</f>
        <v>0.67272306218736899</v>
      </c>
      <c r="BV19" s="7" cm="1">
        <f t="array" ref="BV19">PRODUCT(1 + 預測IC!$C19:BV19) - 1</f>
        <v>0.82938234395929111</v>
      </c>
      <c r="BW19" s="7" cm="1">
        <f t="array" ref="BW19">PRODUCT(1 + 預測IC!$C19:BW19) - 1</f>
        <v>0.63004010872915694</v>
      </c>
      <c r="BX19" s="7" cm="1">
        <f t="array" ref="BX19">PRODUCT(1 + 預測IC!$C19:BX19) - 1</f>
        <v>0.68560456594003272</v>
      </c>
      <c r="BY19" s="7" cm="1">
        <f t="array" ref="BY19">PRODUCT(1 + 預測IC!$C19:BY19) - 1</f>
        <v>0.50414967847959047</v>
      </c>
      <c r="BZ19" s="7" cm="1">
        <f t="array" ref="BZ19">PRODUCT(1 + 預測IC!$C19:BZ19) - 1</f>
        <v>0.60748795744154749</v>
      </c>
      <c r="CA19" s="7" cm="1">
        <f t="array" ref="CA19">PRODUCT(1 + 預測IC!$C19:CA19) - 1</f>
        <v>0.56034233661257904</v>
      </c>
      <c r="CB19" s="7" cm="1">
        <f t="array" ref="CB19">PRODUCT(1 + 預測IC!$C19:CB19) - 1</f>
        <v>0.48538166748882561</v>
      </c>
      <c r="CC19" s="7" cm="1">
        <f t="array" ref="CC19">PRODUCT(1 + 預測IC!$C19:CC19) - 1</f>
        <v>0.44865820106977305</v>
      </c>
      <c r="CD19" s="7" cm="1">
        <f t="array" ref="CD19">PRODUCT(1 + 預測IC!$C19:CD19) - 1</f>
        <v>0.76101672069632542</v>
      </c>
      <c r="CE19" s="7" cm="1">
        <f t="array" ref="CE19">PRODUCT(1 + 預測IC!$C19:CE19) - 1</f>
        <v>0.41186728037297882</v>
      </c>
      <c r="CF19" s="7" cm="1">
        <f t="array" ref="CF19">PRODUCT(1 + 預測IC!$C19:CF19) - 1</f>
        <v>0.52468168434612594</v>
      </c>
      <c r="CG19" s="7" cm="1">
        <f t="array" ref="CG19">PRODUCT(1 + 預測IC!$C19:CG19) - 1</f>
        <v>0.44748166851899396</v>
      </c>
      <c r="CH19" s="7" cm="1">
        <f t="array" ref="CH19">PRODUCT(1 + 預測IC!$C19:CH19) - 1</f>
        <v>0.66878694837606845</v>
      </c>
      <c r="CI19" s="7" cm="1">
        <f t="array" ref="CI19">PRODUCT(1 + 預測IC!$C19:CI19) - 1</f>
        <v>0.60693011240777617</v>
      </c>
      <c r="CJ19" s="7" cm="1">
        <f t="array" ref="CJ19">PRODUCT(1 + 預測IC!$C19:CJ19) - 1</f>
        <v>0.50739605783475983</v>
      </c>
      <c r="CK19" s="7" cm="1">
        <f t="array" ref="CK19">PRODUCT(1 + 預測IC!$C19:CK19) - 1</f>
        <v>0.66411658581433031</v>
      </c>
      <c r="CL19" s="7" cm="1">
        <f t="array" ref="CL19">PRODUCT(1 + 預測IC!$C19:CL19) - 1</f>
        <v>0.59215971873302697</v>
      </c>
      <c r="CM19" s="7" cm="1">
        <f t="array" ref="CM19">PRODUCT(1 + 預測IC!$C19:CM19) - 1</f>
        <v>0.87134117043426995</v>
      </c>
      <c r="CN19" s="7" cm="1">
        <f t="array" ref="CN19">PRODUCT(1 + 預測IC!$C19:CN19) - 1</f>
        <v>0.72737392640454268</v>
      </c>
      <c r="CO19" s="7" cm="1">
        <f t="array" ref="CO19">PRODUCT(1 + 預測IC!$C19:CO19) - 1</f>
        <v>0.2567432917151875</v>
      </c>
      <c r="CP19" s="7" cm="1">
        <f t="array" ref="CP19">PRODUCT(1 + 預測IC!$C19:CP19) - 1</f>
        <v>0.4566064436502657</v>
      </c>
      <c r="CQ19" s="7" cm="1">
        <f t="array" ref="CQ19">PRODUCT(1 + 預測IC!$C19:CQ19) - 1</f>
        <v>0.45263004184175726</v>
      </c>
      <c r="CR19" s="7" cm="1">
        <f t="array" ref="CR19">PRODUCT(1 + 預測IC!$C19:CR19) - 1</f>
        <v>0.52481731449055591</v>
      </c>
      <c r="CS19" s="7" cm="1">
        <f t="array" ref="CS19">PRODUCT(1 + 預測IC!$C19:CS19) - 1</f>
        <v>0.61737502294495639</v>
      </c>
      <c r="CT19" s="7" cm="1">
        <f t="array" ref="CT19">PRODUCT(1 + 預測IC!$C19:CT19) - 1</f>
        <v>0.81569823827922283</v>
      </c>
      <c r="CU19" s="7" cm="1">
        <f t="array" ref="CU19">PRODUCT(1 + 預測IC!$C19:CU19) - 1</f>
        <v>0.6642029190311618</v>
      </c>
      <c r="CV19" s="7" cm="1">
        <f t="array" ref="CV19">PRODUCT(1 + 預測IC!$C19:CV19) - 1</f>
        <v>0.83391810224915419</v>
      </c>
      <c r="CW19" s="7" cm="1">
        <f t="array" ref="CW19">PRODUCT(1 + 預測IC!$C19:CW19) - 1</f>
        <v>0.79375198048594897</v>
      </c>
      <c r="CX19" s="7" cm="1">
        <f t="array" ref="CX19">PRODUCT(1 + 預測IC!$C19:CX19) - 1</f>
        <v>0.8971343850536464</v>
      </c>
      <c r="CY19" s="7" cm="1">
        <f t="array" ref="CY19">PRODUCT(1 + 預測IC!$C19:CY19) - 1</f>
        <v>0.7625860676507914</v>
      </c>
      <c r="CZ19" s="7" cm="1">
        <f t="array" ref="CZ19">PRODUCT(1 + 預測IC!$C19:CZ19) - 1</f>
        <v>0.96149712852315017</v>
      </c>
      <c r="DA19" s="7" cm="1">
        <f t="array" ref="DA19">PRODUCT(1 + 預測IC!$C19:DA19) - 1</f>
        <v>0.84729116155826523</v>
      </c>
      <c r="DB19" s="7" cm="1">
        <f t="array" ref="DB19">PRODUCT(1 + 預測IC!$C19:DB19) - 1</f>
        <v>0.78130426050606894</v>
      </c>
      <c r="DC19" s="7" cm="1">
        <f t="array" ref="DC19">PRODUCT(1 + 預測IC!$C19:DC19) - 1</f>
        <v>0.71863904557842195</v>
      </c>
      <c r="DD19" s="7" cm="1">
        <f t="array" ref="DD19">PRODUCT(1 + 預測IC!$C19:DD19) - 1</f>
        <v>0.53602103912735766</v>
      </c>
      <c r="DE19" s="7" cm="1">
        <f t="array" ref="DE19">PRODUCT(1 + 預測IC!$C19:DE19) - 1</f>
        <v>0.61900450723296263</v>
      </c>
      <c r="DF19" s="7" cm="1">
        <f t="array" ref="DF19">PRODUCT(1 + 預測IC!$C19:DF19) - 1</f>
        <v>0.50617115019036074</v>
      </c>
      <c r="DG19" s="7" cm="1">
        <f t="array" ref="DG19">PRODUCT(1 + 預測IC!$C19:DG19) - 1</f>
        <v>0.4869727774133159</v>
      </c>
      <c r="DH19" s="7" cm="1">
        <f t="array" ref="DH19">PRODUCT(1 + 預測IC!$C19:DH19) - 1</f>
        <v>0.48673934777337791</v>
      </c>
      <c r="DI19" s="7" cm="1">
        <f t="array" ref="DI19">PRODUCT(1 + 預測IC!$C19:DI19) - 1</f>
        <v>0.49219036525756343</v>
      </c>
      <c r="DJ19" s="7" cm="1">
        <f t="array" ref="DJ19">PRODUCT(1 + 預測IC!$C19:DJ19) - 1</f>
        <v>0.41979771853201142</v>
      </c>
      <c r="DK19" s="7" cm="1">
        <f t="array" ref="DK19">PRODUCT(1 + 預測IC!$C19:DK19) - 1</f>
        <v>0.59605792103612631</v>
      </c>
      <c r="DL19" s="7" cm="1">
        <f t="array" ref="DL19">PRODUCT(1 + 預測IC!$C19:DL19) - 1</f>
        <v>0.70804916805368023</v>
      </c>
      <c r="DM19" s="7" cm="1">
        <f t="array" ref="DM19">PRODUCT(1 + 預測IC!$C19:DM19) - 1</f>
        <v>0.56807068702274299</v>
      </c>
      <c r="DN19" s="7" cm="1">
        <f t="array" ref="DN19">PRODUCT(1 + 預測IC!$C19:DN19) - 1</f>
        <v>0.57195185499892287</v>
      </c>
      <c r="DO19" s="7" cm="1">
        <f t="array" ref="DO19">PRODUCT(1 + 預測IC!$C19:DO19) - 1</f>
        <v>0.65860815859518018</v>
      </c>
      <c r="DP19" s="7" cm="1">
        <f t="array" ref="DP19">PRODUCT(1 + 預測IC!$C19:DP19) - 1</f>
        <v>0.70478051653576435</v>
      </c>
      <c r="DQ19" s="7" cm="1">
        <f t="array" ref="DQ19">PRODUCT(1 + 預測IC!$C19:DQ19) - 1</f>
        <v>0.4993725701522671</v>
      </c>
      <c r="DR19" s="7" cm="1">
        <f t="array" ref="DR19">PRODUCT(1 + 預測IC!$C19:DR19) - 1</f>
        <v>0.6132684390920593</v>
      </c>
      <c r="DS19" s="7" cm="1">
        <f t="array" ref="DS19">PRODUCT(1 + 預測IC!$C19:DS19) - 1</f>
        <v>0.32611384089229034</v>
      </c>
      <c r="DT19" s="7" cm="1">
        <f t="array" ref="DT19">PRODUCT(1 + 預測IC!$C19:DT19) - 1</f>
        <v>0.14957029360373331</v>
      </c>
      <c r="DU19" s="7" cm="1">
        <f t="array" ref="DU19">PRODUCT(1 + 預測IC!$C19:DU19) - 1</f>
        <v>-1.4623633894335741E-2</v>
      </c>
      <c r="DV19" s="7" cm="1">
        <f t="array" ref="DV19">PRODUCT(1 + 預測IC!$C19:DV19) - 1</f>
        <v>9.5270176069107926E-2</v>
      </c>
      <c r="DW19" s="7" cm="1">
        <f t="array" ref="DW19">PRODUCT(1 + 預測IC!$C19:DW19) - 1</f>
        <v>0.16165355878617627</v>
      </c>
      <c r="DX19" s="7" cm="1">
        <f t="array" ref="DX19">PRODUCT(1 + 預測IC!$C19:DX19) - 1</f>
        <v>9.2120818647001279E-4</v>
      </c>
      <c r="DY19" s="7" cm="1">
        <f t="array" ref="DY19">PRODUCT(1 + 預測IC!$C19:DY19) - 1</f>
        <v>7.109537139130917E-2</v>
      </c>
      <c r="DZ19" s="7" cm="1">
        <f t="array" ref="DZ19">PRODUCT(1 + 預測IC!$C19:DZ19) - 1</f>
        <v>-4.8782510367192722E-2</v>
      </c>
      <c r="EA19" s="7" cm="1">
        <f t="array" ref="EA19">PRODUCT(1 + 預測IC!$C19:EA19) - 1</f>
        <v>-7.5492082490829282E-2</v>
      </c>
      <c r="EB19" s="7" cm="1">
        <f t="array" ref="EB19">PRODUCT(1 + 預測IC!$C19:EB19) - 1</f>
        <v>-5.5362984227909307E-2</v>
      </c>
      <c r="EC19" s="7" cm="1">
        <f t="array" ref="EC19">PRODUCT(1 + 預測IC!$C19:EC19) - 1</f>
        <v>-6.6878150280880178E-2</v>
      </c>
      <c r="ED19" s="7" cm="1">
        <f t="array" ref="ED19">PRODUCT(1 + 預測IC!$C19:ED19) - 1</f>
        <v>-0.20771919245867698</v>
      </c>
      <c r="EE19" s="7" cm="1">
        <f t="array" ref="EE19">PRODUCT(1 + 預測IC!$C19:EE19) - 1</f>
        <v>-0.1977094827153274</v>
      </c>
      <c r="EF19" s="7" cm="1">
        <f t="array" ref="EF19">PRODUCT(1 + 預測IC!$C19:EF19) - 1</f>
        <v>-0.1840882305164131</v>
      </c>
    </row>
    <row r="20" spans="1:136" x14ac:dyDescent="0.3">
      <c r="A20" s="1">
        <v>5</v>
      </c>
      <c r="B20" s="1" t="s">
        <v>178</v>
      </c>
      <c r="C20" s="7" cm="1">
        <f t="array" ref="C20">PRODUCT(1 + 預測IC!$C20:C20) - 1</f>
        <v>-0.13932460396499158</v>
      </c>
      <c r="D20" s="7" cm="1">
        <f t="array" ref="D20">PRODUCT(1 + 預測IC!$C20:D20) - 1</f>
        <v>-0.13902188870904963</v>
      </c>
      <c r="E20" s="7" cm="1">
        <f t="array" ref="E20">PRODUCT(1 + 預測IC!$C20:E20) - 1</f>
        <v>-0.12567673819150882</v>
      </c>
      <c r="F20" s="7" cm="1">
        <f t="array" ref="F20">PRODUCT(1 + 預測IC!$C20:F20) - 1</f>
        <v>-0.20543112660199603</v>
      </c>
      <c r="G20" s="7" cm="1">
        <f t="array" ref="G20">PRODUCT(1 + 預測IC!$C20:G20) - 1</f>
        <v>-0.28517875616293098</v>
      </c>
      <c r="H20" s="7" cm="1">
        <f t="array" ref="H20">PRODUCT(1 + 預測IC!$C20:H20) - 1</f>
        <v>-0.16768216000861069</v>
      </c>
      <c r="I20" s="7" cm="1">
        <f t="array" ref="I20">PRODUCT(1 + 預測IC!$C20:I20) - 1</f>
        <v>-3.605145766887885E-2</v>
      </c>
      <c r="J20" s="7" cm="1">
        <f t="array" ref="J20">PRODUCT(1 + 預測IC!$C20:J20) - 1</f>
        <v>-2.8229380668067794E-3</v>
      </c>
      <c r="K20" s="7" cm="1">
        <f t="array" ref="K20">PRODUCT(1 + 預測IC!$C20:K20) - 1</f>
        <v>-9.2677221039609181E-2</v>
      </c>
      <c r="L20" s="7" cm="1">
        <f t="array" ref="L20">PRODUCT(1 + 預測IC!$C20:L20) - 1</f>
        <v>-5.838595903126631E-3</v>
      </c>
      <c r="M20" s="7" cm="1">
        <f t="array" ref="M20">PRODUCT(1 + 預測IC!$C20:M20) - 1</f>
        <v>9.3710179918087055E-2</v>
      </c>
      <c r="N20" s="7" cm="1">
        <f t="array" ref="N20">PRODUCT(1 + 預測IC!$C20:N20) - 1</f>
        <v>0.20518651240273211</v>
      </c>
      <c r="O20" s="7" cm="1">
        <f t="array" ref="O20">PRODUCT(1 + 預測IC!$C20:O20) - 1</f>
        <v>0.3246222844527451</v>
      </c>
      <c r="P20" s="7" cm="1">
        <f t="array" ref="P20">PRODUCT(1 + 預測IC!$C20:P20) - 1</f>
        <v>0.20385656659107165</v>
      </c>
      <c r="Q20" s="7" cm="1">
        <f t="array" ref="Q20">PRODUCT(1 + 預測IC!$C20:Q20) - 1</f>
        <v>-5.7050137456966743E-2</v>
      </c>
      <c r="R20" s="7" cm="1">
        <f t="array" ref="R20">PRODUCT(1 + 預測IC!$C20:R20) - 1</f>
        <v>-0.16007029125272432</v>
      </c>
      <c r="S20" s="7" cm="1">
        <f t="array" ref="S20">PRODUCT(1 + 預測IC!$C20:S20) - 1</f>
        <v>-0.29041278266738479</v>
      </c>
      <c r="T20" s="7" cm="1">
        <f t="array" ref="T20">PRODUCT(1 + 預測IC!$C20:T20) - 1</f>
        <v>-0.27929858157669374</v>
      </c>
      <c r="U20" s="7" cm="1">
        <f t="array" ref="U20">PRODUCT(1 + 預測IC!$C20:U20) - 1</f>
        <v>-0.38643061688574487</v>
      </c>
      <c r="V20" s="7" cm="1">
        <f t="array" ref="V20">PRODUCT(1 + 預測IC!$C20:V20) - 1</f>
        <v>-0.37867258233609824</v>
      </c>
      <c r="W20" s="7" cm="1">
        <f t="array" ref="W20">PRODUCT(1 + 預測IC!$C20:W20) - 1</f>
        <v>-0.27112989252029684</v>
      </c>
      <c r="X20" s="7" cm="1">
        <f t="array" ref="X20">PRODUCT(1 + 預測IC!$C20:X20) - 1</f>
        <v>-0.16274894745807889</v>
      </c>
      <c r="Y20" s="7" cm="1">
        <f t="array" ref="Y20">PRODUCT(1 + 預測IC!$C20:Y20) - 1</f>
        <v>-0.127527897564092</v>
      </c>
      <c r="Z20" s="7" cm="1">
        <f t="array" ref="Z20">PRODUCT(1 + 預測IC!$C20:Z20) - 1</f>
        <v>-3.5380045998023579E-2</v>
      </c>
      <c r="AA20" s="7" cm="1">
        <f t="array" ref="AA20">PRODUCT(1 + 預測IC!$C20:AA20) - 1</f>
        <v>-5.6210583093171285E-2</v>
      </c>
      <c r="AB20" s="7" cm="1">
        <f t="array" ref="AB20">PRODUCT(1 + 預測IC!$C20:AB20) - 1</f>
        <v>2.3784857562899386E-2</v>
      </c>
      <c r="AC20" s="7" cm="1">
        <f t="array" ref="AC20">PRODUCT(1 + 預測IC!$C20:AC20) - 1</f>
        <v>8.1570700139852237E-2</v>
      </c>
      <c r="AD20" s="7" cm="1">
        <f t="array" ref="AD20">PRODUCT(1 + 預測IC!$C20:AD20) - 1</f>
        <v>0.11883503196985612</v>
      </c>
      <c r="AE20" s="7" cm="1">
        <f t="array" ref="AE20">PRODUCT(1 + 預測IC!$C20:AE20) - 1</f>
        <v>-0.10414080627434263</v>
      </c>
      <c r="AF20" s="7" cm="1">
        <f t="array" ref="AF20">PRODUCT(1 + 預測IC!$C20:AF20) - 1</f>
        <v>-6.9162272174767669E-2</v>
      </c>
      <c r="AG20" s="7" cm="1">
        <f t="array" ref="AG20">PRODUCT(1 + 預測IC!$C20:AG20) - 1</f>
        <v>-4.3416028035672793E-2</v>
      </c>
      <c r="AH20" s="7" cm="1">
        <f t="array" ref="AH20">PRODUCT(1 + 預測IC!$C20:AH20) - 1</f>
        <v>-0.12967904946001596</v>
      </c>
      <c r="AI20" s="7" cm="1">
        <f t="array" ref="AI20">PRODUCT(1 + 預測IC!$C20:AI20) - 1</f>
        <v>-2.842873421752945E-2</v>
      </c>
      <c r="AJ20" s="7" cm="1">
        <f t="array" ref="AJ20">PRODUCT(1 + 預測IC!$C20:AJ20) - 1</f>
        <v>-1.1677178654975306E-2</v>
      </c>
      <c r="AK20" s="7" cm="1">
        <f t="array" ref="AK20">PRODUCT(1 + 預測IC!$C20:AK20) - 1</f>
        <v>-2.5113541558496322E-2</v>
      </c>
      <c r="AL20" s="7" cm="1">
        <f t="array" ref="AL20">PRODUCT(1 + 預測IC!$C20:AL20) - 1</f>
        <v>4.5949297741407547E-2</v>
      </c>
      <c r="AM20" s="7" cm="1">
        <f t="array" ref="AM20">PRODUCT(1 + 預測IC!$C20:AM20) - 1</f>
        <v>8.0566015563680926E-2</v>
      </c>
      <c r="AN20" s="7" cm="1">
        <f t="array" ref="AN20">PRODUCT(1 + 預測IC!$C20:AN20) - 1</f>
        <v>0.1621165418683248</v>
      </c>
      <c r="AO20" s="7" cm="1">
        <f t="array" ref="AO20">PRODUCT(1 + 預測IC!$C20:AO20) - 1</f>
        <v>0.21474308471935211</v>
      </c>
      <c r="AP20" s="7" cm="1">
        <f t="array" ref="AP20">PRODUCT(1 + 預測IC!$C20:AP20) - 1</f>
        <v>5.472441786247928E-2</v>
      </c>
      <c r="AQ20" s="7" cm="1">
        <f t="array" ref="AQ20">PRODUCT(1 + 預測IC!$C20:AQ20) - 1</f>
        <v>8.3679224474154212E-2</v>
      </c>
      <c r="AR20" s="7" cm="1">
        <f t="array" ref="AR20">PRODUCT(1 + 預測IC!$C20:AR20) - 1</f>
        <v>0.26795779798721275</v>
      </c>
      <c r="AS20" s="7" cm="1">
        <f t="array" ref="AS20">PRODUCT(1 + 預測IC!$C20:AS20) - 1</f>
        <v>0.41009055399623118</v>
      </c>
      <c r="AT20" s="7" cm="1">
        <f t="array" ref="AT20">PRODUCT(1 + 預測IC!$C20:AT20) - 1</f>
        <v>0.41835195553349847</v>
      </c>
      <c r="AU20" s="7" cm="1">
        <f t="array" ref="AU20">PRODUCT(1 + 預測IC!$C20:AU20) - 1</f>
        <v>0.52571040050519824</v>
      </c>
      <c r="AV20" s="7" cm="1">
        <f t="array" ref="AV20">PRODUCT(1 + 預測IC!$C20:AV20) - 1</f>
        <v>0.44236738085225125</v>
      </c>
      <c r="AW20" s="7" cm="1">
        <f t="array" ref="AW20">PRODUCT(1 + 預測IC!$C20:AW20) - 1</f>
        <v>0.45226961973466162</v>
      </c>
      <c r="AX20" s="7" cm="1">
        <f t="array" ref="AX20">PRODUCT(1 + 預測IC!$C20:AX20) - 1</f>
        <v>0.61308313510898604</v>
      </c>
      <c r="AY20" s="7" cm="1">
        <f t="array" ref="AY20">PRODUCT(1 + 預測IC!$C20:AY20) - 1</f>
        <v>0.67546863892266895</v>
      </c>
      <c r="AZ20" s="7" cm="1">
        <f t="array" ref="AZ20">PRODUCT(1 + 預測IC!$C20:AZ20) - 1</f>
        <v>0.31724937056003455</v>
      </c>
      <c r="BA20" s="7" cm="1">
        <f t="array" ref="BA20">PRODUCT(1 + 預測IC!$C20:BA20) - 1</f>
        <v>0.26877608898516381</v>
      </c>
      <c r="BB20" s="7" cm="1">
        <f t="array" ref="BB20">PRODUCT(1 + 預測IC!$C20:BB20) - 1</f>
        <v>0.48149328135403913</v>
      </c>
      <c r="BC20" s="7" cm="1">
        <f t="array" ref="BC20">PRODUCT(1 + 預測IC!$C20:BC20) - 1</f>
        <v>0.58609495549479917</v>
      </c>
      <c r="BD20" s="7" cm="1">
        <f t="array" ref="BD20">PRODUCT(1 + 預測IC!$C20:BD20) - 1</f>
        <v>0.50135019827099425</v>
      </c>
      <c r="BE20" s="7" cm="1">
        <f t="array" ref="BE20">PRODUCT(1 + 預測IC!$C20:BE20) - 1</f>
        <v>0.49242197320688819</v>
      </c>
      <c r="BF20" s="7" cm="1">
        <f t="array" ref="BF20">PRODUCT(1 + 預測IC!$C20:BF20) - 1</f>
        <v>0.50091173847455961</v>
      </c>
      <c r="BG20" s="7" cm="1">
        <f t="array" ref="BG20">PRODUCT(1 + 預測IC!$C20:BG20) - 1</f>
        <v>0.49051620958073161</v>
      </c>
      <c r="BH20" s="7" cm="1">
        <f t="array" ref="BH20">PRODUCT(1 + 預測IC!$C20:BH20) - 1</f>
        <v>0.38378563944666366</v>
      </c>
      <c r="BI20" s="7" cm="1">
        <f t="array" ref="BI20">PRODUCT(1 + 預測IC!$C20:BI20) - 1</f>
        <v>0.5660928481041938</v>
      </c>
      <c r="BJ20" s="7" cm="1">
        <f t="array" ref="BJ20">PRODUCT(1 + 預測IC!$C20:BJ20) - 1</f>
        <v>0.59996667189413233</v>
      </c>
      <c r="BK20" s="7" cm="1">
        <f t="array" ref="BK20">PRODUCT(1 + 預測IC!$C20:BK20) - 1</f>
        <v>0.50519557747489752</v>
      </c>
      <c r="BL20" s="7" cm="1">
        <f t="array" ref="BL20">PRODUCT(1 + 預測IC!$C20:BL20) - 1</f>
        <v>0.63508226221213859</v>
      </c>
      <c r="BM20" s="7" cm="1">
        <f t="array" ref="BM20">PRODUCT(1 + 預測IC!$C20:BM20) - 1</f>
        <v>0.85895390163383678</v>
      </c>
      <c r="BN20" s="7" cm="1">
        <f t="array" ref="BN20">PRODUCT(1 + 預測IC!$C20:BN20) - 1</f>
        <v>1.0793463481856551</v>
      </c>
      <c r="BO20" s="7" cm="1">
        <f t="array" ref="BO20">PRODUCT(1 + 預測IC!$C20:BO20) - 1</f>
        <v>0.99937111632385567</v>
      </c>
      <c r="BP20" s="7" cm="1">
        <f t="array" ref="BP20">PRODUCT(1 + 預測IC!$C20:BP20) - 1</f>
        <v>1.1201481685460415</v>
      </c>
      <c r="BQ20" s="7" cm="1">
        <f t="array" ref="BQ20">PRODUCT(1 + 預測IC!$C20:BQ20) - 1</f>
        <v>1.1529080767599829</v>
      </c>
      <c r="BR20" s="7" cm="1">
        <f t="array" ref="BR20">PRODUCT(1 + 預測IC!$C20:BR20) - 1</f>
        <v>1.178901496028343</v>
      </c>
      <c r="BS20" s="7" cm="1">
        <f t="array" ref="BS20">PRODUCT(1 + 預測IC!$C20:BS20) - 1</f>
        <v>1.1906839193581118</v>
      </c>
      <c r="BT20" s="7" cm="1">
        <f t="array" ref="BT20">PRODUCT(1 + 預測IC!$C20:BT20) - 1</f>
        <v>1.5144736473749281</v>
      </c>
      <c r="BU20" s="7" cm="1">
        <f t="array" ref="BU20">PRODUCT(1 + 預測IC!$C20:BU20) - 1</f>
        <v>1.7627903651078718</v>
      </c>
      <c r="BV20" s="7" cm="1">
        <f t="array" ref="BV20">PRODUCT(1 + 預測IC!$C20:BV20) - 1</f>
        <v>2.0830484146897068</v>
      </c>
      <c r="BW20" s="7" cm="1">
        <f t="array" ref="BW20">PRODUCT(1 + 預測IC!$C20:BW20) - 1</f>
        <v>1.665285329003952</v>
      </c>
      <c r="BX20" s="7" cm="1">
        <f t="array" ref="BX20">PRODUCT(1 + 預測IC!$C20:BX20) - 1</f>
        <v>1.7470926285495803</v>
      </c>
      <c r="BY20" s="7" cm="1">
        <f t="array" ref="BY20">PRODUCT(1 + 預測IC!$C20:BY20) - 1</f>
        <v>1.4580051752634327</v>
      </c>
      <c r="BZ20" s="7" cm="1">
        <f t="array" ref="BZ20">PRODUCT(1 + 預測IC!$C20:BZ20) - 1</f>
        <v>1.6798927541135074</v>
      </c>
      <c r="CA20" s="7" cm="1">
        <f t="array" ref="CA20">PRODUCT(1 + 預測IC!$C20:CA20) - 1</f>
        <v>1.5724217437874302</v>
      </c>
      <c r="CB20" s="7" cm="1">
        <f t="array" ref="CB20">PRODUCT(1 + 預測IC!$C20:CB20) - 1</f>
        <v>1.4740215958370495</v>
      </c>
      <c r="CC20" s="7" cm="1">
        <f t="array" ref="CC20">PRODUCT(1 + 預測IC!$C20:CC20) - 1</f>
        <v>1.4095905678366325</v>
      </c>
      <c r="CD20" s="7" cm="1">
        <f t="array" ref="CD20">PRODUCT(1 + 預測IC!$C20:CD20) - 1</f>
        <v>1.8457927183090446</v>
      </c>
      <c r="CE20" s="7" cm="1">
        <f t="array" ref="CE20">PRODUCT(1 + 預測IC!$C20:CE20) - 1</f>
        <v>1.1515223256302409</v>
      </c>
      <c r="CF20" s="7" cm="1">
        <f t="array" ref="CF20">PRODUCT(1 + 預測IC!$C20:CF20) - 1</f>
        <v>1.3257051349501645</v>
      </c>
      <c r="CG20" s="7" cm="1">
        <f t="array" ref="CG20">PRODUCT(1 + 預測IC!$C20:CG20) - 1</f>
        <v>1.0953373234640909</v>
      </c>
      <c r="CH20" s="7" cm="1">
        <f t="array" ref="CH20">PRODUCT(1 + 預測IC!$C20:CH20) - 1</f>
        <v>1.2459166985121537</v>
      </c>
      <c r="CI20" s="7" cm="1">
        <f t="array" ref="CI20">PRODUCT(1 + 預測IC!$C20:CI20) - 1</f>
        <v>1.1776527931483431</v>
      </c>
      <c r="CJ20" s="7" cm="1">
        <f t="array" ref="CJ20">PRODUCT(1 + 預測IC!$C20:CJ20) - 1</f>
        <v>0.90884263575852819</v>
      </c>
      <c r="CK20" s="7" cm="1">
        <f t="array" ref="CK20">PRODUCT(1 + 預測IC!$C20:CK20) - 1</f>
        <v>1.0825060784080867</v>
      </c>
      <c r="CL20" s="7" cm="1">
        <f t="array" ref="CL20">PRODUCT(1 + 預測IC!$C20:CL20) - 1</f>
        <v>0.89053039262157618</v>
      </c>
      <c r="CM20" s="7" cm="1">
        <f t="array" ref="CM20">PRODUCT(1 + 預測IC!$C20:CM20) - 1</f>
        <v>1.2479373661371564</v>
      </c>
      <c r="CN20" s="7" cm="1">
        <f t="array" ref="CN20">PRODUCT(1 + 預測IC!$C20:CN20) - 1</f>
        <v>1.2977503349684736</v>
      </c>
      <c r="CO20" s="7" cm="1">
        <f t="array" ref="CO20">PRODUCT(1 + 預測IC!$C20:CO20) - 1</f>
        <v>0.34195206024659219</v>
      </c>
      <c r="CP20" s="7" cm="1">
        <f t="array" ref="CP20">PRODUCT(1 + 預測IC!$C20:CP20) - 1</f>
        <v>0.59964873157428733</v>
      </c>
      <c r="CQ20" s="7" cm="1">
        <f t="array" ref="CQ20">PRODUCT(1 + 預測IC!$C20:CQ20) - 1</f>
        <v>0.60942475753370795</v>
      </c>
      <c r="CR20" s="7" cm="1">
        <f t="array" ref="CR20">PRODUCT(1 + 預測IC!$C20:CR20) - 1</f>
        <v>0.72709985161931145</v>
      </c>
      <c r="CS20" s="7" cm="1">
        <f t="array" ref="CS20">PRODUCT(1 + 預測IC!$C20:CS20) - 1</f>
        <v>0.87971378133563594</v>
      </c>
      <c r="CT20" s="7" cm="1">
        <f t="array" ref="CT20">PRODUCT(1 + 預測IC!$C20:CT20) - 1</f>
        <v>1.0497790763163084</v>
      </c>
      <c r="CU20" s="7" cm="1">
        <f t="array" ref="CU20">PRODUCT(1 + 預測IC!$C20:CU20) - 1</f>
        <v>0.85532133538248534</v>
      </c>
      <c r="CV20" s="7" cm="1">
        <f t="array" ref="CV20">PRODUCT(1 + 預測IC!$C20:CV20) - 1</f>
        <v>1.0269591078793936</v>
      </c>
      <c r="CW20" s="7" cm="1">
        <f t="array" ref="CW20">PRODUCT(1 + 預測IC!$C20:CW20) - 1</f>
        <v>1.0471335594189841</v>
      </c>
      <c r="CX20" s="7" cm="1">
        <f t="array" ref="CX20">PRODUCT(1 + 預測IC!$C20:CX20) - 1</f>
        <v>1.2319867532672872</v>
      </c>
      <c r="CY20" s="7" cm="1">
        <f t="array" ref="CY20">PRODUCT(1 + 預測IC!$C20:CY20) - 1</f>
        <v>1.2041321552673319</v>
      </c>
      <c r="CZ20" s="7" cm="1">
        <f t="array" ref="CZ20">PRODUCT(1 + 預測IC!$C20:CZ20) - 1</f>
        <v>1.5461289266048595</v>
      </c>
      <c r="DA20" s="7" cm="1">
        <f t="array" ref="DA20">PRODUCT(1 + 預測IC!$C20:DA20) - 1</f>
        <v>1.4252593662417667</v>
      </c>
      <c r="DB20" s="7" cm="1">
        <f t="array" ref="DB20">PRODUCT(1 + 預測IC!$C20:DB20) - 1</f>
        <v>1.2872555364387406</v>
      </c>
      <c r="DC20" s="7" cm="1">
        <f t="array" ref="DC20">PRODUCT(1 + 預測IC!$C20:DC20) - 1</f>
        <v>1.1737777691499973</v>
      </c>
      <c r="DD20" s="7" cm="1">
        <f t="array" ref="DD20">PRODUCT(1 + 預測IC!$C20:DD20) - 1</f>
        <v>0.85182212112510025</v>
      </c>
      <c r="DE20" s="7" cm="1">
        <f t="array" ref="DE20">PRODUCT(1 + 預測IC!$C20:DE20) - 1</f>
        <v>0.80228613137923865</v>
      </c>
      <c r="DF20" s="7" cm="1">
        <f t="array" ref="DF20">PRODUCT(1 + 預測IC!$C20:DF20) - 1</f>
        <v>0.80383451420228935</v>
      </c>
      <c r="DG20" s="7" cm="1">
        <f t="array" ref="DG20">PRODUCT(1 + 預測IC!$C20:DG20) - 1</f>
        <v>0.79625442164931726</v>
      </c>
      <c r="DH20" s="7" cm="1">
        <f t="array" ref="DH20">PRODUCT(1 + 預測IC!$C20:DH20) - 1</f>
        <v>0.77653978977738114</v>
      </c>
      <c r="DI20" s="7" cm="1">
        <f t="array" ref="DI20">PRODUCT(1 + 預測IC!$C20:DI20) - 1</f>
        <v>0.7358983655011706</v>
      </c>
      <c r="DJ20" s="7" cm="1">
        <f t="array" ref="DJ20">PRODUCT(1 + 預測IC!$C20:DJ20) - 1</f>
        <v>0.66739990927024428</v>
      </c>
      <c r="DK20" s="7" cm="1">
        <f t="array" ref="DK20">PRODUCT(1 + 預測IC!$C20:DK20) - 1</f>
        <v>0.80905217022554221</v>
      </c>
      <c r="DL20" s="7" cm="1">
        <f t="array" ref="DL20">PRODUCT(1 + 預測IC!$C20:DL20) - 1</f>
        <v>0.94622651096523702</v>
      </c>
      <c r="DM20" s="7" cm="1">
        <f t="array" ref="DM20">PRODUCT(1 + 預測IC!$C20:DM20) - 1</f>
        <v>0.96429459725760736</v>
      </c>
      <c r="DN20" s="7" cm="1">
        <f t="array" ref="DN20">PRODUCT(1 + 預測IC!$C20:DN20) - 1</f>
        <v>1.0782614114256233</v>
      </c>
      <c r="DO20" s="7" cm="1">
        <f t="array" ref="DO20">PRODUCT(1 + 預測IC!$C20:DO20) - 1</f>
        <v>1.2150438526475127</v>
      </c>
      <c r="DP20" s="7" cm="1">
        <f t="array" ref="DP20">PRODUCT(1 + 預測IC!$C20:DP20) - 1</f>
        <v>1.236818910773156</v>
      </c>
      <c r="DQ20" s="7" cm="1">
        <f t="array" ref="DQ20">PRODUCT(1 + 預測IC!$C20:DQ20) - 1</f>
        <v>0.81807004222941648</v>
      </c>
      <c r="DR20" s="7" cm="1">
        <f t="array" ref="DR20">PRODUCT(1 + 預測IC!$C20:DR20) - 1</f>
        <v>0.9608115573625946</v>
      </c>
      <c r="DS20" s="7" cm="1">
        <f t="array" ref="DS20">PRODUCT(1 + 預測IC!$C20:DS20) - 1</f>
        <v>0.55672535947698809</v>
      </c>
      <c r="DT20" s="7" cm="1">
        <f t="array" ref="DT20">PRODUCT(1 + 預測IC!$C20:DT20) - 1</f>
        <v>0.34900217834892411</v>
      </c>
      <c r="DU20" s="7" cm="1">
        <f t="array" ref="DU20">PRODUCT(1 + 預測IC!$C20:DU20) - 1</f>
        <v>0.11688057790165174</v>
      </c>
      <c r="DV20" s="7" cm="1">
        <f t="array" ref="DV20">PRODUCT(1 + 預測IC!$C20:DV20) - 1</f>
        <v>0.26134402323799799</v>
      </c>
      <c r="DW20" s="7" cm="1">
        <f t="array" ref="DW20">PRODUCT(1 + 預測IC!$C20:DW20) - 1</f>
        <v>0.34845269874406859</v>
      </c>
      <c r="DX20" s="7" cm="1">
        <f t="array" ref="DX20">PRODUCT(1 + 預測IC!$C20:DX20) - 1</f>
        <v>0.14097123134058909</v>
      </c>
      <c r="DY20" s="7" cm="1">
        <f t="array" ref="DY20">PRODUCT(1 + 預測IC!$C20:DY20) - 1</f>
        <v>0.20214852207530987</v>
      </c>
      <c r="DZ20" s="7" cm="1">
        <f t="array" ref="DZ20">PRODUCT(1 + 預測IC!$C20:DZ20) - 1</f>
        <v>0.10059753260737847</v>
      </c>
      <c r="EA20" s="7" cm="1">
        <f t="array" ref="EA20">PRODUCT(1 + 預測IC!$C20:EA20) - 1</f>
        <v>0.11701517398686279</v>
      </c>
      <c r="EB20" s="7" cm="1">
        <f t="array" ref="EB20">PRODUCT(1 + 預測IC!$C20:EB20) - 1</f>
        <v>0.16065431325164603</v>
      </c>
      <c r="EC20" s="7" cm="1">
        <f t="array" ref="EC20">PRODUCT(1 + 預測IC!$C20:EC20) - 1</f>
        <v>0.20017410678415071</v>
      </c>
      <c r="ED20" s="7" cm="1">
        <f t="array" ref="ED20">PRODUCT(1 + 預測IC!$C20:ED20) - 1</f>
        <v>-1.2159329270217567E-2</v>
      </c>
      <c r="EE20" s="7" cm="1">
        <f t="array" ref="EE20">PRODUCT(1 + 預測IC!$C20:EE20) - 1</f>
        <v>-9.8208822831403753E-3</v>
      </c>
      <c r="EF20" s="7" cm="1">
        <f t="array" ref="EF20">PRODUCT(1 + 預測IC!$C20:EF20) - 1</f>
        <v>1.0261352927646739E-2</v>
      </c>
    </row>
    <row r="21" spans="1:136" x14ac:dyDescent="0.3">
      <c r="A21" s="1">
        <v>4</v>
      </c>
      <c r="B21" s="1" t="s">
        <v>179</v>
      </c>
      <c r="C21" s="7" cm="1">
        <f t="array" ref="C21">PRODUCT(1 + 預測IC!$C21:C21) - 1</f>
        <v>-0.19764916434148616</v>
      </c>
      <c r="D21" s="7" cm="1">
        <f t="array" ref="D21">PRODUCT(1 + 預測IC!$C21:D21) - 1</f>
        <v>-0.19794419628197157</v>
      </c>
      <c r="E21" s="7" cm="1">
        <f t="array" ref="E21">PRODUCT(1 + 預測IC!$C21:E21) - 1</f>
        <v>-0.19816825239204194</v>
      </c>
      <c r="F21" s="7" cm="1">
        <f t="array" ref="F21">PRODUCT(1 + 預測IC!$C21:F21) - 1</f>
        <v>-0.23913983716297682</v>
      </c>
      <c r="G21" s="7" cm="1">
        <f t="array" ref="G21">PRODUCT(1 + 預測IC!$C21:G21) - 1</f>
        <v>-0.24469117793092932</v>
      </c>
      <c r="H21" s="7" cm="1">
        <f t="array" ref="H21">PRODUCT(1 + 預測IC!$C21:H21) - 1</f>
        <v>-9.463543880955616E-2</v>
      </c>
      <c r="I21" s="7" cm="1">
        <f t="array" ref="I21">PRODUCT(1 + 預測IC!$C21:I21) - 1</f>
        <v>3.8684570225605341E-2</v>
      </c>
      <c r="J21" s="7" cm="1">
        <f t="array" ref="J21">PRODUCT(1 + 預測IC!$C21:J21) - 1</f>
        <v>0.10145781051807345</v>
      </c>
      <c r="K21" s="7" cm="1">
        <f t="array" ref="K21">PRODUCT(1 + 預測IC!$C21:K21) - 1</f>
        <v>3.4577856281257091E-3</v>
      </c>
      <c r="L21" s="7" cm="1">
        <f t="array" ref="L21">PRODUCT(1 + 預測IC!$C21:L21) - 1</f>
        <v>0.11351664165270936</v>
      </c>
      <c r="M21" s="7" cm="1">
        <f t="array" ref="M21">PRODUCT(1 + 預測IC!$C21:M21) - 1</f>
        <v>0.19776603446441698</v>
      </c>
      <c r="N21" s="7" cm="1">
        <f t="array" ref="N21">PRODUCT(1 + 預測IC!$C21:N21) - 1</f>
        <v>0.31704845416548633</v>
      </c>
      <c r="O21" s="7" cm="1">
        <f t="array" ref="O21">PRODUCT(1 + 預測IC!$C21:O21) - 1</f>
        <v>0.48797824055068473</v>
      </c>
      <c r="P21" s="7" cm="1">
        <f t="array" ref="P21">PRODUCT(1 + 預測IC!$C21:P21) - 1</f>
        <v>0.27255976059890497</v>
      </c>
      <c r="Q21" s="7" cm="1">
        <f t="array" ref="Q21">PRODUCT(1 + 預測IC!$C21:Q21) - 1</f>
        <v>-5.488268569016308E-2</v>
      </c>
      <c r="R21" s="7" cm="1">
        <f t="array" ref="R21">PRODUCT(1 + 預測IC!$C21:R21) - 1</f>
        <v>-0.14521256703758856</v>
      </c>
      <c r="S21" s="7" cm="1">
        <f t="array" ref="S21">PRODUCT(1 + 預測IC!$C21:S21) - 1</f>
        <v>-0.25512992704126103</v>
      </c>
      <c r="T21" s="7" cm="1">
        <f t="array" ref="T21">PRODUCT(1 + 預測IC!$C21:T21) - 1</f>
        <v>-0.26558817425171677</v>
      </c>
      <c r="U21" s="7" cm="1">
        <f t="array" ref="U21">PRODUCT(1 + 預測IC!$C21:U21) - 1</f>
        <v>-0.3289520644526408</v>
      </c>
      <c r="V21" s="7" cm="1">
        <f t="array" ref="V21">PRODUCT(1 + 預測IC!$C21:V21) - 1</f>
        <v>-0.29301233454423425</v>
      </c>
      <c r="W21" s="7" cm="1">
        <f t="array" ref="W21">PRODUCT(1 + 預測IC!$C21:W21) - 1</f>
        <v>-0.18145782570508373</v>
      </c>
      <c r="X21" s="7" cm="1">
        <f t="array" ref="X21">PRODUCT(1 + 預測IC!$C21:X21) - 1</f>
        <v>-1.9929022478001435E-2</v>
      </c>
      <c r="Y21" s="7" cm="1">
        <f t="array" ref="Y21">PRODUCT(1 + 預測IC!$C21:Y21) - 1</f>
        <v>4.888774371840654E-4</v>
      </c>
      <c r="Z21" s="7" cm="1">
        <f t="array" ref="Z21">PRODUCT(1 + 預測IC!$C21:Z21) - 1</f>
        <v>0.11474869641249819</v>
      </c>
      <c r="AA21" s="7" cm="1">
        <f t="array" ref="AA21">PRODUCT(1 + 預測IC!$C21:AA21) - 1</f>
        <v>0.13647631179053721</v>
      </c>
      <c r="AB21" s="7" cm="1">
        <f t="array" ref="AB21">PRODUCT(1 + 預測IC!$C21:AB21) - 1</f>
        <v>0.2840359215175825</v>
      </c>
      <c r="AC21" s="7" cm="1">
        <f t="array" ref="AC21">PRODUCT(1 + 預測IC!$C21:AC21) - 1</f>
        <v>0.37944124117987954</v>
      </c>
      <c r="AD21" s="7" cm="1">
        <f t="array" ref="AD21">PRODUCT(1 + 預測IC!$C21:AD21) - 1</f>
        <v>0.44385759446482265</v>
      </c>
      <c r="AE21" s="7" cm="1">
        <f t="array" ref="AE21">PRODUCT(1 + 預測IC!$C21:AE21) - 1</f>
        <v>9.6673213193762431E-2</v>
      </c>
      <c r="AF21" s="7" cm="1">
        <f t="array" ref="AF21">PRODUCT(1 + 預測IC!$C21:AF21) - 1</f>
        <v>0.15493464649093758</v>
      </c>
      <c r="AG21" s="7" cm="1">
        <f t="array" ref="AG21">PRODUCT(1 + 預測IC!$C21:AG21) - 1</f>
        <v>0.20610145949615988</v>
      </c>
      <c r="AH21" s="7" cm="1">
        <f t="array" ref="AH21">PRODUCT(1 + 預測IC!$C21:AH21) - 1</f>
        <v>7.6347421092171075E-2</v>
      </c>
      <c r="AI21" s="7" cm="1">
        <f t="array" ref="AI21">PRODUCT(1 + 預測IC!$C21:AI21) - 1</f>
        <v>0.18626797586141031</v>
      </c>
      <c r="AJ21" s="7" cm="1">
        <f t="array" ref="AJ21">PRODUCT(1 + 預測IC!$C21:AJ21) - 1</f>
        <v>0.19241987338010369</v>
      </c>
      <c r="AK21" s="7" cm="1">
        <f t="array" ref="AK21">PRODUCT(1 + 預測IC!$C21:AK21) - 1</f>
        <v>0.14972746478231014</v>
      </c>
      <c r="AL21" s="7" cm="1">
        <f t="array" ref="AL21">PRODUCT(1 + 預測IC!$C21:AL21) - 1</f>
        <v>0.22489644262116615</v>
      </c>
      <c r="AM21" s="7" cm="1">
        <f t="array" ref="AM21">PRODUCT(1 + 預測IC!$C21:AM21) - 1</f>
        <v>0.30884570935593803</v>
      </c>
      <c r="AN21" s="7" cm="1">
        <f t="array" ref="AN21">PRODUCT(1 + 預測IC!$C21:AN21) - 1</f>
        <v>0.4553789129705319</v>
      </c>
      <c r="AO21" s="7" cm="1">
        <f t="array" ref="AO21">PRODUCT(1 + 預測IC!$C21:AO21) - 1</f>
        <v>0.52483890278250023</v>
      </c>
      <c r="AP21" s="7" cm="1">
        <f t="array" ref="AP21">PRODUCT(1 + 預測IC!$C21:AP21) - 1</f>
        <v>0.41423449404802115</v>
      </c>
      <c r="AQ21" s="7" cm="1">
        <f t="array" ref="AQ21">PRODUCT(1 + 預測IC!$C21:AQ21) - 1</f>
        <v>0.52294034546482782</v>
      </c>
      <c r="AR21" s="7" cm="1">
        <f t="array" ref="AR21">PRODUCT(1 + 預測IC!$C21:AR21) - 1</f>
        <v>0.83542071515641747</v>
      </c>
      <c r="AS21" s="7" cm="1">
        <f t="array" ref="AS21">PRODUCT(1 + 預測IC!$C21:AS21) - 1</f>
        <v>0.95372435168384229</v>
      </c>
      <c r="AT21" s="7" cm="1">
        <f t="array" ref="AT21">PRODUCT(1 + 預測IC!$C21:AT21) - 1</f>
        <v>0.94885389021507738</v>
      </c>
      <c r="AU21" s="7" cm="1">
        <f t="array" ref="AU21">PRODUCT(1 + 預測IC!$C21:AU21) - 1</f>
        <v>1.042027876571058</v>
      </c>
      <c r="AV21" s="7" cm="1">
        <f t="array" ref="AV21">PRODUCT(1 + 預測IC!$C21:AV21) - 1</f>
        <v>0.9286528959552105</v>
      </c>
      <c r="AW21" s="7" cm="1">
        <f t="array" ref="AW21">PRODUCT(1 + 預測IC!$C21:AW21) - 1</f>
        <v>0.94753639423056457</v>
      </c>
      <c r="AX21" s="7" cm="1">
        <f t="array" ref="AX21">PRODUCT(1 + 預測IC!$C21:AX21) - 1</f>
        <v>1.2263217253278582</v>
      </c>
      <c r="AY21" s="7" cm="1">
        <f t="array" ref="AY21">PRODUCT(1 + 預測IC!$C21:AY21) - 1</f>
        <v>1.3310062469852273</v>
      </c>
      <c r="AZ21" s="7" cm="1">
        <f t="array" ref="AZ21">PRODUCT(1 + 預測IC!$C21:AZ21) - 1</f>
        <v>0.73680648442806507</v>
      </c>
      <c r="BA21" s="7" cm="1">
        <f t="array" ref="BA21">PRODUCT(1 + 預測IC!$C21:BA21) - 1</f>
        <v>0.61343733073859719</v>
      </c>
      <c r="BB21" s="7" cm="1">
        <f t="array" ref="BB21">PRODUCT(1 + 預測IC!$C21:BB21) - 1</f>
        <v>0.97701919734711296</v>
      </c>
      <c r="BC21" s="7" cm="1">
        <f t="array" ref="BC21">PRODUCT(1 + 預測IC!$C21:BC21) - 1</f>
        <v>1.052780842064196</v>
      </c>
      <c r="BD21" s="7" cm="1">
        <f t="array" ref="BD21">PRODUCT(1 + 預測IC!$C21:BD21) - 1</f>
        <v>1.008131086438615</v>
      </c>
      <c r="BE21" s="7" cm="1">
        <f t="array" ref="BE21">PRODUCT(1 + 預測IC!$C21:BE21) - 1</f>
        <v>1.0208837899694037</v>
      </c>
      <c r="BF21" s="7" cm="1">
        <f t="array" ref="BF21">PRODUCT(1 + 預測IC!$C21:BF21) - 1</f>
        <v>1.0281126937391409</v>
      </c>
      <c r="BG21" s="7" cm="1">
        <f t="array" ref="BG21">PRODUCT(1 + 預測IC!$C21:BG21) - 1</f>
        <v>1.1024129860272938</v>
      </c>
      <c r="BH21" s="7" cm="1">
        <f t="array" ref="BH21">PRODUCT(1 + 預測IC!$C21:BH21) - 1</f>
        <v>0.94195396105306983</v>
      </c>
      <c r="BI21" s="7" cm="1">
        <f t="array" ref="BI21">PRODUCT(1 + 預測IC!$C21:BI21) - 1</f>
        <v>1.2642592757660762</v>
      </c>
      <c r="BJ21" s="7" cm="1">
        <f t="array" ref="BJ21">PRODUCT(1 + 預測IC!$C21:BJ21) - 1</f>
        <v>1.3176483045115619</v>
      </c>
      <c r="BK21" s="7" cm="1">
        <f t="array" ref="BK21">PRODUCT(1 + 預測IC!$C21:BK21) - 1</f>
        <v>1.1590055553059138</v>
      </c>
      <c r="BL21" s="7" cm="1">
        <f t="array" ref="BL21">PRODUCT(1 + 預測IC!$C21:BL21) - 1</f>
        <v>1.4671411871887128</v>
      </c>
      <c r="BM21" s="7" cm="1">
        <f t="array" ref="BM21">PRODUCT(1 + 預測IC!$C21:BM21) - 1</f>
        <v>1.8498441378193329</v>
      </c>
      <c r="BN21" s="7" cm="1">
        <f t="array" ref="BN21">PRODUCT(1 + 預測IC!$C21:BN21) - 1</f>
        <v>2.0312308692892707</v>
      </c>
      <c r="BO21" s="7" cm="1">
        <f t="array" ref="BO21">PRODUCT(1 + 預測IC!$C21:BO21) - 1</f>
        <v>1.8376648430446201</v>
      </c>
      <c r="BP21" s="7" cm="1">
        <f t="array" ref="BP21">PRODUCT(1 + 預測IC!$C21:BP21) - 1</f>
        <v>2.1342267253752922</v>
      </c>
      <c r="BQ21" s="7" cm="1">
        <f t="array" ref="BQ21">PRODUCT(1 + 預測IC!$C21:BQ21) - 1</f>
        <v>2.305174442918386</v>
      </c>
      <c r="BR21" s="7" cm="1">
        <f t="array" ref="BR21">PRODUCT(1 + 預測IC!$C21:BR21) - 1</f>
        <v>2.3459069572465427</v>
      </c>
      <c r="BS21" s="7" cm="1">
        <f t="array" ref="BS21">PRODUCT(1 + 預測IC!$C21:BS21) - 1</f>
        <v>2.3655145500387533</v>
      </c>
      <c r="BT21" s="7" cm="1">
        <f t="array" ref="BT21">PRODUCT(1 + 預測IC!$C21:BT21) - 1</f>
        <v>2.810585991775163</v>
      </c>
      <c r="BU21" s="7" cm="1">
        <f t="array" ref="BU21">PRODUCT(1 + 預測IC!$C21:BU21) - 1</f>
        <v>3.326906912564124</v>
      </c>
      <c r="BV21" s="7" cm="1">
        <f t="array" ref="BV21">PRODUCT(1 + 預測IC!$C21:BV21) - 1</f>
        <v>3.9419464426391659</v>
      </c>
      <c r="BW21" s="7" cm="1">
        <f t="array" ref="BW21">PRODUCT(1 + 預測IC!$C21:BW21) - 1</f>
        <v>3.2170657071334601</v>
      </c>
      <c r="BX21" s="7" cm="1">
        <f t="array" ref="BX21">PRODUCT(1 + 預測IC!$C21:BX21) - 1</f>
        <v>3.2044532256929248</v>
      </c>
      <c r="BY21" s="7" cm="1">
        <f t="array" ref="BY21">PRODUCT(1 + 預測IC!$C21:BY21) - 1</f>
        <v>2.9926334977289852</v>
      </c>
      <c r="BZ21" s="7" cm="1">
        <f t="array" ref="BZ21">PRODUCT(1 + 預測IC!$C21:BZ21) - 1</f>
        <v>3.1829341035391829</v>
      </c>
      <c r="CA21" s="7" cm="1">
        <f t="array" ref="CA21">PRODUCT(1 + 預測IC!$C21:CA21) - 1</f>
        <v>2.9297929568211249</v>
      </c>
      <c r="CB21" s="7" cm="1">
        <f t="array" ref="CB21">PRODUCT(1 + 預測IC!$C21:CB21) - 1</f>
        <v>2.6805600203784126</v>
      </c>
      <c r="CC21" s="7" cm="1">
        <f t="array" ref="CC21">PRODUCT(1 + 預測IC!$C21:CC21) - 1</f>
        <v>2.5087016089933858</v>
      </c>
      <c r="CD21" s="7" cm="1">
        <f t="array" ref="CD21">PRODUCT(1 + 預測IC!$C21:CD21) - 1</f>
        <v>3.5194043855022983</v>
      </c>
      <c r="CE21" s="7" cm="1">
        <f t="array" ref="CE21">PRODUCT(1 + 預測IC!$C21:CE21) - 1</f>
        <v>1.7338964385193179</v>
      </c>
      <c r="CF21" s="7" cm="1">
        <f t="array" ref="CF21">PRODUCT(1 + 預測IC!$C21:CF21) - 1</f>
        <v>2.0927632048255971</v>
      </c>
      <c r="CG21" s="7" cm="1">
        <f t="array" ref="CG21">PRODUCT(1 + 預測IC!$C21:CG21) - 1</f>
        <v>1.6481748163487819</v>
      </c>
      <c r="CH21" s="7" cm="1">
        <f t="array" ref="CH21">PRODUCT(1 + 預測IC!$C21:CH21) - 1</f>
        <v>1.8602944694042574</v>
      </c>
      <c r="CI21" s="7" cm="1">
        <f t="array" ref="CI21">PRODUCT(1 + 預測IC!$C21:CI21) - 1</f>
        <v>1.6300418618519661</v>
      </c>
      <c r="CJ21" s="7" cm="1">
        <f t="array" ref="CJ21">PRODUCT(1 + 預測IC!$C21:CJ21) - 1</f>
        <v>1.4048372763620769</v>
      </c>
      <c r="CK21" s="7" cm="1">
        <f t="array" ref="CK21">PRODUCT(1 + 預測IC!$C21:CK21) - 1</f>
        <v>1.7103731671208857</v>
      </c>
      <c r="CL21" s="7" cm="1">
        <f t="array" ref="CL21">PRODUCT(1 + 預測IC!$C21:CL21) - 1</f>
        <v>1.3474801528883806</v>
      </c>
      <c r="CM21" s="7" cm="1">
        <f t="array" ref="CM21">PRODUCT(1 + 預測IC!$C21:CM21) - 1</f>
        <v>1.8768439425823131</v>
      </c>
      <c r="CN21" s="7" cm="1">
        <f t="array" ref="CN21">PRODUCT(1 + 預測IC!$C21:CN21) - 1</f>
        <v>1.9646995638782312</v>
      </c>
      <c r="CO21" s="7" cm="1">
        <f t="array" ref="CO21">PRODUCT(1 + 預測IC!$C21:CO21) - 1</f>
        <v>0.43827878590489111</v>
      </c>
      <c r="CP21" s="7" cm="1">
        <f t="array" ref="CP21">PRODUCT(1 + 預測IC!$C21:CP21) - 1</f>
        <v>0.75858355908532049</v>
      </c>
      <c r="CQ21" s="7" cm="1">
        <f t="array" ref="CQ21">PRODUCT(1 + 預測IC!$C21:CQ21) - 1</f>
        <v>0.76436594313382966</v>
      </c>
      <c r="CR21" s="7" cm="1">
        <f t="array" ref="CR21">PRODUCT(1 + 預測IC!$C21:CR21) - 1</f>
        <v>0.92461320601089647</v>
      </c>
      <c r="CS21" s="7" cm="1">
        <f t="array" ref="CS21">PRODUCT(1 + 預測IC!$C21:CS21) - 1</f>
        <v>1.0586555797860395</v>
      </c>
      <c r="CT21" s="7" cm="1">
        <f t="array" ref="CT21">PRODUCT(1 + 預測IC!$C21:CT21) - 1</f>
        <v>1.2280682616642475</v>
      </c>
      <c r="CU21" s="7" cm="1">
        <f t="array" ref="CU21">PRODUCT(1 + 預測IC!$C21:CU21) - 1</f>
        <v>1.0884272914050994</v>
      </c>
      <c r="CV21" s="7" cm="1">
        <f t="array" ref="CV21">PRODUCT(1 + 預測IC!$C21:CV21) - 1</f>
        <v>1.2935643820340785</v>
      </c>
      <c r="CW21" s="7" cm="1">
        <f t="array" ref="CW21">PRODUCT(1 + 預測IC!$C21:CW21) - 1</f>
        <v>1.4426584917490168</v>
      </c>
      <c r="CX21" s="7" cm="1">
        <f t="array" ref="CX21">PRODUCT(1 + 預測IC!$C21:CX21) - 1</f>
        <v>1.6921080913144673</v>
      </c>
      <c r="CY21" s="7" cm="1">
        <f t="array" ref="CY21">PRODUCT(1 + 預測IC!$C21:CY21) - 1</f>
        <v>1.6692738555336359</v>
      </c>
      <c r="CZ21" s="7" cm="1">
        <f t="array" ref="CZ21">PRODUCT(1 + 預測IC!$C21:CZ21) - 1</f>
        <v>2.3030965916396466</v>
      </c>
      <c r="DA21" s="7" cm="1">
        <f t="array" ref="DA21">PRODUCT(1 + 預測IC!$C21:DA21) - 1</f>
        <v>2.3070347298782377</v>
      </c>
      <c r="DB21" s="7" cm="1">
        <f t="array" ref="DB21">PRODUCT(1 + 預測IC!$C21:DB21) - 1</f>
        <v>2.1363109348008988</v>
      </c>
      <c r="DC21" s="7" cm="1">
        <f t="array" ref="DC21">PRODUCT(1 + 預測IC!$C21:DC21) - 1</f>
        <v>1.9950277822228015</v>
      </c>
      <c r="DD21" s="7" cm="1">
        <f t="array" ref="DD21">PRODUCT(1 + 預測IC!$C21:DD21) - 1</f>
        <v>2.358392605998378</v>
      </c>
      <c r="DE21" s="7" cm="1">
        <f t="array" ref="DE21">PRODUCT(1 + 預測IC!$C21:DE21) - 1</f>
        <v>2.3994929793927935</v>
      </c>
      <c r="DF21" s="7" cm="1">
        <f t="array" ref="DF21">PRODUCT(1 + 預測IC!$C21:DF21) - 1</f>
        <v>2.4727890419547447</v>
      </c>
      <c r="DG21" s="7" cm="1">
        <f t="array" ref="DG21">PRODUCT(1 + 預測IC!$C21:DG21) - 1</f>
        <v>2.5000378579385489</v>
      </c>
      <c r="DH21" s="7" cm="1">
        <f t="array" ref="DH21">PRODUCT(1 + 預測IC!$C21:DH21) - 1</f>
        <v>2.5493072616015344</v>
      </c>
      <c r="DI21" s="7" cm="1">
        <f t="array" ref="DI21">PRODUCT(1 + 預測IC!$C21:DI21) - 1</f>
        <v>2.6714299741147727</v>
      </c>
      <c r="DJ21" s="7" cm="1">
        <f t="array" ref="DJ21">PRODUCT(1 + 預測IC!$C21:DJ21) - 1</f>
        <v>2.5322412425088978</v>
      </c>
      <c r="DK21" s="7" cm="1">
        <f t="array" ref="DK21">PRODUCT(1 + 預測IC!$C21:DK21) - 1</f>
        <v>3.0249984569762596</v>
      </c>
      <c r="DL21" s="7" cm="1">
        <f t="array" ref="DL21">PRODUCT(1 + 預測IC!$C21:DL21) - 1</f>
        <v>3.4209171840253143</v>
      </c>
      <c r="DM21" s="7" cm="1">
        <f t="array" ref="DM21">PRODUCT(1 + 預測IC!$C21:DM21) - 1</f>
        <v>3.2890230118286672</v>
      </c>
      <c r="DN21" s="7" cm="1">
        <f t="array" ref="DN21">PRODUCT(1 + 預測IC!$C21:DN21) - 1</f>
        <v>3.5943912102026632</v>
      </c>
      <c r="DO21" s="7" cm="1">
        <f t="array" ref="DO21">PRODUCT(1 + 預測IC!$C21:DO21) - 1</f>
        <v>3.9731794338049324</v>
      </c>
      <c r="DP21" s="7" cm="1">
        <f t="array" ref="DP21">PRODUCT(1 + 預測IC!$C21:DP21) - 1</f>
        <v>4.0938593772537759</v>
      </c>
      <c r="DQ21" s="7" cm="1">
        <f t="array" ref="DQ21">PRODUCT(1 + 預測IC!$C21:DQ21) - 1</f>
        <v>3.3056295357508727</v>
      </c>
      <c r="DR21" s="7" cm="1">
        <f t="array" ref="DR21">PRODUCT(1 + 預測IC!$C21:DR21) - 1</f>
        <v>3.5216466682549203</v>
      </c>
      <c r="DS21" s="7" cm="1">
        <f t="array" ref="DS21">PRODUCT(1 + 預測IC!$C21:DS21) - 1</f>
        <v>2.6135215305244412</v>
      </c>
      <c r="DT21" s="7" cm="1">
        <f t="array" ref="DT21">PRODUCT(1 + 預測IC!$C21:DT21) - 1</f>
        <v>1.9971602625416924</v>
      </c>
      <c r="DU21" s="7" cm="1">
        <f t="array" ref="DU21">PRODUCT(1 + 預測IC!$C21:DU21) - 1</f>
        <v>1.9129691496126329</v>
      </c>
      <c r="DV21" s="7" cm="1">
        <f t="array" ref="DV21">PRODUCT(1 + 預測IC!$C21:DV21) - 1</f>
        <v>2.3215887426663628</v>
      </c>
      <c r="DW21" s="7" cm="1">
        <f t="array" ref="DW21">PRODUCT(1 + 預測IC!$C21:DW21) - 1</f>
        <v>2.7475754194920614</v>
      </c>
      <c r="DX21" s="7" cm="1">
        <f t="array" ref="DX21">PRODUCT(1 + 預測IC!$C21:DX21) - 1</f>
        <v>2.0506530069327988</v>
      </c>
      <c r="DY21" s="7" cm="1">
        <f t="array" ref="DY21">PRODUCT(1 + 預測IC!$C21:DY21) - 1</f>
        <v>2.125686854679353</v>
      </c>
      <c r="DZ21" s="7" cm="1">
        <f t="array" ref="DZ21">PRODUCT(1 + 預測IC!$C21:DZ21) - 1</f>
        <v>1.9605128504840574</v>
      </c>
      <c r="EA21" s="7" cm="1">
        <f t="array" ref="EA21">PRODUCT(1 + 預測IC!$C21:EA21) - 1</f>
        <v>1.8868981517414865</v>
      </c>
      <c r="EB21" s="7" cm="1">
        <f t="array" ref="EB21">PRODUCT(1 + 預測IC!$C21:EB21) - 1</f>
        <v>1.9111716133809229</v>
      </c>
      <c r="EC21" s="7" cm="1">
        <f t="array" ref="EC21">PRODUCT(1 + 預測IC!$C21:EC21) - 1</f>
        <v>1.9520358897178065</v>
      </c>
      <c r="ED21" s="7" cm="1">
        <f t="array" ref="ED21">PRODUCT(1 + 預測IC!$C21:ED21) - 1</f>
        <v>1.7911533098294021</v>
      </c>
      <c r="EE21" s="7" cm="1">
        <f t="array" ref="EE21">PRODUCT(1 + 預測IC!$C21:EE21) - 1</f>
        <v>1.8314264481488518</v>
      </c>
      <c r="EF21" s="7" cm="1">
        <f t="array" ref="EF21">PRODUCT(1 + 預測IC!$C21:EF21) - 1</f>
        <v>1.7782769946748105</v>
      </c>
    </row>
    <row r="22" spans="1:136" x14ac:dyDescent="0.3">
      <c r="A22" s="1">
        <v>3</v>
      </c>
      <c r="B22" s="1" t="s">
        <v>180</v>
      </c>
      <c r="C22" s="7" cm="1">
        <f t="array" ref="C22">PRODUCT(1 + 預測IC!$C22:C22) - 1</f>
        <v>6.4235717628454703E-2</v>
      </c>
      <c r="D22" s="7" cm="1">
        <f t="array" ref="D22">PRODUCT(1 + 預測IC!$C22:D22) - 1</f>
        <v>1.6684711248089679E-2</v>
      </c>
      <c r="E22" s="7" cm="1">
        <f t="array" ref="E22">PRODUCT(1 + 預測IC!$C22:E22) - 1</f>
        <v>-2.5027353277181419E-2</v>
      </c>
      <c r="F22" s="7" cm="1">
        <f t="array" ref="F22">PRODUCT(1 + 預測IC!$C22:F22) - 1</f>
        <v>-0.12002283382760526</v>
      </c>
      <c r="G22" s="7" cm="1">
        <f t="array" ref="G22">PRODUCT(1 + 預測IC!$C22:G22) - 1</f>
        <v>-0.14902232668265236</v>
      </c>
      <c r="H22" s="7" cm="1">
        <f t="array" ref="H22">PRODUCT(1 + 預測IC!$C22:H22) - 1</f>
        <v>3.0894758627693086E-3</v>
      </c>
      <c r="I22" s="7" cm="1">
        <f t="array" ref="I22">PRODUCT(1 + 預測IC!$C22:I22) - 1</f>
        <v>0.12696417436672602</v>
      </c>
      <c r="J22" s="7" cm="1">
        <f t="array" ref="J22">PRODUCT(1 + 預測IC!$C22:J22) - 1</f>
        <v>0.1862409000909977</v>
      </c>
      <c r="K22" s="7" cm="1">
        <f t="array" ref="K22">PRODUCT(1 + 預測IC!$C22:K22) - 1</f>
        <v>4.4058632977501677E-3</v>
      </c>
      <c r="L22" s="7" cm="1">
        <f t="array" ref="L22">PRODUCT(1 + 預測IC!$C22:L22) - 1</f>
        <v>0.17634343320413137</v>
      </c>
      <c r="M22" s="7" cm="1">
        <f t="array" ref="M22">PRODUCT(1 + 預測IC!$C22:M22) - 1</f>
        <v>-8.852041329181537E-2</v>
      </c>
      <c r="N22" s="7" cm="1">
        <f t="array" ref="N22">PRODUCT(1 + 預測IC!$C22:N22) - 1</f>
        <v>3.2961967955786875E-2</v>
      </c>
      <c r="O22" s="7" cm="1">
        <f t="array" ref="O22">PRODUCT(1 + 預測IC!$C22:O22) - 1</f>
        <v>0.18117170852733722</v>
      </c>
      <c r="P22" s="7" cm="1">
        <f t="array" ref="P22">PRODUCT(1 + 預測IC!$C22:P22) - 1</f>
        <v>9.5202624929355384E-2</v>
      </c>
      <c r="Q22" s="7" cm="1">
        <f t="array" ref="Q22">PRODUCT(1 + 預測IC!$C22:Q22) - 1</f>
        <v>-0.20792415571639644</v>
      </c>
      <c r="R22" s="7" cm="1">
        <f t="array" ref="R22">PRODUCT(1 + 預測IC!$C22:R22) - 1</f>
        <v>-0.23693665371685102</v>
      </c>
      <c r="S22" s="7" cm="1">
        <f t="array" ref="S22">PRODUCT(1 + 預測IC!$C22:S22) - 1</f>
        <v>-0.36638772208630332</v>
      </c>
      <c r="T22" s="7" cm="1">
        <f t="array" ref="T22">PRODUCT(1 + 預測IC!$C22:T22) - 1</f>
        <v>-0.37921115543956263</v>
      </c>
      <c r="U22" s="7" cm="1">
        <f t="array" ref="U22">PRODUCT(1 + 預測IC!$C22:U22) - 1</f>
        <v>-0.44786420828751494</v>
      </c>
      <c r="V22" s="7" cm="1">
        <f t="array" ref="V22">PRODUCT(1 + 預測IC!$C22:V22) - 1</f>
        <v>-0.4267247086216055</v>
      </c>
      <c r="W22" s="7" cm="1">
        <f t="array" ref="W22">PRODUCT(1 + 預測IC!$C22:W22) - 1</f>
        <v>-0.30778139808798433</v>
      </c>
      <c r="X22" s="7" cm="1">
        <f t="array" ref="X22">PRODUCT(1 + 預測IC!$C22:X22) - 1</f>
        <v>-0.15902358749779932</v>
      </c>
      <c r="Y22" s="7" cm="1">
        <f t="array" ref="Y22">PRODUCT(1 + 預測IC!$C22:Y22) - 1</f>
        <v>-0.14579317130545955</v>
      </c>
      <c r="Z22" s="7" cm="1">
        <f t="array" ref="Z22">PRODUCT(1 + 預測IC!$C22:Z22) - 1</f>
        <v>-8.1259323905024883E-2</v>
      </c>
      <c r="AA22" s="7" cm="1">
        <f t="array" ref="AA22">PRODUCT(1 + 預測IC!$C22:AA22) - 1</f>
        <v>-7.4784024105265301E-2</v>
      </c>
      <c r="AB22" s="7" cm="1">
        <f t="array" ref="AB22">PRODUCT(1 + 預測IC!$C22:AB22) - 1</f>
        <v>4.9598507635886468E-2</v>
      </c>
      <c r="AC22" s="7" cm="1">
        <f t="array" ref="AC22">PRODUCT(1 + 預測IC!$C22:AC22) - 1</f>
        <v>0.12771002830369338</v>
      </c>
      <c r="AD22" s="7" cm="1">
        <f t="array" ref="AD22">PRODUCT(1 + 預測IC!$C22:AD22) - 1</f>
        <v>0.14176953055119523</v>
      </c>
      <c r="AE22" s="7" cm="1">
        <f t="array" ref="AE22">PRODUCT(1 + 預測IC!$C22:AE22) - 1</f>
        <v>-0.1192630887217071</v>
      </c>
      <c r="AF22" s="7" cm="1">
        <f t="array" ref="AF22">PRODUCT(1 + 預測IC!$C22:AF22) - 1</f>
        <v>-7.7707881321733119E-2</v>
      </c>
      <c r="AG22" s="7" cm="1">
        <f t="array" ref="AG22">PRODUCT(1 + 預測IC!$C22:AG22) - 1</f>
        <v>-2.8972545278832751E-2</v>
      </c>
      <c r="AH22" s="7" cm="1">
        <f t="array" ref="AH22">PRODUCT(1 + 預測IC!$C22:AH22) - 1</f>
        <v>-0.13177129839650881</v>
      </c>
      <c r="AI22" s="7" cm="1">
        <f t="array" ref="AI22">PRODUCT(1 + 預測IC!$C22:AI22) - 1</f>
        <v>-3.5394690324765943E-2</v>
      </c>
      <c r="AJ22" s="7" cm="1">
        <f t="array" ref="AJ22">PRODUCT(1 + 預測IC!$C22:AJ22) - 1</f>
        <v>-2.2776165802633641E-2</v>
      </c>
      <c r="AK22" s="7" cm="1">
        <f t="array" ref="AK22">PRODUCT(1 + 預測IC!$C22:AK22) - 1</f>
        <v>7.6205429884428799E-2</v>
      </c>
      <c r="AL22" s="7" cm="1">
        <f t="array" ref="AL22">PRODUCT(1 + 預測IC!$C22:AL22) - 1</f>
        <v>0.11962059740880249</v>
      </c>
      <c r="AM22" s="7" cm="1">
        <f t="array" ref="AM22">PRODUCT(1 + 預測IC!$C22:AM22) - 1</f>
        <v>0.21376826574476371</v>
      </c>
      <c r="AN22" s="7" cm="1">
        <f t="array" ref="AN22">PRODUCT(1 + 預測IC!$C22:AN22) - 1</f>
        <v>0.34865774339744493</v>
      </c>
      <c r="AO22" s="7" cm="1">
        <f t="array" ref="AO22">PRODUCT(1 + 預測IC!$C22:AO22) - 1</f>
        <v>0.44942590759118439</v>
      </c>
      <c r="AP22" s="7" cm="1">
        <f t="array" ref="AP22">PRODUCT(1 + 預測IC!$C22:AP22) - 1</f>
        <v>0.35878409609963713</v>
      </c>
      <c r="AQ22" s="7" cm="1">
        <f t="array" ref="AQ22">PRODUCT(1 + 預測IC!$C22:AQ22) - 1</f>
        <v>0.4667070413444907</v>
      </c>
      <c r="AR22" s="7" cm="1">
        <f t="array" ref="AR22">PRODUCT(1 + 預測IC!$C22:AR22) - 1</f>
        <v>0.83416508448628357</v>
      </c>
      <c r="AS22" s="7" cm="1">
        <f t="array" ref="AS22">PRODUCT(1 + 預測IC!$C22:AS22) - 1</f>
        <v>0.98605310014498881</v>
      </c>
      <c r="AT22" s="7" cm="1">
        <f t="array" ref="AT22">PRODUCT(1 + 預測IC!$C22:AT22) - 1</f>
        <v>0.93613095078623831</v>
      </c>
      <c r="AU22" s="7" cm="1">
        <f t="array" ref="AU22">PRODUCT(1 + 預測IC!$C22:AU22) - 1</f>
        <v>1.0009922125961994</v>
      </c>
      <c r="AV22" s="7" cm="1">
        <f t="array" ref="AV22">PRODUCT(1 + 預測IC!$C22:AV22) - 1</f>
        <v>0.88130651185712305</v>
      </c>
      <c r="AW22" s="7" cm="1">
        <f t="array" ref="AW22">PRODUCT(1 + 預測IC!$C22:AW22) - 1</f>
        <v>0.82458626961346226</v>
      </c>
      <c r="AX22" s="7" cm="1">
        <f t="array" ref="AX22">PRODUCT(1 + 預測IC!$C22:AX22) - 1</f>
        <v>1.1416325833783669</v>
      </c>
      <c r="AY22" s="7" cm="1">
        <f t="array" ref="AY22">PRODUCT(1 + 預測IC!$C22:AY22) - 1</f>
        <v>1.2952591387261911</v>
      </c>
      <c r="AZ22" s="7" cm="1">
        <f t="array" ref="AZ22">PRODUCT(1 + 預測IC!$C22:AZ22) - 1</f>
        <v>0.9397148259113508</v>
      </c>
      <c r="BA22" s="7" cm="1">
        <f t="array" ref="BA22">PRODUCT(1 + 預測IC!$C22:BA22) - 1</f>
        <v>0.85126688457581556</v>
      </c>
      <c r="BB22" s="7" cm="1">
        <f t="array" ref="BB22">PRODUCT(1 + 預測IC!$C22:BB22) - 1</f>
        <v>1.4102197923653135</v>
      </c>
      <c r="BC22" s="7" cm="1">
        <f t="array" ref="BC22">PRODUCT(1 + 預測IC!$C22:BC22) - 1</f>
        <v>1.0948740145288913</v>
      </c>
      <c r="BD22" s="7" cm="1">
        <f t="array" ref="BD22">PRODUCT(1 + 預測IC!$C22:BD22) - 1</f>
        <v>1.0484218979826796</v>
      </c>
      <c r="BE22" s="7" cm="1">
        <f t="array" ref="BE22">PRODUCT(1 + 預測IC!$C22:BE22) - 1</f>
        <v>1.0939300145375328</v>
      </c>
      <c r="BF22" s="7" cm="1">
        <f t="array" ref="BF22">PRODUCT(1 + 預測IC!$C22:BF22) - 1</f>
        <v>1.122488743525035</v>
      </c>
      <c r="BG22" s="7" cm="1">
        <f t="array" ref="BG22">PRODUCT(1 + 預測IC!$C22:BG22) - 1</f>
        <v>1.2207164871582643</v>
      </c>
      <c r="BH22" s="7" cm="1">
        <f t="array" ref="BH22">PRODUCT(1 + 預測IC!$C22:BH22) - 1</f>
        <v>0.93655240108226168</v>
      </c>
      <c r="BI22" s="7" cm="1">
        <f t="array" ref="BI22">PRODUCT(1 + 預測IC!$C22:BI22) - 1</f>
        <v>1.1516815273886709</v>
      </c>
      <c r="BJ22" s="7" cm="1">
        <f t="array" ref="BJ22">PRODUCT(1 + 預測IC!$C22:BJ22) - 1</f>
        <v>1.2700162979410754</v>
      </c>
      <c r="BK22" s="7" cm="1">
        <f t="array" ref="BK22">PRODUCT(1 + 預測IC!$C22:BK22) - 1</f>
        <v>1.1750396424717344</v>
      </c>
      <c r="BL22" s="7" cm="1">
        <f t="array" ref="BL22">PRODUCT(1 + 預測IC!$C22:BL22) - 1</f>
        <v>1.5269182933237548</v>
      </c>
      <c r="BM22" s="7" cm="1">
        <f t="array" ref="BM22">PRODUCT(1 + 預測IC!$C22:BM22) - 1</f>
        <v>2.0115737409305781</v>
      </c>
      <c r="BN22" s="7" cm="1">
        <f t="array" ref="BN22">PRODUCT(1 + 預測IC!$C22:BN22) - 1</f>
        <v>1.9654136877452366</v>
      </c>
      <c r="BO22" s="7" cm="1">
        <f t="array" ref="BO22">PRODUCT(1 + 預測IC!$C22:BO22) - 1</f>
        <v>1.8157064706362824</v>
      </c>
      <c r="BP22" s="7" cm="1">
        <f t="array" ref="BP22">PRODUCT(1 + 預測IC!$C22:BP22) - 1</f>
        <v>2.0264214134416414</v>
      </c>
      <c r="BQ22" s="7" cm="1">
        <f t="array" ref="BQ22">PRODUCT(1 + 預測IC!$C22:BQ22) - 1</f>
        <v>2.1106470161460611</v>
      </c>
      <c r="BR22" s="7" cm="1">
        <f t="array" ref="BR22">PRODUCT(1 + 預測IC!$C22:BR22) - 1</f>
        <v>2.1753908083281122</v>
      </c>
      <c r="BS22" s="7" cm="1">
        <f t="array" ref="BS22">PRODUCT(1 + 預測IC!$C22:BS22) - 1</f>
        <v>2.1234008256620673</v>
      </c>
      <c r="BT22" s="7" cm="1">
        <f t="array" ref="BT22">PRODUCT(1 + 預測IC!$C22:BT22) - 1</f>
        <v>2.5311005322376858</v>
      </c>
      <c r="BU22" s="7" cm="1">
        <f t="array" ref="BU22">PRODUCT(1 + 預測IC!$C22:BU22) - 1</f>
        <v>3.2830440336869726</v>
      </c>
      <c r="BV22" s="7" cm="1">
        <f t="array" ref="BV22">PRODUCT(1 + 預測IC!$C22:BV22) - 1</f>
        <v>3.9620948487415841</v>
      </c>
      <c r="BW22" s="7" cm="1">
        <f t="array" ref="BW22">PRODUCT(1 + 預測IC!$C22:BW22) - 1</f>
        <v>3.095373194937574</v>
      </c>
      <c r="BX22" s="7" cm="1">
        <f t="array" ref="BX22">PRODUCT(1 + 預測IC!$C22:BX22) - 1</f>
        <v>3.2454172079554588</v>
      </c>
      <c r="BY22" s="7" cm="1">
        <f t="array" ref="BY22">PRODUCT(1 + 預測IC!$C22:BY22) - 1</f>
        <v>3.2252651192788004</v>
      </c>
      <c r="BZ22" s="7" cm="1">
        <f t="array" ref="BZ22">PRODUCT(1 + 預測IC!$C22:BZ22) - 1</f>
        <v>3.4249415822363689</v>
      </c>
      <c r="CA22" s="7" cm="1">
        <f t="array" ref="CA22">PRODUCT(1 + 預測IC!$C22:CA22) - 1</f>
        <v>3.3032995908698446</v>
      </c>
      <c r="CB22" s="7" cm="1">
        <f t="array" ref="CB22">PRODUCT(1 + 預測IC!$C22:CB22) - 1</f>
        <v>2.662136877551792</v>
      </c>
      <c r="CC22" s="7" cm="1">
        <f t="array" ref="CC22">PRODUCT(1 + 預測IC!$C22:CC22) - 1</f>
        <v>2.6072571803548645</v>
      </c>
      <c r="CD22" s="7" cm="1">
        <f t="array" ref="CD22">PRODUCT(1 + 預測IC!$C22:CD22) - 1</f>
        <v>3.8116411256496194</v>
      </c>
      <c r="CE22" s="7" cm="1">
        <f t="array" ref="CE22">PRODUCT(1 + 預測IC!$C22:CE22) - 1</f>
        <v>1.9188024265056018</v>
      </c>
      <c r="CF22" s="7" cm="1">
        <f t="array" ref="CF22">PRODUCT(1 + 預測IC!$C22:CF22) - 1</f>
        <v>2.4698716993064376</v>
      </c>
      <c r="CG22" s="7" cm="1">
        <f t="array" ref="CG22">PRODUCT(1 + 預測IC!$C22:CG22) - 1</f>
        <v>1.7645748481591657</v>
      </c>
      <c r="CH22" s="7" cm="1">
        <f t="array" ref="CH22">PRODUCT(1 + 預測IC!$C22:CH22) - 1</f>
        <v>2.0850409676678434</v>
      </c>
      <c r="CI22" s="7" cm="1">
        <f t="array" ref="CI22">PRODUCT(1 + 預測IC!$C22:CI22) - 1</f>
        <v>1.7216856252375812</v>
      </c>
      <c r="CJ22" s="7" cm="1">
        <f t="array" ref="CJ22">PRODUCT(1 + 預測IC!$C22:CJ22) - 1</f>
        <v>1.4403191122911427</v>
      </c>
      <c r="CK22" s="7" cm="1">
        <f t="array" ref="CK22">PRODUCT(1 + 預測IC!$C22:CK22) - 1</f>
        <v>1.5285692084136815</v>
      </c>
      <c r="CL22" s="7" cm="1">
        <f t="array" ref="CL22">PRODUCT(1 + 預測IC!$C22:CL22) - 1</f>
        <v>0.9200644804610334</v>
      </c>
      <c r="CM22" s="7" cm="1">
        <f t="array" ref="CM22">PRODUCT(1 + 預測IC!$C22:CM22) - 1</f>
        <v>1.5353145890873838</v>
      </c>
      <c r="CN22" s="7" cm="1">
        <f t="array" ref="CN22">PRODUCT(1 + 預測IC!$C22:CN22) - 1</f>
        <v>1.5136458338002363</v>
      </c>
      <c r="CO22" s="7" cm="1">
        <f t="array" ref="CO22">PRODUCT(1 + 預測IC!$C22:CO22) - 1</f>
        <v>-0.12011453476576939</v>
      </c>
      <c r="CP22" s="7" cm="1">
        <f t="array" ref="CP22">PRODUCT(1 + 預測IC!$C22:CP22) - 1</f>
        <v>0.10813528406899375</v>
      </c>
      <c r="CQ22" s="7" cm="1">
        <f t="array" ref="CQ22">PRODUCT(1 + 預測IC!$C22:CQ22) - 1</f>
        <v>9.4467788012304155E-2</v>
      </c>
      <c r="CR22" s="7" cm="1">
        <f t="array" ref="CR22">PRODUCT(1 + 預測IC!$C22:CR22) - 1</f>
        <v>0.27160786060289821</v>
      </c>
      <c r="CS22" s="7" cm="1">
        <f t="array" ref="CS22">PRODUCT(1 + 預測IC!$C22:CS22) - 1</f>
        <v>0.25227664453872922</v>
      </c>
      <c r="CT22" s="7" cm="1">
        <f t="array" ref="CT22">PRODUCT(1 + 預測IC!$C22:CT22) - 1</f>
        <v>0.32519987098543246</v>
      </c>
      <c r="CU22" s="7" cm="1">
        <f t="array" ref="CU22">PRODUCT(1 + 預測IC!$C22:CU22) - 1</f>
        <v>0.16586882180225238</v>
      </c>
      <c r="CV22" s="7" cm="1">
        <f t="array" ref="CV22">PRODUCT(1 + 預測IC!$C22:CV22) - 1</f>
        <v>0.29671858779981375</v>
      </c>
      <c r="CW22" s="7" cm="1">
        <f t="array" ref="CW22">PRODUCT(1 + 預測IC!$C22:CW22) - 1</f>
        <v>0.34398560553645186</v>
      </c>
      <c r="CX22" s="7" cm="1">
        <f t="array" ref="CX22">PRODUCT(1 + 預測IC!$C22:CX22) - 1</f>
        <v>0.34902500491505717</v>
      </c>
      <c r="CY22" s="7" cm="1">
        <f t="array" ref="CY22">PRODUCT(1 + 預測IC!$C22:CY22) - 1</f>
        <v>0.33824787918668342</v>
      </c>
      <c r="CZ22" s="7" cm="1">
        <f t="array" ref="CZ22">PRODUCT(1 + 預測IC!$C22:CZ22) - 1</f>
        <v>0.6901006600963504</v>
      </c>
      <c r="DA22" s="7" cm="1">
        <f t="array" ref="DA22">PRODUCT(1 + 預測IC!$C22:DA22) - 1</f>
        <v>0.68335419422556831</v>
      </c>
      <c r="DB22" s="7" cm="1">
        <f t="array" ref="DB22">PRODUCT(1 + 預測IC!$C22:DB22) - 1</f>
        <v>0.58507407313222903</v>
      </c>
      <c r="DC22" s="7" cm="1">
        <f t="array" ref="DC22">PRODUCT(1 + 預測IC!$C22:DC22) - 1</f>
        <v>0.55222375463854068</v>
      </c>
      <c r="DD22" s="7" cm="1">
        <f t="array" ref="DD22">PRODUCT(1 + 預測IC!$C22:DD22) - 1</f>
        <v>0.78178849382299531</v>
      </c>
      <c r="DE22" s="7" cm="1">
        <f t="array" ref="DE22">PRODUCT(1 + 預測IC!$C22:DE22) - 1</f>
        <v>0.77200334263989601</v>
      </c>
      <c r="DF22" s="7" cm="1">
        <f t="array" ref="DF22">PRODUCT(1 + 預測IC!$C22:DF22) - 1</f>
        <v>0.8021837053557237</v>
      </c>
      <c r="DG22" s="7" cm="1">
        <f t="array" ref="DG22">PRODUCT(1 + 預測IC!$C22:DG22) - 1</f>
        <v>0.8598266288112002</v>
      </c>
      <c r="DH22" s="7" cm="1">
        <f t="array" ref="DH22">PRODUCT(1 + 預測IC!$C22:DH22) - 1</f>
        <v>0.88576255499127154</v>
      </c>
      <c r="DI22" s="7" cm="1">
        <f t="array" ref="DI22">PRODUCT(1 + 預測IC!$C22:DI22) - 1</f>
        <v>1.0056235073578494</v>
      </c>
      <c r="DJ22" s="7" cm="1">
        <f t="array" ref="DJ22">PRODUCT(1 + 預測IC!$C22:DJ22) - 1</f>
        <v>0.90484893690815271</v>
      </c>
      <c r="DK22" s="7" cm="1">
        <f t="array" ref="DK22">PRODUCT(1 + 預測IC!$C22:DK22) - 1</f>
        <v>1.2460735060969359</v>
      </c>
      <c r="DL22" s="7" cm="1">
        <f t="array" ref="DL22">PRODUCT(1 + 預測IC!$C22:DL22) - 1</f>
        <v>1.5267016308879682</v>
      </c>
      <c r="DM22" s="7" cm="1">
        <f t="array" ref="DM22">PRODUCT(1 + 預測IC!$C22:DM22) - 1</f>
        <v>1.3663418562241501</v>
      </c>
      <c r="DN22" s="7" cm="1">
        <f t="array" ref="DN22">PRODUCT(1 + 預測IC!$C22:DN22) - 1</f>
        <v>1.4769998770896402</v>
      </c>
      <c r="DO22" s="7" cm="1">
        <f t="array" ref="DO22">PRODUCT(1 + 預測IC!$C22:DO22) - 1</f>
        <v>1.7827545526668205</v>
      </c>
      <c r="DP22" s="7" cm="1">
        <f t="array" ref="DP22">PRODUCT(1 + 預測IC!$C22:DP22) - 1</f>
        <v>1.8112145010182865</v>
      </c>
      <c r="DQ22" s="7" cm="1">
        <f t="array" ref="DQ22">PRODUCT(1 + 預測IC!$C22:DQ22) - 1</f>
        <v>1.4428582429980947</v>
      </c>
      <c r="DR22" s="7" cm="1">
        <f t="array" ref="DR22">PRODUCT(1 + 預測IC!$C22:DR22) - 1</f>
        <v>1.4279750006208656</v>
      </c>
      <c r="DS22" s="7" cm="1">
        <f t="array" ref="DS22">PRODUCT(1 + 預測IC!$C22:DS22) - 1</f>
        <v>0.94954028921815414</v>
      </c>
      <c r="DT22" s="7" cm="1">
        <f t="array" ref="DT22">PRODUCT(1 + 預測IC!$C22:DT22) - 1</f>
        <v>0.83577094902069393</v>
      </c>
      <c r="DU22" s="7" cm="1">
        <f t="array" ref="DU22">PRODUCT(1 + 預測IC!$C22:DU22) - 1</f>
        <v>0.73022258081983438</v>
      </c>
      <c r="DV22" s="7" cm="1">
        <f t="array" ref="DV22">PRODUCT(1 + 預測IC!$C22:DV22) - 1</f>
        <v>0.94772041395123252</v>
      </c>
      <c r="DW22" s="7" cm="1">
        <f t="array" ref="DW22">PRODUCT(1 + 預測IC!$C22:DW22) - 1</f>
        <v>1.1004016790593476</v>
      </c>
      <c r="DX22" s="7" cm="1">
        <f t="array" ref="DX22">PRODUCT(1 + 預測IC!$C22:DX22) - 1</f>
        <v>0.63318285078020842</v>
      </c>
      <c r="DY22" s="7" cm="1">
        <f t="array" ref="DY22">PRODUCT(1 + 預測IC!$C22:DY22) - 1</f>
        <v>0.61987711962407022</v>
      </c>
      <c r="DZ22" s="7" cm="1">
        <f t="array" ref="DZ22">PRODUCT(1 + 預測IC!$C22:DZ22) - 1</f>
        <v>0.45181813908316748</v>
      </c>
      <c r="EA22" s="7" cm="1">
        <f t="array" ref="EA22">PRODUCT(1 + 預測IC!$C22:EA22) - 1</f>
        <v>0.34939433101037776</v>
      </c>
      <c r="EB22" s="7" cm="1">
        <f t="array" ref="EB22">PRODUCT(1 + 預測IC!$C22:EB22) - 1</f>
        <v>0.24063756377623169</v>
      </c>
      <c r="EC22" s="7" cm="1">
        <f t="array" ref="EC22">PRODUCT(1 + 預測IC!$C22:EC22) - 1</f>
        <v>0.26730519422815413</v>
      </c>
      <c r="ED22" s="7" cm="1">
        <f t="array" ref="ED22">PRODUCT(1 + 預測IC!$C22:ED22) - 1</f>
        <v>0.16919857859231868</v>
      </c>
      <c r="EE22" s="7" cm="1">
        <f t="array" ref="EE22">PRODUCT(1 + 預測IC!$C22:EE22) - 1</f>
        <v>0.20830394946872555</v>
      </c>
      <c r="EF22" s="7" cm="1">
        <f t="array" ref="EF22">PRODUCT(1 + 預測IC!$C22:EF22) - 1</f>
        <v>0.16626675737423979</v>
      </c>
    </row>
    <row r="23" spans="1:136" x14ac:dyDescent="0.3">
      <c r="A23" s="1">
        <v>2</v>
      </c>
      <c r="B23" s="1" t="s">
        <v>181</v>
      </c>
      <c r="C23" s="7" cm="1">
        <f t="array" ref="C23">PRODUCT(1 + 預測IC!$C23:C23) - 1</f>
        <v>-3.4987009286289172E-2</v>
      </c>
      <c r="D23" s="7" cm="1">
        <f t="array" ref="D23">PRODUCT(1 + 預測IC!$C23:D23) - 1</f>
        <v>-6.3754690864570862E-2</v>
      </c>
      <c r="E23" s="7" cm="1">
        <f t="array" ref="E23">PRODUCT(1 + 預測IC!$C23:E23) - 1</f>
        <v>-0.13953548399978399</v>
      </c>
      <c r="F23" s="7" cm="1">
        <f t="array" ref="F23">PRODUCT(1 + 預測IC!$C23:F23) - 1</f>
        <v>-0.26143311140134329</v>
      </c>
      <c r="G23" s="7" cm="1">
        <f t="array" ref="G23">PRODUCT(1 + 預測IC!$C23:G23) - 1</f>
        <v>-0.30000415698878691</v>
      </c>
      <c r="H23" s="7" cm="1">
        <f t="array" ref="H23">PRODUCT(1 + 預測IC!$C23:H23) - 1</f>
        <v>-0.15740218832822594</v>
      </c>
      <c r="I23" s="7" cm="1">
        <f t="array" ref="I23">PRODUCT(1 + 預測IC!$C23:I23) - 1</f>
        <v>-3.2569613234884165E-2</v>
      </c>
      <c r="J23" s="7" cm="1">
        <f t="array" ref="J23">PRODUCT(1 + 預測IC!$C23:J23) - 1</f>
        <v>-0.12753479652444644</v>
      </c>
      <c r="K23" s="7" cm="1">
        <f t="array" ref="K23">PRODUCT(1 + 預測IC!$C23:K23) - 1</f>
        <v>-0.30594474922340309</v>
      </c>
      <c r="L23" s="7" cm="1">
        <f t="array" ref="L23">PRODUCT(1 + 預測IC!$C23:L23) - 1</f>
        <v>-0.26843555361214755</v>
      </c>
      <c r="M23" s="7" cm="1">
        <f t="array" ref="M23">PRODUCT(1 + 預測IC!$C23:M23) - 1</f>
        <v>-0.4605219526232549</v>
      </c>
      <c r="N23" s="7" cm="1">
        <f t="array" ref="N23">PRODUCT(1 + 預測IC!$C23:N23) - 1</f>
        <v>-0.37613720773121972</v>
      </c>
      <c r="O23" s="7" cm="1">
        <f t="array" ref="O23">PRODUCT(1 + 預測IC!$C23:O23) - 1</f>
        <v>-0.24851710369025637</v>
      </c>
      <c r="P23" s="7" cm="1">
        <f t="array" ref="P23">PRODUCT(1 + 預測IC!$C23:P23) - 1</f>
        <v>-0.31645244344075685</v>
      </c>
      <c r="Q23" s="7" cm="1">
        <f t="array" ref="Q23">PRODUCT(1 + 預測IC!$C23:Q23) - 1</f>
        <v>-0.27573487103932626</v>
      </c>
      <c r="R23" s="7" cm="1">
        <f t="array" ref="R23">PRODUCT(1 + 預測IC!$C23:R23) - 1</f>
        <v>-0.31644664200012784</v>
      </c>
      <c r="S23" s="7" cm="1">
        <f t="array" ref="S23">PRODUCT(1 + 預測IC!$C23:S23) - 1</f>
        <v>-0.39418342830116959</v>
      </c>
      <c r="T23" s="7" cm="1">
        <f t="array" ref="T23">PRODUCT(1 + 預測IC!$C23:T23) - 1</f>
        <v>-0.39440962155502812</v>
      </c>
      <c r="U23" s="7" cm="1">
        <f t="array" ref="U23">PRODUCT(1 + 預測IC!$C23:U23) - 1</f>
        <v>-0.45118821449297386</v>
      </c>
      <c r="V23" s="7" cm="1">
        <f t="array" ref="V23">PRODUCT(1 + 預測IC!$C23:V23) - 1</f>
        <v>-0.46382705196865581</v>
      </c>
      <c r="W23" s="7" cm="1">
        <f t="array" ref="W23">PRODUCT(1 + 預測IC!$C23:W23) - 1</f>
        <v>-0.28602183455592267</v>
      </c>
      <c r="X23" s="7" cm="1">
        <f t="array" ref="X23">PRODUCT(1 + 預測IC!$C23:X23) - 1</f>
        <v>-9.747041454600347E-2</v>
      </c>
      <c r="Y23" s="7" cm="1">
        <f t="array" ref="Y23">PRODUCT(1 + 預測IC!$C23:Y23) - 1</f>
        <v>-8.4239509947852342E-2</v>
      </c>
      <c r="Z23" s="7" cm="1">
        <f t="array" ref="Z23">PRODUCT(1 + 預測IC!$C23:Z23) - 1</f>
        <v>-5.3989637417313996E-2</v>
      </c>
      <c r="AA23" s="7" cm="1">
        <f t="array" ref="AA23">PRODUCT(1 + 預測IC!$C23:AA23) - 1</f>
        <v>-4.77400167559483E-2</v>
      </c>
      <c r="AB23" s="7" cm="1">
        <f t="array" ref="AB23">PRODUCT(1 + 預測IC!$C23:AB23) - 1</f>
        <v>1.3242502956470448E-2</v>
      </c>
      <c r="AC23" s="7" cm="1">
        <f t="array" ref="AC23">PRODUCT(1 + 預測IC!$C23:AC23) - 1</f>
        <v>9.0599857711933796E-2</v>
      </c>
      <c r="AD23" s="7" cm="1">
        <f t="array" ref="AD23">PRODUCT(1 + 預測IC!$C23:AD23) - 1</f>
        <v>0.10697074350545765</v>
      </c>
      <c r="AE23" s="7" cm="1">
        <f t="array" ref="AE23">PRODUCT(1 + 預測IC!$C23:AE23) - 1</f>
        <v>-0.26092461648091225</v>
      </c>
      <c r="AF23" s="7" cm="1">
        <f t="array" ref="AF23">PRODUCT(1 + 預測IC!$C23:AF23) - 1</f>
        <v>-0.21147584664525154</v>
      </c>
      <c r="AG23" s="7" cm="1">
        <f t="array" ref="AG23">PRODUCT(1 + 預測IC!$C23:AG23) - 1</f>
        <v>-0.13903124853405135</v>
      </c>
      <c r="AH23" s="7" cm="1">
        <f t="array" ref="AH23">PRODUCT(1 + 預測IC!$C23:AH23) - 1</f>
        <v>-0.21150035256988697</v>
      </c>
      <c r="AI23" s="7" cm="1">
        <f t="array" ref="AI23">PRODUCT(1 + 預測IC!$C23:AI23) - 1</f>
        <v>-4.6584390798364517E-2</v>
      </c>
      <c r="AJ23" s="7" cm="1">
        <f t="array" ref="AJ23">PRODUCT(1 + 預測IC!$C23:AJ23) - 1</f>
        <v>-2.4095757040930255E-2</v>
      </c>
      <c r="AK23" s="7" cm="1">
        <f t="array" ref="AK23">PRODUCT(1 + 預測IC!$C23:AK23) - 1</f>
        <v>8.7265748980717373E-2</v>
      </c>
      <c r="AL23" s="7" cm="1">
        <f t="array" ref="AL23">PRODUCT(1 + 預測IC!$C23:AL23) - 1</f>
        <v>0.23016694906481838</v>
      </c>
      <c r="AM23" s="7" cm="1">
        <f t="array" ref="AM23">PRODUCT(1 + 預測IC!$C23:AM23) - 1</f>
        <v>0.23972471764972614</v>
      </c>
      <c r="AN23" s="7" cm="1">
        <f t="array" ref="AN23">PRODUCT(1 + 預測IC!$C23:AN23) - 1</f>
        <v>0.54012823989283398</v>
      </c>
      <c r="AO23" s="7" cm="1">
        <f t="array" ref="AO23">PRODUCT(1 + 預測IC!$C23:AO23) - 1</f>
        <v>0.53190864910786395</v>
      </c>
      <c r="AP23" s="7" cm="1">
        <f t="array" ref="AP23">PRODUCT(1 + 預測IC!$C23:AP23) - 1</f>
        <v>0.53668988820038588</v>
      </c>
      <c r="AQ23" s="7" cm="1">
        <f t="array" ref="AQ23">PRODUCT(1 + 預測IC!$C23:AQ23) - 1</f>
        <v>0.67410836955812736</v>
      </c>
      <c r="AR23" s="7" cm="1">
        <f t="array" ref="AR23">PRODUCT(1 + 預測IC!$C23:AR23) - 1</f>
        <v>1.2378543917580043</v>
      </c>
      <c r="AS23" s="7" cm="1">
        <f t="array" ref="AS23">PRODUCT(1 + 預測IC!$C23:AS23) - 1</f>
        <v>1.2049425178639797</v>
      </c>
      <c r="AT23" s="7" cm="1">
        <f t="array" ref="AT23">PRODUCT(1 + 預測IC!$C23:AT23) - 1</f>
        <v>1.1135967726188225</v>
      </c>
      <c r="AU23" s="7" cm="1">
        <f t="array" ref="AU23">PRODUCT(1 + 預測IC!$C23:AU23) - 1</f>
        <v>1.1836530496707822</v>
      </c>
      <c r="AV23" s="7" cm="1">
        <f t="array" ref="AV23">PRODUCT(1 + 預測IC!$C23:AV23) - 1</f>
        <v>1.1232990757018535</v>
      </c>
      <c r="AW23" s="7" cm="1">
        <f t="array" ref="AW23">PRODUCT(1 + 預測IC!$C23:AW23) - 1</f>
        <v>1.0128303861303491</v>
      </c>
      <c r="AX23" s="7" cm="1">
        <f t="array" ref="AX23">PRODUCT(1 + 預測IC!$C23:AX23) - 1</f>
        <v>1.1534027442646688</v>
      </c>
      <c r="AY23" s="7" cm="1">
        <f t="array" ref="AY23">PRODUCT(1 + 預測IC!$C23:AY23) - 1</f>
        <v>1.5199850657738776</v>
      </c>
      <c r="AZ23" s="7" cm="1">
        <f t="array" ref="AZ23">PRODUCT(1 + 預測IC!$C23:AZ23) - 1</f>
        <v>1.3593269020341441</v>
      </c>
      <c r="BA23" s="7" cm="1">
        <f t="array" ref="BA23">PRODUCT(1 + 預測IC!$C23:BA23) - 1</f>
        <v>1.3820868097951329</v>
      </c>
      <c r="BB23" s="7" cm="1">
        <f t="array" ref="BB23">PRODUCT(1 + 預測IC!$C23:BB23) - 1</f>
        <v>1.2604825070668038</v>
      </c>
      <c r="BC23" s="7" cm="1">
        <f t="array" ref="BC23">PRODUCT(1 + 預測IC!$C23:BC23) - 1</f>
        <v>0.58046551217955478</v>
      </c>
      <c r="BD23" s="7" cm="1">
        <f t="array" ref="BD23">PRODUCT(1 + 預測IC!$C23:BD23) - 1</f>
        <v>0.73034244963721084</v>
      </c>
      <c r="BE23" s="7" cm="1">
        <f t="array" ref="BE23">PRODUCT(1 + 預測IC!$C23:BE23) - 1</f>
        <v>0.60674276925121906</v>
      </c>
      <c r="BF23" s="7" cm="1">
        <f t="array" ref="BF23">PRODUCT(1 + 預測IC!$C23:BF23) - 1</f>
        <v>0.57003353229798881</v>
      </c>
      <c r="BG23" s="7" cm="1">
        <f t="array" ref="BG23">PRODUCT(1 + 預測IC!$C23:BG23) - 1</f>
        <v>0.68741154900082058</v>
      </c>
      <c r="BH23" s="7" cm="1">
        <f t="array" ref="BH23">PRODUCT(1 + 預測IC!$C23:BH23) - 1</f>
        <v>0.34405032882524123</v>
      </c>
      <c r="BI23" s="7" cm="1">
        <f t="array" ref="BI23">PRODUCT(1 + 預測IC!$C23:BI23) - 1</f>
        <v>0.60091458188206248</v>
      </c>
      <c r="BJ23" s="7" cm="1">
        <f t="array" ref="BJ23">PRODUCT(1 + 預測IC!$C23:BJ23) - 1</f>
        <v>0.76741500585856404</v>
      </c>
      <c r="BK23" s="7" cm="1">
        <f t="array" ref="BK23">PRODUCT(1 + 預測IC!$C23:BK23) - 1</f>
        <v>0.77101011945599618</v>
      </c>
      <c r="BL23" s="7" cm="1">
        <f t="array" ref="BL23">PRODUCT(1 + 預測IC!$C23:BL23) - 1</f>
        <v>1.035836871320901</v>
      </c>
      <c r="BM23" s="7" cm="1">
        <f t="array" ref="BM23">PRODUCT(1 + 預測IC!$C23:BM23) - 1</f>
        <v>1.4209778888239999</v>
      </c>
      <c r="BN23" s="7" cm="1">
        <f t="array" ref="BN23">PRODUCT(1 + 預測IC!$C23:BN23) - 1</f>
        <v>1.4041589420270282</v>
      </c>
      <c r="BO23" s="7" cm="1">
        <f t="array" ref="BO23">PRODUCT(1 + 預測IC!$C23:BO23) - 1</f>
        <v>1.4919707073326878</v>
      </c>
      <c r="BP23" s="7" cm="1">
        <f t="array" ref="BP23">PRODUCT(1 + 預測IC!$C23:BP23) - 1</f>
        <v>1.7368476956826973</v>
      </c>
      <c r="BQ23" s="7" cm="1">
        <f t="array" ref="BQ23">PRODUCT(1 + 預測IC!$C23:BQ23) - 1</f>
        <v>1.9340318287045797</v>
      </c>
      <c r="BR23" s="7" cm="1">
        <f t="array" ref="BR23">PRODUCT(1 + 預測IC!$C23:BR23) - 1</f>
        <v>1.9863876358414827</v>
      </c>
      <c r="BS23" s="7" cm="1">
        <f t="array" ref="BS23">PRODUCT(1 + 預測IC!$C23:BS23) - 1</f>
        <v>1.7675589211420157</v>
      </c>
      <c r="BT23" s="7" cm="1">
        <f t="array" ref="BT23">PRODUCT(1 + 預測IC!$C23:BT23) - 1</f>
        <v>2.1651182233295843</v>
      </c>
      <c r="BU23" s="7" cm="1">
        <f t="array" ref="BU23">PRODUCT(1 + 預測IC!$C23:BU23) - 1</f>
        <v>2.8161442243709893</v>
      </c>
      <c r="BV23" s="7" cm="1">
        <f t="array" ref="BV23">PRODUCT(1 + 預測IC!$C23:BV23) - 1</f>
        <v>3.2491528300221431</v>
      </c>
      <c r="BW23" s="7" cm="1">
        <f t="array" ref="BW23">PRODUCT(1 + 預測IC!$C23:BW23) - 1</f>
        <v>2.3901766709881604</v>
      </c>
      <c r="BX23" s="7" cm="1">
        <f t="array" ref="BX23">PRODUCT(1 + 預測IC!$C23:BX23) - 1</f>
        <v>2.3623327440927944</v>
      </c>
      <c r="BY23" s="7" cm="1">
        <f t="array" ref="BY23">PRODUCT(1 + 預測IC!$C23:BY23) - 1</f>
        <v>2.3280178093704409</v>
      </c>
      <c r="BZ23" s="7" cm="1">
        <f t="array" ref="BZ23">PRODUCT(1 + 預測IC!$C23:BZ23) - 1</f>
        <v>2.3535429153372611</v>
      </c>
      <c r="CA23" s="7" cm="1">
        <f t="array" ref="CA23">PRODUCT(1 + 預測IC!$C23:CA23) - 1</f>
        <v>2.0998366633043584</v>
      </c>
      <c r="CB23" s="7" cm="1">
        <f t="array" ref="CB23">PRODUCT(1 + 預測IC!$C23:CB23) - 1</f>
        <v>1.4252681784126362</v>
      </c>
      <c r="CC23" s="7" cm="1">
        <f t="array" ref="CC23">PRODUCT(1 + 預測IC!$C23:CC23) - 1</f>
        <v>1.9708531791372912</v>
      </c>
      <c r="CD23" s="7" cm="1">
        <f t="array" ref="CD23">PRODUCT(1 + 預測IC!$C23:CD23) - 1</f>
        <v>2.5402957848837318</v>
      </c>
      <c r="CE23" s="7" cm="1">
        <f t="array" ref="CE23">PRODUCT(1 + 預測IC!$C23:CE23) - 1</f>
        <v>2.1274101810284969</v>
      </c>
      <c r="CF23" s="7" cm="1">
        <f t="array" ref="CF23">PRODUCT(1 + 預測IC!$C23:CF23) - 1</f>
        <v>2.6188354977043806</v>
      </c>
      <c r="CG23" s="7" cm="1">
        <f t="array" ref="CG23">PRODUCT(1 + 預測IC!$C23:CG23) - 1</f>
        <v>1.1957509187144457</v>
      </c>
      <c r="CH23" s="7" cm="1">
        <f t="array" ref="CH23">PRODUCT(1 + 預測IC!$C23:CH23) - 1</f>
        <v>1.591417436982753</v>
      </c>
      <c r="CI23" s="7" cm="1">
        <f t="array" ref="CI23">PRODUCT(1 + 預測IC!$C23:CI23) - 1</f>
        <v>0.78833868372621119</v>
      </c>
      <c r="CJ23" s="7" cm="1">
        <f t="array" ref="CJ23">PRODUCT(1 + 預測IC!$C23:CJ23) - 1</f>
        <v>0.75279479508253533</v>
      </c>
      <c r="CK23" s="7" cm="1">
        <f t="array" ref="CK23">PRODUCT(1 + 預測IC!$C23:CK23) - 1</f>
        <v>0.92126816316068205</v>
      </c>
      <c r="CL23" s="7" cm="1">
        <f t="array" ref="CL23">PRODUCT(1 + 預測IC!$C23:CL23) - 1</f>
        <v>0.1361207699977669</v>
      </c>
      <c r="CM23" s="7" cm="1">
        <f t="array" ref="CM23">PRODUCT(1 + 預測IC!$C23:CM23) - 1</f>
        <v>0.57549610298487996</v>
      </c>
      <c r="CN23" s="7" cm="1">
        <f t="array" ref="CN23">PRODUCT(1 + 預測IC!$C23:CN23) - 1</f>
        <v>0.49198665102523642</v>
      </c>
      <c r="CO23" s="7" cm="1">
        <f t="array" ref="CO23">PRODUCT(1 + 預測IC!$C23:CO23) - 1</f>
        <v>-0.86411476053024328</v>
      </c>
      <c r="CP23" s="7" cm="1">
        <f t="array" ref="CP23">PRODUCT(1 + 預測IC!$C23:CP23) - 1</f>
        <v>-0.82180543138409057</v>
      </c>
      <c r="CQ23" s="7" cm="1">
        <f t="array" ref="CQ23">PRODUCT(1 + 預測IC!$C23:CQ23) - 1</f>
        <v>-0.82344192477351219</v>
      </c>
      <c r="CR23" s="7" cm="1">
        <f t="array" ref="CR23">PRODUCT(1 + 預測IC!$C23:CR23) - 1</f>
        <v>-0.8213942388540082</v>
      </c>
      <c r="CS23" s="7" cm="1">
        <f t="array" ref="CS23">PRODUCT(1 + 預測IC!$C23:CS23) - 1</f>
        <v>-0.82799804737972404</v>
      </c>
      <c r="CT23" s="7" cm="1">
        <f t="array" ref="CT23">PRODUCT(1 + 預測IC!$C23:CT23) - 1</f>
        <v>-0.8201440010437836</v>
      </c>
      <c r="CU23" s="7" cm="1">
        <f t="array" ref="CU23">PRODUCT(1 + 預測IC!$C23:CU23) - 1</f>
        <v>-0.82393115610041401</v>
      </c>
      <c r="CV23" s="7" cm="1">
        <f t="array" ref="CV23">PRODUCT(1 + 預測IC!$C23:CV23) - 1</f>
        <v>-0.8278478317404554</v>
      </c>
      <c r="CW23" s="7" cm="1">
        <f t="array" ref="CW23">PRODUCT(1 + 預測IC!$C23:CW23) - 1</f>
        <v>-0.81047744869039318</v>
      </c>
      <c r="CX23" s="7" cm="1">
        <f t="array" ref="CX23">PRODUCT(1 + 預測IC!$C23:CX23) - 1</f>
        <v>-0.82729131975608627</v>
      </c>
      <c r="CY23" s="7" cm="1">
        <f t="array" ref="CY23">PRODUCT(1 + 預測IC!$C23:CY23) - 1</f>
        <v>-0.82348369252571341</v>
      </c>
      <c r="CZ23" s="7" cm="1">
        <f t="array" ref="CZ23">PRODUCT(1 + 預測IC!$C23:CZ23) - 1</f>
        <v>-0.79135793746923988</v>
      </c>
      <c r="DA23" s="7" cm="1">
        <f t="array" ref="DA23">PRODUCT(1 + 預測IC!$C23:DA23) - 1</f>
        <v>-0.79782211427302274</v>
      </c>
      <c r="DB23" s="7" cm="1">
        <f t="array" ref="DB23">PRODUCT(1 + 預測IC!$C23:DB23) - 1</f>
        <v>-0.80104789415483435</v>
      </c>
      <c r="DC23" s="7" cm="1">
        <f t="array" ref="DC23">PRODUCT(1 + 預測IC!$C23:DC23) - 1</f>
        <v>-0.77733469595441651</v>
      </c>
      <c r="DD23" s="7" cm="1">
        <f t="array" ref="DD23">PRODUCT(1 + 預測IC!$C23:DD23) - 1</f>
        <v>-0.72981546086484705</v>
      </c>
      <c r="DE23" s="7" cm="1">
        <f t="array" ref="DE23">PRODUCT(1 + 預測IC!$C23:DE23) - 1</f>
        <v>-0.73235390565866298</v>
      </c>
      <c r="DF23" s="7" cm="1">
        <f t="array" ref="DF23">PRODUCT(1 + 預測IC!$C23:DF23) - 1</f>
        <v>-0.71577533727989906</v>
      </c>
      <c r="DG23" s="7" cm="1">
        <f t="array" ref="DG23">PRODUCT(1 + 預測IC!$C23:DG23) - 1</f>
        <v>-0.70489805606251332</v>
      </c>
      <c r="DH23" s="7" cm="1">
        <f t="array" ref="DH23">PRODUCT(1 + 預測IC!$C23:DH23) - 1</f>
        <v>-0.68854544004142593</v>
      </c>
      <c r="DI23" s="7" cm="1">
        <f t="array" ref="DI23">PRODUCT(1 + 預測IC!$C23:DI23) - 1</f>
        <v>-0.67188897571718487</v>
      </c>
      <c r="DJ23" s="7" cm="1">
        <f t="array" ref="DJ23">PRODUCT(1 + 預測IC!$C23:DJ23) - 1</f>
        <v>-0.70045366795063546</v>
      </c>
      <c r="DK23" s="7" cm="1">
        <f t="array" ref="DK23">PRODUCT(1 + 預測IC!$C23:DK23) - 1</f>
        <v>-0.61722974700895739</v>
      </c>
      <c r="DL23" s="7" cm="1">
        <f t="array" ref="DL23">PRODUCT(1 + 預測IC!$C23:DL23) - 1</f>
        <v>-0.53451268977709443</v>
      </c>
      <c r="DM23" s="7" cm="1">
        <f t="array" ref="DM23">PRODUCT(1 + 預測IC!$C23:DM23) - 1</f>
        <v>-0.54358843780060584</v>
      </c>
      <c r="DN23" s="7" cm="1">
        <f t="array" ref="DN23">PRODUCT(1 + 預測IC!$C23:DN23) - 1</f>
        <v>-0.54062304240426173</v>
      </c>
      <c r="DO23" s="7" cm="1">
        <f t="array" ref="DO23">PRODUCT(1 + 預測IC!$C23:DO23) - 1</f>
        <v>-0.46524327852709479</v>
      </c>
      <c r="DP23" s="7" cm="1">
        <f t="array" ref="DP23">PRODUCT(1 + 預測IC!$C23:DP23) - 1</f>
        <v>-0.44006252961216696</v>
      </c>
      <c r="DQ23" s="7" cm="1">
        <f t="array" ref="DQ23">PRODUCT(1 + 預測IC!$C23:DQ23) - 1</f>
        <v>-0.53537004442655034</v>
      </c>
      <c r="DR23" s="7" cm="1">
        <f t="array" ref="DR23">PRODUCT(1 + 預測IC!$C23:DR23) - 1</f>
        <v>-0.57713377388227238</v>
      </c>
      <c r="DS23" s="7" cm="1">
        <f t="array" ref="DS23">PRODUCT(1 + 預測IC!$C23:DS23) - 1</f>
        <v>-0.6989600861214651</v>
      </c>
      <c r="DT23" s="7" cm="1">
        <f t="array" ref="DT23">PRODUCT(1 + 預測IC!$C23:DT23) - 1</f>
        <v>-0.73627555583724336</v>
      </c>
      <c r="DU23" s="7" cm="1">
        <f t="array" ref="DU23">PRODUCT(1 + 預測IC!$C23:DU23) - 1</f>
        <v>-0.72723318696396366</v>
      </c>
      <c r="DV23" s="7" cm="1">
        <f t="array" ref="DV23">PRODUCT(1 + 預測IC!$C23:DV23) - 1</f>
        <v>-0.65187546082760228</v>
      </c>
      <c r="DW23" s="7" cm="1">
        <f t="array" ref="DW23">PRODUCT(1 + 預測IC!$C23:DW23) - 1</f>
        <v>-0.60271044744156943</v>
      </c>
      <c r="DX23" s="7" cm="1">
        <f t="array" ref="DX23">PRODUCT(1 + 預測IC!$C23:DX23) - 1</f>
        <v>-0.72725802313397669</v>
      </c>
      <c r="DY23" s="7" cm="1">
        <f t="array" ref="DY23">PRODUCT(1 + 預測IC!$C23:DY23) - 1</f>
        <v>-0.68092548106363016</v>
      </c>
      <c r="DZ23" s="7" cm="1">
        <f t="array" ref="DZ23">PRODUCT(1 + 預測IC!$C23:DZ23) - 1</f>
        <v>-0.7137496399934169</v>
      </c>
      <c r="EA23" s="7" cm="1">
        <f t="array" ref="EA23">PRODUCT(1 + 預測IC!$C23:EA23) - 1</f>
        <v>-0.72046189823943341</v>
      </c>
      <c r="EB23" s="7" cm="1">
        <f t="array" ref="EB23">PRODUCT(1 + 預測IC!$C23:EB23) - 1</f>
        <v>-0.73800387565510173</v>
      </c>
      <c r="EC23" s="7" cm="1">
        <f t="array" ref="EC23">PRODUCT(1 + 預測IC!$C23:EC23) - 1</f>
        <v>-0.74758882474427257</v>
      </c>
      <c r="ED23" s="7" cm="1">
        <f t="array" ref="ED23">PRODUCT(1 + 預測IC!$C23:ED23) - 1</f>
        <v>-0.77066574477816951</v>
      </c>
      <c r="EE23" s="7" cm="1">
        <f t="array" ref="EE23">PRODUCT(1 + 預測IC!$C23:EE23) - 1</f>
        <v>-0.75712340016832025</v>
      </c>
      <c r="EF23" s="7" cm="1">
        <f t="array" ref="EF23">PRODUCT(1 + 預測IC!$C23:EF23) - 1</f>
        <v>-0.76872859752487255</v>
      </c>
    </row>
    <row r="24" spans="1:136" x14ac:dyDescent="0.3">
      <c r="A24" s="1">
        <v>1</v>
      </c>
      <c r="B24" s="1" t="s">
        <v>182</v>
      </c>
      <c r="C24" s="7" cm="1">
        <f t="array" ref="C24">PRODUCT(1 + 預測IC!$C24:C24) - 1</f>
        <v>0.16299313693108508</v>
      </c>
      <c r="D24" s="7" cm="1">
        <f t="array" ref="D24">PRODUCT(1 + 預測IC!$C24:D24) - 1</f>
        <v>4.1984852428694763E-2</v>
      </c>
      <c r="E24" s="7" cm="1">
        <f t="array" ref="E24">PRODUCT(1 + 預測IC!$C24:E24) - 1</f>
        <v>0.11638291492350961</v>
      </c>
      <c r="F24" s="7" cm="1">
        <f t="array" ref="F24">PRODUCT(1 + 預測IC!$C24:F24) - 1</f>
        <v>-0.137214121903527</v>
      </c>
      <c r="G24" s="7" cm="1">
        <f t="array" ref="G24">PRODUCT(1 + 預測IC!$C24:G24) - 1</f>
        <v>5.7568437829280672E-2</v>
      </c>
      <c r="H24" s="7" cm="1">
        <f t="array" ref="H24">PRODUCT(1 + 預測IC!$C24:H24) - 1</f>
        <v>0.31845653591226841</v>
      </c>
      <c r="I24" s="7" cm="1">
        <f t="array" ref="I24">PRODUCT(1 + 預測IC!$C24:I24) - 1</f>
        <v>0.31567204377717362</v>
      </c>
      <c r="J24" s="7" cm="1">
        <f t="array" ref="J24">PRODUCT(1 + 預測IC!$C24:J24) - 1</f>
        <v>0.18414142441020886</v>
      </c>
      <c r="K24" s="7" cm="1">
        <f t="array" ref="K24">PRODUCT(1 + 預測IC!$C24:K24) - 1</f>
        <v>0.15866429205238419</v>
      </c>
      <c r="L24" s="7" cm="1">
        <f t="array" ref="L24">PRODUCT(1 + 預測IC!$C24:L24) - 1</f>
        <v>0.26945953790677413</v>
      </c>
      <c r="M24" s="7" cm="1">
        <f t="array" ref="M24">PRODUCT(1 + 預測IC!$C24:M24) - 1</f>
        <v>-0.31833519439164204</v>
      </c>
      <c r="N24" s="7" cm="1">
        <f t="array" ref="N24">PRODUCT(1 + 預測IC!$C24:N24) - 1</f>
        <v>-0.2200865375738561</v>
      </c>
      <c r="O24" s="7" cm="1">
        <f t="array" ref="O24">PRODUCT(1 + 預測IC!$C24:O24) - 1</f>
        <v>-3.6565729804329483E-2</v>
      </c>
      <c r="P24" s="7" cm="1">
        <f t="array" ref="P24">PRODUCT(1 + 預測IC!$C24:P24) - 1</f>
        <v>-0.13700222485951974</v>
      </c>
      <c r="Q24" s="7" cm="1">
        <f t="array" ref="Q24">PRODUCT(1 + 預測IC!$C24:Q24) - 1</f>
        <v>-8.4389598596887549E-2</v>
      </c>
      <c r="R24" s="7" cm="1">
        <f t="array" ref="R24">PRODUCT(1 + 預測IC!$C24:R24) - 1</f>
        <v>-0.30935266687977481</v>
      </c>
      <c r="S24" s="7" cm="1">
        <f t="array" ref="S24">PRODUCT(1 + 預測IC!$C24:S24) - 1</f>
        <v>-0.55281583929729083</v>
      </c>
      <c r="T24" s="7" cm="1">
        <f t="array" ref="T24">PRODUCT(1 + 預測IC!$C24:T24) - 1</f>
        <v>-0.49750316355866231</v>
      </c>
      <c r="U24" s="7" cm="1">
        <f t="array" ref="U24">PRODUCT(1 + 預測IC!$C24:U24) - 1</f>
        <v>-0.57213332750864265</v>
      </c>
      <c r="V24" s="7" cm="1">
        <f t="array" ref="V24">PRODUCT(1 + 預測IC!$C24:V24) - 1</f>
        <v>-0.60085999760716835</v>
      </c>
      <c r="W24" s="7" cm="1">
        <f t="array" ref="W24">PRODUCT(1 + 預測IC!$C24:W24) - 1</f>
        <v>-0.40300151434655807</v>
      </c>
      <c r="X24" s="7" cm="1">
        <f t="array" ref="X24">PRODUCT(1 + 預測IC!$C24:X24) - 1</f>
        <v>-0.33254230086733816</v>
      </c>
      <c r="Y24" s="7" cm="1">
        <f t="array" ref="Y24">PRODUCT(1 + 預測IC!$C24:Y24) - 1</f>
        <v>-0.32621679428990591</v>
      </c>
      <c r="Z24" s="7" cm="1">
        <f t="array" ref="Z24">PRODUCT(1 + 預測IC!$C24:Z24) - 1</f>
        <v>-0.25490201171617444</v>
      </c>
      <c r="AA24" s="7" cm="1">
        <f t="array" ref="AA24">PRODUCT(1 + 預測IC!$C24:AA24) - 1</f>
        <v>-0.24480759685662012</v>
      </c>
      <c r="AB24" s="7" cm="1">
        <f t="array" ref="AB24">PRODUCT(1 + 預測IC!$C24:AB24) - 1</f>
        <v>-9.7288597779381703E-2</v>
      </c>
      <c r="AC24" s="7" cm="1">
        <f t="array" ref="AC24">PRODUCT(1 + 預測IC!$C24:AC24) - 1</f>
        <v>1.5893701561844775E-2</v>
      </c>
      <c r="AD24" s="7" cm="1">
        <f t="array" ref="AD24">PRODUCT(1 + 預測IC!$C24:AD24) - 1</f>
        <v>2.3839858427498806E-2</v>
      </c>
      <c r="AE24" s="7" cm="1">
        <f t="array" ref="AE24">PRODUCT(1 + 預測IC!$C24:AE24) - 1</f>
        <v>-0.53032177980202777</v>
      </c>
      <c r="AF24" s="7" cm="1">
        <f t="array" ref="AF24">PRODUCT(1 + 預測IC!$C24:AF24) - 1</f>
        <v>-0.51974368221360656</v>
      </c>
      <c r="AG24" s="7" cm="1">
        <f t="array" ref="AG24">PRODUCT(1 + 預測IC!$C24:AG24) - 1</f>
        <v>-0.45311497732078465</v>
      </c>
      <c r="AH24" s="7" cm="1">
        <f t="array" ref="AH24">PRODUCT(1 + 預測IC!$C24:AH24) - 1</f>
        <v>-0.48412191436730945</v>
      </c>
      <c r="AI24" s="7" cm="1">
        <f t="array" ref="AI24">PRODUCT(1 + 預測IC!$C24:AI24) - 1</f>
        <v>-0.3239860129440606</v>
      </c>
      <c r="AJ24" s="7" cm="1">
        <f t="array" ref="AJ24">PRODUCT(1 + 預測IC!$C24:AJ24) - 1</f>
        <v>-0.2662306215464898</v>
      </c>
      <c r="AK24" s="7" cm="1">
        <f t="array" ref="AK24">PRODUCT(1 + 預測IC!$C24:AK24) - 1</f>
        <v>-0.20394537606296537</v>
      </c>
      <c r="AL24" s="7" cm="1">
        <f t="array" ref="AL24">PRODUCT(1 + 預測IC!$C24:AL24) - 1</f>
        <v>-0.24747120338299256</v>
      </c>
      <c r="AM24" s="7" cm="1">
        <f t="array" ref="AM24">PRODUCT(1 + 預測IC!$C24:AM24) - 1</f>
        <v>-0.26170850746324004</v>
      </c>
      <c r="AN24" s="7" cm="1">
        <f t="array" ref="AN24">PRODUCT(1 + 預測IC!$C24:AN24) - 1</f>
        <v>-9.8406207107611832E-2</v>
      </c>
      <c r="AO24" s="7" cm="1">
        <f t="array" ref="AO24">PRODUCT(1 + 預測IC!$C24:AO24) - 1</f>
        <v>-3.8819772511030637E-2</v>
      </c>
      <c r="AP24" s="7" cm="1">
        <f t="array" ref="AP24">PRODUCT(1 + 預測IC!$C24:AP24) - 1</f>
        <v>-6.0784389603353528E-2</v>
      </c>
      <c r="AQ24" s="7" cm="1">
        <f t="array" ref="AQ24">PRODUCT(1 + 預測IC!$C24:AQ24) - 1</f>
        <v>-1.6568961827211126E-2</v>
      </c>
      <c r="AR24" s="7" cm="1">
        <f t="array" ref="AR24">PRODUCT(1 + 預測IC!$C24:AR24) - 1</f>
        <v>-7.0894176943783194E-3</v>
      </c>
      <c r="AS24" s="7" cm="1">
        <f t="array" ref="AS24">PRODUCT(1 + 預測IC!$C24:AS24) - 1</f>
        <v>-3.4847302652129208E-2</v>
      </c>
      <c r="AT24" s="7" cm="1">
        <f t="array" ref="AT24">PRODUCT(1 + 預測IC!$C24:AT24) - 1</f>
        <v>-5.449516389184339E-3</v>
      </c>
      <c r="AU24" s="7" cm="1">
        <f t="array" ref="AU24">PRODUCT(1 + 預測IC!$C24:AU24) - 1</f>
        <v>3.8405505307748111E-2</v>
      </c>
      <c r="AV24" s="7" cm="1">
        <f t="array" ref="AV24">PRODUCT(1 + 預測IC!$C24:AV24) - 1</f>
        <v>-5.2093561641442188E-2</v>
      </c>
      <c r="AW24" s="7" cm="1">
        <f t="array" ref="AW24">PRODUCT(1 + 預測IC!$C24:AW24) - 1</f>
        <v>-4.7365838931547555E-2</v>
      </c>
      <c r="AX24" s="7" cm="1">
        <f t="array" ref="AX24">PRODUCT(1 + 預測IC!$C24:AX24) - 1</f>
        <v>-2.0400398617836712E-2</v>
      </c>
      <c r="AY24" s="7" cm="1">
        <f t="array" ref="AY24">PRODUCT(1 + 預測IC!$C24:AY24) - 1</f>
        <v>0.14429703145326278</v>
      </c>
      <c r="AZ24" s="7" cm="1">
        <f t="array" ref="AZ24">PRODUCT(1 + 預測IC!$C24:AZ24) - 1</f>
        <v>0.18762821136318175</v>
      </c>
      <c r="BA24" s="7" cm="1">
        <f t="array" ref="BA24">PRODUCT(1 + 預測IC!$C24:BA24) - 1</f>
        <v>0.12374006991674724</v>
      </c>
      <c r="BB24" s="7" cm="1">
        <f t="array" ref="BB24">PRODUCT(1 + 預測IC!$C24:BB24) - 1</f>
        <v>2.6919711705114313E-2</v>
      </c>
      <c r="BC24" s="7" cm="1">
        <f t="array" ref="BC24">PRODUCT(1 + 預測IC!$C24:BC24) - 1</f>
        <v>-0.79791864484734909</v>
      </c>
      <c r="BD24" s="7" cm="1">
        <f t="array" ref="BD24">PRODUCT(1 + 預測IC!$C24:BD24) - 1</f>
        <v>-0.76041331143217605</v>
      </c>
      <c r="BE24" s="7" cm="1">
        <f t="array" ref="BE24">PRODUCT(1 + 預測IC!$C24:BE24) - 1</f>
        <v>-0.77144971747564384</v>
      </c>
      <c r="BF24" s="7" cm="1">
        <f t="array" ref="BF24">PRODUCT(1 + 預測IC!$C24:BF24) - 1</f>
        <v>-0.75141697985684375</v>
      </c>
      <c r="BG24" s="7" cm="1">
        <f t="array" ref="BG24">PRODUCT(1 + 預測IC!$C24:BG24) - 1</f>
        <v>-0.74474601441333754</v>
      </c>
      <c r="BH24" s="7" cm="1">
        <f t="array" ref="BH24">PRODUCT(1 + 預測IC!$C24:BH24) - 1</f>
        <v>-0.84333922861463639</v>
      </c>
      <c r="BI24" s="7" cm="1">
        <f t="array" ref="BI24">PRODUCT(1 + 預測IC!$C24:BI24) - 1</f>
        <v>-0.80830532035348357</v>
      </c>
      <c r="BJ24" s="7" cm="1">
        <f t="array" ref="BJ24">PRODUCT(1 + 預測IC!$C24:BJ24) - 1</f>
        <v>-0.80766346603749561</v>
      </c>
      <c r="BK24" s="7" cm="1">
        <f t="array" ref="BK24">PRODUCT(1 + 預測IC!$C24:BK24) - 1</f>
        <v>-0.80688959097361301</v>
      </c>
      <c r="BL24" s="7" cm="1">
        <f t="array" ref="BL24">PRODUCT(1 + 預測IC!$C24:BL24) - 1</f>
        <v>-0.74564186444524583</v>
      </c>
      <c r="BM24" s="7" cm="1">
        <f t="array" ref="BM24">PRODUCT(1 + 預測IC!$C24:BM24) - 1</f>
        <v>-0.74272360869327403</v>
      </c>
      <c r="BN24" s="7" cm="1">
        <f t="array" ref="BN24">PRODUCT(1 + 預測IC!$C24:BN24) - 1</f>
        <v>-0.74096143474041842</v>
      </c>
      <c r="BO24" s="7" cm="1">
        <f t="array" ref="BO24">PRODUCT(1 + 預測IC!$C24:BO24) - 1</f>
        <v>-0.78269505797124794</v>
      </c>
      <c r="BP24" s="7" cm="1">
        <f t="array" ref="BP24">PRODUCT(1 + 預測IC!$C24:BP24) - 1</f>
        <v>-0.75589023670676248</v>
      </c>
      <c r="BQ24" s="7" cm="1">
        <f t="array" ref="BQ24">PRODUCT(1 + 預測IC!$C24:BQ24) - 1</f>
        <v>-0.77155467070959072</v>
      </c>
      <c r="BR24" s="7" cm="1">
        <f t="array" ref="BR24">PRODUCT(1 + 預測IC!$C24:BR24) - 1</f>
        <v>-0.76187858932954333</v>
      </c>
      <c r="BS24" s="7" cm="1">
        <f t="array" ref="BS24">PRODUCT(1 + 預測IC!$C24:BS24) - 1</f>
        <v>-0.7621845080692552</v>
      </c>
      <c r="BT24" s="7" cm="1">
        <f t="array" ref="BT24">PRODUCT(1 + 預測IC!$C24:BT24) - 1</f>
        <v>-0.73453353528999865</v>
      </c>
      <c r="BU24" s="7" cm="1">
        <f t="array" ref="BU24">PRODUCT(1 + 預測IC!$C24:BU24) - 1</f>
        <v>-0.67392047161063806</v>
      </c>
      <c r="BV24" s="7" cm="1">
        <f t="array" ref="BV24">PRODUCT(1 + 預測IC!$C24:BV24) - 1</f>
        <v>-0.63879242817272952</v>
      </c>
      <c r="BW24" s="7" cm="1">
        <f t="array" ref="BW24">PRODUCT(1 + 預測IC!$C24:BW24) - 1</f>
        <v>-0.66112801755253581</v>
      </c>
      <c r="BX24" s="7" cm="1">
        <f t="array" ref="BX24">PRODUCT(1 + 預測IC!$C24:BX24) - 1</f>
        <v>-0.70618445521746387</v>
      </c>
      <c r="BY24" s="7" cm="1">
        <f t="array" ref="BY24">PRODUCT(1 + 預測IC!$C24:BY24) - 1</f>
        <v>-0.6739394716435152</v>
      </c>
      <c r="BZ24" s="7" cm="1">
        <f t="array" ref="BZ24">PRODUCT(1 + 預測IC!$C24:BZ24) - 1</f>
        <v>-0.58952471625674319</v>
      </c>
      <c r="CA24" s="7" cm="1">
        <f t="array" ref="CA24">PRODUCT(1 + 預測IC!$C24:CA24) - 1</f>
        <v>-0.63682036836558553</v>
      </c>
      <c r="CB24" s="7" cm="1">
        <f t="array" ref="CB24">PRODUCT(1 + 預測IC!$C24:CB24) - 1</f>
        <v>-0.56100227144444414</v>
      </c>
      <c r="CC24" s="7" cm="1">
        <f t="array" ref="CC24">PRODUCT(1 + 預測IC!$C24:CC24) - 1</f>
        <v>-0.3679071396643484</v>
      </c>
      <c r="CD24" s="7" cm="1">
        <f t="array" ref="CD24">PRODUCT(1 + 預測IC!$C24:CD24) - 1</f>
        <v>-0.27669215094282906</v>
      </c>
      <c r="CE24" s="7" cm="1">
        <f t="array" ref="CE24">PRODUCT(1 + 預測IC!$C24:CE24) - 1</f>
        <v>-0.42867463430424979</v>
      </c>
      <c r="CF24" s="7" cm="1">
        <f t="array" ref="CF24">PRODUCT(1 + 預測IC!$C24:CF24) - 1</f>
        <v>-0.30199959593684333</v>
      </c>
      <c r="CG24" s="7" cm="1">
        <f t="array" ref="CG24">PRODUCT(1 + 預測IC!$C24:CG24) - 1</f>
        <v>-0.52802467613506243</v>
      </c>
      <c r="CH24" s="7" cm="1">
        <f t="array" ref="CH24">PRODUCT(1 + 預測IC!$C24:CH24) - 1</f>
        <v>-0.36081453421982745</v>
      </c>
      <c r="CI24" s="7" cm="1">
        <f t="array" ref="CI24">PRODUCT(1 + 預測IC!$C24:CI24) - 1</f>
        <v>-0.15087290421343047</v>
      </c>
      <c r="CJ24" s="7" cm="1">
        <f t="array" ref="CJ24">PRODUCT(1 + 預測IC!$C24:CJ24) - 1</f>
        <v>-0.13974128493198235</v>
      </c>
      <c r="CK24" s="7" cm="1">
        <f t="array" ref="CK24">PRODUCT(1 + 預測IC!$C24:CK24) - 1</f>
        <v>-5.9281219079651448E-2</v>
      </c>
      <c r="CL24" s="7" cm="1">
        <f t="array" ref="CL24">PRODUCT(1 + 預測IC!$C24:CL24) - 1</f>
        <v>7.4070685319522767E-2</v>
      </c>
      <c r="CM24" s="7" cm="1">
        <f t="array" ref="CM24">PRODUCT(1 + 預測IC!$C24:CM24) - 1</f>
        <v>0.66436608915606965</v>
      </c>
      <c r="CN24" s="7" cm="1">
        <f t="array" ref="CN24">PRODUCT(1 + 預測IC!$C24:CN24) - 1</f>
        <v>0.48504933977717868</v>
      </c>
      <c r="CO24" s="7" cm="1">
        <f t="array" ref="CO24">PRODUCT(1 + 預測IC!$C24:CO24) - 1</f>
        <v>-0.66831900934886235</v>
      </c>
      <c r="CP24" s="7" cm="1">
        <f t="array" ref="CP24">PRODUCT(1 + 預測IC!$C24:CP24) - 1</f>
        <v>-0.61513588465070668</v>
      </c>
      <c r="CQ24" s="7" cm="1">
        <f t="array" ref="CQ24">PRODUCT(1 + 預測IC!$C24:CQ24) - 1</f>
        <v>-0.57099690693989835</v>
      </c>
      <c r="CR24" s="7" cm="1">
        <f t="array" ref="CR24">PRODUCT(1 + 預測IC!$C24:CR24) - 1</f>
        <v>-0.54479132239605244</v>
      </c>
      <c r="CS24" s="7" cm="1">
        <f t="array" ref="CS24">PRODUCT(1 + 預測IC!$C24:CS24) - 1</f>
        <v>-0.58389157770720912</v>
      </c>
      <c r="CT24" s="7" cm="1">
        <f t="array" ref="CT24">PRODUCT(1 + 預測IC!$C24:CT24) - 1</f>
        <v>-0.54377081634796054</v>
      </c>
      <c r="CU24" s="7" cm="1">
        <f t="array" ref="CU24">PRODUCT(1 + 預測IC!$C24:CU24) - 1</f>
        <v>-0.5769621042989671</v>
      </c>
      <c r="CV24" s="7" cm="1">
        <f t="array" ref="CV24">PRODUCT(1 + 預測IC!$C24:CV24) - 1</f>
        <v>-0.57058944132716949</v>
      </c>
      <c r="CW24" s="7" cm="1">
        <f t="array" ref="CW24">PRODUCT(1 + 預測IC!$C24:CW24) - 1</f>
        <v>-0.49539228121098589</v>
      </c>
      <c r="CX24" s="7" cm="1">
        <f t="array" ref="CX24">PRODUCT(1 + 預測IC!$C24:CX24) - 1</f>
        <v>-0.46753430513290206</v>
      </c>
      <c r="CY24" s="7" cm="1">
        <f t="array" ref="CY24">PRODUCT(1 + 預測IC!$C24:CY24) - 1</f>
        <v>-0.51016718514620352</v>
      </c>
      <c r="CZ24" s="7" cm="1">
        <f t="array" ref="CZ24">PRODUCT(1 + 預測IC!$C24:CZ24) - 1</f>
        <v>-0.4552046964899471</v>
      </c>
      <c r="DA24" s="7" cm="1">
        <f t="array" ref="DA24">PRODUCT(1 + 預測IC!$C24:DA24) - 1</f>
        <v>-0.44185110757870216</v>
      </c>
      <c r="DB24" s="7" cm="1">
        <f t="array" ref="DB24">PRODUCT(1 + 預測IC!$C24:DB24) - 1</f>
        <v>-0.55094726545356221</v>
      </c>
      <c r="DC24" s="7" cm="1">
        <f t="array" ref="DC24">PRODUCT(1 + 預測IC!$C24:DC24) - 1</f>
        <v>-0.46509926846809502</v>
      </c>
      <c r="DD24" s="7" cm="1">
        <f t="array" ref="DD24">PRODUCT(1 + 預測IC!$C24:DD24) - 1</f>
        <v>-0.38305545570737354</v>
      </c>
      <c r="DE24" s="7" cm="1">
        <f t="array" ref="DE24">PRODUCT(1 + 預測IC!$C24:DE24) - 1</f>
        <v>-0.49167641340599688</v>
      </c>
      <c r="DF24" s="7" cm="1">
        <f t="array" ref="DF24">PRODUCT(1 + 預測IC!$C24:DF24) - 1</f>
        <v>-0.54488008940754395</v>
      </c>
      <c r="DG24" s="7" cm="1">
        <f t="array" ref="DG24">PRODUCT(1 + 預測IC!$C24:DG24) - 1</f>
        <v>-0.51797984746537995</v>
      </c>
      <c r="DH24" s="7" cm="1">
        <f t="array" ref="DH24">PRODUCT(1 + 預測IC!$C24:DH24) - 1</f>
        <v>-0.51757180532424774</v>
      </c>
      <c r="DI24" s="7" cm="1">
        <f t="array" ref="DI24">PRODUCT(1 + 預測IC!$C24:DI24) - 1</f>
        <v>-0.44912708379986455</v>
      </c>
      <c r="DJ24" s="7" cm="1">
        <f t="array" ref="DJ24">PRODUCT(1 + 預測IC!$C24:DJ24) - 1</f>
        <v>-0.52211147103439337</v>
      </c>
      <c r="DK24" s="7" cm="1">
        <f t="array" ref="DK24">PRODUCT(1 + 預測IC!$C24:DK24) - 1</f>
        <v>-0.3598639137959363</v>
      </c>
      <c r="DL24" s="7" cm="1">
        <f t="array" ref="DL24">PRODUCT(1 + 預測IC!$C24:DL24) - 1</f>
        <v>-0.22344808040052988</v>
      </c>
      <c r="DM24" s="7" cm="1">
        <f t="array" ref="DM24">PRODUCT(1 + 預測IC!$C24:DM24) - 1</f>
        <v>-0.33328321677580108</v>
      </c>
      <c r="DN24" s="7" cm="1">
        <f t="array" ref="DN24">PRODUCT(1 + 預測IC!$C24:DN24) - 1</f>
        <v>-0.17771514233389651</v>
      </c>
      <c r="DO24" s="7" cm="1">
        <f t="array" ref="DO24">PRODUCT(1 + 預測IC!$C24:DO24) - 1</f>
        <v>-2.522997833558871E-2</v>
      </c>
      <c r="DP24" s="7" cm="1">
        <f t="array" ref="DP24">PRODUCT(1 + 預測IC!$C24:DP24) - 1</f>
        <v>8.6257808103245903E-2</v>
      </c>
      <c r="DQ24" s="7" cm="1">
        <f t="array" ref="DQ24">PRODUCT(1 + 預測IC!$C24:DQ24) - 1</f>
        <v>-5.8189877977714355E-2</v>
      </c>
      <c r="DR24" s="7" cm="1">
        <f t="array" ref="DR24">PRODUCT(1 + 預測IC!$C24:DR24) - 1</f>
        <v>-7.7511706171069727E-2</v>
      </c>
      <c r="DS24" s="7" cm="1">
        <f t="array" ref="DS24">PRODUCT(1 + 預測IC!$C24:DS24) - 1</f>
        <v>-0.27701044617927462</v>
      </c>
      <c r="DT24" s="7" cm="1">
        <f t="array" ref="DT24">PRODUCT(1 + 預測IC!$C24:DT24) - 1</f>
        <v>-0.30474639767490086</v>
      </c>
      <c r="DU24" s="7" cm="1">
        <f t="array" ref="DU24">PRODUCT(1 + 預測IC!$C24:DU24) - 1</f>
        <v>-0.33786729708665941</v>
      </c>
      <c r="DV24" s="7" cm="1">
        <f t="array" ref="DV24">PRODUCT(1 + 預測IC!$C24:DV24) - 1</f>
        <v>-0.23310154970598185</v>
      </c>
      <c r="DW24" s="7" cm="1">
        <f t="array" ref="DW24">PRODUCT(1 + 預測IC!$C24:DW24) - 1</f>
        <v>-0.149619216164804</v>
      </c>
      <c r="DX24" s="7" cm="1">
        <f t="array" ref="DX24">PRODUCT(1 + 預測IC!$C24:DX24) - 1</f>
        <v>-0.41459202441465393</v>
      </c>
      <c r="DY24" s="7" cm="1">
        <f t="array" ref="DY24">PRODUCT(1 + 預測IC!$C24:DY24) - 1</f>
        <v>-0.21332625288255092</v>
      </c>
      <c r="DZ24" s="7" cm="1">
        <f t="array" ref="DZ24">PRODUCT(1 + 預測IC!$C24:DZ24) - 1</f>
        <v>-0.2530290337175648</v>
      </c>
      <c r="EA24" s="7" cm="1">
        <f t="array" ref="EA24">PRODUCT(1 + 預測IC!$C24:EA24) - 1</f>
        <v>-0.19525014059857426</v>
      </c>
      <c r="EB24" s="7" cm="1">
        <f t="array" ref="EB24">PRODUCT(1 + 預測IC!$C24:EB24) - 1</f>
        <v>-0.21905639286933276</v>
      </c>
      <c r="EC24" s="7" cm="1">
        <f t="array" ref="EC24">PRODUCT(1 + 預測IC!$C24:EC24) - 1</f>
        <v>-0.23023163245185363</v>
      </c>
      <c r="ED24" s="7" cm="1">
        <f t="array" ref="ED24">PRODUCT(1 + 預測IC!$C24:ED24) - 1</f>
        <v>-0.27347171187770836</v>
      </c>
      <c r="EE24" s="7" cm="1">
        <f t="array" ref="EE24">PRODUCT(1 + 預測IC!$C24:EE24) - 1</f>
        <v>-0.19106201559944058</v>
      </c>
      <c r="EF24" s="7" cm="1">
        <f t="array" ref="EF24">PRODUCT(1 + 預測IC!$C24:EF24) - 1</f>
        <v>-0.13663935607432542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5"/>
  <sheetViews>
    <sheetView workbookViewId="0">
      <selection activeCell="A2" sqref="A2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8" x14ac:dyDescent="0.3">
      <c r="A1" t="str">
        <f>預測IC!A1</f>
        <v>NN5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8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8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8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8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8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EG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8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8" x14ac:dyDescent="0.3">
      <c r="A10" s="19" t="s">
        <v>141</v>
      </c>
      <c r="B10" s="20"/>
      <c r="C10" s="1" t="s">
        <v>142</v>
      </c>
      <c r="D10" s="2">
        <v>964</v>
      </c>
    </row>
    <row r="11" spans="1:138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t="s">
        <v>150</v>
      </c>
      <c r="EH11" t="s">
        <v>151</v>
      </c>
    </row>
    <row r="12" spans="1:138" x14ac:dyDescent="0.3">
      <c r="A12" s="1">
        <v>10</v>
      </c>
      <c r="B12" s="1">
        <v>96</v>
      </c>
      <c r="C12" s="7">
        <f>IF(預測IC!C12&gt;預測IC!C$25,1,0)</f>
        <v>1</v>
      </c>
      <c r="D12" s="7">
        <f>IF(預測IC!D12&gt;預測IC!D$25,1,0)</f>
        <v>1</v>
      </c>
      <c r="E12" s="7">
        <f>IF(預測IC!E12&gt;預測IC!E$25,1,0)</f>
        <v>0</v>
      </c>
      <c r="F12" s="7">
        <f>IF(預測IC!F12&gt;預測IC!F$25,1,0)</f>
        <v>0</v>
      </c>
      <c r="G12" s="7">
        <f>IF(預測IC!G12&gt;預測IC!G$25,1,0)</f>
        <v>0</v>
      </c>
      <c r="H12" s="7">
        <f>IF(預測IC!H12&gt;預測IC!H$25,1,0)</f>
        <v>0</v>
      </c>
      <c r="I12" s="7">
        <f>IF(預測IC!I12&gt;預測IC!I$25,1,0)</f>
        <v>1</v>
      </c>
      <c r="J12" s="7">
        <f>IF(預測IC!J12&gt;預測IC!J$25,1,0)</f>
        <v>1</v>
      </c>
      <c r="K12" s="7">
        <f>IF(預測IC!K12&gt;預測IC!K$25,1,0)</f>
        <v>1</v>
      </c>
      <c r="L12" s="7">
        <f>IF(預測IC!L12&gt;預測IC!L$25,1,0)</f>
        <v>0</v>
      </c>
      <c r="M12" s="7">
        <f>IF(預測IC!M12&gt;預測IC!M$25,1,0)</f>
        <v>0</v>
      </c>
      <c r="N12" s="7">
        <f>IF(預測IC!N12&gt;預測IC!N$25,1,0)</f>
        <v>1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0</v>
      </c>
      <c r="R12" s="7">
        <f>IF(預測IC!R12&gt;預測IC!R$25,1,0)</f>
        <v>0</v>
      </c>
      <c r="S12" s="7">
        <f>IF(預測IC!S12&gt;預測IC!S$25,1,0)</f>
        <v>0</v>
      </c>
      <c r="T12" s="7">
        <f>IF(預測IC!T12&gt;預測IC!T$25,1,0)</f>
        <v>0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1</v>
      </c>
      <c r="X12" s="7">
        <f>IF(預測IC!X12&gt;預測IC!X$25,1,0)</f>
        <v>1</v>
      </c>
      <c r="Y12" s="7">
        <f>IF(預測IC!Y12&gt;預測IC!Y$25,1,0)</f>
        <v>1</v>
      </c>
      <c r="Z12" s="7">
        <f>IF(預測IC!Z12&gt;預測IC!Z$25,1,0)</f>
        <v>1</v>
      </c>
      <c r="AA12" s="7">
        <f>IF(預測IC!AA12&gt;預測IC!AA$25,1,0)</f>
        <v>0</v>
      </c>
      <c r="AB12" s="7">
        <f>IF(預測IC!AB12&gt;預測IC!AB$25,1,0)</f>
        <v>1</v>
      </c>
      <c r="AC12" s="7">
        <f>IF(預測IC!AC12&gt;預測IC!AC$25,1,0)</f>
        <v>0</v>
      </c>
      <c r="AD12" s="7">
        <f>IF(預測IC!AD12&gt;預測IC!AD$25,1,0)</f>
        <v>1</v>
      </c>
      <c r="AE12" s="7">
        <f>IF(預測IC!AE12&gt;預測IC!AE$25,1,0)</f>
        <v>0</v>
      </c>
      <c r="AF12" s="7">
        <f>IF(預測IC!AF12&gt;預測IC!AF$25,1,0)</f>
        <v>1</v>
      </c>
      <c r="AG12" s="7">
        <f>IF(預測IC!AG12&gt;預測IC!AG$25,1,0)</f>
        <v>0</v>
      </c>
      <c r="AH12" s="7">
        <f>IF(預測IC!AH12&gt;預測IC!AH$25,1,0)</f>
        <v>1</v>
      </c>
      <c r="AI12" s="7">
        <f>IF(預測IC!AI12&gt;預測IC!AI$25,1,0)</f>
        <v>1</v>
      </c>
      <c r="AJ12" s="7">
        <f>IF(預測IC!AJ12&gt;預測IC!AJ$25,1,0)</f>
        <v>1</v>
      </c>
      <c r="AK12" s="7">
        <f>IF(預測IC!AK12&gt;預測IC!AK$25,1,0)</f>
        <v>1</v>
      </c>
      <c r="AL12" s="7">
        <f>IF(預測IC!AL12&gt;預測IC!AL$25,1,0)</f>
        <v>1</v>
      </c>
      <c r="AM12" s="7">
        <f>IF(預測IC!AM12&gt;預測IC!AM$25,1,0)</f>
        <v>1</v>
      </c>
      <c r="AN12" s="7">
        <f>IF(預測IC!AN12&gt;預測IC!AN$25,1,0)</f>
        <v>1</v>
      </c>
      <c r="AO12" s="7">
        <f>IF(預測IC!AO12&gt;預測IC!AO$25,1,0)</f>
        <v>0</v>
      </c>
      <c r="AP12" s="7">
        <f>IF(預測IC!AP12&gt;預測IC!AP$25,1,0)</f>
        <v>0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1</v>
      </c>
      <c r="AT12" s="7">
        <f>IF(預測IC!AT12&gt;預測IC!AT$25,1,0)</f>
        <v>0</v>
      </c>
      <c r="AU12" s="7">
        <f>IF(預測IC!AU12&gt;預測IC!AU$25,1,0)</f>
        <v>1</v>
      </c>
      <c r="AV12" s="7">
        <f>IF(預測IC!AV12&gt;預測IC!AV$25,1,0)</f>
        <v>0</v>
      </c>
      <c r="AW12" s="7">
        <f>IF(預測IC!AW12&gt;預測IC!AW$25,1,0)</f>
        <v>1</v>
      </c>
      <c r="AX12" s="7">
        <f>IF(預測IC!AX12&gt;預測IC!AX$25,1,0)</f>
        <v>1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0</v>
      </c>
      <c r="BB12" s="7">
        <f>IF(預測IC!BB12&gt;預測IC!BB$25,1,0)</f>
        <v>1</v>
      </c>
      <c r="BC12" s="7">
        <f>IF(預測IC!BC12&gt;預測IC!BC$25,1,0)</f>
        <v>0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1</v>
      </c>
      <c r="BG12" s="7">
        <f>IF(預測IC!BG12&gt;預測IC!BG$25,1,0)</f>
        <v>1</v>
      </c>
      <c r="BH12" s="7">
        <f>IF(預測IC!BH12&gt;預測IC!BH$25,1,0)</f>
        <v>1</v>
      </c>
      <c r="BI12" s="7">
        <f>IF(預測IC!BI12&gt;預測IC!BI$25,1,0)</f>
        <v>1</v>
      </c>
      <c r="BJ12" s="7">
        <f>IF(預測IC!BJ12&gt;預測IC!BJ$25,1,0)</f>
        <v>1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0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0</v>
      </c>
      <c r="BQ12" s="7">
        <f>IF(預測IC!BQ12&gt;預測IC!BQ$25,1,0)</f>
        <v>1</v>
      </c>
      <c r="BR12" s="7">
        <f>IF(預測IC!BR12&gt;預測IC!BR$25,1,0)</f>
        <v>1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0</v>
      </c>
      <c r="CB12" s="7">
        <f>IF(預測IC!CB12&gt;預測IC!CB$25,1,0)</f>
        <v>0</v>
      </c>
      <c r="CC12" s="7">
        <f>IF(預測IC!CC12&gt;預測IC!CC$25,1,0)</f>
        <v>0</v>
      </c>
      <c r="CD12" s="7">
        <f>IF(預測IC!CD12&gt;預測IC!CD$25,1,0)</f>
        <v>1</v>
      </c>
      <c r="CE12" s="7">
        <f>IF(預測IC!CE12&gt;預測IC!CE$25,1,0)</f>
        <v>1</v>
      </c>
      <c r="CF12" s="7">
        <f>IF(預測IC!CF12&gt;預測IC!CF$25,1,0)</f>
        <v>1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0</v>
      </c>
      <c r="CJ12" s="7">
        <f>IF(預測IC!CJ12&gt;預測IC!CJ$25,1,0)</f>
        <v>0</v>
      </c>
      <c r="CK12" s="7">
        <f>IF(預測IC!CK12&gt;預測IC!CK$25,1,0)</f>
        <v>0</v>
      </c>
      <c r="CL12" s="7">
        <f>IF(預測IC!CL12&gt;預測IC!CL$25,1,0)</f>
        <v>1</v>
      </c>
      <c r="CM12" s="7">
        <f>IF(預測IC!CM12&gt;預測IC!CM$25,1,0)</f>
        <v>1</v>
      </c>
      <c r="CN12" s="7">
        <f>IF(預測IC!CN12&gt;預測IC!CN$25,1,0)</f>
        <v>0</v>
      </c>
      <c r="CO12" s="7">
        <f>IF(預測IC!CO12&gt;預測IC!CO$25,1,0)</f>
        <v>1</v>
      </c>
      <c r="CP12" s="7">
        <f>IF(預測IC!CP12&gt;預測IC!CP$25,1,0)</f>
        <v>1</v>
      </c>
      <c r="CQ12" s="7">
        <f>IF(預測IC!CQ12&gt;預測IC!CQ$25,1,0)</f>
        <v>1</v>
      </c>
      <c r="CR12" s="7">
        <f>IF(預測IC!CR12&gt;預測IC!CR$25,1,0)</f>
        <v>0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1</v>
      </c>
      <c r="CV12" s="7">
        <f>IF(預測IC!CV12&gt;預測IC!CV$25,1,0)</f>
        <v>1</v>
      </c>
      <c r="CW12" s="7">
        <f>IF(預測IC!CW12&gt;預測IC!CW$25,1,0)</f>
        <v>1</v>
      </c>
      <c r="CX12" s="7">
        <f>IF(預測IC!CX12&gt;預測IC!CX$25,1,0)</f>
        <v>1</v>
      </c>
      <c r="CY12" s="7">
        <f>IF(預測IC!CY12&gt;預測IC!CY$25,1,0)</f>
        <v>0</v>
      </c>
      <c r="CZ12" s="7">
        <f>IF(預測IC!CZ12&gt;預測IC!CZ$25,1,0)</f>
        <v>1</v>
      </c>
      <c r="DA12" s="7">
        <f>IF(預測IC!DA12&gt;預測IC!DA$25,1,0)</f>
        <v>0</v>
      </c>
      <c r="DB12" s="7">
        <f>IF(預測IC!DB12&gt;預測IC!DB$25,1,0)</f>
        <v>0</v>
      </c>
      <c r="DC12" s="7">
        <f>IF(預測IC!DC12&gt;預測IC!DC$25,1,0)</f>
        <v>1</v>
      </c>
      <c r="DD12" s="7">
        <f>IF(預測IC!DD12&gt;預測IC!DD$25,1,0)</f>
        <v>1</v>
      </c>
      <c r="DE12" s="7">
        <f>IF(預測IC!DE12&gt;預測IC!DE$25,1,0)</f>
        <v>0</v>
      </c>
      <c r="DF12" s="7">
        <f>IF(預測IC!DF12&gt;預測IC!DF$25,1,0)</f>
        <v>1</v>
      </c>
      <c r="DG12" s="7">
        <f>IF(預測IC!DG12&gt;預測IC!DG$25,1,0)</f>
        <v>0</v>
      </c>
      <c r="DH12" s="7">
        <f>IF(預測IC!DH12&gt;預測IC!DH$25,1,0)</f>
        <v>0</v>
      </c>
      <c r="DI12" s="7">
        <f>IF(預測IC!DI12&gt;預測IC!DI$25,1,0)</f>
        <v>0</v>
      </c>
      <c r="DJ12" s="7">
        <f>IF(預測IC!DJ12&gt;預測IC!DJ$25,1,0)</f>
        <v>1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1</v>
      </c>
      <c r="DP12" s="7">
        <f>IF(預測IC!DP12&gt;預測IC!DP$25,1,0)</f>
        <v>1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1</v>
      </c>
      <c r="DW12" s="7">
        <f>IF(預測IC!DW12&gt;預測IC!DW$25,1,0)</f>
        <v>1</v>
      </c>
      <c r="DX12" s="7">
        <f>IF(預測IC!DX12&gt;預測IC!DX$25,1,0)</f>
        <v>0</v>
      </c>
      <c r="DY12" s="7">
        <f>IF(預測IC!DY12&gt;預測IC!DY$25,1,0)</f>
        <v>1</v>
      </c>
      <c r="DZ12" s="7">
        <f>IF(預測IC!DZ12&gt;預測IC!DZ$25,1,0)</f>
        <v>0</v>
      </c>
      <c r="EA12" s="7">
        <f>IF(預測IC!EA12&gt;預測IC!EA$25,1,0)</f>
        <v>1</v>
      </c>
      <c r="EB12" s="7">
        <f>IF(預測IC!EB12&gt;預測IC!EB$25,1,0)</f>
        <v>0</v>
      </c>
      <c r="EC12" s="7">
        <f>IF(預測IC!EC12&gt;預測IC!EC$25,1,0)</f>
        <v>1</v>
      </c>
      <c r="ED12" s="7">
        <f>IF(預測IC!ED12&gt;預測IC!ED$25,1,0)</f>
        <v>0</v>
      </c>
      <c r="EE12" s="7">
        <f>IF(預測IC!EE12&gt;預測IC!EE$25,1,0)</f>
        <v>0</v>
      </c>
      <c r="EF12" s="7">
        <f>IF(預測IC!EF12&gt;預測IC!EF$25,1,0)</f>
        <v>1</v>
      </c>
      <c r="EG12">
        <f t="shared" ref="EG12:EG24" si="10">SUM(C12:EF12)</f>
        <v>67</v>
      </c>
      <c r="EH12" s="11">
        <f t="shared" ref="EH12:EH24" si="11">SUM(C12:EE12)/134</f>
        <v>0.4925373134328358</v>
      </c>
    </row>
    <row r="13" spans="1:138" x14ac:dyDescent="0.3">
      <c r="A13" s="1">
        <v>20</v>
      </c>
      <c r="B13" s="1">
        <v>48</v>
      </c>
      <c r="C13" s="7">
        <f>IF(預測IC!C13&gt;預測IC!C$25,1,0)</f>
        <v>1</v>
      </c>
      <c r="D13" s="7">
        <f>IF(預測IC!D13&gt;預測IC!D$25,1,0)</f>
        <v>1</v>
      </c>
      <c r="E13" s="7">
        <f>IF(預測IC!E13&gt;預測IC!E$25,1,0)</f>
        <v>0</v>
      </c>
      <c r="F13" s="7">
        <f>IF(預測IC!F13&gt;預測IC!F$25,1,0)</f>
        <v>0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1</v>
      </c>
      <c r="J13" s="7">
        <f>IF(預測IC!J13&gt;預測IC!J$25,1,0)</f>
        <v>1</v>
      </c>
      <c r="K13" s="7">
        <f>IF(預測IC!K13&gt;預測IC!K$25,1,0)</f>
        <v>1</v>
      </c>
      <c r="L13" s="7">
        <f>IF(預測IC!L13&gt;預測IC!L$25,1,0)</f>
        <v>0</v>
      </c>
      <c r="M13" s="7">
        <f>IF(預測IC!M13&gt;預測IC!M$25,1,0)</f>
        <v>0</v>
      </c>
      <c r="N13" s="7">
        <f>IF(預測IC!N13&gt;預測IC!N$25,1,0)</f>
        <v>1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0</v>
      </c>
      <c r="R13" s="7">
        <f>IF(預測IC!R13&gt;預測IC!R$25,1,0)</f>
        <v>0</v>
      </c>
      <c r="S13" s="7">
        <f>IF(預測IC!S13&gt;預測IC!S$25,1,0)</f>
        <v>0</v>
      </c>
      <c r="T13" s="7">
        <f>IF(預測IC!T13&gt;預測IC!T$25,1,0)</f>
        <v>0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1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1</v>
      </c>
      <c r="AA13" s="7">
        <f>IF(預測IC!AA13&gt;預測IC!AA$25,1,0)</f>
        <v>0</v>
      </c>
      <c r="AB13" s="7">
        <f>IF(預測IC!AB13&gt;預測IC!AB$25,1,0)</f>
        <v>1</v>
      </c>
      <c r="AC13" s="7">
        <f>IF(預測IC!AC13&gt;預測IC!AC$25,1,0)</f>
        <v>0</v>
      </c>
      <c r="AD13" s="7">
        <f>IF(預測IC!AD13&gt;預測IC!AD$25,1,0)</f>
        <v>1</v>
      </c>
      <c r="AE13" s="7">
        <f>IF(預測IC!AE13&gt;預測IC!AE$25,1,0)</f>
        <v>0</v>
      </c>
      <c r="AF13" s="7">
        <f>IF(預測IC!AF13&gt;預測IC!AF$25,1,0)</f>
        <v>1</v>
      </c>
      <c r="AG13" s="7">
        <f>IF(預測IC!AG13&gt;預測IC!AG$25,1,0)</f>
        <v>0</v>
      </c>
      <c r="AH13" s="7">
        <f>IF(預測IC!AH13&gt;預測IC!AH$25,1,0)</f>
        <v>1</v>
      </c>
      <c r="AI13" s="7">
        <f>IF(預測IC!AI13&gt;預測IC!AI$25,1,0)</f>
        <v>1</v>
      </c>
      <c r="AJ13" s="7">
        <f>IF(預測IC!AJ13&gt;預測IC!AJ$25,1,0)</f>
        <v>1</v>
      </c>
      <c r="AK13" s="7">
        <f>IF(預測IC!AK13&gt;預測IC!AK$25,1,0)</f>
        <v>1</v>
      </c>
      <c r="AL13" s="7">
        <f>IF(預測IC!AL13&gt;預測IC!AL$25,1,0)</f>
        <v>1</v>
      </c>
      <c r="AM13" s="7">
        <f>IF(預測IC!AM13&gt;預測IC!AM$25,1,0)</f>
        <v>1</v>
      </c>
      <c r="AN13" s="7">
        <f>IF(預測IC!AN13&gt;預測IC!AN$25,1,0)</f>
        <v>1</v>
      </c>
      <c r="AO13" s="7">
        <f>IF(預測IC!AO13&gt;預測IC!AO$25,1,0)</f>
        <v>1</v>
      </c>
      <c r="AP13" s="7">
        <f>IF(預測IC!AP13&gt;預測IC!AP$25,1,0)</f>
        <v>0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1</v>
      </c>
      <c r="AT13" s="7">
        <f>IF(預測IC!AT13&gt;預測IC!AT$25,1,0)</f>
        <v>1</v>
      </c>
      <c r="AU13" s="7">
        <f>IF(預測IC!AU13&gt;預測IC!AU$25,1,0)</f>
        <v>1</v>
      </c>
      <c r="AV13" s="7">
        <f>IF(預測IC!AV13&gt;預測IC!AV$25,1,0)</f>
        <v>0</v>
      </c>
      <c r="AW13" s="7">
        <f>IF(預測IC!AW13&gt;預測IC!AW$25,1,0)</f>
        <v>1</v>
      </c>
      <c r="AX13" s="7">
        <f>IF(預測IC!AX13&gt;預測IC!AX$25,1,0)</f>
        <v>1</v>
      </c>
      <c r="AY13" s="7">
        <f>IF(預測IC!AY13&gt;預測IC!AY$25,1,0)</f>
        <v>0</v>
      </c>
      <c r="AZ13" s="7">
        <f>IF(預測IC!AZ13&gt;預測IC!AZ$25,1,0)</f>
        <v>1</v>
      </c>
      <c r="BA13" s="7">
        <f>IF(預測IC!BA13&gt;預測IC!BA$25,1,0)</f>
        <v>0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1</v>
      </c>
      <c r="BF13" s="7">
        <f>IF(預測IC!BF13&gt;預測IC!BF$25,1,0)</f>
        <v>1</v>
      </c>
      <c r="BG13" s="7">
        <f>IF(預測IC!BG13&gt;預測IC!BG$25,1,0)</f>
        <v>1</v>
      </c>
      <c r="BH13" s="7">
        <f>IF(預測IC!BH13&gt;預測IC!BH$25,1,0)</f>
        <v>1</v>
      </c>
      <c r="BI13" s="7">
        <f>IF(預測IC!BI13&gt;預測IC!BI$25,1,0)</f>
        <v>1</v>
      </c>
      <c r="BJ13" s="7">
        <f>IF(預測IC!BJ13&gt;預測IC!BJ$25,1,0)</f>
        <v>0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0</v>
      </c>
      <c r="BN13" s="7">
        <f>IF(預測IC!BN13&gt;預測IC!BN$25,1,0)</f>
        <v>0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1</v>
      </c>
      <c r="BR13" s="7">
        <f>IF(預測IC!BR13&gt;預測IC!BR$25,1,0)</f>
        <v>1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1</v>
      </c>
      <c r="BV13" s="7">
        <f>IF(預測IC!BV13&gt;預測IC!BV$25,1,0)</f>
        <v>0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0</v>
      </c>
      <c r="CB13" s="7">
        <f>IF(預測IC!CB13&gt;預測IC!CB$25,1,0)</f>
        <v>0</v>
      </c>
      <c r="CC13" s="7">
        <f>IF(預測IC!CC13&gt;預測IC!CC$25,1,0)</f>
        <v>0</v>
      </c>
      <c r="CD13" s="7">
        <f>IF(預測IC!CD13&gt;預測IC!CD$25,1,0)</f>
        <v>1</v>
      </c>
      <c r="CE13" s="7">
        <f>IF(預測IC!CE13&gt;預測IC!CE$25,1,0)</f>
        <v>1</v>
      </c>
      <c r="CF13" s="7">
        <f>IF(預測IC!CF13&gt;預測IC!CF$25,1,0)</f>
        <v>1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1</v>
      </c>
      <c r="CL13" s="7">
        <f>IF(預測IC!CL13&gt;預測IC!CL$25,1,0)</f>
        <v>1</v>
      </c>
      <c r="CM13" s="7">
        <f>IF(預測IC!CM13&gt;預測IC!CM$25,1,0)</f>
        <v>1</v>
      </c>
      <c r="CN13" s="7">
        <f>IF(預測IC!CN13&gt;預測IC!CN$25,1,0)</f>
        <v>0</v>
      </c>
      <c r="CO13" s="7">
        <f>IF(預測IC!CO13&gt;預測IC!CO$25,1,0)</f>
        <v>1</v>
      </c>
      <c r="CP13" s="7">
        <f>IF(預測IC!CP13&gt;預測IC!CP$25,1,0)</f>
        <v>1</v>
      </c>
      <c r="CQ13" s="7">
        <f>IF(預測IC!CQ13&gt;預測IC!CQ$25,1,0)</f>
        <v>1</v>
      </c>
      <c r="CR13" s="7">
        <f>IF(預測IC!CR13&gt;預測IC!CR$25,1,0)</f>
        <v>1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1</v>
      </c>
      <c r="CV13" s="7">
        <f>IF(預測IC!CV13&gt;預測IC!CV$25,1,0)</f>
        <v>0</v>
      </c>
      <c r="CW13" s="7">
        <f>IF(預測IC!CW13&gt;預測IC!CW$25,1,0)</f>
        <v>1</v>
      </c>
      <c r="CX13" s="7">
        <f>IF(預測IC!CX13&gt;預測IC!CX$25,1,0)</f>
        <v>1</v>
      </c>
      <c r="CY13" s="7">
        <f>IF(預測IC!CY13&gt;預測IC!CY$25,1,0)</f>
        <v>0</v>
      </c>
      <c r="CZ13" s="7">
        <f>IF(預測IC!CZ13&gt;預測IC!CZ$25,1,0)</f>
        <v>1</v>
      </c>
      <c r="DA13" s="7">
        <f>IF(預測IC!DA13&gt;預測IC!DA$25,1,0)</f>
        <v>0</v>
      </c>
      <c r="DB13" s="7">
        <f>IF(預測IC!DB13&gt;預測IC!DB$25,1,0)</f>
        <v>0</v>
      </c>
      <c r="DC13" s="7">
        <f>IF(預測IC!DC13&gt;預測IC!DC$25,1,0)</f>
        <v>1</v>
      </c>
      <c r="DD13" s="7">
        <f>IF(預測IC!DD13&gt;預測IC!DD$25,1,0)</f>
        <v>1</v>
      </c>
      <c r="DE13" s="7">
        <f>IF(預測IC!DE13&gt;預測IC!DE$25,1,0)</f>
        <v>0</v>
      </c>
      <c r="DF13" s="7">
        <f>IF(預測IC!DF13&gt;預測IC!DF$25,1,0)</f>
        <v>1</v>
      </c>
      <c r="DG13" s="7">
        <f>IF(預測IC!DG13&gt;預測IC!DG$25,1,0)</f>
        <v>0</v>
      </c>
      <c r="DH13" s="7">
        <f>IF(預測IC!DH13&gt;預測IC!DH$25,1,0)</f>
        <v>0</v>
      </c>
      <c r="DI13" s="7">
        <f>IF(預測IC!DI13&gt;預測IC!DI$25,1,0)</f>
        <v>0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0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1</v>
      </c>
      <c r="DP13" s="7">
        <f>IF(預測IC!DP13&gt;預測IC!DP$25,1,0)</f>
        <v>1</v>
      </c>
      <c r="DQ13" s="7">
        <f>IF(預測IC!DQ13&gt;預測IC!DQ$25,1,0)</f>
        <v>0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1</v>
      </c>
      <c r="DW13" s="7">
        <f>IF(預測IC!DW13&gt;預測IC!DW$25,1,0)</f>
        <v>1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0</v>
      </c>
      <c r="EA13" s="7">
        <f>IF(預測IC!EA13&gt;預測IC!EA$25,1,0)</f>
        <v>1</v>
      </c>
      <c r="EB13" s="7">
        <f>IF(預測IC!EB13&gt;預測IC!EB$25,1,0)</f>
        <v>0</v>
      </c>
      <c r="EC13" s="7">
        <f>IF(預測IC!EC13&gt;預測IC!EC$25,1,0)</f>
        <v>1</v>
      </c>
      <c r="ED13" s="7">
        <f>IF(預測IC!ED13&gt;預測IC!ED$25,1,0)</f>
        <v>0</v>
      </c>
      <c r="EE13" s="7">
        <f>IF(預測IC!EE13&gt;預測IC!EE$25,1,0)</f>
        <v>0</v>
      </c>
      <c r="EF13" s="7">
        <f>IF(預測IC!EF13&gt;預測IC!EF$25,1,0)</f>
        <v>1</v>
      </c>
      <c r="EG13">
        <f t="shared" si="10"/>
        <v>71</v>
      </c>
      <c r="EH13" s="11">
        <f t="shared" si="11"/>
        <v>0.52238805970149249</v>
      </c>
    </row>
    <row r="14" spans="1:138" x14ac:dyDescent="0.3">
      <c r="A14" s="1">
        <v>50</v>
      </c>
      <c r="B14" s="1">
        <v>19</v>
      </c>
      <c r="C14" s="7">
        <f>IF(預測IC!C14&gt;預測IC!C$25,1,0)</f>
        <v>0</v>
      </c>
      <c r="D14" s="7">
        <f>IF(預測IC!D14&gt;預測IC!D$25,1,0)</f>
        <v>1</v>
      </c>
      <c r="E14" s="7">
        <f>IF(預測IC!E14&gt;預測IC!E$25,1,0)</f>
        <v>0</v>
      </c>
      <c r="F14" s="7">
        <f>IF(預測IC!F14&gt;預測IC!F$25,1,0)</f>
        <v>0</v>
      </c>
      <c r="G14" s="7">
        <f>IF(預測IC!G14&gt;預測IC!G$25,1,0)</f>
        <v>0</v>
      </c>
      <c r="H14" s="7">
        <f>IF(預測IC!H14&gt;預測IC!H$25,1,0)</f>
        <v>0</v>
      </c>
      <c r="I14" s="7">
        <f>IF(預測IC!I14&gt;預測IC!I$25,1,0)</f>
        <v>1</v>
      </c>
      <c r="J14" s="7">
        <f>IF(預測IC!J14&gt;預測IC!J$25,1,0)</f>
        <v>1</v>
      </c>
      <c r="K14" s="7">
        <f>IF(預測IC!K14&gt;預測IC!K$25,1,0)</f>
        <v>0</v>
      </c>
      <c r="L14" s="7">
        <f>IF(預測IC!L14&gt;預測IC!L$25,1,0)</f>
        <v>1</v>
      </c>
      <c r="M14" s="7">
        <f>IF(預測IC!M14&gt;預測IC!M$25,1,0)</f>
        <v>0</v>
      </c>
      <c r="N14" s="7">
        <f>IF(預測IC!N14&gt;預測IC!N$25,1,0)</f>
        <v>1</v>
      </c>
      <c r="O14" s="7">
        <f>IF(預測IC!O14&gt;預測IC!O$25,1,0)</f>
        <v>1</v>
      </c>
      <c r="P14" s="7">
        <f>IF(預測IC!P14&gt;預測IC!P$25,1,0)</f>
        <v>0</v>
      </c>
      <c r="Q14" s="7">
        <f>IF(預測IC!Q14&gt;預測IC!Q$25,1,0)</f>
        <v>0</v>
      </c>
      <c r="R14" s="7">
        <f>IF(預測IC!R14&gt;預測IC!R$25,1,0)</f>
        <v>0</v>
      </c>
      <c r="S14" s="7">
        <f>IF(預測IC!S14&gt;預測IC!S$25,1,0)</f>
        <v>0</v>
      </c>
      <c r="T14" s="7">
        <f>IF(預測IC!T14&gt;預測IC!T$25,1,0)</f>
        <v>0</v>
      </c>
      <c r="U14" s="7">
        <f>IF(預測IC!U14&gt;預測IC!U$25,1,0)</f>
        <v>0</v>
      </c>
      <c r="V14" s="7">
        <f>IF(預測IC!V14&gt;預測IC!V$25,1,0)</f>
        <v>1</v>
      </c>
      <c r="W14" s="7">
        <f>IF(預測IC!W14&gt;預測IC!W$25,1,0)</f>
        <v>1</v>
      </c>
      <c r="X14" s="7">
        <f>IF(預測IC!X14&gt;預測IC!X$25,1,0)</f>
        <v>1</v>
      </c>
      <c r="Y14" s="7">
        <f>IF(預測IC!Y14&gt;預測IC!Y$25,1,0)</f>
        <v>1</v>
      </c>
      <c r="Z14" s="7">
        <f>IF(預測IC!Z14&gt;預測IC!Z$25,1,0)</f>
        <v>1</v>
      </c>
      <c r="AA14" s="7">
        <f>IF(預測IC!AA14&gt;預測IC!AA$25,1,0)</f>
        <v>0</v>
      </c>
      <c r="AB14" s="7">
        <f>IF(預測IC!AB14&gt;預測IC!AB$25,1,0)</f>
        <v>1</v>
      </c>
      <c r="AC14" s="7">
        <f>IF(預測IC!AC14&gt;預測IC!AC$25,1,0)</f>
        <v>0</v>
      </c>
      <c r="AD14" s="7">
        <f>IF(預測IC!AD14&gt;預測IC!AD$25,1,0)</f>
        <v>1</v>
      </c>
      <c r="AE14" s="7">
        <f>IF(預測IC!AE14&gt;預測IC!AE$25,1,0)</f>
        <v>0</v>
      </c>
      <c r="AF14" s="7">
        <f>IF(預測IC!AF14&gt;預測IC!AF$25,1,0)</f>
        <v>1</v>
      </c>
      <c r="AG14" s="7">
        <f>IF(預測IC!AG14&gt;預測IC!AG$25,1,0)</f>
        <v>0</v>
      </c>
      <c r="AH14" s="7">
        <f>IF(預測IC!AH14&gt;預測IC!AH$25,1,0)</f>
        <v>0</v>
      </c>
      <c r="AI14" s="7">
        <f>IF(預測IC!AI14&gt;預測IC!AI$25,1,0)</f>
        <v>1</v>
      </c>
      <c r="AJ14" s="7">
        <f>IF(預測IC!AJ14&gt;預測IC!AJ$25,1,0)</f>
        <v>1</v>
      </c>
      <c r="AK14" s="7">
        <f>IF(預測IC!AK14&gt;預測IC!AK$25,1,0)</f>
        <v>1</v>
      </c>
      <c r="AL14" s="7">
        <f>IF(預測IC!AL14&gt;預測IC!AL$25,1,0)</f>
        <v>1</v>
      </c>
      <c r="AM14" s="7">
        <f>IF(預測IC!AM14&gt;預測IC!AM$25,1,0)</f>
        <v>1</v>
      </c>
      <c r="AN14" s="7">
        <f>IF(預測IC!AN14&gt;預測IC!AN$25,1,0)</f>
        <v>1</v>
      </c>
      <c r="AO14" s="7">
        <f>IF(預測IC!AO14&gt;預測IC!AO$25,1,0)</f>
        <v>1</v>
      </c>
      <c r="AP14" s="7">
        <f>IF(預測IC!AP14&gt;預測IC!AP$25,1,0)</f>
        <v>0</v>
      </c>
      <c r="AQ14" s="7">
        <f>IF(預測IC!AQ14&gt;預測IC!AQ$25,1,0)</f>
        <v>0</v>
      </c>
      <c r="AR14" s="7">
        <f>IF(預測IC!AR14&gt;預測IC!AR$25,1,0)</f>
        <v>1</v>
      </c>
      <c r="AS14" s="7">
        <f>IF(預測IC!AS14&gt;預測IC!AS$25,1,0)</f>
        <v>1</v>
      </c>
      <c r="AT14" s="7">
        <f>IF(預測IC!AT14&gt;預測IC!AT$25,1,0)</f>
        <v>1</v>
      </c>
      <c r="AU14" s="7">
        <f>IF(預測IC!AU14&gt;預測IC!AU$25,1,0)</f>
        <v>1</v>
      </c>
      <c r="AV14" s="7">
        <f>IF(預測IC!AV14&gt;預測IC!AV$25,1,0)</f>
        <v>0</v>
      </c>
      <c r="AW14" s="7">
        <f>IF(預測IC!AW14&gt;預測IC!AW$25,1,0)</f>
        <v>1</v>
      </c>
      <c r="AX14" s="7">
        <f>IF(預測IC!AX14&gt;預測IC!AX$25,1,0)</f>
        <v>1</v>
      </c>
      <c r="AY14" s="7">
        <f>IF(預測IC!AY14&gt;預測IC!AY$25,1,0)</f>
        <v>0</v>
      </c>
      <c r="AZ14" s="7">
        <f>IF(預測IC!AZ14&gt;預測IC!AZ$25,1,0)</f>
        <v>0</v>
      </c>
      <c r="BA14" s="7">
        <f>IF(預測IC!BA14&gt;預測IC!BA$25,1,0)</f>
        <v>1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1</v>
      </c>
      <c r="BF14" s="7">
        <f>IF(預測IC!BF14&gt;預測IC!BF$25,1,0)</f>
        <v>1</v>
      </c>
      <c r="BG14" s="7">
        <f>IF(預測IC!BG14&gt;預測IC!BG$25,1,0)</f>
        <v>1</v>
      </c>
      <c r="BH14" s="7">
        <f>IF(預測IC!BH14&gt;預測IC!BH$25,1,0)</f>
        <v>1</v>
      </c>
      <c r="BI14" s="7">
        <f>IF(預測IC!BI14&gt;預測IC!BI$25,1,0)</f>
        <v>1</v>
      </c>
      <c r="BJ14" s="7">
        <f>IF(預測IC!BJ14&gt;預測IC!BJ$25,1,0)</f>
        <v>0</v>
      </c>
      <c r="BK14" s="7">
        <f>IF(預測IC!BK14&gt;預測IC!BK$25,1,0)</f>
        <v>0</v>
      </c>
      <c r="BL14" s="7">
        <f>IF(預測IC!BL14&gt;預測IC!BL$25,1,0)</f>
        <v>1</v>
      </c>
      <c r="BM14" s="7">
        <f>IF(預測IC!BM14&gt;預測IC!BM$25,1,0)</f>
        <v>1</v>
      </c>
      <c r="BN14" s="7">
        <f>IF(預測IC!BN14&gt;預測IC!BN$25,1,0)</f>
        <v>0</v>
      </c>
      <c r="BO14" s="7">
        <f>IF(預測IC!BO14&gt;預測IC!BO$25,1,0)</f>
        <v>1</v>
      </c>
      <c r="BP14" s="7">
        <f>IF(預測IC!BP14&gt;預測IC!BP$25,1,0)</f>
        <v>0</v>
      </c>
      <c r="BQ14" s="7">
        <f>IF(預測IC!BQ14&gt;預測IC!BQ$25,1,0)</f>
        <v>1</v>
      </c>
      <c r="BR14" s="7">
        <f>IF(預測IC!BR14&gt;預測IC!BR$25,1,0)</f>
        <v>0</v>
      </c>
      <c r="BS14" s="7">
        <f>IF(預測IC!BS14&gt;預測IC!BS$25,1,0)</f>
        <v>0</v>
      </c>
      <c r="BT14" s="7">
        <f>IF(預測IC!BT14&gt;預測IC!BT$25,1,0)</f>
        <v>1</v>
      </c>
      <c r="BU14" s="7">
        <f>IF(預測IC!BU14&gt;預測IC!BU$25,1,0)</f>
        <v>0</v>
      </c>
      <c r="BV14" s="7">
        <f>IF(預測IC!BV14&gt;預測IC!BV$25,1,0)</f>
        <v>0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0</v>
      </c>
      <c r="CB14" s="7">
        <f>IF(預測IC!CB14&gt;預測IC!CB$25,1,0)</f>
        <v>0</v>
      </c>
      <c r="CC14" s="7">
        <f>IF(預測IC!CC14&gt;預測IC!CC$25,1,0)</f>
        <v>0</v>
      </c>
      <c r="CD14" s="7">
        <f>IF(預測IC!CD14&gt;預測IC!CD$25,1,0)</f>
        <v>1</v>
      </c>
      <c r="CE14" s="7">
        <f>IF(預測IC!CE14&gt;預測IC!CE$25,1,0)</f>
        <v>0</v>
      </c>
      <c r="CF14" s="7">
        <f>IF(預測IC!CF14&gt;預測IC!CF$25,1,0)</f>
        <v>1</v>
      </c>
      <c r="CG14" s="7">
        <f>IF(預測IC!CG14&gt;預測IC!CG$25,1,0)</f>
        <v>0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0</v>
      </c>
      <c r="CL14" s="7">
        <f>IF(預測IC!CL14&gt;預測IC!CL$25,1,0)</f>
        <v>0</v>
      </c>
      <c r="CM14" s="7">
        <f>IF(預測IC!CM14&gt;預測IC!CM$25,1,0)</f>
        <v>1</v>
      </c>
      <c r="CN14" s="7">
        <f>IF(預測IC!CN14&gt;預測IC!CN$25,1,0)</f>
        <v>0</v>
      </c>
      <c r="CO14" s="7">
        <f>IF(預測IC!CO14&gt;預測IC!CO$25,1,0)</f>
        <v>0</v>
      </c>
      <c r="CP14" s="7">
        <f>IF(預測IC!CP14&gt;預測IC!CP$25,1,0)</f>
        <v>1</v>
      </c>
      <c r="CQ14" s="7">
        <f>IF(預測IC!CQ14&gt;預測IC!CQ$25,1,0)</f>
        <v>1</v>
      </c>
      <c r="CR14" s="7">
        <f>IF(預測IC!CR14&gt;預測IC!CR$25,1,0)</f>
        <v>1</v>
      </c>
      <c r="CS14" s="7">
        <f>IF(預測IC!CS14&gt;預測IC!CS$25,1,0)</f>
        <v>1</v>
      </c>
      <c r="CT14" s="7">
        <f>IF(預測IC!CT14&gt;預測IC!CT$25,1,0)</f>
        <v>0</v>
      </c>
      <c r="CU14" s="7">
        <f>IF(預測IC!CU14&gt;預測IC!CU$25,1,0)</f>
        <v>0</v>
      </c>
      <c r="CV14" s="7">
        <f>IF(預測IC!CV14&gt;預測IC!CV$25,1,0)</f>
        <v>1</v>
      </c>
      <c r="CW14" s="7">
        <f>IF(預測IC!CW14&gt;預測IC!CW$25,1,0)</f>
        <v>0</v>
      </c>
      <c r="CX14" s="7">
        <f>IF(預測IC!CX14&gt;預測IC!CX$25,1,0)</f>
        <v>1</v>
      </c>
      <c r="CY14" s="7">
        <f>IF(預測IC!CY14&gt;預測IC!CY$25,1,0)</f>
        <v>0</v>
      </c>
      <c r="CZ14" s="7">
        <f>IF(預測IC!CZ14&gt;預測IC!CZ$25,1,0)</f>
        <v>1</v>
      </c>
      <c r="DA14" s="7">
        <f>IF(預測IC!DA14&gt;預測IC!DA$25,1,0)</f>
        <v>0</v>
      </c>
      <c r="DB14" s="7">
        <f>IF(預測IC!DB14&gt;預測IC!DB$25,1,0)</f>
        <v>0</v>
      </c>
      <c r="DC14" s="7">
        <f>IF(預測IC!DC14&gt;預測IC!DC$25,1,0)</f>
        <v>1</v>
      </c>
      <c r="DD14" s="7">
        <f>IF(預測IC!DD14&gt;預測IC!DD$25,1,0)</f>
        <v>1</v>
      </c>
      <c r="DE14" s="7">
        <f>IF(預測IC!DE14&gt;預測IC!DE$25,1,0)</f>
        <v>0</v>
      </c>
      <c r="DF14" s="7">
        <f>IF(預測IC!DF14&gt;預測IC!DF$25,1,0)</f>
        <v>1</v>
      </c>
      <c r="DG14" s="7">
        <f>IF(預測IC!DG14&gt;預測IC!DG$25,1,0)</f>
        <v>0</v>
      </c>
      <c r="DH14" s="7">
        <f>IF(預測IC!DH14&gt;預測IC!DH$25,1,0)</f>
        <v>0</v>
      </c>
      <c r="DI14" s="7">
        <f>IF(預測IC!DI14&gt;預測IC!DI$25,1,0)</f>
        <v>0</v>
      </c>
      <c r="DJ14" s="7">
        <f>IF(預測IC!DJ14&gt;預測IC!DJ$25,1,0)</f>
        <v>1</v>
      </c>
      <c r="DK14" s="7">
        <f>IF(預測IC!DK14&gt;預測IC!DK$25,1,0)</f>
        <v>0</v>
      </c>
      <c r="DL14" s="7">
        <f>IF(預測IC!DL14&gt;預測IC!DL$25,1,0)</f>
        <v>0</v>
      </c>
      <c r="DM14" s="7">
        <f>IF(預測IC!DM14&gt;預測IC!DM$25,1,0)</f>
        <v>0</v>
      </c>
      <c r="DN14" s="7">
        <f>IF(預測IC!DN14&gt;預測IC!DN$25,1,0)</f>
        <v>1</v>
      </c>
      <c r="DO14" s="7">
        <f>IF(預測IC!DO14&gt;預測IC!DO$25,1,0)</f>
        <v>1</v>
      </c>
      <c r="DP14" s="7">
        <f>IF(預測IC!DP14&gt;預測IC!DP$25,1,0)</f>
        <v>1</v>
      </c>
      <c r="DQ14" s="7">
        <f>IF(預測IC!DQ14&gt;預測IC!DQ$25,1,0)</f>
        <v>0</v>
      </c>
      <c r="DR14" s="7">
        <f>IF(預測IC!DR14&gt;預測IC!DR$25,1,0)</f>
        <v>1</v>
      </c>
      <c r="DS14" s="7">
        <f>IF(預測IC!DS14&gt;預測IC!DS$25,1,0)</f>
        <v>0</v>
      </c>
      <c r="DT14" s="7">
        <f>IF(預測IC!DT14&gt;預測IC!DT$25,1,0)</f>
        <v>0</v>
      </c>
      <c r="DU14" s="7">
        <f>IF(預測IC!DU14&gt;預測IC!DU$25,1,0)</f>
        <v>0</v>
      </c>
      <c r="DV14" s="7">
        <f>IF(預測IC!DV14&gt;預測IC!DV$25,1,0)</f>
        <v>1</v>
      </c>
      <c r="DW14" s="7">
        <f>IF(預測IC!DW14&gt;預測IC!DW$25,1,0)</f>
        <v>1</v>
      </c>
      <c r="DX14" s="7">
        <f>IF(預測IC!DX14&gt;預測IC!DX$25,1,0)</f>
        <v>0</v>
      </c>
      <c r="DY14" s="7">
        <f>IF(預測IC!DY14&gt;預測IC!DY$25,1,0)</f>
        <v>1</v>
      </c>
      <c r="DZ14" s="7">
        <f>IF(預測IC!DZ14&gt;預測IC!DZ$25,1,0)</f>
        <v>0</v>
      </c>
      <c r="EA14" s="7">
        <f>IF(預測IC!EA14&gt;預測IC!EA$25,1,0)</f>
        <v>1</v>
      </c>
      <c r="EB14" s="7">
        <f>IF(預測IC!EB14&gt;預測IC!EB$25,1,0)</f>
        <v>1</v>
      </c>
      <c r="EC14" s="7">
        <f>IF(預測IC!EC14&gt;預測IC!EC$25,1,0)</f>
        <v>1</v>
      </c>
      <c r="ED14" s="7">
        <f>IF(預測IC!ED14&gt;預測IC!ED$25,1,0)</f>
        <v>0</v>
      </c>
      <c r="EE14" s="7">
        <f>IF(預測IC!EE14&gt;預測IC!EE$25,1,0)</f>
        <v>0</v>
      </c>
      <c r="EF14" s="7">
        <f>IF(預測IC!EF14&gt;預測IC!EF$25,1,0)</f>
        <v>1</v>
      </c>
      <c r="EG14">
        <f t="shared" si="10"/>
        <v>68</v>
      </c>
      <c r="EH14" s="13">
        <f t="shared" si="11"/>
        <v>0.5</v>
      </c>
    </row>
    <row r="15" spans="1:138" x14ac:dyDescent="0.3">
      <c r="A15" s="1">
        <v>100</v>
      </c>
      <c r="B15" s="1">
        <v>10</v>
      </c>
      <c r="C15" s="7">
        <f>IF(預測IC!C15&gt;預測IC!C$25,1,0)</f>
        <v>0</v>
      </c>
      <c r="D15" s="7">
        <f>IF(預測IC!D15&gt;預測IC!D$25,1,0)</f>
        <v>0</v>
      </c>
      <c r="E15" s="7">
        <f>IF(預測IC!E15&gt;預測IC!E$25,1,0)</f>
        <v>0</v>
      </c>
      <c r="F15" s="7">
        <f>IF(預測IC!F15&gt;預測IC!F$25,1,0)</f>
        <v>0</v>
      </c>
      <c r="G15" s="7">
        <f>IF(預測IC!G15&gt;預測IC!G$25,1,0)</f>
        <v>0</v>
      </c>
      <c r="H15" s="7">
        <f>IF(預測IC!H15&gt;預測IC!H$25,1,0)</f>
        <v>1</v>
      </c>
      <c r="I15" s="7">
        <f>IF(預測IC!I15&gt;預測IC!I$25,1,0)</f>
        <v>1</v>
      </c>
      <c r="J15" s="7">
        <f>IF(預測IC!J15&gt;預測IC!J$25,1,0)</f>
        <v>1</v>
      </c>
      <c r="K15" s="7">
        <f>IF(預測IC!K15&gt;預測IC!K$25,1,0)</f>
        <v>0</v>
      </c>
      <c r="L15" s="7">
        <f>IF(預測IC!L15&gt;預測IC!L$25,1,0)</f>
        <v>1</v>
      </c>
      <c r="M15" s="7">
        <f>IF(預測IC!M15&gt;預測IC!M$25,1,0)</f>
        <v>1</v>
      </c>
      <c r="N15" s="7">
        <f>IF(預測IC!N15&gt;預測IC!N$25,1,0)</f>
        <v>1</v>
      </c>
      <c r="O15" s="7">
        <f>IF(預測IC!O15&gt;預測IC!O$25,1,0)</f>
        <v>1</v>
      </c>
      <c r="P15" s="7">
        <f>IF(預測IC!P15&gt;預測IC!P$25,1,0)</f>
        <v>0</v>
      </c>
      <c r="Q15" s="7">
        <f>IF(預測IC!Q15&gt;預測IC!Q$25,1,0)</f>
        <v>0</v>
      </c>
      <c r="R15" s="7">
        <f>IF(預測IC!R15&gt;預測IC!R$25,1,0)</f>
        <v>0</v>
      </c>
      <c r="S15" s="7">
        <f>IF(預測IC!S15&gt;預測IC!S$25,1,0)</f>
        <v>0</v>
      </c>
      <c r="T15" s="7">
        <f>IF(預測IC!T15&gt;預測IC!T$25,1,0)</f>
        <v>0</v>
      </c>
      <c r="U15" s="7">
        <f>IF(預測IC!U15&gt;預測IC!U$25,1,0)</f>
        <v>0</v>
      </c>
      <c r="V15" s="7">
        <f>IF(預測IC!V15&gt;預測IC!V$25,1,0)</f>
        <v>1</v>
      </c>
      <c r="W15" s="7">
        <f>IF(預測IC!W15&gt;預測IC!W$25,1,0)</f>
        <v>1</v>
      </c>
      <c r="X15" s="7">
        <f>IF(預測IC!X15&gt;預測IC!X$25,1,0)</f>
        <v>1</v>
      </c>
      <c r="Y15" s="7">
        <f>IF(預測IC!Y15&gt;預測IC!Y$25,1,0)</f>
        <v>1</v>
      </c>
      <c r="Z15" s="7">
        <f>IF(預測IC!Z15&gt;預測IC!Z$25,1,0)</f>
        <v>1</v>
      </c>
      <c r="AA15" s="7">
        <f>IF(預測IC!AA15&gt;預測IC!AA$25,1,0)</f>
        <v>0</v>
      </c>
      <c r="AB15" s="7">
        <f>IF(預測IC!AB15&gt;預測IC!AB$25,1,0)</f>
        <v>1</v>
      </c>
      <c r="AC15" s="7">
        <f>IF(預測IC!AC15&gt;預測IC!AC$25,1,0)</f>
        <v>0</v>
      </c>
      <c r="AD15" s="7">
        <f>IF(預測IC!AD15&gt;預測IC!AD$25,1,0)</f>
        <v>1</v>
      </c>
      <c r="AE15" s="7">
        <f>IF(預測IC!AE15&gt;預測IC!AE$25,1,0)</f>
        <v>0</v>
      </c>
      <c r="AF15" s="7">
        <f>IF(預測IC!AF15&gt;預測IC!AF$25,1,0)</f>
        <v>1</v>
      </c>
      <c r="AG15" s="7">
        <f>IF(預測IC!AG15&gt;預測IC!AG$25,1,0)</f>
        <v>0</v>
      </c>
      <c r="AH15" s="7">
        <f>IF(預測IC!AH15&gt;預測IC!AH$25,1,0)</f>
        <v>0</v>
      </c>
      <c r="AI15" s="7">
        <f>IF(預測IC!AI15&gt;預測IC!AI$25,1,0)</f>
        <v>1</v>
      </c>
      <c r="AJ15" s="7">
        <f>IF(預測IC!AJ15&gt;預測IC!AJ$25,1,0)</f>
        <v>0</v>
      </c>
      <c r="AK15" s="7">
        <f>IF(預測IC!AK15&gt;預測IC!AK$25,1,0)</f>
        <v>1</v>
      </c>
      <c r="AL15" s="7">
        <f>IF(預測IC!AL15&gt;預測IC!AL$25,1,0)</f>
        <v>1</v>
      </c>
      <c r="AM15" s="7">
        <f>IF(預測IC!AM15&gt;預測IC!AM$25,1,0)</f>
        <v>1</v>
      </c>
      <c r="AN15" s="7">
        <f>IF(預測IC!AN15&gt;預測IC!AN$25,1,0)</f>
        <v>1</v>
      </c>
      <c r="AO15" s="7">
        <f>IF(預測IC!AO15&gt;預測IC!AO$25,1,0)</f>
        <v>1</v>
      </c>
      <c r="AP15" s="7">
        <f>IF(預測IC!AP15&gt;預測IC!AP$25,1,0)</f>
        <v>0</v>
      </c>
      <c r="AQ15" s="7">
        <f>IF(預測IC!AQ15&gt;預測IC!AQ$25,1,0)</f>
        <v>0</v>
      </c>
      <c r="AR15" s="7">
        <f>IF(預測IC!AR15&gt;預測IC!AR$25,1,0)</f>
        <v>1</v>
      </c>
      <c r="AS15" s="7">
        <f>IF(預測IC!AS15&gt;預測IC!AS$25,1,0)</f>
        <v>1</v>
      </c>
      <c r="AT15" s="7">
        <f>IF(預測IC!AT15&gt;預測IC!AT$25,1,0)</f>
        <v>1</v>
      </c>
      <c r="AU15" s="7">
        <f>IF(預測IC!AU15&gt;預測IC!AU$25,1,0)</f>
        <v>1</v>
      </c>
      <c r="AV15" s="7">
        <f>IF(預測IC!AV15&gt;預測IC!AV$25,1,0)</f>
        <v>0</v>
      </c>
      <c r="AW15" s="7">
        <f>IF(預測IC!AW15&gt;預測IC!AW$25,1,0)</f>
        <v>1</v>
      </c>
      <c r="AX15" s="7">
        <f>IF(預測IC!AX15&gt;預測IC!AX$25,1,0)</f>
        <v>1</v>
      </c>
      <c r="AY15" s="7">
        <f>IF(預測IC!AY15&gt;預測IC!AY$25,1,0)</f>
        <v>0</v>
      </c>
      <c r="AZ15" s="7">
        <f>IF(預測IC!AZ15&gt;預測IC!AZ$25,1,0)</f>
        <v>0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1</v>
      </c>
      <c r="BD15" s="7">
        <f>IF(預測IC!BD15&gt;預測IC!BD$25,1,0)</f>
        <v>1</v>
      </c>
      <c r="BE15" s="7">
        <f>IF(預測IC!BE15&gt;預測IC!BE$25,1,0)</f>
        <v>1</v>
      </c>
      <c r="BF15" s="7">
        <f>IF(預測IC!BF15&gt;預測IC!BF$25,1,0)</f>
        <v>1</v>
      </c>
      <c r="BG15" s="7">
        <f>IF(預測IC!BG15&gt;預測IC!BG$25,1,0)</f>
        <v>1</v>
      </c>
      <c r="BH15" s="7">
        <f>IF(預測IC!BH15&gt;預測IC!BH$25,1,0)</f>
        <v>1</v>
      </c>
      <c r="BI15" s="7">
        <f>IF(預測IC!BI15&gt;預測IC!BI$25,1,0)</f>
        <v>1</v>
      </c>
      <c r="BJ15" s="7">
        <f>IF(預測IC!BJ15&gt;預測IC!BJ$25,1,0)</f>
        <v>1</v>
      </c>
      <c r="BK15" s="7">
        <f>IF(預測IC!BK15&gt;預測IC!BK$25,1,0)</f>
        <v>0</v>
      </c>
      <c r="BL15" s="7">
        <f>IF(預測IC!BL15&gt;預測IC!BL$25,1,0)</f>
        <v>1</v>
      </c>
      <c r="BM15" s="7">
        <f>IF(預測IC!BM15&gt;預測IC!BM$25,1,0)</f>
        <v>1</v>
      </c>
      <c r="BN15" s="7">
        <f>IF(預測IC!BN15&gt;預測IC!BN$25,1,0)</f>
        <v>1</v>
      </c>
      <c r="BO15" s="7">
        <f>IF(預測IC!BO15&gt;預測IC!BO$25,1,0)</f>
        <v>1</v>
      </c>
      <c r="BP15" s="7">
        <f>IF(預測IC!BP15&gt;預測IC!BP$25,1,0)</f>
        <v>0</v>
      </c>
      <c r="BQ15" s="7">
        <f>IF(預測IC!BQ15&gt;預測IC!BQ$25,1,0)</f>
        <v>1</v>
      </c>
      <c r="BR15" s="7">
        <f>IF(預測IC!BR15&gt;預測IC!BR$25,1,0)</f>
        <v>0</v>
      </c>
      <c r="BS15" s="7">
        <f>IF(預測IC!BS15&gt;預測IC!BS$25,1,0)</f>
        <v>0</v>
      </c>
      <c r="BT15" s="7">
        <f>IF(預測IC!BT15&gt;預測IC!BT$25,1,0)</f>
        <v>1</v>
      </c>
      <c r="BU15" s="7">
        <f>IF(預測IC!BU15&gt;預測IC!BU$25,1,0)</f>
        <v>1</v>
      </c>
      <c r="BV15" s="7">
        <f>IF(預測IC!BV15&gt;預測IC!BV$25,1,0)</f>
        <v>1</v>
      </c>
      <c r="BW15" s="7">
        <f>IF(預測IC!BW15&gt;預測IC!BW$25,1,0)</f>
        <v>1</v>
      </c>
      <c r="BX15" s="7">
        <f>IF(預測IC!BX15&gt;預測IC!BX$25,1,0)</f>
        <v>1</v>
      </c>
      <c r="BY15" s="7">
        <f>IF(預測IC!BY15&gt;預測IC!BY$25,1,0)</f>
        <v>1</v>
      </c>
      <c r="BZ15" s="7">
        <f>IF(預測IC!BZ15&gt;預測IC!BZ$25,1,0)</f>
        <v>0</v>
      </c>
      <c r="CA15" s="7">
        <f>IF(預測IC!CA15&gt;預測IC!CA$25,1,0)</f>
        <v>0</v>
      </c>
      <c r="CB15" s="7">
        <f>IF(預測IC!CB15&gt;預測IC!CB$25,1,0)</f>
        <v>0</v>
      </c>
      <c r="CC15" s="7">
        <f>IF(預測IC!CC15&gt;預測IC!CC$25,1,0)</f>
        <v>0</v>
      </c>
      <c r="CD15" s="7">
        <f>IF(預測IC!CD15&gt;預測IC!CD$25,1,0)</f>
        <v>1</v>
      </c>
      <c r="CE15" s="7">
        <f>IF(預測IC!CE15&gt;預測IC!CE$25,1,0)</f>
        <v>0</v>
      </c>
      <c r="CF15" s="7">
        <f>IF(預測IC!CF15&gt;預測IC!CF$25,1,0)</f>
        <v>1</v>
      </c>
      <c r="CG15" s="7">
        <f>IF(預測IC!CG15&gt;預測IC!CG$25,1,0)</f>
        <v>0</v>
      </c>
      <c r="CH15" s="7">
        <f>IF(預測IC!CH15&gt;預測IC!CH$25,1,0)</f>
        <v>0</v>
      </c>
      <c r="CI15" s="7">
        <f>IF(預測IC!CI15&gt;預測IC!CI$25,1,0)</f>
        <v>0</v>
      </c>
      <c r="CJ15" s="7">
        <f>IF(預測IC!CJ15&gt;預測IC!CJ$25,1,0)</f>
        <v>0</v>
      </c>
      <c r="CK15" s="7">
        <f>IF(預測IC!CK15&gt;預測IC!CK$25,1,0)</f>
        <v>1</v>
      </c>
      <c r="CL15" s="7">
        <f>IF(預測IC!CL15&gt;預測IC!CL$25,1,0)</f>
        <v>0</v>
      </c>
      <c r="CM15" s="7">
        <f>IF(預測IC!CM15&gt;預測IC!CM$25,1,0)</f>
        <v>1</v>
      </c>
      <c r="CN15" s="7">
        <f>IF(預測IC!CN15&gt;預測IC!CN$25,1,0)</f>
        <v>0</v>
      </c>
      <c r="CO15" s="7">
        <f>IF(預測IC!CO15&gt;預測IC!CO$25,1,0)</f>
        <v>0</v>
      </c>
      <c r="CP15" s="7">
        <f>IF(預測IC!CP15&gt;預測IC!CP$25,1,0)</f>
        <v>1</v>
      </c>
      <c r="CQ15" s="7">
        <f>IF(預測IC!CQ15&gt;預測IC!CQ$25,1,0)</f>
        <v>1</v>
      </c>
      <c r="CR15" s="7">
        <f>IF(預測IC!CR15&gt;預測IC!CR$25,1,0)</f>
        <v>1</v>
      </c>
      <c r="CS15" s="7">
        <f>IF(預測IC!CS15&gt;預測IC!CS$25,1,0)</f>
        <v>1</v>
      </c>
      <c r="CT15" s="7">
        <f>IF(預測IC!CT15&gt;預測IC!CT$25,1,0)</f>
        <v>0</v>
      </c>
      <c r="CU15" s="7">
        <f>IF(預測IC!CU15&gt;預測IC!CU$25,1,0)</f>
        <v>0</v>
      </c>
      <c r="CV15" s="7">
        <f>IF(預測IC!CV15&gt;預測IC!CV$25,1,0)</f>
        <v>0</v>
      </c>
      <c r="CW15" s="7">
        <f>IF(預測IC!CW15&gt;預測IC!CW$25,1,0)</f>
        <v>0</v>
      </c>
      <c r="CX15" s="7">
        <f>IF(預測IC!CX15&gt;預測IC!CX$25,1,0)</f>
        <v>1</v>
      </c>
      <c r="CY15" s="7">
        <f>IF(預測IC!CY15&gt;預測IC!CY$25,1,0)</f>
        <v>0</v>
      </c>
      <c r="CZ15" s="7">
        <f>IF(預測IC!CZ15&gt;預測IC!CZ$25,1,0)</f>
        <v>1</v>
      </c>
      <c r="DA15" s="7">
        <f>IF(預測IC!DA15&gt;預測IC!DA$25,1,0)</f>
        <v>0</v>
      </c>
      <c r="DB15" s="7">
        <f>IF(預測IC!DB15&gt;預測IC!DB$25,1,0)</f>
        <v>0</v>
      </c>
      <c r="DC15" s="7">
        <f>IF(預測IC!DC15&gt;預測IC!DC$25,1,0)</f>
        <v>1</v>
      </c>
      <c r="DD15" s="7">
        <f>IF(預測IC!DD15&gt;預測IC!DD$25,1,0)</f>
        <v>0</v>
      </c>
      <c r="DE15" s="7">
        <f>IF(預測IC!DE15&gt;預測IC!DE$25,1,0)</f>
        <v>0</v>
      </c>
      <c r="DF15" s="7">
        <f>IF(預測IC!DF15&gt;預測IC!DF$25,1,0)</f>
        <v>1</v>
      </c>
      <c r="DG15" s="7">
        <f>IF(預測IC!DG15&gt;預測IC!DG$25,1,0)</f>
        <v>0</v>
      </c>
      <c r="DH15" s="7">
        <f>IF(預測IC!DH15&gt;預測IC!DH$25,1,0)</f>
        <v>0</v>
      </c>
      <c r="DI15" s="7">
        <f>IF(預測IC!DI15&gt;預測IC!DI$25,1,0)</f>
        <v>0</v>
      </c>
      <c r="DJ15" s="7">
        <f>IF(預測IC!DJ15&gt;預測IC!DJ$25,1,0)</f>
        <v>0</v>
      </c>
      <c r="DK15" s="7">
        <f>IF(預測IC!DK15&gt;預測IC!DK$25,1,0)</f>
        <v>1</v>
      </c>
      <c r="DL15" s="7">
        <f>IF(預測IC!DL15&gt;預測IC!DL$25,1,0)</f>
        <v>1</v>
      </c>
      <c r="DM15" s="7">
        <f>IF(預測IC!DM15&gt;預測IC!DM$25,1,0)</f>
        <v>0</v>
      </c>
      <c r="DN15" s="7">
        <f>IF(預測IC!DN15&gt;預測IC!DN$25,1,0)</f>
        <v>1</v>
      </c>
      <c r="DO15" s="7">
        <f>IF(預測IC!DO15&gt;預測IC!DO$25,1,0)</f>
        <v>1</v>
      </c>
      <c r="DP15" s="7">
        <f>IF(預測IC!DP15&gt;預測IC!DP$25,1,0)</f>
        <v>1</v>
      </c>
      <c r="DQ15" s="7">
        <f>IF(預測IC!DQ15&gt;預測IC!DQ$25,1,0)</f>
        <v>0</v>
      </c>
      <c r="DR15" s="7">
        <f>IF(預測IC!DR15&gt;預測IC!DR$25,1,0)</f>
        <v>1</v>
      </c>
      <c r="DS15" s="7">
        <f>IF(預測IC!DS15&gt;預測IC!DS$25,1,0)</f>
        <v>0</v>
      </c>
      <c r="DT15" s="7">
        <f>IF(預測IC!DT15&gt;預測IC!DT$25,1,0)</f>
        <v>0</v>
      </c>
      <c r="DU15" s="7">
        <f>IF(預測IC!DU15&gt;預測IC!DU$25,1,0)</f>
        <v>0</v>
      </c>
      <c r="DV15" s="7">
        <f>IF(預測IC!DV15&gt;預測IC!DV$25,1,0)</f>
        <v>1</v>
      </c>
      <c r="DW15" s="7">
        <f>IF(預測IC!DW15&gt;預測IC!DW$25,1,0)</f>
        <v>0</v>
      </c>
      <c r="DX15" s="7">
        <f>IF(預測IC!DX15&gt;預測IC!DX$25,1,0)</f>
        <v>0</v>
      </c>
      <c r="DY15" s="7">
        <f>IF(預測IC!DY15&gt;預測IC!DY$25,1,0)</f>
        <v>1</v>
      </c>
      <c r="DZ15" s="7">
        <f>IF(預測IC!DZ15&gt;預測IC!DZ$25,1,0)</f>
        <v>0</v>
      </c>
      <c r="EA15" s="7">
        <f>IF(預測IC!EA15&gt;預測IC!EA$25,1,0)</f>
        <v>1</v>
      </c>
      <c r="EB15" s="7">
        <f>IF(預測IC!EB15&gt;預測IC!EB$25,1,0)</f>
        <v>1</v>
      </c>
      <c r="EC15" s="7">
        <f>IF(預測IC!EC15&gt;預測IC!EC$25,1,0)</f>
        <v>1</v>
      </c>
      <c r="ED15" s="7">
        <f>IF(預測IC!ED15&gt;預測IC!ED$25,1,0)</f>
        <v>0</v>
      </c>
      <c r="EE15" s="7">
        <f>IF(預測IC!EE15&gt;預測IC!EE$25,1,0)</f>
        <v>0</v>
      </c>
      <c r="EF15" s="7">
        <f>IF(預測IC!EF15&gt;預測IC!EF$25,1,0)</f>
        <v>1</v>
      </c>
      <c r="EG15">
        <f t="shared" si="10"/>
        <v>72</v>
      </c>
      <c r="EH15" s="11">
        <f t="shared" si="11"/>
        <v>0.52985074626865669</v>
      </c>
    </row>
    <row r="16" spans="1:138" x14ac:dyDescent="0.3">
      <c r="A16" s="1">
        <v>107</v>
      </c>
      <c r="B16" s="1">
        <v>9</v>
      </c>
      <c r="C16" s="7">
        <f>IF(預測IC!C16&gt;預測IC!C$25,1,0)</f>
        <v>0</v>
      </c>
      <c r="D16" s="7">
        <f>IF(預測IC!D16&gt;預測IC!D$25,1,0)</f>
        <v>0</v>
      </c>
      <c r="E16" s="7">
        <f>IF(預測IC!E16&gt;預測IC!E$25,1,0)</f>
        <v>0</v>
      </c>
      <c r="F16" s="7">
        <f>IF(預測IC!F16&gt;預測IC!F$25,1,0)</f>
        <v>0</v>
      </c>
      <c r="G16" s="7">
        <f>IF(預測IC!G16&gt;預測IC!G$25,1,0)</f>
        <v>0</v>
      </c>
      <c r="H16" s="7">
        <f>IF(預測IC!H16&gt;預測IC!H$25,1,0)</f>
        <v>1</v>
      </c>
      <c r="I16" s="7">
        <f>IF(預測IC!I16&gt;預測IC!I$25,1,0)</f>
        <v>1</v>
      </c>
      <c r="J16" s="7">
        <f>IF(預測IC!J16&gt;預測IC!J$25,1,0)</f>
        <v>1</v>
      </c>
      <c r="K16" s="7">
        <f>IF(預測IC!K16&gt;預測IC!K$25,1,0)</f>
        <v>0</v>
      </c>
      <c r="L16" s="7">
        <f>IF(預測IC!L16&gt;預測IC!L$25,1,0)</f>
        <v>1</v>
      </c>
      <c r="M16" s="7">
        <f>IF(預測IC!M16&gt;預測IC!M$25,1,0)</f>
        <v>1</v>
      </c>
      <c r="N16" s="7">
        <f>IF(預測IC!N16&gt;預測IC!N$25,1,0)</f>
        <v>1</v>
      </c>
      <c r="O16" s="7">
        <f>IF(預測IC!O16&gt;預測IC!O$25,1,0)</f>
        <v>1</v>
      </c>
      <c r="P16" s="7">
        <f>IF(預測IC!P16&gt;預測IC!P$25,1,0)</f>
        <v>0</v>
      </c>
      <c r="Q16" s="7">
        <f>IF(預測IC!Q16&gt;預測IC!Q$25,1,0)</f>
        <v>0</v>
      </c>
      <c r="R16" s="7">
        <f>IF(預測IC!R16&gt;預測IC!R$25,1,0)</f>
        <v>0</v>
      </c>
      <c r="S16" s="7">
        <f>IF(預測IC!S16&gt;預測IC!S$25,1,0)</f>
        <v>0</v>
      </c>
      <c r="T16" s="7">
        <f>IF(預測IC!T16&gt;預測IC!T$25,1,0)</f>
        <v>0</v>
      </c>
      <c r="U16" s="7">
        <f>IF(預測IC!U16&gt;預測IC!U$25,1,0)</f>
        <v>0</v>
      </c>
      <c r="V16" s="7">
        <f>IF(預測IC!V16&gt;預測IC!V$25,1,0)</f>
        <v>1</v>
      </c>
      <c r="W16" s="7">
        <f>IF(預測IC!W16&gt;預測IC!W$25,1,0)</f>
        <v>1</v>
      </c>
      <c r="X16" s="7">
        <f>IF(預測IC!X16&gt;預測IC!X$25,1,0)</f>
        <v>1</v>
      </c>
      <c r="Y16" s="7">
        <f>IF(預測IC!Y16&gt;預測IC!Y$25,1,0)</f>
        <v>1</v>
      </c>
      <c r="Z16" s="7">
        <f>IF(預測IC!Z16&gt;預測IC!Z$25,1,0)</f>
        <v>1</v>
      </c>
      <c r="AA16" s="7">
        <f>IF(預測IC!AA16&gt;預測IC!AA$25,1,0)</f>
        <v>0</v>
      </c>
      <c r="AB16" s="7">
        <f>IF(預測IC!AB16&gt;預測IC!AB$25,1,0)</f>
        <v>1</v>
      </c>
      <c r="AC16" s="7">
        <f>IF(預測IC!AC16&gt;預測IC!AC$25,1,0)</f>
        <v>1</v>
      </c>
      <c r="AD16" s="7">
        <f>IF(預測IC!AD16&gt;預測IC!AD$25,1,0)</f>
        <v>1</v>
      </c>
      <c r="AE16" s="7">
        <f>IF(預測IC!AE16&gt;預測IC!AE$25,1,0)</f>
        <v>0</v>
      </c>
      <c r="AF16" s="7">
        <f>IF(預測IC!AF16&gt;預測IC!AF$25,1,0)</f>
        <v>1</v>
      </c>
      <c r="AG16" s="7">
        <f>IF(預測IC!AG16&gt;預測IC!AG$25,1,0)</f>
        <v>0</v>
      </c>
      <c r="AH16" s="7">
        <f>IF(預測IC!AH16&gt;預測IC!AH$25,1,0)</f>
        <v>0</v>
      </c>
      <c r="AI16" s="7">
        <f>IF(預測IC!AI16&gt;預測IC!AI$25,1,0)</f>
        <v>1</v>
      </c>
      <c r="AJ16" s="7">
        <f>IF(預測IC!AJ16&gt;預測IC!AJ$25,1,0)</f>
        <v>0</v>
      </c>
      <c r="AK16" s="7">
        <f>IF(預測IC!AK16&gt;預測IC!AK$25,1,0)</f>
        <v>1</v>
      </c>
      <c r="AL16" s="7">
        <f>IF(預測IC!AL16&gt;預測IC!AL$25,1,0)</f>
        <v>1</v>
      </c>
      <c r="AM16" s="7">
        <f>IF(預測IC!AM16&gt;預測IC!AM$25,1,0)</f>
        <v>1</v>
      </c>
      <c r="AN16" s="7">
        <f>IF(預測IC!AN16&gt;預測IC!AN$25,1,0)</f>
        <v>1</v>
      </c>
      <c r="AO16" s="7">
        <f>IF(預測IC!AO16&gt;預測IC!AO$25,1,0)</f>
        <v>1</v>
      </c>
      <c r="AP16" s="7">
        <f>IF(預測IC!AP16&gt;預測IC!AP$25,1,0)</f>
        <v>0</v>
      </c>
      <c r="AQ16" s="7">
        <f>IF(預測IC!AQ16&gt;預測IC!AQ$25,1,0)</f>
        <v>0</v>
      </c>
      <c r="AR16" s="7">
        <f>IF(預測IC!AR16&gt;預測IC!AR$25,1,0)</f>
        <v>1</v>
      </c>
      <c r="AS16" s="7">
        <f>IF(預測IC!AS16&gt;預測IC!AS$25,1,0)</f>
        <v>1</v>
      </c>
      <c r="AT16" s="7">
        <f>IF(預測IC!AT16&gt;預測IC!AT$25,1,0)</f>
        <v>1</v>
      </c>
      <c r="AU16" s="7">
        <f>IF(預測IC!AU16&gt;預測IC!AU$25,1,0)</f>
        <v>1</v>
      </c>
      <c r="AV16" s="7">
        <f>IF(預測IC!AV16&gt;預測IC!AV$25,1,0)</f>
        <v>0</v>
      </c>
      <c r="AW16" s="7">
        <f>IF(預測IC!AW16&gt;預測IC!AW$25,1,0)</f>
        <v>1</v>
      </c>
      <c r="AX16" s="7">
        <f>IF(預測IC!AX16&gt;預測IC!AX$25,1,0)</f>
        <v>1</v>
      </c>
      <c r="AY16" s="7">
        <f>IF(預測IC!AY16&gt;預測IC!AY$25,1,0)</f>
        <v>0</v>
      </c>
      <c r="AZ16" s="7">
        <f>IF(預測IC!AZ16&gt;預測IC!AZ$25,1,0)</f>
        <v>0</v>
      </c>
      <c r="BA16" s="7">
        <f>IF(預測IC!BA16&gt;預測IC!BA$25,1,0)</f>
        <v>1</v>
      </c>
      <c r="BB16" s="7">
        <f>IF(預測IC!BB16&gt;預測IC!BB$25,1,0)</f>
        <v>1</v>
      </c>
      <c r="BC16" s="7">
        <f>IF(預測IC!BC16&gt;預測IC!BC$25,1,0)</f>
        <v>1</v>
      </c>
      <c r="BD16" s="7">
        <f>IF(預測IC!BD16&gt;預測IC!BD$25,1,0)</f>
        <v>1</v>
      </c>
      <c r="BE16" s="7">
        <f>IF(預測IC!BE16&gt;預測IC!BE$25,1,0)</f>
        <v>1</v>
      </c>
      <c r="BF16" s="7">
        <f>IF(預測IC!BF16&gt;預測IC!BF$25,1,0)</f>
        <v>1</v>
      </c>
      <c r="BG16" s="7">
        <f>IF(預測IC!BG16&gt;預測IC!BG$25,1,0)</f>
        <v>1</v>
      </c>
      <c r="BH16" s="7">
        <f>IF(預測IC!BH16&gt;預測IC!BH$25,1,0)</f>
        <v>1</v>
      </c>
      <c r="BI16" s="7">
        <f>IF(預測IC!BI16&gt;預測IC!BI$25,1,0)</f>
        <v>1</v>
      </c>
      <c r="BJ16" s="7">
        <f>IF(預測IC!BJ16&gt;預測IC!BJ$25,1,0)</f>
        <v>0</v>
      </c>
      <c r="BK16" s="7">
        <f>IF(預測IC!BK16&gt;預測IC!BK$25,1,0)</f>
        <v>0</v>
      </c>
      <c r="BL16" s="7">
        <f>IF(預測IC!BL16&gt;預測IC!BL$25,1,0)</f>
        <v>1</v>
      </c>
      <c r="BM16" s="7">
        <f>IF(預測IC!BM16&gt;預測IC!BM$25,1,0)</f>
        <v>1</v>
      </c>
      <c r="BN16" s="7">
        <f>IF(預測IC!BN16&gt;預測IC!BN$25,1,0)</f>
        <v>1</v>
      </c>
      <c r="BO16" s="7">
        <f>IF(預測IC!BO16&gt;預測IC!BO$25,1,0)</f>
        <v>1</v>
      </c>
      <c r="BP16" s="7">
        <f>IF(預測IC!BP16&gt;預測IC!BP$25,1,0)</f>
        <v>0</v>
      </c>
      <c r="BQ16" s="7">
        <f>IF(預測IC!BQ16&gt;預測IC!BQ$25,1,0)</f>
        <v>1</v>
      </c>
      <c r="BR16" s="7">
        <f>IF(預測IC!BR16&gt;預測IC!BR$25,1,0)</f>
        <v>0</v>
      </c>
      <c r="BS16" s="7">
        <f>IF(預測IC!BS16&gt;預測IC!BS$25,1,0)</f>
        <v>0</v>
      </c>
      <c r="BT16" s="7">
        <f>IF(預測IC!BT16&gt;預測IC!BT$25,1,0)</f>
        <v>1</v>
      </c>
      <c r="BU16" s="7">
        <f>IF(預測IC!BU16&gt;預測IC!BU$25,1,0)</f>
        <v>1</v>
      </c>
      <c r="BV16" s="7">
        <f>IF(預測IC!BV16&gt;預測IC!BV$25,1,0)</f>
        <v>1</v>
      </c>
      <c r="BW16" s="7">
        <f>IF(預測IC!BW16&gt;預測IC!BW$25,1,0)</f>
        <v>0</v>
      </c>
      <c r="BX16" s="7">
        <f>IF(預測IC!BX16&gt;預測IC!BX$25,1,0)</f>
        <v>1</v>
      </c>
      <c r="BY16" s="7">
        <f>IF(預測IC!BY16&gt;預測IC!BY$25,1,0)</f>
        <v>1</v>
      </c>
      <c r="BZ16" s="7">
        <f>IF(預測IC!BZ16&gt;預測IC!BZ$25,1,0)</f>
        <v>0</v>
      </c>
      <c r="CA16" s="7">
        <f>IF(預測IC!CA16&gt;預測IC!CA$25,1,0)</f>
        <v>0</v>
      </c>
      <c r="CB16" s="7">
        <f>IF(預測IC!CB16&gt;預測IC!CB$25,1,0)</f>
        <v>0</v>
      </c>
      <c r="CC16" s="7">
        <f>IF(預測IC!CC16&gt;預測IC!CC$25,1,0)</f>
        <v>0</v>
      </c>
      <c r="CD16" s="7">
        <f>IF(預測IC!CD16&gt;預測IC!CD$25,1,0)</f>
        <v>1</v>
      </c>
      <c r="CE16" s="7">
        <f>IF(預測IC!CE16&gt;預測IC!CE$25,1,0)</f>
        <v>0</v>
      </c>
      <c r="CF16" s="7">
        <f>IF(預測IC!CF16&gt;預測IC!CF$25,1,0)</f>
        <v>1</v>
      </c>
      <c r="CG16" s="7">
        <f>IF(預測IC!CG16&gt;預測IC!CG$25,1,0)</f>
        <v>0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1</v>
      </c>
      <c r="CL16" s="7">
        <f>IF(預測IC!CL16&gt;預測IC!CL$25,1,0)</f>
        <v>0</v>
      </c>
      <c r="CM16" s="7">
        <f>IF(預測IC!CM16&gt;預測IC!CM$25,1,0)</f>
        <v>1</v>
      </c>
      <c r="CN16" s="7">
        <f>IF(預測IC!CN16&gt;預測IC!CN$25,1,0)</f>
        <v>0</v>
      </c>
      <c r="CO16" s="7">
        <f>IF(預測IC!CO16&gt;預測IC!CO$25,1,0)</f>
        <v>0</v>
      </c>
      <c r="CP16" s="7">
        <f>IF(預測IC!CP16&gt;預測IC!CP$25,1,0)</f>
        <v>1</v>
      </c>
      <c r="CQ16" s="7">
        <f>IF(預測IC!CQ16&gt;預測IC!CQ$25,1,0)</f>
        <v>1</v>
      </c>
      <c r="CR16" s="7">
        <f>IF(預測IC!CR16&gt;預測IC!CR$25,1,0)</f>
        <v>1</v>
      </c>
      <c r="CS16" s="7">
        <f>IF(預測IC!CS16&gt;預測IC!CS$25,1,0)</f>
        <v>1</v>
      </c>
      <c r="CT16" s="7">
        <f>IF(預測IC!CT16&gt;預測IC!CT$25,1,0)</f>
        <v>0</v>
      </c>
      <c r="CU16" s="7">
        <f>IF(預測IC!CU16&gt;預測IC!CU$25,1,0)</f>
        <v>0</v>
      </c>
      <c r="CV16" s="7">
        <f>IF(預測IC!CV16&gt;預測IC!CV$25,1,0)</f>
        <v>0</v>
      </c>
      <c r="CW16" s="7">
        <f>IF(預測IC!CW16&gt;預測IC!CW$25,1,0)</f>
        <v>0</v>
      </c>
      <c r="CX16" s="7">
        <f>IF(預測IC!CX16&gt;預測IC!CX$25,1,0)</f>
        <v>1</v>
      </c>
      <c r="CY16" s="7">
        <f>IF(預測IC!CY16&gt;預測IC!CY$25,1,0)</f>
        <v>0</v>
      </c>
      <c r="CZ16" s="7">
        <f>IF(預測IC!CZ16&gt;預測IC!CZ$25,1,0)</f>
        <v>1</v>
      </c>
      <c r="DA16" s="7">
        <f>IF(預測IC!DA16&gt;預測IC!DA$25,1,0)</f>
        <v>0</v>
      </c>
      <c r="DB16" s="7">
        <f>IF(預測IC!DB16&gt;預測IC!DB$25,1,0)</f>
        <v>0</v>
      </c>
      <c r="DC16" s="7">
        <f>IF(預測IC!DC16&gt;預測IC!DC$25,1,0)</f>
        <v>1</v>
      </c>
      <c r="DD16" s="7">
        <f>IF(預測IC!DD16&gt;預測IC!DD$25,1,0)</f>
        <v>0</v>
      </c>
      <c r="DE16" s="7">
        <f>IF(預測IC!DE16&gt;預測IC!DE$25,1,0)</f>
        <v>0</v>
      </c>
      <c r="DF16" s="7">
        <f>IF(預測IC!DF16&gt;預測IC!DF$25,1,0)</f>
        <v>1</v>
      </c>
      <c r="DG16" s="7">
        <f>IF(預測IC!DG16&gt;預測IC!DG$25,1,0)</f>
        <v>0</v>
      </c>
      <c r="DH16" s="7">
        <f>IF(預測IC!DH16&gt;預測IC!DH$25,1,0)</f>
        <v>0</v>
      </c>
      <c r="DI16" s="7">
        <f>IF(預測IC!DI16&gt;預測IC!DI$25,1,0)</f>
        <v>0</v>
      </c>
      <c r="DJ16" s="7">
        <f>IF(預測IC!DJ16&gt;預測IC!DJ$25,1,0)</f>
        <v>0</v>
      </c>
      <c r="DK16" s="7">
        <f>IF(預測IC!DK16&gt;預測IC!DK$25,1,0)</f>
        <v>1</v>
      </c>
      <c r="DL16" s="7">
        <f>IF(預測IC!DL16&gt;預測IC!DL$25,1,0)</f>
        <v>1</v>
      </c>
      <c r="DM16" s="7">
        <f>IF(預測IC!DM16&gt;預測IC!DM$25,1,0)</f>
        <v>0</v>
      </c>
      <c r="DN16" s="7">
        <f>IF(預測IC!DN16&gt;預測IC!DN$25,1,0)</f>
        <v>1</v>
      </c>
      <c r="DO16" s="7">
        <f>IF(預測IC!DO16&gt;預測IC!DO$25,1,0)</f>
        <v>1</v>
      </c>
      <c r="DP16" s="7">
        <f>IF(預測IC!DP16&gt;預測IC!DP$25,1,0)</f>
        <v>1</v>
      </c>
      <c r="DQ16" s="7">
        <f>IF(預測IC!DQ16&gt;預測IC!DQ$25,1,0)</f>
        <v>0</v>
      </c>
      <c r="DR16" s="7">
        <f>IF(預測IC!DR16&gt;預測IC!DR$25,1,0)</f>
        <v>1</v>
      </c>
      <c r="DS16" s="7">
        <f>IF(預測IC!DS16&gt;預測IC!DS$25,1,0)</f>
        <v>0</v>
      </c>
      <c r="DT16" s="7">
        <f>IF(預測IC!DT16&gt;預測IC!DT$25,1,0)</f>
        <v>0</v>
      </c>
      <c r="DU16" s="7">
        <f>IF(預測IC!DU16&gt;預測IC!DU$25,1,0)</f>
        <v>0</v>
      </c>
      <c r="DV16" s="7">
        <f>IF(預測IC!DV16&gt;預測IC!DV$25,1,0)</f>
        <v>1</v>
      </c>
      <c r="DW16" s="7">
        <f>IF(預測IC!DW16&gt;預測IC!DW$25,1,0)</f>
        <v>1</v>
      </c>
      <c r="DX16" s="7">
        <f>IF(預測IC!DX16&gt;預測IC!DX$25,1,0)</f>
        <v>0</v>
      </c>
      <c r="DY16" s="7">
        <f>IF(預測IC!DY16&gt;預測IC!DY$25,1,0)</f>
        <v>1</v>
      </c>
      <c r="DZ16" s="7">
        <f>IF(預測IC!DZ16&gt;預測IC!DZ$25,1,0)</f>
        <v>0</v>
      </c>
      <c r="EA16" s="7">
        <f>IF(預測IC!EA16&gt;預測IC!EA$25,1,0)</f>
        <v>1</v>
      </c>
      <c r="EB16" s="7">
        <f>IF(預測IC!EB16&gt;預測IC!EB$25,1,0)</f>
        <v>1</v>
      </c>
      <c r="EC16" s="7">
        <f>IF(預測IC!EC16&gt;預測IC!EC$25,1,0)</f>
        <v>1</v>
      </c>
      <c r="ED16" s="7">
        <f>IF(預測IC!ED16&gt;預測IC!ED$25,1,0)</f>
        <v>0</v>
      </c>
      <c r="EE16" s="7">
        <f>IF(預測IC!EE16&gt;預測IC!EE$25,1,0)</f>
        <v>0</v>
      </c>
      <c r="EF16" s="7">
        <f>IF(預測IC!EF16&gt;預測IC!EF$25,1,0)</f>
        <v>1</v>
      </c>
      <c r="EG16">
        <f t="shared" si="10"/>
        <v>72</v>
      </c>
      <c r="EH16" s="13">
        <f t="shared" si="11"/>
        <v>0.52985074626865669</v>
      </c>
    </row>
    <row r="17" spans="1:138" x14ac:dyDescent="0.3">
      <c r="A17" s="1">
        <v>120</v>
      </c>
      <c r="B17" s="1">
        <v>8</v>
      </c>
      <c r="C17" s="7">
        <f>IF(預測IC!C17&gt;預測IC!C$25,1,0)</f>
        <v>0</v>
      </c>
      <c r="D17" s="7">
        <f>IF(預測IC!D17&gt;預測IC!D$25,1,0)</f>
        <v>0</v>
      </c>
      <c r="E17" s="7">
        <f>IF(預測IC!E17&gt;預測IC!E$25,1,0)</f>
        <v>0</v>
      </c>
      <c r="F17" s="7">
        <f>IF(預測IC!F17&gt;預測IC!F$25,1,0)</f>
        <v>0</v>
      </c>
      <c r="G17" s="7">
        <f>IF(預測IC!G17&gt;預測IC!G$25,1,0)</f>
        <v>0</v>
      </c>
      <c r="H17" s="7">
        <f>IF(預測IC!H17&gt;預測IC!H$25,1,0)</f>
        <v>1</v>
      </c>
      <c r="I17" s="7">
        <f>IF(預測IC!I17&gt;預測IC!I$25,1,0)</f>
        <v>1</v>
      </c>
      <c r="J17" s="7">
        <f>IF(預測IC!J17&gt;預測IC!J$25,1,0)</f>
        <v>1</v>
      </c>
      <c r="K17" s="7">
        <f>IF(預測IC!K17&gt;預測IC!K$25,1,0)</f>
        <v>0</v>
      </c>
      <c r="L17" s="7">
        <f>IF(預測IC!L17&gt;預測IC!L$25,1,0)</f>
        <v>1</v>
      </c>
      <c r="M17" s="7">
        <f>IF(預測IC!M17&gt;預測IC!M$25,1,0)</f>
        <v>1</v>
      </c>
      <c r="N17" s="7">
        <f>IF(預測IC!N17&gt;預測IC!N$25,1,0)</f>
        <v>1</v>
      </c>
      <c r="O17" s="7">
        <f>IF(預測IC!O17&gt;預測IC!O$25,1,0)</f>
        <v>1</v>
      </c>
      <c r="P17" s="7">
        <f>IF(預測IC!P17&gt;預測IC!P$25,1,0)</f>
        <v>0</v>
      </c>
      <c r="Q17" s="7">
        <f>IF(預測IC!Q17&gt;預測IC!Q$25,1,0)</f>
        <v>0</v>
      </c>
      <c r="R17" s="7">
        <f>IF(預測IC!R17&gt;預測IC!R$25,1,0)</f>
        <v>0</v>
      </c>
      <c r="S17" s="7">
        <f>IF(預測IC!S17&gt;預測IC!S$25,1,0)</f>
        <v>0</v>
      </c>
      <c r="T17" s="7">
        <f>IF(預測IC!T17&gt;預測IC!T$25,1,0)</f>
        <v>0</v>
      </c>
      <c r="U17" s="7">
        <f>IF(預測IC!U17&gt;預測IC!U$25,1,0)</f>
        <v>0</v>
      </c>
      <c r="V17" s="7">
        <f>IF(預測IC!V17&gt;預測IC!V$25,1,0)</f>
        <v>1</v>
      </c>
      <c r="W17" s="7">
        <f>IF(預測IC!W17&gt;預測IC!W$25,1,0)</f>
        <v>1</v>
      </c>
      <c r="X17" s="7">
        <f>IF(預測IC!X17&gt;預測IC!X$25,1,0)</f>
        <v>1</v>
      </c>
      <c r="Y17" s="7">
        <f>IF(預測IC!Y17&gt;預測IC!Y$25,1,0)</f>
        <v>1</v>
      </c>
      <c r="Z17" s="7">
        <f>IF(預測IC!Z17&gt;預測IC!Z$25,1,0)</f>
        <v>1</v>
      </c>
      <c r="AA17" s="7">
        <f>IF(預測IC!AA17&gt;預測IC!AA$25,1,0)</f>
        <v>0</v>
      </c>
      <c r="AB17" s="7">
        <f>IF(預測IC!AB17&gt;預測IC!AB$25,1,0)</f>
        <v>1</v>
      </c>
      <c r="AC17" s="7">
        <f>IF(預測IC!AC17&gt;預測IC!AC$25,1,0)</f>
        <v>1</v>
      </c>
      <c r="AD17" s="7">
        <f>IF(預測IC!AD17&gt;預測IC!AD$25,1,0)</f>
        <v>1</v>
      </c>
      <c r="AE17" s="7">
        <f>IF(預測IC!AE17&gt;預測IC!AE$25,1,0)</f>
        <v>0</v>
      </c>
      <c r="AF17" s="7">
        <f>IF(預測IC!AF17&gt;預測IC!AF$25,1,0)</f>
        <v>1</v>
      </c>
      <c r="AG17" s="7">
        <f>IF(預測IC!AG17&gt;預測IC!AG$25,1,0)</f>
        <v>0</v>
      </c>
      <c r="AH17" s="7">
        <f>IF(預測IC!AH17&gt;預測IC!AH$25,1,0)</f>
        <v>0</v>
      </c>
      <c r="AI17" s="7">
        <f>IF(預測IC!AI17&gt;預測IC!AI$25,1,0)</f>
        <v>1</v>
      </c>
      <c r="AJ17" s="7">
        <f>IF(預測IC!AJ17&gt;預測IC!AJ$25,1,0)</f>
        <v>0</v>
      </c>
      <c r="AK17" s="7">
        <f>IF(預測IC!AK17&gt;預測IC!AK$25,1,0)</f>
        <v>1</v>
      </c>
      <c r="AL17" s="7">
        <f>IF(預測IC!AL17&gt;預測IC!AL$25,1,0)</f>
        <v>1</v>
      </c>
      <c r="AM17" s="7">
        <f>IF(預測IC!AM17&gt;預測IC!AM$25,1,0)</f>
        <v>1</v>
      </c>
      <c r="AN17" s="7">
        <f>IF(預測IC!AN17&gt;預測IC!AN$25,1,0)</f>
        <v>1</v>
      </c>
      <c r="AO17" s="7">
        <f>IF(預測IC!AO17&gt;預測IC!AO$25,1,0)</f>
        <v>1</v>
      </c>
      <c r="AP17" s="7">
        <f>IF(預測IC!AP17&gt;預測IC!AP$25,1,0)</f>
        <v>0</v>
      </c>
      <c r="AQ17" s="7">
        <f>IF(預測IC!AQ17&gt;預測IC!AQ$25,1,0)</f>
        <v>0</v>
      </c>
      <c r="AR17" s="7">
        <f>IF(預測IC!AR17&gt;預測IC!AR$25,1,0)</f>
        <v>1</v>
      </c>
      <c r="AS17" s="7">
        <f>IF(預測IC!AS17&gt;預測IC!AS$25,1,0)</f>
        <v>1</v>
      </c>
      <c r="AT17" s="7">
        <f>IF(預測IC!AT17&gt;預測IC!AT$25,1,0)</f>
        <v>1</v>
      </c>
      <c r="AU17" s="7">
        <f>IF(預測IC!AU17&gt;預測IC!AU$25,1,0)</f>
        <v>1</v>
      </c>
      <c r="AV17" s="7">
        <f>IF(預測IC!AV17&gt;預測IC!AV$25,1,0)</f>
        <v>0</v>
      </c>
      <c r="AW17" s="7">
        <f>IF(預測IC!AW17&gt;預測IC!AW$25,1,0)</f>
        <v>1</v>
      </c>
      <c r="AX17" s="7">
        <f>IF(預測IC!AX17&gt;預測IC!AX$25,1,0)</f>
        <v>1</v>
      </c>
      <c r="AY17" s="7">
        <f>IF(預測IC!AY17&gt;預測IC!AY$25,1,0)</f>
        <v>0</v>
      </c>
      <c r="AZ17" s="7">
        <f>IF(預測IC!AZ17&gt;預測IC!AZ$25,1,0)</f>
        <v>0</v>
      </c>
      <c r="BA17" s="7">
        <f>IF(預測IC!BA17&gt;預測IC!BA$25,1,0)</f>
        <v>1</v>
      </c>
      <c r="BB17" s="7">
        <f>IF(預測IC!BB17&gt;預測IC!BB$25,1,0)</f>
        <v>1</v>
      </c>
      <c r="BC17" s="7">
        <f>IF(預測IC!BC17&gt;預測IC!BC$25,1,0)</f>
        <v>1</v>
      </c>
      <c r="BD17" s="7">
        <f>IF(預測IC!BD17&gt;預測IC!BD$25,1,0)</f>
        <v>1</v>
      </c>
      <c r="BE17" s="7">
        <f>IF(預測IC!BE17&gt;預測IC!BE$25,1,0)</f>
        <v>1</v>
      </c>
      <c r="BF17" s="7">
        <f>IF(預測IC!BF17&gt;預測IC!BF$25,1,0)</f>
        <v>1</v>
      </c>
      <c r="BG17" s="7">
        <f>IF(預測IC!BG17&gt;預測IC!BG$25,1,0)</f>
        <v>0</v>
      </c>
      <c r="BH17" s="7">
        <f>IF(預測IC!BH17&gt;預測IC!BH$25,1,0)</f>
        <v>1</v>
      </c>
      <c r="BI17" s="7">
        <f>IF(預測IC!BI17&gt;預測IC!BI$25,1,0)</f>
        <v>1</v>
      </c>
      <c r="BJ17" s="7">
        <f>IF(預測IC!BJ17&gt;預測IC!BJ$25,1,0)</f>
        <v>1</v>
      </c>
      <c r="BK17" s="7">
        <f>IF(預測IC!BK17&gt;預測IC!BK$25,1,0)</f>
        <v>0</v>
      </c>
      <c r="BL17" s="7">
        <f>IF(預測IC!BL17&gt;預測IC!BL$25,1,0)</f>
        <v>1</v>
      </c>
      <c r="BM17" s="7">
        <f>IF(預測IC!BM17&gt;預測IC!BM$25,1,0)</f>
        <v>1</v>
      </c>
      <c r="BN17" s="7">
        <f>IF(預測IC!BN17&gt;預測IC!BN$25,1,0)</f>
        <v>1</v>
      </c>
      <c r="BO17" s="7">
        <f>IF(預測IC!BO17&gt;預測IC!BO$25,1,0)</f>
        <v>1</v>
      </c>
      <c r="BP17" s="7">
        <f>IF(預測IC!BP17&gt;預測IC!BP$25,1,0)</f>
        <v>1</v>
      </c>
      <c r="BQ17" s="7">
        <f>IF(預測IC!BQ17&gt;預測IC!BQ$25,1,0)</f>
        <v>1</v>
      </c>
      <c r="BR17" s="7">
        <f>IF(預測IC!BR17&gt;預測IC!BR$25,1,0)</f>
        <v>1</v>
      </c>
      <c r="BS17" s="7">
        <f>IF(預測IC!BS17&gt;預測IC!BS$25,1,0)</f>
        <v>0</v>
      </c>
      <c r="BT17" s="7">
        <f>IF(預測IC!BT17&gt;預測IC!BT$25,1,0)</f>
        <v>1</v>
      </c>
      <c r="BU17" s="7">
        <f>IF(預測IC!BU17&gt;預測IC!BU$25,1,0)</f>
        <v>1</v>
      </c>
      <c r="BV17" s="7">
        <f>IF(預測IC!BV17&gt;預測IC!BV$25,1,0)</f>
        <v>1</v>
      </c>
      <c r="BW17" s="7">
        <f>IF(預測IC!BW17&gt;預測IC!BW$25,1,0)</f>
        <v>0</v>
      </c>
      <c r="BX17" s="7">
        <f>IF(預測IC!BX17&gt;預測IC!BX$25,1,0)</f>
        <v>1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0</v>
      </c>
      <c r="CB17" s="7">
        <f>IF(預測IC!CB17&gt;預測IC!CB$25,1,0)</f>
        <v>0</v>
      </c>
      <c r="CC17" s="7">
        <f>IF(預測IC!CC17&gt;預測IC!CC$25,1,0)</f>
        <v>0</v>
      </c>
      <c r="CD17" s="7">
        <f>IF(預測IC!CD17&gt;預測IC!CD$25,1,0)</f>
        <v>1</v>
      </c>
      <c r="CE17" s="7">
        <f>IF(預測IC!CE17&gt;預測IC!CE$25,1,0)</f>
        <v>0</v>
      </c>
      <c r="CF17" s="7">
        <f>IF(預測IC!CF17&gt;預測IC!CF$25,1,0)</f>
        <v>1</v>
      </c>
      <c r="CG17" s="7">
        <f>IF(預測IC!CG17&gt;預測IC!CG$25,1,0)</f>
        <v>0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1</v>
      </c>
      <c r="CL17" s="7">
        <f>IF(預測IC!CL17&gt;預測IC!CL$25,1,0)</f>
        <v>0</v>
      </c>
      <c r="CM17" s="7">
        <f>IF(預測IC!CM17&gt;預測IC!CM$25,1,0)</f>
        <v>1</v>
      </c>
      <c r="CN17" s="7">
        <f>IF(預測IC!CN17&gt;預測IC!CN$25,1,0)</f>
        <v>0</v>
      </c>
      <c r="CO17" s="7">
        <f>IF(預測IC!CO17&gt;預測IC!CO$25,1,0)</f>
        <v>0</v>
      </c>
      <c r="CP17" s="7">
        <f>IF(預測IC!CP17&gt;預測IC!CP$25,1,0)</f>
        <v>1</v>
      </c>
      <c r="CQ17" s="7">
        <f>IF(預測IC!CQ17&gt;預測IC!CQ$25,1,0)</f>
        <v>1</v>
      </c>
      <c r="CR17" s="7">
        <f>IF(預測IC!CR17&gt;預測IC!CR$25,1,0)</f>
        <v>1</v>
      </c>
      <c r="CS17" s="7">
        <f>IF(預測IC!CS17&gt;預測IC!CS$25,1,0)</f>
        <v>1</v>
      </c>
      <c r="CT17" s="7">
        <f>IF(預測IC!CT17&gt;預測IC!CT$25,1,0)</f>
        <v>1</v>
      </c>
      <c r="CU17" s="7">
        <f>IF(預測IC!CU17&gt;預測IC!CU$25,1,0)</f>
        <v>0</v>
      </c>
      <c r="CV17" s="7">
        <f>IF(預測IC!CV17&gt;預測IC!CV$25,1,0)</f>
        <v>1</v>
      </c>
      <c r="CW17" s="7">
        <f>IF(預測IC!CW17&gt;預測IC!CW$25,1,0)</f>
        <v>0</v>
      </c>
      <c r="CX17" s="7">
        <f>IF(預測IC!CX17&gt;預測IC!CX$25,1,0)</f>
        <v>1</v>
      </c>
      <c r="CY17" s="7">
        <f>IF(預測IC!CY17&gt;預測IC!CY$25,1,0)</f>
        <v>0</v>
      </c>
      <c r="CZ17" s="7">
        <f>IF(預測IC!CZ17&gt;預測IC!CZ$25,1,0)</f>
        <v>1</v>
      </c>
      <c r="DA17" s="7">
        <f>IF(預測IC!DA17&gt;預測IC!DA$25,1,0)</f>
        <v>0</v>
      </c>
      <c r="DB17" s="7">
        <f>IF(預測IC!DB17&gt;預測IC!DB$25,1,0)</f>
        <v>0</v>
      </c>
      <c r="DC17" s="7">
        <f>IF(預測IC!DC17&gt;預測IC!DC$25,1,0)</f>
        <v>1</v>
      </c>
      <c r="DD17" s="7">
        <f>IF(預測IC!DD17&gt;預測IC!DD$25,1,0)</f>
        <v>0</v>
      </c>
      <c r="DE17" s="7">
        <f>IF(預測IC!DE17&gt;預測IC!DE$25,1,0)</f>
        <v>0</v>
      </c>
      <c r="DF17" s="7">
        <f>IF(預測IC!DF17&gt;預測IC!DF$25,1,0)</f>
        <v>1</v>
      </c>
      <c r="DG17" s="7">
        <f>IF(預測IC!DG17&gt;預測IC!DG$25,1,0)</f>
        <v>0</v>
      </c>
      <c r="DH17" s="7">
        <f>IF(預測IC!DH17&gt;預測IC!DH$25,1,0)</f>
        <v>0</v>
      </c>
      <c r="DI17" s="7">
        <f>IF(預測IC!DI17&gt;預測IC!DI$25,1,0)</f>
        <v>0</v>
      </c>
      <c r="DJ17" s="7">
        <f>IF(預測IC!DJ17&gt;預測IC!DJ$25,1,0)</f>
        <v>0</v>
      </c>
      <c r="DK17" s="7">
        <f>IF(預測IC!DK17&gt;預測IC!DK$25,1,0)</f>
        <v>1</v>
      </c>
      <c r="DL17" s="7">
        <f>IF(預測IC!DL17&gt;預測IC!DL$25,1,0)</f>
        <v>1</v>
      </c>
      <c r="DM17" s="7">
        <f>IF(預測IC!DM17&gt;預測IC!DM$25,1,0)</f>
        <v>0</v>
      </c>
      <c r="DN17" s="7">
        <f>IF(預測IC!DN17&gt;預測IC!DN$25,1,0)</f>
        <v>1</v>
      </c>
      <c r="DO17" s="7">
        <f>IF(預測IC!DO17&gt;預測IC!DO$25,1,0)</f>
        <v>1</v>
      </c>
      <c r="DP17" s="7">
        <f>IF(預測IC!DP17&gt;預測IC!DP$25,1,0)</f>
        <v>1</v>
      </c>
      <c r="DQ17" s="7">
        <f>IF(預測IC!DQ17&gt;預測IC!DQ$25,1,0)</f>
        <v>0</v>
      </c>
      <c r="DR17" s="7">
        <f>IF(預測IC!DR17&gt;預測IC!DR$25,1,0)</f>
        <v>1</v>
      </c>
      <c r="DS17" s="7">
        <f>IF(預測IC!DS17&gt;預測IC!DS$25,1,0)</f>
        <v>0</v>
      </c>
      <c r="DT17" s="7">
        <f>IF(預測IC!DT17&gt;預測IC!DT$25,1,0)</f>
        <v>0</v>
      </c>
      <c r="DU17" s="7">
        <f>IF(預測IC!DU17&gt;預測IC!DU$25,1,0)</f>
        <v>0</v>
      </c>
      <c r="DV17" s="7">
        <f>IF(預測IC!DV17&gt;預測IC!DV$25,1,0)</f>
        <v>1</v>
      </c>
      <c r="DW17" s="7">
        <f>IF(預測IC!DW17&gt;預測IC!DW$25,1,0)</f>
        <v>1</v>
      </c>
      <c r="DX17" s="7">
        <f>IF(預測IC!DX17&gt;預測IC!DX$25,1,0)</f>
        <v>0</v>
      </c>
      <c r="DY17" s="7">
        <f>IF(預測IC!DY17&gt;預測IC!DY$25,1,0)</f>
        <v>1</v>
      </c>
      <c r="DZ17" s="7">
        <f>IF(預測IC!DZ17&gt;預測IC!DZ$25,1,0)</f>
        <v>0</v>
      </c>
      <c r="EA17" s="7">
        <f>IF(預測IC!EA17&gt;預測IC!EA$25,1,0)</f>
        <v>1</v>
      </c>
      <c r="EB17" s="7">
        <f>IF(預測IC!EB17&gt;預測IC!EB$25,1,0)</f>
        <v>1</v>
      </c>
      <c r="EC17" s="7">
        <f>IF(預測IC!EC17&gt;預測IC!EC$25,1,0)</f>
        <v>1</v>
      </c>
      <c r="ED17" s="7">
        <f>IF(預測IC!ED17&gt;預測IC!ED$25,1,0)</f>
        <v>0</v>
      </c>
      <c r="EE17" s="7">
        <f>IF(預測IC!EE17&gt;預測IC!EE$25,1,0)</f>
        <v>0</v>
      </c>
      <c r="EF17" s="7">
        <f>IF(預測IC!EF17&gt;預測IC!EF$25,1,0)</f>
        <v>1</v>
      </c>
      <c r="EG17">
        <f t="shared" si="10"/>
        <v>76</v>
      </c>
      <c r="EH17" s="13">
        <f t="shared" si="11"/>
        <v>0.55970149253731338</v>
      </c>
    </row>
    <row r="18" spans="1:138" x14ac:dyDescent="0.3">
      <c r="A18" s="1">
        <v>137</v>
      </c>
      <c r="B18" s="1">
        <v>7</v>
      </c>
      <c r="C18" s="7">
        <f>IF(預測IC!C18&gt;預測IC!C$25,1,0)</f>
        <v>0</v>
      </c>
      <c r="D18" s="7">
        <f>IF(預測IC!D18&gt;預測IC!D$25,1,0)</f>
        <v>0</v>
      </c>
      <c r="E18" s="7">
        <f>IF(預測IC!E18&gt;預測IC!E$25,1,0)</f>
        <v>0</v>
      </c>
      <c r="F18" s="7">
        <f>IF(預測IC!F18&gt;預測IC!F$25,1,0)</f>
        <v>0</v>
      </c>
      <c r="G18" s="7">
        <f>IF(預測IC!G18&gt;預測IC!G$25,1,0)</f>
        <v>0</v>
      </c>
      <c r="H18" s="7">
        <f>IF(預測IC!H18&gt;預測IC!H$25,1,0)</f>
        <v>1</v>
      </c>
      <c r="I18" s="7">
        <f>IF(預測IC!I18&gt;預測IC!I$25,1,0)</f>
        <v>1</v>
      </c>
      <c r="J18" s="7">
        <f>IF(預測IC!J18&gt;預測IC!J$25,1,0)</f>
        <v>1</v>
      </c>
      <c r="K18" s="7">
        <f>IF(預測IC!K18&gt;預測IC!K$25,1,0)</f>
        <v>0</v>
      </c>
      <c r="L18" s="7">
        <f>IF(預測IC!L18&gt;預測IC!L$25,1,0)</f>
        <v>1</v>
      </c>
      <c r="M18" s="7">
        <f>IF(預測IC!M18&gt;預測IC!M$25,1,0)</f>
        <v>1</v>
      </c>
      <c r="N18" s="7">
        <f>IF(預測IC!N18&gt;預測IC!N$25,1,0)</f>
        <v>1</v>
      </c>
      <c r="O18" s="7">
        <f>IF(預測IC!O18&gt;預測IC!O$25,1,0)</f>
        <v>1</v>
      </c>
      <c r="P18" s="7">
        <f>IF(預測IC!P18&gt;預測IC!P$25,1,0)</f>
        <v>0</v>
      </c>
      <c r="Q18" s="7">
        <f>IF(預測IC!Q18&gt;預測IC!Q$25,1,0)</f>
        <v>0</v>
      </c>
      <c r="R18" s="7">
        <f>IF(預測IC!R18&gt;預測IC!R$25,1,0)</f>
        <v>0</v>
      </c>
      <c r="S18" s="7">
        <f>IF(預測IC!S18&gt;預測IC!S$25,1,0)</f>
        <v>0</v>
      </c>
      <c r="T18" s="7">
        <f>IF(預測IC!T18&gt;預測IC!T$25,1,0)</f>
        <v>0</v>
      </c>
      <c r="U18" s="7">
        <f>IF(預測IC!U18&gt;預測IC!U$25,1,0)</f>
        <v>0</v>
      </c>
      <c r="V18" s="7">
        <f>IF(預測IC!V18&gt;預測IC!V$25,1,0)</f>
        <v>1</v>
      </c>
      <c r="W18" s="7">
        <f>IF(預測IC!W18&gt;預測IC!W$25,1,0)</f>
        <v>1</v>
      </c>
      <c r="X18" s="7">
        <f>IF(預測IC!X18&gt;預測IC!X$25,1,0)</f>
        <v>1</v>
      </c>
      <c r="Y18" s="7">
        <f>IF(預測IC!Y18&gt;預測IC!Y$25,1,0)</f>
        <v>1</v>
      </c>
      <c r="Z18" s="7">
        <f>IF(預測IC!Z18&gt;預測IC!Z$25,1,0)</f>
        <v>1</v>
      </c>
      <c r="AA18" s="7">
        <f>IF(預測IC!AA18&gt;預測IC!AA$25,1,0)</f>
        <v>0</v>
      </c>
      <c r="AB18" s="7">
        <f>IF(預測IC!AB18&gt;預測IC!AB$25,1,0)</f>
        <v>1</v>
      </c>
      <c r="AC18" s="7">
        <f>IF(預測IC!AC18&gt;預測IC!AC$25,1,0)</f>
        <v>1</v>
      </c>
      <c r="AD18" s="7">
        <f>IF(預測IC!AD18&gt;預測IC!AD$25,1,0)</f>
        <v>1</v>
      </c>
      <c r="AE18" s="7">
        <f>IF(預測IC!AE18&gt;預測IC!AE$25,1,0)</f>
        <v>0</v>
      </c>
      <c r="AF18" s="7">
        <f>IF(預測IC!AF18&gt;預測IC!AF$25,1,0)</f>
        <v>1</v>
      </c>
      <c r="AG18" s="7">
        <f>IF(預測IC!AG18&gt;預測IC!AG$25,1,0)</f>
        <v>0</v>
      </c>
      <c r="AH18" s="7">
        <f>IF(預測IC!AH18&gt;預測IC!AH$25,1,0)</f>
        <v>0</v>
      </c>
      <c r="AI18" s="7">
        <f>IF(預測IC!AI18&gt;預測IC!AI$25,1,0)</f>
        <v>1</v>
      </c>
      <c r="AJ18" s="7">
        <f>IF(預測IC!AJ18&gt;預測IC!AJ$25,1,0)</f>
        <v>0</v>
      </c>
      <c r="AK18" s="7">
        <f>IF(預測IC!AK18&gt;預測IC!AK$25,1,0)</f>
        <v>1</v>
      </c>
      <c r="AL18" s="7">
        <f>IF(預測IC!AL18&gt;預測IC!AL$25,1,0)</f>
        <v>1</v>
      </c>
      <c r="AM18" s="7">
        <f>IF(預測IC!AM18&gt;預測IC!AM$25,1,0)</f>
        <v>1</v>
      </c>
      <c r="AN18" s="7">
        <f>IF(預測IC!AN18&gt;預測IC!AN$25,1,0)</f>
        <v>1</v>
      </c>
      <c r="AO18" s="7">
        <f>IF(預測IC!AO18&gt;預測IC!AO$25,1,0)</f>
        <v>0</v>
      </c>
      <c r="AP18" s="7">
        <f>IF(預測IC!AP18&gt;預測IC!AP$25,1,0)</f>
        <v>0</v>
      </c>
      <c r="AQ18" s="7">
        <f>IF(預測IC!AQ18&gt;預測IC!AQ$25,1,0)</f>
        <v>0</v>
      </c>
      <c r="AR18" s="7">
        <f>IF(預測IC!AR18&gt;預測IC!AR$25,1,0)</f>
        <v>1</v>
      </c>
      <c r="AS18" s="7">
        <f>IF(預測IC!AS18&gt;預測IC!AS$25,1,0)</f>
        <v>1</v>
      </c>
      <c r="AT18" s="7">
        <f>IF(預測IC!AT18&gt;預測IC!AT$25,1,0)</f>
        <v>1</v>
      </c>
      <c r="AU18" s="7">
        <f>IF(預測IC!AU18&gt;預測IC!AU$25,1,0)</f>
        <v>1</v>
      </c>
      <c r="AV18" s="7">
        <f>IF(預測IC!AV18&gt;預測IC!AV$25,1,0)</f>
        <v>0</v>
      </c>
      <c r="AW18" s="7">
        <f>IF(預測IC!AW18&gt;預測IC!AW$25,1,0)</f>
        <v>1</v>
      </c>
      <c r="AX18" s="7">
        <f>IF(預測IC!AX18&gt;預測IC!AX$25,1,0)</f>
        <v>1</v>
      </c>
      <c r="AY18" s="7">
        <f>IF(預測IC!AY18&gt;預測IC!AY$25,1,0)</f>
        <v>0</v>
      </c>
      <c r="AZ18" s="7">
        <f>IF(預測IC!AZ18&gt;預測IC!AZ$25,1,0)</f>
        <v>0</v>
      </c>
      <c r="BA18" s="7">
        <f>IF(預測IC!BA18&gt;預測IC!BA$25,1,0)</f>
        <v>0</v>
      </c>
      <c r="BB18" s="7">
        <f>IF(預測IC!BB18&gt;預測IC!BB$25,1,0)</f>
        <v>1</v>
      </c>
      <c r="BC18" s="7">
        <f>IF(預測IC!BC18&gt;預測IC!BC$25,1,0)</f>
        <v>1</v>
      </c>
      <c r="BD18" s="7">
        <f>IF(預測IC!BD18&gt;預測IC!BD$25,1,0)</f>
        <v>0</v>
      </c>
      <c r="BE18" s="7">
        <f>IF(預測IC!BE18&gt;預測IC!BE$25,1,0)</f>
        <v>1</v>
      </c>
      <c r="BF18" s="7">
        <f>IF(預測IC!BF18&gt;預測IC!BF$25,1,0)</f>
        <v>1</v>
      </c>
      <c r="BG18" s="7">
        <f>IF(預測IC!BG18&gt;預測IC!BG$25,1,0)</f>
        <v>0</v>
      </c>
      <c r="BH18" s="7">
        <f>IF(預測IC!BH18&gt;預測IC!BH$25,1,0)</f>
        <v>1</v>
      </c>
      <c r="BI18" s="7">
        <f>IF(預測IC!BI18&gt;預測IC!BI$25,1,0)</f>
        <v>1</v>
      </c>
      <c r="BJ18" s="7">
        <f>IF(預測IC!BJ18&gt;預測IC!BJ$25,1,0)</f>
        <v>1</v>
      </c>
      <c r="BK18" s="7">
        <f>IF(預測IC!BK18&gt;預測IC!BK$25,1,0)</f>
        <v>0</v>
      </c>
      <c r="BL18" s="7">
        <f>IF(預測IC!BL18&gt;預測IC!BL$25,1,0)</f>
        <v>1</v>
      </c>
      <c r="BM18" s="7">
        <f>IF(預測IC!BM18&gt;預測IC!BM$25,1,0)</f>
        <v>1</v>
      </c>
      <c r="BN18" s="7">
        <f>IF(預測IC!BN18&gt;預測IC!BN$25,1,0)</f>
        <v>1</v>
      </c>
      <c r="BO18" s="7">
        <f>IF(預測IC!BO18&gt;預測IC!BO$25,1,0)</f>
        <v>1</v>
      </c>
      <c r="BP18" s="7">
        <f>IF(預測IC!BP18&gt;預測IC!BP$25,1,0)</f>
        <v>1</v>
      </c>
      <c r="BQ18" s="7">
        <f>IF(預測IC!BQ18&gt;預測IC!BQ$25,1,0)</f>
        <v>0</v>
      </c>
      <c r="BR18" s="7">
        <f>IF(預測IC!BR18&gt;預測IC!BR$25,1,0)</f>
        <v>1</v>
      </c>
      <c r="BS18" s="7">
        <f>IF(預測IC!BS18&gt;預測IC!BS$25,1,0)</f>
        <v>0</v>
      </c>
      <c r="BT18" s="7">
        <f>IF(預測IC!BT18&gt;預測IC!BT$25,1,0)</f>
        <v>1</v>
      </c>
      <c r="BU18" s="7">
        <f>IF(預測IC!BU18&gt;預測IC!BU$25,1,0)</f>
        <v>1</v>
      </c>
      <c r="BV18" s="7">
        <f>IF(預測IC!BV18&gt;預測IC!BV$25,1,0)</f>
        <v>1</v>
      </c>
      <c r="BW18" s="7">
        <f>IF(預測IC!BW18&gt;預測IC!BW$25,1,0)</f>
        <v>0</v>
      </c>
      <c r="BX18" s="7">
        <f>IF(預測IC!BX18&gt;預測IC!BX$25,1,0)</f>
        <v>1</v>
      </c>
      <c r="BY18" s="7">
        <f>IF(預測IC!BY18&gt;預測IC!BY$25,1,0)</f>
        <v>1</v>
      </c>
      <c r="BZ18" s="7">
        <f>IF(預測IC!BZ18&gt;預測IC!BZ$25,1,0)</f>
        <v>1</v>
      </c>
      <c r="CA18" s="7">
        <f>IF(預測IC!CA18&gt;預測IC!CA$25,1,0)</f>
        <v>0</v>
      </c>
      <c r="CB18" s="7">
        <f>IF(預測IC!CB18&gt;預測IC!CB$25,1,0)</f>
        <v>0</v>
      </c>
      <c r="CC18" s="7">
        <f>IF(預測IC!CC18&gt;預測IC!CC$25,1,0)</f>
        <v>0</v>
      </c>
      <c r="CD18" s="7">
        <f>IF(預測IC!CD18&gt;預測IC!CD$25,1,0)</f>
        <v>1</v>
      </c>
      <c r="CE18" s="7">
        <f>IF(預測IC!CE18&gt;預測IC!CE$25,1,0)</f>
        <v>0</v>
      </c>
      <c r="CF18" s="7">
        <f>IF(預測IC!CF18&gt;預測IC!CF$25,1,0)</f>
        <v>1</v>
      </c>
      <c r="CG18" s="7">
        <f>IF(預測IC!CG18&gt;預測IC!CG$25,1,0)</f>
        <v>0</v>
      </c>
      <c r="CH18" s="7">
        <f>IF(預測IC!CH18&gt;預測IC!CH$25,1,0)</f>
        <v>1</v>
      </c>
      <c r="CI18" s="7">
        <f>IF(預測IC!CI18&gt;預測IC!CI$25,1,0)</f>
        <v>0</v>
      </c>
      <c r="CJ18" s="7">
        <f>IF(預測IC!CJ18&gt;預測IC!CJ$25,1,0)</f>
        <v>0</v>
      </c>
      <c r="CK18" s="7">
        <f>IF(預測IC!CK18&gt;預測IC!CK$25,1,0)</f>
        <v>1</v>
      </c>
      <c r="CL18" s="7">
        <f>IF(預測IC!CL18&gt;預測IC!CL$25,1,0)</f>
        <v>0</v>
      </c>
      <c r="CM18" s="7">
        <f>IF(預測IC!CM18&gt;預測IC!CM$25,1,0)</f>
        <v>1</v>
      </c>
      <c r="CN18" s="7">
        <f>IF(預測IC!CN18&gt;預測IC!CN$25,1,0)</f>
        <v>0</v>
      </c>
      <c r="CO18" s="7">
        <f>IF(預測IC!CO18&gt;預測IC!CO$25,1,0)</f>
        <v>0</v>
      </c>
      <c r="CP18" s="7">
        <f>IF(預測IC!CP18&gt;預測IC!CP$25,1,0)</f>
        <v>1</v>
      </c>
      <c r="CQ18" s="7">
        <f>IF(預測IC!CQ18&gt;預測IC!CQ$25,1,0)</f>
        <v>1</v>
      </c>
      <c r="CR18" s="7">
        <f>IF(預測IC!CR18&gt;預測IC!CR$25,1,0)</f>
        <v>1</v>
      </c>
      <c r="CS18" s="7">
        <f>IF(預測IC!CS18&gt;預測IC!CS$25,1,0)</f>
        <v>1</v>
      </c>
      <c r="CT18" s="7">
        <f>IF(預測IC!CT18&gt;預測IC!CT$25,1,0)</f>
        <v>1</v>
      </c>
      <c r="CU18" s="7">
        <f>IF(預測IC!CU18&gt;預測IC!CU$25,1,0)</f>
        <v>0</v>
      </c>
      <c r="CV18" s="7">
        <f>IF(預測IC!CV18&gt;預測IC!CV$25,1,0)</f>
        <v>1</v>
      </c>
      <c r="CW18" s="7">
        <f>IF(預測IC!CW18&gt;預測IC!CW$25,1,0)</f>
        <v>0</v>
      </c>
      <c r="CX18" s="7">
        <f>IF(預測IC!CX18&gt;預測IC!CX$25,1,0)</f>
        <v>1</v>
      </c>
      <c r="CY18" s="7">
        <f>IF(預測IC!CY18&gt;預測IC!CY$25,1,0)</f>
        <v>0</v>
      </c>
      <c r="CZ18" s="7">
        <f>IF(預測IC!CZ18&gt;預測IC!CZ$25,1,0)</f>
        <v>1</v>
      </c>
      <c r="DA18" s="7">
        <f>IF(預測IC!DA18&gt;預測IC!DA$25,1,0)</f>
        <v>0</v>
      </c>
      <c r="DB18" s="7">
        <f>IF(預測IC!DB18&gt;預測IC!DB$25,1,0)</f>
        <v>0</v>
      </c>
      <c r="DC18" s="7">
        <f>IF(預測IC!DC18&gt;預測IC!DC$25,1,0)</f>
        <v>1</v>
      </c>
      <c r="DD18" s="7">
        <f>IF(預測IC!DD18&gt;預測IC!DD$25,1,0)</f>
        <v>0</v>
      </c>
      <c r="DE18" s="7">
        <f>IF(預測IC!DE18&gt;預測IC!DE$25,1,0)</f>
        <v>0</v>
      </c>
      <c r="DF18" s="7">
        <f>IF(預測IC!DF18&gt;預測IC!DF$25,1,0)</f>
        <v>1</v>
      </c>
      <c r="DG18" s="7">
        <f>IF(預測IC!DG18&gt;預測IC!DG$25,1,0)</f>
        <v>0</v>
      </c>
      <c r="DH18" s="7">
        <f>IF(預測IC!DH18&gt;預測IC!DH$25,1,0)</f>
        <v>0</v>
      </c>
      <c r="DI18" s="7">
        <f>IF(預測IC!DI18&gt;預測IC!DI$25,1,0)</f>
        <v>0</v>
      </c>
      <c r="DJ18" s="7">
        <f>IF(預測IC!DJ18&gt;預測IC!DJ$25,1,0)</f>
        <v>0</v>
      </c>
      <c r="DK18" s="7">
        <f>IF(預測IC!DK18&gt;預測IC!DK$25,1,0)</f>
        <v>1</v>
      </c>
      <c r="DL18" s="7">
        <f>IF(預測IC!DL18&gt;預測IC!DL$25,1,0)</f>
        <v>1</v>
      </c>
      <c r="DM18" s="7">
        <f>IF(預測IC!DM18&gt;預測IC!DM$25,1,0)</f>
        <v>0</v>
      </c>
      <c r="DN18" s="7">
        <f>IF(預測IC!DN18&gt;預測IC!DN$25,1,0)</f>
        <v>1</v>
      </c>
      <c r="DO18" s="7">
        <f>IF(預測IC!DO18&gt;預測IC!DO$25,1,0)</f>
        <v>1</v>
      </c>
      <c r="DP18" s="7">
        <f>IF(預測IC!DP18&gt;預測IC!DP$25,1,0)</f>
        <v>1</v>
      </c>
      <c r="DQ18" s="7">
        <f>IF(預測IC!DQ18&gt;預測IC!DQ$25,1,0)</f>
        <v>0</v>
      </c>
      <c r="DR18" s="7">
        <f>IF(預測IC!DR18&gt;預測IC!DR$25,1,0)</f>
        <v>1</v>
      </c>
      <c r="DS18" s="7">
        <f>IF(預測IC!DS18&gt;預測IC!DS$25,1,0)</f>
        <v>0</v>
      </c>
      <c r="DT18" s="7">
        <f>IF(預測IC!DT18&gt;預測IC!DT$25,1,0)</f>
        <v>0</v>
      </c>
      <c r="DU18" s="7">
        <f>IF(預測IC!DU18&gt;預測IC!DU$25,1,0)</f>
        <v>0</v>
      </c>
      <c r="DV18" s="7">
        <f>IF(預測IC!DV18&gt;預測IC!DV$25,1,0)</f>
        <v>1</v>
      </c>
      <c r="DW18" s="7">
        <f>IF(預測IC!DW18&gt;預測IC!DW$25,1,0)</f>
        <v>1</v>
      </c>
      <c r="DX18" s="7">
        <f>IF(預測IC!DX18&gt;預測IC!DX$25,1,0)</f>
        <v>0</v>
      </c>
      <c r="DY18" s="7">
        <f>IF(預測IC!DY18&gt;預測IC!DY$25,1,0)</f>
        <v>1</v>
      </c>
      <c r="DZ18" s="7">
        <f>IF(預測IC!DZ18&gt;預測IC!DZ$25,1,0)</f>
        <v>0</v>
      </c>
      <c r="EA18" s="7">
        <f>IF(預測IC!EA18&gt;預測IC!EA$25,1,0)</f>
        <v>0</v>
      </c>
      <c r="EB18" s="7">
        <f>IF(預測IC!EB18&gt;預測IC!EB$25,1,0)</f>
        <v>1</v>
      </c>
      <c r="EC18" s="7">
        <f>IF(預測IC!EC18&gt;預測IC!EC$25,1,0)</f>
        <v>1</v>
      </c>
      <c r="ED18" s="7">
        <f>IF(預測IC!ED18&gt;預測IC!ED$25,1,0)</f>
        <v>0</v>
      </c>
      <c r="EE18" s="7">
        <f>IF(預測IC!EE18&gt;預測IC!EE$25,1,0)</f>
        <v>0</v>
      </c>
      <c r="EF18" s="7">
        <f>IF(預測IC!EF18&gt;預測IC!EF$25,1,0)</f>
        <v>1</v>
      </c>
      <c r="EG18">
        <f t="shared" si="10"/>
        <v>73</v>
      </c>
      <c r="EH18" s="13">
        <f t="shared" si="11"/>
        <v>0.53731343283582089</v>
      </c>
    </row>
    <row r="19" spans="1:138" x14ac:dyDescent="0.3">
      <c r="A19" s="1">
        <v>160</v>
      </c>
      <c r="B19" s="1">
        <v>6</v>
      </c>
      <c r="C19" s="7">
        <f>IF(預測IC!C19&gt;預測IC!C$25,1,0)</f>
        <v>0</v>
      </c>
      <c r="D19" s="7">
        <f>IF(預測IC!D19&gt;預測IC!D$25,1,0)</f>
        <v>0</v>
      </c>
      <c r="E19" s="7">
        <f>IF(預測IC!E19&gt;預測IC!E$25,1,0)</f>
        <v>0</v>
      </c>
      <c r="F19" s="7">
        <f>IF(預測IC!F19&gt;預測IC!F$25,1,0)</f>
        <v>0</v>
      </c>
      <c r="G19" s="7">
        <f>IF(預測IC!G19&gt;預測IC!G$25,1,0)</f>
        <v>0</v>
      </c>
      <c r="H19" s="7">
        <f>IF(預測IC!H19&gt;預測IC!H$25,1,0)</f>
        <v>1</v>
      </c>
      <c r="I19" s="7">
        <f>IF(預測IC!I19&gt;預測IC!I$25,1,0)</f>
        <v>1</v>
      </c>
      <c r="J19" s="7">
        <f>IF(預測IC!J19&gt;預測IC!J$25,1,0)</f>
        <v>1</v>
      </c>
      <c r="K19" s="7">
        <f>IF(預測IC!K19&gt;預測IC!K$25,1,0)</f>
        <v>0</v>
      </c>
      <c r="L19" s="7">
        <f>IF(預測IC!L19&gt;預測IC!L$25,1,0)</f>
        <v>1</v>
      </c>
      <c r="M19" s="7">
        <f>IF(預測IC!M19&gt;預測IC!M$25,1,0)</f>
        <v>1</v>
      </c>
      <c r="N19" s="7">
        <f>IF(預測IC!N19&gt;預測IC!N$25,1,0)</f>
        <v>1</v>
      </c>
      <c r="O19" s="7">
        <f>IF(預測IC!O19&gt;預測IC!O$25,1,0)</f>
        <v>1</v>
      </c>
      <c r="P19" s="7">
        <f>IF(預測IC!P19&gt;預測IC!P$25,1,0)</f>
        <v>0</v>
      </c>
      <c r="Q19" s="7">
        <f>IF(預測IC!Q19&gt;預測IC!Q$25,1,0)</f>
        <v>0</v>
      </c>
      <c r="R19" s="7">
        <f>IF(預測IC!R19&gt;預測IC!R$25,1,0)</f>
        <v>0</v>
      </c>
      <c r="S19" s="7">
        <f>IF(預測IC!S19&gt;預測IC!S$25,1,0)</f>
        <v>0</v>
      </c>
      <c r="T19" s="7">
        <f>IF(預測IC!T19&gt;預測IC!T$25,1,0)</f>
        <v>1</v>
      </c>
      <c r="U19" s="7">
        <f>IF(預測IC!U19&gt;預測IC!U$25,1,0)</f>
        <v>0</v>
      </c>
      <c r="V19" s="7">
        <f>IF(預測IC!V19&gt;預測IC!V$25,1,0)</f>
        <v>1</v>
      </c>
      <c r="W19" s="7">
        <f>IF(預測IC!W19&gt;預測IC!W$25,1,0)</f>
        <v>1</v>
      </c>
      <c r="X19" s="7">
        <f>IF(預測IC!X19&gt;預測IC!X$25,1,0)</f>
        <v>1</v>
      </c>
      <c r="Y19" s="7">
        <f>IF(預測IC!Y19&gt;預測IC!Y$25,1,0)</f>
        <v>1</v>
      </c>
      <c r="Z19" s="7">
        <f>IF(預測IC!Z19&gt;預測IC!Z$25,1,0)</f>
        <v>1</v>
      </c>
      <c r="AA19" s="7">
        <f>IF(預測IC!AA19&gt;預測IC!AA$25,1,0)</f>
        <v>0</v>
      </c>
      <c r="AB19" s="7">
        <f>IF(預測IC!AB19&gt;預測IC!AB$25,1,0)</f>
        <v>1</v>
      </c>
      <c r="AC19" s="7">
        <f>IF(預測IC!AC19&gt;預測IC!AC$25,1,0)</f>
        <v>0</v>
      </c>
      <c r="AD19" s="7">
        <f>IF(預測IC!AD19&gt;預測IC!AD$25,1,0)</f>
        <v>1</v>
      </c>
      <c r="AE19" s="7">
        <f>IF(預測IC!AE19&gt;預測IC!AE$25,1,0)</f>
        <v>0</v>
      </c>
      <c r="AF19" s="7">
        <f>IF(預測IC!AF19&gt;預測IC!AF$25,1,0)</f>
        <v>1</v>
      </c>
      <c r="AG19" s="7">
        <f>IF(預測IC!AG19&gt;預測IC!AG$25,1,0)</f>
        <v>0</v>
      </c>
      <c r="AH19" s="7">
        <f>IF(預測IC!AH19&gt;預測IC!AH$25,1,0)</f>
        <v>0</v>
      </c>
      <c r="AI19" s="7">
        <f>IF(預測IC!AI19&gt;預測IC!AI$25,1,0)</f>
        <v>1</v>
      </c>
      <c r="AJ19" s="7">
        <f>IF(預測IC!AJ19&gt;預測IC!AJ$25,1,0)</f>
        <v>0</v>
      </c>
      <c r="AK19" s="7">
        <f>IF(預測IC!AK19&gt;預測IC!AK$25,1,0)</f>
        <v>1</v>
      </c>
      <c r="AL19" s="7">
        <f>IF(預測IC!AL19&gt;預測IC!AL$25,1,0)</f>
        <v>1</v>
      </c>
      <c r="AM19" s="7">
        <f>IF(預測IC!AM19&gt;預測IC!AM$25,1,0)</f>
        <v>1</v>
      </c>
      <c r="AN19" s="7">
        <f>IF(預測IC!AN19&gt;預測IC!AN$25,1,0)</f>
        <v>1</v>
      </c>
      <c r="AO19" s="7">
        <f>IF(預測IC!AO19&gt;預測IC!AO$25,1,0)</f>
        <v>1</v>
      </c>
      <c r="AP19" s="7">
        <f>IF(預測IC!AP19&gt;預測IC!AP$25,1,0)</f>
        <v>0</v>
      </c>
      <c r="AQ19" s="7">
        <f>IF(預測IC!AQ19&gt;預測IC!AQ$25,1,0)</f>
        <v>0</v>
      </c>
      <c r="AR19" s="7">
        <f>IF(預測IC!AR19&gt;預測IC!AR$25,1,0)</f>
        <v>1</v>
      </c>
      <c r="AS19" s="7">
        <f>IF(預測IC!AS19&gt;預測IC!AS$25,1,0)</f>
        <v>1</v>
      </c>
      <c r="AT19" s="7">
        <f>IF(預測IC!AT19&gt;預測IC!AT$25,1,0)</f>
        <v>1</v>
      </c>
      <c r="AU19" s="7">
        <f>IF(預測IC!AU19&gt;預測IC!AU$25,1,0)</f>
        <v>1</v>
      </c>
      <c r="AV19" s="7">
        <f>IF(預測IC!AV19&gt;預測IC!AV$25,1,0)</f>
        <v>0</v>
      </c>
      <c r="AW19" s="7">
        <f>IF(預測IC!AW19&gt;預測IC!AW$25,1,0)</f>
        <v>1</v>
      </c>
      <c r="AX19" s="7">
        <f>IF(預測IC!AX19&gt;預測IC!AX$25,1,0)</f>
        <v>1</v>
      </c>
      <c r="AY19" s="7">
        <f>IF(預測IC!AY19&gt;預測IC!AY$25,1,0)</f>
        <v>0</v>
      </c>
      <c r="AZ19" s="7">
        <f>IF(預測IC!AZ19&gt;預測IC!AZ$25,1,0)</f>
        <v>0</v>
      </c>
      <c r="BA19" s="7">
        <f>IF(預測IC!BA19&gt;預測IC!BA$25,1,0)</f>
        <v>0</v>
      </c>
      <c r="BB19" s="7">
        <f>IF(預測IC!BB19&gt;預測IC!BB$25,1,0)</f>
        <v>1</v>
      </c>
      <c r="BC19" s="7">
        <f>IF(預測IC!BC19&gt;預測IC!BC$25,1,0)</f>
        <v>1</v>
      </c>
      <c r="BD19" s="7">
        <f>IF(預測IC!BD19&gt;預測IC!BD$25,1,0)</f>
        <v>1</v>
      </c>
      <c r="BE19" s="7">
        <f>IF(預測IC!BE19&gt;預測IC!BE$25,1,0)</f>
        <v>1</v>
      </c>
      <c r="BF19" s="7">
        <f>IF(預測IC!BF19&gt;預測IC!BF$25,1,0)</f>
        <v>1</v>
      </c>
      <c r="BG19" s="7">
        <f>IF(預測IC!BG19&gt;預測IC!BG$25,1,0)</f>
        <v>0</v>
      </c>
      <c r="BH19" s="7">
        <f>IF(預測IC!BH19&gt;預測IC!BH$25,1,0)</f>
        <v>1</v>
      </c>
      <c r="BI19" s="7">
        <f>IF(預測IC!BI19&gt;預測IC!BI$25,1,0)</f>
        <v>1</v>
      </c>
      <c r="BJ19" s="7">
        <f>IF(預測IC!BJ19&gt;預測IC!BJ$25,1,0)</f>
        <v>1</v>
      </c>
      <c r="BK19" s="7">
        <f>IF(預測IC!BK19&gt;預測IC!BK$25,1,0)</f>
        <v>0</v>
      </c>
      <c r="BL19" s="7">
        <f>IF(預測IC!BL19&gt;預測IC!BL$25,1,0)</f>
        <v>1</v>
      </c>
      <c r="BM19" s="7">
        <f>IF(預測IC!BM19&gt;預測IC!BM$25,1,0)</f>
        <v>1</v>
      </c>
      <c r="BN19" s="7">
        <f>IF(預測IC!BN19&gt;預測IC!BN$25,1,0)</f>
        <v>1</v>
      </c>
      <c r="BO19" s="7">
        <f>IF(預測IC!BO19&gt;預測IC!BO$25,1,0)</f>
        <v>1</v>
      </c>
      <c r="BP19" s="7">
        <f>IF(預測IC!BP19&gt;預測IC!BP$25,1,0)</f>
        <v>1</v>
      </c>
      <c r="BQ19" s="7">
        <f>IF(預測IC!BQ19&gt;預測IC!BQ$25,1,0)</f>
        <v>1</v>
      </c>
      <c r="BR19" s="7">
        <f>IF(預測IC!BR19&gt;預測IC!BR$25,1,0)</f>
        <v>1</v>
      </c>
      <c r="BS19" s="7">
        <f>IF(預測IC!BS19&gt;預測IC!BS$25,1,0)</f>
        <v>0</v>
      </c>
      <c r="BT19" s="7">
        <f>IF(預測IC!BT19&gt;預測IC!BT$25,1,0)</f>
        <v>1</v>
      </c>
      <c r="BU19" s="7">
        <f>IF(預測IC!BU19&gt;預測IC!BU$25,1,0)</f>
        <v>1</v>
      </c>
      <c r="BV19" s="7">
        <f>IF(預測IC!BV19&gt;預測IC!BV$25,1,0)</f>
        <v>1</v>
      </c>
      <c r="BW19" s="7">
        <f>IF(預測IC!BW19&gt;預測IC!BW$25,1,0)</f>
        <v>0</v>
      </c>
      <c r="BX19" s="7">
        <f>IF(預測IC!BX19&gt;預測IC!BX$25,1,0)</f>
        <v>1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0</v>
      </c>
      <c r="CB19" s="7">
        <f>IF(預測IC!CB19&gt;預測IC!CB$25,1,0)</f>
        <v>0</v>
      </c>
      <c r="CC19" s="7">
        <f>IF(預測IC!CC19&gt;預測IC!CC$25,1,0)</f>
        <v>0</v>
      </c>
      <c r="CD19" s="7">
        <f>IF(預測IC!CD19&gt;預測IC!CD$25,1,0)</f>
        <v>1</v>
      </c>
      <c r="CE19" s="7">
        <f>IF(預測IC!CE19&gt;預測IC!CE$25,1,0)</f>
        <v>0</v>
      </c>
      <c r="CF19" s="7">
        <f>IF(預測IC!CF19&gt;預測IC!CF$25,1,0)</f>
        <v>1</v>
      </c>
      <c r="CG19" s="7">
        <f>IF(預測IC!CG19&gt;預測IC!CG$25,1,0)</f>
        <v>0</v>
      </c>
      <c r="CH19" s="7">
        <f>IF(預測IC!CH19&gt;預測IC!CH$25,1,0)</f>
        <v>1</v>
      </c>
      <c r="CI19" s="7">
        <f>IF(預測IC!CI19&gt;預測IC!CI$25,1,0)</f>
        <v>0</v>
      </c>
      <c r="CJ19" s="7">
        <f>IF(預測IC!CJ19&gt;預測IC!CJ$25,1,0)</f>
        <v>0</v>
      </c>
      <c r="CK19" s="7">
        <f>IF(預測IC!CK19&gt;預測IC!CK$25,1,0)</f>
        <v>1</v>
      </c>
      <c r="CL19" s="7">
        <f>IF(預測IC!CL19&gt;預測IC!CL$25,1,0)</f>
        <v>0</v>
      </c>
      <c r="CM19" s="7">
        <f>IF(預測IC!CM19&gt;預測IC!CM$25,1,0)</f>
        <v>1</v>
      </c>
      <c r="CN19" s="7">
        <f>IF(預測IC!CN19&gt;預測IC!CN$25,1,0)</f>
        <v>0</v>
      </c>
      <c r="CO19" s="7">
        <f>IF(預測IC!CO19&gt;預測IC!CO$25,1,0)</f>
        <v>0</v>
      </c>
      <c r="CP19" s="7">
        <f>IF(預測IC!CP19&gt;預測IC!CP$25,1,0)</f>
        <v>1</v>
      </c>
      <c r="CQ19" s="7">
        <f>IF(預測IC!CQ19&gt;預測IC!CQ$25,1,0)</f>
        <v>1</v>
      </c>
      <c r="CR19" s="7">
        <f>IF(預測IC!CR19&gt;預測IC!CR$25,1,0)</f>
        <v>1</v>
      </c>
      <c r="CS19" s="7">
        <f>IF(預測IC!CS19&gt;預測IC!CS$25,1,0)</f>
        <v>1</v>
      </c>
      <c r="CT19" s="7">
        <f>IF(預測IC!CT19&gt;預測IC!CT$25,1,0)</f>
        <v>1</v>
      </c>
      <c r="CU19" s="7">
        <f>IF(預測IC!CU19&gt;預測IC!CU$25,1,0)</f>
        <v>0</v>
      </c>
      <c r="CV19" s="7">
        <f>IF(預測IC!CV19&gt;預測IC!CV$25,1,0)</f>
        <v>1</v>
      </c>
      <c r="CW19" s="7">
        <f>IF(預測IC!CW19&gt;預測IC!CW$25,1,0)</f>
        <v>0</v>
      </c>
      <c r="CX19" s="7">
        <f>IF(預測IC!CX19&gt;預測IC!CX$25,1,0)</f>
        <v>1</v>
      </c>
      <c r="CY19" s="7">
        <f>IF(預測IC!CY19&gt;預測IC!CY$25,1,0)</f>
        <v>0</v>
      </c>
      <c r="CZ19" s="7">
        <f>IF(預測IC!CZ19&gt;預測IC!CZ$25,1,0)</f>
        <v>1</v>
      </c>
      <c r="DA19" s="7">
        <f>IF(預測IC!DA19&gt;預測IC!DA$25,1,0)</f>
        <v>0</v>
      </c>
      <c r="DB19" s="7">
        <f>IF(預測IC!DB19&gt;預測IC!DB$25,1,0)</f>
        <v>0</v>
      </c>
      <c r="DC19" s="7">
        <f>IF(預測IC!DC19&gt;預測IC!DC$25,1,0)</f>
        <v>1</v>
      </c>
      <c r="DD19" s="7">
        <f>IF(預測IC!DD19&gt;預測IC!DD$25,1,0)</f>
        <v>0</v>
      </c>
      <c r="DE19" s="7">
        <f>IF(預測IC!DE19&gt;預測IC!DE$25,1,0)</f>
        <v>0</v>
      </c>
      <c r="DF19" s="7">
        <f>IF(預測IC!DF19&gt;預測IC!DF$25,1,0)</f>
        <v>0</v>
      </c>
      <c r="DG19" s="7">
        <f>IF(預測IC!DG19&gt;預測IC!DG$25,1,0)</f>
        <v>0</v>
      </c>
      <c r="DH19" s="7">
        <f>IF(預測IC!DH19&gt;預測IC!DH$25,1,0)</f>
        <v>0</v>
      </c>
      <c r="DI19" s="7">
        <f>IF(預測IC!DI19&gt;預測IC!DI$25,1,0)</f>
        <v>0</v>
      </c>
      <c r="DJ19" s="7">
        <f>IF(預測IC!DJ19&gt;預測IC!DJ$25,1,0)</f>
        <v>0</v>
      </c>
      <c r="DK19" s="7">
        <f>IF(預測IC!DK19&gt;預測IC!DK$25,1,0)</f>
        <v>1</v>
      </c>
      <c r="DL19" s="7">
        <f>IF(預測IC!DL19&gt;預測IC!DL$25,1,0)</f>
        <v>1</v>
      </c>
      <c r="DM19" s="7">
        <f>IF(預測IC!DM19&gt;預測IC!DM$25,1,0)</f>
        <v>0</v>
      </c>
      <c r="DN19" s="7">
        <f>IF(預測IC!DN19&gt;預測IC!DN$25,1,0)</f>
        <v>1</v>
      </c>
      <c r="DO19" s="7">
        <f>IF(預測IC!DO19&gt;預測IC!DO$25,1,0)</f>
        <v>1</v>
      </c>
      <c r="DP19" s="7">
        <f>IF(預測IC!DP19&gt;預測IC!DP$25,1,0)</f>
        <v>1</v>
      </c>
      <c r="DQ19" s="7">
        <f>IF(預測IC!DQ19&gt;預測IC!DQ$25,1,0)</f>
        <v>0</v>
      </c>
      <c r="DR19" s="7">
        <f>IF(預測IC!DR19&gt;預測IC!DR$25,1,0)</f>
        <v>1</v>
      </c>
      <c r="DS19" s="7">
        <f>IF(預測IC!DS19&gt;預測IC!DS$25,1,0)</f>
        <v>0</v>
      </c>
      <c r="DT19" s="7">
        <f>IF(預測IC!DT19&gt;預測IC!DT$25,1,0)</f>
        <v>0</v>
      </c>
      <c r="DU19" s="7">
        <f>IF(預測IC!DU19&gt;預測IC!DU$25,1,0)</f>
        <v>0</v>
      </c>
      <c r="DV19" s="7">
        <f>IF(預測IC!DV19&gt;預測IC!DV$25,1,0)</f>
        <v>1</v>
      </c>
      <c r="DW19" s="7">
        <f>IF(預測IC!DW19&gt;預測IC!DW$25,1,0)</f>
        <v>1</v>
      </c>
      <c r="DX19" s="7">
        <f>IF(預測IC!DX19&gt;預測IC!DX$25,1,0)</f>
        <v>0</v>
      </c>
      <c r="DY19" s="7">
        <f>IF(預測IC!DY19&gt;預測IC!DY$25,1,0)</f>
        <v>1</v>
      </c>
      <c r="DZ19" s="7">
        <f>IF(預測IC!DZ19&gt;預測IC!DZ$25,1,0)</f>
        <v>0</v>
      </c>
      <c r="EA19" s="7">
        <f>IF(預測IC!EA19&gt;預測IC!EA$25,1,0)</f>
        <v>0</v>
      </c>
      <c r="EB19" s="7">
        <f>IF(預測IC!EB19&gt;預測IC!EB$25,1,0)</f>
        <v>0</v>
      </c>
      <c r="EC19" s="7">
        <f>IF(預測IC!EC19&gt;預測IC!EC$25,1,0)</f>
        <v>1</v>
      </c>
      <c r="ED19" s="7">
        <f>IF(預測IC!ED19&gt;預測IC!ED$25,1,0)</f>
        <v>0</v>
      </c>
      <c r="EE19" s="7">
        <f>IF(預測IC!EE19&gt;預測IC!EE$25,1,0)</f>
        <v>0</v>
      </c>
      <c r="EF19" s="7">
        <f>IF(預測IC!EF19&gt;預測IC!EF$25,1,0)</f>
        <v>1</v>
      </c>
      <c r="EG19">
        <f t="shared" si="10"/>
        <v>73</v>
      </c>
      <c r="EH19" s="11">
        <f t="shared" si="11"/>
        <v>0.53731343283582089</v>
      </c>
    </row>
    <row r="20" spans="1:138" x14ac:dyDescent="0.3">
      <c r="A20" s="1">
        <v>192</v>
      </c>
      <c r="B20" s="1">
        <v>5</v>
      </c>
      <c r="C20" s="7">
        <f>IF(預測IC!C20&gt;預測IC!C$25,1,0)</f>
        <v>0</v>
      </c>
      <c r="D20" s="7">
        <f>IF(預測IC!D20&gt;預測IC!D$25,1,0)</f>
        <v>0</v>
      </c>
      <c r="E20" s="7">
        <f>IF(預測IC!E20&gt;預測IC!E$25,1,0)</f>
        <v>0</v>
      </c>
      <c r="F20" s="7">
        <f>IF(預測IC!F20&gt;預測IC!F$25,1,0)</f>
        <v>0</v>
      </c>
      <c r="G20" s="7">
        <f>IF(預測IC!G20&gt;預測IC!G$25,1,0)</f>
        <v>0</v>
      </c>
      <c r="H20" s="7">
        <f>IF(預測IC!H20&gt;預測IC!H$25,1,0)</f>
        <v>1</v>
      </c>
      <c r="I20" s="7">
        <f>IF(預測IC!I20&gt;預測IC!I$25,1,0)</f>
        <v>1</v>
      </c>
      <c r="J20" s="7">
        <f>IF(預測IC!J20&gt;預測IC!J$25,1,0)</f>
        <v>1</v>
      </c>
      <c r="K20" s="7">
        <f>IF(預測IC!K20&gt;預測IC!K$25,1,0)</f>
        <v>0</v>
      </c>
      <c r="L20" s="7">
        <f>IF(預測IC!L20&gt;預測IC!L$25,1,0)</f>
        <v>1</v>
      </c>
      <c r="M20" s="7">
        <f>IF(預測IC!M20&gt;預測IC!M$25,1,0)</f>
        <v>1</v>
      </c>
      <c r="N20" s="7">
        <f>IF(預測IC!N20&gt;預測IC!N$25,1,0)</f>
        <v>1</v>
      </c>
      <c r="O20" s="7">
        <f>IF(預測IC!O20&gt;預測IC!O$25,1,0)</f>
        <v>1</v>
      </c>
      <c r="P20" s="7">
        <f>IF(預測IC!P20&gt;預測IC!P$25,1,0)</f>
        <v>0</v>
      </c>
      <c r="Q20" s="7">
        <f>IF(預測IC!Q20&gt;預測IC!Q$25,1,0)</f>
        <v>0</v>
      </c>
      <c r="R20" s="7">
        <f>IF(預測IC!R20&gt;預測IC!R$25,1,0)</f>
        <v>0</v>
      </c>
      <c r="S20" s="7">
        <f>IF(預測IC!S20&gt;預測IC!S$25,1,0)</f>
        <v>0</v>
      </c>
      <c r="T20" s="7">
        <f>IF(預測IC!T20&gt;預測IC!T$25,1,0)</f>
        <v>1</v>
      </c>
      <c r="U20" s="7">
        <f>IF(預測IC!U20&gt;預測IC!U$25,1,0)</f>
        <v>0</v>
      </c>
      <c r="V20" s="7">
        <f>IF(預測IC!V20&gt;預測IC!V$25,1,0)</f>
        <v>1</v>
      </c>
      <c r="W20" s="7">
        <f>IF(預測IC!W20&gt;預測IC!W$25,1,0)</f>
        <v>1</v>
      </c>
      <c r="X20" s="7">
        <f>IF(預測IC!X20&gt;預測IC!X$25,1,0)</f>
        <v>1</v>
      </c>
      <c r="Y20" s="7">
        <f>IF(預測IC!Y20&gt;預測IC!Y$25,1,0)</f>
        <v>1</v>
      </c>
      <c r="Z20" s="7">
        <f>IF(預測IC!Z20&gt;預測IC!Z$25,1,0)</f>
        <v>1</v>
      </c>
      <c r="AA20" s="7">
        <f>IF(預測IC!AA20&gt;預測IC!AA$25,1,0)</f>
        <v>1</v>
      </c>
      <c r="AB20" s="7">
        <f>IF(預測IC!AB20&gt;預測IC!AB$25,1,0)</f>
        <v>1</v>
      </c>
      <c r="AC20" s="7">
        <f>IF(預測IC!AC20&gt;預測IC!AC$25,1,0)</f>
        <v>1</v>
      </c>
      <c r="AD20" s="7">
        <f>IF(預測IC!AD20&gt;預測IC!AD$25,1,0)</f>
        <v>1</v>
      </c>
      <c r="AE20" s="7">
        <f>IF(預測IC!AE20&gt;預測IC!AE$25,1,0)</f>
        <v>0</v>
      </c>
      <c r="AF20" s="7">
        <f>IF(預測IC!AF20&gt;預測IC!AF$25,1,0)</f>
        <v>1</v>
      </c>
      <c r="AG20" s="7">
        <f>IF(預測IC!AG20&gt;預測IC!AG$25,1,0)</f>
        <v>0</v>
      </c>
      <c r="AH20" s="7">
        <f>IF(預測IC!AH20&gt;預測IC!AH$25,1,0)</f>
        <v>0</v>
      </c>
      <c r="AI20" s="7">
        <f>IF(預測IC!AI20&gt;預測IC!AI$25,1,0)</f>
        <v>1</v>
      </c>
      <c r="AJ20" s="7">
        <f>IF(預測IC!AJ20&gt;預測IC!AJ$25,1,0)</f>
        <v>1</v>
      </c>
      <c r="AK20" s="7">
        <f>IF(預測IC!AK20&gt;預測IC!AK$25,1,0)</f>
        <v>0</v>
      </c>
      <c r="AL20" s="7">
        <f>IF(預測IC!AL20&gt;預測IC!AL$25,1,0)</f>
        <v>1</v>
      </c>
      <c r="AM20" s="7">
        <f>IF(預測IC!AM20&gt;預測IC!AM$25,1,0)</f>
        <v>1</v>
      </c>
      <c r="AN20" s="7">
        <f>IF(預測IC!AN20&gt;預測IC!AN$25,1,0)</f>
        <v>1</v>
      </c>
      <c r="AO20" s="7">
        <f>IF(預測IC!AO20&gt;預測IC!AO$25,1,0)</f>
        <v>1</v>
      </c>
      <c r="AP20" s="7">
        <f>IF(預測IC!AP20&gt;預測IC!AP$25,1,0)</f>
        <v>0</v>
      </c>
      <c r="AQ20" s="7">
        <f>IF(預測IC!AQ20&gt;預測IC!AQ$25,1,0)</f>
        <v>1</v>
      </c>
      <c r="AR20" s="7">
        <f>IF(預測IC!AR20&gt;預測IC!AR$25,1,0)</f>
        <v>1</v>
      </c>
      <c r="AS20" s="7">
        <f>IF(預測IC!AS20&gt;預測IC!AS$25,1,0)</f>
        <v>1</v>
      </c>
      <c r="AT20" s="7">
        <f>IF(預測IC!AT20&gt;預測IC!AT$25,1,0)</f>
        <v>0</v>
      </c>
      <c r="AU20" s="7">
        <f>IF(預測IC!AU20&gt;預測IC!AU$25,1,0)</f>
        <v>1</v>
      </c>
      <c r="AV20" s="7">
        <f>IF(預測IC!AV20&gt;預測IC!AV$25,1,0)</f>
        <v>0</v>
      </c>
      <c r="AW20" s="7">
        <f>IF(預測IC!AW20&gt;預測IC!AW$25,1,0)</f>
        <v>1</v>
      </c>
      <c r="AX20" s="7">
        <f>IF(預測IC!AX20&gt;預測IC!AX$25,1,0)</f>
        <v>1</v>
      </c>
      <c r="AY20" s="7">
        <f>IF(預測IC!AY20&gt;預測IC!AY$25,1,0)</f>
        <v>0</v>
      </c>
      <c r="AZ20" s="7">
        <f>IF(預測IC!AZ20&gt;預測IC!AZ$25,1,0)</f>
        <v>0</v>
      </c>
      <c r="BA20" s="7">
        <f>IF(預測IC!BA20&gt;預測IC!BA$25,1,0)</f>
        <v>0</v>
      </c>
      <c r="BB20" s="7">
        <f>IF(預測IC!BB20&gt;預測IC!BB$25,1,0)</f>
        <v>1</v>
      </c>
      <c r="BC20" s="7">
        <f>IF(預測IC!BC20&gt;預測IC!BC$25,1,0)</f>
        <v>1</v>
      </c>
      <c r="BD20" s="7">
        <f>IF(預測IC!BD20&gt;預測IC!BD$25,1,0)</f>
        <v>0</v>
      </c>
      <c r="BE20" s="7">
        <f>IF(預測IC!BE20&gt;預測IC!BE$25,1,0)</f>
        <v>0</v>
      </c>
      <c r="BF20" s="7">
        <f>IF(預測IC!BF20&gt;預測IC!BF$25,1,0)</f>
        <v>1</v>
      </c>
      <c r="BG20" s="7">
        <f>IF(預測IC!BG20&gt;預測IC!BG$25,1,0)</f>
        <v>0</v>
      </c>
      <c r="BH20" s="7">
        <f>IF(預測IC!BH20&gt;預測IC!BH$25,1,0)</f>
        <v>1</v>
      </c>
      <c r="BI20" s="7">
        <f>IF(預測IC!BI20&gt;預測IC!BI$25,1,0)</f>
        <v>1</v>
      </c>
      <c r="BJ20" s="7">
        <f>IF(預測IC!BJ20&gt;預測IC!BJ$25,1,0)</f>
        <v>1</v>
      </c>
      <c r="BK20" s="7">
        <f>IF(預測IC!BK20&gt;預測IC!BK$25,1,0)</f>
        <v>0</v>
      </c>
      <c r="BL20" s="7">
        <f>IF(預測IC!BL20&gt;預測IC!BL$25,1,0)</f>
        <v>1</v>
      </c>
      <c r="BM20" s="7">
        <f>IF(預測IC!BM20&gt;預測IC!BM$25,1,0)</f>
        <v>1</v>
      </c>
      <c r="BN20" s="7">
        <f>IF(預測IC!BN20&gt;預測IC!BN$25,1,0)</f>
        <v>1</v>
      </c>
      <c r="BO20" s="7">
        <f>IF(預測IC!BO20&gt;預測IC!BO$25,1,0)</f>
        <v>1</v>
      </c>
      <c r="BP20" s="7">
        <f>IF(預測IC!BP20&gt;預測IC!BP$25,1,0)</f>
        <v>1</v>
      </c>
      <c r="BQ20" s="7">
        <f>IF(預測IC!BQ20&gt;預測IC!BQ$25,1,0)</f>
        <v>1</v>
      </c>
      <c r="BR20" s="7">
        <f>IF(預測IC!BR20&gt;預測IC!BR$25,1,0)</f>
        <v>1</v>
      </c>
      <c r="BS20" s="7">
        <f>IF(預測IC!BS20&gt;預測IC!BS$25,1,0)</f>
        <v>0</v>
      </c>
      <c r="BT20" s="7">
        <f>IF(預測IC!BT20&gt;預測IC!BT$25,1,0)</f>
        <v>1</v>
      </c>
      <c r="BU20" s="7">
        <f>IF(預測IC!BU20&gt;預測IC!BU$25,1,0)</f>
        <v>1</v>
      </c>
      <c r="BV20" s="7">
        <f>IF(預測IC!BV20&gt;預測IC!BV$25,1,0)</f>
        <v>1</v>
      </c>
      <c r="BW20" s="7">
        <f>IF(預測IC!BW20&gt;預測IC!BW$25,1,0)</f>
        <v>0</v>
      </c>
      <c r="BX20" s="7">
        <f>IF(預測IC!BX20&gt;預測IC!BX$25,1,0)</f>
        <v>1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0</v>
      </c>
      <c r="CB20" s="7">
        <f>IF(預測IC!CB20&gt;預測IC!CB$25,1,0)</f>
        <v>0</v>
      </c>
      <c r="CC20" s="7">
        <f>IF(預測IC!CC20&gt;預測IC!CC$25,1,0)</f>
        <v>0</v>
      </c>
      <c r="CD20" s="7">
        <f>IF(預測IC!CD20&gt;預測IC!CD$25,1,0)</f>
        <v>1</v>
      </c>
      <c r="CE20" s="7">
        <f>IF(預測IC!CE20&gt;預測IC!CE$25,1,0)</f>
        <v>0</v>
      </c>
      <c r="CF20" s="7">
        <f>IF(預測IC!CF20&gt;預測IC!CF$25,1,0)</f>
        <v>1</v>
      </c>
      <c r="CG20" s="7">
        <f>IF(預測IC!CG20&gt;預測IC!CG$25,1,0)</f>
        <v>0</v>
      </c>
      <c r="CH20" s="7">
        <f>IF(預測IC!CH20&gt;預測IC!CH$25,1,0)</f>
        <v>1</v>
      </c>
      <c r="CI20" s="7">
        <f>IF(預測IC!CI20&gt;預測IC!CI$25,1,0)</f>
        <v>0</v>
      </c>
      <c r="CJ20" s="7">
        <f>IF(預測IC!CJ20&gt;預測IC!CJ$25,1,0)</f>
        <v>0</v>
      </c>
      <c r="CK20" s="7">
        <f>IF(預測IC!CK20&gt;預測IC!CK$25,1,0)</f>
        <v>1</v>
      </c>
      <c r="CL20" s="7">
        <f>IF(預測IC!CL20&gt;預測IC!CL$25,1,0)</f>
        <v>0</v>
      </c>
      <c r="CM20" s="7">
        <f>IF(預測IC!CM20&gt;預測IC!CM$25,1,0)</f>
        <v>1</v>
      </c>
      <c r="CN20" s="7">
        <f>IF(預測IC!CN20&gt;預測IC!CN$25,1,0)</f>
        <v>0</v>
      </c>
      <c r="CO20" s="7">
        <f>IF(預測IC!CO20&gt;預測IC!CO$25,1,0)</f>
        <v>0</v>
      </c>
      <c r="CP20" s="7">
        <f>IF(預測IC!CP20&gt;預測IC!CP$25,1,0)</f>
        <v>1</v>
      </c>
      <c r="CQ20" s="7">
        <f>IF(預測IC!CQ20&gt;預測IC!CQ$25,1,0)</f>
        <v>1</v>
      </c>
      <c r="CR20" s="7">
        <f>IF(預測IC!CR20&gt;預測IC!CR$25,1,0)</f>
        <v>1</v>
      </c>
      <c r="CS20" s="7">
        <f>IF(預測IC!CS20&gt;預測IC!CS$25,1,0)</f>
        <v>1</v>
      </c>
      <c r="CT20" s="7">
        <f>IF(預測IC!CT20&gt;預測IC!CT$25,1,0)</f>
        <v>1</v>
      </c>
      <c r="CU20" s="7">
        <f>IF(預測IC!CU20&gt;預測IC!CU$25,1,0)</f>
        <v>0</v>
      </c>
      <c r="CV20" s="7">
        <f>IF(預測IC!CV20&gt;預測IC!CV$25,1,0)</f>
        <v>1</v>
      </c>
      <c r="CW20" s="7">
        <f>IF(預測IC!CW20&gt;預測IC!CW$25,1,0)</f>
        <v>1</v>
      </c>
      <c r="CX20" s="7">
        <f>IF(預測IC!CX20&gt;預測IC!CX$25,1,0)</f>
        <v>1</v>
      </c>
      <c r="CY20" s="7">
        <f>IF(預測IC!CY20&gt;預測IC!CY$25,1,0)</f>
        <v>0</v>
      </c>
      <c r="CZ20" s="7">
        <f>IF(預測IC!CZ20&gt;預測IC!CZ$25,1,0)</f>
        <v>1</v>
      </c>
      <c r="DA20" s="7">
        <f>IF(預測IC!DA20&gt;預測IC!DA$25,1,0)</f>
        <v>0</v>
      </c>
      <c r="DB20" s="7">
        <f>IF(預測IC!DB20&gt;預測IC!DB$25,1,0)</f>
        <v>0</v>
      </c>
      <c r="DC20" s="7">
        <f>IF(預測IC!DC20&gt;預測IC!DC$25,1,0)</f>
        <v>1</v>
      </c>
      <c r="DD20" s="7">
        <f>IF(預測IC!DD20&gt;預測IC!DD$25,1,0)</f>
        <v>0</v>
      </c>
      <c r="DE20" s="7">
        <f>IF(預測IC!DE20&gt;預測IC!DE$25,1,0)</f>
        <v>0</v>
      </c>
      <c r="DF20" s="7">
        <f>IF(預測IC!DF20&gt;預測IC!DF$25,1,0)</f>
        <v>1</v>
      </c>
      <c r="DG20" s="7">
        <f>IF(預測IC!DG20&gt;預測IC!DG$25,1,0)</f>
        <v>0</v>
      </c>
      <c r="DH20" s="7">
        <f>IF(預測IC!DH20&gt;預測IC!DH$25,1,0)</f>
        <v>0</v>
      </c>
      <c r="DI20" s="7">
        <f>IF(預測IC!DI20&gt;預測IC!DI$25,1,0)</f>
        <v>0</v>
      </c>
      <c r="DJ20" s="7">
        <f>IF(預測IC!DJ20&gt;預測IC!DJ$25,1,0)</f>
        <v>0</v>
      </c>
      <c r="DK20" s="7">
        <f>IF(預測IC!DK20&gt;預測IC!DK$25,1,0)</f>
        <v>1</v>
      </c>
      <c r="DL20" s="7">
        <f>IF(預測IC!DL20&gt;預測IC!DL$25,1,0)</f>
        <v>1</v>
      </c>
      <c r="DM20" s="7">
        <f>IF(預測IC!DM20&gt;預測IC!DM$25,1,0)</f>
        <v>0</v>
      </c>
      <c r="DN20" s="7">
        <f>IF(預測IC!DN20&gt;預測IC!DN$25,1,0)</f>
        <v>1</v>
      </c>
      <c r="DO20" s="7">
        <f>IF(預測IC!DO20&gt;預測IC!DO$25,1,0)</f>
        <v>1</v>
      </c>
      <c r="DP20" s="7">
        <f>IF(預測IC!DP20&gt;預測IC!DP$25,1,0)</f>
        <v>1</v>
      </c>
      <c r="DQ20" s="7">
        <f>IF(預測IC!DQ20&gt;預測IC!DQ$25,1,0)</f>
        <v>0</v>
      </c>
      <c r="DR20" s="7">
        <f>IF(預測IC!DR20&gt;預測IC!DR$25,1,0)</f>
        <v>1</v>
      </c>
      <c r="DS20" s="7">
        <f>IF(預測IC!DS20&gt;預測IC!DS$25,1,0)</f>
        <v>0</v>
      </c>
      <c r="DT20" s="7">
        <f>IF(預測IC!DT20&gt;預測IC!DT$25,1,0)</f>
        <v>0</v>
      </c>
      <c r="DU20" s="7">
        <f>IF(預測IC!DU20&gt;預測IC!DU$25,1,0)</f>
        <v>0</v>
      </c>
      <c r="DV20" s="7">
        <f>IF(預測IC!DV20&gt;預測IC!DV$25,1,0)</f>
        <v>1</v>
      </c>
      <c r="DW20" s="7">
        <f>IF(預測IC!DW20&gt;預測IC!DW$25,1,0)</f>
        <v>1</v>
      </c>
      <c r="DX20" s="7">
        <f>IF(預測IC!DX20&gt;預測IC!DX$25,1,0)</f>
        <v>0</v>
      </c>
      <c r="DY20" s="7">
        <f>IF(預測IC!DY20&gt;預測IC!DY$25,1,0)</f>
        <v>1</v>
      </c>
      <c r="DZ20" s="7">
        <f>IF(預測IC!DZ20&gt;預測IC!DZ$25,1,0)</f>
        <v>0</v>
      </c>
      <c r="EA20" s="7">
        <f>IF(預測IC!EA20&gt;預測IC!EA$25,1,0)</f>
        <v>1</v>
      </c>
      <c r="EB20" s="7">
        <f>IF(預測IC!EB20&gt;預測IC!EB$25,1,0)</f>
        <v>1</v>
      </c>
      <c r="EC20" s="7">
        <f>IF(預測IC!EC20&gt;預測IC!EC$25,1,0)</f>
        <v>1</v>
      </c>
      <c r="ED20" s="7">
        <f>IF(預測IC!ED20&gt;預測IC!ED$25,1,0)</f>
        <v>0</v>
      </c>
      <c r="EE20" s="7">
        <f>IF(預測IC!EE20&gt;預測IC!EE$25,1,0)</f>
        <v>0</v>
      </c>
      <c r="EF20" s="7">
        <f>IF(預測IC!EF20&gt;預測IC!EF$25,1,0)</f>
        <v>1</v>
      </c>
      <c r="EG20">
        <f t="shared" si="10"/>
        <v>77</v>
      </c>
      <c r="EH20" s="11">
        <f t="shared" si="11"/>
        <v>0.56716417910447758</v>
      </c>
    </row>
    <row r="21" spans="1:138" x14ac:dyDescent="0.3">
      <c r="A21" s="1">
        <v>241</v>
      </c>
      <c r="B21" s="1">
        <v>4</v>
      </c>
      <c r="C21" s="7">
        <f>IF(預測IC!C21&gt;預測IC!C$25,1,0)</f>
        <v>0</v>
      </c>
      <c r="D21" s="7">
        <f>IF(預測IC!D21&gt;預測IC!D$25,1,0)</f>
        <v>0</v>
      </c>
      <c r="E21" s="7">
        <f>IF(預測IC!E21&gt;預測IC!E$25,1,0)</f>
        <v>0</v>
      </c>
      <c r="F21" s="7">
        <f>IF(預測IC!F21&gt;預測IC!F$25,1,0)</f>
        <v>0</v>
      </c>
      <c r="G21" s="7">
        <f>IF(預測IC!G21&gt;預測IC!G$25,1,0)</f>
        <v>0</v>
      </c>
      <c r="H21" s="7">
        <f>IF(預測IC!H21&gt;預測IC!H$25,1,0)</f>
        <v>1</v>
      </c>
      <c r="I21" s="7">
        <f>IF(預測IC!I21&gt;預測IC!I$25,1,0)</f>
        <v>1</v>
      </c>
      <c r="J21" s="7">
        <f>IF(預測IC!J21&gt;預測IC!J$25,1,0)</f>
        <v>1</v>
      </c>
      <c r="K21" s="7">
        <f>IF(預測IC!K21&gt;預測IC!K$25,1,0)</f>
        <v>0</v>
      </c>
      <c r="L21" s="7">
        <f>IF(預測IC!L21&gt;預測IC!L$25,1,0)</f>
        <v>1</v>
      </c>
      <c r="M21" s="7">
        <f>IF(預測IC!M21&gt;預測IC!M$25,1,0)</f>
        <v>1</v>
      </c>
      <c r="N21" s="7">
        <f>IF(預測IC!N21&gt;預測IC!N$25,1,0)</f>
        <v>1</v>
      </c>
      <c r="O21" s="7">
        <f>IF(預測IC!O21&gt;預測IC!O$25,1,0)</f>
        <v>1</v>
      </c>
      <c r="P21" s="7">
        <f>IF(預測IC!P21&gt;預測IC!P$25,1,0)</f>
        <v>0</v>
      </c>
      <c r="Q21" s="7">
        <f>IF(預測IC!Q21&gt;預測IC!Q$25,1,0)</f>
        <v>0</v>
      </c>
      <c r="R21" s="7">
        <f>IF(預測IC!R21&gt;預測IC!R$25,1,0)</f>
        <v>0</v>
      </c>
      <c r="S21" s="7">
        <f>IF(預測IC!S21&gt;預測IC!S$25,1,0)</f>
        <v>0</v>
      </c>
      <c r="T21" s="7">
        <f>IF(預測IC!T21&gt;預測IC!T$25,1,0)</f>
        <v>1</v>
      </c>
      <c r="U21" s="7">
        <f>IF(預測IC!U21&gt;預測IC!U$25,1,0)</f>
        <v>0</v>
      </c>
      <c r="V21" s="7">
        <f>IF(預測IC!V21&gt;預測IC!V$25,1,0)</f>
        <v>1</v>
      </c>
      <c r="W21" s="7">
        <f>IF(預測IC!W21&gt;預測IC!W$25,1,0)</f>
        <v>1</v>
      </c>
      <c r="X21" s="7">
        <f>IF(預測IC!X21&gt;預測IC!X$25,1,0)</f>
        <v>1</v>
      </c>
      <c r="Y21" s="7">
        <f>IF(預測IC!Y21&gt;預測IC!Y$25,1,0)</f>
        <v>1</v>
      </c>
      <c r="Z21" s="7">
        <f>IF(預測IC!Z21&gt;預測IC!Z$25,1,0)</f>
        <v>1</v>
      </c>
      <c r="AA21" s="7">
        <f>IF(預測IC!AA21&gt;預測IC!AA$25,1,0)</f>
        <v>1</v>
      </c>
      <c r="AB21" s="7">
        <f>IF(預測IC!AB21&gt;預測IC!AB$25,1,0)</f>
        <v>1</v>
      </c>
      <c r="AC21" s="7">
        <f>IF(預測IC!AC21&gt;預測IC!AC$25,1,0)</f>
        <v>1</v>
      </c>
      <c r="AD21" s="7">
        <f>IF(預測IC!AD21&gt;預測IC!AD$25,1,0)</f>
        <v>1</v>
      </c>
      <c r="AE21" s="7">
        <f>IF(預測IC!AE21&gt;預測IC!AE$25,1,0)</f>
        <v>0</v>
      </c>
      <c r="AF21" s="7">
        <f>IF(預測IC!AF21&gt;預測IC!AF$25,1,0)</f>
        <v>1</v>
      </c>
      <c r="AG21" s="7">
        <f>IF(預測IC!AG21&gt;預測IC!AG$25,1,0)</f>
        <v>1</v>
      </c>
      <c r="AH21" s="7">
        <f>IF(預測IC!AH21&gt;預測IC!AH$25,1,0)</f>
        <v>0</v>
      </c>
      <c r="AI21" s="7">
        <f>IF(預測IC!AI21&gt;預測IC!AI$25,1,0)</f>
        <v>1</v>
      </c>
      <c r="AJ21" s="7">
        <f>IF(預測IC!AJ21&gt;預測IC!AJ$25,1,0)</f>
        <v>0</v>
      </c>
      <c r="AK21" s="7">
        <f>IF(預測IC!AK21&gt;預測IC!AK$25,1,0)</f>
        <v>0</v>
      </c>
      <c r="AL21" s="7">
        <f>IF(預測IC!AL21&gt;預測IC!AL$25,1,0)</f>
        <v>1</v>
      </c>
      <c r="AM21" s="7">
        <f>IF(預測IC!AM21&gt;預測IC!AM$25,1,0)</f>
        <v>1</v>
      </c>
      <c r="AN21" s="7">
        <f>IF(預測IC!AN21&gt;預測IC!AN$25,1,0)</f>
        <v>1</v>
      </c>
      <c r="AO21" s="7">
        <f>IF(預測IC!AO21&gt;預測IC!AO$25,1,0)</f>
        <v>1</v>
      </c>
      <c r="AP21" s="7">
        <f>IF(預測IC!AP21&gt;預測IC!AP$25,1,0)</f>
        <v>0</v>
      </c>
      <c r="AQ21" s="7">
        <f>IF(預測IC!AQ21&gt;預測IC!AQ$25,1,0)</f>
        <v>1</v>
      </c>
      <c r="AR21" s="7">
        <f>IF(預測IC!AR21&gt;預測IC!AR$25,1,0)</f>
        <v>1</v>
      </c>
      <c r="AS21" s="7">
        <f>IF(預測IC!AS21&gt;預測IC!AS$25,1,0)</f>
        <v>1</v>
      </c>
      <c r="AT21" s="7">
        <f>IF(預測IC!AT21&gt;預測IC!AT$25,1,0)</f>
        <v>0</v>
      </c>
      <c r="AU21" s="7">
        <f>IF(預測IC!AU21&gt;預測IC!AU$25,1,0)</f>
        <v>1</v>
      </c>
      <c r="AV21" s="7">
        <f>IF(預測IC!AV21&gt;預測IC!AV$25,1,0)</f>
        <v>0</v>
      </c>
      <c r="AW21" s="7">
        <f>IF(預測IC!AW21&gt;預測IC!AW$25,1,0)</f>
        <v>1</v>
      </c>
      <c r="AX21" s="7">
        <f>IF(預測IC!AX21&gt;預測IC!AX$25,1,0)</f>
        <v>1</v>
      </c>
      <c r="AY21" s="7">
        <f>IF(預測IC!AY21&gt;預測IC!AY$25,1,0)</f>
        <v>1</v>
      </c>
      <c r="AZ21" s="7">
        <f>IF(預測IC!AZ21&gt;預測IC!AZ$25,1,0)</f>
        <v>0</v>
      </c>
      <c r="BA21" s="7">
        <f>IF(預測IC!BA21&gt;預測IC!BA$25,1,0)</f>
        <v>0</v>
      </c>
      <c r="BB21" s="7">
        <f>IF(預測IC!BB21&gt;預測IC!BB$25,1,0)</f>
        <v>1</v>
      </c>
      <c r="BC21" s="7">
        <f>IF(預測IC!BC21&gt;預測IC!BC$25,1,0)</f>
        <v>1</v>
      </c>
      <c r="BD21" s="7">
        <f>IF(預測IC!BD21&gt;預測IC!BD$25,1,0)</f>
        <v>0</v>
      </c>
      <c r="BE21" s="7">
        <f>IF(預測IC!BE21&gt;預測IC!BE$25,1,0)</f>
        <v>0</v>
      </c>
      <c r="BF21" s="7">
        <f>IF(預測IC!BF21&gt;預測IC!BF$25,1,0)</f>
        <v>1</v>
      </c>
      <c r="BG21" s="7">
        <f>IF(預測IC!BG21&gt;預測IC!BG$25,1,0)</f>
        <v>1</v>
      </c>
      <c r="BH21" s="7">
        <f>IF(預測IC!BH21&gt;預測IC!BH$25,1,0)</f>
        <v>1</v>
      </c>
      <c r="BI21" s="7">
        <f>IF(預測IC!BI21&gt;預測IC!BI$25,1,0)</f>
        <v>1</v>
      </c>
      <c r="BJ21" s="7">
        <f>IF(預測IC!BJ21&gt;預測IC!BJ$25,1,0)</f>
        <v>1</v>
      </c>
      <c r="BK21" s="7">
        <f>IF(預測IC!BK21&gt;預測IC!BK$25,1,0)</f>
        <v>0</v>
      </c>
      <c r="BL21" s="7">
        <f>IF(預測IC!BL21&gt;預測IC!BL$25,1,0)</f>
        <v>1</v>
      </c>
      <c r="BM21" s="7">
        <f>IF(預測IC!BM21&gt;預測IC!BM$25,1,0)</f>
        <v>1</v>
      </c>
      <c r="BN21" s="7">
        <f>IF(預測IC!BN21&gt;預測IC!BN$25,1,0)</f>
        <v>1</v>
      </c>
      <c r="BO21" s="7">
        <f>IF(預測IC!BO21&gt;預測IC!BO$25,1,0)</f>
        <v>0</v>
      </c>
      <c r="BP21" s="7">
        <f>IF(預測IC!BP21&gt;預測IC!BP$25,1,0)</f>
        <v>1</v>
      </c>
      <c r="BQ21" s="7">
        <f>IF(預測IC!BQ21&gt;預測IC!BQ$25,1,0)</f>
        <v>1</v>
      </c>
      <c r="BR21" s="7">
        <f>IF(預測IC!BR21&gt;預測IC!BR$25,1,0)</f>
        <v>1</v>
      </c>
      <c r="BS21" s="7">
        <f>IF(預測IC!BS21&gt;預測IC!BS$25,1,0)</f>
        <v>0</v>
      </c>
      <c r="BT21" s="7">
        <f>IF(預測IC!BT21&gt;預測IC!BT$25,1,0)</f>
        <v>1</v>
      </c>
      <c r="BU21" s="7">
        <f>IF(預測IC!BU21&gt;預測IC!BU$25,1,0)</f>
        <v>1</v>
      </c>
      <c r="BV21" s="7">
        <f>IF(預測IC!BV21&gt;預測IC!BV$25,1,0)</f>
        <v>1</v>
      </c>
      <c r="BW21" s="7">
        <f>IF(預測IC!BW21&gt;預測IC!BW$25,1,0)</f>
        <v>0</v>
      </c>
      <c r="BX21" s="7">
        <f>IF(預測IC!BX21&gt;預測IC!BX$25,1,0)</f>
        <v>1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0</v>
      </c>
      <c r="CB21" s="7">
        <f>IF(預測IC!CB21&gt;預測IC!CB$25,1,0)</f>
        <v>0</v>
      </c>
      <c r="CC21" s="7">
        <f>IF(預測IC!CC21&gt;預測IC!CC$25,1,0)</f>
        <v>0</v>
      </c>
      <c r="CD21" s="7">
        <f>IF(預測IC!CD21&gt;預測IC!CD$25,1,0)</f>
        <v>1</v>
      </c>
      <c r="CE21" s="7">
        <f>IF(預測IC!CE21&gt;預測IC!CE$25,1,0)</f>
        <v>0</v>
      </c>
      <c r="CF21" s="7">
        <f>IF(預測IC!CF21&gt;預測IC!CF$25,1,0)</f>
        <v>1</v>
      </c>
      <c r="CG21" s="7">
        <f>IF(預測IC!CG21&gt;預測IC!CG$25,1,0)</f>
        <v>0</v>
      </c>
      <c r="CH21" s="7">
        <f>IF(預測IC!CH21&gt;預測IC!CH$25,1,0)</f>
        <v>1</v>
      </c>
      <c r="CI21" s="7">
        <f>IF(預測IC!CI21&gt;預測IC!CI$25,1,0)</f>
        <v>0</v>
      </c>
      <c r="CJ21" s="7">
        <f>IF(預測IC!CJ21&gt;預測IC!CJ$25,1,0)</f>
        <v>0</v>
      </c>
      <c r="CK21" s="7">
        <f>IF(預測IC!CK21&gt;預測IC!CK$25,1,0)</f>
        <v>1</v>
      </c>
      <c r="CL21" s="7">
        <f>IF(預測IC!CL21&gt;預測IC!CL$25,1,0)</f>
        <v>0</v>
      </c>
      <c r="CM21" s="7">
        <f>IF(預測IC!CM21&gt;預測IC!CM$25,1,0)</f>
        <v>1</v>
      </c>
      <c r="CN21" s="7">
        <f>IF(預測IC!CN21&gt;預測IC!CN$25,1,0)</f>
        <v>0</v>
      </c>
      <c r="CO21" s="7">
        <f>IF(預測IC!CO21&gt;預測IC!CO$25,1,0)</f>
        <v>0</v>
      </c>
      <c r="CP21" s="7">
        <f>IF(預測IC!CP21&gt;預測IC!CP$25,1,0)</f>
        <v>1</v>
      </c>
      <c r="CQ21" s="7">
        <f>IF(預測IC!CQ21&gt;預測IC!CQ$25,1,0)</f>
        <v>1</v>
      </c>
      <c r="CR21" s="7">
        <f>IF(預測IC!CR21&gt;預測IC!CR$25,1,0)</f>
        <v>1</v>
      </c>
      <c r="CS21" s="7">
        <f>IF(預測IC!CS21&gt;預測IC!CS$25,1,0)</f>
        <v>1</v>
      </c>
      <c r="CT21" s="7">
        <f>IF(預測IC!CT21&gt;預測IC!CT$25,1,0)</f>
        <v>1</v>
      </c>
      <c r="CU21" s="7">
        <f>IF(預測IC!CU21&gt;預測IC!CU$25,1,0)</f>
        <v>0</v>
      </c>
      <c r="CV21" s="7">
        <f>IF(預測IC!CV21&gt;預測IC!CV$25,1,0)</f>
        <v>1</v>
      </c>
      <c r="CW21" s="7">
        <f>IF(預測IC!CW21&gt;預測IC!CW$25,1,0)</f>
        <v>1</v>
      </c>
      <c r="CX21" s="7">
        <f>IF(預測IC!CX21&gt;預測IC!CX$25,1,0)</f>
        <v>1</v>
      </c>
      <c r="CY21" s="7">
        <f>IF(預測IC!CY21&gt;預測IC!CY$25,1,0)</f>
        <v>0</v>
      </c>
      <c r="CZ21" s="7">
        <f>IF(預測IC!CZ21&gt;預測IC!CZ$25,1,0)</f>
        <v>1</v>
      </c>
      <c r="DA21" s="7">
        <f>IF(預測IC!DA21&gt;預測IC!DA$25,1,0)</f>
        <v>0</v>
      </c>
      <c r="DB21" s="7">
        <f>IF(預測IC!DB21&gt;預測IC!DB$25,1,0)</f>
        <v>0</v>
      </c>
      <c r="DC21" s="7">
        <f>IF(預測IC!DC21&gt;預測IC!DC$25,1,0)</f>
        <v>1</v>
      </c>
      <c r="DD21" s="7">
        <f>IF(預測IC!DD21&gt;預測IC!DD$25,1,0)</f>
        <v>1</v>
      </c>
      <c r="DE21" s="7">
        <f>IF(預測IC!DE21&gt;預測IC!DE$25,1,0)</f>
        <v>0</v>
      </c>
      <c r="DF21" s="7">
        <f>IF(預測IC!DF21&gt;預測IC!DF$25,1,0)</f>
        <v>1</v>
      </c>
      <c r="DG21" s="7">
        <f>IF(預測IC!DG21&gt;預測IC!DG$25,1,0)</f>
        <v>0</v>
      </c>
      <c r="DH21" s="7">
        <f>IF(預測IC!DH21&gt;預測IC!DH$25,1,0)</f>
        <v>0</v>
      </c>
      <c r="DI21" s="7">
        <f>IF(預測IC!DI21&gt;預測IC!DI$25,1,0)</f>
        <v>1</v>
      </c>
      <c r="DJ21" s="7">
        <f>IF(預測IC!DJ21&gt;預測IC!DJ$25,1,0)</f>
        <v>0</v>
      </c>
      <c r="DK21" s="7">
        <f>IF(預測IC!DK21&gt;預測IC!DK$25,1,0)</f>
        <v>1</v>
      </c>
      <c r="DL21" s="7">
        <f>IF(預測IC!DL21&gt;預測IC!DL$25,1,0)</f>
        <v>1</v>
      </c>
      <c r="DM21" s="7">
        <f>IF(預測IC!DM21&gt;預測IC!DM$25,1,0)</f>
        <v>0</v>
      </c>
      <c r="DN21" s="7">
        <f>IF(預測IC!DN21&gt;預測IC!DN$25,1,0)</f>
        <v>1</v>
      </c>
      <c r="DO21" s="7">
        <f>IF(預測IC!DO21&gt;預測IC!DO$25,1,0)</f>
        <v>1</v>
      </c>
      <c r="DP21" s="7">
        <f>IF(預測IC!DP21&gt;預測IC!DP$25,1,0)</f>
        <v>1</v>
      </c>
      <c r="DQ21" s="7">
        <f>IF(預測IC!DQ21&gt;預測IC!DQ$25,1,0)</f>
        <v>0</v>
      </c>
      <c r="DR21" s="7">
        <f>IF(預測IC!DR21&gt;預測IC!DR$25,1,0)</f>
        <v>1</v>
      </c>
      <c r="DS21" s="7">
        <f>IF(預測IC!DS21&gt;預測IC!DS$25,1,0)</f>
        <v>0</v>
      </c>
      <c r="DT21" s="7">
        <f>IF(預測IC!DT21&gt;預測IC!DT$25,1,0)</f>
        <v>0</v>
      </c>
      <c r="DU21" s="7">
        <f>IF(預測IC!DU21&gt;預測IC!DU$25,1,0)</f>
        <v>0</v>
      </c>
      <c r="DV21" s="7">
        <f>IF(預測IC!DV21&gt;預測IC!DV$25,1,0)</f>
        <v>1</v>
      </c>
      <c r="DW21" s="7">
        <f>IF(預測IC!DW21&gt;預測IC!DW$25,1,0)</f>
        <v>1</v>
      </c>
      <c r="DX21" s="7">
        <f>IF(預測IC!DX21&gt;預測IC!DX$25,1,0)</f>
        <v>0</v>
      </c>
      <c r="DY21" s="7">
        <f>IF(預測IC!DY21&gt;預測IC!DY$25,1,0)</f>
        <v>1</v>
      </c>
      <c r="DZ21" s="7">
        <f>IF(預測IC!DZ21&gt;預測IC!DZ$25,1,0)</f>
        <v>0</v>
      </c>
      <c r="EA21" s="7">
        <f>IF(預測IC!EA21&gt;預測IC!EA$25,1,0)</f>
        <v>0</v>
      </c>
      <c r="EB21" s="7">
        <f>IF(預測IC!EB21&gt;預測IC!EB$25,1,0)</f>
        <v>0</v>
      </c>
      <c r="EC21" s="7">
        <f>IF(預測IC!EC21&gt;預測IC!EC$25,1,0)</f>
        <v>1</v>
      </c>
      <c r="ED21" s="7">
        <f>IF(預測IC!ED21&gt;預測IC!ED$25,1,0)</f>
        <v>0</v>
      </c>
      <c r="EE21" s="7">
        <f>IF(預測IC!EE21&gt;預測IC!EE$25,1,0)</f>
        <v>0</v>
      </c>
      <c r="EF21" s="7">
        <f>IF(預測IC!EF21&gt;預測IC!EF$25,1,0)</f>
        <v>1</v>
      </c>
      <c r="EG21">
        <f t="shared" si="10"/>
        <v>78</v>
      </c>
      <c r="EH21" s="11">
        <f t="shared" si="11"/>
        <v>0.57462686567164178</v>
      </c>
    </row>
    <row r="22" spans="1:138" x14ac:dyDescent="0.3">
      <c r="A22" s="1">
        <v>321</v>
      </c>
      <c r="B22" s="1">
        <v>3</v>
      </c>
      <c r="C22" s="7">
        <f>IF(預測IC!C22&gt;預測IC!C$25,1,0)</f>
        <v>1</v>
      </c>
      <c r="D22" s="7">
        <f>IF(預測IC!D22&gt;預測IC!D$25,1,0)</f>
        <v>0</v>
      </c>
      <c r="E22" s="7">
        <f>IF(預測IC!E22&gt;預測IC!E$25,1,0)</f>
        <v>0</v>
      </c>
      <c r="F22" s="7">
        <f>IF(預測IC!F22&gt;預測IC!F$25,1,0)</f>
        <v>0</v>
      </c>
      <c r="G22" s="7">
        <f>IF(預測IC!G22&gt;預測IC!G$25,1,0)</f>
        <v>0</v>
      </c>
      <c r="H22" s="7">
        <f>IF(預測IC!H22&gt;預測IC!H$25,1,0)</f>
        <v>1</v>
      </c>
      <c r="I22" s="7">
        <f>IF(預測IC!I22&gt;預測IC!I$25,1,0)</f>
        <v>1</v>
      </c>
      <c r="J22" s="7">
        <f>IF(預測IC!J22&gt;預測IC!J$25,1,0)</f>
        <v>1</v>
      </c>
      <c r="K22" s="7">
        <f>IF(預測IC!K22&gt;預測IC!K$25,1,0)</f>
        <v>0</v>
      </c>
      <c r="L22" s="7">
        <f>IF(預測IC!L22&gt;預測IC!L$25,1,0)</f>
        <v>1</v>
      </c>
      <c r="M22" s="7">
        <f>IF(預測IC!M22&gt;預測IC!M$25,1,0)</f>
        <v>0</v>
      </c>
      <c r="N22" s="7">
        <f>IF(預測IC!N22&gt;預測IC!N$25,1,0)</f>
        <v>1</v>
      </c>
      <c r="O22" s="7">
        <f>IF(預測IC!O22&gt;預測IC!O$25,1,0)</f>
        <v>1</v>
      </c>
      <c r="P22" s="7">
        <f>IF(預測IC!P22&gt;預測IC!P$25,1,0)</f>
        <v>0</v>
      </c>
      <c r="Q22" s="7">
        <f>IF(預測IC!Q22&gt;預測IC!Q$25,1,0)</f>
        <v>0</v>
      </c>
      <c r="R22" s="7">
        <f>IF(預測IC!R22&gt;預測IC!R$25,1,0)</f>
        <v>0</v>
      </c>
      <c r="S22" s="7">
        <f>IF(預測IC!S22&gt;預測IC!S$25,1,0)</f>
        <v>0</v>
      </c>
      <c r="T22" s="7">
        <f>IF(預測IC!T22&gt;預測IC!T$25,1,0)</f>
        <v>1</v>
      </c>
      <c r="U22" s="7">
        <f>IF(預測IC!U22&gt;預測IC!U$25,1,0)</f>
        <v>0</v>
      </c>
      <c r="V22" s="7">
        <f>IF(預測IC!V22&gt;預測IC!V$25,1,0)</f>
        <v>1</v>
      </c>
      <c r="W22" s="7">
        <f>IF(預測IC!W22&gt;預測IC!W$25,1,0)</f>
        <v>1</v>
      </c>
      <c r="X22" s="7">
        <f>IF(預測IC!X22&gt;預測IC!X$25,1,0)</f>
        <v>1</v>
      </c>
      <c r="Y22" s="7">
        <f>IF(預測IC!Y22&gt;預測IC!Y$25,1,0)</f>
        <v>1</v>
      </c>
      <c r="Z22" s="7">
        <f>IF(預測IC!Z22&gt;預測IC!Z$25,1,0)</f>
        <v>1</v>
      </c>
      <c r="AA22" s="7">
        <f>IF(預測IC!AA22&gt;預測IC!AA$25,1,0)</f>
        <v>1</v>
      </c>
      <c r="AB22" s="7">
        <f>IF(預測IC!AB22&gt;預測IC!AB$25,1,0)</f>
        <v>1</v>
      </c>
      <c r="AC22" s="7">
        <f>IF(預測IC!AC22&gt;預測IC!AC$25,1,0)</f>
        <v>1</v>
      </c>
      <c r="AD22" s="7">
        <f>IF(預測IC!AD22&gt;預測IC!AD$25,1,0)</f>
        <v>1</v>
      </c>
      <c r="AE22" s="7">
        <f>IF(預測IC!AE22&gt;預測IC!AE$25,1,0)</f>
        <v>0</v>
      </c>
      <c r="AF22" s="7">
        <f>IF(預測IC!AF22&gt;預測IC!AF$25,1,0)</f>
        <v>1</v>
      </c>
      <c r="AG22" s="7">
        <f>IF(預測IC!AG22&gt;預測IC!AG$25,1,0)</f>
        <v>1</v>
      </c>
      <c r="AH22" s="7">
        <f>IF(預測IC!AH22&gt;預測IC!AH$25,1,0)</f>
        <v>0</v>
      </c>
      <c r="AI22" s="7">
        <f>IF(預測IC!AI22&gt;預測IC!AI$25,1,0)</f>
        <v>1</v>
      </c>
      <c r="AJ22" s="7">
        <f>IF(預測IC!AJ22&gt;預測IC!AJ$25,1,0)</f>
        <v>0</v>
      </c>
      <c r="AK22" s="7">
        <f>IF(預測IC!AK22&gt;預測IC!AK$25,1,0)</f>
        <v>1</v>
      </c>
      <c r="AL22" s="7">
        <f>IF(預測IC!AL22&gt;預測IC!AL$25,1,0)</f>
        <v>1</v>
      </c>
      <c r="AM22" s="7">
        <f>IF(預測IC!AM22&gt;預測IC!AM$25,1,0)</f>
        <v>1</v>
      </c>
      <c r="AN22" s="7">
        <f>IF(預測IC!AN22&gt;預測IC!AN$25,1,0)</f>
        <v>1</v>
      </c>
      <c r="AO22" s="7">
        <f>IF(預測IC!AO22&gt;預測IC!AO$25,1,0)</f>
        <v>1</v>
      </c>
      <c r="AP22" s="7">
        <f>IF(預測IC!AP22&gt;預測IC!AP$25,1,0)</f>
        <v>0</v>
      </c>
      <c r="AQ22" s="7">
        <f>IF(預測IC!AQ22&gt;預測IC!AQ$25,1,0)</f>
        <v>1</v>
      </c>
      <c r="AR22" s="7">
        <f>IF(預測IC!AR22&gt;預測IC!AR$25,1,0)</f>
        <v>1</v>
      </c>
      <c r="AS22" s="7">
        <f>IF(預測IC!AS22&gt;預測IC!AS$25,1,0)</f>
        <v>1</v>
      </c>
      <c r="AT22" s="7">
        <f>IF(預測IC!AT22&gt;預測IC!AT$25,1,0)</f>
        <v>0</v>
      </c>
      <c r="AU22" s="7">
        <f>IF(預測IC!AU22&gt;預測IC!AU$25,1,0)</f>
        <v>1</v>
      </c>
      <c r="AV22" s="7">
        <f>IF(預測IC!AV22&gt;預測IC!AV$25,1,0)</f>
        <v>0</v>
      </c>
      <c r="AW22" s="7">
        <f>IF(預測IC!AW22&gt;預測IC!AW$25,1,0)</f>
        <v>0</v>
      </c>
      <c r="AX22" s="7">
        <f>IF(預測IC!AX22&gt;預測IC!AX$25,1,0)</f>
        <v>1</v>
      </c>
      <c r="AY22" s="7">
        <f>IF(預測IC!AY22&gt;預測IC!AY$25,1,0)</f>
        <v>1</v>
      </c>
      <c r="AZ22" s="7">
        <f>IF(預測IC!AZ22&gt;預測IC!AZ$25,1,0)</f>
        <v>0</v>
      </c>
      <c r="BA22" s="7">
        <f>IF(預測IC!BA22&gt;預測IC!BA$25,1,0)</f>
        <v>0</v>
      </c>
      <c r="BB22" s="7">
        <f>IF(預測IC!BB22&gt;預測IC!BB$25,1,0)</f>
        <v>1</v>
      </c>
      <c r="BC22" s="7">
        <f>IF(預測IC!BC22&gt;預測IC!BC$25,1,0)</f>
        <v>0</v>
      </c>
      <c r="BD22" s="7">
        <f>IF(預測IC!BD22&gt;預測IC!BD$25,1,0)</f>
        <v>0</v>
      </c>
      <c r="BE22" s="7">
        <f>IF(預測IC!BE22&gt;預測IC!BE$25,1,0)</f>
        <v>1</v>
      </c>
      <c r="BF22" s="7">
        <f>IF(預測IC!BF22&gt;預測IC!BF$25,1,0)</f>
        <v>1</v>
      </c>
      <c r="BG22" s="7">
        <f>IF(預測IC!BG22&gt;預測IC!BG$25,1,0)</f>
        <v>1</v>
      </c>
      <c r="BH22" s="7">
        <f>IF(預測IC!BH22&gt;預測IC!BH$25,1,0)</f>
        <v>0</v>
      </c>
      <c r="BI22" s="7">
        <f>IF(預測IC!BI22&gt;預測IC!BI$25,1,0)</f>
        <v>1</v>
      </c>
      <c r="BJ22" s="7">
        <f>IF(預測IC!BJ22&gt;預測IC!BJ$25,1,0)</f>
        <v>1</v>
      </c>
      <c r="BK22" s="7">
        <f>IF(預測IC!BK22&gt;預測IC!BK$25,1,0)</f>
        <v>0</v>
      </c>
      <c r="BL22" s="7">
        <f>IF(預測IC!BL22&gt;預測IC!BL$25,1,0)</f>
        <v>1</v>
      </c>
      <c r="BM22" s="7">
        <f>IF(預測IC!BM22&gt;預測IC!BM$25,1,0)</f>
        <v>1</v>
      </c>
      <c r="BN22" s="7">
        <f>IF(預測IC!BN22&gt;預測IC!BN$25,1,0)</f>
        <v>0</v>
      </c>
      <c r="BO22" s="7">
        <f>IF(預測IC!BO22&gt;預測IC!BO$25,1,0)</f>
        <v>0</v>
      </c>
      <c r="BP22" s="7">
        <f>IF(預測IC!BP22&gt;預測IC!BP$25,1,0)</f>
        <v>1</v>
      </c>
      <c r="BQ22" s="7">
        <f>IF(預測IC!BQ22&gt;預測IC!BQ$25,1,0)</f>
        <v>1</v>
      </c>
      <c r="BR22" s="7">
        <f>IF(預測IC!BR22&gt;預測IC!BR$25,1,0)</f>
        <v>1</v>
      </c>
      <c r="BS22" s="7">
        <f>IF(預測IC!BS22&gt;預測IC!BS$25,1,0)</f>
        <v>0</v>
      </c>
      <c r="BT22" s="7">
        <f>IF(預測IC!BT22&gt;預測IC!BT$25,1,0)</f>
        <v>1</v>
      </c>
      <c r="BU22" s="7">
        <f>IF(預測IC!BU22&gt;預測IC!BU$25,1,0)</f>
        <v>1</v>
      </c>
      <c r="BV22" s="7">
        <f>IF(預測IC!BV22&gt;預測IC!BV$25,1,0)</f>
        <v>1</v>
      </c>
      <c r="BW22" s="7">
        <f>IF(預測IC!BW22&gt;預測IC!BW$25,1,0)</f>
        <v>0</v>
      </c>
      <c r="BX22" s="7">
        <f>IF(預測IC!BX22&gt;預測IC!BX$25,1,0)</f>
        <v>1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0</v>
      </c>
      <c r="CB22" s="7">
        <f>IF(預測IC!CB22&gt;預測IC!CB$25,1,0)</f>
        <v>0</v>
      </c>
      <c r="CC22" s="7">
        <f>IF(預測IC!CC22&gt;預測IC!CC$25,1,0)</f>
        <v>0</v>
      </c>
      <c r="CD22" s="7">
        <f>IF(預測IC!CD22&gt;預測IC!CD$25,1,0)</f>
        <v>1</v>
      </c>
      <c r="CE22" s="7">
        <f>IF(預測IC!CE22&gt;預測IC!CE$25,1,0)</f>
        <v>0</v>
      </c>
      <c r="CF22" s="7">
        <f>IF(預測IC!CF22&gt;預測IC!CF$25,1,0)</f>
        <v>1</v>
      </c>
      <c r="CG22" s="7">
        <f>IF(預測IC!CG22&gt;預測IC!CG$25,1,0)</f>
        <v>0</v>
      </c>
      <c r="CH22" s="7">
        <f>IF(預測IC!CH22&gt;預測IC!CH$25,1,0)</f>
        <v>1</v>
      </c>
      <c r="CI22" s="7">
        <f>IF(預測IC!CI22&gt;預測IC!CI$25,1,0)</f>
        <v>0</v>
      </c>
      <c r="CJ22" s="7">
        <f>IF(預測IC!CJ22&gt;預測IC!CJ$25,1,0)</f>
        <v>0</v>
      </c>
      <c r="CK22" s="7">
        <f>IF(預測IC!CK22&gt;預測IC!CK$25,1,0)</f>
        <v>1</v>
      </c>
      <c r="CL22" s="7">
        <f>IF(預測IC!CL22&gt;預測IC!CL$25,1,0)</f>
        <v>0</v>
      </c>
      <c r="CM22" s="7">
        <f>IF(預測IC!CM22&gt;預測IC!CM$25,1,0)</f>
        <v>1</v>
      </c>
      <c r="CN22" s="7">
        <f>IF(預測IC!CN22&gt;預測IC!CN$25,1,0)</f>
        <v>0</v>
      </c>
      <c r="CO22" s="7">
        <f>IF(預測IC!CO22&gt;預測IC!CO$25,1,0)</f>
        <v>0</v>
      </c>
      <c r="CP22" s="7">
        <f>IF(預測IC!CP22&gt;預測IC!CP$25,1,0)</f>
        <v>1</v>
      </c>
      <c r="CQ22" s="7">
        <f>IF(預測IC!CQ22&gt;預測IC!CQ$25,1,0)</f>
        <v>1</v>
      </c>
      <c r="CR22" s="7">
        <f>IF(預測IC!CR22&gt;預測IC!CR$25,1,0)</f>
        <v>1</v>
      </c>
      <c r="CS22" s="7">
        <f>IF(預測IC!CS22&gt;預測IC!CS$25,1,0)</f>
        <v>0</v>
      </c>
      <c r="CT22" s="7">
        <f>IF(預測IC!CT22&gt;預測IC!CT$25,1,0)</f>
        <v>1</v>
      </c>
      <c r="CU22" s="7">
        <f>IF(預測IC!CU22&gt;預測IC!CU$25,1,0)</f>
        <v>0</v>
      </c>
      <c r="CV22" s="7">
        <f>IF(預測IC!CV22&gt;預測IC!CV$25,1,0)</f>
        <v>1</v>
      </c>
      <c r="CW22" s="7">
        <f>IF(預測IC!CW22&gt;預測IC!CW$25,1,0)</f>
        <v>1</v>
      </c>
      <c r="CX22" s="7">
        <f>IF(預測IC!CX22&gt;預測IC!CX$25,1,0)</f>
        <v>1</v>
      </c>
      <c r="CY22" s="7">
        <f>IF(預測IC!CY22&gt;預測IC!CY$25,1,0)</f>
        <v>0</v>
      </c>
      <c r="CZ22" s="7">
        <f>IF(預測IC!CZ22&gt;預測IC!CZ$25,1,0)</f>
        <v>1</v>
      </c>
      <c r="DA22" s="7">
        <f>IF(預測IC!DA22&gt;預測IC!DA$25,1,0)</f>
        <v>0</v>
      </c>
      <c r="DB22" s="7">
        <f>IF(預測IC!DB22&gt;預測IC!DB$25,1,0)</f>
        <v>0</v>
      </c>
      <c r="DC22" s="7">
        <f>IF(預測IC!DC22&gt;預測IC!DC$25,1,0)</f>
        <v>1</v>
      </c>
      <c r="DD22" s="7">
        <f>IF(預測IC!DD22&gt;預測IC!DD$25,1,0)</f>
        <v>1</v>
      </c>
      <c r="DE22" s="7">
        <f>IF(預測IC!DE22&gt;預測IC!DE$25,1,0)</f>
        <v>0</v>
      </c>
      <c r="DF22" s="7">
        <f>IF(預測IC!DF22&gt;預測IC!DF$25,1,0)</f>
        <v>1</v>
      </c>
      <c r="DG22" s="7">
        <f>IF(預測IC!DG22&gt;預測IC!DG$25,1,0)</f>
        <v>0</v>
      </c>
      <c r="DH22" s="7">
        <f>IF(預測IC!DH22&gt;預測IC!DH$25,1,0)</f>
        <v>0</v>
      </c>
      <c r="DI22" s="7">
        <f>IF(預測IC!DI22&gt;預測IC!DI$25,1,0)</f>
        <v>1</v>
      </c>
      <c r="DJ22" s="7">
        <f>IF(預測IC!DJ22&gt;預測IC!DJ$25,1,0)</f>
        <v>0</v>
      </c>
      <c r="DK22" s="7">
        <f>IF(預測IC!DK22&gt;預測IC!DK$25,1,0)</f>
        <v>1</v>
      </c>
      <c r="DL22" s="7">
        <f>IF(預測IC!DL22&gt;預測IC!DL$25,1,0)</f>
        <v>1</v>
      </c>
      <c r="DM22" s="7">
        <f>IF(預測IC!DM22&gt;預測IC!DM$25,1,0)</f>
        <v>0</v>
      </c>
      <c r="DN22" s="7">
        <f>IF(預測IC!DN22&gt;預測IC!DN$25,1,0)</f>
        <v>1</v>
      </c>
      <c r="DO22" s="7">
        <f>IF(預測IC!DO22&gt;預測IC!DO$25,1,0)</f>
        <v>1</v>
      </c>
      <c r="DP22" s="7">
        <f>IF(預測IC!DP22&gt;預測IC!DP$25,1,0)</f>
        <v>1</v>
      </c>
      <c r="DQ22" s="7">
        <f>IF(預測IC!DQ22&gt;預測IC!DQ$25,1,0)</f>
        <v>0</v>
      </c>
      <c r="DR22" s="7">
        <f>IF(預測IC!DR22&gt;預測IC!DR$25,1,0)</f>
        <v>0</v>
      </c>
      <c r="DS22" s="7">
        <f>IF(預測IC!DS22&gt;預測IC!DS$25,1,0)</f>
        <v>0</v>
      </c>
      <c r="DT22" s="7">
        <f>IF(預測IC!DT22&gt;預測IC!DT$25,1,0)</f>
        <v>0</v>
      </c>
      <c r="DU22" s="7">
        <f>IF(預測IC!DU22&gt;預測IC!DU$25,1,0)</f>
        <v>0</v>
      </c>
      <c r="DV22" s="7">
        <f>IF(預測IC!DV22&gt;預測IC!DV$25,1,0)</f>
        <v>1</v>
      </c>
      <c r="DW22" s="7">
        <f>IF(預測IC!DW22&gt;預測IC!DW$25,1,0)</f>
        <v>1</v>
      </c>
      <c r="DX22" s="7">
        <f>IF(預測IC!DX22&gt;預測IC!DX$25,1,0)</f>
        <v>0</v>
      </c>
      <c r="DY22" s="7">
        <f>IF(預測IC!DY22&gt;預測IC!DY$25,1,0)</f>
        <v>1</v>
      </c>
      <c r="DZ22" s="7">
        <f>IF(預測IC!DZ22&gt;預測IC!DZ$25,1,0)</f>
        <v>0</v>
      </c>
      <c r="EA22" s="7">
        <f>IF(預測IC!EA22&gt;預測IC!EA$25,1,0)</f>
        <v>0</v>
      </c>
      <c r="EB22" s="7">
        <f>IF(預測IC!EB22&gt;預測IC!EB$25,1,0)</f>
        <v>0</v>
      </c>
      <c r="EC22" s="7">
        <f>IF(預測IC!EC22&gt;預測IC!EC$25,1,0)</f>
        <v>1</v>
      </c>
      <c r="ED22" s="7">
        <f>IF(預測IC!ED22&gt;預測IC!ED$25,1,0)</f>
        <v>0</v>
      </c>
      <c r="EE22" s="7">
        <f>IF(預測IC!EE22&gt;預測IC!EE$25,1,0)</f>
        <v>1</v>
      </c>
      <c r="EF22" s="7">
        <f>IF(預測IC!EF22&gt;預測IC!EF$25,1,0)</f>
        <v>0</v>
      </c>
      <c r="EG22">
        <f t="shared" si="10"/>
        <v>74</v>
      </c>
      <c r="EH22" s="11">
        <f t="shared" si="11"/>
        <v>0.55223880597014929</v>
      </c>
    </row>
    <row r="23" spans="1:138" x14ac:dyDescent="0.3">
      <c r="A23" s="1">
        <v>482</v>
      </c>
      <c r="B23" s="1">
        <v>2</v>
      </c>
      <c r="C23" s="7">
        <f>IF(預測IC!C23&gt;預測IC!C$25,1,0)</f>
        <v>0</v>
      </c>
      <c r="D23" s="7">
        <f>IF(預測IC!D23&gt;預測IC!D$25,1,0)</f>
        <v>0</v>
      </c>
      <c r="E23" s="7">
        <f>IF(預測IC!E23&gt;預測IC!E$25,1,0)</f>
        <v>0</v>
      </c>
      <c r="F23" s="7">
        <f>IF(預測IC!F23&gt;預測IC!F$25,1,0)</f>
        <v>0</v>
      </c>
      <c r="G23" s="7">
        <f>IF(預測IC!G23&gt;預測IC!G$25,1,0)</f>
        <v>0</v>
      </c>
      <c r="H23" s="7">
        <f>IF(預測IC!H23&gt;預測IC!H$25,1,0)</f>
        <v>1</v>
      </c>
      <c r="I23" s="7">
        <f>IF(預測IC!I23&gt;預測IC!I$25,1,0)</f>
        <v>1</v>
      </c>
      <c r="J23" s="7">
        <f>IF(預測IC!J23&gt;預測IC!J$25,1,0)</f>
        <v>0</v>
      </c>
      <c r="K23" s="7">
        <f>IF(預測IC!K23&gt;預測IC!K$25,1,0)</f>
        <v>0</v>
      </c>
      <c r="L23" s="7">
        <f>IF(預測IC!L23&gt;預測IC!L$25,1,0)</f>
        <v>1</v>
      </c>
      <c r="M23" s="7">
        <f>IF(預測IC!M23&gt;預測IC!M$25,1,0)</f>
        <v>0</v>
      </c>
      <c r="N23" s="7">
        <f>IF(預測IC!N23&gt;預測IC!N$25,1,0)</f>
        <v>1</v>
      </c>
      <c r="O23" s="7">
        <f>IF(預測IC!O23&gt;預測IC!O$25,1,0)</f>
        <v>1</v>
      </c>
      <c r="P23" s="7">
        <f>IF(預測IC!P23&gt;預測IC!P$25,1,0)</f>
        <v>0</v>
      </c>
      <c r="Q23" s="7">
        <f>IF(預測IC!Q23&gt;預測IC!Q$25,1,0)</f>
        <v>1</v>
      </c>
      <c r="R23" s="7">
        <f>IF(預測IC!R23&gt;預測IC!R$25,1,0)</f>
        <v>0</v>
      </c>
      <c r="S23" s="7">
        <f>IF(預測IC!S23&gt;預測IC!S$25,1,0)</f>
        <v>0</v>
      </c>
      <c r="T23" s="7">
        <f>IF(預測IC!T23&gt;預測IC!T$25,1,0)</f>
        <v>1</v>
      </c>
      <c r="U23" s="7">
        <f>IF(預測IC!U23&gt;預測IC!U$25,1,0)</f>
        <v>0</v>
      </c>
      <c r="V23" s="7">
        <f>IF(預測IC!V23&gt;預測IC!V$25,1,0)</f>
        <v>1</v>
      </c>
      <c r="W23" s="7">
        <f>IF(預測IC!W23&gt;預測IC!W$25,1,0)</f>
        <v>1</v>
      </c>
      <c r="X23" s="7">
        <f>IF(預測IC!X23&gt;預測IC!X$25,1,0)</f>
        <v>1</v>
      </c>
      <c r="Y23" s="7">
        <f>IF(預測IC!Y23&gt;預測IC!Y$25,1,0)</f>
        <v>1</v>
      </c>
      <c r="Z23" s="7">
        <f>IF(預測IC!Z23&gt;預測IC!Z$25,1,0)</f>
        <v>1</v>
      </c>
      <c r="AA23" s="7">
        <f>IF(預測IC!AA23&gt;預測IC!AA$25,1,0)</f>
        <v>1</v>
      </c>
      <c r="AB23" s="7">
        <f>IF(預測IC!AB23&gt;預測IC!AB$25,1,0)</f>
        <v>1</v>
      </c>
      <c r="AC23" s="7">
        <f>IF(預測IC!AC23&gt;預測IC!AC$25,1,0)</f>
        <v>1</v>
      </c>
      <c r="AD23" s="7">
        <f>IF(預測IC!AD23&gt;預測IC!AD$25,1,0)</f>
        <v>1</v>
      </c>
      <c r="AE23" s="7">
        <f>IF(預測IC!AE23&gt;預測IC!AE$25,1,0)</f>
        <v>0</v>
      </c>
      <c r="AF23" s="7">
        <f>IF(預測IC!AF23&gt;預測IC!AF$25,1,0)</f>
        <v>1</v>
      </c>
      <c r="AG23" s="7">
        <f>IF(預測IC!AG23&gt;預測IC!AG$25,1,0)</f>
        <v>1</v>
      </c>
      <c r="AH23" s="7">
        <f>IF(預測IC!AH23&gt;預測IC!AH$25,1,0)</f>
        <v>0</v>
      </c>
      <c r="AI23" s="7">
        <f>IF(預測IC!AI23&gt;預測IC!AI$25,1,0)</f>
        <v>1</v>
      </c>
      <c r="AJ23" s="7">
        <f>IF(預測IC!AJ23&gt;預測IC!AJ$25,1,0)</f>
        <v>1</v>
      </c>
      <c r="AK23" s="7">
        <f>IF(預測IC!AK23&gt;預測IC!AK$25,1,0)</f>
        <v>1</v>
      </c>
      <c r="AL23" s="7">
        <f>IF(預測IC!AL23&gt;預測IC!AL$25,1,0)</f>
        <v>1</v>
      </c>
      <c r="AM23" s="7">
        <f>IF(預測IC!AM23&gt;預測IC!AM$25,1,0)</f>
        <v>0</v>
      </c>
      <c r="AN23" s="7">
        <f>IF(預測IC!AN23&gt;預測IC!AN$25,1,0)</f>
        <v>1</v>
      </c>
      <c r="AO23" s="7">
        <f>IF(預測IC!AO23&gt;預測IC!AO$25,1,0)</f>
        <v>0</v>
      </c>
      <c r="AP23" s="7">
        <f>IF(預測IC!AP23&gt;預測IC!AP$25,1,0)</f>
        <v>0</v>
      </c>
      <c r="AQ23" s="7">
        <f>IF(預測IC!AQ23&gt;預測IC!AQ$25,1,0)</f>
        <v>1</v>
      </c>
      <c r="AR23" s="7">
        <f>IF(預測IC!AR23&gt;預測IC!AR$25,1,0)</f>
        <v>1</v>
      </c>
      <c r="AS23" s="7">
        <f>IF(預測IC!AS23&gt;預測IC!AS$25,1,0)</f>
        <v>0</v>
      </c>
      <c r="AT23" s="7">
        <f>IF(預測IC!AT23&gt;預測IC!AT$25,1,0)</f>
        <v>0</v>
      </c>
      <c r="AU23" s="7">
        <f>IF(預測IC!AU23&gt;預測IC!AU$25,1,0)</f>
        <v>1</v>
      </c>
      <c r="AV23" s="7">
        <f>IF(預測IC!AV23&gt;預測IC!AV$25,1,0)</f>
        <v>0</v>
      </c>
      <c r="AW23" s="7">
        <f>IF(預測IC!AW23&gt;預測IC!AW$25,1,0)</f>
        <v>0</v>
      </c>
      <c r="AX23" s="7">
        <f>IF(預測IC!AX23&gt;預測IC!AX$25,1,0)</f>
        <v>1</v>
      </c>
      <c r="AY23" s="7">
        <f>IF(預測IC!AY23&gt;預測IC!AY$25,1,0)</f>
        <v>1</v>
      </c>
      <c r="AZ23" s="7">
        <f>IF(預測IC!AZ23&gt;預測IC!AZ$25,1,0)</f>
        <v>0</v>
      </c>
      <c r="BA23" s="7">
        <f>IF(預測IC!BA23&gt;預測IC!BA$25,1,0)</f>
        <v>1</v>
      </c>
      <c r="BB23" s="7">
        <f>IF(預測IC!BB23&gt;預測IC!BB$25,1,0)</f>
        <v>0</v>
      </c>
      <c r="BC23" s="7">
        <f>IF(預測IC!BC23&gt;預測IC!BC$25,1,0)</f>
        <v>0</v>
      </c>
      <c r="BD23" s="7">
        <f>IF(預測IC!BD23&gt;預測IC!BD$25,1,0)</f>
        <v>1</v>
      </c>
      <c r="BE23" s="7">
        <f>IF(預測IC!BE23&gt;預測IC!BE$25,1,0)</f>
        <v>0</v>
      </c>
      <c r="BF23" s="7">
        <f>IF(預測IC!BF23&gt;預測IC!BF$25,1,0)</f>
        <v>0</v>
      </c>
      <c r="BG23" s="7">
        <f>IF(預測IC!BG23&gt;預測IC!BG$25,1,0)</f>
        <v>1</v>
      </c>
      <c r="BH23" s="7">
        <f>IF(預測IC!BH23&gt;預測IC!BH$25,1,0)</f>
        <v>0</v>
      </c>
      <c r="BI23" s="7">
        <f>IF(預測IC!BI23&gt;預測IC!BI$25,1,0)</f>
        <v>1</v>
      </c>
      <c r="BJ23" s="7">
        <f>IF(預測IC!BJ23&gt;預測IC!BJ$25,1,0)</f>
        <v>1</v>
      </c>
      <c r="BK23" s="7">
        <f>IF(預測IC!BK23&gt;預測IC!BK$25,1,0)</f>
        <v>0</v>
      </c>
      <c r="BL23" s="7">
        <f>IF(預測IC!BL23&gt;預測IC!BL$25,1,0)</f>
        <v>1</v>
      </c>
      <c r="BM23" s="7">
        <f>IF(預測IC!BM23&gt;預測IC!BM$25,1,0)</f>
        <v>1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1</v>
      </c>
      <c r="BQ23" s="7">
        <f>IF(預測IC!BQ23&gt;預測IC!BQ$25,1,0)</f>
        <v>1</v>
      </c>
      <c r="BR23" s="7">
        <f>IF(預測IC!BR23&gt;預測IC!BR$25,1,0)</f>
        <v>1</v>
      </c>
      <c r="BS23" s="7">
        <f>IF(預測IC!BS23&gt;預測IC!BS$25,1,0)</f>
        <v>0</v>
      </c>
      <c r="BT23" s="7">
        <f>IF(預測IC!BT23&gt;預測IC!BT$25,1,0)</f>
        <v>1</v>
      </c>
      <c r="BU23" s="7">
        <f>IF(預測IC!BU23&gt;預測IC!BU$25,1,0)</f>
        <v>1</v>
      </c>
      <c r="BV23" s="7">
        <f>IF(預測IC!BV23&gt;預測IC!BV$25,1,0)</f>
        <v>1</v>
      </c>
      <c r="BW23" s="7">
        <f>IF(預測IC!BW23&gt;預測IC!BW$25,1,0)</f>
        <v>0</v>
      </c>
      <c r="BX23" s="7">
        <f>IF(預測IC!BX23&gt;預測IC!BX$25,1,0)</f>
        <v>1</v>
      </c>
      <c r="BY23" s="7">
        <f>IF(預測IC!BY23&gt;預測IC!BY$25,1,0)</f>
        <v>1</v>
      </c>
      <c r="BZ23" s="7">
        <f>IF(預測IC!BZ23&gt;預測IC!BZ$25,1,0)</f>
        <v>0</v>
      </c>
      <c r="CA23" s="7">
        <f>IF(預測IC!CA23&gt;預測IC!CA$25,1,0)</f>
        <v>0</v>
      </c>
      <c r="CB23" s="7">
        <f>IF(預測IC!CB23&gt;預測IC!CB$25,1,0)</f>
        <v>0</v>
      </c>
      <c r="CC23" s="7">
        <f>IF(預測IC!CC23&gt;預測IC!CC$25,1,0)</f>
        <v>1</v>
      </c>
      <c r="CD23" s="7">
        <f>IF(預測IC!CD23&gt;預測IC!CD$25,1,0)</f>
        <v>1</v>
      </c>
      <c r="CE23" s="7">
        <f>IF(預測IC!CE23&gt;預測IC!CE$25,1,0)</f>
        <v>0</v>
      </c>
      <c r="CF23" s="7">
        <f>IF(預測IC!CF23&gt;預測IC!CF$25,1,0)</f>
        <v>1</v>
      </c>
      <c r="CG23" s="7">
        <f>IF(預測IC!CG23&gt;預測IC!CG$25,1,0)</f>
        <v>0</v>
      </c>
      <c r="CH23" s="7">
        <f>IF(預測IC!CH23&gt;預測IC!CH$25,1,0)</f>
        <v>1</v>
      </c>
      <c r="CI23" s="7">
        <f>IF(預測IC!CI23&gt;預測IC!CI$25,1,0)</f>
        <v>0</v>
      </c>
      <c r="CJ23" s="7">
        <f>IF(預測IC!CJ23&gt;預測IC!CJ$25,1,0)</f>
        <v>0</v>
      </c>
      <c r="CK23" s="7">
        <f>IF(預測IC!CK23&gt;預測IC!CK$25,1,0)</f>
        <v>1</v>
      </c>
      <c r="CL23" s="7">
        <f>IF(預測IC!CL23&gt;預測IC!CL$25,1,0)</f>
        <v>0</v>
      </c>
      <c r="CM23" s="7">
        <f>IF(預測IC!CM23&gt;預測IC!CM$25,1,0)</f>
        <v>1</v>
      </c>
      <c r="CN23" s="7">
        <f>IF(預測IC!CN23&gt;預測IC!CN$25,1,0)</f>
        <v>0</v>
      </c>
      <c r="CO23" s="7">
        <f>IF(預測IC!CO23&gt;預測IC!CO$25,1,0)</f>
        <v>0</v>
      </c>
      <c r="CP23" s="7">
        <f>IF(預測IC!CP23&gt;預測IC!CP$25,1,0)</f>
        <v>1</v>
      </c>
      <c r="CQ23" s="7">
        <f>IF(預測IC!CQ23&gt;預測IC!CQ$25,1,0)</f>
        <v>1</v>
      </c>
      <c r="CR23" s="7">
        <f>IF(預測IC!CR23&gt;預測IC!CR$25,1,0)</f>
        <v>1</v>
      </c>
      <c r="CS23" s="7">
        <f>IF(預測IC!CS23&gt;預測IC!CS$25,1,0)</f>
        <v>0</v>
      </c>
      <c r="CT23" s="7">
        <f>IF(預測IC!CT23&gt;預測IC!CT$25,1,0)</f>
        <v>1</v>
      </c>
      <c r="CU23" s="7">
        <f>IF(預測IC!CU23&gt;預測IC!CU$25,1,0)</f>
        <v>1</v>
      </c>
      <c r="CV23" s="7">
        <f>IF(預測IC!CV23&gt;預測IC!CV$25,1,0)</f>
        <v>0</v>
      </c>
      <c r="CW23" s="7">
        <f>IF(預測IC!CW23&gt;預測IC!CW$25,1,0)</f>
        <v>1</v>
      </c>
      <c r="CX23" s="7">
        <f>IF(預測IC!CX23&gt;預測IC!CX$25,1,0)</f>
        <v>0</v>
      </c>
      <c r="CY23" s="7">
        <f>IF(預測IC!CY23&gt;預測IC!CY$25,1,0)</f>
        <v>1</v>
      </c>
      <c r="CZ23" s="7">
        <f>IF(預測IC!CZ23&gt;預測IC!CZ$25,1,0)</f>
        <v>1</v>
      </c>
      <c r="DA23" s="7">
        <f>IF(預測IC!DA23&gt;預測IC!DA$25,1,0)</f>
        <v>0</v>
      </c>
      <c r="DB23" s="7">
        <f>IF(預測IC!DB23&gt;預測IC!DB$25,1,0)</f>
        <v>0</v>
      </c>
      <c r="DC23" s="7">
        <f>IF(預測IC!DC23&gt;預測IC!DC$25,1,0)</f>
        <v>1</v>
      </c>
      <c r="DD23" s="7">
        <f>IF(預測IC!DD23&gt;預測IC!DD$25,1,0)</f>
        <v>1</v>
      </c>
      <c r="DE23" s="7">
        <f>IF(預測IC!DE23&gt;預測IC!DE$25,1,0)</f>
        <v>0</v>
      </c>
      <c r="DF23" s="7">
        <f>IF(預測IC!DF23&gt;預測IC!DF$25,1,0)</f>
        <v>1</v>
      </c>
      <c r="DG23" s="7">
        <f>IF(預測IC!DG23&gt;預測IC!DG$25,1,0)</f>
        <v>0</v>
      </c>
      <c r="DH23" s="7">
        <f>IF(預測IC!DH23&gt;預測IC!DH$25,1,0)</f>
        <v>1</v>
      </c>
      <c r="DI23" s="7">
        <f>IF(預測IC!DI23&gt;預測IC!DI$25,1,0)</f>
        <v>1</v>
      </c>
      <c r="DJ23" s="7">
        <f>IF(預測IC!DJ23&gt;預測IC!DJ$25,1,0)</f>
        <v>0</v>
      </c>
      <c r="DK23" s="7">
        <f>IF(預測IC!DK23&gt;預測IC!DK$25,1,0)</f>
        <v>1</v>
      </c>
      <c r="DL23" s="7">
        <f>IF(預測IC!DL23&gt;預測IC!DL$25,1,0)</f>
        <v>1</v>
      </c>
      <c r="DM23" s="7">
        <f>IF(預測IC!DM23&gt;預測IC!DM$25,1,0)</f>
        <v>0</v>
      </c>
      <c r="DN23" s="7">
        <f>IF(預測IC!DN23&gt;預測IC!DN$25,1,0)</f>
        <v>1</v>
      </c>
      <c r="DO23" s="7">
        <f>IF(預測IC!DO23&gt;預測IC!DO$25,1,0)</f>
        <v>1</v>
      </c>
      <c r="DP23" s="7">
        <f>IF(預測IC!DP23&gt;預測IC!DP$25,1,0)</f>
        <v>1</v>
      </c>
      <c r="DQ23" s="7">
        <f>IF(預測IC!DQ23&gt;預測IC!DQ$25,1,0)</f>
        <v>0</v>
      </c>
      <c r="DR23" s="7">
        <f>IF(預測IC!DR23&gt;預測IC!DR$25,1,0)</f>
        <v>0</v>
      </c>
      <c r="DS23" s="7">
        <f>IF(預測IC!DS23&gt;預測IC!DS$25,1,0)</f>
        <v>0</v>
      </c>
      <c r="DT23" s="7">
        <f>IF(預測IC!DT23&gt;預測IC!DT$25,1,0)</f>
        <v>0</v>
      </c>
      <c r="DU23" s="7">
        <f>IF(預測IC!DU23&gt;預測IC!DU$25,1,0)</f>
        <v>0</v>
      </c>
      <c r="DV23" s="7">
        <f>IF(預測IC!DV23&gt;預測IC!DV$25,1,0)</f>
        <v>1</v>
      </c>
      <c r="DW23" s="7">
        <f>IF(預測IC!DW23&gt;預測IC!DW$25,1,0)</f>
        <v>1</v>
      </c>
      <c r="DX23" s="7">
        <f>IF(預測IC!DX23&gt;預測IC!DX$25,1,0)</f>
        <v>0</v>
      </c>
      <c r="DY23" s="7">
        <f>IF(預測IC!DY23&gt;預測IC!DY$25,1,0)</f>
        <v>1</v>
      </c>
      <c r="DZ23" s="7">
        <f>IF(預測IC!DZ23&gt;預測IC!DZ$25,1,0)</f>
        <v>0</v>
      </c>
      <c r="EA23" s="7">
        <f>IF(預測IC!EA23&gt;預測IC!EA$25,1,0)</f>
        <v>0</v>
      </c>
      <c r="EB23" s="7">
        <f>IF(預測IC!EB23&gt;預測IC!EB$25,1,0)</f>
        <v>0</v>
      </c>
      <c r="EC23" s="7">
        <f>IF(預測IC!EC23&gt;預測IC!EC$25,1,0)</f>
        <v>0</v>
      </c>
      <c r="ED23" s="7">
        <f>IF(預測IC!ED23&gt;預測IC!ED$25,1,0)</f>
        <v>0</v>
      </c>
      <c r="EE23" s="7">
        <f>IF(預測IC!EE23&gt;預測IC!EE$25,1,0)</f>
        <v>1</v>
      </c>
      <c r="EF23" s="7">
        <f>IF(預測IC!EF23&gt;預測IC!EF$25,1,0)</f>
        <v>0</v>
      </c>
      <c r="EG23">
        <f t="shared" si="10"/>
        <v>72</v>
      </c>
      <c r="EH23" s="11">
        <f t="shared" si="11"/>
        <v>0.53731343283582089</v>
      </c>
    </row>
    <row r="24" spans="1:138" x14ac:dyDescent="0.3">
      <c r="A24" s="1">
        <v>964</v>
      </c>
      <c r="B24" s="1">
        <v>1</v>
      </c>
      <c r="C24" s="7">
        <f>IF(預測IC!C24&gt;預測IC!C$25,1,0)</f>
        <v>1</v>
      </c>
      <c r="D24" s="7">
        <f>IF(預測IC!D24&gt;預測IC!D$25,1,0)</f>
        <v>0</v>
      </c>
      <c r="E24" s="7">
        <f>IF(預測IC!E24&gt;預測IC!E$25,1,0)</f>
        <v>1</v>
      </c>
      <c r="F24" s="7">
        <f>IF(預測IC!F24&gt;預測IC!F$25,1,0)</f>
        <v>0</v>
      </c>
      <c r="G24" s="7">
        <f>IF(預測IC!G24&gt;預測IC!G$25,1,0)</f>
        <v>1</v>
      </c>
      <c r="H24" s="7">
        <f>IF(預測IC!H24&gt;預測IC!H$25,1,0)</f>
        <v>1</v>
      </c>
      <c r="I24" s="7">
        <f>IF(預測IC!I24&gt;預測IC!I$25,1,0)</f>
        <v>1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1</v>
      </c>
      <c r="M24" s="7">
        <f>IF(預測IC!M24&gt;預測IC!M$25,1,0)</f>
        <v>0</v>
      </c>
      <c r="N24" s="7">
        <f>IF(預測IC!N24&gt;預測IC!N$25,1,0)</f>
        <v>1</v>
      </c>
      <c r="O24" s="7">
        <f>IF(預測IC!O24&gt;預測IC!O$25,1,0)</f>
        <v>1</v>
      </c>
      <c r="P24" s="7">
        <f>IF(預測IC!P24&gt;預測IC!P$25,1,0)</f>
        <v>0</v>
      </c>
      <c r="Q24" s="7">
        <f>IF(預測IC!Q24&gt;預測IC!Q$25,1,0)</f>
        <v>1</v>
      </c>
      <c r="R24" s="7">
        <f>IF(預測IC!R24&gt;預測IC!R$25,1,0)</f>
        <v>0</v>
      </c>
      <c r="S24" s="7">
        <f>IF(預測IC!S24&gt;預測IC!S$25,1,0)</f>
        <v>0</v>
      </c>
      <c r="T24" s="7">
        <f>IF(預測IC!T24&gt;預測IC!T$25,1,0)</f>
        <v>1</v>
      </c>
      <c r="U24" s="7">
        <f>IF(預測IC!U24&gt;預測IC!U$25,1,0)</f>
        <v>0</v>
      </c>
      <c r="V24" s="7">
        <f>IF(預測IC!V24&gt;預測IC!V$25,1,0)</f>
        <v>0</v>
      </c>
      <c r="W24" s="7">
        <f>IF(預測IC!W24&gt;預測IC!W$25,1,0)</f>
        <v>1</v>
      </c>
      <c r="X24" s="7">
        <f>IF(預測IC!X24&gt;預測IC!X$25,1,0)</f>
        <v>1</v>
      </c>
      <c r="Y24" s="7">
        <f>IF(預測IC!Y24&gt;預測IC!Y$25,1,0)</f>
        <v>1</v>
      </c>
      <c r="Z24" s="7">
        <f>IF(預測IC!Z24&gt;預測IC!Z$25,1,0)</f>
        <v>1</v>
      </c>
      <c r="AA24" s="7">
        <f>IF(預測IC!AA24&gt;預測IC!AA$25,1,0)</f>
        <v>1</v>
      </c>
      <c r="AB24" s="7">
        <f>IF(預測IC!AB24&gt;預測IC!AB$25,1,0)</f>
        <v>1</v>
      </c>
      <c r="AC24" s="7">
        <f>IF(預測IC!AC24&gt;預測IC!AC$25,1,0)</f>
        <v>1</v>
      </c>
      <c r="AD24" s="7">
        <f>IF(預測IC!AD24&gt;預測IC!AD$25,1,0)</f>
        <v>1</v>
      </c>
      <c r="AE24" s="7">
        <f>IF(預測IC!AE24&gt;預測IC!AE$25,1,0)</f>
        <v>0</v>
      </c>
      <c r="AF24" s="7">
        <f>IF(預測IC!AF24&gt;預測IC!AF$25,1,0)</f>
        <v>1</v>
      </c>
      <c r="AG24" s="7">
        <f>IF(預測IC!AG24&gt;預測IC!AG$25,1,0)</f>
        <v>1</v>
      </c>
      <c r="AH24" s="7">
        <f>IF(預測IC!AH24&gt;預測IC!AH$25,1,0)</f>
        <v>0</v>
      </c>
      <c r="AI24" s="7">
        <f>IF(預測IC!AI24&gt;預測IC!AI$25,1,0)</f>
        <v>1</v>
      </c>
      <c r="AJ24" s="7">
        <f>IF(預測IC!AJ24&gt;預測IC!AJ$25,1,0)</f>
        <v>1</v>
      </c>
      <c r="AK24" s="7">
        <f>IF(預測IC!AK24&gt;預測IC!AK$25,1,0)</f>
        <v>1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1</v>
      </c>
      <c r="AO24" s="7">
        <f>IF(預測IC!AO24&gt;預測IC!AO$25,1,0)</f>
        <v>1</v>
      </c>
      <c r="AP24" s="7">
        <f>IF(預測IC!AP24&gt;預測IC!AP$25,1,0)</f>
        <v>0</v>
      </c>
      <c r="AQ24" s="7">
        <f>IF(預測IC!AQ24&gt;預測IC!AQ$25,1,0)</f>
        <v>1</v>
      </c>
      <c r="AR24" s="7">
        <f>IF(預測IC!AR24&gt;預測IC!AR$25,1,0)</f>
        <v>0</v>
      </c>
      <c r="AS24" s="7">
        <f>IF(預測IC!AS24&gt;預測IC!AS$25,1,0)</f>
        <v>0</v>
      </c>
      <c r="AT24" s="7">
        <f>IF(預測IC!AT24&gt;預測IC!AT$25,1,0)</f>
        <v>1</v>
      </c>
      <c r="AU24" s="7">
        <f>IF(預測IC!AU24&gt;預測IC!AU$25,1,0)</f>
        <v>1</v>
      </c>
      <c r="AV24" s="7">
        <f>IF(預測IC!AV24&gt;預測IC!AV$25,1,0)</f>
        <v>0</v>
      </c>
      <c r="AW24" s="7">
        <f>IF(預測IC!AW24&gt;預測IC!AW$25,1,0)</f>
        <v>1</v>
      </c>
      <c r="AX24" s="7">
        <f>IF(預測IC!AX24&gt;預測IC!AX$25,1,0)</f>
        <v>1</v>
      </c>
      <c r="AY24" s="7">
        <f>IF(預測IC!AY24&gt;預測IC!AY$25,1,0)</f>
        <v>1</v>
      </c>
      <c r="AZ24" s="7">
        <f>IF(預測IC!AZ24&gt;預測IC!AZ$25,1,0)</f>
        <v>1</v>
      </c>
      <c r="BA24" s="7">
        <f>IF(預測IC!BA24&gt;預測IC!BA$25,1,0)</f>
        <v>0</v>
      </c>
      <c r="BB24" s="7">
        <f>IF(預測IC!BB24&gt;預測IC!BB$25,1,0)</f>
        <v>0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0</v>
      </c>
      <c r="BF24" s="7">
        <f>IF(預測IC!BF24&gt;預測IC!BF$25,1,0)</f>
        <v>1</v>
      </c>
      <c r="BG24" s="7">
        <f>IF(預測IC!BG24&gt;預測IC!BG$25,1,0)</f>
        <v>1</v>
      </c>
      <c r="BH24" s="7">
        <f>IF(預測IC!BH24&gt;預測IC!BH$25,1,0)</f>
        <v>0</v>
      </c>
      <c r="BI24" s="7">
        <f>IF(預測IC!BI24&gt;預測IC!BI$25,1,0)</f>
        <v>1</v>
      </c>
      <c r="BJ24" s="7">
        <f>IF(預測IC!BJ24&gt;預測IC!BJ$25,1,0)</f>
        <v>1</v>
      </c>
      <c r="BK24" s="7">
        <f>IF(預測IC!BK24&gt;預測IC!BK$25,1,0)</f>
        <v>0</v>
      </c>
      <c r="BL24" s="7">
        <f>IF(預測IC!BL24&gt;預測IC!BL$25,1,0)</f>
        <v>1</v>
      </c>
      <c r="BM24" s="7">
        <f>IF(預測IC!BM24&gt;預測IC!BM$25,1,0)</f>
        <v>0</v>
      </c>
      <c r="BN24" s="7">
        <f>IF(預測IC!BN24&gt;預測IC!BN$25,1,0)</f>
        <v>0</v>
      </c>
      <c r="BO24" s="7">
        <f>IF(預測IC!BO24&gt;預測IC!BO$25,1,0)</f>
        <v>0</v>
      </c>
      <c r="BP24" s="7">
        <f>IF(預測IC!BP24&gt;預測IC!BP$25,1,0)</f>
        <v>1</v>
      </c>
      <c r="BQ24" s="7">
        <f>IF(預測IC!BQ24&gt;預測IC!BQ$25,1,0)</f>
        <v>0</v>
      </c>
      <c r="BR24" s="7">
        <f>IF(預測IC!BR24&gt;預測IC!BR$25,1,0)</f>
        <v>1</v>
      </c>
      <c r="BS24" s="7">
        <f>IF(預測IC!BS24&gt;預測IC!BS$25,1,0)</f>
        <v>0</v>
      </c>
      <c r="BT24" s="7">
        <f>IF(預測IC!BT24&gt;預測IC!BT$25,1,0)</f>
        <v>1</v>
      </c>
      <c r="BU24" s="7">
        <f>IF(預測IC!BU24&gt;預測IC!BU$25,1,0)</f>
        <v>1</v>
      </c>
      <c r="BV24" s="7">
        <f>IF(預測IC!BV24&gt;預測IC!BV$25,1,0)</f>
        <v>1</v>
      </c>
      <c r="BW24" s="7">
        <f>IF(預測IC!BW24&gt;預測IC!BW$25,1,0)</f>
        <v>0</v>
      </c>
      <c r="BX24" s="7">
        <f>IF(預測IC!BX24&gt;預測IC!BX$25,1,0)</f>
        <v>0</v>
      </c>
      <c r="BY24" s="7">
        <f>IF(預測IC!BY24&gt;預測IC!BY$25,1,0)</f>
        <v>1</v>
      </c>
      <c r="BZ24" s="7">
        <f>IF(預測IC!BZ24&gt;預測IC!BZ$25,1,0)</f>
        <v>1</v>
      </c>
      <c r="CA24" s="7">
        <f>IF(預測IC!CA24&gt;預測IC!CA$25,1,0)</f>
        <v>0</v>
      </c>
      <c r="CB24" s="7">
        <f>IF(預測IC!CB24&gt;預測IC!CB$25,1,0)</f>
        <v>1</v>
      </c>
      <c r="CC24" s="7">
        <f>IF(預測IC!CC24&gt;預測IC!CC$25,1,0)</f>
        <v>1</v>
      </c>
      <c r="CD24" s="7">
        <f>IF(預測IC!CD24&gt;預測IC!CD$25,1,0)</f>
        <v>1</v>
      </c>
      <c r="CE24" s="7">
        <f>IF(預測IC!CE24&gt;預測IC!CE$25,1,0)</f>
        <v>0</v>
      </c>
      <c r="CF24" s="7">
        <f>IF(預測IC!CF24&gt;預測IC!CF$25,1,0)</f>
        <v>1</v>
      </c>
      <c r="CG24" s="7">
        <f>IF(預測IC!CG24&gt;預測IC!CG$25,1,0)</f>
        <v>0</v>
      </c>
      <c r="CH24" s="7">
        <f>IF(預測IC!CH24&gt;預測IC!CH$25,1,0)</f>
        <v>1</v>
      </c>
      <c r="CI24" s="7">
        <f>IF(預測IC!CI24&gt;預測IC!CI$25,1,0)</f>
        <v>1</v>
      </c>
      <c r="CJ24" s="7">
        <f>IF(預測IC!CJ24&gt;預測IC!CJ$25,1,0)</f>
        <v>0</v>
      </c>
      <c r="CK24" s="7">
        <f>IF(預測IC!CK24&gt;預測IC!CK$25,1,0)</f>
        <v>1</v>
      </c>
      <c r="CL24" s="7">
        <f>IF(預測IC!CL24&gt;預測IC!CL$25,1,0)</f>
        <v>1</v>
      </c>
      <c r="CM24" s="7">
        <f>IF(預測IC!CM24&gt;預測IC!CM$25,1,0)</f>
        <v>1</v>
      </c>
      <c r="CN24" s="7">
        <f>IF(預測IC!CN24&gt;預測IC!CN$25,1,0)</f>
        <v>0</v>
      </c>
      <c r="CO24" s="7">
        <f>IF(預測IC!CO24&gt;預測IC!CO$25,1,0)</f>
        <v>0</v>
      </c>
      <c r="CP24" s="7">
        <f>IF(預測IC!CP24&gt;預測IC!CP$25,1,0)</f>
        <v>1</v>
      </c>
      <c r="CQ24" s="7">
        <f>IF(預測IC!CQ24&gt;預測IC!CQ$25,1,0)</f>
        <v>1</v>
      </c>
      <c r="CR24" s="7">
        <f>IF(預測IC!CR24&gt;預測IC!CR$25,1,0)</f>
        <v>1</v>
      </c>
      <c r="CS24" s="7">
        <f>IF(預測IC!CS24&gt;預測IC!CS$25,1,0)</f>
        <v>0</v>
      </c>
      <c r="CT24" s="7">
        <f>IF(預測IC!CT24&gt;預測IC!CT$25,1,0)</f>
        <v>1</v>
      </c>
      <c r="CU24" s="7">
        <f>IF(預測IC!CU24&gt;預測IC!CU$25,1,0)</f>
        <v>0</v>
      </c>
      <c r="CV24" s="7">
        <f>IF(預測IC!CV24&gt;預測IC!CV$25,1,0)</f>
        <v>1</v>
      </c>
      <c r="CW24" s="7">
        <f>IF(預測IC!CW24&gt;預測IC!CW$25,1,0)</f>
        <v>1</v>
      </c>
      <c r="CX24" s="7">
        <f>IF(預測IC!CX24&gt;預測IC!CX$25,1,0)</f>
        <v>1</v>
      </c>
      <c r="CY24" s="7">
        <f>IF(預測IC!CY24&gt;預測IC!CY$25,1,0)</f>
        <v>0</v>
      </c>
      <c r="CZ24" s="7">
        <f>IF(預測IC!CZ24&gt;預測IC!CZ$25,1,0)</f>
        <v>1</v>
      </c>
      <c r="DA24" s="7">
        <f>IF(預測IC!DA24&gt;預測IC!DA$25,1,0)</f>
        <v>1</v>
      </c>
      <c r="DB24" s="7">
        <f>IF(預測IC!DB24&gt;預測IC!DB$25,1,0)</f>
        <v>0</v>
      </c>
      <c r="DC24" s="7">
        <f>IF(預測IC!DC24&gt;預測IC!DC$25,1,0)</f>
        <v>1</v>
      </c>
      <c r="DD24" s="7">
        <f>IF(預測IC!DD24&gt;預測IC!DD$25,1,0)</f>
        <v>1</v>
      </c>
      <c r="DE24" s="7">
        <f>IF(預測IC!DE24&gt;預測IC!DE$25,1,0)</f>
        <v>0</v>
      </c>
      <c r="DF24" s="7">
        <f>IF(預測IC!DF24&gt;預測IC!DF$25,1,0)</f>
        <v>0</v>
      </c>
      <c r="DG24" s="7">
        <f>IF(預測IC!DG24&gt;預測IC!DG$25,1,0)</f>
        <v>0</v>
      </c>
      <c r="DH24" s="7">
        <f>IF(預測IC!DH24&gt;預測IC!DH$25,1,0)</f>
        <v>0</v>
      </c>
      <c r="DI24" s="7">
        <f>IF(預測IC!DI24&gt;預測IC!DI$25,1,0)</f>
        <v>1</v>
      </c>
      <c r="DJ24" s="7">
        <f>IF(預測IC!DJ24&gt;預測IC!DJ$25,1,0)</f>
        <v>0</v>
      </c>
      <c r="DK24" s="7">
        <f>IF(預測IC!DK24&gt;預測IC!DK$25,1,0)</f>
        <v>1</v>
      </c>
      <c r="DL24" s="7">
        <f>IF(預測IC!DL24&gt;預測IC!DL$25,1,0)</f>
        <v>1</v>
      </c>
      <c r="DM24" s="7">
        <f>IF(預測IC!DM24&gt;預測IC!DM$25,1,0)</f>
        <v>0</v>
      </c>
      <c r="DN24" s="7">
        <f>IF(預測IC!DN24&gt;預測IC!DN$25,1,0)</f>
        <v>1</v>
      </c>
      <c r="DO24" s="7">
        <f>IF(預測IC!DO24&gt;預測IC!DO$25,1,0)</f>
        <v>1</v>
      </c>
      <c r="DP24" s="7">
        <f>IF(預測IC!DP24&gt;預測IC!DP$25,1,0)</f>
        <v>1</v>
      </c>
      <c r="DQ24" s="7">
        <f>IF(預測IC!DQ24&gt;預測IC!DQ$25,1,0)</f>
        <v>0</v>
      </c>
      <c r="DR24" s="7">
        <f>IF(預測IC!DR24&gt;預測IC!DR$25,1,0)</f>
        <v>0</v>
      </c>
      <c r="DS24" s="7">
        <f>IF(預測IC!DS24&gt;預測IC!DS$25,1,0)</f>
        <v>0</v>
      </c>
      <c r="DT24" s="7">
        <f>IF(預測IC!DT24&gt;預測IC!DT$25,1,0)</f>
        <v>0</v>
      </c>
      <c r="DU24" s="7">
        <f>IF(預測IC!DU24&gt;預測IC!DU$25,1,0)</f>
        <v>0</v>
      </c>
      <c r="DV24" s="7">
        <f>IF(預測IC!DV24&gt;預測IC!DV$25,1,0)</f>
        <v>1</v>
      </c>
      <c r="DW24" s="7">
        <f>IF(預測IC!DW24&gt;預測IC!DW$25,1,0)</f>
        <v>1</v>
      </c>
      <c r="DX24" s="7">
        <f>IF(預測IC!DX24&gt;預測IC!DX$25,1,0)</f>
        <v>0</v>
      </c>
      <c r="DY24" s="7">
        <f>IF(預測IC!DY24&gt;預測IC!DY$25,1,0)</f>
        <v>1</v>
      </c>
      <c r="DZ24" s="7">
        <f>IF(預測IC!DZ24&gt;預測IC!DZ$25,1,0)</f>
        <v>0</v>
      </c>
      <c r="EA24" s="7">
        <f>IF(預測IC!EA24&gt;預測IC!EA$25,1,0)</f>
        <v>1</v>
      </c>
      <c r="EB24" s="7">
        <f>IF(預測IC!EB24&gt;預測IC!EB$25,1,0)</f>
        <v>0</v>
      </c>
      <c r="EC24" s="7">
        <f>IF(預測IC!EC24&gt;預測IC!EC$25,1,0)</f>
        <v>1</v>
      </c>
      <c r="ED24" s="7">
        <f>IF(預測IC!ED24&gt;預測IC!ED$25,1,0)</f>
        <v>0</v>
      </c>
      <c r="EE24" s="7">
        <f>IF(預測IC!EE24&gt;預測IC!EE$25,1,0)</f>
        <v>1</v>
      </c>
      <c r="EF24" s="7">
        <f>IF(預測IC!EF24&gt;預測IC!EF$25,1,0)</f>
        <v>1</v>
      </c>
      <c r="EG24">
        <f t="shared" si="10"/>
        <v>79</v>
      </c>
      <c r="EH24" s="11">
        <f t="shared" si="11"/>
        <v>0.58208955223880599</v>
      </c>
    </row>
    <row r="25" spans="1:138" s="12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25"/>
  <sheetViews>
    <sheetView zoomScale="79" workbookViewId="0"/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7" x14ac:dyDescent="0.3">
      <c r="A1" t="str">
        <f>預測IC!A1</f>
        <v>NN5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EG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f>C12+預測IC!D12</f>
        <v>0.10547514201987786</v>
      </c>
      <c r="E12" s="7">
        <f>D12+預測IC!E12</f>
        <v>9.8721113661519935E-2</v>
      </c>
      <c r="F12" s="7">
        <f>E12+預測IC!F12</f>
        <v>7.8852288713613591E-2</v>
      </c>
      <c r="G12" s="7">
        <f>F12+預測IC!G12</f>
        <v>8.6756635459541959E-2</v>
      </c>
      <c r="H12" s="7">
        <f>G12+預測IC!H12</f>
        <v>9.6116019221297616E-2</v>
      </c>
      <c r="I12" s="7">
        <f>H12+預測IC!I12</f>
        <v>0.13241995607034962</v>
      </c>
      <c r="J12" s="7">
        <f>I12+預測IC!J12</f>
        <v>0.17620453481522114</v>
      </c>
      <c r="K12" s="7">
        <f>J12+預測IC!K12</f>
        <v>0.16521613096239904</v>
      </c>
      <c r="L12" s="7">
        <f>K12+預測IC!L12</f>
        <v>0.16293890018143578</v>
      </c>
      <c r="M12" s="7">
        <f>L12+預測IC!M12</f>
        <v>0.14738709598127464</v>
      </c>
      <c r="N12" s="7">
        <f>M12+預測IC!N12</f>
        <v>0.19946120365663375</v>
      </c>
      <c r="O12" s="7">
        <f>N12+預測IC!O12</f>
        <v>0.21809109230261273</v>
      </c>
      <c r="P12" s="7">
        <f>O12+預測IC!P12</f>
        <v>0.19667067109815037</v>
      </c>
      <c r="Q12" s="7">
        <f>P12+預測IC!Q12</f>
        <v>0.16287788697724265</v>
      </c>
      <c r="R12" s="7">
        <f>Q12+預測IC!R12</f>
        <v>0.17627539321717839</v>
      </c>
      <c r="S12" s="7">
        <f>R12+預測IC!S12</f>
        <v>0.10522149612257134</v>
      </c>
      <c r="T12" s="7">
        <f>S12+預測IC!T12</f>
        <v>6.197800730305817E-2</v>
      </c>
      <c r="U12" s="7">
        <f>T12+預測IC!U12</f>
        <v>4.161078674992718E-2</v>
      </c>
      <c r="V12" s="7">
        <f>U12+預測IC!V12</f>
        <v>8.6640777552775897E-2</v>
      </c>
      <c r="W12" s="7">
        <f>V12+預測IC!W12</f>
        <v>0.10891921952608764</v>
      </c>
      <c r="X12" s="7">
        <f>W12+預測IC!X12</f>
        <v>0.15743849430640211</v>
      </c>
      <c r="Y12" s="7">
        <f>X12+預測IC!Y12</f>
        <v>0.14065011705458602</v>
      </c>
      <c r="Z12" s="7">
        <f>Y12+預測IC!Z12</f>
        <v>0.20427380037015999</v>
      </c>
      <c r="AA12" s="7">
        <f>Z12+預測IC!AA12</f>
        <v>0.1648701389690482</v>
      </c>
      <c r="AB12" s="7">
        <f>AA12+預測IC!AB12</f>
        <v>0.19955924952052637</v>
      </c>
      <c r="AC12" s="7">
        <f>AB12+預測IC!AC12</f>
        <v>0.23467401358417278</v>
      </c>
      <c r="AD12" s="7">
        <f>AC12+預測IC!AD12</f>
        <v>0.24052112358340999</v>
      </c>
      <c r="AE12" s="7">
        <f>AD12+預測IC!AE12</f>
        <v>0.20262350005117941</v>
      </c>
      <c r="AF12" s="7">
        <f>AE12+預測IC!AF12</f>
        <v>0.22305565135504435</v>
      </c>
      <c r="AG12" s="7">
        <f>AF12+預測IC!AG12</f>
        <v>0.25303779628776873</v>
      </c>
      <c r="AH12" s="7">
        <f>AG12+預測IC!AH12</f>
        <v>0.26644360093740194</v>
      </c>
      <c r="AI12" s="7">
        <f>AH12+預測IC!AI12</f>
        <v>0.28969006011626652</v>
      </c>
      <c r="AJ12" s="7">
        <f>AI12+預測IC!AJ12</f>
        <v>0.31075232280994008</v>
      </c>
      <c r="AK12" s="7">
        <f>AJ12+預測IC!AK12</f>
        <v>0.35887602696207449</v>
      </c>
      <c r="AL12" s="7">
        <f>AK12+預測IC!AL12</f>
        <v>0.37673502998399655</v>
      </c>
      <c r="AM12" s="7">
        <f>AL12+預測IC!AM12</f>
        <v>0.40682114559659449</v>
      </c>
      <c r="AN12" s="7">
        <f>AM12+預測IC!AN12</f>
        <v>0.47605437991002303</v>
      </c>
      <c r="AO12" s="7">
        <f>AN12+預測IC!AO12</f>
        <v>0.47828317294969608</v>
      </c>
      <c r="AP12" s="7">
        <f>AO12+預測IC!AP12</f>
        <v>0.44456482816784693</v>
      </c>
      <c r="AQ12" s="7">
        <f>AP12+預測IC!AQ12</f>
        <v>0.4369428917792631</v>
      </c>
      <c r="AR12" s="7">
        <f>AQ12+預測IC!AR12</f>
        <v>0.45046915122922948</v>
      </c>
      <c r="AS12" s="7">
        <f>AR12+預測IC!AS12</f>
        <v>0.46956886968393008</v>
      </c>
      <c r="AT12" s="7">
        <f>AS12+預測IC!AT12</f>
        <v>0.48340377439160126</v>
      </c>
      <c r="AU12" s="7">
        <f>AT12+預測IC!AU12</f>
        <v>0.50411243307247666</v>
      </c>
      <c r="AV12" s="7">
        <f>AU12+預測IC!AV12</f>
        <v>0.46275234832745166</v>
      </c>
      <c r="AW12" s="7">
        <f>AV12+預測IC!AW12</f>
        <v>0.46337382534546773</v>
      </c>
      <c r="AX12" s="7">
        <f>AW12+預測IC!AX12</f>
        <v>0.50697229259889054</v>
      </c>
      <c r="AY12" s="7">
        <f>AX12+預測IC!AY12</f>
        <v>0.53192758566656384</v>
      </c>
      <c r="AZ12" s="7">
        <f>AY12+預測IC!AZ12</f>
        <v>0.52962755959490615</v>
      </c>
      <c r="BA12" s="7">
        <f>AZ12+預測IC!BA12</f>
        <v>0.53456544777814796</v>
      </c>
      <c r="BB12" s="7">
        <f>BA12+預測IC!BB12</f>
        <v>0.54984005303060735</v>
      </c>
      <c r="BC12" s="7">
        <f>BB12+預測IC!BC12</f>
        <v>0.56211284206908385</v>
      </c>
      <c r="BD12" s="7">
        <f>BC12+預測IC!BD12</f>
        <v>0.57574339901073646</v>
      </c>
      <c r="BE12" s="7">
        <f>BD12+預測IC!BE12</f>
        <v>0.59435220885012174</v>
      </c>
      <c r="BF12" s="7">
        <f>BE12+預測IC!BF12</f>
        <v>0.66214456133332189</v>
      </c>
      <c r="BG12" s="7">
        <f>BF12+預測IC!BG12</f>
        <v>0.69581542377458472</v>
      </c>
      <c r="BH12" s="7">
        <f>BG12+預測IC!BH12</f>
        <v>0.71003878378590668</v>
      </c>
      <c r="BI12" s="7">
        <f>BH12+預測IC!BI12</f>
        <v>0.76006003681689749</v>
      </c>
      <c r="BJ12" s="7">
        <f>BI12+預測IC!BJ12</f>
        <v>0.75926404349697962</v>
      </c>
      <c r="BK12" s="7">
        <f>BJ12+預測IC!BK12</f>
        <v>0.7379793785368457</v>
      </c>
      <c r="BL12" s="7">
        <f>BK12+預測IC!BL12</f>
        <v>0.76268862436699436</v>
      </c>
      <c r="BM12" s="7">
        <f>BL12+預測IC!BM12</f>
        <v>0.75751953241076453</v>
      </c>
      <c r="BN12" s="7">
        <f>BM12+預測IC!BN12</f>
        <v>0.76903606792286106</v>
      </c>
      <c r="BO12" s="7">
        <f>BN12+預測IC!BO12</f>
        <v>0.79328237817909797</v>
      </c>
      <c r="BP12" s="7">
        <f>BO12+預測IC!BP12</f>
        <v>0.78277339287380387</v>
      </c>
      <c r="BQ12" s="7">
        <f>BP12+預測IC!BQ12</f>
        <v>0.79667014249255053</v>
      </c>
      <c r="BR12" s="7">
        <f>BQ12+預測IC!BR12</f>
        <v>0.7944091340391517</v>
      </c>
      <c r="BS12" s="7">
        <f>BR12+預測IC!BS12</f>
        <v>0.81327242742354766</v>
      </c>
      <c r="BT12" s="7">
        <f>BS12+預測IC!BT12</f>
        <v>0.83530389610099187</v>
      </c>
      <c r="BU12" s="7">
        <f>BT12+預測IC!BU12</f>
        <v>0.84408541324108832</v>
      </c>
      <c r="BV12" s="7">
        <f>BU12+預測IC!BV12</f>
        <v>0.86714786897427931</v>
      </c>
      <c r="BW12" s="7">
        <f>BV12+預測IC!BW12</f>
        <v>0.8376641002547498</v>
      </c>
      <c r="BX12" s="7">
        <f>BW12+預測IC!BX12</f>
        <v>0.8491412622586999</v>
      </c>
      <c r="BY12" s="7">
        <f>BX12+預測IC!BY12</f>
        <v>0.81577046192712843</v>
      </c>
      <c r="BZ12" s="7">
        <f>BY12+預測IC!BZ12</f>
        <v>0.86112740761840145</v>
      </c>
      <c r="CA12" s="7">
        <f>BZ12+預測IC!CA12</f>
        <v>0.82672712017805894</v>
      </c>
      <c r="CB12" s="7">
        <f>CA12+預測IC!CB12</f>
        <v>0.82867036230982183</v>
      </c>
      <c r="CC12" s="7">
        <f>CB12+預測IC!CC12</f>
        <v>0.81189939791571164</v>
      </c>
      <c r="CD12" s="7">
        <f>CC12+預測IC!CD12</f>
        <v>0.92283303150016416</v>
      </c>
      <c r="CE12" s="7">
        <f>CD12+預測IC!CE12</f>
        <v>0.93445243994239335</v>
      </c>
      <c r="CF12" s="7">
        <f>CE12+預測IC!CF12</f>
        <v>0.96222002335616552</v>
      </c>
      <c r="CG12" s="7">
        <f>CF12+預測IC!CG12</f>
        <v>1.0040772574062287</v>
      </c>
      <c r="CH12" s="7">
        <f>CG12+預測IC!CH12</f>
        <v>1.0673746297841886</v>
      </c>
      <c r="CI12" s="7">
        <f>CH12+預測IC!CI12</f>
        <v>1.032718717371983</v>
      </c>
      <c r="CJ12" s="7">
        <f>CI12+預測IC!CJ12</f>
        <v>1.0481638978506718</v>
      </c>
      <c r="CK12" s="7">
        <f>CJ12+預測IC!CK12</f>
        <v>1.0609670420055066</v>
      </c>
      <c r="CL12" s="7">
        <f>CK12+預測IC!CL12</f>
        <v>1.178982649675117</v>
      </c>
      <c r="CM12" s="7">
        <f>CL12+預測IC!CM12</f>
        <v>1.1637629235077762</v>
      </c>
      <c r="CN12" s="7">
        <f>CM12+預測IC!CN12</f>
        <v>1.1366792222932169</v>
      </c>
      <c r="CO12" s="7">
        <f>CN12+預測IC!CO12</f>
        <v>1.1094130954131112</v>
      </c>
      <c r="CP12" s="7">
        <f>CO12+預測IC!CP12</f>
        <v>1.1547121168806049</v>
      </c>
      <c r="CQ12" s="7">
        <f>CP12+預測IC!CQ12</f>
        <v>1.1912843117905385</v>
      </c>
      <c r="CR12" s="7">
        <f>CQ12+預測IC!CR12</f>
        <v>1.1934021902211909</v>
      </c>
      <c r="CS12" s="7">
        <f>CR12+預測IC!CS12</f>
        <v>1.1782005425341453</v>
      </c>
      <c r="CT12" s="7">
        <f>CS12+預測IC!CT12</f>
        <v>1.1773765065106143</v>
      </c>
      <c r="CU12" s="7">
        <f>CT12+預測IC!CU12</f>
        <v>1.2130002221728096</v>
      </c>
      <c r="CV12" s="7">
        <f>CU12+預測IC!CV12</f>
        <v>1.2211128485483467</v>
      </c>
      <c r="CW12" s="7">
        <f>CV12+預測IC!CW12</f>
        <v>1.2266607732928789</v>
      </c>
      <c r="CX12" s="7">
        <f>CW12+預測IC!CX12</f>
        <v>1.2876506558298706</v>
      </c>
      <c r="CY12" s="7">
        <f>CX12+預測IC!CY12</f>
        <v>1.2816677136183801</v>
      </c>
      <c r="CZ12" s="7">
        <f>CY12+預測IC!CZ12</f>
        <v>1.3594600409578808</v>
      </c>
      <c r="DA12" s="7">
        <f>CZ12+預測IC!DA12</f>
        <v>1.3650638250282412</v>
      </c>
      <c r="DB12" s="7">
        <f>DA12+預測IC!DB12</f>
        <v>1.3420819490741143</v>
      </c>
      <c r="DC12" s="7">
        <f>DB12+預測IC!DC12</f>
        <v>1.3760551519488891</v>
      </c>
      <c r="DD12" s="7">
        <f>DC12+預測IC!DD12</f>
        <v>1.4009441300061296</v>
      </c>
      <c r="DE12" s="7">
        <f>DD12+預測IC!DE12</f>
        <v>1.4021422383873507</v>
      </c>
      <c r="DF12" s="7">
        <f>DE12+預測IC!DF12</f>
        <v>1.3953077126513103</v>
      </c>
      <c r="DG12" s="7">
        <f>DF12+預測IC!DG12</f>
        <v>1.3943600037119934</v>
      </c>
      <c r="DH12" s="7">
        <f>DG12+預測IC!DH12</f>
        <v>1.3905373217405608</v>
      </c>
      <c r="DI12" s="7">
        <f>DH12+預測IC!DI12</f>
        <v>1.3360941487484284</v>
      </c>
      <c r="DJ12" s="7">
        <f>DI12+預測IC!DJ12</f>
        <v>1.3441567470031988</v>
      </c>
      <c r="DK12" s="7">
        <f>DJ12+預測IC!DK12</f>
        <v>1.3282107938761825</v>
      </c>
      <c r="DL12" s="7">
        <f>DK12+預測IC!DL12</f>
        <v>1.3278561178535386</v>
      </c>
      <c r="DM12" s="7">
        <f>DL12+預測IC!DM12</f>
        <v>1.3230157686084587</v>
      </c>
      <c r="DN12" s="7">
        <f>DM12+預測IC!DN12</f>
        <v>1.3654261339945235</v>
      </c>
      <c r="DO12" s="7">
        <f>DN12+預測IC!DO12</f>
        <v>1.3880258676748523</v>
      </c>
      <c r="DP12" s="7">
        <f>DO12+預測IC!DP12</f>
        <v>1.4206103172751494</v>
      </c>
      <c r="DQ12" s="7">
        <f>DP12+預測IC!DQ12</f>
        <v>1.3978404523661134</v>
      </c>
      <c r="DR12" s="7">
        <f>DQ12+預測IC!DR12</f>
        <v>1.4166193956455004</v>
      </c>
      <c r="DS12" s="7">
        <f>DR12+預測IC!DS12</f>
        <v>1.3808932401938026</v>
      </c>
      <c r="DT12" s="7">
        <f>DS12+預測IC!DT12</f>
        <v>1.3355953567994021</v>
      </c>
      <c r="DU12" s="7">
        <f>DT12+預測IC!DU12</f>
        <v>1.3493480048857847</v>
      </c>
      <c r="DV12" s="7">
        <f>DU12+預測IC!DV12</f>
        <v>1.3978988293633154</v>
      </c>
      <c r="DW12" s="7">
        <f>DV12+預測IC!DW12</f>
        <v>1.4416243935833528</v>
      </c>
      <c r="DX12" s="7">
        <f>DW12+預測IC!DX12</f>
        <v>1.3914723130409912</v>
      </c>
      <c r="DY12" s="7">
        <f>DX12+預測IC!DY12</f>
        <v>1.4068295831594861</v>
      </c>
      <c r="DZ12" s="7">
        <f>DY12+預測IC!DZ12</f>
        <v>1.4026938576793087</v>
      </c>
      <c r="EA12" s="7">
        <f>DZ12+預測IC!EA12</f>
        <v>1.4666977990025056</v>
      </c>
      <c r="EB12" s="7">
        <f>EA12+預測IC!EB12</f>
        <v>1.4695261257773584</v>
      </c>
      <c r="EC12" s="7">
        <f>EB12+預測IC!EC12</f>
        <v>1.4961776353570237</v>
      </c>
      <c r="ED12" s="7">
        <f>EC12+預測IC!ED12</f>
        <v>1.4356694825485397</v>
      </c>
      <c r="EE12" s="7">
        <f>ED12+預測IC!EE12</f>
        <v>1.4475865788210271</v>
      </c>
      <c r="EF12" s="7">
        <f>EE12+預測IC!EF12</f>
        <v>1.4868199268598228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f>C13+預測IC!D13</f>
        <v>0.13399036085732077</v>
      </c>
      <c r="E13" s="7">
        <f>D13+預測IC!E13</f>
        <v>9.9493741365967725E-2</v>
      </c>
      <c r="F13" s="7">
        <f>E13+預測IC!F13</f>
        <v>6.4571585483313224E-2</v>
      </c>
      <c r="G13" s="7">
        <f>F13+預測IC!G13</f>
        <v>4.9663605726009835E-2</v>
      </c>
      <c r="H13" s="7">
        <f>G13+預測IC!H13</f>
        <v>6.5593990295354954E-2</v>
      </c>
      <c r="I13" s="7">
        <f>H13+預測IC!I13</f>
        <v>9.8276853280077292E-2</v>
      </c>
      <c r="J13" s="7">
        <f>I13+預測IC!J13</f>
        <v>0.13282674524972199</v>
      </c>
      <c r="K13" s="7">
        <f>J13+預測IC!K13</f>
        <v>8.7495755007502979E-2</v>
      </c>
      <c r="L13" s="7">
        <f>K13+預測IC!L13</f>
        <v>5.8360085970057513E-2</v>
      </c>
      <c r="M13" s="7">
        <f>L13+預測IC!M13</f>
        <v>6.6068742232549715E-2</v>
      </c>
      <c r="N13" s="7">
        <f>M13+預測IC!N13</f>
        <v>0.10922069445631657</v>
      </c>
      <c r="O13" s="7">
        <f>N13+預測IC!O13</f>
        <v>0.14549397017623905</v>
      </c>
      <c r="P13" s="7">
        <f>O13+預測IC!P13</f>
        <v>0.1246370571148335</v>
      </c>
      <c r="Q13" s="7">
        <f>P13+預測IC!Q13</f>
        <v>8.0418792886863447E-2</v>
      </c>
      <c r="R13" s="7">
        <f>Q13+預測IC!R13</f>
        <v>8.6908703062937839E-2</v>
      </c>
      <c r="S13" s="7">
        <f>R13+預測IC!S13</f>
        <v>-3.6006594940612757E-2</v>
      </c>
      <c r="T13" s="7">
        <f>S13+預測IC!T13</f>
        <v>-8.8906397849306096E-2</v>
      </c>
      <c r="U13" s="7">
        <f>T13+預測IC!U13</f>
        <v>-0.14306747289100027</v>
      </c>
      <c r="V13" s="7">
        <f>U13+預測IC!V13</f>
        <v>-9.0287733990766617E-2</v>
      </c>
      <c r="W13" s="7">
        <f>V13+預測IC!W13</f>
        <v>-5.9184646106396725E-2</v>
      </c>
      <c r="X13" s="7">
        <f>W13+預測IC!X13</f>
        <v>1.056632266265984E-2</v>
      </c>
      <c r="Y13" s="7">
        <f>X13+預測IC!Y13</f>
        <v>-1.5905560554682681E-2</v>
      </c>
      <c r="Z13" s="7">
        <f>Y13+預測IC!Z13</f>
        <v>6.2518874250500872E-2</v>
      </c>
      <c r="AA13" s="7">
        <f>Z13+預測IC!AA13</f>
        <v>3.0399363912029589E-2</v>
      </c>
      <c r="AB13" s="7">
        <f>AA13+預測IC!AB13</f>
        <v>7.7077584033406865E-2</v>
      </c>
      <c r="AC13" s="7">
        <f>AB13+預測IC!AC13</f>
        <v>9.8949140194784402E-2</v>
      </c>
      <c r="AD13" s="7">
        <f>AC13+預測IC!AD13</f>
        <v>0.10552818539732518</v>
      </c>
      <c r="AE13" s="7">
        <f>AD13+預測IC!AE13</f>
        <v>6.3010973941534015E-2</v>
      </c>
      <c r="AF13" s="7">
        <f>AE13+預測IC!AF13</f>
        <v>9.4951437775835243E-2</v>
      </c>
      <c r="AG13" s="7">
        <f>AF13+預測IC!AG13</f>
        <v>0.12663322083083814</v>
      </c>
      <c r="AH13" s="7">
        <f>AG13+預測IC!AH13</f>
        <v>0.13627456007035454</v>
      </c>
      <c r="AI13" s="7">
        <f>AH13+預測IC!AI13</f>
        <v>0.15618447029076801</v>
      </c>
      <c r="AJ13" s="7">
        <f>AI13+預測IC!AJ13</f>
        <v>0.17607079432194572</v>
      </c>
      <c r="AK13" s="7">
        <f>AJ13+預測IC!AK13</f>
        <v>0.24205870713260172</v>
      </c>
      <c r="AL13" s="7">
        <f>AK13+預測IC!AL13</f>
        <v>0.26521013572777274</v>
      </c>
      <c r="AM13" s="7">
        <f>AL13+預測IC!AM13</f>
        <v>0.31149257926460167</v>
      </c>
      <c r="AN13" s="7">
        <f>AM13+預測IC!AN13</f>
        <v>0.41682281740063576</v>
      </c>
      <c r="AO13" s="7">
        <f>AN13+預測IC!AO13</f>
        <v>0.42613400530005069</v>
      </c>
      <c r="AP13" s="7">
        <f>AO13+預測IC!AP13</f>
        <v>0.36658316493805299</v>
      </c>
      <c r="AQ13" s="7">
        <f>AP13+預測IC!AQ13</f>
        <v>0.36053387616915328</v>
      </c>
      <c r="AR13" s="7">
        <f>AQ13+預測IC!AR13</f>
        <v>0.37122306170508895</v>
      </c>
      <c r="AS13" s="7">
        <f>AR13+預測IC!AS13</f>
        <v>0.41253618018932303</v>
      </c>
      <c r="AT13" s="7">
        <f>AS13+預測IC!AT13</f>
        <v>0.45299926804376278</v>
      </c>
      <c r="AU13" s="7">
        <f>AT13+預測IC!AU13</f>
        <v>0.49397539451974165</v>
      </c>
      <c r="AV13" s="7">
        <f>AU13+預測IC!AV13</f>
        <v>0.48449992188018859</v>
      </c>
      <c r="AW13" s="7">
        <f>AV13+預測IC!AW13</f>
        <v>0.48857993546325201</v>
      </c>
      <c r="AX13" s="7">
        <f>AW13+預測IC!AX13</f>
        <v>0.55573372324636239</v>
      </c>
      <c r="AY13" s="7">
        <f>AX13+預測IC!AY13</f>
        <v>0.5732980695949873</v>
      </c>
      <c r="AZ13" s="7">
        <f>AY13+預測IC!AZ13</f>
        <v>0.56519460212548789</v>
      </c>
      <c r="BA13" s="7">
        <f>AZ13+預測IC!BA13</f>
        <v>0.57173553973254887</v>
      </c>
      <c r="BB13" s="7">
        <f>BA13+預測IC!BB13</f>
        <v>0.61461091422935976</v>
      </c>
      <c r="BC13" s="7">
        <f>BB13+預測IC!BC13</f>
        <v>0.62589468134101744</v>
      </c>
      <c r="BD13" s="7">
        <f>BC13+預測IC!BD13</f>
        <v>0.62923910972469876</v>
      </c>
      <c r="BE13" s="7">
        <f>BD13+預測IC!BE13</f>
        <v>0.65663091603034029</v>
      </c>
      <c r="BF13" s="7">
        <f>BE13+預測IC!BF13</f>
        <v>0.74056033133783705</v>
      </c>
      <c r="BG13" s="7">
        <f>BF13+預測IC!BG13</f>
        <v>0.7871267936765487</v>
      </c>
      <c r="BH13" s="7">
        <f>BG13+預測IC!BH13</f>
        <v>0.79560252348816773</v>
      </c>
      <c r="BI13" s="7">
        <f>BH13+預測IC!BI13</f>
        <v>0.84801165594486916</v>
      </c>
      <c r="BJ13" s="7">
        <f>BI13+預測IC!BJ13</f>
        <v>0.8311645699546043</v>
      </c>
      <c r="BK13" s="7">
        <f>BJ13+預測IC!BK13</f>
        <v>0.81277354507485489</v>
      </c>
      <c r="BL13" s="7">
        <f>BK13+預測IC!BL13</f>
        <v>0.84472140528803008</v>
      </c>
      <c r="BM13" s="7">
        <f>BL13+預測IC!BM13</f>
        <v>0.86164002090691172</v>
      </c>
      <c r="BN13" s="7">
        <f>BM13+預測IC!BN13</f>
        <v>0.87269256278218799</v>
      </c>
      <c r="BO13" s="7">
        <f>BN13+預測IC!BO13</f>
        <v>0.90357127901566214</v>
      </c>
      <c r="BP13" s="7">
        <f>BO13+預測IC!BP13</f>
        <v>0.91300397471031369</v>
      </c>
      <c r="BQ13" s="7">
        <f>BP13+預測IC!BQ13</f>
        <v>0.95465703849973949</v>
      </c>
      <c r="BR13" s="7">
        <f>BQ13+預測IC!BR13</f>
        <v>0.94797562101618205</v>
      </c>
      <c r="BS13" s="7">
        <f>BR13+預測IC!BS13</f>
        <v>0.95539509285640167</v>
      </c>
      <c r="BT13" s="7">
        <f>BS13+預測IC!BT13</f>
        <v>0.99373859847287449</v>
      </c>
      <c r="BU13" s="7">
        <f>BT13+預測IC!BU13</f>
        <v>1.0114451535094282</v>
      </c>
      <c r="BV13" s="7">
        <f>BU13+預測IC!BV13</f>
        <v>1.0320987503856369</v>
      </c>
      <c r="BW13" s="7">
        <f>BV13+預測IC!BW13</f>
        <v>1.033861988196314</v>
      </c>
      <c r="BX13" s="7">
        <f>BW13+預測IC!BX13</f>
        <v>1.0549400557203406</v>
      </c>
      <c r="BY13" s="7">
        <f>BX13+預測IC!BY13</f>
        <v>1.0404276580498502</v>
      </c>
      <c r="BZ13" s="7">
        <f>BY13+預測IC!BZ13</f>
        <v>1.1165657811089003</v>
      </c>
      <c r="CA13" s="7">
        <f>BZ13+預測IC!CA13</f>
        <v>1.0830342155085033</v>
      </c>
      <c r="CB13" s="7">
        <f>CA13+預測IC!CB13</f>
        <v>1.0764383887832831</v>
      </c>
      <c r="CC13" s="7">
        <f>CB13+預測IC!CC13</f>
        <v>1.0639074765706498</v>
      </c>
      <c r="CD13" s="7">
        <f>CC13+預測IC!CD13</f>
        <v>1.1689933094629772</v>
      </c>
      <c r="CE13" s="7">
        <f>CD13+預測IC!CE13</f>
        <v>1.178214293788391</v>
      </c>
      <c r="CF13" s="7">
        <f>CE13+預測IC!CF13</f>
        <v>1.2227285605134603</v>
      </c>
      <c r="CG13" s="7">
        <f>CF13+預測IC!CG13</f>
        <v>1.2631776234824155</v>
      </c>
      <c r="CH13" s="7">
        <f>CG13+預測IC!CH13</f>
        <v>1.3215122353096227</v>
      </c>
      <c r="CI13" s="7">
        <f>CH13+預測IC!CI13</f>
        <v>1.2696587261753594</v>
      </c>
      <c r="CJ13" s="7">
        <f>CI13+預測IC!CJ13</f>
        <v>1.2665526382034082</v>
      </c>
      <c r="CK13" s="7">
        <f>CJ13+預測IC!CK13</f>
        <v>1.2985979074398721</v>
      </c>
      <c r="CL13" s="7">
        <f>CK13+預測IC!CL13</f>
        <v>1.3800512735420529</v>
      </c>
      <c r="CM13" s="7">
        <f>CL13+預測IC!CM13</f>
        <v>1.3697544697856578</v>
      </c>
      <c r="CN13" s="7">
        <f>CM13+預測IC!CN13</f>
        <v>1.3428669037868055</v>
      </c>
      <c r="CO13" s="7">
        <f>CN13+預測IC!CO13</f>
        <v>1.3294094452235781</v>
      </c>
      <c r="CP13" s="7">
        <f>CO13+預測IC!CP13</f>
        <v>1.3991359855013124</v>
      </c>
      <c r="CQ13" s="7">
        <f>CP13+預測IC!CQ13</f>
        <v>1.4373209356974721</v>
      </c>
      <c r="CR13" s="7">
        <f>CQ13+預測IC!CR13</f>
        <v>1.4456007166951206</v>
      </c>
      <c r="CS13" s="7">
        <f>CR13+預測IC!CS13</f>
        <v>1.4564337678103951</v>
      </c>
      <c r="CT13" s="7">
        <f>CS13+預測IC!CT13</f>
        <v>1.4645045671267738</v>
      </c>
      <c r="CU13" s="7">
        <f>CT13+預測IC!CU13</f>
        <v>1.501665969409085</v>
      </c>
      <c r="CV13" s="7">
        <f>CU13+預測IC!CV13</f>
        <v>1.4987126572358271</v>
      </c>
      <c r="CW13" s="7">
        <f>CV13+預測IC!CW13</f>
        <v>1.5046896880920733</v>
      </c>
      <c r="CX13" s="7">
        <f>CW13+預測IC!CX13</f>
        <v>1.5647229433321264</v>
      </c>
      <c r="CY13" s="7">
        <f>CX13+預測IC!CY13</f>
        <v>1.5516042032171138</v>
      </c>
      <c r="CZ13" s="7">
        <f>CY13+預測IC!CZ13</f>
        <v>1.608828423570599</v>
      </c>
      <c r="DA13" s="7">
        <f>CZ13+預測IC!DA13</f>
        <v>1.6032447466447777</v>
      </c>
      <c r="DB13" s="7">
        <f>DA13+預測IC!DB13</f>
        <v>1.5614831769279931</v>
      </c>
      <c r="DC13" s="7">
        <f>DB13+預測IC!DC13</f>
        <v>1.5912587428062861</v>
      </c>
      <c r="DD13" s="7">
        <f>DC13+預測IC!DD13</f>
        <v>1.6019563434070219</v>
      </c>
      <c r="DE13" s="7">
        <f>DD13+預測IC!DE13</f>
        <v>1.6078853005330969</v>
      </c>
      <c r="DF13" s="7">
        <f>DE13+預測IC!DF13</f>
        <v>1.5793665037394622</v>
      </c>
      <c r="DG13" s="7">
        <f>DF13+預測IC!DG13</f>
        <v>1.5777358465665723</v>
      </c>
      <c r="DH13" s="7">
        <f>DG13+預測IC!DH13</f>
        <v>1.5890316144484873</v>
      </c>
      <c r="DI13" s="7">
        <f>DH13+預測IC!DI13</f>
        <v>1.5430545893538103</v>
      </c>
      <c r="DJ13" s="7">
        <f>DI13+預測IC!DJ13</f>
        <v>1.5397228331742996</v>
      </c>
      <c r="DK13" s="7">
        <f>DJ13+預測IC!DK13</f>
        <v>1.5521319073929272</v>
      </c>
      <c r="DL13" s="7">
        <f>DK13+預測IC!DL13</f>
        <v>1.5358316609016127</v>
      </c>
      <c r="DM13" s="7">
        <f>DL13+預測IC!DM13</f>
        <v>1.5291727918531688</v>
      </c>
      <c r="DN13" s="7">
        <f>DM13+預測IC!DN13</f>
        <v>1.5406723697756819</v>
      </c>
      <c r="DO13" s="7">
        <f>DN13+預測IC!DO13</f>
        <v>1.5875637821638136</v>
      </c>
      <c r="DP13" s="7">
        <f>DO13+預測IC!DP13</f>
        <v>1.636350418020083</v>
      </c>
      <c r="DQ13" s="7">
        <f>DP13+預測IC!DQ13</f>
        <v>1.6099203366029542</v>
      </c>
      <c r="DR13" s="7">
        <f>DQ13+預測IC!DR13</f>
        <v>1.6236915458752661</v>
      </c>
      <c r="DS13" s="7">
        <f>DR13+預測IC!DS13</f>
        <v>1.5848039180355962</v>
      </c>
      <c r="DT13" s="7">
        <f>DS13+預測IC!DT13</f>
        <v>1.5493776169879314</v>
      </c>
      <c r="DU13" s="7">
        <f>DT13+預測IC!DU13</f>
        <v>1.5680827806250761</v>
      </c>
      <c r="DV13" s="7">
        <f>DU13+預測IC!DV13</f>
        <v>1.6477029246492647</v>
      </c>
      <c r="DW13" s="7">
        <f>DV13+預測IC!DW13</f>
        <v>1.692120714273615</v>
      </c>
      <c r="DX13" s="7">
        <f>DW13+預測IC!DX13</f>
        <v>1.6275973346951189</v>
      </c>
      <c r="DY13" s="7">
        <f>DX13+預測IC!DY13</f>
        <v>1.6629833793489524</v>
      </c>
      <c r="DZ13" s="7">
        <f>DY13+預測IC!DZ13</f>
        <v>1.6483745648617341</v>
      </c>
      <c r="EA13" s="7">
        <f>DZ13+預測IC!EA13</f>
        <v>1.7216174339044161</v>
      </c>
      <c r="EB13" s="7">
        <f>EA13+預測IC!EB13</f>
        <v>1.7429906521038026</v>
      </c>
      <c r="EC13" s="7">
        <f>EB13+預測IC!EC13</f>
        <v>1.7846504055390315</v>
      </c>
      <c r="ED13" s="7">
        <f>EC13+預測IC!ED13</f>
        <v>1.7189683118797965</v>
      </c>
      <c r="EE13" s="7">
        <f>ED13+預測IC!EE13</f>
        <v>1.726920905454761</v>
      </c>
      <c r="EF13" s="7">
        <f>EE13+預測IC!EF13</f>
        <v>1.7934981208183172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f>C14+預測IC!D14</f>
        <v>0.20328880129600749</v>
      </c>
      <c r="E14" s="7">
        <f>D14+預測IC!E14</f>
        <v>0.15576285802875148</v>
      </c>
      <c r="F14" s="7">
        <f>E14+預測IC!F14</f>
        <v>0.10730871522889163</v>
      </c>
      <c r="G14" s="7">
        <f>F14+預測IC!G14</f>
        <v>6.6288798730966186E-2</v>
      </c>
      <c r="H14" s="7">
        <f>G14+預測IC!H14</f>
        <v>7.3963123002645015E-2</v>
      </c>
      <c r="I14" s="7">
        <f>H14+預測IC!I14</f>
        <v>0.11775048282578732</v>
      </c>
      <c r="J14" s="7">
        <f>I14+預測IC!J14</f>
        <v>0.1410604547906982</v>
      </c>
      <c r="K14" s="7">
        <f>J14+預測IC!K14</f>
        <v>6.8817510766447099E-3</v>
      </c>
      <c r="L14" s="7">
        <f>K14+預測IC!L14</f>
        <v>1.1728948264351516E-2</v>
      </c>
      <c r="M14" s="7">
        <f>L14+預測IC!M14</f>
        <v>1.6723468331139267E-2</v>
      </c>
      <c r="N14" s="7">
        <f>M14+預測IC!N14</f>
        <v>9.9482453025238393E-2</v>
      </c>
      <c r="O14" s="7">
        <f>N14+預測IC!O14</f>
        <v>0.13695824003824489</v>
      </c>
      <c r="P14" s="7">
        <f>O14+預測IC!P14</f>
        <v>7.8612318140003662E-2</v>
      </c>
      <c r="Q14" s="7">
        <f>P14+預測IC!Q14</f>
        <v>-4.5491553031445031E-2</v>
      </c>
      <c r="R14" s="7">
        <f>Q14+預測IC!R14</f>
        <v>-6.1432740328546856E-2</v>
      </c>
      <c r="S14" s="7">
        <f>R14+預測IC!S14</f>
        <v>-0.22732596751325557</v>
      </c>
      <c r="T14" s="7">
        <f>S14+預測IC!T14</f>
        <v>-0.29716744703415143</v>
      </c>
      <c r="U14" s="7">
        <f>T14+預測IC!U14</f>
        <v>-0.40143411166979903</v>
      </c>
      <c r="V14" s="7">
        <f>U14+預測IC!V14</f>
        <v>-0.38134498448442067</v>
      </c>
      <c r="W14" s="7">
        <f>V14+預測IC!W14</f>
        <v>-0.30733682509616767</v>
      </c>
      <c r="X14" s="7">
        <f>W14+預測IC!X14</f>
        <v>-0.19407371678389818</v>
      </c>
      <c r="Y14" s="7">
        <f>X14+預測IC!Y14</f>
        <v>-0.19929359137943009</v>
      </c>
      <c r="Z14" s="7">
        <f>Y14+預測IC!Z14</f>
        <v>-0.16078166509912242</v>
      </c>
      <c r="AA14" s="7">
        <f>Z14+預測IC!AA14</f>
        <v>-0.20023184540120459</v>
      </c>
      <c r="AB14" s="7">
        <f>AA14+預測IC!AB14</f>
        <v>-0.12946246805397438</v>
      </c>
      <c r="AC14" s="7">
        <f>AB14+預測IC!AC14</f>
        <v>-0.14297973685746773</v>
      </c>
      <c r="AD14" s="7">
        <f>AC14+預測IC!AD14</f>
        <v>-0.15589984346868607</v>
      </c>
      <c r="AE14" s="7">
        <f>AD14+預測IC!AE14</f>
        <v>-0.2623119157163637</v>
      </c>
      <c r="AF14" s="7">
        <f>AE14+預測IC!AF14</f>
        <v>-0.2218912131739646</v>
      </c>
      <c r="AG14" s="7">
        <f>AF14+預測IC!AG14</f>
        <v>-0.20137031852740209</v>
      </c>
      <c r="AH14" s="7">
        <f>AG14+預測IC!AH14</f>
        <v>-0.19612004059689606</v>
      </c>
      <c r="AI14" s="7">
        <f>AH14+預測IC!AI14</f>
        <v>-0.18515546991432213</v>
      </c>
      <c r="AJ14" s="7">
        <f>AI14+預測IC!AJ14</f>
        <v>-8.8860493205537919E-2</v>
      </c>
      <c r="AK14" s="7">
        <f>AJ14+預測IC!AK14</f>
        <v>-1.1949062347235917E-2</v>
      </c>
      <c r="AL14" s="7">
        <f>AK14+預測IC!AL14</f>
        <v>2.60201273752248E-2</v>
      </c>
      <c r="AM14" s="7">
        <f>AL14+預測IC!AM14</f>
        <v>8.7262293753850043E-2</v>
      </c>
      <c r="AN14" s="7">
        <f>AM14+預測IC!AN14</f>
        <v>0.18585696052339376</v>
      </c>
      <c r="AO14" s="7">
        <f>AN14+預測IC!AO14</f>
        <v>0.2467626659888037</v>
      </c>
      <c r="AP14" s="7">
        <f>AO14+預測IC!AP14</f>
        <v>0.17678614083671951</v>
      </c>
      <c r="AQ14" s="7">
        <f>AP14+預測IC!AQ14</f>
        <v>0.17641817309895955</v>
      </c>
      <c r="AR14" s="7">
        <f>AQ14+預測IC!AR14</f>
        <v>0.21406401286122245</v>
      </c>
      <c r="AS14" s="7">
        <f>AR14+預測IC!AS14</f>
        <v>0.29944099881426922</v>
      </c>
      <c r="AT14" s="7">
        <f>AS14+預測IC!AT14</f>
        <v>0.3339475784994137</v>
      </c>
      <c r="AU14" s="7">
        <f>AT14+預測IC!AU14</f>
        <v>0.37393922750271752</v>
      </c>
      <c r="AV14" s="7">
        <f>AU14+預測IC!AV14</f>
        <v>0.35525634206910034</v>
      </c>
      <c r="AW14" s="7">
        <f>AV14+預測IC!AW14</f>
        <v>0.33689341056314281</v>
      </c>
      <c r="AX14" s="7">
        <f>AW14+預測IC!AX14</f>
        <v>0.47384443885753552</v>
      </c>
      <c r="AY14" s="7">
        <f>AX14+預測IC!AY14</f>
        <v>0.48891255762929708</v>
      </c>
      <c r="AZ14" s="7">
        <f>AY14+預測IC!AZ14</f>
        <v>0.435563988457141</v>
      </c>
      <c r="BA14" s="7">
        <f>AZ14+預測IC!BA14</f>
        <v>0.45318563400138412</v>
      </c>
      <c r="BB14" s="7">
        <f>BA14+預測IC!BB14</f>
        <v>0.51491991600305898</v>
      </c>
      <c r="BC14" s="7">
        <f>BB14+預測IC!BC14</f>
        <v>0.50509891704778154</v>
      </c>
      <c r="BD14" s="7">
        <f>BC14+預測IC!BD14</f>
        <v>0.5484266987151869</v>
      </c>
      <c r="BE14" s="7">
        <f>BD14+預測IC!BE14</f>
        <v>0.59221376125067393</v>
      </c>
      <c r="BF14" s="7">
        <f>BE14+預測IC!BF14</f>
        <v>0.63298428279636376</v>
      </c>
      <c r="BG14" s="7">
        <f>BF14+預測IC!BG14</f>
        <v>0.6743585468702965</v>
      </c>
      <c r="BH14" s="7">
        <f>BG14+預測IC!BH14</f>
        <v>0.67970130243889715</v>
      </c>
      <c r="BI14" s="7">
        <f>BH14+預測IC!BI14</f>
        <v>0.72988651532975091</v>
      </c>
      <c r="BJ14" s="7">
        <f>BI14+預測IC!BJ14</f>
        <v>0.70986929165851764</v>
      </c>
      <c r="BK14" s="7">
        <f>BJ14+預測IC!BK14</f>
        <v>0.70427554000144477</v>
      </c>
      <c r="BL14" s="7">
        <f>BK14+預測IC!BL14</f>
        <v>0.76401330684381508</v>
      </c>
      <c r="BM14" s="7">
        <f>BL14+預測IC!BM14</f>
        <v>0.80327052205024219</v>
      </c>
      <c r="BN14" s="7">
        <f>BM14+預測IC!BN14</f>
        <v>0.82420706012279354</v>
      </c>
      <c r="BO14" s="7">
        <f>BN14+預測IC!BO14</f>
        <v>0.85781610580005807</v>
      </c>
      <c r="BP14" s="7">
        <f>BO14+預測IC!BP14</f>
        <v>0.87348983929301727</v>
      </c>
      <c r="BQ14" s="7">
        <f>BP14+預測IC!BQ14</f>
        <v>0.88933336316296807</v>
      </c>
      <c r="BR14" s="7">
        <f>BQ14+預測IC!BR14</f>
        <v>0.86140393363035017</v>
      </c>
      <c r="BS14" s="7">
        <f>BR14+預測IC!BS14</f>
        <v>0.8199099784857723</v>
      </c>
      <c r="BT14" s="7">
        <f>BS14+預測IC!BT14</f>
        <v>0.89392294082208368</v>
      </c>
      <c r="BU14" s="7">
        <f>BT14+預測IC!BU14</f>
        <v>0.88506810546405279</v>
      </c>
      <c r="BV14" s="7">
        <f>BU14+預測IC!BV14</f>
        <v>0.91079528748048022</v>
      </c>
      <c r="BW14" s="7">
        <f>BV14+預測IC!BW14</f>
        <v>0.92330323573807349</v>
      </c>
      <c r="BX14" s="7">
        <f>BW14+預測IC!BX14</f>
        <v>0.97827399586002661</v>
      </c>
      <c r="BY14" s="7">
        <f>BX14+預測IC!BY14</f>
        <v>0.97167770249506158</v>
      </c>
      <c r="BZ14" s="7">
        <f>BY14+預測IC!BZ14</f>
        <v>1.0317117593238438</v>
      </c>
      <c r="CA14" s="7">
        <f>BZ14+預測IC!CA14</f>
        <v>1.0072464932089067</v>
      </c>
      <c r="CB14" s="7">
        <f>CA14+預測IC!CB14</f>
        <v>1.0293741097510816</v>
      </c>
      <c r="CC14" s="7">
        <f>CB14+預測IC!CC14</f>
        <v>1.016580028965903</v>
      </c>
      <c r="CD14" s="7">
        <f>CC14+預測IC!CD14</f>
        <v>1.1145967388981008</v>
      </c>
      <c r="CE14" s="7">
        <f>CD14+預測IC!CE14</f>
        <v>1.042440019686403</v>
      </c>
      <c r="CF14" s="7">
        <f>CE14+預測IC!CF14</f>
        <v>1.1347707029684646</v>
      </c>
      <c r="CG14" s="7">
        <f>CF14+預測IC!CG14</f>
        <v>1.1878377312643036</v>
      </c>
      <c r="CH14" s="7">
        <f>CG14+預測IC!CH14</f>
        <v>1.2524991235425207</v>
      </c>
      <c r="CI14" s="7">
        <f>CH14+預測IC!CI14</f>
        <v>1.1466143461791618</v>
      </c>
      <c r="CJ14" s="7">
        <f>CI14+預測IC!CJ14</f>
        <v>1.1179464912349872</v>
      </c>
      <c r="CK14" s="7">
        <f>CJ14+預測IC!CK14</f>
        <v>1.1319628556256334</v>
      </c>
      <c r="CL14" s="7">
        <f>CK14+預測IC!CL14</f>
        <v>1.1942328105044699</v>
      </c>
      <c r="CM14" s="7">
        <f>CL14+預測IC!CM14</f>
        <v>1.2262728208727871</v>
      </c>
      <c r="CN14" s="7">
        <f>CM14+預測IC!CN14</f>
        <v>1.2032461322018611</v>
      </c>
      <c r="CO14" s="7">
        <f>CN14+預測IC!CO14</f>
        <v>1.129658412162968</v>
      </c>
      <c r="CP14" s="7">
        <f>CO14+預測IC!CP14</f>
        <v>1.2294677436447208</v>
      </c>
      <c r="CQ14" s="7">
        <f>CP14+預測IC!CQ14</f>
        <v>1.2826793717363953</v>
      </c>
      <c r="CR14" s="7">
        <f>CQ14+預測IC!CR14</f>
        <v>1.3385885093608967</v>
      </c>
      <c r="CS14" s="7">
        <f>CR14+預測IC!CS14</f>
        <v>1.3976156296245523</v>
      </c>
      <c r="CT14" s="7">
        <f>CS14+預測IC!CT14</f>
        <v>1.4167162061752372</v>
      </c>
      <c r="CU14" s="7">
        <f>CT14+預測IC!CU14</f>
        <v>1.3727991034780225</v>
      </c>
      <c r="CV14" s="7">
        <f>CU14+預測IC!CV14</f>
        <v>1.3955448186162778</v>
      </c>
      <c r="CW14" s="7">
        <f>CV14+預測IC!CW14</f>
        <v>1.3921464361528071</v>
      </c>
      <c r="CX14" s="7">
        <f>CW14+預測IC!CX14</f>
        <v>1.4284458450410462</v>
      </c>
      <c r="CY14" s="7">
        <f>CX14+預測IC!CY14</f>
        <v>1.3996867247495719</v>
      </c>
      <c r="CZ14" s="7">
        <f>CY14+預測IC!CZ14</f>
        <v>1.4637502880999553</v>
      </c>
      <c r="DA14" s="7">
        <f>CZ14+預測IC!DA14</f>
        <v>1.4394459989293709</v>
      </c>
      <c r="DB14" s="7">
        <f>DA14+預測IC!DB14</f>
        <v>1.4158849257411801</v>
      </c>
      <c r="DC14" s="7">
        <f>DB14+預測IC!DC14</f>
        <v>1.4395175349460276</v>
      </c>
      <c r="DD14" s="7">
        <f>DC14+預測IC!DD14</f>
        <v>1.4227589851536111</v>
      </c>
      <c r="DE14" s="7">
        <f>DD14+預測IC!DE14</f>
        <v>1.4281432847613755</v>
      </c>
      <c r="DF14" s="7">
        <f>DE14+預測IC!DF14</f>
        <v>1.3922866542043131</v>
      </c>
      <c r="DG14" s="7">
        <f>DF14+預測IC!DG14</f>
        <v>1.4037332105976303</v>
      </c>
      <c r="DH14" s="7">
        <f>DG14+預測IC!DH14</f>
        <v>1.4085080478405418</v>
      </c>
      <c r="DI14" s="7">
        <f>DH14+預測IC!DI14</f>
        <v>1.3499102281316249</v>
      </c>
      <c r="DJ14" s="7">
        <f>DI14+預測IC!DJ14</f>
        <v>1.3509339523989223</v>
      </c>
      <c r="DK14" s="7">
        <f>DJ14+預測IC!DK14</f>
        <v>1.3700050155165782</v>
      </c>
      <c r="DL14" s="7">
        <f>DK14+預測IC!DL14</f>
        <v>1.3548398539616897</v>
      </c>
      <c r="DM14" s="7">
        <f>DL14+預測IC!DM14</f>
        <v>1.3603441230553401</v>
      </c>
      <c r="DN14" s="7">
        <f>DM14+預測IC!DN14</f>
        <v>1.4030066189486043</v>
      </c>
      <c r="DO14" s="7">
        <f>DN14+預測IC!DO14</f>
        <v>1.4443822641114017</v>
      </c>
      <c r="DP14" s="7">
        <f>DO14+預測IC!DP14</f>
        <v>1.4879219804690538</v>
      </c>
      <c r="DQ14" s="7">
        <f>DP14+預測IC!DQ14</f>
        <v>1.3985541204282419</v>
      </c>
      <c r="DR14" s="7">
        <f>DQ14+預測IC!DR14</f>
        <v>1.4511766398872414</v>
      </c>
      <c r="DS14" s="7">
        <f>DR14+預測IC!DS14</f>
        <v>1.4161317336163246</v>
      </c>
      <c r="DT14" s="7">
        <f>DS14+預測IC!DT14</f>
        <v>1.3716147800188694</v>
      </c>
      <c r="DU14" s="7">
        <f>DT14+預測IC!DU14</f>
        <v>1.3266998313998875</v>
      </c>
      <c r="DV14" s="7">
        <f>DU14+預測IC!DV14</f>
        <v>1.4349621859299948</v>
      </c>
      <c r="DW14" s="7">
        <f>DV14+預測IC!DW14</f>
        <v>1.5333065529477725</v>
      </c>
      <c r="DX14" s="7">
        <f>DW14+預測IC!DX14</f>
        <v>1.4313750473953515</v>
      </c>
      <c r="DY14" s="7">
        <f>DX14+預測IC!DY14</f>
        <v>1.4693721273422</v>
      </c>
      <c r="DZ14" s="7">
        <f>DY14+預測IC!DZ14</f>
        <v>1.4474905540237377</v>
      </c>
      <c r="EA14" s="7">
        <f>DZ14+預測IC!EA14</f>
        <v>1.5255958199116739</v>
      </c>
      <c r="EB14" s="7">
        <f>EA14+預測IC!EB14</f>
        <v>1.5587731530242648</v>
      </c>
      <c r="EC14" s="7">
        <f>EB14+預測IC!EC14</f>
        <v>1.5648525351723979</v>
      </c>
      <c r="ED14" s="7">
        <f>EC14+預測IC!ED14</f>
        <v>1.4622228259862109</v>
      </c>
      <c r="EE14" s="7">
        <f>ED14+預測IC!EE14</f>
        <v>1.4810899828311035</v>
      </c>
      <c r="EF14" s="7">
        <f>EE14+預測IC!EF14</f>
        <v>1.5510464033296616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f>C15+預測IC!D15</f>
        <v>0.24459752356992412</v>
      </c>
      <c r="E15" s="7">
        <f>D15+預測IC!E15</f>
        <v>0.23439909729784061</v>
      </c>
      <c r="F15" s="7">
        <f>E15+預測IC!F15</f>
        <v>0.12583680392465071</v>
      </c>
      <c r="G15" s="7">
        <f>F15+預測IC!G15</f>
        <v>6.5199875253116435E-2</v>
      </c>
      <c r="H15" s="7">
        <f>G15+預測IC!H15</f>
        <v>0.11535769975670951</v>
      </c>
      <c r="I15" s="7">
        <f>H15+預測IC!I15</f>
        <v>0.17378914403657506</v>
      </c>
      <c r="J15" s="7">
        <f>I15+預測IC!J15</f>
        <v>0.2237506092839647</v>
      </c>
      <c r="K15" s="7">
        <f>J15+預測IC!K15</f>
        <v>-6.284401845240592E-2</v>
      </c>
      <c r="L15" s="7">
        <f>K15+預測IC!L15</f>
        <v>-3.0285513295221278E-2</v>
      </c>
      <c r="M15" s="7">
        <f>L15+預測IC!M15</f>
        <v>-4.7878038157340187E-3</v>
      </c>
      <c r="N15" s="7">
        <f>M15+預測IC!N15</f>
        <v>0.11608035034524708</v>
      </c>
      <c r="O15" s="7">
        <f>N15+預測IC!O15</f>
        <v>0.18983769459156169</v>
      </c>
      <c r="P15" s="7">
        <f>O15+預測IC!P15</f>
        <v>0.12572151156989991</v>
      </c>
      <c r="Q15" s="7">
        <f>P15+預測IC!Q15</f>
        <v>-2.9815330537912577E-2</v>
      </c>
      <c r="R15" s="7">
        <f>Q15+預測IC!R15</f>
        <v>-8.1945020643030039E-2</v>
      </c>
      <c r="S15" s="7">
        <f>R15+預測IC!S15</f>
        <v>-0.35195291572518383</v>
      </c>
      <c r="T15" s="7">
        <f>S15+預測IC!T15</f>
        <v>-0.41875304066829594</v>
      </c>
      <c r="U15" s="7">
        <f>T15+預測IC!U15</f>
        <v>-0.55572110233556471</v>
      </c>
      <c r="V15" s="7">
        <f>U15+預測IC!V15</f>
        <v>-0.57285295568367745</v>
      </c>
      <c r="W15" s="7">
        <f>V15+預測IC!W15</f>
        <v>-0.47030936170093435</v>
      </c>
      <c r="X15" s="7">
        <f>W15+預測IC!X15</f>
        <v>-0.34346603023726124</v>
      </c>
      <c r="Y15" s="7">
        <f>X15+預測IC!Y15</f>
        <v>-0.32283605587144143</v>
      </c>
      <c r="Z15" s="7">
        <f>Y15+預測IC!Z15</f>
        <v>-0.27611608381808272</v>
      </c>
      <c r="AA15" s="7">
        <f>Z15+預測IC!AA15</f>
        <v>-0.33019723084611641</v>
      </c>
      <c r="AB15" s="7">
        <f>AA15+預測IC!AB15</f>
        <v>-0.2464970583302859</v>
      </c>
      <c r="AC15" s="7">
        <f>AB15+預測IC!AC15</f>
        <v>-0.23001609212209781</v>
      </c>
      <c r="AD15" s="7">
        <f>AC15+預測IC!AD15</f>
        <v>-0.21107980909127938</v>
      </c>
      <c r="AE15" s="7">
        <f>AD15+預測IC!AE15</f>
        <v>-0.30887749310023049</v>
      </c>
      <c r="AF15" s="7">
        <f>AE15+預測IC!AF15</f>
        <v>-0.24305788060319064</v>
      </c>
      <c r="AG15" s="7">
        <f>AF15+預測IC!AG15</f>
        <v>-0.23293440234153509</v>
      </c>
      <c r="AH15" s="7">
        <f>AG15+預測IC!AH15</f>
        <v>-0.26653877569921158</v>
      </c>
      <c r="AI15" s="7">
        <f>AH15+預測IC!AI15</f>
        <v>-0.19226181548912968</v>
      </c>
      <c r="AJ15" s="7">
        <f>AI15+預測IC!AJ15</f>
        <v>-0.18807738085679654</v>
      </c>
      <c r="AK15" s="7">
        <f>AJ15+預測IC!AK15</f>
        <v>-0.12631776119835161</v>
      </c>
      <c r="AL15" s="7">
        <f>AK15+預測IC!AL15</f>
        <v>-8.1886098702537075E-2</v>
      </c>
      <c r="AM15" s="7">
        <f>AL15+預測IC!AM15</f>
        <v>-2.6763476567909963E-2</v>
      </c>
      <c r="AN15" s="7">
        <f>AM15+預測IC!AN15</f>
        <v>7.4925229344473543E-2</v>
      </c>
      <c r="AO15" s="7">
        <f>AN15+預測IC!AO15</f>
        <v>0.13829504180794064</v>
      </c>
      <c r="AP15" s="7">
        <f>AO15+預測IC!AP15</f>
        <v>6.0009347915186403E-2</v>
      </c>
      <c r="AQ15" s="7">
        <f>AP15+預測IC!AQ15</f>
        <v>2.2642221119064734E-2</v>
      </c>
      <c r="AR15" s="7">
        <f>AQ15+預測IC!AR15</f>
        <v>0.11293607659498141</v>
      </c>
      <c r="AS15" s="7">
        <f>AR15+預測IC!AS15</f>
        <v>0.16675725563209542</v>
      </c>
      <c r="AT15" s="7">
        <f>AS15+預測IC!AT15</f>
        <v>0.23201224628452399</v>
      </c>
      <c r="AU15" s="7">
        <f>AT15+預測IC!AU15</f>
        <v>0.27195550737399032</v>
      </c>
      <c r="AV15" s="7">
        <f>AU15+預測IC!AV15</f>
        <v>0.22472868904655147</v>
      </c>
      <c r="AW15" s="7">
        <f>AV15+預測IC!AW15</f>
        <v>0.24038862830113242</v>
      </c>
      <c r="AX15" s="7">
        <f>AW15+預測IC!AX15</f>
        <v>0.36562260547586761</v>
      </c>
      <c r="AY15" s="7">
        <f>AX15+預測IC!AY15</f>
        <v>0.39363966958590052</v>
      </c>
      <c r="AZ15" s="7">
        <f>AY15+預測IC!AZ15</f>
        <v>0.30231638951739703</v>
      </c>
      <c r="BA15" s="7">
        <f>AZ15+預測IC!BA15</f>
        <v>0.31292990432505002</v>
      </c>
      <c r="BB15" s="7">
        <f>BA15+預測IC!BB15</f>
        <v>0.42565477040386313</v>
      </c>
      <c r="BC15" s="7">
        <f>BB15+預測IC!BC15</f>
        <v>0.48780991407169338</v>
      </c>
      <c r="BD15" s="7">
        <f>BC15+預測IC!BD15</f>
        <v>0.5408531879764894</v>
      </c>
      <c r="BE15" s="7">
        <f>BD15+預測IC!BE15</f>
        <v>0.58929590899415252</v>
      </c>
      <c r="BF15" s="7">
        <f>BE15+預測IC!BF15</f>
        <v>0.63695888845090465</v>
      </c>
      <c r="BG15" s="7">
        <f>BF15+預測IC!BG15</f>
        <v>0.6394484271854699</v>
      </c>
      <c r="BH15" s="7">
        <f>BG15+預測IC!BH15</f>
        <v>0.6738902726671594</v>
      </c>
      <c r="BI15" s="7">
        <f>BH15+預測IC!BI15</f>
        <v>0.74247693178212903</v>
      </c>
      <c r="BJ15" s="7">
        <f>BI15+預測IC!BJ15</f>
        <v>0.73121190469468378</v>
      </c>
      <c r="BK15" s="7">
        <f>BJ15+預測IC!BK15</f>
        <v>0.73203565696248984</v>
      </c>
      <c r="BL15" s="7">
        <f>BK15+預測IC!BL15</f>
        <v>0.79143952830383824</v>
      </c>
      <c r="BM15" s="7">
        <f>BL15+預測IC!BM15</f>
        <v>0.85826434967056742</v>
      </c>
      <c r="BN15" s="7">
        <f>BM15+預測IC!BN15</f>
        <v>0.89840691940375728</v>
      </c>
      <c r="BO15" s="7">
        <f>BN15+預測IC!BO15</f>
        <v>0.92614139535868822</v>
      </c>
      <c r="BP15" s="7">
        <f>BO15+預測IC!BP15</f>
        <v>0.94032561606649301</v>
      </c>
      <c r="BQ15" s="7">
        <f>BP15+預測IC!BQ15</f>
        <v>0.95312854735682073</v>
      </c>
      <c r="BR15" s="7">
        <f>BQ15+預測IC!BR15</f>
        <v>0.90297111823476106</v>
      </c>
      <c r="BS15" s="7">
        <f>BR15+預測IC!BS15</f>
        <v>0.88614734078447477</v>
      </c>
      <c r="BT15" s="7">
        <f>BS15+預測IC!BT15</f>
        <v>0.97520754651580921</v>
      </c>
      <c r="BU15" s="7">
        <f>BT15+預測IC!BU15</f>
        <v>0.99468396631160272</v>
      </c>
      <c r="BV15" s="7">
        <f>BU15+預測IC!BV15</f>
        <v>1.0535989340641514</v>
      </c>
      <c r="BW15" s="7">
        <f>BV15+預測IC!BW15</f>
        <v>1.0176530439347478</v>
      </c>
      <c r="BX15" s="7">
        <f>BW15+預測IC!BX15</f>
        <v>1.0462889390004793</v>
      </c>
      <c r="BY15" s="7">
        <f>BX15+預測IC!BY15</f>
        <v>0.98459484752141946</v>
      </c>
      <c r="BZ15" s="7">
        <f>BY15+預測IC!BZ15</f>
        <v>1.0875013164987668</v>
      </c>
      <c r="CA15" s="7">
        <f>BZ15+預測IC!CA15</f>
        <v>1.0689092957023245</v>
      </c>
      <c r="CB15" s="7">
        <f>CA15+預測IC!CB15</f>
        <v>1.083966189714149</v>
      </c>
      <c r="CC15" s="7">
        <f>CB15+預測IC!CC15</f>
        <v>0.93164792465998758</v>
      </c>
      <c r="CD15" s="7">
        <f>CC15+預測IC!CD15</f>
        <v>1.0518000086230719</v>
      </c>
      <c r="CE15" s="7">
        <f>CD15+預測IC!CE15</f>
        <v>0.93528343955295123</v>
      </c>
      <c r="CF15" s="7">
        <f>CE15+預測IC!CF15</f>
        <v>1.0296400899463714</v>
      </c>
      <c r="CG15" s="7">
        <f>CF15+預測IC!CG15</f>
        <v>1.0253412106930071</v>
      </c>
      <c r="CH15" s="7">
        <f>CG15+預測IC!CH15</f>
        <v>1.0882271689767085</v>
      </c>
      <c r="CI15" s="7">
        <f>CH15+預測IC!CI15</f>
        <v>1.0494287540817278</v>
      </c>
      <c r="CJ15" s="7">
        <f>CI15+預測IC!CJ15</f>
        <v>0.96238439800900966</v>
      </c>
      <c r="CK15" s="7">
        <f>CJ15+預測IC!CK15</f>
        <v>1.0190570437811091</v>
      </c>
      <c r="CL15" s="7">
        <f>CK15+預測IC!CL15</f>
        <v>1.0504790187743573</v>
      </c>
      <c r="CM15" s="7">
        <f>CL15+預測IC!CM15</f>
        <v>1.1251101349028112</v>
      </c>
      <c r="CN15" s="7">
        <f>CM15+預測IC!CN15</f>
        <v>1.0824760191036509</v>
      </c>
      <c r="CO15" s="7">
        <f>CN15+預測IC!CO15</f>
        <v>0.95302699422160941</v>
      </c>
      <c r="CP15" s="7">
        <f>CO15+預測IC!CP15</f>
        <v>1.0805628296545591</v>
      </c>
      <c r="CQ15" s="7">
        <f>CP15+預測IC!CQ15</f>
        <v>1.117940840419688</v>
      </c>
      <c r="CR15" s="7">
        <f>CQ15+預測IC!CR15</f>
        <v>1.1661779107078523</v>
      </c>
      <c r="CS15" s="7">
        <f>CR15+預測IC!CS15</f>
        <v>1.2263630831714469</v>
      </c>
      <c r="CT15" s="7">
        <f>CS15+預測IC!CT15</f>
        <v>1.2337576581469016</v>
      </c>
      <c r="CU15" s="7">
        <f>CT15+預測IC!CU15</f>
        <v>1.1705789982321289</v>
      </c>
      <c r="CV15" s="7">
        <f>CU15+預測IC!CV15</f>
        <v>1.16443715132732</v>
      </c>
      <c r="CW15" s="7">
        <f>CV15+預測IC!CW15</f>
        <v>1.1519524911468797</v>
      </c>
      <c r="CX15" s="7">
        <f>CW15+預測IC!CX15</f>
        <v>1.1759920982002106</v>
      </c>
      <c r="CY15" s="7">
        <f>CX15+預測IC!CY15</f>
        <v>1.1335214251224481</v>
      </c>
      <c r="CZ15" s="7">
        <f>CY15+預測IC!CZ15</f>
        <v>1.2134083730667904</v>
      </c>
      <c r="DA15" s="7">
        <f>CZ15+預測IC!DA15</f>
        <v>1.1870325376249138</v>
      </c>
      <c r="DB15" s="7">
        <f>DA15+預測IC!DB15</f>
        <v>1.15680591941079</v>
      </c>
      <c r="DC15" s="7">
        <f>DB15+預測IC!DC15</f>
        <v>1.1918810693853721</v>
      </c>
      <c r="DD15" s="7">
        <f>DC15+預測IC!DD15</f>
        <v>1.1424873788854875</v>
      </c>
      <c r="DE15" s="7">
        <f>DD15+預測IC!DE15</f>
        <v>1.1674360936305304</v>
      </c>
      <c r="DF15" s="7">
        <f>DE15+預測IC!DF15</f>
        <v>1.1250447872311355</v>
      </c>
      <c r="DG15" s="7">
        <f>DF15+預測IC!DG15</f>
        <v>1.1412415188493767</v>
      </c>
      <c r="DH15" s="7">
        <f>DG15+預測IC!DH15</f>
        <v>1.1225325078054846</v>
      </c>
      <c r="DI15" s="7">
        <f>DH15+預測IC!DI15</f>
        <v>1.1108140587960269</v>
      </c>
      <c r="DJ15" s="7">
        <f>DI15+預測IC!DJ15</f>
        <v>1.0589602057016201</v>
      </c>
      <c r="DK15" s="7">
        <f>DJ15+預測IC!DK15</f>
        <v>1.160735039753088</v>
      </c>
      <c r="DL15" s="7">
        <f>DK15+預測IC!DL15</f>
        <v>1.2233705338415259</v>
      </c>
      <c r="DM15" s="7">
        <f>DL15+預測IC!DM15</f>
        <v>1.1995619869738572</v>
      </c>
      <c r="DN15" s="7">
        <f>DM15+預測IC!DN15</f>
        <v>1.2435584843974767</v>
      </c>
      <c r="DO15" s="7">
        <f>DN15+預測IC!DO15</f>
        <v>1.2898552116312776</v>
      </c>
      <c r="DP15" s="7">
        <f>DO15+預測IC!DP15</f>
        <v>1.3135908136381702</v>
      </c>
      <c r="DQ15" s="7">
        <f>DP15+預測IC!DQ15</f>
        <v>1.2185499061787417</v>
      </c>
      <c r="DR15" s="7">
        <f>DQ15+預測IC!DR15</f>
        <v>1.2885604727966802</v>
      </c>
      <c r="DS15" s="7">
        <f>DR15+預測IC!DS15</f>
        <v>1.2123185643848831</v>
      </c>
      <c r="DT15" s="7">
        <f>DS15+預測IC!DT15</f>
        <v>1.14015493266672</v>
      </c>
      <c r="DU15" s="7">
        <f>DT15+預測IC!DU15</f>
        <v>1.0943842037150393</v>
      </c>
      <c r="DV15" s="7">
        <f>DU15+預測IC!DV15</f>
        <v>1.2341525606559107</v>
      </c>
      <c r="DW15" s="7">
        <f>DV15+預測IC!DW15</f>
        <v>1.2596911878027433</v>
      </c>
      <c r="DX15" s="7">
        <f>DW15+預測IC!DX15</f>
        <v>1.1410749371527569</v>
      </c>
      <c r="DY15" s="7">
        <f>DX15+預測IC!DY15</f>
        <v>1.2476141037537665</v>
      </c>
      <c r="DZ15" s="7">
        <f>DY15+預測IC!DZ15</f>
        <v>1.2286938596843822</v>
      </c>
      <c r="EA15" s="7">
        <f>DZ15+預測IC!EA15</f>
        <v>1.2560325858942218</v>
      </c>
      <c r="EB15" s="7">
        <f>EA15+預測IC!EB15</f>
        <v>1.3045511590254668</v>
      </c>
      <c r="EC15" s="7">
        <f>EB15+預測IC!EC15</f>
        <v>1.3706330150734132</v>
      </c>
      <c r="ED15" s="7">
        <f>EC15+預測IC!ED15</f>
        <v>1.2572759591381018</v>
      </c>
      <c r="EE15" s="7">
        <f>ED15+預測IC!EE15</f>
        <v>1.2410305446020136</v>
      </c>
      <c r="EF15" s="7">
        <f>EE15+預測IC!EF15</f>
        <v>1.3067315357408558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f>C16+預測IC!D16</f>
        <v>0.20715452841561205</v>
      </c>
      <c r="E16" s="7">
        <f>D16+預測IC!E16</f>
        <v>0.20432435180552666</v>
      </c>
      <c r="F16" s="7">
        <f>E16+預測IC!F16</f>
        <v>0.10494185895003957</v>
      </c>
      <c r="G16" s="7">
        <f>F16+預測IC!G16</f>
        <v>3.1245593823115717E-2</v>
      </c>
      <c r="H16" s="7">
        <f>G16+預測IC!H16</f>
        <v>9.2244598440052561E-2</v>
      </c>
      <c r="I16" s="7">
        <f>H16+預測IC!I16</f>
        <v>0.14977521710567399</v>
      </c>
      <c r="J16" s="7">
        <f>I16+預測IC!J16</f>
        <v>0.19648514314834015</v>
      </c>
      <c r="K16" s="7">
        <f>J16+預測IC!K16</f>
        <v>-8.8185407078191946E-2</v>
      </c>
      <c r="L16" s="7">
        <f>K16+預測IC!L16</f>
        <v>-7.8298872490323149E-2</v>
      </c>
      <c r="M16" s="7">
        <f>L16+預測IC!M16</f>
        <v>-3.7964417765082567E-2</v>
      </c>
      <c r="N16" s="7">
        <f>M16+預測IC!N16</f>
        <v>8.770620777766773E-2</v>
      </c>
      <c r="O16" s="7">
        <f>N16+預測IC!O16</f>
        <v>0.16753306834878481</v>
      </c>
      <c r="P16" s="7">
        <f>O16+預測IC!P16</f>
        <v>0.10648783655736251</v>
      </c>
      <c r="Q16" s="7">
        <f>P16+預測IC!Q16</f>
        <v>-5.1415233866975482E-2</v>
      </c>
      <c r="R16" s="7">
        <f>Q16+預測IC!R16</f>
        <v>-0.100406212149902</v>
      </c>
      <c r="S16" s="7">
        <f>R16+預測IC!S16</f>
        <v>-0.38746923254869681</v>
      </c>
      <c r="T16" s="7">
        <f>S16+預測IC!T16</f>
        <v>-0.45468829270629813</v>
      </c>
      <c r="U16" s="7">
        <f>T16+預測IC!U16</f>
        <v>-0.58475076413604266</v>
      </c>
      <c r="V16" s="7">
        <f>U16+預測IC!V16</f>
        <v>-0.59077290946900829</v>
      </c>
      <c r="W16" s="7">
        <f>V16+預測IC!W16</f>
        <v>-0.4891072334211965</v>
      </c>
      <c r="X16" s="7">
        <f>W16+預測IC!X16</f>
        <v>-0.36469744971270968</v>
      </c>
      <c r="Y16" s="7">
        <f>X16+預測IC!Y16</f>
        <v>-0.34451686129307407</v>
      </c>
      <c r="Z16" s="7">
        <f>Y16+預測IC!Z16</f>
        <v>-0.30145893040886235</v>
      </c>
      <c r="AA16" s="7">
        <f>Z16+預測IC!AA16</f>
        <v>-0.34494656624485448</v>
      </c>
      <c r="AB16" s="7">
        <f>AA16+預測IC!AB16</f>
        <v>-0.26996152460687406</v>
      </c>
      <c r="AC16" s="7">
        <f>AB16+預測IC!AC16</f>
        <v>-0.2227352884043135</v>
      </c>
      <c r="AD16" s="7">
        <f>AC16+預測IC!AD16</f>
        <v>-0.22161326255523725</v>
      </c>
      <c r="AE16" s="7">
        <f>AD16+預測IC!AE16</f>
        <v>-0.31811562304384289</v>
      </c>
      <c r="AF16" s="7">
        <f>AE16+預測IC!AF16</f>
        <v>-0.25442978046225373</v>
      </c>
      <c r="AG16" s="7">
        <f>AF16+預測IC!AG16</f>
        <v>-0.24113902742571833</v>
      </c>
      <c r="AH16" s="7">
        <f>AG16+預測IC!AH16</f>
        <v>-0.27290442787515889</v>
      </c>
      <c r="AI16" s="7">
        <f>AH16+預測IC!AI16</f>
        <v>-0.18238177865800403</v>
      </c>
      <c r="AJ16" s="7">
        <f>AI16+預測IC!AJ16</f>
        <v>-0.20001102038103918</v>
      </c>
      <c r="AK16" s="7">
        <f>AJ16+預測IC!AK16</f>
        <v>-0.13558961954866711</v>
      </c>
      <c r="AL16" s="7">
        <f>AK16+預測IC!AL16</f>
        <v>-8.6900686444143865E-2</v>
      </c>
      <c r="AM16" s="7">
        <f>AL16+預測IC!AM16</f>
        <v>-2.0823955842345893E-2</v>
      </c>
      <c r="AN16" s="7">
        <f>AM16+預測IC!AN16</f>
        <v>8.5632244247329709E-2</v>
      </c>
      <c r="AO16" s="7">
        <f>AN16+預測IC!AO16</f>
        <v>0.14705691607324203</v>
      </c>
      <c r="AP16" s="7">
        <f>AO16+預測IC!AP16</f>
        <v>6.9258547927653513E-2</v>
      </c>
      <c r="AQ16" s="7">
        <f>AP16+預測IC!AQ16</f>
        <v>3.0792347781584906E-2</v>
      </c>
      <c r="AR16" s="7">
        <f>AQ16+預測IC!AR16</f>
        <v>0.13408352684207731</v>
      </c>
      <c r="AS16" s="7">
        <f>AR16+預測IC!AS16</f>
        <v>0.19915175231604665</v>
      </c>
      <c r="AT16" s="7">
        <f>AS16+預測IC!AT16</f>
        <v>0.24869890763441665</v>
      </c>
      <c r="AU16" s="7">
        <f>AT16+預測IC!AU16</f>
        <v>0.29052574588931179</v>
      </c>
      <c r="AV16" s="7">
        <f>AU16+預測IC!AV16</f>
        <v>0.2814532391092931</v>
      </c>
      <c r="AW16" s="7">
        <f>AV16+預測IC!AW16</f>
        <v>0.32070616918394373</v>
      </c>
      <c r="AX16" s="7">
        <f>AW16+預測IC!AX16</f>
        <v>0.42153594242791664</v>
      </c>
      <c r="AY16" s="7">
        <f>AX16+預測IC!AY16</f>
        <v>0.45534853227226257</v>
      </c>
      <c r="AZ16" s="7">
        <f>AY16+預測IC!AZ16</f>
        <v>0.35043889709355036</v>
      </c>
      <c r="BA16" s="7">
        <f>AZ16+預測IC!BA16</f>
        <v>0.36536200215113646</v>
      </c>
      <c r="BB16" s="7">
        <f>BA16+預測IC!BB16</f>
        <v>0.47340092630387454</v>
      </c>
      <c r="BC16" s="7">
        <f>BB16+預測IC!BC16</f>
        <v>0.54052239241156641</v>
      </c>
      <c r="BD16" s="7">
        <f>BC16+預測IC!BD16</f>
        <v>0.57645910395747046</v>
      </c>
      <c r="BE16" s="7">
        <f>BD16+預測IC!BE16</f>
        <v>0.6278700983519454</v>
      </c>
      <c r="BF16" s="7">
        <f>BE16+預測IC!BF16</f>
        <v>0.69213815267166368</v>
      </c>
      <c r="BG16" s="7">
        <f>BF16+預測IC!BG16</f>
        <v>0.70561143471962029</v>
      </c>
      <c r="BH16" s="7">
        <f>BG16+預測IC!BH16</f>
        <v>0.69183582023565848</v>
      </c>
      <c r="BI16" s="7">
        <f>BH16+預測IC!BI16</f>
        <v>0.73327962799892032</v>
      </c>
      <c r="BJ16" s="7">
        <f>BI16+預測IC!BJ16</f>
        <v>0.71277581171571269</v>
      </c>
      <c r="BK16" s="7">
        <f>BJ16+預測IC!BK16</f>
        <v>0.71574780201090971</v>
      </c>
      <c r="BL16" s="7">
        <f>BK16+預測IC!BL16</f>
        <v>0.78637136771843286</v>
      </c>
      <c r="BM16" s="7">
        <f>BL16+預測IC!BM16</f>
        <v>0.86789524276039787</v>
      </c>
      <c r="BN16" s="7">
        <f>BM16+預測IC!BN16</f>
        <v>0.91580107536442512</v>
      </c>
      <c r="BO16" s="7">
        <f>BN16+預測IC!BO16</f>
        <v>0.93769143531808286</v>
      </c>
      <c r="BP16" s="7">
        <f>BO16+預測IC!BP16</f>
        <v>0.95853461886566338</v>
      </c>
      <c r="BQ16" s="7">
        <f>BP16+預測IC!BQ16</f>
        <v>0.975012635120592</v>
      </c>
      <c r="BR16" s="7">
        <f>BQ16+預測IC!BR16</f>
        <v>0.94871578709914761</v>
      </c>
      <c r="BS16" s="7">
        <f>BR16+預測IC!BS16</f>
        <v>0.93552421395168339</v>
      </c>
      <c r="BT16" s="7">
        <f>BS16+預測IC!BT16</f>
        <v>1.0210074052194831</v>
      </c>
      <c r="BU16" s="7">
        <f>BT16+預測IC!BU16</f>
        <v>1.0787725154042835</v>
      </c>
      <c r="BV16" s="7">
        <f>BU16+預測IC!BV16</f>
        <v>1.1394837548511243</v>
      </c>
      <c r="BW16" s="7">
        <f>BV16+預測IC!BW16</f>
        <v>1.0737428274245897</v>
      </c>
      <c r="BX16" s="7">
        <f>BW16+預測IC!BX16</f>
        <v>1.1053020649457206</v>
      </c>
      <c r="BY16" s="7">
        <f>BX16+預測IC!BY16</f>
        <v>1.0547383320984776</v>
      </c>
      <c r="BZ16" s="7">
        <f>BY16+預測IC!BZ16</f>
        <v>1.1662641806001268</v>
      </c>
      <c r="CA16" s="7">
        <f>BZ16+預測IC!CA16</f>
        <v>1.1365497908445636</v>
      </c>
      <c r="CB16" s="7">
        <f>CA16+預測IC!CB16</f>
        <v>1.1351217458553464</v>
      </c>
      <c r="CC16" s="7">
        <f>CB16+預測IC!CC16</f>
        <v>0.97604923137141197</v>
      </c>
      <c r="CD16" s="7">
        <f>CC16+預測IC!CD16</f>
        <v>1.1311205029977738</v>
      </c>
      <c r="CE16" s="7">
        <f>CD16+預測IC!CE16</f>
        <v>0.99852544220426243</v>
      </c>
      <c r="CF16" s="7">
        <f>CE16+預測IC!CF16</f>
        <v>1.1037267062140135</v>
      </c>
      <c r="CG16" s="7">
        <f>CF16+預測IC!CG16</f>
        <v>1.0983481871826835</v>
      </c>
      <c r="CH16" s="7">
        <f>CG16+預測IC!CH16</f>
        <v>1.1400456018857106</v>
      </c>
      <c r="CI16" s="7">
        <f>CH16+預測IC!CI16</f>
        <v>1.1013357200571932</v>
      </c>
      <c r="CJ16" s="7">
        <f>CI16+預測IC!CJ16</f>
        <v>1.0558121692695266</v>
      </c>
      <c r="CK16" s="7">
        <f>CJ16+預測IC!CK16</f>
        <v>1.1322851529872169</v>
      </c>
      <c r="CL16" s="7">
        <f>CK16+預測IC!CL16</f>
        <v>1.1481638353219261</v>
      </c>
      <c r="CM16" s="7">
        <f>CL16+預測IC!CM16</f>
        <v>1.2371524634714377</v>
      </c>
      <c r="CN16" s="7">
        <f>CM16+預測IC!CN16</f>
        <v>1.2040949483304877</v>
      </c>
      <c r="CO16" s="7">
        <f>CN16+預測IC!CO16</f>
        <v>1.0216429937906584</v>
      </c>
      <c r="CP16" s="7">
        <f>CO16+預測IC!CP16</f>
        <v>1.1582746832727497</v>
      </c>
      <c r="CQ16" s="7">
        <f>CP16+預測IC!CQ16</f>
        <v>1.1997102889321603</v>
      </c>
      <c r="CR16" s="7">
        <f>CQ16+預測IC!CR16</f>
        <v>1.2480100556154767</v>
      </c>
      <c r="CS16" s="7">
        <f>CR16+預測IC!CS16</f>
        <v>1.3145692154895505</v>
      </c>
      <c r="CT16" s="7">
        <f>CS16+預測IC!CT16</f>
        <v>1.3196366219903914</v>
      </c>
      <c r="CU16" s="7">
        <f>CT16+預測IC!CU16</f>
        <v>1.2562019676314167</v>
      </c>
      <c r="CV16" s="7">
        <f>CU16+預測IC!CV16</f>
        <v>1.2394508835506959</v>
      </c>
      <c r="CW16" s="7">
        <f>CV16+預測IC!CW16</f>
        <v>1.2302567240180742</v>
      </c>
      <c r="CX16" s="7">
        <f>CW16+預測IC!CX16</f>
        <v>1.2424970087723242</v>
      </c>
      <c r="CY16" s="7">
        <f>CX16+預測IC!CY16</f>
        <v>1.1933799596556987</v>
      </c>
      <c r="CZ16" s="7">
        <f>CY16+預測IC!CZ16</f>
        <v>1.2960132188338311</v>
      </c>
      <c r="DA16" s="7">
        <f>CZ16+預測IC!DA16</f>
        <v>1.2662084248665957</v>
      </c>
      <c r="DB16" s="7">
        <f>DA16+預測IC!DB16</f>
        <v>1.2234962550863697</v>
      </c>
      <c r="DC16" s="7">
        <f>DB16+預測IC!DC16</f>
        <v>1.26643861740687</v>
      </c>
      <c r="DD16" s="7">
        <f>DC16+預測IC!DD16</f>
        <v>1.1963676823495124</v>
      </c>
      <c r="DE16" s="7">
        <f>DD16+預測IC!DE16</f>
        <v>1.2308120546907411</v>
      </c>
      <c r="DF16" s="7">
        <f>DE16+預測IC!DF16</f>
        <v>1.207665621465182</v>
      </c>
      <c r="DG16" s="7">
        <f>DF16+預測IC!DG16</f>
        <v>1.2221185690966205</v>
      </c>
      <c r="DH16" s="7">
        <f>DG16+預測IC!DH16</f>
        <v>1.2029892256786494</v>
      </c>
      <c r="DI16" s="7">
        <f>DH16+預測IC!DI16</f>
        <v>1.1897557999661272</v>
      </c>
      <c r="DJ16" s="7">
        <f>DI16+預測IC!DJ16</f>
        <v>1.1606143938854976</v>
      </c>
      <c r="DK16" s="7">
        <f>DJ16+預測IC!DK16</f>
        <v>1.2942087505110782</v>
      </c>
      <c r="DL16" s="7">
        <f>DK16+預測IC!DL16</f>
        <v>1.3593217866397231</v>
      </c>
      <c r="DM16" s="7">
        <f>DL16+預測IC!DM16</f>
        <v>1.3289908368813821</v>
      </c>
      <c r="DN16" s="7">
        <f>DM16+預測IC!DN16</f>
        <v>1.3714286902407893</v>
      </c>
      <c r="DO16" s="7">
        <f>DN16+預測IC!DO16</f>
        <v>1.424650597796933</v>
      </c>
      <c r="DP16" s="7">
        <f>DO16+預測IC!DP16</f>
        <v>1.4444925463761591</v>
      </c>
      <c r="DQ16" s="7">
        <f>DP16+預測IC!DQ16</f>
        <v>1.3614588882991425</v>
      </c>
      <c r="DR16" s="7">
        <f>DQ16+預測IC!DR16</f>
        <v>1.4166501399486577</v>
      </c>
      <c r="DS16" s="7">
        <f>DR16+預測IC!DS16</f>
        <v>1.3228980749589034</v>
      </c>
      <c r="DT16" s="7">
        <f>DS16+預測IC!DT16</f>
        <v>1.2223639471344379</v>
      </c>
      <c r="DU16" s="7">
        <f>DT16+預測IC!DU16</f>
        <v>1.1578902133648992</v>
      </c>
      <c r="DV16" s="7">
        <f>DU16+預測IC!DV16</f>
        <v>1.2948439453826928</v>
      </c>
      <c r="DW16" s="7">
        <f>DV16+預測IC!DW16</f>
        <v>1.3357616750823835</v>
      </c>
      <c r="DX16" s="7">
        <f>DW16+預測IC!DX16</f>
        <v>1.210476968758406</v>
      </c>
      <c r="DY16" s="7">
        <f>DX16+預測IC!DY16</f>
        <v>1.3268313036687491</v>
      </c>
      <c r="DZ16" s="7">
        <f>DY16+預測IC!DZ16</f>
        <v>1.2955542238440727</v>
      </c>
      <c r="EA16" s="7">
        <f>DZ16+預測IC!EA16</f>
        <v>1.3422155953997996</v>
      </c>
      <c r="EB16" s="7">
        <f>EA16+預測IC!EB16</f>
        <v>1.4208262341429332</v>
      </c>
      <c r="EC16" s="7">
        <f>EB16+預測IC!EC16</f>
        <v>1.484358300777503</v>
      </c>
      <c r="ED16" s="7">
        <f>EC16+預測IC!ED16</f>
        <v>1.3689415532785818</v>
      </c>
      <c r="EE16" s="7">
        <f>ED16+預測IC!EE16</f>
        <v>1.3458508417539703</v>
      </c>
      <c r="EF16" s="7">
        <f>EE16+預測IC!EF16</f>
        <v>1.3883252432478774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f>C17+預測IC!D17</f>
        <v>0.1887578136461181</v>
      </c>
      <c r="E17" s="7">
        <f>D17+預測IC!E17</f>
        <v>0.19613681514141945</v>
      </c>
      <c r="F17" s="7">
        <f>E17+預測IC!F17</f>
        <v>8.3299300024123751E-2</v>
      </c>
      <c r="G17" s="7">
        <f>F17+預測IC!G17</f>
        <v>1.2076533145941981E-2</v>
      </c>
      <c r="H17" s="7">
        <f>G17+預測IC!H17</f>
        <v>8.876435470855884E-2</v>
      </c>
      <c r="I17" s="7">
        <f>H17+預測IC!I17</f>
        <v>0.20248938251074633</v>
      </c>
      <c r="J17" s="7">
        <f>I17+預測IC!J17</f>
        <v>0.24434777762897553</v>
      </c>
      <c r="K17" s="7">
        <f>J17+預測IC!K17</f>
        <v>-5.2478773471586859E-2</v>
      </c>
      <c r="L17" s="7">
        <f>K17+預測IC!L17</f>
        <v>-4.2767883963428857E-2</v>
      </c>
      <c r="M17" s="7">
        <f>L17+預測IC!M17</f>
        <v>2.2164151020057324E-2</v>
      </c>
      <c r="N17" s="7">
        <f>M17+預測IC!N17</f>
        <v>0.15811258307284254</v>
      </c>
      <c r="O17" s="7">
        <f>N17+預測IC!O17</f>
        <v>0.25933935234517824</v>
      </c>
      <c r="P17" s="7">
        <f>O17+預測IC!P17</f>
        <v>0.19299998320634723</v>
      </c>
      <c r="Q17" s="7">
        <f>P17+預測IC!Q17</f>
        <v>3.1198688591220325E-2</v>
      </c>
      <c r="R17" s="7">
        <f>Q17+預測IC!R17</f>
        <v>-2.0858920313306883E-2</v>
      </c>
      <c r="S17" s="7">
        <f>R17+預測IC!S17</f>
        <v>-0.3315123529686051</v>
      </c>
      <c r="T17" s="7">
        <f>S17+預測IC!T17</f>
        <v>-0.40271436750141215</v>
      </c>
      <c r="U17" s="7">
        <f>T17+預測IC!U17</f>
        <v>-0.54398551003996909</v>
      </c>
      <c r="V17" s="7">
        <f>U17+預測IC!V17</f>
        <v>-0.53997432021027059</v>
      </c>
      <c r="W17" s="7">
        <f>V17+預測IC!W17</f>
        <v>-0.4203703361979631</v>
      </c>
      <c r="X17" s="7">
        <f>W17+預測IC!X17</f>
        <v>-0.30352413825715951</v>
      </c>
      <c r="Y17" s="7">
        <f>X17+預測IC!Y17</f>
        <v>-0.28059612719450466</v>
      </c>
      <c r="Z17" s="7">
        <f>Y17+預測IC!Z17</f>
        <v>-0.22672763790363887</v>
      </c>
      <c r="AA17" s="7">
        <f>Z17+預測IC!AA17</f>
        <v>-0.26193742748583798</v>
      </c>
      <c r="AB17" s="7">
        <f>AA17+預測IC!AB17</f>
        <v>-0.17708536460766566</v>
      </c>
      <c r="AC17" s="7">
        <f>AB17+預測IC!AC17</f>
        <v>-0.11835667431717187</v>
      </c>
      <c r="AD17" s="7">
        <f>AC17+預測IC!AD17</f>
        <v>-9.6443830143531264E-2</v>
      </c>
      <c r="AE17" s="7">
        <f>AD17+預測IC!AE17</f>
        <v>-0.22360225259075628</v>
      </c>
      <c r="AF17" s="7">
        <f>AE17+預測IC!AF17</f>
        <v>-0.16217294246881614</v>
      </c>
      <c r="AG17" s="7">
        <f>AF17+預測IC!AG17</f>
        <v>-0.13943196168102595</v>
      </c>
      <c r="AH17" s="7">
        <f>AG17+預測IC!AH17</f>
        <v>-0.1749045808539148</v>
      </c>
      <c r="AI17" s="7">
        <f>AH17+預測IC!AI17</f>
        <v>-6.004013545562821E-2</v>
      </c>
      <c r="AJ17" s="7">
        <f>AI17+預測IC!AJ17</f>
        <v>-8.224759498037465E-2</v>
      </c>
      <c r="AK17" s="7">
        <f>AJ17+預測IC!AK17</f>
        <v>-8.5313202413382083E-3</v>
      </c>
      <c r="AL17" s="7">
        <f>AK17+預測IC!AL17</f>
        <v>4.21930855072183E-2</v>
      </c>
      <c r="AM17" s="7">
        <f>AL17+預測IC!AM17</f>
        <v>0.11756245309487527</v>
      </c>
      <c r="AN17" s="7">
        <f>AM17+預測IC!AN17</f>
        <v>0.23084957344079299</v>
      </c>
      <c r="AO17" s="7">
        <f>AN17+預測IC!AO17</f>
        <v>0.24348190803651718</v>
      </c>
      <c r="AP17" s="7">
        <f>AO17+預測IC!AP17</f>
        <v>0.16623909361693168</v>
      </c>
      <c r="AQ17" s="7">
        <f>AP17+預測IC!AQ17</f>
        <v>0.10571195621543264</v>
      </c>
      <c r="AR17" s="7">
        <f>AQ17+預測IC!AR17</f>
        <v>0.21964266611024993</v>
      </c>
      <c r="AS17" s="7">
        <f>AR17+預測IC!AS17</f>
        <v>0.27596622814472566</v>
      </c>
      <c r="AT17" s="7">
        <f>AS17+預測IC!AT17</f>
        <v>0.32823403459444789</v>
      </c>
      <c r="AU17" s="7">
        <f>AT17+預測IC!AU17</f>
        <v>0.38278954188113568</v>
      </c>
      <c r="AV17" s="7">
        <f>AU17+預測IC!AV17</f>
        <v>0.36158363909886732</v>
      </c>
      <c r="AW17" s="7">
        <f>AV17+預測IC!AW17</f>
        <v>0.37000552714070412</v>
      </c>
      <c r="AX17" s="7">
        <f>AW17+預測IC!AX17</f>
        <v>0.46624608564950309</v>
      </c>
      <c r="AY17" s="7">
        <f>AX17+預測IC!AY17</f>
        <v>0.493669782340104</v>
      </c>
      <c r="AZ17" s="7">
        <f>AY17+預測IC!AZ17</f>
        <v>0.36851218007991293</v>
      </c>
      <c r="BA17" s="7">
        <f>AZ17+預測IC!BA17</f>
        <v>0.37833735918702588</v>
      </c>
      <c r="BB17" s="7">
        <f>BA17+預測IC!BB17</f>
        <v>0.50210142230087029</v>
      </c>
      <c r="BC17" s="7">
        <f>BB17+預測IC!BC17</f>
        <v>0.58596461747868389</v>
      </c>
      <c r="BD17" s="7">
        <f>BC17+預測IC!BD17</f>
        <v>0.60832109972488868</v>
      </c>
      <c r="BE17" s="7">
        <f>BD17+預測IC!BE17</f>
        <v>0.6856713419629491</v>
      </c>
      <c r="BF17" s="7">
        <f>BE17+預測IC!BF17</f>
        <v>0.74086883857190278</v>
      </c>
      <c r="BG17" s="7">
        <f>BF17+預測IC!BG17</f>
        <v>0.70547460248386551</v>
      </c>
      <c r="BH17" s="7">
        <f>BG17+預測IC!BH17</f>
        <v>0.71899406333561855</v>
      </c>
      <c r="BI17" s="7">
        <f>BH17+預測IC!BI17</f>
        <v>0.80610600877556582</v>
      </c>
      <c r="BJ17" s="7">
        <f>BI17+預測IC!BJ17</f>
        <v>0.79624794450232939</v>
      </c>
      <c r="BK17" s="7">
        <f>BJ17+預測IC!BK17</f>
        <v>0.78242499243222385</v>
      </c>
      <c r="BL17" s="7">
        <f>BK17+預測IC!BL17</f>
        <v>0.85990795923217</v>
      </c>
      <c r="BM17" s="7">
        <f>BL17+預測IC!BM17</f>
        <v>0.93590572967802999</v>
      </c>
      <c r="BN17" s="7">
        <f>BM17+預測IC!BN17</f>
        <v>0.982821255271908</v>
      </c>
      <c r="BO17" s="7">
        <f>BN17+預測IC!BO17</f>
        <v>1.0180008706886317</v>
      </c>
      <c r="BP17" s="7">
        <f>BO17+預測IC!BP17</f>
        <v>1.0539968503431125</v>
      </c>
      <c r="BQ17" s="7">
        <f>BP17+預測IC!BQ17</f>
        <v>1.0653733607895641</v>
      </c>
      <c r="BR17" s="7">
        <f>BQ17+預測IC!BR17</f>
        <v>1.0557269856648142</v>
      </c>
      <c r="BS17" s="7">
        <f>BR17+預測IC!BS17</f>
        <v>1.0516235165542076</v>
      </c>
      <c r="BT17" s="7">
        <f>BS17+預測IC!BT17</f>
        <v>1.1610398954246308</v>
      </c>
      <c r="BU17" s="7">
        <f>BT17+預測IC!BU17</f>
        <v>1.2321677141753833</v>
      </c>
      <c r="BV17" s="7">
        <f>BU17+預測IC!BV17</f>
        <v>1.3023780171950117</v>
      </c>
      <c r="BW17" s="7">
        <f>BV17+預測IC!BW17</f>
        <v>1.2219463045957457</v>
      </c>
      <c r="BX17" s="7">
        <f>BW17+預測IC!BX17</f>
        <v>1.2507692692154184</v>
      </c>
      <c r="BY17" s="7">
        <f>BX17+預測IC!BY17</f>
        <v>1.1665238015867241</v>
      </c>
      <c r="BZ17" s="7">
        <f>BY17+預測IC!BZ17</f>
        <v>1.2871019574678093</v>
      </c>
      <c r="CA17" s="7">
        <f>BZ17+預測IC!CA17</f>
        <v>1.2591671251093197</v>
      </c>
      <c r="CB17" s="7">
        <f>CA17+預測IC!CB17</f>
        <v>1.2486894176173271</v>
      </c>
      <c r="CC17" s="7">
        <f>CB17+預測IC!CC17</f>
        <v>1.0737314436276462</v>
      </c>
      <c r="CD17" s="7">
        <f>CC17+預測IC!CD17</f>
        <v>1.2466911848467948</v>
      </c>
      <c r="CE17" s="7">
        <f>CD17+預測IC!CE17</f>
        <v>1.0715749393407432</v>
      </c>
      <c r="CF17" s="7">
        <f>CE17+預測IC!CF17</f>
        <v>1.1703211367669417</v>
      </c>
      <c r="CG17" s="7">
        <f>CF17+預測IC!CG17</f>
        <v>1.1547940316918646</v>
      </c>
      <c r="CH17" s="7">
        <f>CG17+預測IC!CH17</f>
        <v>1.2134304782989145</v>
      </c>
      <c r="CI17" s="7">
        <f>CH17+預測IC!CI17</f>
        <v>1.1988992933093259</v>
      </c>
      <c r="CJ17" s="7">
        <f>CI17+預測IC!CJ17</f>
        <v>1.1481569718248839</v>
      </c>
      <c r="CK17" s="7">
        <f>CJ17+預測IC!CK17</f>
        <v>1.2398955444827968</v>
      </c>
      <c r="CL17" s="7">
        <f>CK17+預測IC!CL17</f>
        <v>1.2304691997137656</v>
      </c>
      <c r="CM17" s="7">
        <f>CL17+預測IC!CM17</f>
        <v>1.3650385441453399</v>
      </c>
      <c r="CN17" s="7">
        <f>CM17+預測IC!CN17</f>
        <v>1.3383204829943529</v>
      </c>
      <c r="CO17" s="7">
        <f>CN17+預測IC!CO17</f>
        <v>1.1357818557313635</v>
      </c>
      <c r="CP17" s="7">
        <f>CO17+預測IC!CP17</f>
        <v>1.2839411249287072</v>
      </c>
      <c r="CQ17" s="7">
        <f>CP17+預測IC!CQ17</f>
        <v>1.3250290581121105</v>
      </c>
      <c r="CR17" s="7">
        <f>CQ17+預測IC!CR17</f>
        <v>1.3757055488143337</v>
      </c>
      <c r="CS17" s="7">
        <f>CR17+預測IC!CS17</f>
        <v>1.4725471801139034</v>
      </c>
      <c r="CT17" s="7">
        <f>CS17+預測IC!CT17</f>
        <v>1.5218072365030966</v>
      </c>
      <c r="CU17" s="7">
        <f>CT17+預測IC!CU17</f>
        <v>1.4473989289198426</v>
      </c>
      <c r="CV17" s="7">
        <f>CU17+預測IC!CV17</f>
        <v>1.45127853685977</v>
      </c>
      <c r="CW17" s="7">
        <f>CV17+預測IC!CW17</f>
        <v>1.4315166829504171</v>
      </c>
      <c r="CX17" s="7">
        <f>CW17+預測IC!CX17</f>
        <v>1.4422890774743649</v>
      </c>
      <c r="CY17" s="7">
        <f>CX17+預測IC!CY17</f>
        <v>1.3929057787582748</v>
      </c>
      <c r="CZ17" s="7">
        <f>CY17+預測IC!CZ17</f>
        <v>1.5171546166058953</v>
      </c>
      <c r="DA17" s="7">
        <f>CZ17+預測IC!DA17</f>
        <v>1.4732587574607612</v>
      </c>
      <c r="DB17" s="7">
        <f>DA17+預測IC!DB17</f>
        <v>1.4383757466682932</v>
      </c>
      <c r="DC17" s="7">
        <f>DB17+預測IC!DC17</f>
        <v>1.4817392156457925</v>
      </c>
      <c r="DD17" s="7">
        <f>DC17+預測IC!DD17</f>
        <v>1.3966052825616386</v>
      </c>
      <c r="DE17" s="7">
        <f>DD17+預測IC!DE17</f>
        <v>1.4403286983449419</v>
      </c>
      <c r="DF17" s="7">
        <f>DE17+預測IC!DF17</f>
        <v>1.4290973280182826</v>
      </c>
      <c r="DG17" s="7">
        <f>DF17+預測IC!DG17</f>
        <v>1.4272580460893742</v>
      </c>
      <c r="DH17" s="7">
        <f>DG17+預測IC!DH17</f>
        <v>1.3885313951513616</v>
      </c>
      <c r="DI17" s="7">
        <f>DH17+預測IC!DI17</f>
        <v>1.3832381508275791</v>
      </c>
      <c r="DJ17" s="7">
        <f>DI17+預測IC!DJ17</f>
        <v>1.3379019932867591</v>
      </c>
      <c r="DK17" s="7">
        <f>DJ17+預測IC!DK17</f>
        <v>1.4939384214033053</v>
      </c>
      <c r="DL17" s="7">
        <f>DK17+預測IC!DL17</f>
        <v>1.5674540223404765</v>
      </c>
      <c r="DM17" s="7">
        <f>DL17+預測IC!DM17</f>
        <v>1.5152011117581605</v>
      </c>
      <c r="DN17" s="7">
        <f>DM17+預測IC!DN17</f>
        <v>1.5506901444724996</v>
      </c>
      <c r="DO17" s="7">
        <f>DN17+預測IC!DO17</f>
        <v>1.604141514812403</v>
      </c>
      <c r="DP17" s="7">
        <f>DO17+預測IC!DP17</f>
        <v>1.5876230065557795</v>
      </c>
      <c r="DQ17" s="7">
        <f>DP17+預測IC!DQ17</f>
        <v>1.4799205377591487</v>
      </c>
      <c r="DR17" s="7">
        <f>DQ17+預測IC!DR17</f>
        <v>1.5358053526354769</v>
      </c>
      <c r="DS17" s="7">
        <f>DR17+預測IC!DS17</f>
        <v>1.4114891928306661</v>
      </c>
      <c r="DT17" s="7">
        <f>DS17+預測IC!DT17</f>
        <v>1.3183502431455145</v>
      </c>
      <c r="DU17" s="7">
        <f>DT17+預測IC!DU17</f>
        <v>1.2466195370950093</v>
      </c>
      <c r="DV17" s="7">
        <f>DU17+預測IC!DV17</f>
        <v>1.3643849352059636</v>
      </c>
      <c r="DW17" s="7">
        <f>DV17+預測IC!DW17</f>
        <v>1.4130664186201138</v>
      </c>
      <c r="DX17" s="7">
        <f>DW17+預測IC!DX17</f>
        <v>1.2835274360236397</v>
      </c>
      <c r="DY17" s="7">
        <f>DX17+預測IC!DY17</f>
        <v>1.3956658908297137</v>
      </c>
      <c r="DZ17" s="7">
        <f>DY17+預測IC!DZ17</f>
        <v>1.3638377182299275</v>
      </c>
      <c r="EA17" s="7">
        <f>DZ17+預測IC!EA17</f>
        <v>1.3756556420956401</v>
      </c>
      <c r="EB17" s="7">
        <f>EA17+預測IC!EB17</f>
        <v>1.4627559912903794</v>
      </c>
      <c r="EC17" s="7">
        <f>EB17+預測IC!EC17</f>
        <v>1.47918120850644</v>
      </c>
      <c r="ED17" s="7">
        <f>EC17+預測IC!ED17</f>
        <v>1.3508567645775273</v>
      </c>
      <c r="EE17" s="7">
        <f>ED17+預測IC!EE17</f>
        <v>1.3254434042674934</v>
      </c>
      <c r="EF17" s="7">
        <f>EE17+預測IC!EF17</f>
        <v>1.3731531712773453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f>C18+預測IC!D18</f>
        <v>0.18156365541096556</v>
      </c>
      <c r="E18" s="7">
        <f>D18+預測IC!E18</f>
        <v>0.12256299831275777</v>
      </c>
      <c r="F18" s="7">
        <f>E18+預測IC!F18</f>
        <v>-1.1851376120627921E-2</v>
      </c>
      <c r="G18" s="7">
        <f>F18+預測IC!G18</f>
        <v>-9.2645623141487776E-2</v>
      </c>
      <c r="H18" s="7">
        <f>G18+預測IC!H18</f>
        <v>2.9267166221782326E-2</v>
      </c>
      <c r="I18" s="7">
        <f>H18+預測IC!I18</f>
        <v>0.16476734644502342</v>
      </c>
      <c r="J18" s="7">
        <f>I18+預測IC!J18</f>
        <v>0.20817886219666504</v>
      </c>
      <c r="K18" s="7">
        <f>J18+預測IC!K18</f>
        <v>-0.15050323631123469</v>
      </c>
      <c r="L18" s="7">
        <f>K18+預測IC!L18</f>
        <v>-0.13752074946425308</v>
      </c>
      <c r="M18" s="7">
        <f>L18+預測IC!M18</f>
        <v>-5.7818172350276628E-2</v>
      </c>
      <c r="N18" s="7">
        <f>M18+預測IC!N18</f>
        <v>8.5174254934494473E-2</v>
      </c>
      <c r="O18" s="7">
        <f>N18+預測IC!O18</f>
        <v>0.18884474456411365</v>
      </c>
      <c r="P18" s="7">
        <f>O18+預測IC!P18</f>
        <v>0.10629213299416589</v>
      </c>
      <c r="Q18" s="7">
        <f>P18+預測IC!Q18</f>
        <v>-8.2683285695324002E-2</v>
      </c>
      <c r="R18" s="7">
        <f>Q18+預測IC!R18</f>
        <v>-0.14417552356729899</v>
      </c>
      <c r="S18" s="7">
        <f>R18+預測IC!S18</f>
        <v>-0.52790815249919332</v>
      </c>
      <c r="T18" s="7">
        <f>S18+預測IC!T18</f>
        <v>-0.58215259253080198</v>
      </c>
      <c r="U18" s="7">
        <f>T18+預測IC!U18</f>
        <v>-0.71464761696062096</v>
      </c>
      <c r="V18" s="7">
        <f>U18+預測IC!V18</f>
        <v>-0.70175248189077011</v>
      </c>
      <c r="W18" s="7">
        <f>V18+預測IC!W18</f>
        <v>-0.5638352439750639</v>
      </c>
      <c r="X18" s="7">
        <f>W18+預測IC!X18</f>
        <v>-0.42038372634022331</v>
      </c>
      <c r="Y18" s="7">
        <f>X18+預測IC!Y18</f>
        <v>-0.40115139198278776</v>
      </c>
      <c r="Z18" s="7">
        <f>Y18+預測IC!Z18</f>
        <v>-0.31191702854226488</v>
      </c>
      <c r="AA18" s="7">
        <f>Z18+預測IC!AA18</f>
        <v>-0.35362227372498894</v>
      </c>
      <c r="AB18" s="7">
        <f>AA18+預測IC!AB18</f>
        <v>-0.26892397399450474</v>
      </c>
      <c r="AC18" s="7">
        <f>AB18+預測IC!AC18</f>
        <v>-0.21110096113854748</v>
      </c>
      <c r="AD18" s="7">
        <f>AC18+預測IC!AD18</f>
        <v>-0.1845053707594673</v>
      </c>
      <c r="AE18" s="7">
        <f>AD18+預測IC!AE18</f>
        <v>-0.3280346121885418</v>
      </c>
      <c r="AF18" s="7">
        <f>AE18+預測IC!AF18</f>
        <v>-0.29616119402791619</v>
      </c>
      <c r="AG18" s="7">
        <f>AF18+預測IC!AG18</f>
        <v>-0.2636680779300401</v>
      </c>
      <c r="AH18" s="7">
        <f>AG18+預測IC!AH18</f>
        <v>-0.30386553889855483</v>
      </c>
      <c r="AI18" s="7">
        <f>AH18+預測IC!AI18</f>
        <v>-0.18577980434055463</v>
      </c>
      <c r="AJ18" s="7">
        <f>AI18+預測IC!AJ18</f>
        <v>-0.19310724822974412</v>
      </c>
      <c r="AK18" s="7">
        <f>AJ18+預測IC!AK18</f>
        <v>-0.16295476763211814</v>
      </c>
      <c r="AL18" s="7">
        <f>AK18+預測IC!AL18</f>
        <v>-0.1154270039998604</v>
      </c>
      <c r="AM18" s="7">
        <f>AL18+預測IC!AM18</f>
        <v>-4.8783598575089196E-2</v>
      </c>
      <c r="AN18" s="7">
        <f>AM18+預測IC!AN18</f>
        <v>3.0511041380112597E-2</v>
      </c>
      <c r="AO18" s="7">
        <f>AN18+預測IC!AO18</f>
        <v>3.5938576347805382E-2</v>
      </c>
      <c r="AP18" s="7">
        <f>AO18+預測IC!AP18</f>
        <v>-4.2340015586001589E-2</v>
      </c>
      <c r="AQ18" s="7">
        <f>AP18+預測IC!AQ18</f>
        <v>-0.11857086091245153</v>
      </c>
      <c r="AR18" s="7">
        <f>AQ18+預測IC!AR18</f>
        <v>5.9746454504926716E-3</v>
      </c>
      <c r="AS18" s="7">
        <f>AR18+預測IC!AS18</f>
        <v>9.1801197004461807E-2</v>
      </c>
      <c r="AT18" s="7">
        <f>AS18+預測IC!AT18</f>
        <v>0.1351268468250405</v>
      </c>
      <c r="AU18" s="7">
        <f>AT18+預測IC!AU18</f>
        <v>0.19970249090463205</v>
      </c>
      <c r="AV18" s="7">
        <f>AU18+預測IC!AV18</f>
        <v>0.17093373502291484</v>
      </c>
      <c r="AW18" s="7">
        <f>AV18+預測IC!AW18</f>
        <v>0.19547176926402229</v>
      </c>
      <c r="AX18" s="7">
        <f>AW18+預測IC!AX18</f>
        <v>0.30303263751985843</v>
      </c>
      <c r="AY18" s="7">
        <f>AX18+預測IC!AY18</f>
        <v>0.33781591616100648</v>
      </c>
      <c r="AZ18" s="7">
        <f>AY18+預測IC!AZ18</f>
        <v>0.18940683377210737</v>
      </c>
      <c r="BA18" s="7">
        <f>AZ18+預測IC!BA18</f>
        <v>0.19003914469679295</v>
      </c>
      <c r="BB18" s="7">
        <f>BA18+預測IC!BB18</f>
        <v>0.32769518685413002</v>
      </c>
      <c r="BC18" s="7">
        <f>BB18+預測IC!BC18</f>
        <v>0.41089675944745063</v>
      </c>
      <c r="BD18" s="7">
        <f>BC18+預測IC!BD18</f>
        <v>0.38688048776015022</v>
      </c>
      <c r="BE18" s="7">
        <f>BD18+預測IC!BE18</f>
        <v>0.45524170099831307</v>
      </c>
      <c r="BF18" s="7">
        <f>BE18+預測IC!BF18</f>
        <v>0.50112623729789196</v>
      </c>
      <c r="BG18" s="7">
        <f>BF18+預測IC!BG18</f>
        <v>0.4843199960716878</v>
      </c>
      <c r="BH18" s="7">
        <f>BG18+預測IC!BH18</f>
        <v>0.50482384913549327</v>
      </c>
      <c r="BI18" s="7">
        <f>BH18+預測IC!BI18</f>
        <v>0.61382385605415901</v>
      </c>
      <c r="BJ18" s="7">
        <f>BI18+預測IC!BJ18</f>
        <v>0.61977992010461858</v>
      </c>
      <c r="BK18" s="7">
        <f>BJ18+預測IC!BK18</f>
        <v>0.56177667593441594</v>
      </c>
      <c r="BL18" s="7">
        <f>BK18+預測IC!BL18</f>
        <v>0.64293434975462005</v>
      </c>
      <c r="BM18" s="7">
        <f>BL18+預測IC!BM18</f>
        <v>0.74570828881805962</v>
      </c>
      <c r="BN18" s="7">
        <f>BM18+預測IC!BN18</f>
        <v>0.7984826784418898</v>
      </c>
      <c r="BO18" s="7">
        <f>BN18+預測IC!BO18</f>
        <v>0.81871017454826445</v>
      </c>
      <c r="BP18" s="7">
        <f>BO18+預測IC!BP18</f>
        <v>0.86556771488294648</v>
      </c>
      <c r="BQ18" s="7">
        <f>BP18+預測IC!BQ18</f>
        <v>0.86748449899279545</v>
      </c>
      <c r="BR18" s="7">
        <f>BQ18+預測IC!BR18</f>
        <v>0.86173630540884072</v>
      </c>
      <c r="BS18" s="7">
        <f>BR18+預測IC!BS18</f>
        <v>0.85775268031172147</v>
      </c>
      <c r="BT18" s="7">
        <f>BS18+預測IC!BT18</f>
        <v>0.97298942834760804</v>
      </c>
      <c r="BU18" s="7">
        <f>BT18+預測IC!BU18</f>
        <v>1.0536668723876488</v>
      </c>
      <c r="BV18" s="7">
        <f>BU18+預測IC!BV18</f>
        <v>1.1345902676646911</v>
      </c>
      <c r="BW18" s="7">
        <f>BV18+預測IC!BW18</f>
        <v>1.0492791807314956</v>
      </c>
      <c r="BX18" s="7">
        <f>BW18+預測IC!BX18</f>
        <v>1.0682976554475312</v>
      </c>
      <c r="BY18" s="7">
        <f>BX18+預測IC!BY18</f>
        <v>0.94522267962350637</v>
      </c>
      <c r="BZ18" s="7">
        <f>BY18+預測IC!BZ18</f>
        <v>1.0985426674261045</v>
      </c>
      <c r="CA18" s="7">
        <f>BZ18+預測IC!CA18</f>
        <v>1.0824661235332438</v>
      </c>
      <c r="CB18" s="7">
        <f>CA18+預測IC!CB18</f>
        <v>1.0578887669207955</v>
      </c>
      <c r="CC18" s="7">
        <f>CB18+預測IC!CC18</f>
        <v>1.0297153229013953</v>
      </c>
      <c r="CD18" s="7">
        <f>CC18+預測IC!CD18</f>
        <v>1.2234321415482261</v>
      </c>
      <c r="CE18" s="7">
        <f>CD18+預測IC!CE18</f>
        <v>1.0455057852393488</v>
      </c>
      <c r="CF18" s="7">
        <f>CE18+預測IC!CF18</f>
        <v>1.1173233769397228</v>
      </c>
      <c r="CG18" s="7">
        <f>CF18+預測IC!CG18</f>
        <v>1.1145220180003073</v>
      </c>
      <c r="CH18" s="7">
        <f>CG18+預測IC!CH18</f>
        <v>1.2771790646875405</v>
      </c>
      <c r="CI18" s="7">
        <f>CH18+預測IC!CI18</f>
        <v>1.238309924809851</v>
      </c>
      <c r="CJ18" s="7">
        <f>CI18+預測IC!CJ18</f>
        <v>1.1759962469849414</v>
      </c>
      <c r="CK18" s="7">
        <f>CJ18+預測IC!CK18</f>
        <v>1.2666640312772253</v>
      </c>
      <c r="CL18" s="7">
        <f>CK18+預測IC!CL18</f>
        <v>1.2356744862190321</v>
      </c>
      <c r="CM18" s="7">
        <f>CL18+預測IC!CM18</f>
        <v>1.3793230293834258</v>
      </c>
      <c r="CN18" s="7">
        <f>CM18+預測IC!CN18</f>
        <v>1.3442367754052491</v>
      </c>
      <c r="CO18" s="7">
        <f>CN18+預測IC!CO18</f>
        <v>1.1126628968558199</v>
      </c>
      <c r="CP18" s="7">
        <f>CO18+預測IC!CP18</f>
        <v>1.2755020058038307</v>
      </c>
      <c r="CQ18" s="7">
        <f>CP18+預測IC!CQ18</f>
        <v>1.3234785422120983</v>
      </c>
      <c r="CR18" s="7">
        <f>CQ18+預測IC!CR18</f>
        <v>1.3786346709286903</v>
      </c>
      <c r="CS18" s="7">
        <f>CR18+預測IC!CS18</f>
        <v>1.4566619176606617</v>
      </c>
      <c r="CT18" s="7">
        <f>CS18+預測IC!CT18</f>
        <v>1.5471773466629111</v>
      </c>
      <c r="CU18" s="7">
        <f>CT18+預測IC!CU18</f>
        <v>1.4755286554578011</v>
      </c>
      <c r="CV18" s="7">
        <f>CU18+預測IC!CV18</f>
        <v>1.5665689376880898</v>
      </c>
      <c r="CW18" s="7">
        <f>CV18+預測IC!CW18</f>
        <v>1.5581128521235641</v>
      </c>
      <c r="CX18" s="7">
        <f>CW18+預測IC!CX18</f>
        <v>1.6196730379573421</v>
      </c>
      <c r="CY18" s="7">
        <f>CX18+預測IC!CY18</f>
        <v>1.5683156241825598</v>
      </c>
      <c r="CZ18" s="7">
        <f>CY18+預測IC!CZ18</f>
        <v>1.7011584874843311</v>
      </c>
      <c r="DA18" s="7">
        <f>CZ18+預測IC!DA18</f>
        <v>1.6537775479656376</v>
      </c>
      <c r="DB18" s="7">
        <f>DA18+預測IC!DB18</f>
        <v>1.6080423392868781</v>
      </c>
      <c r="DC18" s="7">
        <f>DB18+預測IC!DC18</f>
        <v>1.6444511207823844</v>
      </c>
      <c r="DD18" s="7">
        <f>DC18+預測IC!DD18</f>
        <v>1.5619887672869703</v>
      </c>
      <c r="DE18" s="7">
        <f>DD18+預測IC!DE18</f>
        <v>1.6111622121786113</v>
      </c>
      <c r="DF18" s="7">
        <f>DE18+預測IC!DF18</f>
        <v>1.5761194333962412</v>
      </c>
      <c r="DG18" s="7">
        <f>DF18+預測IC!DG18</f>
        <v>1.5684999602386134</v>
      </c>
      <c r="DH18" s="7">
        <f>DG18+預測IC!DH18</f>
        <v>1.5404619469899643</v>
      </c>
      <c r="DI18" s="7">
        <f>DH18+預測IC!DI18</f>
        <v>1.5243473177519375</v>
      </c>
      <c r="DJ18" s="7">
        <f>DI18+預測IC!DJ18</f>
        <v>1.479143277966648</v>
      </c>
      <c r="DK18" s="7">
        <f>DJ18+預測IC!DK18</f>
        <v>1.6376569050590755</v>
      </c>
      <c r="DL18" s="7">
        <f>DK18+預測IC!DL18</f>
        <v>1.7190546479753166</v>
      </c>
      <c r="DM18" s="7">
        <f>DL18+預測IC!DM18</f>
        <v>1.6525465072432783</v>
      </c>
      <c r="DN18" s="7">
        <f>DM18+預測IC!DN18</f>
        <v>1.6358244431652571</v>
      </c>
      <c r="DO18" s="7">
        <f>DN18+預測IC!DO18</f>
        <v>1.6779293507158877</v>
      </c>
      <c r="DP18" s="7">
        <f>DO18+預測IC!DP18</f>
        <v>1.657324664249022</v>
      </c>
      <c r="DQ18" s="7">
        <f>DP18+預測IC!DQ18</f>
        <v>1.5565973859431905</v>
      </c>
      <c r="DR18" s="7">
        <f>DQ18+預測IC!DR18</f>
        <v>1.6334380407151516</v>
      </c>
      <c r="DS18" s="7">
        <f>DR18+預測IC!DS18</f>
        <v>1.485716042263419</v>
      </c>
      <c r="DT18" s="7">
        <f>DS18+預測IC!DT18</f>
        <v>1.3696986521524419</v>
      </c>
      <c r="DU18" s="7">
        <f>DT18+預測IC!DU18</f>
        <v>1.2728034660755372</v>
      </c>
      <c r="DV18" s="7">
        <f>DU18+預測IC!DV18</f>
        <v>1.3784440748755991</v>
      </c>
      <c r="DW18" s="7">
        <f>DV18+預測IC!DW18</f>
        <v>1.4603527671599723</v>
      </c>
      <c r="DX18" s="7">
        <f>DW18+預測IC!DX18</f>
        <v>1.3067497896974904</v>
      </c>
      <c r="DY18" s="7">
        <f>DX18+預測IC!DY18</f>
        <v>1.4041778266734402</v>
      </c>
      <c r="DZ18" s="7">
        <f>DY18+預測IC!DZ18</f>
        <v>1.3286614673770745</v>
      </c>
      <c r="EA18" s="7">
        <f>DZ18+預測IC!EA18</f>
        <v>1.3222999046330928</v>
      </c>
      <c r="EB18" s="7">
        <f>EA18+預測IC!EB18</f>
        <v>1.4221462826114133</v>
      </c>
      <c r="EC18" s="7">
        <f>EB18+預測IC!EC18</f>
        <v>1.4249103980367848</v>
      </c>
      <c r="ED18" s="7">
        <f>EC18+預測IC!ED18</f>
        <v>1.3144323761710193</v>
      </c>
      <c r="EE18" s="7">
        <f>ED18+預測IC!EE18</f>
        <v>1.3005786221965121</v>
      </c>
      <c r="EF18" s="7">
        <f>EE18+預測IC!EF18</f>
        <v>1.3495336393069286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f>C19+預測IC!D19</f>
        <v>0.17642946585745856</v>
      </c>
      <c r="E19" s="7">
        <f>D19+預測IC!E19</f>
        <v>0.12153137209004639</v>
      </c>
      <c r="F19" s="7">
        <f>E19+預測IC!F19</f>
        <v>8.2884690203802305E-2</v>
      </c>
      <c r="G19" s="7">
        <f>F19+預測IC!G19</f>
        <v>-1.4627400357797818E-2</v>
      </c>
      <c r="H19" s="7">
        <f>G19+預測IC!H19</f>
        <v>0.13426672167804948</v>
      </c>
      <c r="I19" s="7">
        <f>H19+預測IC!I19</f>
        <v>0.26892105456951598</v>
      </c>
      <c r="J19" s="7">
        <f>I19+預測IC!J19</f>
        <v>0.304350639089707</v>
      </c>
      <c r="K19" s="7">
        <f>J19+預測IC!K19</f>
        <v>-0.11398721187992722</v>
      </c>
      <c r="L19" s="7">
        <f>K19+預測IC!L19</f>
        <v>-7.093825424476119E-2</v>
      </c>
      <c r="M19" s="7">
        <f>L19+預測IC!M19</f>
        <v>1.5272084781356526E-2</v>
      </c>
      <c r="N19" s="7">
        <f>M19+預測IC!N19</f>
        <v>0.11061997047133743</v>
      </c>
      <c r="O19" s="7">
        <f>N19+預測IC!O19</f>
        <v>0.20284135349079463</v>
      </c>
      <c r="P19" s="7">
        <f>O19+預測IC!P19</f>
        <v>0.11030716730409752</v>
      </c>
      <c r="Q19" s="7">
        <f>P19+預測IC!Q19</f>
        <v>-8.685592096042237E-2</v>
      </c>
      <c r="R19" s="7">
        <f>Q19+預測IC!R19</f>
        <v>-0.17715501159127867</v>
      </c>
      <c r="S19" s="7">
        <f>R19+預測IC!S19</f>
        <v>-0.36131512828888668</v>
      </c>
      <c r="T19" s="7">
        <f>S19+預測IC!T19</f>
        <v>-0.38846940627518578</v>
      </c>
      <c r="U19" s="7">
        <f>T19+預測IC!U19</f>
        <v>-0.52416774490710893</v>
      </c>
      <c r="V19" s="7">
        <f>U19+預測IC!V19</f>
        <v>-0.48754905712165764</v>
      </c>
      <c r="W19" s="7">
        <f>V19+預測IC!W19</f>
        <v>-0.34092806640414752</v>
      </c>
      <c r="X19" s="7">
        <f>W19+預測IC!X19</f>
        <v>-0.22428902114005411</v>
      </c>
      <c r="Y19" s="7">
        <f>X19+預測IC!Y19</f>
        <v>-0.19866038361189761</v>
      </c>
      <c r="Z19" s="7">
        <f>Y19+預測IC!Z19</f>
        <v>-0.10704127303587405</v>
      </c>
      <c r="AA19" s="7">
        <f>Z19+預測IC!AA19</f>
        <v>-0.14861145757402977</v>
      </c>
      <c r="AB19" s="7">
        <f>AA19+預測IC!AB19</f>
        <v>-4.6357851690087076E-2</v>
      </c>
      <c r="AC19" s="7">
        <f>AB19+預測IC!AC19</f>
        <v>-1.7905017048395755E-2</v>
      </c>
      <c r="AD19" s="7">
        <f>AC19+預測IC!AD19</f>
        <v>1.7183911539554578E-2</v>
      </c>
      <c r="AE19" s="7">
        <f>AD19+預測IC!AE19</f>
        <v>-0.15223214945823521</v>
      </c>
      <c r="AF19" s="7">
        <f>AE19+預測IC!AF19</f>
        <v>-0.11344648264933546</v>
      </c>
      <c r="AG19" s="7">
        <f>AF19+預測IC!AG19</f>
        <v>-9.1310263576787648E-2</v>
      </c>
      <c r="AH19" s="7">
        <f>AG19+預測IC!AH19</f>
        <v>-0.1478679787984912</v>
      </c>
      <c r="AI19" s="7">
        <f>AH19+預測IC!AI19</f>
        <v>-5.6319315873816736E-2</v>
      </c>
      <c r="AJ19" s="7">
        <f>AI19+預測IC!AJ19</f>
        <v>-4.4152124297836229E-2</v>
      </c>
      <c r="AK19" s="7">
        <f>AJ19+預測IC!AK19</f>
        <v>-3.6600081791883517E-2</v>
      </c>
      <c r="AL19" s="7">
        <f>AK19+預測IC!AL19</f>
        <v>3.3670863878922035E-2</v>
      </c>
      <c r="AM19" s="7">
        <f>AL19+預測IC!AM19</f>
        <v>7.6776875690326984E-2</v>
      </c>
      <c r="AN19" s="7">
        <f>AM19+預測IC!AN19</f>
        <v>0.16034517005600907</v>
      </c>
      <c r="AO19" s="7">
        <f>AN19+預測IC!AO19</f>
        <v>0.18623807310142348</v>
      </c>
      <c r="AP19" s="7">
        <f>AO19+預測IC!AP19</f>
        <v>9.8663952828571405E-2</v>
      </c>
      <c r="AQ19" s="7">
        <f>AP19+預測IC!AQ19</f>
        <v>1.0411195767920753E-2</v>
      </c>
      <c r="AR19" s="7">
        <f>AQ19+預測IC!AR19</f>
        <v>0.16392875808077817</v>
      </c>
      <c r="AS19" s="7">
        <f>AR19+預測IC!AS19</f>
        <v>0.26172571334909261</v>
      </c>
      <c r="AT19" s="7">
        <f>AS19+預測IC!AT19</f>
        <v>0.31102069511479391</v>
      </c>
      <c r="AU19" s="7">
        <f>AT19+預測IC!AU19</f>
        <v>0.38744941082844808</v>
      </c>
      <c r="AV19" s="7">
        <f>AU19+預測IC!AV19</f>
        <v>0.33741639013147018</v>
      </c>
      <c r="AW19" s="7">
        <f>AV19+預測IC!AW19</f>
        <v>0.35977255828560667</v>
      </c>
      <c r="AX19" s="7">
        <f>AW19+預測IC!AX19</f>
        <v>0.43997897259601954</v>
      </c>
      <c r="AY19" s="7">
        <f>AX19+預測IC!AY19</f>
        <v>0.46950794298939935</v>
      </c>
      <c r="AZ19" s="7">
        <f>AY19+預測IC!AZ19</f>
        <v>0.28262832482122502</v>
      </c>
      <c r="BA19" s="7">
        <f>AZ19+預測IC!BA19</f>
        <v>0.24826444086715199</v>
      </c>
      <c r="BB19" s="7">
        <f>BA19+預測IC!BB19</f>
        <v>0.40801063993958359</v>
      </c>
      <c r="BC19" s="7">
        <f>BB19+預測IC!BC19</f>
        <v>0.47206612628576938</v>
      </c>
      <c r="BD19" s="7">
        <f>BC19+預測IC!BD19</f>
        <v>0.46883173365570124</v>
      </c>
      <c r="BE19" s="7">
        <f>BD19+預測IC!BE19</f>
        <v>0.51996360761936777</v>
      </c>
      <c r="BF19" s="7">
        <f>BE19+預測IC!BF19</f>
        <v>0.53353458176850643</v>
      </c>
      <c r="BG19" s="7">
        <f>BF19+預測IC!BG19</f>
        <v>0.51719092343566431</v>
      </c>
      <c r="BH19" s="7">
        <f>BG19+預測IC!BH19</f>
        <v>0.51920912513709527</v>
      </c>
      <c r="BI19" s="7">
        <f>BH19+預測IC!BI19</f>
        <v>0.64700775395631394</v>
      </c>
      <c r="BJ19" s="7">
        <f>BI19+預測IC!BJ19</f>
        <v>0.66871505549489318</v>
      </c>
      <c r="BK19" s="7">
        <f>BJ19+預測IC!BK19</f>
        <v>0.61696552940290084</v>
      </c>
      <c r="BL19" s="7">
        <f>BK19+預測IC!BL19</f>
        <v>0.69693018754940395</v>
      </c>
      <c r="BM19" s="7">
        <f>BL19+預測IC!BM19</f>
        <v>0.81118078780809966</v>
      </c>
      <c r="BN19" s="7">
        <f>BM19+預測IC!BN19</f>
        <v>0.87843343527537143</v>
      </c>
      <c r="BO19" s="7">
        <f>BN19+預測IC!BO19</f>
        <v>0.9041623965404868</v>
      </c>
      <c r="BP19" s="7">
        <f>BO19+預測IC!BP19</f>
        <v>0.96698120407461896</v>
      </c>
      <c r="BQ19" s="7">
        <f>BP19+預測IC!BQ19</f>
        <v>0.97691524852894207</v>
      </c>
      <c r="BR19" s="7">
        <f>BQ19+預測IC!BR19</f>
        <v>0.98359049455246206</v>
      </c>
      <c r="BS19" s="7">
        <f>BR19+預測IC!BS19</f>
        <v>0.95933415580797998</v>
      </c>
      <c r="BT19" s="7">
        <f>BS19+預測IC!BT19</f>
        <v>1.1009668356615534</v>
      </c>
      <c r="BU19" s="7">
        <f>BT19+預測IC!BU19</f>
        <v>1.1769030868957915</v>
      </c>
      <c r="BV19" s="7">
        <f>BU19+預測IC!BV19</f>
        <v>1.2705583280491379</v>
      </c>
      <c r="BW19" s="7">
        <f>BV19+預測IC!BW19</f>
        <v>1.1615913666654929</v>
      </c>
      <c r="BX19" s="7">
        <f>BW19+預測IC!BX19</f>
        <v>1.1956791519373511</v>
      </c>
      <c r="BY19" s="7">
        <f>BX19+預測IC!BY19</f>
        <v>1.0880294153817029</v>
      </c>
      <c r="BZ19" s="7">
        <f>BY19+預測IC!BZ19</f>
        <v>1.1567315402037568</v>
      </c>
      <c r="CA19" s="7">
        <f>BZ19+預測IC!CA19</f>
        <v>1.1274027849799824</v>
      </c>
      <c r="CB19" s="7">
        <f>CA19+預測IC!CB19</f>
        <v>1.0793616164717375</v>
      </c>
      <c r="CC19" s="7">
        <f>CB19+預測IC!CC19</f>
        <v>1.05463836370591</v>
      </c>
      <c r="CD19" s="7">
        <f>CC19+預測IC!CD19</f>
        <v>1.2702575617996279</v>
      </c>
      <c r="CE19" s="7">
        <f>CD19+預測IC!CE19</f>
        <v>1.0719917326226687</v>
      </c>
      <c r="CF19" s="7">
        <f>CE19+預測IC!CF19</f>
        <v>1.151896129828718</v>
      </c>
      <c r="CG19" s="7">
        <f>CF19+預測IC!CG19</f>
        <v>1.1012625998140646</v>
      </c>
      <c r="CH19" s="7">
        <f>CG19+預測IC!CH19</f>
        <v>1.254152466863991</v>
      </c>
      <c r="CI19" s="7">
        <f>CH19+預測IC!CI19</f>
        <v>1.2170855207037958</v>
      </c>
      <c r="CJ19" s="7">
        <f>CI19+預測IC!CJ19</f>
        <v>1.1551450207377596</v>
      </c>
      <c r="CK19" s="7">
        <f>CJ19+預測IC!CK19</f>
        <v>1.2591127385548577</v>
      </c>
      <c r="CL19" s="7">
        <f>CK19+預測IC!CL19</f>
        <v>1.2158724585800678</v>
      </c>
      <c r="CM19" s="7">
        <f>CL19+預測IC!CM19</f>
        <v>1.3912201001617828</v>
      </c>
      <c r="CN19" s="7">
        <f>CM19+預測IC!CN19</f>
        <v>1.3142874454944793</v>
      </c>
      <c r="CO19" s="7">
        <f>CN19+預測IC!CO19</f>
        <v>1.0418330408659728</v>
      </c>
      <c r="CP19" s="7">
        <f>CO19+預測IC!CP19</f>
        <v>1.2008656398483055</v>
      </c>
      <c r="CQ19" s="7">
        <f>CP19+預測IC!CQ19</f>
        <v>1.1981357316937435</v>
      </c>
      <c r="CR19" s="7">
        <f>CQ19+預測IC!CR19</f>
        <v>1.2478299212461461</v>
      </c>
      <c r="CS19" s="7">
        <f>CR19+預測IC!CS19</f>
        <v>1.3085307721446842</v>
      </c>
      <c r="CT19" s="7">
        <f>CS19+預測IC!CT19</f>
        <v>1.431151198774715</v>
      </c>
      <c r="CU19" s="7">
        <f>CT19+預測IC!CU19</f>
        <v>1.347714801660822</v>
      </c>
      <c r="CV19" s="7">
        <f>CU19+預測IC!CV19</f>
        <v>1.4496946631772256</v>
      </c>
      <c r="CW19" s="7">
        <f>CV19+預測IC!CW19</f>
        <v>1.427792855395327</v>
      </c>
      <c r="CX19" s="7">
        <f>CW19+預測IC!CX19</f>
        <v>1.4854275817635119</v>
      </c>
      <c r="CY19" s="7">
        <f>CX19+預測IC!CY19</f>
        <v>1.4145057121991422</v>
      </c>
      <c r="CZ19" s="7">
        <f>CY19+預測IC!CZ19</f>
        <v>1.5273575408406062</v>
      </c>
      <c r="DA19" s="7">
        <f>CZ19+預測IC!DA19</f>
        <v>1.4691336641373693</v>
      </c>
      <c r="DB19" s="7">
        <f>DA19+預測IC!DB19</f>
        <v>1.4334127651121538</v>
      </c>
      <c r="DC19" s="7">
        <f>DB19+預測IC!DC19</f>
        <v>1.3982333652100596</v>
      </c>
      <c r="DD19" s="7">
        <f>DC19+預測IC!DD19</f>
        <v>1.2919760292552589</v>
      </c>
      <c r="DE19" s="7">
        <f>DD19+預測IC!DE19</f>
        <v>1.3460009846378684</v>
      </c>
      <c r="DF19" s="7">
        <f>DE19+預測IC!DF19</f>
        <v>1.2763079377448459</v>
      </c>
      <c r="DG19" s="7">
        <f>DF19+預測IC!DG19</f>
        <v>1.2635614628341967</v>
      </c>
      <c r="DH19" s="7">
        <f>DG19+預測IC!DH19</f>
        <v>1.2634044797047919</v>
      </c>
      <c r="DI19" s="7">
        <f>DH19+預測IC!DI19</f>
        <v>1.267070904147213</v>
      </c>
      <c r="DJ19" s="7">
        <f>DI19+預測IC!DJ19</f>
        <v>1.2185565534242364</v>
      </c>
      <c r="DK19" s="7">
        <f>DJ19+預測IC!DK19</f>
        <v>1.342701141208444</v>
      </c>
      <c r="DL19" s="7">
        <f>DK19+預測IC!DL19</f>
        <v>1.4128685490083135</v>
      </c>
      <c r="DM19" s="7">
        <f>DL19+預測IC!DM19</f>
        <v>1.3309162939743191</v>
      </c>
      <c r="DN19" s="7">
        <f>DM19+預測IC!DN19</f>
        <v>1.3333914170719576</v>
      </c>
      <c r="DO19" s="7">
        <f>DN19+預測IC!DO19</f>
        <v>1.3885179804719014</v>
      </c>
      <c r="DP19" s="7">
        <f>DO19+預測IC!DP19</f>
        <v>1.4163559949548952</v>
      </c>
      <c r="DQ19" s="7">
        <f>DP19+預測IC!DQ19</f>
        <v>1.29586661559426</v>
      </c>
      <c r="DR19" s="7">
        <f>DQ19+預測IC!DR19</f>
        <v>1.3718289689193082</v>
      </c>
      <c r="DS19" s="7">
        <f>DR19+預測IC!DS19</f>
        <v>1.1938334219653379</v>
      </c>
      <c r="DT19" s="7">
        <f>DS19+預測IC!DT19</f>
        <v>1.0607049213459885</v>
      </c>
      <c r="DU19" s="7">
        <f>DT19+預測IC!DU19</f>
        <v>0.91787422329154822</v>
      </c>
      <c r="DV19" s="7">
        <f>DU19+預測IC!DV19</f>
        <v>1.0293989297321526</v>
      </c>
      <c r="DW19" s="7">
        <f>DV19+預測IC!DW19</f>
        <v>1.0900080690728369</v>
      </c>
      <c r="DX19" s="7">
        <f>DW19+預測IC!DX19</f>
        <v>0.95164293483465912</v>
      </c>
      <c r="DY19" s="7">
        <f>DX19+預測IC!DY19</f>
        <v>1.0217525125225821</v>
      </c>
      <c r="DZ19" s="7">
        <f>DY19+預測IC!DZ19</f>
        <v>0.90983168365858902</v>
      </c>
      <c r="EA19" s="7">
        <f>DZ19+預測IC!EA19</f>
        <v>0.88175233018292165</v>
      </c>
      <c r="EB19" s="7">
        <f>EA19+預測IC!EB19</f>
        <v>0.9035251001957002</v>
      </c>
      <c r="EC19" s="7">
        <f>EB19+預測IC!EC19</f>
        <v>0.891335056971998</v>
      </c>
      <c r="ED19" s="7">
        <f>EC19+預測IC!ED19</f>
        <v>0.74039973998184117</v>
      </c>
      <c r="EE19" s="7">
        <f>ED19+預測IC!EE19</f>
        <v>0.75303378292226364</v>
      </c>
      <c r="EF19" s="7">
        <f>EE19+預測IC!EF19</f>
        <v>0.7700117377970328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f>C20+預測IC!D20</f>
        <v>0.20190276612766125</v>
      </c>
      <c r="E20" s="7">
        <f>D20+預測IC!E20</f>
        <v>0.21740275427199524</v>
      </c>
      <c r="F20" s="7">
        <f>E20+預測IC!F20</f>
        <v>0.12618433209994928</v>
      </c>
      <c r="G20" s="7">
        <f>F20+預測IC!G20</f>
        <v>2.5818420181085378E-2</v>
      </c>
      <c r="H20" s="7">
        <f>G20+預測IC!H20</f>
        <v>0.19019041830975528</v>
      </c>
      <c r="I20" s="7">
        <f>H20+預測IC!I20</f>
        <v>0.34833998091085694</v>
      </c>
      <c r="J20" s="7">
        <f>I20+預測IC!J20</f>
        <v>0.38281123963771319</v>
      </c>
      <c r="K20" s="7">
        <f>J20+預測IC!K20</f>
        <v>0.29270258551503919</v>
      </c>
      <c r="L20" s="7">
        <f>K20+預測IC!L20</f>
        <v>0.38841122101957493</v>
      </c>
      <c r="M20" s="7">
        <f>L20+預測IC!M20</f>
        <v>0.48854463538366094</v>
      </c>
      <c r="N20" s="7">
        <f>M20+預測IC!N20</f>
        <v>0.59046956442930087</v>
      </c>
      <c r="O20" s="7">
        <f>N20+預測IC!O20</f>
        <v>0.6895710485737746</v>
      </c>
      <c r="P20" s="7">
        <f>O20+預測IC!P20</f>
        <v>0.59840112090524933</v>
      </c>
      <c r="Q20" s="7">
        <f>P20+預測IC!Q20</f>
        <v>0.38167538190227079</v>
      </c>
      <c r="R20" s="7">
        <f>Q20+預測IC!R20</f>
        <v>0.27242232626480201</v>
      </c>
      <c r="S20" s="7">
        <f>R20+預測IC!S20</f>
        <v>0.1172397079370594</v>
      </c>
      <c r="T20" s="7">
        <f>S20+預測IC!T20</f>
        <v>0.13290261845631876</v>
      </c>
      <c r="U20" s="7">
        <f>T20+預測IC!U20</f>
        <v>-1.5747061661456146E-2</v>
      </c>
      <c r="V20" s="7">
        <f>U20+預測IC!V20</f>
        <v>-3.1029585442672071E-3</v>
      </c>
      <c r="W20" s="7">
        <f>V20+預測IC!W20</f>
        <v>0.1699824176333137</v>
      </c>
      <c r="X20" s="7">
        <f>W20+預測IC!X20</f>
        <v>0.31867961889044727</v>
      </c>
      <c r="Y20" s="7">
        <f>X20+預測IC!Y20</f>
        <v>0.36074710842904451</v>
      </c>
      <c r="Z20" s="7">
        <f>Y20+預測IC!Z20</f>
        <v>0.46636406891270382</v>
      </c>
      <c r="AA20" s="7">
        <f>Z20+預測IC!AA20</f>
        <v>0.44476951552540672</v>
      </c>
      <c r="AB20" s="7">
        <f>AA20+預測IC!AB20</f>
        <v>0.52952935625157993</v>
      </c>
      <c r="AC20" s="7">
        <f>AB20+預測IC!AC20</f>
        <v>0.58597270189209949</v>
      </c>
      <c r="AD20" s="7">
        <f>AC20+預測IC!AD20</f>
        <v>0.62042660474392919</v>
      </c>
      <c r="AE20" s="7">
        <f>AD20+預測IC!AE20</f>
        <v>0.42113374040483131</v>
      </c>
      <c r="AF20" s="7">
        <f>AE20+預測IC!AF20</f>
        <v>0.46017841879241128</v>
      </c>
      <c r="AG20" s="7">
        <f>AF20+預測IC!AG20</f>
        <v>0.48783763733230356</v>
      </c>
      <c r="AH20" s="7">
        <f>AG20+預測IC!AH20</f>
        <v>0.3976594366175209</v>
      </c>
      <c r="AI20" s="7">
        <f>AH20+預測IC!AI20</f>
        <v>0.51399619167284449</v>
      </c>
      <c r="AJ20" s="7">
        <f>AI20+預測IC!AJ20</f>
        <v>0.53123790738894572</v>
      </c>
      <c r="AK20" s="7">
        <f>AJ20+預測IC!AK20</f>
        <v>0.51764279189294282</v>
      </c>
      <c r="AL20" s="7">
        <f>AK20+預測IC!AL20</f>
        <v>0.59053624392991977</v>
      </c>
      <c r="AM20" s="7">
        <f>AL20+預測IC!AM20</f>
        <v>0.62363222467872237</v>
      </c>
      <c r="AN20" s="7">
        <f>AM20+預測IC!AN20</f>
        <v>0.69910241819772068</v>
      </c>
      <c r="AO20" s="7">
        <f>AN20+預測IC!AO20</f>
        <v>0.74438750016240907</v>
      </c>
      <c r="AP20" s="7">
        <f>AO20+預測IC!AP20</f>
        <v>0.61265703890702128</v>
      </c>
      <c r="AQ20" s="7">
        <f>AP20+預測IC!AQ20</f>
        <v>0.64010952423997236</v>
      </c>
      <c r="AR20" s="7">
        <f>AQ20+預測IC!AR20</f>
        <v>0.81015852891889661</v>
      </c>
      <c r="AS20" s="7">
        <f>AR20+預測IC!AS20</f>
        <v>0.92225433860171357</v>
      </c>
      <c r="AT20" s="7">
        <f>AS20+預測IC!AT20</f>
        <v>0.92811311236191929</v>
      </c>
      <c r="AU20" s="7">
        <f>AT20+預測IC!AU20</f>
        <v>1.0038054992570451</v>
      </c>
      <c r="AV20" s="7">
        <f>AU20+預測IC!AV20</f>
        <v>0.94917978547456694</v>
      </c>
      <c r="AW20" s="7">
        <f>AV20+預測IC!AW20</f>
        <v>0.95604505365371795</v>
      </c>
      <c r="AX20" s="7">
        <f>AW20+預測IC!AX20</f>
        <v>1.0667776016524195</v>
      </c>
      <c r="AY20" s="7">
        <f>AX20+預測IC!AY20</f>
        <v>1.1054523000953289</v>
      </c>
      <c r="AZ20" s="7">
        <f>AY20+預測IC!AZ20</f>
        <v>0.89164986891824016</v>
      </c>
      <c r="BA20" s="7">
        <f>AZ20+預測IC!BA20</f>
        <v>0.85485100405769965</v>
      </c>
      <c r="BB20" s="7">
        <f>BA20+預測IC!BB20</f>
        <v>1.022506427434269</v>
      </c>
      <c r="BC20" s="7">
        <f>BB20+預測IC!BC20</f>
        <v>1.0931119951120092</v>
      </c>
      <c r="BD20" s="7">
        <f>BC20+預測IC!BD20</f>
        <v>1.0396821818904118</v>
      </c>
      <c r="BE20" s="7">
        <f>BD20+預測IC!BE20</f>
        <v>1.0337353847511515</v>
      </c>
      <c r="BF20" s="7">
        <f>BE20+預測IC!BF20</f>
        <v>1.0394239670824801</v>
      </c>
      <c r="BG20" s="7">
        <f>BF20+預測IC!BG20</f>
        <v>1.0324978243737868</v>
      </c>
      <c r="BH20" s="7">
        <f>BG20+預測IC!BH20</f>
        <v>0.96089137725967577</v>
      </c>
      <c r="BI20" s="7">
        <f>BH20+預測IC!BI20</f>
        <v>1.0926366443448507</v>
      </c>
      <c r="BJ20" s="7">
        <f>BI20+預測IC!BJ20</f>
        <v>1.1142661561780374</v>
      </c>
      <c r="BK20" s="7">
        <f>BJ20+預測IC!BK20</f>
        <v>1.0550329883352101</v>
      </c>
      <c r="BL20" s="7">
        <f>BK20+預測IC!BL20</f>
        <v>1.1413252195116648</v>
      </c>
      <c r="BM20" s="7">
        <f>BL20+預測IC!BM20</f>
        <v>1.2782428808401032</v>
      </c>
      <c r="BN20" s="7">
        <f>BM20+預測IC!BN20</f>
        <v>1.3968001222854747</v>
      </c>
      <c r="BO20" s="7">
        <f>BN20+預測IC!BO20</f>
        <v>1.3583384047694955</v>
      </c>
      <c r="BP20" s="7">
        <f>BO20+預測IC!BP20</f>
        <v>1.4187459255324506</v>
      </c>
      <c r="BQ20" s="7">
        <f>BP20+預測IC!BQ20</f>
        <v>1.4341976324932937</v>
      </c>
      <c r="BR20" s="7">
        <f>BQ20+預測IC!BR20</f>
        <v>1.4462712642237663</v>
      </c>
      <c r="BS20" s="7">
        <f>BR20+預測IC!BS20</f>
        <v>1.4516787704149574</v>
      </c>
      <c r="BT20" s="7">
        <f>BS20+預測IC!BT20</f>
        <v>1.5994818035936047</v>
      </c>
      <c r="BU20" s="7">
        <f>BT20+預測IC!BU20</f>
        <v>1.6982367529613114</v>
      </c>
      <c r="BV20" s="7">
        <f>BU20+預測IC!BV20</f>
        <v>1.8141550845243835</v>
      </c>
      <c r="BW20" s="7">
        <f>BV20+預測IC!BW20</f>
        <v>1.6786518327119073</v>
      </c>
      <c r="BX20" s="7">
        <f>BW20+預測IC!BX20</f>
        <v>1.7093454693951515</v>
      </c>
      <c r="BY20" s="7">
        <f>BX20+預測IC!BY20</f>
        <v>1.6041115030258482</v>
      </c>
      <c r="BZ20" s="7">
        <f>BY20+預測IC!BZ20</f>
        <v>1.6943829072861318</v>
      </c>
      <c r="CA20" s="7">
        <f>BZ20+預測IC!CA20</f>
        <v>1.6542801792343789</v>
      </c>
      <c r="CB20" s="7">
        <f>CA20+預測IC!CB20</f>
        <v>1.6160282292234509</v>
      </c>
      <c r="CC20" s="7">
        <f>CB20+預測IC!CC20</f>
        <v>1.5899851954403859</v>
      </c>
      <c r="CD20" s="7">
        <f>CC20+預測IC!CD20</f>
        <v>1.7710126929309831</v>
      </c>
      <c r="CE20" s="7">
        <f>CD20+預測IC!CE20</f>
        <v>1.5270488974612499</v>
      </c>
      <c r="CF20" s="7">
        <f>CE20+預測IC!CF20</f>
        <v>1.6080068346599266</v>
      </c>
      <c r="CG20" s="7">
        <f>CF20+預測IC!CG20</f>
        <v>1.5089539461298378</v>
      </c>
      <c r="CH20" s="7">
        <f>CG20+預測IC!CH20</f>
        <v>1.5808179717269761</v>
      </c>
      <c r="CI20" s="7">
        <f>CH20+預測IC!CI20</f>
        <v>1.5504232979578942</v>
      </c>
      <c r="CJ20" s="7">
        <f>CI20+預測IC!CJ20</f>
        <v>1.4269829780705432</v>
      </c>
      <c r="CK20" s="7">
        <f>CJ20+預測IC!CK20</f>
        <v>1.5179613748206497</v>
      </c>
      <c r="CL20" s="7">
        <f>CK20+預測IC!CL20</f>
        <v>1.4257764406315208</v>
      </c>
      <c r="CM20" s="7">
        <f>CL20+預測IC!CM20</f>
        <v>1.6148276058021414</v>
      </c>
      <c r="CN20" s="7">
        <f>CM20+預測IC!CN20</f>
        <v>1.636987017172626</v>
      </c>
      <c r="CO20" s="7">
        <f>CN20+預測IC!CO20</f>
        <v>1.2210156820036135</v>
      </c>
      <c r="CP20" s="7">
        <f>CO20+預測IC!CP20</f>
        <v>1.4130468871126409</v>
      </c>
      <c r="CQ20" s="7">
        <f>CP20+預測IC!CQ20</f>
        <v>1.4191582450417031</v>
      </c>
      <c r="CR20" s="7">
        <f>CQ20+預測IC!CR20</f>
        <v>1.4922744895475535</v>
      </c>
      <c r="CS20" s="7">
        <f>CR20+預測IC!CS20</f>
        <v>1.5806387665598149</v>
      </c>
      <c r="CT20" s="7">
        <f>CS20+預測IC!CT20</f>
        <v>1.6711128039740812</v>
      </c>
      <c r="CU20" s="7">
        <f>CT20+預測IC!CU20</f>
        <v>1.5762451457075688</v>
      </c>
      <c r="CV20" s="7">
        <f>CU20+預測IC!CV20</f>
        <v>1.668756221402995</v>
      </c>
      <c r="CW20" s="7">
        <f>CV20+預測IC!CW20</f>
        <v>1.6787092843242777</v>
      </c>
      <c r="CX20" s="7">
        <f>CW20+預測IC!CX20</f>
        <v>1.7690078351920422</v>
      </c>
      <c r="CY20" s="7">
        <f>CX20+預測IC!CY20</f>
        <v>1.7565281025237454</v>
      </c>
      <c r="CZ20" s="7">
        <f>CY20+預測IC!CZ20</f>
        <v>1.9116897476729438</v>
      </c>
      <c r="DA20" s="7">
        <f>CZ20+預測IC!DA20</f>
        <v>1.8642178545177661</v>
      </c>
      <c r="DB20" s="7">
        <f>DA20+預測IC!DB20</f>
        <v>1.8073151447606319</v>
      </c>
      <c r="DC20" s="7">
        <f>DB20+預測IC!DC20</f>
        <v>1.7577020755250761</v>
      </c>
      <c r="DD20" s="7">
        <f>DC20+預測IC!DD20</f>
        <v>1.6095932611862536</v>
      </c>
      <c r="DE20" s="7">
        <f>DD20+預測IC!DE20</f>
        <v>1.5828433972653251</v>
      </c>
      <c r="DF20" s="7">
        <f>DE20+預測IC!DF20</f>
        <v>1.5837025187977456</v>
      </c>
      <c r="DG20" s="7">
        <f>DF20+預測IC!DG20</f>
        <v>1.5795003081773749</v>
      </c>
      <c r="DH20" s="7">
        <f>DG20+預測IC!DH20</f>
        <v>1.5685248964348477</v>
      </c>
      <c r="DI20" s="7">
        <f>DH20+預測IC!DI20</f>
        <v>1.5456481646497953</v>
      </c>
      <c r="DJ20" s="7">
        <f>DI20+預測IC!DJ20</f>
        <v>1.5061882183809074</v>
      </c>
      <c r="DK20" s="7">
        <f>DJ20+預測IC!DK20</f>
        <v>1.5911421998269624</v>
      </c>
      <c r="DL20" s="7">
        <f>DK20+預測IC!DL20</f>
        <v>1.6669688360055048</v>
      </c>
      <c r="DM20" s="7">
        <f>DL20+預測IC!DM20</f>
        <v>1.6762524862849419</v>
      </c>
      <c r="DN20" s="7">
        <f>DM20+預測IC!DN20</f>
        <v>1.7342716929391411</v>
      </c>
      <c r="DO20" s="7">
        <f>DN20+預測IC!DO20</f>
        <v>1.8000874947771115</v>
      </c>
      <c r="DP20" s="7">
        <f>DO20+預測IC!DP20</f>
        <v>1.8099180261679988</v>
      </c>
      <c r="DQ20" s="7">
        <f>DP20+預測IC!DQ20</f>
        <v>1.6227107084334582</v>
      </c>
      <c r="DR20" s="7">
        <f>DQ20+預測IC!DR20</f>
        <v>1.7012233684617488</v>
      </c>
      <c r="DS20" s="7">
        <f>DR20+預測IC!DS20</f>
        <v>1.4951422708833941</v>
      </c>
      <c r="DT20" s="7">
        <f>DS20+預測IC!DT20</f>
        <v>1.3617062862612559</v>
      </c>
      <c r="DU20" s="7">
        <f>DT20+預測IC!DU20</f>
        <v>1.1896371790553866</v>
      </c>
      <c r="DV20" s="7">
        <f>DU20+預測IC!DV20</f>
        <v>1.3189826508942453</v>
      </c>
      <c r="DW20" s="7">
        <f>DV20+預測IC!DW20</f>
        <v>1.388042854852285</v>
      </c>
      <c r="DX20" s="7">
        <f>DW20+預測IC!DX20</f>
        <v>1.2341765252459702</v>
      </c>
      <c r="DY20" s="7">
        <f>DX20+預測IC!DY20</f>
        <v>1.2877951345976191</v>
      </c>
      <c r="DZ20" s="7">
        <f>DY20+預測IC!DZ20</f>
        <v>1.203320556287927</v>
      </c>
      <c r="EA20" s="7">
        <f>DZ20+預測IC!EA20</f>
        <v>1.2182375817155509</v>
      </c>
      <c r="EB20" s="7">
        <f>EA20+預測IC!EB20</f>
        <v>1.257305215066516</v>
      </c>
      <c r="EC20" s="7">
        <f>EB20+預測IC!EC20</f>
        <v>1.2913547964804579</v>
      </c>
      <c r="ED20" s="7">
        <f>EC20+預測IC!ED20</f>
        <v>1.1144359354134477</v>
      </c>
      <c r="EE20" s="7">
        <f>ED20+預測IC!EE20</f>
        <v>1.1168031663408295</v>
      </c>
      <c r="EF20" s="7">
        <f>EE20+預測IC!EF20</f>
        <v>1.1370845829567369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f>C21+預測IC!D21</f>
        <v>0.21426187041179401</v>
      </c>
      <c r="E21" s="7">
        <f>D21+預測IC!E21</f>
        <v>0.21398251814100216</v>
      </c>
      <c r="F21" s="7">
        <f>E21+預測IC!F21</f>
        <v>0.16288503429459394</v>
      </c>
      <c r="G21" s="7">
        <f>F21+預測IC!G21</f>
        <v>0.15558889626674249</v>
      </c>
      <c r="H21" s="7">
        <f>G21+預測IC!H21</f>
        <v>0.3542569572465083</v>
      </c>
      <c r="I21" s="7">
        <f>H21+預測IC!I21</f>
        <v>0.50151256537398126</v>
      </c>
      <c r="J21" s="7">
        <f>I21+預測IC!J21</f>
        <v>0.56194789106562359</v>
      </c>
      <c r="K21" s="7">
        <f>J21+預測IC!K21</f>
        <v>0.47297487371160152</v>
      </c>
      <c r="L21" s="7">
        <f>K21+預測IC!L21</f>
        <v>0.58265448116583141</v>
      </c>
      <c r="M21" s="7">
        <f>L21+預測IC!M21</f>
        <v>0.65831513109259188</v>
      </c>
      <c r="N21" s="7">
        <f>M21+預測IC!N21</f>
        <v>0.75790254321553341</v>
      </c>
      <c r="O21" s="7">
        <f>N21+預測IC!O21</f>
        <v>0.88768500174588694</v>
      </c>
      <c r="P21" s="7">
        <f>O21+預測IC!P21</f>
        <v>0.74291240085620203</v>
      </c>
      <c r="Q21" s="7">
        <f>P21+預測IC!Q21</f>
        <v>0.48560232676194975</v>
      </c>
      <c r="R21" s="7">
        <f>Q21+預測IC!R21</f>
        <v>0.39002701565531955</v>
      </c>
      <c r="S21" s="7">
        <f>R21+預測IC!S21</f>
        <v>0.26143673020536257</v>
      </c>
      <c r="T21" s="7">
        <f>S21+預測IC!T21</f>
        <v>0.24739636586515765</v>
      </c>
      <c r="U21" s="7">
        <f>T21+預測IC!U21</f>
        <v>0.16111794825339965</v>
      </c>
      <c r="V21" s="7">
        <f>U21+預測IC!V21</f>
        <v>0.21467556761943085</v>
      </c>
      <c r="W21" s="7">
        <f>V21+預測IC!W21</f>
        <v>0.37246404723489346</v>
      </c>
      <c r="X21" s="7">
        <f>W21+預測IC!X21</f>
        <v>0.56980122581854009</v>
      </c>
      <c r="Y21" s="7">
        <f>X21+預測IC!Y21</f>
        <v>0.59063430871097489</v>
      </c>
      <c r="Z21" s="7">
        <f>Y21+預測IC!Z21</f>
        <v>0.7048382959336994</v>
      </c>
      <c r="AA21" s="7">
        <f>Z21+預測IC!AA21</f>
        <v>0.7243293394737933</v>
      </c>
      <c r="AB21" s="7">
        <f>AA21+預測IC!AB21</f>
        <v>0.85416892187086313</v>
      </c>
      <c r="AC21" s="7">
        <f>AB21+預測IC!AC21</f>
        <v>0.92847005166288554</v>
      </c>
      <c r="AD21" s="7">
        <f>AC21+預測IC!AD21</f>
        <v>0.97516747621563116</v>
      </c>
      <c r="AE21" s="7">
        <f>AD21+預測IC!AE21</f>
        <v>0.73471136572244444</v>
      </c>
      <c r="AF21" s="7">
        <f>AE21+預測IC!AF21</f>
        <v>0.78783697560900745</v>
      </c>
      <c r="AG21" s="7">
        <f>AF21+預測IC!AG21</f>
        <v>0.83213975339880153</v>
      </c>
      <c r="AH21" s="7">
        <f>AG21+預測IC!AH21</f>
        <v>0.7245583908340032</v>
      </c>
      <c r="AI21" s="7">
        <f>AH21+預測IC!AI21</f>
        <v>0.82668206634548713</v>
      </c>
      <c r="AJ21" s="7">
        <f>AI21+預測IC!AJ21</f>
        <v>0.83186799199118822</v>
      </c>
      <c r="AK21" s="7">
        <f>AJ21+預測IC!AK21</f>
        <v>0.79606482437307813</v>
      </c>
      <c r="AL21" s="7">
        <f>AK21+預測IC!AL21</f>
        <v>0.86144464710618873</v>
      </c>
      <c r="AM21" s="7">
        <f>AL21+預測IC!AM21</f>
        <v>0.92998045455381928</v>
      </c>
      <c r="AN21" s="7">
        <f>AM21+預測IC!AN21</f>
        <v>1.0419365106169136</v>
      </c>
      <c r="AO21" s="7">
        <f>AN21+預測IC!AO21</f>
        <v>1.0896629062606402</v>
      </c>
      <c r="AP21" s="7">
        <f>AO21+預測IC!AP21</f>
        <v>1.017127762690621</v>
      </c>
      <c r="AQ21" s="7">
        <f>AP21+預測IC!AQ21</f>
        <v>1.0939932697011687</v>
      </c>
      <c r="AR21" s="7">
        <f>AQ21+預測IC!AR21</f>
        <v>1.29917554793165</v>
      </c>
      <c r="AS21" s="7">
        <f>AR21+預測IC!AS21</f>
        <v>1.3636314165782795</v>
      </c>
      <c r="AT21" s="7">
        <f>AS21+預測IC!AT21</f>
        <v>1.3611385053011245</v>
      </c>
      <c r="AU21" s="7">
        <f>AT21+預測IC!AU21</f>
        <v>1.4089481368100816</v>
      </c>
      <c r="AV21" s="7">
        <f>AU21+預測IC!AV21</f>
        <v>1.3534273567479478</v>
      </c>
      <c r="AW21" s="7">
        <f>AV21+預測IC!AW21</f>
        <v>1.3632183867020451</v>
      </c>
      <c r="AX21" s="7">
        <f>AW21+預測IC!AX21</f>
        <v>1.5063660741718019</v>
      </c>
      <c r="AY21" s="7">
        <f>AX21+預測IC!AY21</f>
        <v>1.55338736514984</v>
      </c>
      <c r="AZ21" s="7">
        <f>AY21+預測IC!AZ21</f>
        <v>1.2984760952527035</v>
      </c>
      <c r="BA21" s="7">
        <f>AZ21+預測IC!BA21</f>
        <v>1.2274439136046176</v>
      </c>
      <c r="BB21" s="7">
        <f>BA21+預測IC!BB21</f>
        <v>1.4527900486429557</v>
      </c>
      <c r="BC21" s="7">
        <f>BB21+預測IC!BC21</f>
        <v>1.4911111963681496</v>
      </c>
      <c r="BD21" s="7">
        <f>BC21+預測IC!BD21</f>
        <v>1.4693603329975218</v>
      </c>
      <c r="BE21" s="7">
        <f>BD21+預測IC!BE21</f>
        <v>1.4757108663949232</v>
      </c>
      <c r="BF21" s="7">
        <f>BE21+預測IC!BF21</f>
        <v>1.479287966575358</v>
      </c>
      <c r="BG21" s="7">
        <f>BF21+預測IC!BG21</f>
        <v>1.5159231557921706</v>
      </c>
      <c r="BH21" s="7">
        <f>BG21+預測IC!BH21</f>
        <v>1.4396017926534153</v>
      </c>
      <c r="BI21" s="7">
        <f>BH21+預測IC!BI21</f>
        <v>1.6055713888318071</v>
      </c>
      <c r="BJ21" s="7">
        <f>BI21+預測IC!BJ21</f>
        <v>1.6291504150135248</v>
      </c>
      <c r="BK21" s="7">
        <f>BJ21+預測IC!BK21</f>
        <v>1.5607005346339899</v>
      </c>
      <c r="BL21" s="7">
        <f>BK21+預測IC!BL21</f>
        <v>1.7034216272803397</v>
      </c>
      <c r="BM21" s="7">
        <f>BL21+預測IC!BM21</f>
        <v>1.8585416312014396</v>
      </c>
      <c r="BN21" s="7">
        <f>BM21+預測IC!BN21</f>
        <v>1.9221895791936876</v>
      </c>
      <c r="BO21" s="7">
        <f>BN21+預測IC!BO21</f>
        <v>1.8583323427800074</v>
      </c>
      <c r="BP21" s="7">
        <f>BO21+預測IC!BP21</f>
        <v>1.9628414721994216</v>
      </c>
      <c r="BQ21" s="7">
        <f>BP21+預測IC!BQ21</f>
        <v>2.0173837030339263</v>
      </c>
      <c r="BR21" s="7">
        <f>BQ21+預測IC!BR21</f>
        <v>2.0297075652177909</v>
      </c>
      <c r="BS21" s="7">
        <f>BR21+預測IC!BS21</f>
        <v>2.0355677379729671</v>
      </c>
      <c r="BT21" s="7">
        <f>BS21+預測IC!BT21</f>
        <v>2.1678124319474099</v>
      </c>
      <c r="BU21" s="7">
        <f>BT21+預測IC!BU21</f>
        <v>2.3033088941459789</v>
      </c>
      <c r="BV21" s="7">
        <f>BU21+預測IC!BV21</f>
        <v>2.4454518943314323</v>
      </c>
      <c r="BW21" s="7">
        <f>BV21+預測IC!BW21</f>
        <v>2.2987726973957012</v>
      </c>
      <c r="BX21" s="7">
        <f>BW21+預測IC!BX21</f>
        <v>2.2957818781112871</v>
      </c>
      <c r="BY21" s="7">
        <f>BX21+預測IC!BY21</f>
        <v>2.2454020268931707</v>
      </c>
      <c r="BZ21" s="7">
        <f>BY21+預測IC!BZ21</f>
        <v>2.2930649556138865</v>
      </c>
      <c r="CA21" s="7">
        <f>BZ21+預測IC!CA21</f>
        <v>2.2325473523114878</v>
      </c>
      <c r="CB21" s="7">
        <f>CA21+預測IC!CB21</f>
        <v>2.1691259611132296</v>
      </c>
      <c r="CC21" s="7">
        <f>CB21+預測IC!CC21</f>
        <v>2.1224324116442665</v>
      </c>
      <c r="CD21" s="7">
        <f>CC21+預測IC!CD21</f>
        <v>2.4104884760067398</v>
      </c>
      <c r="CE21" s="7">
        <f>CD21+預測IC!CE21</f>
        <v>2.0154125335416944</v>
      </c>
      <c r="CF21" s="7">
        <f>CE21+預測IC!CF21</f>
        <v>2.1466782103427668</v>
      </c>
      <c r="CG21" s="7">
        <f>CF21+預測IC!CG21</f>
        <v>2.0029270211850809</v>
      </c>
      <c r="CH21" s="7">
        <f>CG21+預測IC!CH21</f>
        <v>2.0830273422612926</v>
      </c>
      <c r="CI21" s="7">
        <f>CH21+預測IC!CI21</f>
        <v>2.0025277258703102</v>
      </c>
      <c r="CJ21" s="7">
        <f>CI21+預測IC!CJ21</f>
        <v>1.916899968853808</v>
      </c>
      <c r="CK21" s="7">
        <f>CJ21+預測IC!CK21</f>
        <v>2.0439505155839419</v>
      </c>
      <c r="CL21" s="7">
        <f>CK21+預測IC!CL21</f>
        <v>1.9100600909609773</v>
      </c>
      <c r="CM21" s="7">
        <f>CL21+預測IC!CM21</f>
        <v>2.1355630793643487</v>
      </c>
      <c r="CN21" s="7">
        <f>CM21+預測IC!CN21</f>
        <v>2.1661019695681243</v>
      </c>
      <c r="CO21" s="7">
        <f>CN21+預測IC!CO21</f>
        <v>1.6512367209705316</v>
      </c>
      <c r="CP21" s="7">
        <f>CO21+預測IC!CP21</f>
        <v>1.8739367818484443</v>
      </c>
      <c r="CQ21" s="7">
        <f>CP21+預測IC!CQ21</f>
        <v>1.8772248735735351</v>
      </c>
      <c r="CR21" s="7">
        <f>CQ21+預測IC!CR21</f>
        <v>1.9680491515532148</v>
      </c>
      <c r="CS21" s="7">
        <f>CR21+預測IC!CS21</f>
        <v>2.0376955476999865</v>
      </c>
      <c r="CT21" s="7">
        <f>CS21+預測IC!CT21</f>
        <v>2.1199884205543253</v>
      </c>
      <c r="CU21" s="7">
        <f>CT21+預測IC!CU21</f>
        <v>2.0573148603848339</v>
      </c>
      <c r="CV21" s="7">
        <f>CU21+預測IC!CV21</f>
        <v>2.1555404924062209</v>
      </c>
      <c r="CW21" s="7">
        <f>CV21+預測IC!CW21</f>
        <v>2.2205459096872096</v>
      </c>
      <c r="CX21" s="7">
        <f>CW21+預測IC!CX21</f>
        <v>2.3226680853446164</v>
      </c>
      <c r="CY21" s="7">
        <f>CX21+預測IC!CY21</f>
        <v>2.3141861689407022</v>
      </c>
      <c r="CZ21" s="7">
        <f>CY21+預測IC!CZ21</f>
        <v>2.5516375397665323</v>
      </c>
      <c r="DA21" s="7">
        <f>CZ21+預測IC!DA21</f>
        <v>2.5528297962232642</v>
      </c>
      <c r="DB21" s="7">
        <f>DA21+預測IC!DB21</f>
        <v>2.5012053625471098</v>
      </c>
      <c r="DC21" s="7">
        <f>DB21+預測IC!DC21</f>
        <v>2.4561578033238192</v>
      </c>
      <c r="DD21" s="7">
        <f>DC21+預測IC!DD21</f>
        <v>2.5774804921924681</v>
      </c>
      <c r="DE21" s="7">
        <f>DD21+預測IC!DE21</f>
        <v>2.5897186007807869</v>
      </c>
      <c r="DF21" s="7">
        <f>DE21+預測IC!DF21</f>
        <v>2.6112794814786615</v>
      </c>
      <c r="DG21" s="7">
        <f>DF21+預測IC!DG21</f>
        <v>2.6191258596071947</v>
      </c>
      <c r="DH21" s="7">
        <f>DG21+預測IC!DH21</f>
        <v>2.6332026798196493</v>
      </c>
      <c r="DI21" s="7">
        <f>DH21+預測IC!DI21</f>
        <v>2.6676101580998286</v>
      </c>
      <c r="DJ21" s="7">
        <f>DI21+預測IC!DJ21</f>
        <v>2.6296988449092686</v>
      </c>
      <c r="DK21" s="7">
        <f>DJ21+預測IC!DK21</f>
        <v>2.7692015517281732</v>
      </c>
      <c r="DL21" s="7">
        <f>DK21+預測IC!DL21</f>
        <v>2.8675664905675498</v>
      </c>
      <c r="DM21" s="7">
        <f>DL21+預測IC!DM21</f>
        <v>2.8377323709253095</v>
      </c>
      <c r="DN21" s="7">
        <f>DM21+預測IC!DN21</f>
        <v>2.9089299834193025</v>
      </c>
      <c r="DO21" s="7">
        <f>DN21+預測IC!DO21</f>
        <v>2.9913757757499821</v>
      </c>
      <c r="DP21" s="7">
        <f>DO21+預測IC!DP21</f>
        <v>3.015641930843548</v>
      </c>
      <c r="DQ21" s="7">
        <f>DP21+預測IC!DQ21</f>
        <v>2.8609007448142125</v>
      </c>
      <c r="DR21" s="7">
        <f>DQ21+預測IC!DR21</f>
        <v>2.9110716038512932</v>
      </c>
      <c r="DS21" s="7">
        <f>DR21+預測IC!DS21</f>
        <v>2.7102321300139973</v>
      </c>
      <c r="DT21" s="7">
        <f>DS21+預測IC!DT21</f>
        <v>2.5396613273285364</v>
      </c>
      <c r="DU21" s="7">
        <f>DT21+預測IC!DU21</f>
        <v>2.5115710333321579</v>
      </c>
      <c r="DV21" s="7">
        <f>DU21+預測IC!DV21</f>
        <v>2.6518470102020357</v>
      </c>
      <c r="DW21" s="7">
        <f>DV21+預測IC!DW21</f>
        <v>2.7800948788661568</v>
      </c>
      <c r="DX21" s="7">
        <f>DW21+預測IC!DX21</f>
        <v>2.5941286648349733</v>
      </c>
      <c r="DY21" s="7">
        <f>DX21+預測IC!DY21</f>
        <v>2.6187246603729895</v>
      </c>
      <c r="DZ21" s="7">
        <f>DY21+預測IC!DZ21</f>
        <v>2.5658805938127007</v>
      </c>
      <c r="EA21" s="7">
        <f>DZ21+預測IC!EA21</f>
        <v>2.5410150713642725</v>
      </c>
      <c r="EB21" s="7">
        <f>EA21+預測IC!EB21</f>
        <v>2.5494232175348586</v>
      </c>
      <c r="EC21" s="7">
        <f>EB21+預測IC!EC21</f>
        <v>2.5634602726329008</v>
      </c>
      <c r="ED21" s="7">
        <f>EC21+預測IC!ED21</f>
        <v>2.5089614162847202</v>
      </c>
      <c r="EE21" s="7">
        <f>ED21+預測IC!EE21</f>
        <v>2.5233902683931384</v>
      </c>
      <c r="EF21" s="7">
        <f>EE21+預測IC!EF21</f>
        <v>2.5046190043510195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f>C22+預測IC!D22</f>
        <v>0.16059940413348889</v>
      </c>
      <c r="E22" s="7">
        <f>D22+預測IC!E22</f>
        <v>0.11957187213286984</v>
      </c>
      <c r="F22" s="7">
        <f>E22+預測IC!F22</f>
        <v>2.2137876553883384E-2</v>
      </c>
      <c r="G22" s="7">
        <f>F22+預測IC!G22</f>
        <v>-1.0816947695915229E-2</v>
      </c>
      <c r="H22" s="7">
        <f>G22+預測IC!H22</f>
        <v>0.16793251579170768</v>
      </c>
      <c r="I22" s="7">
        <f>H22+預測IC!I22</f>
        <v>0.29142568512977746</v>
      </c>
      <c r="J22" s="7">
        <f>I22+預測IC!J22</f>
        <v>0.34402427439512034</v>
      </c>
      <c r="K22" s="7">
        <f>J22+預測IC!K22</f>
        <v>0.19073750374061105</v>
      </c>
      <c r="L22" s="7">
        <f>K22+預測IC!L22</f>
        <v>0.36192086316651229</v>
      </c>
      <c r="M22" s="7">
        <f>L22+預測IC!M22</f>
        <v>0.13676225810293058</v>
      </c>
      <c r="N22" s="7">
        <f>M22+預測IC!N22</f>
        <v>0.27004267712617708</v>
      </c>
      <c r="O22" s="7">
        <f>N22+預測IC!O22</f>
        <v>0.41352302313044947</v>
      </c>
      <c r="P22" s="7">
        <f>O22+預測IC!P22</f>
        <v>0.34074013900163247</v>
      </c>
      <c r="Q22" s="7">
        <f>P22+預測IC!Q22</f>
        <v>6.3963245168580651E-2</v>
      </c>
      <c r="R22" s="7">
        <f>Q22+預測IC!R22</f>
        <v>2.7334810896992599E-2</v>
      </c>
      <c r="S22" s="7">
        <f>R22+預測IC!S22</f>
        <v>-0.14231174466094798</v>
      </c>
      <c r="T22" s="7">
        <f>S22+預測IC!T22</f>
        <v>-0.16255035713778201</v>
      </c>
      <c r="U22" s="7">
        <f>T22+預測IC!U22</f>
        <v>-0.27314038054028622</v>
      </c>
      <c r="V22" s="7">
        <f>U22+預測IC!V22</f>
        <v>-0.23485360402043071</v>
      </c>
      <c r="W22" s="7">
        <f>V22+預測IC!W22</f>
        <v>-2.7373336996133313E-2</v>
      </c>
      <c r="X22" s="7">
        <f>W22+預測IC!X22</f>
        <v>0.18752671073343169</v>
      </c>
      <c r="Y22" s="7">
        <f>X22+預測IC!Y22</f>
        <v>0.20325891914695274</v>
      </c>
      <c r="Z22" s="7">
        <f>Y22+預測IC!Z22</f>
        <v>0.27880718829279877</v>
      </c>
      <c r="AA22" s="7">
        <f>Z22+預測IC!AA22</f>
        <v>0.28585520517965551</v>
      </c>
      <c r="AB22" s="7">
        <f>AA22+預測IC!AB22</f>
        <v>0.42029141789298102</v>
      </c>
      <c r="AC22" s="7">
        <f>AB22+預測IC!AC22</f>
        <v>0.49471179873340843</v>
      </c>
      <c r="AD22" s="7">
        <f>AC22+預測IC!AD22</f>
        <v>0.50717910140398093</v>
      </c>
      <c r="AE22" s="7">
        <f>AD22+預測IC!AE22</f>
        <v>0.27855798979760671</v>
      </c>
      <c r="AF22" s="7">
        <f>AE22+預測IC!AF22</f>
        <v>0.32574030595563086</v>
      </c>
      <c r="AG22" s="7">
        <f>AF22+預測IC!AG22</f>
        <v>0.37858184613136475</v>
      </c>
      <c r="AH22" s="7">
        <f>AG22+預測IC!AH22</f>
        <v>0.27271588671089209</v>
      </c>
      <c r="AI22" s="7">
        <f>AH22+預測IC!AI22</f>
        <v>0.38371959793784111</v>
      </c>
      <c r="AJ22" s="7">
        <f>AI22+預測IC!AJ22</f>
        <v>0.39680113957519808</v>
      </c>
      <c r="AK22" s="7">
        <f>AJ22+預測IC!AK22</f>
        <v>0.4980897003155938</v>
      </c>
      <c r="AL22" s="7">
        <f>AK22+預測IC!AL22</f>
        <v>0.53843066712249421</v>
      </c>
      <c r="AM22" s="7">
        <f>AL22+預測IC!AM22</f>
        <v>0.6225195705901978</v>
      </c>
      <c r="AN22" s="7">
        <f>AM22+預測IC!AN22</f>
        <v>0.73365238025375712</v>
      </c>
      <c r="AO22" s="7">
        <f>AN22+預測IC!AO22</f>
        <v>0.80836975364746277</v>
      </c>
      <c r="AP22" s="7">
        <f>AO22+預測IC!AP22</f>
        <v>0.74583339975947005</v>
      </c>
      <c r="AQ22" s="7">
        <f>AP22+預測IC!AQ22</f>
        <v>0.82525951723806323</v>
      </c>
      <c r="AR22" s="7">
        <f>AQ22+預測IC!AR22</f>
        <v>1.0757921953964455</v>
      </c>
      <c r="AS22" s="7">
        <f>AR22+預測IC!AS22</f>
        <v>1.1586026342949955</v>
      </c>
      <c r="AT22" s="7">
        <f>AS22+預測IC!AT22</f>
        <v>1.1334662724549691</v>
      </c>
      <c r="AU22" s="7">
        <f>AT22+預測IC!AU22</f>
        <v>1.166966724365839</v>
      </c>
      <c r="AV22" s="7">
        <f>AU22+預測IC!AV22</f>
        <v>1.107153547689959</v>
      </c>
      <c r="AW22" s="7">
        <f>AV22+預測IC!AW22</f>
        <v>1.0770041584829499</v>
      </c>
      <c r="AX22" s="7">
        <f>AW22+預測IC!AX22</f>
        <v>1.2507675584629743</v>
      </c>
      <c r="AY22" s="7">
        <f>AX22+預測IC!AY22</f>
        <v>1.3225009437972048</v>
      </c>
      <c r="AZ22" s="7">
        <f>AY22+預測IC!AZ22</f>
        <v>1.1675971654760526</v>
      </c>
      <c r="BA22" s="7">
        <f>AZ22+預測IC!BA22</f>
        <v>1.1219987403085907</v>
      </c>
      <c r="BB22" s="7">
        <f>BA22+預測IC!BB22</f>
        <v>1.4239286848490136</v>
      </c>
      <c r="BC22" s="7">
        <f>BB22+預測IC!BC22</f>
        <v>1.2930917467260583</v>
      </c>
      <c r="BD22" s="7">
        <f>BC22+預測IC!BD22</f>
        <v>1.27091756526023</v>
      </c>
      <c r="BE22" s="7">
        <f>BD22+預測IC!BE22</f>
        <v>1.2931337486547105</v>
      </c>
      <c r="BF22" s="7">
        <f>BE22+預測IC!BF22</f>
        <v>1.3067725659930303</v>
      </c>
      <c r="BG22" s="7">
        <f>BF22+預測IC!BG22</f>
        <v>1.3530520781614164</v>
      </c>
      <c r="BH22" s="7">
        <f>BG22+預測IC!BH22</f>
        <v>1.2250915358232846</v>
      </c>
      <c r="BI22" s="7">
        <f>BH22+預測IC!BI22</f>
        <v>1.3361802552331916</v>
      </c>
      <c r="BJ22" s="7">
        <f>BI22+預測IC!BJ22</f>
        <v>1.3911766703839126</v>
      </c>
      <c r="BK22" s="7">
        <f>BJ22+預測IC!BK22</f>
        <v>1.3493370344502473</v>
      </c>
      <c r="BL22" s="7">
        <f>BK22+預測IC!BL22</f>
        <v>1.5111173735212826</v>
      </c>
      <c r="BM22" s="7">
        <f>BL22+預測IC!BM22</f>
        <v>1.7029144129773297</v>
      </c>
      <c r="BN22" s="7">
        <f>BM22+預測IC!BN22</f>
        <v>1.6875868609542874</v>
      </c>
      <c r="BO22" s="7">
        <f>BN22+預測IC!BO22</f>
        <v>1.637102431841537</v>
      </c>
      <c r="BP22" s="7">
        <f>BO22+預測IC!BP22</f>
        <v>1.7119379819966434</v>
      </c>
      <c r="BQ22" s="7">
        <f>BP22+預測IC!BQ22</f>
        <v>1.7397680793949559</v>
      </c>
      <c r="BR22" s="7">
        <f>BQ22+預測IC!BR22</f>
        <v>1.7605816888614088</v>
      </c>
      <c r="BS22" s="7">
        <f>BR22+預測IC!BS22</f>
        <v>1.7442089064846096</v>
      </c>
      <c r="BT22" s="7">
        <f>BS22+預測IC!BT22</f>
        <v>1.8747396098211557</v>
      </c>
      <c r="BU22" s="7">
        <f>BT22+預測IC!BU22</f>
        <v>2.087688375959166</v>
      </c>
      <c r="BV22" s="7">
        <f>BU22+預測IC!BV22</f>
        <v>2.246232348356775</v>
      </c>
      <c r="BW22" s="7">
        <f>BV22+預測IC!BW22</f>
        <v>2.0715638504291678</v>
      </c>
      <c r="BX22" s="7">
        <f>BW22+預測IC!BX22</f>
        <v>2.1082012961211403</v>
      </c>
      <c r="BY22" s="7">
        <f>BX22+預測IC!BY22</f>
        <v>2.1034545097184054</v>
      </c>
      <c r="BZ22" s="7">
        <f>BY22+預測IC!BZ22</f>
        <v>2.1507122455812975</v>
      </c>
      <c r="CA22" s="7">
        <f>BZ22+預測IC!CA22</f>
        <v>2.1232221671009741</v>
      </c>
      <c r="CB22" s="7">
        <f>CA22+預測IC!CB22</f>
        <v>1.9742288888550474</v>
      </c>
      <c r="CC22" s="7">
        <f>CB22+預測IC!CC22</f>
        <v>1.959243185416891</v>
      </c>
      <c r="CD22" s="7">
        <f>CC22+預測IC!CD22</f>
        <v>2.293121222129614</v>
      </c>
      <c r="CE22" s="7">
        <f>CD22+預測IC!CE22</f>
        <v>1.8997338830253359</v>
      </c>
      <c r="CF22" s="7">
        <f>CE22+預測IC!CF22</f>
        <v>2.0885336687856131</v>
      </c>
      <c r="CG22" s="7">
        <f>CF22+預測IC!CG22</f>
        <v>1.885270576583026</v>
      </c>
      <c r="CH22" s="7">
        <f>CG22+預測IC!CH22</f>
        <v>2.001189347862474</v>
      </c>
      <c r="CI22" s="7">
        <f>CH22+預測IC!CI22</f>
        <v>1.8834096015841149</v>
      </c>
      <c r="CJ22" s="7">
        <f>CI22+預測IC!CJ22</f>
        <v>1.7800300964945521</v>
      </c>
      <c r="CK22" s="7">
        <f>CJ22+預測IC!CK22</f>
        <v>1.8161934390992345</v>
      </c>
      <c r="CL22" s="7">
        <f>CK22+預測IC!CL22</f>
        <v>1.5755416404741938</v>
      </c>
      <c r="CM22" s="7">
        <f>CL22+預測IC!CM22</f>
        <v>1.895973644132019</v>
      </c>
      <c r="CN22" s="7">
        <f>CM22+預測IC!CN22</f>
        <v>1.8874268723111116</v>
      </c>
      <c r="CO22" s="7">
        <f>CN22+預測IC!CO22</f>
        <v>1.237470404061956</v>
      </c>
      <c r="CP22" s="7">
        <f>CO22+預測IC!CP22</f>
        <v>1.4968789610313584</v>
      </c>
      <c r="CQ22" s="7">
        <f>CP22+預測IC!CQ22</f>
        <v>1.4845451817056938</v>
      </c>
      <c r="CR22" s="7">
        <f>CQ22+預測IC!CR22</f>
        <v>1.6463956030070859</v>
      </c>
      <c r="CS22" s="7">
        <f>CR22+預測IC!CS22</f>
        <v>1.631193419485663</v>
      </c>
      <c r="CT22" s="7">
        <f>CS22+預測IC!CT22</f>
        <v>1.6894259408416483</v>
      </c>
      <c r="CU22" s="7">
        <f>CT22+預測IC!CU22</f>
        <v>1.5691942288775504</v>
      </c>
      <c r="CV22" s="7">
        <f>CU22+預測IC!CV22</f>
        <v>1.6814279240846046</v>
      </c>
      <c r="CW22" s="7">
        <f>CV22+預測IC!CW22</f>
        <v>1.7178791774107698</v>
      </c>
      <c r="CX22" s="7">
        <f>CW22+預測IC!CX22</f>
        <v>1.7216287706786186</v>
      </c>
      <c r="CY22" s="7">
        <f>CX22+預測IC!CY22</f>
        <v>1.7136399449051094</v>
      </c>
      <c r="CZ22" s="7">
        <f>CY22+預測IC!CZ22</f>
        <v>1.9765604295043486</v>
      </c>
      <c r="DA22" s="7">
        <f>CZ22+預測IC!DA22</f>
        <v>1.9725686756224245</v>
      </c>
      <c r="DB22" s="7">
        <f>DA22+預測IC!DB22</f>
        <v>1.9141851687939324</v>
      </c>
      <c r="DC22" s="7">
        <f>DB22+預測IC!DC22</f>
        <v>1.8934603843497748</v>
      </c>
      <c r="DD22" s="7">
        <f>DC22+預測IC!DD22</f>
        <v>2.0413544869225784</v>
      </c>
      <c r="DE22" s="7">
        <f>DD22+預測IC!DE22</f>
        <v>2.0358627289406281</v>
      </c>
      <c r="DF22" s="7">
        <f>DE22+預測IC!DF22</f>
        <v>2.0528945042141813</v>
      </c>
      <c r="DG22" s="7">
        <f>DF22+預測IC!DG22</f>
        <v>2.0848795472950687</v>
      </c>
      <c r="DH22" s="7">
        <f>DG22+預測IC!DH22</f>
        <v>2.0988248934785725</v>
      </c>
      <c r="DI22" s="7">
        <f>DH22+預測IC!DI22</f>
        <v>2.1623858927408217</v>
      </c>
      <c r="DJ22" s="7">
        <f>DI22+預測IC!DJ22</f>
        <v>2.1121398869077259</v>
      </c>
      <c r="DK22" s="7">
        <f>DJ22+預測IC!DK22</f>
        <v>2.2912746007305662</v>
      </c>
      <c r="DL22" s="7">
        <f>DK22+預測IC!DL22</f>
        <v>2.4162162484679492</v>
      </c>
      <c r="DM22" s="7">
        <f>DL22+預測IC!DM22</f>
        <v>2.3527501974299159</v>
      </c>
      <c r="DN22" s="7">
        <f>DM22+預測IC!DN22</f>
        <v>2.3995135256339233</v>
      </c>
      <c r="DO22" s="7">
        <f>DN22+預測IC!DO22</f>
        <v>2.5229510269455613</v>
      </c>
      <c r="DP22" s="7">
        <f>DO22+預測IC!DP22</f>
        <v>2.5331782847984652</v>
      </c>
      <c r="DQ22" s="7">
        <f>DP22+預測IC!DQ22</f>
        <v>2.4021472809790252</v>
      </c>
      <c r="DR22" s="7">
        <f>DQ22+預測IC!DR22</f>
        <v>2.396054728363707</v>
      </c>
      <c r="DS22" s="7">
        <f>DR22+預測IC!DS22</f>
        <v>2.1990038068013478</v>
      </c>
      <c r="DT22" s="7">
        <f>DS22+預測IC!DT22</f>
        <v>2.1406467978045827</v>
      </c>
      <c r="DU22" s="7">
        <f>DT22+預測IC!DU22</f>
        <v>2.0831514069677435</v>
      </c>
      <c r="DV22" s="7">
        <f>DU22+預測IC!DV22</f>
        <v>2.2088565246459213</v>
      </c>
      <c r="DW22" s="7">
        <f>DV22+預測IC!DW22</f>
        <v>2.2872462483529183</v>
      </c>
      <c r="DX22" s="7">
        <f>DW22+預測IC!DX22</f>
        <v>2.0648036399046235</v>
      </c>
      <c r="DY22" s="7">
        <f>DX22+預測IC!DY22</f>
        <v>2.0566565232790834</v>
      </c>
      <c r="DZ22" s="7">
        <f>DY22+預測IC!DZ22</f>
        <v>1.952908542333526</v>
      </c>
      <c r="EA22" s="7">
        <f>DZ22+預測IC!EA22</f>
        <v>1.8823598934941672</v>
      </c>
      <c r="EB22" s="7">
        <f>EA22+預測IC!EB22</f>
        <v>1.8017631659588493</v>
      </c>
      <c r="EC22" s="7">
        <f>EB22+預測IC!EC22</f>
        <v>1.8232582675344875</v>
      </c>
      <c r="ED22" s="7">
        <f>EC22+預測IC!ED22</f>
        <v>1.74584470047688</v>
      </c>
      <c r="EE22" s="7">
        <f>ED22+預測IC!EE22</f>
        <v>1.7792910042890935</v>
      </c>
      <c r="EF22" s="7">
        <f>EE22+預測IC!EF22</f>
        <v>1.7445007579169212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f>C23+預測IC!D23</f>
        <v>0.25317859801090681</v>
      </c>
      <c r="E23" s="7">
        <f>D23+預測IC!E23</f>
        <v>0.1722374254402346</v>
      </c>
      <c r="F23" s="7">
        <f>E23+預測IC!F23</f>
        <v>3.0572516388332888E-2</v>
      </c>
      <c r="G23" s="7">
        <f>F23+預測IC!G23</f>
        <v>-2.1651657458165489E-2</v>
      </c>
      <c r="H23" s="7">
        <f>G23+預測IC!H23</f>
        <v>0.18206665042080961</v>
      </c>
      <c r="I23" s="7">
        <f>H23+預測IC!I23</f>
        <v>0.33021867902110358</v>
      </c>
      <c r="J23" s="7">
        <f>I23+預測IC!J23</f>
        <v>0.23205638787465122</v>
      </c>
      <c r="K23" s="7">
        <f>J23+預測IC!K23</f>
        <v>2.7566911402417626E-2</v>
      </c>
      <c r="L23" s="7">
        <f>K23+預測IC!L23</f>
        <v>8.1610441178016246E-2</v>
      </c>
      <c r="M23" s="7">
        <f>L23+預測IC!M23</f>
        <v>-0.18095890586932406</v>
      </c>
      <c r="N23" s="7">
        <f>M23+預測IC!N23</f>
        <v>-2.4539668233311274E-2</v>
      </c>
      <c r="O23" s="7">
        <f>N23+預測IC!O23</f>
        <v>0.18002470973969081</v>
      </c>
      <c r="P23" s="7">
        <f>O23+預測IC!P23</f>
        <v>8.9622998557565434E-2</v>
      </c>
      <c r="Q23" s="7">
        <f>P23+預測IC!Q23</f>
        <v>0.14919101545808594</v>
      </c>
      <c r="R23" s="7">
        <f>Q23+預測IC!R23</f>
        <v>9.2979872144830888E-2</v>
      </c>
      <c r="S23" s="7">
        <f>R23+預測IC!S23</f>
        <v>-2.0744660682431207E-2</v>
      </c>
      <c r="T23" s="7">
        <f>S23+預測IC!T23</f>
        <v>-2.1118029890909953E-2</v>
      </c>
      <c r="U23" s="7">
        <f>T23+預測IC!U23</f>
        <v>-0.11487545233170432</v>
      </c>
      <c r="V23" s="7">
        <f>U23+預測IC!V23</f>
        <v>-0.13790490944149544</v>
      </c>
      <c r="W23" s="7">
        <f>V23+預測IC!W23</f>
        <v>0.19371424080764907</v>
      </c>
      <c r="X23" s="7">
        <f>W23+預測IC!X23</f>
        <v>0.45779993577094635</v>
      </c>
      <c r="Y23" s="7">
        <f>X23+預測IC!Y23</f>
        <v>0.47245973730143659</v>
      </c>
      <c r="Z23" s="7">
        <f>Y23+預測IC!Z23</f>
        <v>0.50549225274531184</v>
      </c>
      <c r="AA23" s="7">
        <f>Z23+預測IC!AA23</f>
        <v>0.51209854471478211</v>
      </c>
      <c r="AB23" s="7">
        <f>AA23+預測IC!AB23</f>
        <v>0.57613832459156566</v>
      </c>
      <c r="AC23" s="7">
        <f>AB23+預測IC!AC23</f>
        <v>0.65248466273840366</v>
      </c>
      <c r="AD23" s="7">
        <f>AC23+預測IC!AD23</f>
        <v>0.66749556309545111</v>
      </c>
      <c r="AE23" s="7">
        <f>AD23+預測IC!AE23</f>
        <v>0.33515131448292562</v>
      </c>
      <c r="AF23" s="7">
        <f>AE23+預測IC!AF23</f>
        <v>0.40205757457267688</v>
      </c>
      <c r="AG23" s="7">
        <f>AF23+預測IC!AG23</f>
        <v>0.49393123221903706</v>
      </c>
      <c r="AH23" s="7">
        <f>AG23+預測IC!AH23</f>
        <v>0.40975964769585382</v>
      </c>
      <c r="AI23" s="7">
        <f>AH23+預測IC!AI23</f>
        <v>0.61891124631611749</v>
      </c>
      <c r="AJ23" s="7">
        <f>AI23+預測IC!AJ23</f>
        <v>0.64249868661014164</v>
      </c>
      <c r="AK23" s="7">
        <f>AJ23+預測IC!AK23</f>
        <v>0.75660978595733264</v>
      </c>
      <c r="AL23" s="7">
        <f>AK23+預測IC!AL23</f>
        <v>0.88804149914986819</v>
      </c>
      <c r="AM23" s="7">
        <f>AL23+預測IC!AM23</f>
        <v>0.89581098815473348</v>
      </c>
      <c r="AN23" s="7">
        <f>AM23+預測IC!AN23</f>
        <v>1.1381256875120342</v>
      </c>
      <c r="AO23" s="7">
        <f>AN23+預測IC!AO23</f>
        <v>1.1327887353206101</v>
      </c>
      <c r="AP23" s="7">
        <f>AO23+預測IC!AP23</f>
        <v>1.1359098346729157</v>
      </c>
      <c r="AQ23" s="7">
        <f>AP23+預測IC!AQ23</f>
        <v>1.2253348269325264</v>
      </c>
      <c r="AR23" s="7">
        <f>AQ23+預測IC!AR23</f>
        <v>1.5620788707775941</v>
      </c>
      <c r="AS23" s="7">
        <f>AR23+預測IC!AS23</f>
        <v>1.5473719827802166</v>
      </c>
      <c r="AT23" s="7">
        <f>AS23+預測IC!AT23</f>
        <v>1.505944260966567</v>
      </c>
      <c r="AU23" s="7">
        <f>AT23+預測IC!AU23</f>
        <v>1.5390897870950713</v>
      </c>
      <c r="AV23" s="7">
        <f>AU23+預測IC!AV23</f>
        <v>1.5114507928976972</v>
      </c>
      <c r="AW23" s="7">
        <f>AV23+預測IC!AW23</f>
        <v>1.4594238830592945</v>
      </c>
      <c r="AX23" s="7">
        <f>AW23+預測IC!AX23</f>
        <v>1.5292620368863385</v>
      </c>
      <c r="AY23" s="7">
        <f>AX23+預測IC!AY23</f>
        <v>1.6994960177269207</v>
      </c>
      <c r="AZ23" s="7">
        <f>AY23+預測IC!AZ23</f>
        <v>1.6357424003258605</v>
      </c>
      <c r="BA23" s="7">
        <f>AZ23+預測IC!BA23</f>
        <v>1.6453891804059613</v>
      </c>
      <c r="BB23" s="7">
        <f>BA23+預測IC!BB23</f>
        <v>1.5943396963030763</v>
      </c>
      <c r="BC23" s="7">
        <f>BB23+預測IC!BC23</f>
        <v>1.2935114471300104</v>
      </c>
      <c r="BD23" s="7">
        <f>BC23+預測IC!BD23</f>
        <v>1.3883423284764607</v>
      </c>
      <c r="BE23" s="7">
        <f>BD23+預測IC!BE23</f>
        <v>1.3169115660791642</v>
      </c>
      <c r="BF23" s="7">
        <f>BE23+預測IC!BF23</f>
        <v>1.294064575474478</v>
      </c>
      <c r="BG23" s="7">
        <f>BF23+預測IC!BG23</f>
        <v>1.3688260466712305</v>
      </c>
      <c r="BH23" s="7">
        <f>BG23+預測IC!BH23</f>
        <v>1.1653420653159434</v>
      </c>
      <c r="BI23" s="7">
        <f>BH23+預測IC!BI23</f>
        <v>1.3564541446391425</v>
      </c>
      <c r="BJ23" s="7">
        <f>BI23+預測IC!BJ23</f>
        <v>1.4604574599070694</v>
      </c>
      <c r="BK23" s="7">
        <f>BJ23+預測IC!BK23</f>
        <v>1.4624915682435469</v>
      </c>
      <c r="BL23" s="7">
        <f>BK23+預測IC!BL23</f>
        <v>1.6120258644937864</v>
      </c>
      <c r="BM23" s="7">
        <f>BL23+預測IC!BM23</f>
        <v>1.8012065512809403</v>
      </c>
      <c r="BN23" s="7">
        <f>BM23+預測IC!BN23</f>
        <v>1.7942593805221272</v>
      </c>
      <c r="BO23" s="7">
        <f>BN23+預測IC!BO23</f>
        <v>1.8307843222681264</v>
      </c>
      <c r="BP23" s="7">
        <f>BO23+預測IC!BP23</f>
        <v>1.9290507214795829</v>
      </c>
      <c r="BQ23" s="7">
        <f>BP23+預測IC!BQ23</f>
        <v>2.0010986229148489</v>
      </c>
      <c r="BR23" s="7">
        <f>BQ23+預測IC!BR23</f>
        <v>2.0189429443788116</v>
      </c>
      <c r="BS23" s="7">
        <f>BR23+預測IC!BS23</f>
        <v>1.9456675557208998</v>
      </c>
      <c r="BT23" s="7">
        <f>BS23+預測IC!BT23</f>
        <v>2.0893173617468968</v>
      </c>
      <c r="BU23" s="7">
        <f>BT23+預測IC!BU23</f>
        <v>2.2950050975928429</v>
      </c>
      <c r="BV23" s="7">
        <f>BU23+預測IC!BV23</f>
        <v>2.4084726659530316</v>
      </c>
      <c r="BW23" s="7">
        <f>BV23+預測IC!BW23</f>
        <v>2.2063203326773402</v>
      </c>
      <c r="BX23" s="7">
        <f>BW23+預測IC!BX23</f>
        <v>2.1981072129500872</v>
      </c>
      <c r="BY23" s="7">
        <f>BX23+預測IC!BY23</f>
        <v>2.1879015202557395</v>
      </c>
      <c r="BZ23" s="7">
        <f>BY23+預測IC!BZ23</f>
        <v>2.1955712826875842</v>
      </c>
      <c r="CA23" s="7">
        <f>BZ23+預測IC!CA23</f>
        <v>2.1199180829409552</v>
      </c>
      <c r="CB23" s="7">
        <f>CA23+預測IC!CB23</f>
        <v>1.9023038799485152</v>
      </c>
      <c r="CC23" s="7">
        <f>CB23+預測IC!CC23</f>
        <v>2.1272625074441955</v>
      </c>
      <c r="CD23" s="7">
        <f>CC23+預測IC!CD23</f>
        <v>2.3189389624589807</v>
      </c>
      <c r="CE23" s="7">
        <f>CD23+預測IC!CE23</f>
        <v>2.2023143556625193</v>
      </c>
      <c r="CF23" s="7">
        <f>CE23+預測IC!CF23</f>
        <v>2.3594492654536845</v>
      </c>
      <c r="CG23" s="7">
        <f>CF23+預測IC!CG23</f>
        <v>1.9662054775300077</v>
      </c>
      <c r="CH23" s="7">
        <f>CG23+預測IC!CH23</f>
        <v>2.146401926451436</v>
      </c>
      <c r="CI23" s="7">
        <f>CH23+預測IC!CI23</f>
        <v>1.8365025093233391</v>
      </c>
      <c r="CJ23" s="7">
        <f>CI23+預測IC!CJ23</f>
        <v>1.8166271417729285</v>
      </c>
      <c r="CK23" s="7">
        <f>CJ23+預測IC!CK23</f>
        <v>1.9127441365008901</v>
      </c>
      <c r="CL23" s="7">
        <f>CK23+預測IC!CL23</f>
        <v>1.5040831238334718</v>
      </c>
      <c r="CM23" s="7">
        <f>CL23+預測IC!CM23</f>
        <v>1.8908160703563812</v>
      </c>
      <c r="CN23" s="7">
        <f>CM23+預測IC!CN23</f>
        <v>1.8378108919865779</v>
      </c>
      <c r="CO23" s="7">
        <f>CN23+預測IC!CO23</f>
        <v>0.9288876046209581</v>
      </c>
      <c r="CP23" s="7">
        <f>CO23+預測IC!CP23</f>
        <v>1.2402483477837147</v>
      </c>
      <c r="CQ23" s="7">
        <f>CP23+預測IC!CQ23</f>
        <v>1.2310646032839088</v>
      </c>
      <c r="CR23" s="7">
        <f>CQ23+預測IC!CR23</f>
        <v>1.2426624071049874</v>
      </c>
      <c r="CS23" s="7">
        <f>CR23+預測IC!CS23</f>
        <v>1.2056881881137089</v>
      </c>
      <c r="CT23" s="7">
        <f>CS23+預測IC!CT23</f>
        <v>1.2513507298249629</v>
      </c>
      <c r="CU23" s="7">
        <f>CT23+預測IC!CU23</f>
        <v>1.2302941341116758</v>
      </c>
      <c r="CV23" s="7">
        <f>CU23+預測IC!CV23</f>
        <v>1.20804899662287</v>
      </c>
      <c r="CW23" s="7">
        <f>CV23+預測IC!CW23</f>
        <v>1.3089503284252886</v>
      </c>
      <c r="CX23" s="7">
        <f>CW23+預測IC!CX23</f>
        <v>1.2202333343287624</v>
      </c>
      <c r="CY23" s="7">
        <f>CX23+預測IC!CY23</f>
        <v>1.2422798650821409</v>
      </c>
      <c r="CZ23" s="7">
        <f>CY23+預測IC!CZ23</f>
        <v>1.4242786589394922</v>
      </c>
      <c r="DA23" s="7">
        <f>CZ23+預測IC!DA23</f>
        <v>1.3932965227135818</v>
      </c>
      <c r="DB23" s="7">
        <f>DA23+預測IC!DB23</f>
        <v>1.3773413658465854</v>
      </c>
      <c r="DC23" s="7">
        <f>DB23+預測IC!DC23</f>
        <v>1.4965318519169997</v>
      </c>
      <c r="DD23" s="7">
        <f>DC23+預測IC!DD23</f>
        <v>1.7099428963239964</v>
      </c>
      <c r="DE23" s="7">
        <f>DD23+預測IC!DE23</f>
        <v>1.7005476703723517</v>
      </c>
      <c r="DF23" s="7">
        <f>DE23+預測IC!DF23</f>
        <v>1.7624897974172571</v>
      </c>
      <c r="DG23" s="7">
        <f>DF23+預測IC!DG23</f>
        <v>1.8007598092919741</v>
      </c>
      <c r="DH23" s="7">
        <f>DG23+預測IC!DH23</f>
        <v>1.8561732566007165</v>
      </c>
      <c r="DI23" s="7">
        <f>DH23+預測IC!DI23</f>
        <v>1.9096528535167374</v>
      </c>
      <c r="DJ23" s="7">
        <f>DI23+預測IC!DJ23</f>
        <v>1.8225948453443896</v>
      </c>
      <c r="DK23" s="7">
        <f>DJ23+預測IC!DK23</f>
        <v>2.1004280619032327</v>
      </c>
      <c r="DL23" s="7">
        <f>DK23+預測IC!DL23</f>
        <v>2.3165291214435064</v>
      </c>
      <c r="DM23" s="7">
        <f>DL23+預測IC!DM23</f>
        <v>2.2970318165241403</v>
      </c>
      <c r="DN23" s="7">
        <f>DM23+預測IC!DN23</f>
        <v>2.3035290125681107</v>
      </c>
      <c r="DO23" s="7">
        <f>DN23+預測IC!DO23</f>
        <v>2.4676203163019448</v>
      </c>
      <c r="DP23" s="7">
        <f>DO23+預測IC!DP23</f>
        <v>2.5147085489576675</v>
      </c>
      <c r="DQ23" s="7">
        <f>DP23+預測IC!DQ23</f>
        <v>2.3444975524541296</v>
      </c>
      <c r="DR23" s="7">
        <f>DQ23+預測IC!DR23</f>
        <v>2.254611549722823</v>
      </c>
      <c r="DS23" s="7">
        <f>DR23+預測IC!DS23</f>
        <v>1.9665149728037767</v>
      </c>
      <c r="DT23" s="7">
        <f>DS23+預測IC!DT23</f>
        <v>1.8425597496075778</v>
      </c>
      <c r="DU23" s="7">
        <f>DT23+預測IC!DU23</f>
        <v>1.8768469348625754</v>
      </c>
      <c r="DV23" s="7">
        <f>DU23+預測IC!DV23</f>
        <v>2.153118543192015</v>
      </c>
      <c r="DW23" s="7">
        <f>DV23+預測IC!DW23</f>
        <v>2.2943467757748537</v>
      </c>
      <c r="DX23" s="7">
        <f>DW23+預測IC!DX23</f>
        <v>1.9808535693958875</v>
      </c>
      <c r="DY23" s="7">
        <f>DX23+預測IC!DY23</f>
        <v>2.1507303980481418</v>
      </c>
      <c r="DZ23" s="7">
        <f>DY23+預測IC!DZ23</f>
        <v>2.0478573794216293</v>
      </c>
      <c r="EA23" s="7">
        <f>DZ23+預測IC!EA23</f>
        <v>2.0244084718085098</v>
      </c>
      <c r="EB23" s="7">
        <f>EA23+預測IC!EB23</f>
        <v>1.9616550320978348</v>
      </c>
      <c r="EC23" s="7">
        <f>EB23+預測IC!EC23</f>
        <v>1.9250707157720215</v>
      </c>
      <c r="ED23" s="7">
        <f>EC23+預測IC!ED23</f>
        <v>1.8336448111522405</v>
      </c>
      <c r="EE23" s="7">
        <f>ED23+預測IC!EE23</f>
        <v>1.8926954950404808</v>
      </c>
      <c r="EF23" s="7">
        <f>EE23+預測IC!EF23</f>
        <v>1.8449132164488211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f>C24+預測IC!D24</f>
        <v>-4.9356457655301555E-3</v>
      </c>
      <c r="E24" s="7">
        <f>D24+預測IC!E24</f>
        <v>6.6464684403766752E-2</v>
      </c>
      <c r="F24" s="7">
        <f>E24+預測IC!F24</f>
        <v>-0.16069486223298207</v>
      </c>
      <c r="G24" s="7">
        <f>F24+預測IC!G24</f>
        <v>6.5065160824590323E-2</v>
      </c>
      <c r="H24" s="7">
        <f>G24+預測IC!H24</f>
        <v>0.31175188931516012</v>
      </c>
      <c r="I24" s="7">
        <f>H24+預測IC!I24</f>
        <v>0.30963995611201661</v>
      </c>
      <c r="J24" s="7">
        <f>I24+預測IC!J24</f>
        <v>0.20966776320188046</v>
      </c>
      <c r="K24" s="7">
        <f>J24+預測IC!K24</f>
        <v>0.18815248484692035</v>
      </c>
      <c r="L24" s="7">
        <f>K24+預測IC!L24</f>
        <v>0.28377573535560247</v>
      </c>
      <c r="M24" s="7">
        <f>L24+預測IC!M24</f>
        <v>-0.17925180884453601</v>
      </c>
      <c r="N24" s="7">
        <f>M24+預測IC!N24</f>
        <v>-3.5121356444102803E-2</v>
      </c>
      <c r="O24" s="7">
        <f>N24+預測IC!O24</f>
        <v>0.2001878369613202</v>
      </c>
      <c r="P24" s="7">
        <f>O24+預測IC!P24</f>
        <v>9.5939422552320699E-2</v>
      </c>
      <c r="Q24" s="7">
        <f>P24+預測IC!Q24</f>
        <v>0.15690438419902697</v>
      </c>
      <c r="R24" s="7">
        <f>Q24+預測IC!R24</f>
        <v>-8.8792986580232741E-2</v>
      </c>
      <c r="S24" s="7">
        <f>R24+預測IC!S24</f>
        <v>-0.44130744764039709</v>
      </c>
      <c r="T24" s="7">
        <f>S24+預測IC!T24</f>
        <v>-0.31761640354860787</v>
      </c>
      <c r="U24" s="7">
        <f>T24+預測IC!U24</f>
        <v>-0.46613507777252589</v>
      </c>
      <c r="V24" s="7">
        <f>U24+預測IC!V24</f>
        <v>-0.53327438061015442</v>
      </c>
      <c r="W24" s="7">
        <f>V24+預測IC!W24</f>
        <v>-3.7562394654211795E-2</v>
      </c>
      <c r="X24" s="7">
        <f>W24+預測IC!X24</f>
        <v>8.0460037851792107E-2</v>
      </c>
      <c r="Y24" s="7">
        <f>X24+預測IC!Y24</f>
        <v>8.9937052778209195E-2</v>
      </c>
      <c r="Z24" s="7">
        <f>Y24+預測IC!Z24</f>
        <v>0.1957793800570162</v>
      </c>
      <c r="AA24" s="7">
        <f>Z24+預測IC!AA24</f>
        <v>0.20932714829459348</v>
      </c>
      <c r="AB24" s="7">
        <f>AA24+預測IC!AB24</f>
        <v>0.40466677096983728</v>
      </c>
      <c r="AC24" s="7">
        <f>AB24+預測IC!AC24</f>
        <v>0.5300471517458023</v>
      </c>
      <c r="AD24" s="7">
        <f>AC24+預測IC!AD24</f>
        <v>0.53786899063843197</v>
      </c>
      <c r="AE24" s="7">
        <f>AD24+預測IC!AE24</f>
        <v>-3.3891306078492889E-3</v>
      </c>
      <c r="AF24" s="7">
        <f>AE24+預測IC!AF24</f>
        <v>1.913287942694121E-2</v>
      </c>
      <c r="AG24" s="7">
        <f>AF24+預測IC!AG24</f>
        <v>0.15786859705357881</v>
      </c>
      <c r="AH24" s="7">
        <f>AG24+預測IC!AH24</f>
        <v>0.10117123698578923</v>
      </c>
      <c r="AI24" s="7">
        <f>AH24+預測IC!AI24</f>
        <v>0.41158547221513153</v>
      </c>
      <c r="AJ24" s="7">
        <f>AI24+預測IC!AJ24</f>
        <v>0.49702067400599564</v>
      </c>
      <c r="AK24" s="7">
        <f>AJ24+預測IC!AK24</f>
        <v>0.58190462707418789</v>
      </c>
      <c r="AL24" s="7">
        <f>AK24+預測IC!AL24</f>
        <v>0.52722769158355254</v>
      </c>
      <c r="AM24" s="7">
        <f>AL24+預測IC!AM24</f>
        <v>0.50830841016302586</v>
      </c>
      <c r="AN24" s="7">
        <f>AM24+預測IC!AN24</f>
        <v>0.72949787530845711</v>
      </c>
      <c r="AO24" s="7">
        <f>AN24+預測IC!AO24</f>
        <v>0.79558798713744716</v>
      </c>
      <c r="AP24" s="7">
        <f>AO24+預測IC!AP24</f>
        <v>0.77273627164835079</v>
      </c>
      <c r="AQ24" s="7">
        <f>AP24+預測IC!AQ24</f>
        <v>0.81981324448259651</v>
      </c>
      <c r="AR24" s="7">
        <f>AQ24+預測IC!AR24</f>
        <v>0.82945250109020352</v>
      </c>
      <c r="AS24" s="7">
        <f>AR24+預測IC!AS24</f>
        <v>0.80149642382361341</v>
      </c>
      <c r="AT24" s="7">
        <f>AS24+預測IC!AT24</f>
        <v>0.83195563130832206</v>
      </c>
      <c r="AU24" s="7">
        <f>AT24+預測IC!AU24</f>
        <v>0.87605095117354637</v>
      </c>
      <c r="AV24" s="7">
        <f>AU24+預測IC!AV24</f>
        <v>0.7888989989866505</v>
      </c>
      <c r="AW24" s="7">
        <f>AV24+預測IC!AW24</f>
        <v>0.7938865404976897</v>
      </c>
      <c r="AX24" s="7">
        <f>AW24+預測IC!AX24</f>
        <v>0.82219272708611424</v>
      </c>
      <c r="AY24" s="7">
        <f>AX24+預測IC!AY24</f>
        <v>0.99032002097100369</v>
      </c>
      <c r="AZ24" s="7">
        <f>AY24+預測IC!AZ24</f>
        <v>1.0281870945706688</v>
      </c>
      <c r="BA24" s="7">
        <f>AZ24+預測IC!BA24</f>
        <v>0.97439236248603567</v>
      </c>
      <c r="BB24" s="7">
        <f>BA24+預測IC!BB24</f>
        <v>0.88823332909070085</v>
      </c>
      <c r="BC24" s="7">
        <f>BB24+預測IC!BC24</f>
        <v>8.5017316046323455E-2</v>
      </c>
      <c r="BD24" s="7">
        <f>BC24+預測IC!BD24</f>
        <v>0.27061253529275864</v>
      </c>
      <c r="BE24" s="7">
        <f>BD24+預測IC!BE24</f>
        <v>0.22454818126107176</v>
      </c>
      <c r="BF24" s="7">
        <f>BE24+預測IC!BF24</f>
        <v>0.31219951731516404</v>
      </c>
      <c r="BG24" s="7">
        <f>BF24+預測IC!BG24</f>
        <v>0.33903548318147497</v>
      </c>
      <c r="BH24" s="7">
        <f>BG24+預測IC!BH24</f>
        <v>-4.7219853732060002E-2</v>
      </c>
      <c r="BI24" s="7">
        <f>BH24+預測IC!BI24</f>
        <v>0.1764092523379871</v>
      </c>
      <c r="BJ24" s="7">
        <f>BI24+預測IC!BJ24</f>
        <v>0.17975756809287169</v>
      </c>
      <c r="BK24" s="7">
        <f>BJ24+預測IC!BK24</f>
        <v>0.18378111498715791</v>
      </c>
      <c r="BL24" s="7">
        <f>BK24+預測IC!BL24</f>
        <v>0.50094540891187456</v>
      </c>
      <c r="BM24" s="7">
        <f>BL24+預測IC!BM24</f>
        <v>0.51241842802961168</v>
      </c>
      <c r="BN24" s="7">
        <f>BM24+預測IC!BN24</f>
        <v>0.51926776987518641</v>
      </c>
      <c r="BO24" s="7">
        <f>BN24+預測IC!BO24</f>
        <v>0.35815807877954453</v>
      </c>
      <c r="BP24" s="7">
        <f>BO24+預測IC!BP24</f>
        <v>0.48150925990886645</v>
      </c>
      <c r="BQ24" s="7">
        <f>BP24+預測IC!BQ24</f>
        <v>0.4173396265787514</v>
      </c>
      <c r="BR24" s="7">
        <f>BQ24+預測IC!BR24</f>
        <v>0.45969584988216911</v>
      </c>
      <c r="BS24" s="7">
        <f>BR24+預測IC!BS24</f>
        <v>0.45841113239771214</v>
      </c>
      <c r="BT24" s="7">
        <f>BS24+預測IC!BT24</f>
        <v>0.57468182845189941</v>
      </c>
      <c r="BU24" s="7">
        <f>BT24+預測IC!BU24</f>
        <v>0.80300846001184012</v>
      </c>
      <c r="BV24" s="7">
        <f>BU24+預測IC!BV24</f>
        <v>0.91073691389982303</v>
      </c>
      <c r="BW24" s="7">
        <f>BV24+預測IC!BW24</f>
        <v>0.84890103026422992</v>
      </c>
      <c r="BX24" s="7">
        <f>BW24+預測IC!BX24</f>
        <v>0.71594097455377215</v>
      </c>
      <c r="BY24" s="7">
        <f>BX24+預測IC!BY24</f>
        <v>0.82568664372118949</v>
      </c>
      <c r="BZ24" s="7">
        <f>BY24+預測IC!BZ24</f>
        <v>1.0845795425711864</v>
      </c>
      <c r="CA24" s="7">
        <f>BZ24+預測IC!CA24</f>
        <v>0.96935786179777172</v>
      </c>
      <c r="CB24" s="7">
        <f>CA24+預測IC!CB24</f>
        <v>1.1781198360856409</v>
      </c>
      <c r="CC24" s="7">
        <f>CB24+預測IC!CC24</f>
        <v>1.6179743483525746</v>
      </c>
      <c r="CD24" s="7">
        <f>CC24+預測IC!CD24</f>
        <v>1.7622806590947695</v>
      </c>
      <c r="CE24" s="7">
        <f>CD24+預測IC!CE24</f>
        <v>1.552159223858681</v>
      </c>
      <c r="CF24" s="7">
        <f>CE24+預測IC!CF24</f>
        <v>1.7738805861040694</v>
      </c>
      <c r="CG24" s="7">
        <f>CF24+預測IC!CG24</f>
        <v>1.4500626070850089</v>
      </c>
      <c r="CH24" s="7">
        <f>CG24+預測IC!CH24</f>
        <v>1.8043399039275119</v>
      </c>
      <c r="CI24" s="7">
        <f>CH24+預測IC!CI24</f>
        <v>2.1327917246367765</v>
      </c>
      <c r="CJ24" s="7">
        <f>CI24+預測IC!CJ24</f>
        <v>2.1459012100561958</v>
      </c>
      <c r="CK24" s="7">
        <f>CJ24+預測IC!CK24</f>
        <v>2.2394312893718924</v>
      </c>
      <c r="CL24" s="7">
        <f>CK24+預測IC!CL24</f>
        <v>2.3811866227444329</v>
      </c>
      <c r="CM24" s="7">
        <f>CL24+預測IC!CM24</f>
        <v>2.9307737327035333</v>
      </c>
      <c r="CN24" s="7">
        <f>CM24+預測IC!CN24</f>
        <v>2.8230349662463201</v>
      </c>
      <c r="CO24" s="7">
        <f>CN24+預測IC!CO24</f>
        <v>2.0463817479100888</v>
      </c>
      <c r="CP24" s="7">
        <f>CO24+預測IC!CP24</f>
        <v>2.206725952724931</v>
      </c>
      <c r="CQ24" s="7">
        <f>CP24+預測IC!CQ24</f>
        <v>2.3214131265882276</v>
      </c>
      <c r="CR24" s="7">
        <f>CQ24+預測IC!CR24</f>
        <v>2.3824979648277842</v>
      </c>
      <c r="CS24" s="7">
        <f>CR24+預測IC!CS24</f>
        <v>2.2966027320809785</v>
      </c>
      <c r="CT24" s="7">
        <f>CS24+預測IC!CT24</f>
        <v>2.3930217402283742</v>
      </c>
      <c r="CU24" s="7">
        <f>CT24+預測IC!CU24</f>
        <v>2.3202703925716643</v>
      </c>
      <c r="CV24" s="7">
        <f>CU24+預測IC!CV24</f>
        <v>2.3353344401110396</v>
      </c>
      <c r="CW24" s="7">
        <f>CV24+預測IC!CW24</f>
        <v>2.5104516061830471</v>
      </c>
      <c r="CX24" s="7">
        <f>CW24+預測IC!CX24</f>
        <v>2.5656587998917342</v>
      </c>
      <c r="CY24" s="7">
        <f>CX24+預測IC!CY24</f>
        <v>2.4855918952549154</v>
      </c>
      <c r="CZ24" s="7">
        <f>CY24+預測IC!CZ24</f>
        <v>2.5977985236994825</v>
      </c>
      <c r="DA24" s="7">
        <f>CZ24+預測IC!DA24</f>
        <v>2.6223097278622371</v>
      </c>
      <c r="DB24" s="7">
        <f>DA24+預測IC!DB24</f>
        <v>2.426849055349583</v>
      </c>
      <c r="DC24" s="7">
        <f>DB24+預測IC!DC24</f>
        <v>2.6180248135201176</v>
      </c>
      <c r="DD24" s="7">
        <f>DC24+預測IC!DD24</f>
        <v>2.7714061942592236</v>
      </c>
      <c r="DE24" s="7">
        <f>DD24+預測IC!DE24</f>
        <v>2.5953434367496886</v>
      </c>
      <c r="DF24" s="7">
        <f>DE24+預測IC!DF24</f>
        <v>2.4906784607291272</v>
      </c>
      <c r="DG24" s="7">
        <f>DF24+預測IC!DG24</f>
        <v>2.5497842948534712</v>
      </c>
      <c r="DH24" s="7">
        <f>DG24+預測IC!DH24</f>
        <v>2.5506308199188377</v>
      </c>
      <c r="DI24" s="7">
        <f>DH24+預測IC!DI24</f>
        <v>2.692506278857107</v>
      </c>
      <c r="DJ24" s="7">
        <f>DI24+預測IC!DJ24</f>
        <v>2.5600176683478675</v>
      </c>
      <c r="DK24" s="7">
        <f>DJ24+預測IC!DK24</f>
        <v>2.8995268789783113</v>
      </c>
      <c r="DL24" s="7">
        <f>DK24+預測IC!DL24</f>
        <v>3.1126313052641925</v>
      </c>
      <c r="DM24" s="7">
        <f>DL24+預測IC!DM24</f>
        <v>2.9711917780373178</v>
      </c>
      <c r="DN24" s="7">
        <f>DM24+預測IC!DN24</f>
        <v>3.2045263488120139</v>
      </c>
      <c r="DO24" s="7">
        <f>DN24+預測IC!DO24</f>
        <v>3.3899671514447016</v>
      </c>
      <c r="DP24" s="7">
        <f>DO24+預測IC!DP24</f>
        <v>3.5043405769307157</v>
      </c>
      <c r="DQ24" s="7">
        <f>DP24+預測IC!DQ24</f>
        <v>3.3713632256947457</v>
      </c>
      <c r="DR24" s="7">
        <f>DQ24+預測IC!DR24</f>
        <v>3.3508475954827164</v>
      </c>
      <c r="DS24" s="7">
        <f>DR24+預測IC!DS24</f>
        <v>3.1345860544498709</v>
      </c>
      <c r="DT24" s="7">
        <f>DS24+預測IC!DT24</f>
        <v>3.0962231882797413</v>
      </c>
      <c r="DU24" s="7">
        <f>DT24+預測IC!DU24</f>
        <v>3.0485846010059836</v>
      </c>
      <c r="DV24" s="7">
        <f>DU24+預測IC!DV24</f>
        <v>3.2068092996497981</v>
      </c>
      <c r="DW24" s="7">
        <f>DV24+預測IC!DW24</f>
        <v>3.3156663895411285</v>
      </c>
      <c r="DX24" s="7">
        <f>DW24+預測IC!DX24</f>
        <v>3.0040732617486245</v>
      </c>
      <c r="DY24" s="7">
        <f>DX24+預測IC!DY24</f>
        <v>3.3478775485468333</v>
      </c>
      <c r="DZ24" s="7">
        <f>DY24+預測IC!DZ24</f>
        <v>3.2974083661437166</v>
      </c>
      <c r="EA24" s="7">
        <f>DZ24+預測IC!EA24</f>
        <v>3.3747592883710524</v>
      </c>
      <c r="EB24" s="7">
        <f>EA24+預測IC!EB24</f>
        <v>3.3451771120057585</v>
      </c>
      <c r="EC24" s="7">
        <f>EB24+預測IC!EC24</f>
        <v>3.3308671932350795</v>
      </c>
      <c r="ED24" s="7">
        <f>EC24+預測IC!ED24</f>
        <v>3.2746943479367174</v>
      </c>
      <c r="EE24" s="7">
        <f>ED24+預測IC!EE24</f>
        <v>3.3881237871279364</v>
      </c>
      <c r="EF24" s="7">
        <f>EE24+預測IC!EF24</f>
        <v>3.4554004641719049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25"/>
  <sheetViews>
    <sheetView topLeftCell="DM22" zoomScale="118" workbookViewId="0">
      <selection activeCell="EC36" sqref="EC36"/>
    </sheetView>
  </sheetViews>
  <sheetFormatPr defaultRowHeight="15" x14ac:dyDescent="0.3"/>
  <cols>
    <col min="137" max="137" width="10" bestFit="1" customWidth="1"/>
  </cols>
  <sheetData>
    <row r="1" spans="1:137" x14ac:dyDescent="0.3">
      <c r="A1" t="str">
        <f>預測IC!A1</f>
        <v>NN5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138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139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B12" s="1" t="s">
        <v>152</v>
      </c>
      <c r="C12" s="7">
        <v>8.4653346747999555E-2</v>
      </c>
      <c r="D12" s="7">
        <f>C12+預測IC!D12</f>
        <v>0.10547514201987786</v>
      </c>
      <c r="E12" s="7">
        <f>D12+預測IC!E12</f>
        <v>9.8721113661519935E-2</v>
      </c>
      <c r="F12" s="7">
        <f>E12+預測IC!F12</f>
        <v>7.8852288713613591E-2</v>
      </c>
      <c r="G12" s="7">
        <f>F12+預測IC!G12</f>
        <v>8.6756635459541959E-2</v>
      </c>
      <c r="H12" s="7">
        <f>G12+預測IC!H12</f>
        <v>9.6116019221297616E-2</v>
      </c>
      <c r="I12" s="7">
        <f>H12+預測IC!I12</f>
        <v>0.13241995607034962</v>
      </c>
      <c r="J12" s="7">
        <f>I12+預測IC!J12</f>
        <v>0.17620453481522114</v>
      </c>
      <c r="K12" s="7">
        <f>J12+預測IC!K12</f>
        <v>0.16521613096239904</v>
      </c>
      <c r="L12" s="7">
        <f>K12+預測IC!L12</f>
        <v>0.16293890018143578</v>
      </c>
      <c r="M12" s="7">
        <f>L12+預測IC!M12</f>
        <v>0.14738709598127464</v>
      </c>
      <c r="N12" s="7">
        <f>M12+預測IC!N12</f>
        <v>0.19946120365663375</v>
      </c>
      <c r="O12" s="7">
        <f>N12+預測IC!O12</f>
        <v>0.21809109230261273</v>
      </c>
      <c r="P12" s="7">
        <f>O12+預測IC!P12</f>
        <v>0.19667067109815037</v>
      </c>
      <c r="Q12" s="7">
        <f>P12+預測IC!Q12</f>
        <v>0.16287788697724265</v>
      </c>
      <c r="R12" s="7">
        <f>Q12+預測IC!R12</f>
        <v>0.17627539321717839</v>
      </c>
      <c r="S12" s="7">
        <f>R12+預測IC!S12</f>
        <v>0.10522149612257134</v>
      </c>
      <c r="T12" s="7">
        <f>S12+預測IC!T12</f>
        <v>6.197800730305817E-2</v>
      </c>
      <c r="U12" s="7">
        <f>T12+預測IC!U12</f>
        <v>4.161078674992718E-2</v>
      </c>
      <c r="V12" s="7">
        <f>U12+預測IC!V12</f>
        <v>8.6640777552775897E-2</v>
      </c>
      <c r="W12" s="7">
        <f>V12+預測IC!W12</f>
        <v>0.10891921952608764</v>
      </c>
      <c r="X12" s="7">
        <f>W12+預測IC!X12</f>
        <v>0.15743849430640211</v>
      </c>
      <c r="Y12" s="7">
        <f>X12+預測IC!Y12</f>
        <v>0.14065011705458602</v>
      </c>
      <c r="Z12" s="7">
        <f>Y12+預測IC!Z12</f>
        <v>0.20427380037015999</v>
      </c>
      <c r="AA12" s="7">
        <f>Z12+預測IC!AA12</f>
        <v>0.1648701389690482</v>
      </c>
      <c r="AB12" s="7">
        <f>AA12+預測IC!AB12</f>
        <v>0.19955924952052637</v>
      </c>
      <c r="AC12" s="7">
        <f>AB12+預測IC!AC12</f>
        <v>0.23467401358417278</v>
      </c>
      <c r="AD12" s="7">
        <f>AC12+預測IC!AD12</f>
        <v>0.24052112358340999</v>
      </c>
      <c r="AE12" s="7">
        <f>AD12+預測IC!AE12</f>
        <v>0.20262350005117941</v>
      </c>
      <c r="AF12" s="7">
        <f>AE12+預測IC!AF12</f>
        <v>0.22305565135504435</v>
      </c>
      <c r="AG12" s="7">
        <f>AF12+預測IC!AG12</f>
        <v>0.25303779628776873</v>
      </c>
      <c r="AH12" s="7">
        <f>AG12+預測IC!AH12</f>
        <v>0.26644360093740194</v>
      </c>
      <c r="AI12" s="7">
        <f>AH12+預測IC!AI12</f>
        <v>0.28969006011626652</v>
      </c>
      <c r="AJ12" s="7">
        <f>AI12+預測IC!AJ12</f>
        <v>0.31075232280994008</v>
      </c>
      <c r="AK12" s="7">
        <f>AJ12+預測IC!AK12</f>
        <v>0.35887602696207449</v>
      </c>
      <c r="AL12" s="7">
        <f>AK12+預測IC!AL12</f>
        <v>0.37673502998399655</v>
      </c>
      <c r="AM12" s="7">
        <f>AL12+預測IC!AM12</f>
        <v>0.40682114559659449</v>
      </c>
      <c r="AN12" s="7">
        <f>AM12+預測IC!AN12</f>
        <v>0.47605437991002303</v>
      </c>
      <c r="AO12" s="7">
        <f>AN12+預測IC!AO12</f>
        <v>0.47828317294969608</v>
      </c>
      <c r="AP12" s="7">
        <f>AO12+預測IC!AP12</f>
        <v>0.44456482816784693</v>
      </c>
      <c r="AQ12" s="7">
        <f>AP12+預測IC!AQ12</f>
        <v>0.4369428917792631</v>
      </c>
      <c r="AR12" s="7">
        <f>AQ12+預測IC!AR12</f>
        <v>0.45046915122922948</v>
      </c>
      <c r="AS12" s="7">
        <f>AR12+預測IC!AS12</f>
        <v>0.46956886968393008</v>
      </c>
      <c r="AT12" s="7">
        <f>AS12+預測IC!AT12</f>
        <v>0.48340377439160126</v>
      </c>
      <c r="AU12" s="7">
        <f>AT12+預測IC!AU12</f>
        <v>0.50411243307247666</v>
      </c>
      <c r="AV12" s="7">
        <f>AU12+預測IC!AV12</f>
        <v>0.46275234832745166</v>
      </c>
      <c r="AW12" s="7">
        <f>AV12+預測IC!AW12</f>
        <v>0.46337382534546773</v>
      </c>
      <c r="AX12" s="7">
        <f>AW12+預測IC!AX12</f>
        <v>0.50697229259889054</v>
      </c>
      <c r="AY12" s="7">
        <f>AX12+預測IC!AY12</f>
        <v>0.53192758566656384</v>
      </c>
      <c r="AZ12" s="7">
        <f>AY12+預測IC!AZ12</f>
        <v>0.52962755959490615</v>
      </c>
      <c r="BA12" s="7">
        <f>AZ12+預測IC!BA12</f>
        <v>0.53456544777814796</v>
      </c>
      <c r="BB12" s="7">
        <f>BA12+預測IC!BB12</f>
        <v>0.54984005303060735</v>
      </c>
      <c r="BC12" s="7">
        <f>BB12+預測IC!BC12</f>
        <v>0.56211284206908385</v>
      </c>
      <c r="BD12" s="7">
        <f>BC12+預測IC!BD12</f>
        <v>0.57574339901073646</v>
      </c>
      <c r="BE12" s="7">
        <f>BD12+預測IC!BE12</f>
        <v>0.59435220885012174</v>
      </c>
      <c r="BF12" s="7">
        <f>BE12+預測IC!BF12</f>
        <v>0.66214456133332189</v>
      </c>
      <c r="BG12" s="7">
        <f>BF12+預測IC!BG12</f>
        <v>0.69581542377458472</v>
      </c>
      <c r="BH12" s="7">
        <f>BG12+預測IC!BH12</f>
        <v>0.71003878378590668</v>
      </c>
      <c r="BI12" s="7">
        <f>BH12+預測IC!BI12</f>
        <v>0.76006003681689749</v>
      </c>
      <c r="BJ12" s="7">
        <f>BI12+預測IC!BJ12</f>
        <v>0.75926404349697962</v>
      </c>
      <c r="BK12" s="7">
        <f>BJ12+預測IC!BK12</f>
        <v>0.7379793785368457</v>
      </c>
      <c r="BL12" s="7">
        <f>BK12+預測IC!BL12</f>
        <v>0.76268862436699436</v>
      </c>
      <c r="BM12" s="7">
        <f>BL12+預測IC!BM12</f>
        <v>0.75751953241076453</v>
      </c>
      <c r="BN12" s="7">
        <f>BM12+預測IC!BN12</f>
        <v>0.76903606792286106</v>
      </c>
      <c r="BO12" s="7">
        <f>BN12+預測IC!BO12</f>
        <v>0.79328237817909797</v>
      </c>
      <c r="BP12" s="7">
        <f>BO12+預測IC!BP12</f>
        <v>0.78277339287380387</v>
      </c>
      <c r="BQ12" s="7">
        <f>BP12+預測IC!BQ12</f>
        <v>0.79667014249255053</v>
      </c>
      <c r="BR12" s="7">
        <f>BQ12+預測IC!BR12</f>
        <v>0.7944091340391517</v>
      </c>
      <c r="BS12" s="7">
        <f>BR12+預測IC!BS12</f>
        <v>0.81327242742354766</v>
      </c>
      <c r="BT12" s="7">
        <f>BS12+預測IC!BT12</f>
        <v>0.83530389610099187</v>
      </c>
      <c r="BU12" s="7">
        <f>BT12+預測IC!BU12</f>
        <v>0.84408541324108832</v>
      </c>
      <c r="BV12" s="7">
        <f>BU12+預測IC!BV12</f>
        <v>0.86714786897427931</v>
      </c>
      <c r="BW12" s="7">
        <f>BV12+預測IC!BW12</f>
        <v>0.8376641002547498</v>
      </c>
      <c r="BX12" s="7">
        <f>BW12+預測IC!BX12</f>
        <v>0.8491412622586999</v>
      </c>
      <c r="BY12" s="7">
        <f>BX12+預測IC!BY12</f>
        <v>0.81577046192712843</v>
      </c>
      <c r="BZ12" s="7">
        <f>BY12+預測IC!BZ12</f>
        <v>0.86112740761840145</v>
      </c>
      <c r="CA12" s="7">
        <f>BZ12+預測IC!CA12</f>
        <v>0.82672712017805894</v>
      </c>
      <c r="CB12" s="7">
        <f>CA12+預測IC!CB12</f>
        <v>0.82867036230982183</v>
      </c>
      <c r="CC12" s="7">
        <f>CB12+預測IC!CC12</f>
        <v>0.81189939791571164</v>
      </c>
      <c r="CD12" s="7">
        <f>CC12+預測IC!CD12</f>
        <v>0.92283303150016416</v>
      </c>
      <c r="CE12" s="7">
        <f>CD12+預測IC!CE12</f>
        <v>0.93445243994239335</v>
      </c>
      <c r="CF12" s="7">
        <f>CE12+預測IC!CF12</f>
        <v>0.96222002335616552</v>
      </c>
      <c r="CG12" s="7">
        <f>CF12+預測IC!CG12</f>
        <v>1.0040772574062287</v>
      </c>
      <c r="CH12" s="7">
        <f>CG12+預測IC!CH12</f>
        <v>1.0673746297841886</v>
      </c>
      <c r="CI12" s="7">
        <f>CH12+預測IC!CI12</f>
        <v>1.032718717371983</v>
      </c>
      <c r="CJ12" s="7">
        <f>CI12+預測IC!CJ12</f>
        <v>1.0481638978506718</v>
      </c>
      <c r="CK12" s="7">
        <f>CJ12+預測IC!CK12</f>
        <v>1.0609670420055066</v>
      </c>
      <c r="CL12" s="7">
        <f>CK12+預測IC!CL12</f>
        <v>1.178982649675117</v>
      </c>
      <c r="CM12" s="7">
        <f>CL12+預測IC!CM12</f>
        <v>1.1637629235077762</v>
      </c>
      <c r="CN12" s="7">
        <f>CM12+預測IC!CN12</f>
        <v>1.1366792222932169</v>
      </c>
      <c r="CO12" s="7">
        <f>CN12+預測IC!CO12</f>
        <v>1.1094130954131112</v>
      </c>
      <c r="CP12" s="7">
        <f>CO12+預測IC!CP12</f>
        <v>1.1547121168806049</v>
      </c>
      <c r="CQ12" s="7">
        <f>CP12+預測IC!CQ12</f>
        <v>1.1912843117905385</v>
      </c>
      <c r="CR12" s="7">
        <f>CQ12+預測IC!CR12</f>
        <v>1.1934021902211909</v>
      </c>
      <c r="CS12" s="7">
        <f>CR12+預測IC!CS12</f>
        <v>1.1782005425341453</v>
      </c>
      <c r="CT12" s="7">
        <f>CS12+預測IC!CT12</f>
        <v>1.1773765065106143</v>
      </c>
      <c r="CU12" s="7">
        <f>CT12+預測IC!CU12</f>
        <v>1.2130002221728096</v>
      </c>
      <c r="CV12" s="7">
        <f>CU12+預測IC!CV12</f>
        <v>1.2211128485483467</v>
      </c>
      <c r="CW12" s="7">
        <f>CV12+預測IC!CW12</f>
        <v>1.2266607732928789</v>
      </c>
      <c r="CX12" s="7">
        <f>CW12+預測IC!CX12</f>
        <v>1.2876506558298706</v>
      </c>
      <c r="CY12" s="7">
        <f>CX12+預測IC!CY12</f>
        <v>1.2816677136183801</v>
      </c>
      <c r="CZ12" s="7">
        <f>CY12+預測IC!CZ12</f>
        <v>1.3594600409578808</v>
      </c>
      <c r="DA12" s="7">
        <f>CZ12+預測IC!DA12</f>
        <v>1.3650638250282412</v>
      </c>
      <c r="DB12" s="7">
        <f>DA12+預測IC!DB12</f>
        <v>1.3420819490741143</v>
      </c>
      <c r="DC12" s="7">
        <f>DB12+預測IC!DC12</f>
        <v>1.3760551519488891</v>
      </c>
      <c r="DD12" s="7">
        <f>DC12+預測IC!DD12</f>
        <v>1.4009441300061296</v>
      </c>
      <c r="DE12" s="7">
        <f>DD12+預測IC!DE12</f>
        <v>1.4021422383873507</v>
      </c>
      <c r="DF12" s="7">
        <f>DE12+預測IC!DF12</f>
        <v>1.3953077126513103</v>
      </c>
      <c r="DG12" s="7">
        <f>DF12+預測IC!DG12</f>
        <v>1.3943600037119934</v>
      </c>
      <c r="DH12" s="7">
        <f>DG12+預測IC!DH12</f>
        <v>1.3905373217405608</v>
      </c>
      <c r="DI12" s="7">
        <f>DH12+預測IC!DI12</f>
        <v>1.3360941487484284</v>
      </c>
      <c r="DJ12" s="7">
        <f>DI12+預測IC!DJ12</f>
        <v>1.3441567470031988</v>
      </c>
      <c r="DK12" s="7">
        <f>DJ12+預測IC!DK12</f>
        <v>1.3282107938761825</v>
      </c>
      <c r="DL12" s="7">
        <f>DK12+預測IC!DL12</f>
        <v>1.3278561178535386</v>
      </c>
      <c r="DM12" s="7">
        <f>DL12+預測IC!DM12</f>
        <v>1.3230157686084587</v>
      </c>
      <c r="DN12" s="7">
        <f>DM12+預測IC!DN12</f>
        <v>1.3654261339945235</v>
      </c>
      <c r="DO12" s="7">
        <f>DN12+預測IC!DO12</f>
        <v>1.3880258676748523</v>
      </c>
      <c r="DP12" s="7">
        <f>DO12+預測IC!DP12</f>
        <v>1.4206103172751494</v>
      </c>
      <c r="DQ12" s="7">
        <f>DP12+預測IC!DQ12</f>
        <v>1.3978404523661134</v>
      </c>
      <c r="DR12" s="7">
        <f>DQ12+預測IC!DR12</f>
        <v>1.4166193956455004</v>
      </c>
      <c r="DS12" s="7">
        <f>DR12+預測IC!DS12</f>
        <v>1.3808932401938026</v>
      </c>
      <c r="DT12" s="7">
        <f>DS12+預測IC!DT12</f>
        <v>1.3355953567994021</v>
      </c>
      <c r="DU12" s="7">
        <f>DT12+預測IC!DU12</f>
        <v>1.3493480048857847</v>
      </c>
      <c r="DV12" s="7">
        <f>DU12+預測IC!DV12</f>
        <v>1.3978988293633154</v>
      </c>
      <c r="DW12" s="7">
        <f>DV12+預測IC!DW12</f>
        <v>1.4416243935833528</v>
      </c>
      <c r="DX12" s="7">
        <f>DW12+預測IC!DX12</f>
        <v>1.3914723130409912</v>
      </c>
      <c r="DY12" s="7">
        <f>DX12+預測IC!DY12</f>
        <v>1.4068295831594861</v>
      </c>
      <c r="DZ12" s="7">
        <f>DY12+預測IC!DZ12</f>
        <v>1.4026938576793087</v>
      </c>
      <c r="EA12" s="7">
        <f>DZ12+預測IC!EA12</f>
        <v>1.4666977990025056</v>
      </c>
      <c r="EB12" s="7">
        <f>EA12+預測IC!EB12</f>
        <v>1.4695261257773584</v>
      </c>
      <c r="EC12" s="7">
        <f>EB12+預測IC!EC12</f>
        <v>1.4961776353570237</v>
      </c>
      <c r="ED12" s="7">
        <f>EC12+預測IC!ED12</f>
        <v>1.4356694825485397</v>
      </c>
      <c r="EE12" s="7">
        <f>ED12+預測IC!EE12</f>
        <v>1.4475865788210271</v>
      </c>
      <c r="EF12" s="7">
        <f>EE12+預測IC!EF12</f>
        <v>1.4868199268598228</v>
      </c>
    </row>
    <row r="13" spans="1:137" x14ac:dyDescent="0.3">
      <c r="B13" s="1" t="s">
        <v>153</v>
      </c>
      <c r="C13" s="7">
        <v>0.104112750252762</v>
      </c>
      <c r="D13" s="7">
        <f>C13+預測IC!D13</f>
        <v>0.13399036085732077</v>
      </c>
      <c r="E13" s="7">
        <f>D13+預測IC!E13</f>
        <v>9.9493741365967725E-2</v>
      </c>
      <c r="F13" s="7">
        <f>E13+預測IC!F13</f>
        <v>6.4571585483313224E-2</v>
      </c>
      <c r="G13" s="7">
        <f>F13+預測IC!G13</f>
        <v>4.9663605726009835E-2</v>
      </c>
      <c r="H13" s="7">
        <f>G13+預測IC!H13</f>
        <v>6.5593990295354954E-2</v>
      </c>
      <c r="I13" s="7">
        <f>H13+預測IC!I13</f>
        <v>9.8276853280077292E-2</v>
      </c>
      <c r="J13" s="7">
        <f>I13+預測IC!J13</f>
        <v>0.13282674524972199</v>
      </c>
      <c r="K13" s="7">
        <f>J13+預測IC!K13</f>
        <v>8.7495755007502979E-2</v>
      </c>
      <c r="L13" s="7">
        <f>K13+預測IC!L13</f>
        <v>5.8360085970057513E-2</v>
      </c>
      <c r="M13" s="7">
        <f>L13+預測IC!M13</f>
        <v>6.6068742232549715E-2</v>
      </c>
      <c r="N13" s="7">
        <f>M13+預測IC!N13</f>
        <v>0.10922069445631657</v>
      </c>
      <c r="O13" s="7">
        <f>N13+預測IC!O13</f>
        <v>0.14549397017623905</v>
      </c>
      <c r="P13" s="7">
        <f>O13+預測IC!P13</f>
        <v>0.1246370571148335</v>
      </c>
      <c r="Q13" s="7">
        <f>P13+預測IC!Q13</f>
        <v>8.0418792886863447E-2</v>
      </c>
      <c r="R13" s="7">
        <f>Q13+預測IC!R13</f>
        <v>8.6908703062937839E-2</v>
      </c>
      <c r="S13" s="7">
        <f>R13+預測IC!S13</f>
        <v>-3.6006594940612757E-2</v>
      </c>
      <c r="T13" s="7">
        <f>S13+預測IC!T13</f>
        <v>-8.8906397849306096E-2</v>
      </c>
      <c r="U13" s="7">
        <f>T13+預測IC!U13</f>
        <v>-0.14306747289100027</v>
      </c>
      <c r="V13" s="7">
        <f>U13+預測IC!V13</f>
        <v>-9.0287733990766617E-2</v>
      </c>
      <c r="W13" s="7">
        <f>V13+預測IC!W13</f>
        <v>-5.9184646106396725E-2</v>
      </c>
      <c r="X13" s="7">
        <f>W13+預測IC!X13</f>
        <v>1.056632266265984E-2</v>
      </c>
      <c r="Y13" s="7">
        <f>X13+預測IC!Y13</f>
        <v>-1.5905560554682681E-2</v>
      </c>
      <c r="Z13" s="7">
        <f>Y13+預測IC!Z13</f>
        <v>6.2518874250500872E-2</v>
      </c>
      <c r="AA13" s="7">
        <f>Z13+預測IC!AA13</f>
        <v>3.0399363912029589E-2</v>
      </c>
      <c r="AB13" s="7">
        <f>AA13+預測IC!AB13</f>
        <v>7.7077584033406865E-2</v>
      </c>
      <c r="AC13" s="7">
        <f>AB13+預測IC!AC13</f>
        <v>9.8949140194784402E-2</v>
      </c>
      <c r="AD13" s="7">
        <f>AC13+預測IC!AD13</f>
        <v>0.10552818539732518</v>
      </c>
      <c r="AE13" s="7">
        <f>AD13+預測IC!AE13</f>
        <v>6.3010973941534015E-2</v>
      </c>
      <c r="AF13" s="7">
        <f>AE13+預測IC!AF13</f>
        <v>9.4951437775835243E-2</v>
      </c>
      <c r="AG13" s="7">
        <f>AF13+預測IC!AG13</f>
        <v>0.12663322083083814</v>
      </c>
      <c r="AH13" s="7">
        <f>AG13+預測IC!AH13</f>
        <v>0.13627456007035454</v>
      </c>
      <c r="AI13" s="7">
        <f>AH13+預測IC!AI13</f>
        <v>0.15618447029076801</v>
      </c>
      <c r="AJ13" s="7">
        <f>AI13+預測IC!AJ13</f>
        <v>0.17607079432194572</v>
      </c>
      <c r="AK13" s="7">
        <f>AJ13+預測IC!AK13</f>
        <v>0.24205870713260172</v>
      </c>
      <c r="AL13" s="7">
        <f>AK13+預測IC!AL13</f>
        <v>0.26521013572777274</v>
      </c>
      <c r="AM13" s="7">
        <f>AL13+預測IC!AM13</f>
        <v>0.31149257926460167</v>
      </c>
      <c r="AN13" s="7">
        <f>AM13+預測IC!AN13</f>
        <v>0.41682281740063576</v>
      </c>
      <c r="AO13" s="7">
        <f>AN13+預測IC!AO13</f>
        <v>0.42613400530005069</v>
      </c>
      <c r="AP13" s="7">
        <f>AO13+預測IC!AP13</f>
        <v>0.36658316493805299</v>
      </c>
      <c r="AQ13" s="7">
        <f>AP13+預測IC!AQ13</f>
        <v>0.36053387616915328</v>
      </c>
      <c r="AR13" s="7">
        <f>AQ13+預測IC!AR13</f>
        <v>0.37122306170508895</v>
      </c>
      <c r="AS13" s="7">
        <f>AR13+預測IC!AS13</f>
        <v>0.41253618018932303</v>
      </c>
      <c r="AT13" s="7">
        <f>AS13+預測IC!AT13</f>
        <v>0.45299926804376278</v>
      </c>
      <c r="AU13" s="7">
        <f>AT13+預測IC!AU13</f>
        <v>0.49397539451974165</v>
      </c>
      <c r="AV13" s="7">
        <f>AU13+預測IC!AV13</f>
        <v>0.48449992188018859</v>
      </c>
      <c r="AW13" s="7">
        <f>AV13+預測IC!AW13</f>
        <v>0.48857993546325201</v>
      </c>
      <c r="AX13" s="7">
        <f>AW13+預測IC!AX13</f>
        <v>0.55573372324636239</v>
      </c>
      <c r="AY13" s="7">
        <f>AX13+預測IC!AY13</f>
        <v>0.5732980695949873</v>
      </c>
      <c r="AZ13" s="7">
        <f>AY13+預測IC!AZ13</f>
        <v>0.56519460212548789</v>
      </c>
      <c r="BA13" s="7">
        <f>AZ13+預測IC!BA13</f>
        <v>0.57173553973254887</v>
      </c>
      <c r="BB13" s="7">
        <f>BA13+預測IC!BB13</f>
        <v>0.61461091422935976</v>
      </c>
      <c r="BC13" s="7">
        <f>BB13+預測IC!BC13</f>
        <v>0.62589468134101744</v>
      </c>
      <c r="BD13" s="7">
        <f>BC13+預測IC!BD13</f>
        <v>0.62923910972469876</v>
      </c>
      <c r="BE13" s="7">
        <f>BD13+預測IC!BE13</f>
        <v>0.65663091603034029</v>
      </c>
      <c r="BF13" s="7">
        <f>BE13+預測IC!BF13</f>
        <v>0.74056033133783705</v>
      </c>
      <c r="BG13" s="7">
        <f>BF13+預測IC!BG13</f>
        <v>0.7871267936765487</v>
      </c>
      <c r="BH13" s="7">
        <f>BG13+預測IC!BH13</f>
        <v>0.79560252348816773</v>
      </c>
      <c r="BI13" s="7">
        <f>BH13+預測IC!BI13</f>
        <v>0.84801165594486916</v>
      </c>
      <c r="BJ13" s="7">
        <f>BI13+預測IC!BJ13</f>
        <v>0.8311645699546043</v>
      </c>
      <c r="BK13" s="7">
        <f>BJ13+預測IC!BK13</f>
        <v>0.81277354507485489</v>
      </c>
      <c r="BL13" s="7">
        <f>BK13+預測IC!BL13</f>
        <v>0.84472140528803008</v>
      </c>
      <c r="BM13" s="7">
        <f>BL13+預測IC!BM13</f>
        <v>0.86164002090691172</v>
      </c>
      <c r="BN13" s="7">
        <f>BM13+預測IC!BN13</f>
        <v>0.87269256278218799</v>
      </c>
      <c r="BO13" s="7">
        <f>BN13+預測IC!BO13</f>
        <v>0.90357127901566214</v>
      </c>
      <c r="BP13" s="7">
        <f>BO13+預測IC!BP13</f>
        <v>0.91300397471031369</v>
      </c>
      <c r="BQ13" s="7">
        <f>BP13+預測IC!BQ13</f>
        <v>0.95465703849973949</v>
      </c>
      <c r="BR13" s="7">
        <f>BQ13+預測IC!BR13</f>
        <v>0.94797562101618205</v>
      </c>
      <c r="BS13" s="7">
        <f>BR13+預測IC!BS13</f>
        <v>0.95539509285640167</v>
      </c>
      <c r="BT13" s="7">
        <f>BS13+預測IC!BT13</f>
        <v>0.99373859847287449</v>
      </c>
      <c r="BU13" s="7">
        <f>BT13+預測IC!BU13</f>
        <v>1.0114451535094282</v>
      </c>
      <c r="BV13" s="7">
        <f>BU13+預測IC!BV13</f>
        <v>1.0320987503856369</v>
      </c>
      <c r="BW13" s="7">
        <f>BV13+預測IC!BW13</f>
        <v>1.033861988196314</v>
      </c>
      <c r="BX13" s="7">
        <f>BW13+預測IC!BX13</f>
        <v>1.0549400557203406</v>
      </c>
      <c r="BY13" s="7">
        <f>BX13+預測IC!BY13</f>
        <v>1.0404276580498502</v>
      </c>
      <c r="BZ13" s="7">
        <f>BY13+預測IC!BZ13</f>
        <v>1.1165657811089003</v>
      </c>
      <c r="CA13" s="7">
        <f>BZ13+預測IC!CA13</f>
        <v>1.0830342155085033</v>
      </c>
      <c r="CB13" s="7">
        <f>CA13+預測IC!CB13</f>
        <v>1.0764383887832831</v>
      </c>
      <c r="CC13" s="7">
        <f>CB13+預測IC!CC13</f>
        <v>1.0639074765706498</v>
      </c>
      <c r="CD13" s="7">
        <f>CC13+預測IC!CD13</f>
        <v>1.1689933094629772</v>
      </c>
      <c r="CE13" s="7">
        <f>CD13+預測IC!CE13</f>
        <v>1.178214293788391</v>
      </c>
      <c r="CF13" s="7">
        <f>CE13+預測IC!CF13</f>
        <v>1.2227285605134603</v>
      </c>
      <c r="CG13" s="7">
        <f>CF13+預測IC!CG13</f>
        <v>1.2631776234824155</v>
      </c>
      <c r="CH13" s="7">
        <f>CG13+預測IC!CH13</f>
        <v>1.3215122353096227</v>
      </c>
      <c r="CI13" s="7">
        <f>CH13+預測IC!CI13</f>
        <v>1.2696587261753594</v>
      </c>
      <c r="CJ13" s="7">
        <f>CI13+預測IC!CJ13</f>
        <v>1.2665526382034082</v>
      </c>
      <c r="CK13" s="7">
        <f>CJ13+預測IC!CK13</f>
        <v>1.2985979074398721</v>
      </c>
      <c r="CL13" s="7">
        <f>CK13+預測IC!CL13</f>
        <v>1.3800512735420529</v>
      </c>
      <c r="CM13" s="7">
        <f>CL13+預測IC!CM13</f>
        <v>1.3697544697856578</v>
      </c>
      <c r="CN13" s="7">
        <f>CM13+預測IC!CN13</f>
        <v>1.3428669037868055</v>
      </c>
      <c r="CO13" s="7">
        <f>CN13+預測IC!CO13</f>
        <v>1.3294094452235781</v>
      </c>
      <c r="CP13" s="7">
        <f>CO13+預測IC!CP13</f>
        <v>1.3991359855013124</v>
      </c>
      <c r="CQ13" s="7">
        <f>CP13+預測IC!CQ13</f>
        <v>1.4373209356974721</v>
      </c>
      <c r="CR13" s="7">
        <f>CQ13+預測IC!CR13</f>
        <v>1.4456007166951206</v>
      </c>
      <c r="CS13" s="7">
        <f>CR13+預測IC!CS13</f>
        <v>1.4564337678103951</v>
      </c>
      <c r="CT13" s="7">
        <f>CS13+預測IC!CT13</f>
        <v>1.4645045671267738</v>
      </c>
      <c r="CU13" s="7">
        <f>CT13+預測IC!CU13</f>
        <v>1.501665969409085</v>
      </c>
      <c r="CV13" s="7">
        <f>CU13+預測IC!CV13</f>
        <v>1.4987126572358271</v>
      </c>
      <c r="CW13" s="7">
        <f>CV13+預測IC!CW13</f>
        <v>1.5046896880920733</v>
      </c>
      <c r="CX13" s="7">
        <f>CW13+預測IC!CX13</f>
        <v>1.5647229433321264</v>
      </c>
      <c r="CY13" s="7">
        <f>CX13+預測IC!CY13</f>
        <v>1.5516042032171138</v>
      </c>
      <c r="CZ13" s="7">
        <f>CY13+預測IC!CZ13</f>
        <v>1.608828423570599</v>
      </c>
      <c r="DA13" s="7">
        <f>CZ13+預測IC!DA13</f>
        <v>1.6032447466447777</v>
      </c>
      <c r="DB13" s="7">
        <f>DA13+預測IC!DB13</f>
        <v>1.5614831769279931</v>
      </c>
      <c r="DC13" s="7">
        <f>DB13+預測IC!DC13</f>
        <v>1.5912587428062861</v>
      </c>
      <c r="DD13" s="7">
        <f>DC13+預測IC!DD13</f>
        <v>1.6019563434070219</v>
      </c>
      <c r="DE13" s="7">
        <f>DD13+預測IC!DE13</f>
        <v>1.6078853005330969</v>
      </c>
      <c r="DF13" s="7">
        <f>DE13+預測IC!DF13</f>
        <v>1.5793665037394622</v>
      </c>
      <c r="DG13" s="7">
        <f>DF13+預測IC!DG13</f>
        <v>1.5777358465665723</v>
      </c>
      <c r="DH13" s="7">
        <f>DG13+預測IC!DH13</f>
        <v>1.5890316144484873</v>
      </c>
      <c r="DI13" s="7">
        <f>DH13+預測IC!DI13</f>
        <v>1.5430545893538103</v>
      </c>
      <c r="DJ13" s="7">
        <f>DI13+預測IC!DJ13</f>
        <v>1.5397228331742996</v>
      </c>
      <c r="DK13" s="7">
        <f>DJ13+預測IC!DK13</f>
        <v>1.5521319073929272</v>
      </c>
      <c r="DL13" s="7">
        <f>DK13+預測IC!DL13</f>
        <v>1.5358316609016127</v>
      </c>
      <c r="DM13" s="7">
        <f>DL13+預測IC!DM13</f>
        <v>1.5291727918531688</v>
      </c>
      <c r="DN13" s="7">
        <f>DM13+預測IC!DN13</f>
        <v>1.5406723697756819</v>
      </c>
      <c r="DO13" s="7">
        <f>DN13+預測IC!DO13</f>
        <v>1.5875637821638136</v>
      </c>
      <c r="DP13" s="7">
        <f>DO13+預測IC!DP13</f>
        <v>1.636350418020083</v>
      </c>
      <c r="DQ13" s="7">
        <f>DP13+預測IC!DQ13</f>
        <v>1.6099203366029542</v>
      </c>
      <c r="DR13" s="7">
        <f>DQ13+預測IC!DR13</f>
        <v>1.6236915458752661</v>
      </c>
      <c r="DS13" s="7">
        <f>DR13+預測IC!DS13</f>
        <v>1.5848039180355962</v>
      </c>
      <c r="DT13" s="7">
        <f>DS13+預測IC!DT13</f>
        <v>1.5493776169879314</v>
      </c>
      <c r="DU13" s="7">
        <f>DT13+預測IC!DU13</f>
        <v>1.5680827806250761</v>
      </c>
      <c r="DV13" s="7">
        <f>DU13+預測IC!DV13</f>
        <v>1.6477029246492647</v>
      </c>
      <c r="DW13" s="7">
        <f>DV13+預測IC!DW13</f>
        <v>1.692120714273615</v>
      </c>
      <c r="DX13" s="7">
        <f>DW13+預測IC!DX13</f>
        <v>1.6275973346951189</v>
      </c>
      <c r="DY13" s="7">
        <f>DX13+預測IC!DY13</f>
        <v>1.6629833793489524</v>
      </c>
      <c r="DZ13" s="7">
        <f>DY13+預測IC!DZ13</f>
        <v>1.6483745648617341</v>
      </c>
      <c r="EA13" s="7">
        <f>DZ13+預測IC!EA13</f>
        <v>1.7216174339044161</v>
      </c>
      <c r="EB13" s="7">
        <f>EA13+預測IC!EB13</f>
        <v>1.7429906521038026</v>
      </c>
      <c r="EC13" s="7">
        <f>EB13+預測IC!EC13</f>
        <v>1.7846504055390315</v>
      </c>
      <c r="ED13" s="7">
        <f>EC13+預測IC!ED13</f>
        <v>1.7189683118797965</v>
      </c>
      <c r="EE13" s="7">
        <f>ED13+預測IC!EE13</f>
        <v>1.726920905454761</v>
      </c>
      <c r="EF13" s="7">
        <f>EE13+預測IC!EF13</f>
        <v>1.7934981208183172</v>
      </c>
    </row>
    <row r="14" spans="1:137" x14ac:dyDescent="0.3">
      <c r="B14" s="1" t="s">
        <v>154</v>
      </c>
      <c r="C14" s="7">
        <v>0.1199414897527061</v>
      </c>
      <c r="D14" s="7">
        <f>C14+預測IC!D14</f>
        <v>0.20328880129600749</v>
      </c>
      <c r="E14" s="7">
        <f>D14+預測IC!E14</f>
        <v>0.15576285802875148</v>
      </c>
      <c r="F14" s="7">
        <f>E14+預測IC!F14</f>
        <v>0.10730871522889163</v>
      </c>
      <c r="G14" s="7">
        <f>F14+預測IC!G14</f>
        <v>6.6288798730966186E-2</v>
      </c>
      <c r="H14" s="7">
        <f>G14+預測IC!H14</f>
        <v>7.3963123002645015E-2</v>
      </c>
      <c r="I14" s="7">
        <f>H14+預測IC!I14</f>
        <v>0.11775048282578732</v>
      </c>
      <c r="J14" s="7">
        <f>I14+預測IC!J14</f>
        <v>0.1410604547906982</v>
      </c>
      <c r="K14" s="7">
        <f>J14+預測IC!K14</f>
        <v>6.8817510766447099E-3</v>
      </c>
      <c r="L14" s="7">
        <f>K14+預測IC!L14</f>
        <v>1.1728948264351516E-2</v>
      </c>
      <c r="M14" s="7">
        <f>L14+預測IC!M14</f>
        <v>1.6723468331139267E-2</v>
      </c>
      <c r="N14" s="7">
        <f>M14+預測IC!N14</f>
        <v>9.9482453025238393E-2</v>
      </c>
      <c r="O14" s="7">
        <f>N14+預測IC!O14</f>
        <v>0.13695824003824489</v>
      </c>
      <c r="P14" s="7">
        <f>O14+預測IC!P14</f>
        <v>7.8612318140003662E-2</v>
      </c>
      <c r="Q14" s="7">
        <f>P14+預測IC!Q14</f>
        <v>-4.5491553031445031E-2</v>
      </c>
      <c r="R14" s="7">
        <f>Q14+預測IC!R14</f>
        <v>-6.1432740328546856E-2</v>
      </c>
      <c r="S14" s="7">
        <f>R14+預測IC!S14</f>
        <v>-0.22732596751325557</v>
      </c>
      <c r="T14" s="7">
        <f>S14+預測IC!T14</f>
        <v>-0.29716744703415143</v>
      </c>
      <c r="U14" s="7">
        <f>T14+預測IC!U14</f>
        <v>-0.40143411166979903</v>
      </c>
      <c r="V14" s="7">
        <f>U14+預測IC!V14</f>
        <v>-0.38134498448442067</v>
      </c>
      <c r="W14" s="7">
        <f>V14+預測IC!W14</f>
        <v>-0.30733682509616767</v>
      </c>
      <c r="X14" s="7">
        <f>W14+預測IC!X14</f>
        <v>-0.19407371678389818</v>
      </c>
      <c r="Y14" s="7">
        <f>X14+預測IC!Y14</f>
        <v>-0.19929359137943009</v>
      </c>
      <c r="Z14" s="7">
        <f>Y14+預測IC!Z14</f>
        <v>-0.16078166509912242</v>
      </c>
      <c r="AA14" s="7">
        <f>Z14+預測IC!AA14</f>
        <v>-0.20023184540120459</v>
      </c>
      <c r="AB14" s="7">
        <f>AA14+預測IC!AB14</f>
        <v>-0.12946246805397438</v>
      </c>
      <c r="AC14" s="7">
        <f>AB14+預測IC!AC14</f>
        <v>-0.14297973685746773</v>
      </c>
      <c r="AD14" s="7">
        <f>AC14+預測IC!AD14</f>
        <v>-0.15589984346868607</v>
      </c>
      <c r="AE14" s="7">
        <f>AD14+預測IC!AE14</f>
        <v>-0.2623119157163637</v>
      </c>
      <c r="AF14" s="7">
        <f>AE14+預測IC!AF14</f>
        <v>-0.2218912131739646</v>
      </c>
      <c r="AG14" s="7">
        <f>AF14+預測IC!AG14</f>
        <v>-0.20137031852740209</v>
      </c>
      <c r="AH14" s="7">
        <f>AG14+預測IC!AH14</f>
        <v>-0.19612004059689606</v>
      </c>
      <c r="AI14" s="7">
        <f>AH14+預測IC!AI14</f>
        <v>-0.18515546991432213</v>
      </c>
      <c r="AJ14" s="7">
        <f>AI14+預測IC!AJ14</f>
        <v>-8.8860493205537919E-2</v>
      </c>
      <c r="AK14" s="7">
        <f>AJ14+預測IC!AK14</f>
        <v>-1.1949062347235917E-2</v>
      </c>
      <c r="AL14" s="7">
        <f>AK14+預測IC!AL14</f>
        <v>2.60201273752248E-2</v>
      </c>
      <c r="AM14" s="7">
        <f>AL14+預測IC!AM14</f>
        <v>8.7262293753850043E-2</v>
      </c>
      <c r="AN14" s="7">
        <f>AM14+預測IC!AN14</f>
        <v>0.18585696052339376</v>
      </c>
      <c r="AO14" s="7">
        <f>AN14+預測IC!AO14</f>
        <v>0.2467626659888037</v>
      </c>
      <c r="AP14" s="7">
        <f>AO14+預測IC!AP14</f>
        <v>0.17678614083671951</v>
      </c>
      <c r="AQ14" s="7">
        <f>AP14+預測IC!AQ14</f>
        <v>0.17641817309895955</v>
      </c>
      <c r="AR14" s="7">
        <f>AQ14+預測IC!AR14</f>
        <v>0.21406401286122245</v>
      </c>
      <c r="AS14" s="7">
        <f>AR14+預測IC!AS14</f>
        <v>0.29944099881426922</v>
      </c>
      <c r="AT14" s="7">
        <f>AS14+預測IC!AT14</f>
        <v>0.3339475784994137</v>
      </c>
      <c r="AU14" s="7">
        <f>AT14+預測IC!AU14</f>
        <v>0.37393922750271752</v>
      </c>
      <c r="AV14" s="7">
        <f>AU14+預測IC!AV14</f>
        <v>0.35525634206910034</v>
      </c>
      <c r="AW14" s="7">
        <f>AV14+預測IC!AW14</f>
        <v>0.33689341056314281</v>
      </c>
      <c r="AX14" s="7">
        <f>AW14+預測IC!AX14</f>
        <v>0.47384443885753552</v>
      </c>
      <c r="AY14" s="7">
        <f>AX14+預測IC!AY14</f>
        <v>0.48891255762929708</v>
      </c>
      <c r="AZ14" s="7">
        <f>AY14+預測IC!AZ14</f>
        <v>0.435563988457141</v>
      </c>
      <c r="BA14" s="7">
        <f>AZ14+預測IC!BA14</f>
        <v>0.45318563400138412</v>
      </c>
      <c r="BB14" s="7">
        <f>BA14+預測IC!BB14</f>
        <v>0.51491991600305898</v>
      </c>
      <c r="BC14" s="7">
        <f>BB14+預測IC!BC14</f>
        <v>0.50509891704778154</v>
      </c>
      <c r="BD14" s="7">
        <f>BC14+預測IC!BD14</f>
        <v>0.5484266987151869</v>
      </c>
      <c r="BE14" s="7">
        <f>BD14+預測IC!BE14</f>
        <v>0.59221376125067393</v>
      </c>
      <c r="BF14" s="7">
        <f>BE14+預測IC!BF14</f>
        <v>0.63298428279636376</v>
      </c>
      <c r="BG14" s="7">
        <f>BF14+預測IC!BG14</f>
        <v>0.6743585468702965</v>
      </c>
      <c r="BH14" s="7">
        <f>BG14+預測IC!BH14</f>
        <v>0.67970130243889715</v>
      </c>
      <c r="BI14" s="7">
        <f>BH14+預測IC!BI14</f>
        <v>0.72988651532975091</v>
      </c>
      <c r="BJ14" s="7">
        <f>BI14+預測IC!BJ14</f>
        <v>0.70986929165851764</v>
      </c>
      <c r="BK14" s="7">
        <f>BJ14+預測IC!BK14</f>
        <v>0.70427554000144477</v>
      </c>
      <c r="BL14" s="7">
        <f>BK14+預測IC!BL14</f>
        <v>0.76401330684381508</v>
      </c>
      <c r="BM14" s="7">
        <f>BL14+預測IC!BM14</f>
        <v>0.80327052205024219</v>
      </c>
      <c r="BN14" s="7">
        <f>BM14+預測IC!BN14</f>
        <v>0.82420706012279354</v>
      </c>
      <c r="BO14" s="7">
        <f>BN14+預測IC!BO14</f>
        <v>0.85781610580005807</v>
      </c>
      <c r="BP14" s="7">
        <f>BO14+預測IC!BP14</f>
        <v>0.87348983929301727</v>
      </c>
      <c r="BQ14" s="7">
        <f>BP14+預測IC!BQ14</f>
        <v>0.88933336316296807</v>
      </c>
      <c r="BR14" s="7">
        <f>BQ14+預測IC!BR14</f>
        <v>0.86140393363035017</v>
      </c>
      <c r="BS14" s="7">
        <f>BR14+預測IC!BS14</f>
        <v>0.8199099784857723</v>
      </c>
      <c r="BT14" s="7">
        <f>BS14+預測IC!BT14</f>
        <v>0.89392294082208368</v>
      </c>
      <c r="BU14" s="7">
        <f>BT14+預測IC!BU14</f>
        <v>0.88506810546405279</v>
      </c>
      <c r="BV14" s="7">
        <f>BU14+預測IC!BV14</f>
        <v>0.91079528748048022</v>
      </c>
      <c r="BW14" s="7">
        <f>BV14+預測IC!BW14</f>
        <v>0.92330323573807349</v>
      </c>
      <c r="BX14" s="7">
        <f>BW14+預測IC!BX14</f>
        <v>0.97827399586002661</v>
      </c>
      <c r="BY14" s="7">
        <f>BX14+預測IC!BY14</f>
        <v>0.97167770249506158</v>
      </c>
      <c r="BZ14" s="7">
        <f>BY14+預測IC!BZ14</f>
        <v>1.0317117593238438</v>
      </c>
      <c r="CA14" s="7">
        <f>BZ14+預測IC!CA14</f>
        <v>1.0072464932089067</v>
      </c>
      <c r="CB14" s="7">
        <f>CA14+預測IC!CB14</f>
        <v>1.0293741097510816</v>
      </c>
      <c r="CC14" s="7">
        <f>CB14+預測IC!CC14</f>
        <v>1.016580028965903</v>
      </c>
      <c r="CD14" s="7">
        <f>CC14+預測IC!CD14</f>
        <v>1.1145967388981008</v>
      </c>
      <c r="CE14" s="7">
        <f>CD14+預測IC!CE14</f>
        <v>1.042440019686403</v>
      </c>
      <c r="CF14" s="7">
        <f>CE14+預測IC!CF14</f>
        <v>1.1347707029684646</v>
      </c>
      <c r="CG14" s="7">
        <f>CF14+預測IC!CG14</f>
        <v>1.1878377312643036</v>
      </c>
      <c r="CH14" s="7">
        <f>CG14+預測IC!CH14</f>
        <v>1.2524991235425207</v>
      </c>
      <c r="CI14" s="7">
        <f>CH14+預測IC!CI14</f>
        <v>1.1466143461791618</v>
      </c>
      <c r="CJ14" s="7">
        <f>CI14+預測IC!CJ14</f>
        <v>1.1179464912349872</v>
      </c>
      <c r="CK14" s="7">
        <f>CJ14+預測IC!CK14</f>
        <v>1.1319628556256334</v>
      </c>
      <c r="CL14" s="7">
        <f>CK14+預測IC!CL14</f>
        <v>1.1942328105044699</v>
      </c>
      <c r="CM14" s="7">
        <f>CL14+預測IC!CM14</f>
        <v>1.2262728208727871</v>
      </c>
      <c r="CN14" s="7">
        <f>CM14+預測IC!CN14</f>
        <v>1.2032461322018611</v>
      </c>
      <c r="CO14" s="7">
        <f>CN14+預測IC!CO14</f>
        <v>1.129658412162968</v>
      </c>
      <c r="CP14" s="7">
        <f>CO14+預測IC!CP14</f>
        <v>1.2294677436447208</v>
      </c>
      <c r="CQ14" s="7">
        <f>CP14+預測IC!CQ14</f>
        <v>1.2826793717363953</v>
      </c>
      <c r="CR14" s="7">
        <f>CQ14+預測IC!CR14</f>
        <v>1.3385885093608967</v>
      </c>
      <c r="CS14" s="7">
        <f>CR14+預測IC!CS14</f>
        <v>1.3976156296245523</v>
      </c>
      <c r="CT14" s="7">
        <f>CS14+預測IC!CT14</f>
        <v>1.4167162061752372</v>
      </c>
      <c r="CU14" s="7">
        <f>CT14+預測IC!CU14</f>
        <v>1.3727991034780225</v>
      </c>
      <c r="CV14" s="7">
        <f>CU14+預測IC!CV14</f>
        <v>1.3955448186162778</v>
      </c>
      <c r="CW14" s="7">
        <f>CV14+預測IC!CW14</f>
        <v>1.3921464361528071</v>
      </c>
      <c r="CX14" s="7">
        <f>CW14+預測IC!CX14</f>
        <v>1.4284458450410462</v>
      </c>
      <c r="CY14" s="7">
        <f>CX14+預測IC!CY14</f>
        <v>1.3996867247495719</v>
      </c>
      <c r="CZ14" s="7">
        <f>CY14+預測IC!CZ14</f>
        <v>1.4637502880999553</v>
      </c>
      <c r="DA14" s="7">
        <f>CZ14+預測IC!DA14</f>
        <v>1.4394459989293709</v>
      </c>
      <c r="DB14" s="7">
        <f>DA14+預測IC!DB14</f>
        <v>1.4158849257411801</v>
      </c>
      <c r="DC14" s="7">
        <f>DB14+預測IC!DC14</f>
        <v>1.4395175349460276</v>
      </c>
      <c r="DD14" s="7">
        <f>DC14+預測IC!DD14</f>
        <v>1.4227589851536111</v>
      </c>
      <c r="DE14" s="7">
        <f>DD14+預測IC!DE14</f>
        <v>1.4281432847613755</v>
      </c>
      <c r="DF14" s="7">
        <f>DE14+預測IC!DF14</f>
        <v>1.3922866542043131</v>
      </c>
      <c r="DG14" s="7">
        <f>DF14+預測IC!DG14</f>
        <v>1.4037332105976303</v>
      </c>
      <c r="DH14" s="7">
        <f>DG14+預測IC!DH14</f>
        <v>1.4085080478405418</v>
      </c>
      <c r="DI14" s="7">
        <f>DH14+預測IC!DI14</f>
        <v>1.3499102281316249</v>
      </c>
      <c r="DJ14" s="7">
        <f>DI14+預測IC!DJ14</f>
        <v>1.3509339523989223</v>
      </c>
      <c r="DK14" s="7">
        <f>DJ14+預測IC!DK14</f>
        <v>1.3700050155165782</v>
      </c>
      <c r="DL14" s="7">
        <f>DK14+預測IC!DL14</f>
        <v>1.3548398539616897</v>
      </c>
      <c r="DM14" s="7">
        <f>DL14+預測IC!DM14</f>
        <v>1.3603441230553401</v>
      </c>
      <c r="DN14" s="7">
        <f>DM14+預測IC!DN14</f>
        <v>1.4030066189486043</v>
      </c>
      <c r="DO14" s="7">
        <f>DN14+預測IC!DO14</f>
        <v>1.4443822641114017</v>
      </c>
      <c r="DP14" s="7">
        <f>DO14+預測IC!DP14</f>
        <v>1.4879219804690538</v>
      </c>
      <c r="DQ14" s="7">
        <f>DP14+預測IC!DQ14</f>
        <v>1.3985541204282419</v>
      </c>
      <c r="DR14" s="7">
        <f>DQ14+預測IC!DR14</f>
        <v>1.4511766398872414</v>
      </c>
      <c r="DS14" s="7">
        <f>DR14+預測IC!DS14</f>
        <v>1.4161317336163246</v>
      </c>
      <c r="DT14" s="7">
        <f>DS14+預測IC!DT14</f>
        <v>1.3716147800188694</v>
      </c>
      <c r="DU14" s="7">
        <f>DT14+預測IC!DU14</f>
        <v>1.3266998313998875</v>
      </c>
      <c r="DV14" s="7">
        <f>DU14+預測IC!DV14</f>
        <v>1.4349621859299948</v>
      </c>
      <c r="DW14" s="7">
        <f>DV14+預測IC!DW14</f>
        <v>1.5333065529477725</v>
      </c>
      <c r="DX14" s="7">
        <f>DW14+預測IC!DX14</f>
        <v>1.4313750473953515</v>
      </c>
      <c r="DY14" s="7">
        <f>DX14+預測IC!DY14</f>
        <v>1.4693721273422</v>
      </c>
      <c r="DZ14" s="7">
        <f>DY14+預測IC!DZ14</f>
        <v>1.4474905540237377</v>
      </c>
      <c r="EA14" s="7">
        <f>DZ14+預測IC!EA14</f>
        <v>1.5255958199116739</v>
      </c>
      <c r="EB14" s="7">
        <f>EA14+預測IC!EB14</f>
        <v>1.5587731530242648</v>
      </c>
      <c r="EC14" s="7">
        <f>EB14+預測IC!EC14</f>
        <v>1.5648525351723979</v>
      </c>
      <c r="ED14" s="7">
        <f>EC14+預測IC!ED14</f>
        <v>1.4622228259862109</v>
      </c>
      <c r="EE14" s="7">
        <f>ED14+預測IC!EE14</f>
        <v>1.4810899828311035</v>
      </c>
      <c r="EF14" s="7">
        <f>EE14+預測IC!EF14</f>
        <v>1.5510464033296616</v>
      </c>
    </row>
    <row r="15" spans="1:137" x14ac:dyDescent="0.3">
      <c r="B15" s="1" t="s">
        <v>155</v>
      </c>
      <c r="C15" s="7">
        <v>0.22764465877785839</v>
      </c>
      <c r="D15" s="7">
        <f>C15+預測IC!D15</f>
        <v>0.24459752356992412</v>
      </c>
      <c r="E15" s="7">
        <f>D15+預測IC!E15</f>
        <v>0.23439909729784061</v>
      </c>
      <c r="F15" s="7">
        <f>E15+預測IC!F15</f>
        <v>0.12583680392465071</v>
      </c>
      <c r="G15" s="7">
        <f>F15+預測IC!G15</f>
        <v>6.5199875253116435E-2</v>
      </c>
      <c r="H15" s="7">
        <f>G15+預測IC!H15</f>
        <v>0.11535769975670951</v>
      </c>
      <c r="I15" s="7">
        <f>H15+預測IC!I15</f>
        <v>0.17378914403657506</v>
      </c>
      <c r="J15" s="7">
        <f>I15+預測IC!J15</f>
        <v>0.2237506092839647</v>
      </c>
      <c r="K15" s="7">
        <f>J15+預測IC!K15</f>
        <v>-6.284401845240592E-2</v>
      </c>
      <c r="L15" s="7">
        <f>K15+預測IC!L15</f>
        <v>-3.0285513295221278E-2</v>
      </c>
      <c r="M15" s="7">
        <f>L15+預測IC!M15</f>
        <v>-4.7878038157340187E-3</v>
      </c>
      <c r="N15" s="7">
        <f>M15+預測IC!N15</f>
        <v>0.11608035034524708</v>
      </c>
      <c r="O15" s="7">
        <f>N15+預測IC!O15</f>
        <v>0.18983769459156169</v>
      </c>
      <c r="P15" s="7">
        <f>O15+預測IC!P15</f>
        <v>0.12572151156989991</v>
      </c>
      <c r="Q15" s="7">
        <f>P15+預測IC!Q15</f>
        <v>-2.9815330537912577E-2</v>
      </c>
      <c r="R15" s="7">
        <f>Q15+預測IC!R15</f>
        <v>-8.1945020643030039E-2</v>
      </c>
      <c r="S15" s="7">
        <f>R15+預測IC!S15</f>
        <v>-0.35195291572518383</v>
      </c>
      <c r="T15" s="7">
        <f>S15+預測IC!T15</f>
        <v>-0.41875304066829594</v>
      </c>
      <c r="U15" s="7">
        <f>T15+預測IC!U15</f>
        <v>-0.55572110233556471</v>
      </c>
      <c r="V15" s="7">
        <f>U15+預測IC!V15</f>
        <v>-0.57285295568367745</v>
      </c>
      <c r="W15" s="7">
        <f>V15+預測IC!W15</f>
        <v>-0.47030936170093435</v>
      </c>
      <c r="X15" s="7">
        <f>W15+預測IC!X15</f>
        <v>-0.34346603023726124</v>
      </c>
      <c r="Y15" s="7">
        <f>X15+預測IC!Y15</f>
        <v>-0.32283605587144143</v>
      </c>
      <c r="Z15" s="7">
        <f>Y15+預測IC!Z15</f>
        <v>-0.27611608381808272</v>
      </c>
      <c r="AA15" s="7">
        <f>Z15+預測IC!AA15</f>
        <v>-0.33019723084611641</v>
      </c>
      <c r="AB15" s="7">
        <f>AA15+預測IC!AB15</f>
        <v>-0.2464970583302859</v>
      </c>
      <c r="AC15" s="7">
        <f>AB15+預測IC!AC15</f>
        <v>-0.23001609212209781</v>
      </c>
      <c r="AD15" s="7">
        <f>AC15+預測IC!AD15</f>
        <v>-0.21107980909127938</v>
      </c>
      <c r="AE15" s="7">
        <f>AD15+預測IC!AE15</f>
        <v>-0.30887749310023049</v>
      </c>
      <c r="AF15" s="7">
        <f>AE15+預測IC!AF15</f>
        <v>-0.24305788060319064</v>
      </c>
      <c r="AG15" s="7">
        <f>AF15+預測IC!AG15</f>
        <v>-0.23293440234153509</v>
      </c>
      <c r="AH15" s="7">
        <f>AG15+預測IC!AH15</f>
        <v>-0.26653877569921158</v>
      </c>
      <c r="AI15" s="7">
        <f>AH15+預測IC!AI15</f>
        <v>-0.19226181548912968</v>
      </c>
      <c r="AJ15" s="7">
        <f>AI15+預測IC!AJ15</f>
        <v>-0.18807738085679654</v>
      </c>
      <c r="AK15" s="7">
        <f>AJ15+預測IC!AK15</f>
        <v>-0.12631776119835161</v>
      </c>
      <c r="AL15" s="7">
        <f>AK15+預測IC!AL15</f>
        <v>-8.1886098702537075E-2</v>
      </c>
      <c r="AM15" s="7">
        <f>AL15+預測IC!AM15</f>
        <v>-2.6763476567909963E-2</v>
      </c>
      <c r="AN15" s="7">
        <f>AM15+預測IC!AN15</f>
        <v>7.4925229344473543E-2</v>
      </c>
      <c r="AO15" s="7">
        <f>AN15+預測IC!AO15</f>
        <v>0.13829504180794064</v>
      </c>
      <c r="AP15" s="7">
        <f>AO15+預測IC!AP15</f>
        <v>6.0009347915186403E-2</v>
      </c>
      <c r="AQ15" s="7">
        <f>AP15+預測IC!AQ15</f>
        <v>2.2642221119064734E-2</v>
      </c>
      <c r="AR15" s="7">
        <f>AQ15+預測IC!AR15</f>
        <v>0.11293607659498141</v>
      </c>
      <c r="AS15" s="7">
        <f>AR15+預測IC!AS15</f>
        <v>0.16675725563209542</v>
      </c>
      <c r="AT15" s="7">
        <f>AS15+預測IC!AT15</f>
        <v>0.23201224628452399</v>
      </c>
      <c r="AU15" s="7">
        <f>AT15+預測IC!AU15</f>
        <v>0.27195550737399032</v>
      </c>
      <c r="AV15" s="7">
        <f>AU15+預測IC!AV15</f>
        <v>0.22472868904655147</v>
      </c>
      <c r="AW15" s="7">
        <f>AV15+預測IC!AW15</f>
        <v>0.24038862830113242</v>
      </c>
      <c r="AX15" s="7">
        <f>AW15+預測IC!AX15</f>
        <v>0.36562260547586761</v>
      </c>
      <c r="AY15" s="7">
        <f>AX15+預測IC!AY15</f>
        <v>0.39363966958590052</v>
      </c>
      <c r="AZ15" s="7">
        <f>AY15+預測IC!AZ15</f>
        <v>0.30231638951739703</v>
      </c>
      <c r="BA15" s="7">
        <f>AZ15+預測IC!BA15</f>
        <v>0.31292990432505002</v>
      </c>
      <c r="BB15" s="7">
        <f>BA15+預測IC!BB15</f>
        <v>0.42565477040386313</v>
      </c>
      <c r="BC15" s="7">
        <f>BB15+預測IC!BC15</f>
        <v>0.48780991407169338</v>
      </c>
      <c r="BD15" s="7">
        <f>BC15+預測IC!BD15</f>
        <v>0.5408531879764894</v>
      </c>
      <c r="BE15" s="7">
        <f>BD15+預測IC!BE15</f>
        <v>0.58929590899415252</v>
      </c>
      <c r="BF15" s="7">
        <f>BE15+預測IC!BF15</f>
        <v>0.63695888845090465</v>
      </c>
      <c r="BG15" s="7">
        <f>BF15+預測IC!BG15</f>
        <v>0.6394484271854699</v>
      </c>
      <c r="BH15" s="7">
        <f>BG15+預測IC!BH15</f>
        <v>0.6738902726671594</v>
      </c>
      <c r="BI15" s="7">
        <f>BH15+預測IC!BI15</f>
        <v>0.74247693178212903</v>
      </c>
      <c r="BJ15" s="7">
        <f>BI15+預測IC!BJ15</f>
        <v>0.73121190469468378</v>
      </c>
      <c r="BK15" s="7">
        <f>BJ15+預測IC!BK15</f>
        <v>0.73203565696248984</v>
      </c>
      <c r="BL15" s="7">
        <f>BK15+預測IC!BL15</f>
        <v>0.79143952830383824</v>
      </c>
      <c r="BM15" s="7">
        <f>BL15+預測IC!BM15</f>
        <v>0.85826434967056742</v>
      </c>
      <c r="BN15" s="7">
        <f>BM15+預測IC!BN15</f>
        <v>0.89840691940375728</v>
      </c>
      <c r="BO15" s="7">
        <f>BN15+預測IC!BO15</f>
        <v>0.92614139535868822</v>
      </c>
      <c r="BP15" s="7">
        <f>BO15+預測IC!BP15</f>
        <v>0.94032561606649301</v>
      </c>
      <c r="BQ15" s="7">
        <f>BP15+預測IC!BQ15</f>
        <v>0.95312854735682073</v>
      </c>
      <c r="BR15" s="7">
        <f>BQ15+預測IC!BR15</f>
        <v>0.90297111823476106</v>
      </c>
      <c r="BS15" s="7">
        <f>BR15+預測IC!BS15</f>
        <v>0.88614734078447477</v>
      </c>
      <c r="BT15" s="7">
        <f>BS15+預測IC!BT15</f>
        <v>0.97520754651580921</v>
      </c>
      <c r="BU15" s="7">
        <f>BT15+預測IC!BU15</f>
        <v>0.99468396631160272</v>
      </c>
      <c r="BV15" s="7">
        <f>BU15+預測IC!BV15</f>
        <v>1.0535989340641514</v>
      </c>
      <c r="BW15" s="7">
        <f>BV15+預測IC!BW15</f>
        <v>1.0176530439347478</v>
      </c>
      <c r="BX15" s="7">
        <f>BW15+預測IC!BX15</f>
        <v>1.0462889390004793</v>
      </c>
      <c r="BY15" s="7">
        <f>BX15+預測IC!BY15</f>
        <v>0.98459484752141946</v>
      </c>
      <c r="BZ15" s="7">
        <f>BY15+預測IC!BZ15</f>
        <v>1.0875013164987668</v>
      </c>
      <c r="CA15" s="7">
        <f>BZ15+預測IC!CA15</f>
        <v>1.0689092957023245</v>
      </c>
      <c r="CB15" s="7">
        <f>CA15+預測IC!CB15</f>
        <v>1.083966189714149</v>
      </c>
      <c r="CC15" s="7">
        <f>CB15+預測IC!CC15</f>
        <v>0.93164792465998758</v>
      </c>
      <c r="CD15" s="7">
        <f>CC15+預測IC!CD15</f>
        <v>1.0518000086230719</v>
      </c>
      <c r="CE15" s="7">
        <f>CD15+預測IC!CE15</f>
        <v>0.93528343955295123</v>
      </c>
      <c r="CF15" s="7">
        <f>CE15+預測IC!CF15</f>
        <v>1.0296400899463714</v>
      </c>
      <c r="CG15" s="7">
        <f>CF15+預測IC!CG15</f>
        <v>1.0253412106930071</v>
      </c>
      <c r="CH15" s="7">
        <f>CG15+預測IC!CH15</f>
        <v>1.0882271689767085</v>
      </c>
      <c r="CI15" s="7">
        <f>CH15+預測IC!CI15</f>
        <v>1.0494287540817278</v>
      </c>
      <c r="CJ15" s="7">
        <f>CI15+預測IC!CJ15</f>
        <v>0.96238439800900966</v>
      </c>
      <c r="CK15" s="7">
        <f>CJ15+預測IC!CK15</f>
        <v>1.0190570437811091</v>
      </c>
      <c r="CL15" s="7">
        <f>CK15+預測IC!CL15</f>
        <v>1.0504790187743573</v>
      </c>
      <c r="CM15" s="7">
        <f>CL15+預測IC!CM15</f>
        <v>1.1251101349028112</v>
      </c>
      <c r="CN15" s="7">
        <f>CM15+預測IC!CN15</f>
        <v>1.0824760191036509</v>
      </c>
      <c r="CO15" s="7">
        <f>CN15+預測IC!CO15</f>
        <v>0.95302699422160941</v>
      </c>
      <c r="CP15" s="7">
        <f>CO15+預測IC!CP15</f>
        <v>1.0805628296545591</v>
      </c>
      <c r="CQ15" s="7">
        <f>CP15+預測IC!CQ15</f>
        <v>1.117940840419688</v>
      </c>
      <c r="CR15" s="7">
        <f>CQ15+預測IC!CR15</f>
        <v>1.1661779107078523</v>
      </c>
      <c r="CS15" s="7">
        <f>CR15+預測IC!CS15</f>
        <v>1.2263630831714469</v>
      </c>
      <c r="CT15" s="7">
        <f>CS15+預測IC!CT15</f>
        <v>1.2337576581469016</v>
      </c>
      <c r="CU15" s="7">
        <f>CT15+預測IC!CU15</f>
        <v>1.1705789982321289</v>
      </c>
      <c r="CV15" s="7">
        <f>CU15+預測IC!CV15</f>
        <v>1.16443715132732</v>
      </c>
      <c r="CW15" s="7">
        <f>CV15+預測IC!CW15</f>
        <v>1.1519524911468797</v>
      </c>
      <c r="CX15" s="7">
        <f>CW15+預測IC!CX15</f>
        <v>1.1759920982002106</v>
      </c>
      <c r="CY15" s="7">
        <f>CX15+預測IC!CY15</f>
        <v>1.1335214251224481</v>
      </c>
      <c r="CZ15" s="7">
        <f>CY15+預測IC!CZ15</f>
        <v>1.2134083730667904</v>
      </c>
      <c r="DA15" s="7">
        <f>CZ15+預測IC!DA15</f>
        <v>1.1870325376249138</v>
      </c>
      <c r="DB15" s="7">
        <f>DA15+預測IC!DB15</f>
        <v>1.15680591941079</v>
      </c>
      <c r="DC15" s="7">
        <f>DB15+預測IC!DC15</f>
        <v>1.1918810693853721</v>
      </c>
      <c r="DD15" s="7">
        <f>DC15+預測IC!DD15</f>
        <v>1.1424873788854875</v>
      </c>
      <c r="DE15" s="7">
        <f>DD15+預測IC!DE15</f>
        <v>1.1674360936305304</v>
      </c>
      <c r="DF15" s="7">
        <f>DE15+預測IC!DF15</f>
        <v>1.1250447872311355</v>
      </c>
      <c r="DG15" s="7">
        <f>DF15+預測IC!DG15</f>
        <v>1.1412415188493767</v>
      </c>
      <c r="DH15" s="7">
        <f>DG15+預測IC!DH15</f>
        <v>1.1225325078054846</v>
      </c>
      <c r="DI15" s="7">
        <f>DH15+預測IC!DI15</f>
        <v>1.1108140587960269</v>
      </c>
      <c r="DJ15" s="7">
        <f>DI15+預測IC!DJ15</f>
        <v>1.0589602057016201</v>
      </c>
      <c r="DK15" s="7">
        <f>DJ15+預測IC!DK15</f>
        <v>1.160735039753088</v>
      </c>
      <c r="DL15" s="7">
        <f>DK15+預測IC!DL15</f>
        <v>1.2233705338415259</v>
      </c>
      <c r="DM15" s="7">
        <f>DL15+預測IC!DM15</f>
        <v>1.1995619869738572</v>
      </c>
      <c r="DN15" s="7">
        <f>DM15+預測IC!DN15</f>
        <v>1.2435584843974767</v>
      </c>
      <c r="DO15" s="7">
        <f>DN15+預測IC!DO15</f>
        <v>1.2898552116312776</v>
      </c>
      <c r="DP15" s="7">
        <f>DO15+預測IC!DP15</f>
        <v>1.3135908136381702</v>
      </c>
      <c r="DQ15" s="7">
        <f>DP15+預測IC!DQ15</f>
        <v>1.2185499061787417</v>
      </c>
      <c r="DR15" s="7">
        <f>DQ15+預測IC!DR15</f>
        <v>1.2885604727966802</v>
      </c>
      <c r="DS15" s="7">
        <f>DR15+預測IC!DS15</f>
        <v>1.2123185643848831</v>
      </c>
      <c r="DT15" s="7">
        <f>DS15+預測IC!DT15</f>
        <v>1.14015493266672</v>
      </c>
      <c r="DU15" s="7">
        <f>DT15+預測IC!DU15</f>
        <v>1.0943842037150393</v>
      </c>
      <c r="DV15" s="7">
        <f>DU15+預測IC!DV15</f>
        <v>1.2341525606559107</v>
      </c>
      <c r="DW15" s="7">
        <f>DV15+預測IC!DW15</f>
        <v>1.2596911878027433</v>
      </c>
      <c r="DX15" s="7">
        <f>DW15+預測IC!DX15</f>
        <v>1.1410749371527569</v>
      </c>
      <c r="DY15" s="7">
        <f>DX15+預測IC!DY15</f>
        <v>1.2476141037537665</v>
      </c>
      <c r="DZ15" s="7">
        <f>DY15+預測IC!DZ15</f>
        <v>1.2286938596843822</v>
      </c>
      <c r="EA15" s="7">
        <f>DZ15+預測IC!EA15</f>
        <v>1.2560325858942218</v>
      </c>
      <c r="EB15" s="7">
        <f>EA15+預測IC!EB15</f>
        <v>1.3045511590254668</v>
      </c>
      <c r="EC15" s="7">
        <f>EB15+預測IC!EC15</f>
        <v>1.3706330150734132</v>
      </c>
      <c r="ED15" s="7">
        <f>EC15+預測IC!ED15</f>
        <v>1.2572759591381018</v>
      </c>
      <c r="EE15" s="7">
        <f>ED15+預測IC!EE15</f>
        <v>1.2410305446020136</v>
      </c>
      <c r="EF15" s="7">
        <f>EE15+預測IC!EF15</f>
        <v>1.3067315357408558</v>
      </c>
    </row>
    <row r="16" spans="1:137" x14ac:dyDescent="0.3">
      <c r="B16" s="1" t="s">
        <v>156</v>
      </c>
      <c r="C16" s="7">
        <v>0.20787477708292909</v>
      </c>
      <c r="D16" s="7">
        <f>C16+預測IC!D16</f>
        <v>0.20715452841561205</v>
      </c>
      <c r="E16" s="7">
        <f>D16+預測IC!E16</f>
        <v>0.20432435180552666</v>
      </c>
      <c r="F16" s="7">
        <f>E16+預測IC!F16</f>
        <v>0.10494185895003957</v>
      </c>
      <c r="G16" s="7">
        <f>F16+預測IC!G16</f>
        <v>3.1245593823115717E-2</v>
      </c>
      <c r="H16" s="7">
        <f>G16+預測IC!H16</f>
        <v>9.2244598440052561E-2</v>
      </c>
      <c r="I16" s="7">
        <f>H16+預測IC!I16</f>
        <v>0.14977521710567399</v>
      </c>
      <c r="J16" s="7">
        <f>I16+預測IC!J16</f>
        <v>0.19648514314834015</v>
      </c>
      <c r="K16" s="7">
        <f>J16+預測IC!K16</f>
        <v>-8.8185407078191946E-2</v>
      </c>
      <c r="L16" s="7">
        <f>K16+預測IC!L16</f>
        <v>-7.8298872490323149E-2</v>
      </c>
      <c r="M16" s="7">
        <f>L16+預測IC!M16</f>
        <v>-3.7964417765082567E-2</v>
      </c>
      <c r="N16" s="7">
        <f>M16+預測IC!N16</f>
        <v>8.770620777766773E-2</v>
      </c>
      <c r="O16" s="7">
        <f>N16+預測IC!O16</f>
        <v>0.16753306834878481</v>
      </c>
      <c r="P16" s="7">
        <f>O16+預測IC!P16</f>
        <v>0.10648783655736251</v>
      </c>
      <c r="Q16" s="7">
        <f>P16+預測IC!Q16</f>
        <v>-5.1415233866975482E-2</v>
      </c>
      <c r="R16" s="7">
        <f>Q16+預測IC!R16</f>
        <v>-0.100406212149902</v>
      </c>
      <c r="S16" s="7">
        <f>R16+預測IC!S16</f>
        <v>-0.38746923254869681</v>
      </c>
      <c r="T16" s="7">
        <f>S16+預測IC!T16</f>
        <v>-0.45468829270629813</v>
      </c>
      <c r="U16" s="7">
        <f>T16+預測IC!U16</f>
        <v>-0.58475076413604266</v>
      </c>
      <c r="V16" s="7">
        <f>U16+預測IC!V16</f>
        <v>-0.59077290946900829</v>
      </c>
      <c r="W16" s="7">
        <f>V16+預測IC!W16</f>
        <v>-0.4891072334211965</v>
      </c>
      <c r="X16" s="7">
        <f>W16+預測IC!X16</f>
        <v>-0.36469744971270968</v>
      </c>
      <c r="Y16" s="7">
        <f>X16+預測IC!Y16</f>
        <v>-0.34451686129307407</v>
      </c>
      <c r="Z16" s="7">
        <f>Y16+預測IC!Z16</f>
        <v>-0.30145893040886235</v>
      </c>
      <c r="AA16" s="7">
        <f>Z16+預測IC!AA16</f>
        <v>-0.34494656624485448</v>
      </c>
      <c r="AB16" s="7">
        <f>AA16+預測IC!AB16</f>
        <v>-0.26996152460687406</v>
      </c>
      <c r="AC16" s="7">
        <f>AB16+預測IC!AC16</f>
        <v>-0.2227352884043135</v>
      </c>
      <c r="AD16" s="7">
        <f>AC16+預測IC!AD16</f>
        <v>-0.22161326255523725</v>
      </c>
      <c r="AE16" s="7">
        <f>AD16+預測IC!AE16</f>
        <v>-0.31811562304384289</v>
      </c>
      <c r="AF16" s="7">
        <f>AE16+預測IC!AF16</f>
        <v>-0.25442978046225373</v>
      </c>
      <c r="AG16" s="7">
        <f>AF16+預測IC!AG16</f>
        <v>-0.24113902742571833</v>
      </c>
      <c r="AH16" s="7">
        <f>AG16+預測IC!AH16</f>
        <v>-0.27290442787515889</v>
      </c>
      <c r="AI16" s="7">
        <f>AH16+預測IC!AI16</f>
        <v>-0.18238177865800403</v>
      </c>
      <c r="AJ16" s="7">
        <f>AI16+預測IC!AJ16</f>
        <v>-0.20001102038103918</v>
      </c>
      <c r="AK16" s="7">
        <f>AJ16+預測IC!AK16</f>
        <v>-0.13558961954866711</v>
      </c>
      <c r="AL16" s="7">
        <f>AK16+預測IC!AL16</f>
        <v>-8.6900686444143865E-2</v>
      </c>
      <c r="AM16" s="7">
        <f>AL16+預測IC!AM16</f>
        <v>-2.0823955842345893E-2</v>
      </c>
      <c r="AN16" s="7">
        <f>AM16+預測IC!AN16</f>
        <v>8.5632244247329709E-2</v>
      </c>
      <c r="AO16" s="7">
        <f>AN16+預測IC!AO16</f>
        <v>0.14705691607324203</v>
      </c>
      <c r="AP16" s="7">
        <f>AO16+預測IC!AP16</f>
        <v>6.9258547927653513E-2</v>
      </c>
      <c r="AQ16" s="7">
        <f>AP16+預測IC!AQ16</f>
        <v>3.0792347781584906E-2</v>
      </c>
      <c r="AR16" s="7">
        <f>AQ16+預測IC!AR16</f>
        <v>0.13408352684207731</v>
      </c>
      <c r="AS16" s="7">
        <f>AR16+預測IC!AS16</f>
        <v>0.19915175231604665</v>
      </c>
      <c r="AT16" s="7">
        <f>AS16+預測IC!AT16</f>
        <v>0.24869890763441665</v>
      </c>
      <c r="AU16" s="7">
        <f>AT16+預測IC!AU16</f>
        <v>0.29052574588931179</v>
      </c>
      <c r="AV16" s="7">
        <f>AU16+預測IC!AV16</f>
        <v>0.2814532391092931</v>
      </c>
      <c r="AW16" s="7">
        <f>AV16+預測IC!AW16</f>
        <v>0.32070616918394373</v>
      </c>
      <c r="AX16" s="7">
        <f>AW16+預測IC!AX16</f>
        <v>0.42153594242791664</v>
      </c>
      <c r="AY16" s="7">
        <f>AX16+預測IC!AY16</f>
        <v>0.45534853227226257</v>
      </c>
      <c r="AZ16" s="7">
        <f>AY16+預測IC!AZ16</f>
        <v>0.35043889709355036</v>
      </c>
      <c r="BA16" s="7">
        <f>AZ16+預測IC!BA16</f>
        <v>0.36536200215113646</v>
      </c>
      <c r="BB16" s="7">
        <f>BA16+預測IC!BB16</f>
        <v>0.47340092630387454</v>
      </c>
      <c r="BC16" s="7">
        <f>BB16+預測IC!BC16</f>
        <v>0.54052239241156641</v>
      </c>
      <c r="BD16" s="7">
        <f>BC16+預測IC!BD16</f>
        <v>0.57645910395747046</v>
      </c>
      <c r="BE16" s="7">
        <f>BD16+預測IC!BE16</f>
        <v>0.6278700983519454</v>
      </c>
      <c r="BF16" s="7">
        <f>BE16+預測IC!BF16</f>
        <v>0.69213815267166368</v>
      </c>
      <c r="BG16" s="7">
        <f>BF16+預測IC!BG16</f>
        <v>0.70561143471962029</v>
      </c>
      <c r="BH16" s="7">
        <f>BG16+預測IC!BH16</f>
        <v>0.69183582023565848</v>
      </c>
      <c r="BI16" s="7">
        <f>BH16+預測IC!BI16</f>
        <v>0.73327962799892032</v>
      </c>
      <c r="BJ16" s="7">
        <f>BI16+預測IC!BJ16</f>
        <v>0.71277581171571269</v>
      </c>
      <c r="BK16" s="7">
        <f>BJ16+預測IC!BK16</f>
        <v>0.71574780201090971</v>
      </c>
      <c r="BL16" s="7">
        <f>BK16+預測IC!BL16</f>
        <v>0.78637136771843286</v>
      </c>
      <c r="BM16" s="7">
        <f>BL16+預測IC!BM16</f>
        <v>0.86789524276039787</v>
      </c>
      <c r="BN16" s="7">
        <f>BM16+預測IC!BN16</f>
        <v>0.91580107536442512</v>
      </c>
      <c r="BO16" s="7">
        <f>BN16+預測IC!BO16</f>
        <v>0.93769143531808286</v>
      </c>
      <c r="BP16" s="7">
        <f>BO16+預測IC!BP16</f>
        <v>0.95853461886566338</v>
      </c>
      <c r="BQ16" s="7">
        <f>BP16+預測IC!BQ16</f>
        <v>0.975012635120592</v>
      </c>
      <c r="BR16" s="7">
        <f>BQ16+預測IC!BR16</f>
        <v>0.94871578709914761</v>
      </c>
      <c r="BS16" s="7">
        <f>BR16+預測IC!BS16</f>
        <v>0.93552421395168339</v>
      </c>
      <c r="BT16" s="7">
        <f>BS16+預測IC!BT16</f>
        <v>1.0210074052194831</v>
      </c>
      <c r="BU16" s="7">
        <f>BT16+預測IC!BU16</f>
        <v>1.0787725154042835</v>
      </c>
      <c r="BV16" s="7">
        <f>BU16+預測IC!BV16</f>
        <v>1.1394837548511243</v>
      </c>
      <c r="BW16" s="7">
        <f>BV16+預測IC!BW16</f>
        <v>1.0737428274245897</v>
      </c>
      <c r="BX16" s="7">
        <f>BW16+預測IC!BX16</f>
        <v>1.1053020649457206</v>
      </c>
      <c r="BY16" s="7">
        <f>BX16+預測IC!BY16</f>
        <v>1.0547383320984776</v>
      </c>
      <c r="BZ16" s="7">
        <f>BY16+預測IC!BZ16</f>
        <v>1.1662641806001268</v>
      </c>
      <c r="CA16" s="7">
        <f>BZ16+預測IC!CA16</f>
        <v>1.1365497908445636</v>
      </c>
      <c r="CB16" s="7">
        <f>CA16+預測IC!CB16</f>
        <v>1.1351217458553464</v>
      </c>
      <c r="CC16" s="7">
        <f>CB16+預測IC!CC16</f>
        <v>0.97604923137141197</v>
      </c>
      <c r="CD16" s="7">
        <f>CC16+預測IC!CD16</f>
        <v>1.1311205029977738</v>
      </c>
      <c r="CE16" s="7">
        <f>CD16+預測IC!CE16</f>
        <v>0.99852544220426243</v>
      </c>
      <c r="CF16" s="7">
        <f>CE16+預測IC!CF16</f>
        <v>1.1037267062140135</v>
      </c>
      <c r="CG16" s="7">
        <f>CF16+預測IC!CG16</f>
        <v>1.0983481871826835</v>
      </c>
      <c r="CH16" s="7">
        <f>CG16+預測IC!CH16</f>
        <v>1.1400456018857106</v>
      </c>
      <c r="CI16" s="7">
        <f>CH16+預測IC!CI16</f>
        <v>1.1013357200571932</v>
      </c>
      <c r="CJ16" s="7">
        <f>CI16+預測IC!CJ16</f>
        <v>1.0558121692695266</v>
      </c>
      <c r="CK16" s="7">
        <f>CJ16+預測IC!CK16</f>
        <v>1.1322851529872169</v>
      </c>
      <c r="CL16" s="7">
        <f>CK16+預測IC!CL16</f>
        <v>1.1481638353219261</v>
      </c>
      <c r="CM16" s="7">
        <f>CL16+預測IC!CM16</f>
        <v>1.2371524634714377</v>
      </c>
      <c r="CN16" s="7">
        <f>CM16+預測IC!CN16</f>
        <v>1.2040949483304877</v>
      </c>
      <c r="CO16" s="7">
        <f>CN16+預測IC!CO16</f>
        <v>1.0216429937906584</v>
      </c>
      <c r="CP16" s="7">
        <f>CO16+預測IC!CP16</f>
        <v>1.1582746832727497</v>
      </c>
      <c r="CQ16" s="7">
        <f>CP16+預測IC!CQ16</f>
        <v>1.1997102889321603</v>
      </c>
      <c r="CR16" s="7">
        <f>CQ16+預測IC!CR16</f>
        <v>1.2480100556154767</v>
      </c>
      <c r="CS16" s="7">
        <f>CR16+預測IC!CS16</f>
        <v>1.3145692154895505</v>
      </c>
      <c r="CT16" s="7">
        <f>CS16+預測IC!CT16</f>
        <v>1.3196366219903914</v>
      </c>
      <c r="CU16" s="7">
        <f>CT16+預測IC!CU16</f>
        <v>1.2562019676314167</v>
      </c>
      <c r="CV16" s="7">
        <f>CU16+預測IC!CV16</f>
        <v>1.2394508835506959</v>
      </c>
      <c r="CW16" s="7">
        <f>CV16+預測IC!CW16</f>
        <v>1.2302567240180742</v>
      </c>
      <c r="CX16" s="7">
        <f>CW16+預測IC!CX16</f>
        <v>1.2424970087723242</v>
      </c>
      <c r="CY16" s="7">
        <f>CX16+預測IC!CY16</f>
        <v>1.1933799596556987</v>
      </c>
      <c r="CZ16" s="7">
        <f>CY16+預測IC!CZ16</f>
        <v>1.2960132188338311</v>
      </c>
      <c r="DA16" s="7">
        <f>CZ16+預測IC!DA16</f>
        <v>1.2662084248665957</v>
      </c>
      <c r="DB16" s="7">
        <f>DA16+預測IC!DB16</f>
        <v>1.2234962550863697</v>
      </c>
      <c r="DC16" s="7">
        <f>DB16+預測IC!DC16</f>
        <v>1.26643861740687</v>
      </c>
      <c r="DD16" s="7">
        <f>DC16+預測IC!DD16</f>
        <v>1.1963676823495124</v>
      </c>
      <c r="DE16" s="7">
        <f>DD16+預測IC!DE16</f>
        <v>1.2308120546907411</v>
      </c>
      <c r="DF16" s="7">
        <f>DE16+預測IC!DF16</f>
        <v>1.207665621465182</v>
      </c>
      <c r="DG16" s="7">
        <f>DF16+預測IC!DG16</f>
        <v>1.2221185690966205</v>
      </c>
      <c r="DH16" s="7">
        <f>DG16+預測IC!DH16</f>
        <v>1.2029892256786494</v>
      </c>
      <c r="DI16" s="7">
        <f>DH16+預測IC!DI16</f>
        <v>1.1897557999661272</v>
      </c>
      <c r="DJ16" s="7">
        <f>DI16+預測IC!DJ16</f>
        <v>1.1606143938854976</v>
      </c>
      <c r="DK16" s="7">
        <f>DJ16+預測IC!DK16</f>
        <v>1.2942087505110782</v>
      </c>
      <c r="DL16" s="7">
        <f>DK16+預測IC!DL16</f>
        <v>1.3593217866397231</v>
      </c>
      <c r="DM16" s="7">
        <f>DL16+預測IC!DM16</f>
        <v>1.3289908368813821</v>
      </c>
      <c r="DN16" s="7">
        <f>DM16+預測IC!DN16</f>
        <v>1.3714286902407893</v>
      </c>
      <c r="DO16" s="7">
        <f>DN16+預測IC!DO16</f>
        <v>1.424650597796933</v>
      </c>
      <c r="DP16" s="7">
        <f>DO16+預測IC!DP16</f>
        <v>1.4444925463761591</v>
      </c>
      <c r="DQ16" s="7">
        <f>DP16+預測IC!DQ16</f>
        <v>1.3614588882991425</v>
      </c>
      <c r="DR16" s="7">
        <f>DQ16+預測IC!DR16</f>
        <v>1.4166501399486577</v>
      </c>
      <c r="DS16" s="7">
        <f>DR16+預測IC!DS16</f>
        <v>1.3228980749589034</v>
      </c>
      <c r="DT16" s="7">
        <f>DS16+預測IC!DT16</f>
        <v>1.2223639471344379</v>
      </c>
      <c r="DU16" s="7">
        <f>DT16+預測IC!DU16</f>
        <v>1.1578902133648992</v>
      </c>
      <c r="DV16" s="7">
        <f>DU16+預測IC!DV16</f>
        <v>1.2948439453826928</v>
      </c>
      <c r="DW16" s="7">
        <f>DV16+預測IC!DW16</f>
        <v>1.3357616750823835</v>
      </c>
      <c r="DX16" s="7">
        <f>DW16+預測IC!DX16</f>
        <v>1.210476968758406</v>
      </c>
      <c r="DY16" s="7">
        <f>DX16+預測IC!DY16</f>
        <v>1.3268313036687491</v>
      </c>
      <c r="DZ16" s="7">
        <f>DY16+預測IC!DZ16</f>
        <v>1.2955542238440727</v>
      </c>
      <c r="EA16" s="7">
        <f>DZ16+預測IC!EA16</f>
        <v>1.3422155953997996</v>
      </c>
      <c r="EB16" s="7">
        <f>EA16+預測IC!EB16</f>
        <v>1.4208262341429332</v>
      </c>
      <c r="EC16" s="7">
        <f>EB16+預測IC!EC16</f>
        <v>1.484358300777503</v>
      </c>
      <c r="ED16" s="7">
        <f>EC16+預測IC!ED16</f>
        <v>1.3689415532785818</v>
      </c>
      <c r="EE16" s="7">
        <f>ED16+預測IC!EE16</f>
        <v>1.3458508417539703</v>
      </c>
      <c r="EF16" s="7">
        <f>EE16+預測IC!EF16</f>
        <v>1.3883252432478774</v>
      </c>
    </row>
    <row r="17" spans="1:136" x14ac:dyDescent="0.3">
      <c r="B17" s="1" t="s">
        <v>157</v>
      </c>
      <c r="C17" s="7">
        <v>0.2060921883792059</v>
      </c>
      <c r="D17" s="7">
        <f>C17+預測IC!D17</f>
        <v>0.1887578136461181</v>
      </c>
      <c r="E17" s="7">
        <f>D17+預測IC!E17</f>
        <v>0.19613681514141945</v>
      </c>
      <c r="F17" s="7">
        <f>E17+預測IC!F17</f>
        <v>8.3299300024123751E-2</v>
      </c>
      <c r="G17" s="7">
        <f>F17+預測IC!G17</f>
        <v>1.2076533145941981E-2</v>
      </c>
      <c r="H17" s="7">
        <f>G17+預測IC!H17</f>
        <v>8.876435470855884E-2</v>
      </c>
      <c r="I17" s="7">
        <f>H17+預測IC!I17</f>
        <v>0.20248938251074633</v>
      </c>
      <c r="J17" s="7"/>
      <c r="K17" s="7">
        <f>J17+預測IC!K17</f>
        <v>-0.29682655110056239</v>
      </c>
      <c r="L17" s="7">
        <f>K17+預測IC!L17</f>
        <v>-0.28711566159240437</v>
      </c>
      <c r="M17" s="7">
        <f>L17+預測IC!M17</f>
        <v>-0.22218362660891819</v>
      </c>
      <c r="N17" s="7">
        <f>M17+預測IC!N17</f>
        <v>-8.6235194556132988E-2</v>
      </c>
      <c r="O17" s="7">
        <f>N17+預測IC!O17</f>
        <v>1.4991574716202716E-2</v>
      </c>
      <c r="P17" s="7">
        <f>O17+預測IC!P17</f>
        <v>-5.1347794422628296E-2</v>
      </c>
      <c r="Q17" s="7">
        <f>P17+預測IC!Q17</f>
        <v>-0.2131490890377552</v>
      </c>
      <c r="R17" s="7">
        <f>Q17+預測IC!R17</f>
        <v>-0.26520669794228241</v>
      </c>
      <c r="S17" s="7">
        <f>R17+預測IC!S17</f>
        <v>-0.57586013059758057</v>
      </c>
      <c r="T17" s="7">
        <f>S17+預測IC!T17</f>
        <v>-0.64706214513038762</v>
      </c>
      <c r="U17" s="7">
        <f>T17+預測IC!U17</f>
        <v>-0.7883332876689445</v>
      </c>
      <c r="V17" s="7">
        <f>U17+預測IC!V17</f>
        <v>-0.784322097839246</v>
      </c>
      <c r="W17" s="7">
        <f>V17+預測IC!W17</f>
        <v>-0.66471811382693846</v>
      </c>
      <c r="X17" s="7">
        <f>W17+預測IC!X17</f>
        <v>-0.54787191588613482</v>
      </c>
      <c r="Y17" s="7">
        <f>X17+預測IC!Y17</f>
        <v>-0.52494390482347997</v>
      </c>
      <c r="Z17" s="7">
        <f>Y17+預測IC!Z17</f>
        <v>-0.47107541553261417</v>
      </c>
      <c r="AA17" s="7">
        <f>Z17+預測IC!AA17</f>
        <v>-0.50628520511481323</v>
      </c>
      <c r="AB17" s="7">
        <f>AA17+預測IC!AB17</f>
        <v>-0.42143314223664091</v>
      </c>
      <c r="AC17" s="7">
        <f>AB17+預測IC!AC17</f>
        <v>-0.36270445194614709</v>
      </c>
      <c r="AD17" s="7">
        <f>AC17+預測IC!AD17</f>
        <v>-0.3407916077725065</v>
      </c>
      <c r="AE17" s="7">
        <f>AD17+預測IC!AE17</f>
        <v>-0.46795003021973147</v>
      </c>
      <c r="AF17" s="7">
        <f>AE17+預測IC!AF17</f>
        <v>-0.40652072009779133</v>
      </c>
      <c r="AG17" s="7">
        <f>AF17+預測IC!AG17</f>
        <v>-0.38377973931000114</v>
      </c>
      <c r="AH17" s="7">
        <f>AG17+預測IC!AH17</f>
        <v>-0.41925235848289</v>
      </c>
      <c r="AI17" s="7">
        <f>AH17+預測IC!AI17</f>
        <v>-0.30438791308460339</v>
      </c>
      <c r="AJ17" s="7">
        <f>AI17+預測IC!AJ17</f>
        <v>-0.32659537260934984</v>
      </c>
      <c r="AK17" s="7">
        <f>AJ17+預測IC!AK17</f>
        <v>-0.25287909787031337</v>
      </c>
      <c r="AL17" s="7">
        <f>AK17+預測IC!AL17</f>
        <v>-0.20215469212175685</v>
      </c>
      <c r="AM17" s="7">
        <f>AL17+預測IC!AM17</f>
        <v>-0.12678532453409988</v>
      </c>
      <c r="AN17" s="7">
        <f>AM17+預測IC!AN17</f>
        <v>-1.3498204188182178E-2</v>
      </c>
      <c r="AO17" s="7">
        <f>AN17+預測IC!AO17</f>
        <v>-8.658695924579872E-4</v>
      </c>
      <c r="AP17" s="7">
        <f>AO17+預測IC!AP17</f>
        <v>-7.8108684012043475E-2</v>
      </c>
      <c r="AQ17" s="7">
        <f>AP17+預測IC!AQ17</f>
        <v>-0.1386358214135425</v>
      </c>
      <c r="AR17" s="7">
        <f>AQ17+預測IC!AR17</f>
        <v>-2.4705111518725204E-2</v>
      </c>
      <c r="AS17" s="7">
        <f>AR17+預測IC!AS17</f>
        <v>3.1618450515750504E-2</v>
      </c>
      <c r="AT17" s="7">
        <f>AS17+預測IC!AT17</f>
        <v>8.3886256965472722E-2</v>
      </c>
      <c r="AU17" s="7">
        <f>AT17+預測IC!AU17</f>
        <v>0.13844176425216051</v>
      </c>
      <c r="AV17" s="7">
        <f>AU17+預測IC!AV17</f>
        <v>0.11723586146989214</v>
      </c>
      <c r="AW17" s="7">
        <f>AV17+預測IC!AW17</f>
        <v>0.12565774951172892</v>
      </c>
      <c r="AX17" s="7">
        <f>AW17+預測IC!AX17</f>
        <v>0.2218983080205279</v>
      </c>
      <c r="AY17" s="7">
        <f>AX17+預測IC!AY17</f>
        <v>0.24932200471112878</v>
      </c>
      <c r="AZ17" s="7">
        <f>AY17+預測IC!AZ17</f>
        <v>0.12416440245093768</v>
      </c>
      <c r="BA17" s="7">
        <f>AZ17+預測IC!BA17</f>
        <v>0.13398958155805066</v>
      </c>
      <c r="BB17" s="7">
        <f>BA17+預測IC!BB17</f>
        <v>0.25775364467189504</v>
      </c>
      <c r="BC17" s="7">
        <f>BB17+預測IC!BC17</f>
        <v>0.3416168398497087</v>
      </c>
      <c r="BD17" s="7">
        <f>BC17+預測IC!BD17</f>
        <v>0.36397332209591349</v>
      </c>
      <c r="BE17" s="7">
        <f>BD17+預測IC!BE17</f>
        <v>0.44132356433397391</v>
      </c>
      <c r="BF17" s="7">
        <f>BE17+預測IC!BF17</f>
        <v>0.49652106094292764</v>
      </c>
      <c r="BG17" s="7">
        <f>BF17+預測IC!BG17</f>
        <v>0.46112682485489037</v>
      </c>
      <c r="BH17" s="7">
        <f>BG17+預測IC!BH17</f>
        <v>0.47464628570664341</v>
      </c>
      <c r="BI17" s="7">
        <f>BH17+預測IC!BI17</f>
        <v>0.56175823114659063</v>
      </c>
      <c r="BJ17" s="7">
        <f>BI17+預測IC!BJ17</f>
        <v>0.55190016687335419</v>
      </c>
      <c r="BK17" s="7">
        <f>BJ17+預測IC!BK17</f>
        <v>0.53807721480324866</v>
      </c>
      <c r="BL17" s="7">
        <f>BK17+預測IC!BL17</f>
        <v>0.61556018160319481</v>
      </c>
      <c r="BM17" s="7">
        <f>BL17+預測IC!BM17</f>
        <v>0.69155795204905479</v>
      </c>
      <c r="BN17" s="7">
        <f>BM17+預測IC!BN17</f>
        <v>0.73847347764293281</v>
      </c>
      <c r="BO17" s="7">
        <f>BN17+預測IC!BO17</f>
        <v>0.77365309305965646</v>
      </c>
      <c r="BP17" s="7">
        <f>BO17+預測IC!BP17</f>
        <v>0.80964907271413733</v>
      </c>
      <c r="BQ17" s="7">
        <f>BP17+預測IC!BQ17</f>
        <v>0.82102558316058893</v>
      </c>
      <c r="BR17" s="7">
        <f>BQ17+預測IC!BR17</f>
        <v>0.81137920803583907</v>
      </c>
      <c r="BS17" s="7">
        <f>BR17+預測IC!BS17</f>
        <v>0.80727573892523252</v>
      </c>
      <c r="BT17" s="7">
        <f>BS17+預測IC!BT17</f>
        <v>0.91669211779565585</v>
      </c>
      <c r="BU17" s="7">
        <f>BT17+預測IC!BU17</f>
        <v>0.98781993654640821</v>
      </c>
      <c r="BV17" s="7">
        <f>BU17+預測IC!BV17</f>
        <v>1.0580302395660366</v>
      </c>
      <c r="BW17" s="7">
        <f>BV17+預測IC!BW17</f>
        <v>0.97759852696677063</v>
      </c>
      <c r="BX17" s="7">
        <f>BW17+預測IC!BX17</f>
        <v>1.0064214915864433</v>
      </c>
      <c r="BY17" s="7">
        <f>BX17+預測IC!BY17</f>
        <v>0.922176023957749</v>
      </c>
      <c r="BZ17" s="7">
        <f>BY17+預測IC!BZ17</f>
        <v>1.0427541798388342</v>
      </c>
      <c r="CA17" s="7">
        <f>BZ17+預測IC!CA17</f>
        <v>1.0148193474803446</v>
      </c>
      <c r="CB17" s="7">
        <f>CA17+預測IC!CB17</f>
        <v>1.004341639988352</v>
      </c>
      <c r="CC17" s="7">
        <f>CB17+預測IC!CC17</f>
        <v>0.82938366599867108</v>
      </c>
      <c r="CD17" s="7">
        <f>CC17+預測IC!CD17</f>
        <v>1.0023434072178197</v>
      </c>
      <c r="CE17" s="7">
        <f>CD17+預測IC!CE17</f>
        <v>0.82722716171176813</v>
      </c>
      <c r="CF17" s="7">
        <f>CE17+預測IC!CF17</f>
        <v>0.92597335913796663</v>
      </c>
      <c r="CG17" s="7">
        <f>CF17+預測IC!CG17</f>
        <v>0.91044625406288948</v>
      </c>
      <c r="CH17" s="7">
        <f>CG17+預測IC!CH17</f>
        <v>0.96908270066993951</v>
      </c>
      <c r="CI17" s="7">
        <f>CH17+預測IC!CI17</f>
        <v>0.95455151568035101</v>
      </c>
      <c r="CJ17" s="7">
        <f>CI17+預測IC!CJ17</f>
        <v>0.90380919419590899</v>
      </c>
      <c r="CK17" s="7">
        <f>CJ17+預測IC!CK17</f>
        <v>0.99554776685382196</v>
      </c>
      <c r="CL17" s="7">
        <f>CK17+預測IC!CL17</f>
        <v>0.9861214220847907</v>
      </c>
      <c r="CM17" s="7">
        <f>CL17+預測IC!CM17</f>
        <v>1.120690766516365</v>
      </c>
      <c r="CN17" s="7">
        <f>CM17+預測IC!CN17</f>
        <v>1.0939727053653781</v>
      </c>
      <c r="CO17" s="7">
        <f>CN17+預測IC!CO17</f>
        <v>0.89143407810238862</v>
      </c>
      <c r="CP17" s="7">
        <f>CO17+預測IC!CP17</f>
        <v>1.0395933472997323</v>
      </c>
      <c r="CQ17" s="7">
        <f>CP17+預測IC!CQ17</f>
        <v>1.0806812804831356</v>
      </c>
      <c r="CR17" s="7">
        <f>CQ17+預測IC!CR17</f>
        <v>1.1313577711853589</v>
      </c>
      <c r="CS17" s="7">
        <f>CR17+預測IC!CS17</f>
        <v>1.2281994024849285</v>
      </c>
      <c r="CT17" s="7">
        <f>CS17+預測IC!CT17</f>
        <v>1.2774594588741217</v>
      </c>
      <c r="CU17" s="7">
        <f>CT17+預測IC!CU17</f>
        <v>1.2030511512908677</v>
      </c>
      <c r="CV17" s="7">
        <f>CU17+預測IC!CV17</f>
        <v>1.2069307592307952</v>
      </c>
      <c r="CW17" s="7">
        <f>CV17+預測IC!CW17</f>
        <v>1.1871689053214423</v>
      </c>
      <c r="CX17" s="7">
        <f>CW17+預測IC!CX17</f>
        <v>1.19794129984539</v>
      </c>
      <c r="CY17" s="7">
        <f>CX17+預測IC!CY17</f>
        <v>1.1485580011293</v>
      </c>
      <c r="CZ17" s="7">
        <f>CY17+預測IC!CZ17</f>
        <v>1.2728068389769205</v>
      </c>
      <c r="DA17" s="7">
        <f>CZ17+預測IC!DA17</f>
        <v>1.2289109798317863</v>
      </c>
      <c r="DB17" s="7">
        <f>DA17+預測IC!DB17</f>
        <v>1.1940279690393183</v>
      </c>
      <c r="DC17" s="7">
        <f>DB17+預測IC!DC17</f>
        <v>1.2373914380168176</v>
      </c>
      <c r="DD17" s="7">
        <f>DC17+預測IC!DD17</f>
        <v>1.1522575049326638</v>
      </c>
      <c r="DE17" s="7">
        <f>DD17+預測IC!DE17</f>
        <v>1.1959809207159671</v>
      </c>
      <c r="DF17" s="7">
        <f>DE17+預測IC!DF17</f>
        <v>1.1847495503893077</v>
      </c>
      <c r="DG17" s="7">
        <f>DF17+預測IC!DG17</f>
        <v>1.1829102684603994</v>
      </c>
      <c r="DH17" s="7">
        <f>DG17+預測IC!DH17</f>
        <v>1.1441836175223867</v>
      </c>
      <c r="DI17" s="7">
        <f>DH17+預測IC!DI17</f>
        <v>1.1388903731986042</v>
      </c>
      <c r="DJ17" s="7">
        <f>DI17+預測IC!DJ17</f>
        <v>1.0935542156577842</v>
      </c>
      <c r="DK17" s="7">
        <f>DJ17+預測IC!DK17</f>
        <v>1.2495906437743305</v>
      </c>
      <c r="DL17" s="7">
        <f>DK17+預測IC!DL17</f>
        <v>1.3231062447115016</v>
      </c>
      <c r="DM17" s="7">
        <f>DL17+預測IC!DM17</f>
        <v>1.2708533341291857</v>
      </c>
      <c r="DN17" s="7">
        <f>DM17+預測IC!DN17</f>
        <v>1.3063423668435248</v>
      </c>
      <c r="DO17" s="7">
        <f>DN17+預測IC!DO17</f>
        <v>1.3597937371834281</v>
      </c>
      <c r="DP17" s="7">
        <f>DO17+預測IC!DP17</f>
        <v>1.3432752289268046</v>
      </c>
      <c r="DQ17" s="7">
        <f>DP17+預測IC!DQ17</f>
        <v>1.2355727601301738</v>
      </c>
      <c r="DR17" s="7">
        <f>DQ17+預測IC!DR17</f>
        <v>1.291457575006502</v>
      </c>
      <c r="DS17" s="7">
        <f>DR17+預測IC!DS17</f>
        <v>1.1671414152016912</v>
      </c>
      <c r="DT17" s="7">
        <f>DS17+預測IC!DT17</f>
        <v>1.0740024655165397</v>
      </c>
      <c r="DU17" s="7">
        <f>DT17+預測IC!DU17</f>
        <v>1.0022717594660344</v>
      </c>
      <c r="DV17" s="7">
        <f>DU17+預測IC!DV17</f>
        <v>1.1200371575769887</v>
      </c>
      <c r="DW17" s="7">
        <f>DV17+預測IC!DW17</f>
        <v>1.168718640991139</v>
      </c>
      <c r="DX17" s="7">
        <f>DW17+預測IC!DX17</f>
        <v>1.0391796583946649</v>
      </c>
      <c r="DY17" s="7">
        <f>DX17+預測IC!DY17</f>
        <v>1.1513181132007388</v>
      </c>
      <c r="DZ17" s="7">
        <f>DY17+預測IC!DZ17</f>
        <v>1.1194899406009526</v>
      </c>
      <c r="EA17" s="7">
        <f>DZ17+預測IC!EA17</f>
        <v>1.1313078644666652</v>
      </c>
      <c r="EB17" s="7">
        <f>EA17+預測IC!EB17</f>
        <v>1.2184082136614045</v>
      </c>
      <c r="EC17" s="7">
        <f>EB17+預測IC!EC17</f>
        <v>1.2348334308774651</v>
      </c>
      <c r="ED17" s="7">
        <f>EC17+預測IC!ED17</f>
        <v>1.1065089869485525</v>
      </c>
      <c r="EE17" s="7">
        <f>ED17+預測IC!EE17</f>
        <v>1.0810956266385185</v>
      </c>
      <c r="EF17" s="7">
        <f>EE17+預測IC!EF17</f>
        <v>1.1288053936483704</v>
      </c>
    </row>
    <row r="18" spans="1:136" x14ac:dyDescent="0.3">
      <c r="B18" s="1" t="s">
        <v>158</v>
      </c>
      <c r="C18" s="7">
        <v>0.18975112249235829</v>
      </c>
      <c r="D18" s="7">
        <f>C18+預測IC!D18</f>
        <v>0.18156365541096556</v>
      </c>
      <c r="E18" s="7">
        <f>D18+預測IC!E18</f>
        <v>0.12256299831275777</v>
      </c>
      <c r="F18" s="7">
        <f>E18+預測IC!F18</f>
        <v>-1.1851376120627921E-2</v>
      </c>
      <c r="G18" s="7">
        <f>F18+預測IC!G18</f>
        <v>-9.2645623141487776E-2</v>
      </c>
      <c r="H18" s="7">
        <f>G18+預測IC!H18</f>
        <v>2.9267166221782326E-2</v>
      </c>
      <c r="I18" s="7">
        <f>H18+預測IC!I18</f>
        <v>0.16476734644502342</v>
      </c>
      <c r="J18" s="7">
        <f>I18+預測IC!J18</f>
        <v>0.20817886219666504</v>
      </c>
      <c r="K18" s="7">
        <f>J18+預測IC!K18</f>
        <v>-0.15050323631123469</v>
      </c>
      <c r="L18" s="7">
        <f>K18+預測IC!L18</f>
        <v>-0.13752074946425308</v>
      </c>
      <c r="M18" s="7">
        <f>L18+預測IC!M18</f>
        <v>-5.7818172350276628E-2</v>
      </c>
      <c r="N18" s="7">
        <f>M18+預測IC!N18</f>
        <v>8.5174254934494473E-2</v>
      </c>
      <c r="O18" s="7">
        <f>N18+預測IC!O18</f>
        <v>0.18884474456411365</v>
      </c>
      <c r="P18" s="7">
        <f>O18+預測IC!P18</f>
        <v>0.10629213299416589</v>
      </c>
      <c r="Q18" s="7">
        <f>P18+預測IC!Q18</f>
        <v>-8.2683285695324002E-2</v>
      </c>
      <c r="R18" s="7">
        <f>Q18+預測IC!R18</f>
        <v>-0.14417552356729899</v>
      </c>
      <c r="S18" s="7">
        <f>R18+預測IC!S18</f>
        <v>-0.52790815249919332</v>
      </c>
      <c r="T18" s="7">
        <f>S18+預測IC!T18</f>
        <v>-0.58215259253080198</v>
      </c>
      <c r="U18" s="7">
        <f>T18+預測IC!U18</f>
        <v>-0.71464761696062096</v>
      </c>
      <c r="V18" s="7">
        <f>U18+預測IC!V18</f>
        <v>-0.70175248189077011</v>
      </c>
      <c r="W18" s="7">
        <f>V18+預測IC!W18</f>
        <v>-0.5638352439750639</v>
      </c>
      <c r="X18" s="7">
        <f>W18+預測IC!X18</f>
        <v>-0.42038372634022331</v>
      </c>
      <c r="Y18" s="7">
        <f>X18+預測IC!Y18</f>
        <v>-0.40115139198278776</v>
      </c>
      <c r="Z18" s="7">
        <f>Y18+預測IC!Z18</f>
        <v>-0.31191702854226488</v>
      </c>
      <c r="AA18" s="7">
        <f>Z18+預測IC!AA18</f>
        <v>-0.35362227372498894</v>
      </c>
      <c r="AB18" s="7">
        <f>AA18+預測IC!AB18</f>
        <v>-0.26892397399450474</v>
      </c>
      <c r="AC18" s="7">
        <f>AB18+預測IC!AC18</f>
        <v>-0.21110096113854748</v>
      </c>
      <c r="AD18" s="7">
        <f>AC18+預測IC!AD18</f>
        <v>-0.1845053707594673</v>
      </c>
      <c r="AE18" s="7">
        <f>AD18+預測IC!AE18</f>
        <v>-0.3280346121885418</v>
      </c>
      <c r="AF18" s="7">
        <f>AE18+預測IC!AF18</f>
        <v>-0.29616119402791619</v>
      </c>
      <c r="AG18" s="7">
        <f>AF18+預測IC!AG18</f>
        <v>-0.2636680779300401</v>
      </c>
      <c r="AH18" s="7">
        <f>AG18+預測IC!AH18</f>
        <v>-0.30386553889855483</v>
      </c>
      <c r="AI18" s="7">
        <f>AH18+預測IC!AI18</f>
        <v>-0.18577980434055463</v>
      </c>
      <c r="AJ18" s="7">
        <f>AI18+預測IC!AJ18</f>
        <v>-0.19310724822974412</v>
      </c>
      <c r="AK18" s="7">
        <f>AJ18+預測IC!AK18</f>
        <v>-0.16295476763211814</v>
      </c>
      <c r="AL18" s="7">
        <f>AK18+預測IC!AL18</f>
        <v>-0.1154270039998604</v>
      </c>
      <c r="AM18" s="7">
        <f>AL18+預測IC!AM18</f>
        <v>-4.8783598575089196E-2</v>
      </c>
      <c r="AN18" s="7">
        <f>AM18+預測IC!AN18</f>
        <v>3.0511041380112597E-2</v>
      </c>
      <c r="AO18" s="7">
        <f>AN18+預測IC!AO18</f>
        <v>3.5938576347805382E-2</v>
      </c>
      <c r="AP18" s="7">
        <f>AO18+預測IC!AP18</f>
        <v>-4.2340015586001589E-2</v>
      </c>
      <c r="AQ18" s="7">
        <f>AP18+預測IC!AQ18</f>
        <v>-0.11857086091245153</v>
      </c>
      <c r="AR18" s="7">
        <f>AQ18+預測IC!AR18</f>
        <v>5.9746454504926716E-3</v>
      </c>
      <c r="AS18" s="7">
        <f>AR18+預測IC!AS18</f>
        <v>9.1801197004461807E-2</v>
      </c>
      <c r="AT18" s="7">
        <f>AS18+預測IC!AT18</f>
        <v>0.1351268468250405</v>
      </c>
      <c r="AU18" s="7">
        <f>AT18+預測IC!AU18</f>
        <v>0.19970249090463205</v>
      </c>
      <c r="AV18" s="7">
        <f>AU18+預測IC!AV18</f>
        <v>0.17093373502291484</v>
      </c>
      <c r="AW18" s="7">
        <f>AV18+預測IC!AW18</f>
        <v>0.19547176926402229</v>
      </c>
      <c r="AX18" s="7">
        <f>AW18+預測IC!AX18</f>
        <v>0.30303263751985843</v>
      </c>
      <c r="AY18" s="7">
        <f>AX18+預測IC!AY18</f>
        <v>0.33781591616100648</v>
      </c>
      <c r="AZ18" s="7">
        <f>AY18+預測IC!AZ18</f>
        <v>0.18940683377210737</v>
      </c>
      <c r="BA18" s="7">
        <f>AZ18+預測IC!BA18</f>
        <v>0.19003914469679295</v>
      </c>
      <c r="BB18" s="7">
        <f>BA18+預測IC!BB18</f>
        <v>0.32769518685413002</v>
      </c>
      <c r="BC18" s="7">
        <f>BB18+預測IC!BC18</f>
        <v>0.41089675944745063</v>
      </c>
      <c r="BD18" s="7">
        <f>BC18+預測IC!BD18</f>
        <v>0.38688048776015022</v>
      </c>
      <c r="BE18" s="7">
        <f>BD18+預測IC!BE18</f>
        <v>0.45524170099831307</v>
      </c>
      <c r="BF18" s="7">
        <f>BE18+預測IC!BF18</f>
        <v>0.50112623729789196</v>
      </c>
      <c r="BG18" s="7">
        <f>BF18+預測IC!BG18</f>
        <v>0.4843199960716878</v>
      </c>
      <c r="BH18" s="7">
        <f>BG18+預測IC!BH18</f>
        <v>0.50482384913549327</v>
      </c>
      <c r="BI18" s="7">
        <f>BH18+預測IC!BI18</f>
        <v>0.61382385605415901</v>
      </c>
      <c r="BJ18" s="7">
        <f>BI18+預測IC!BJ18</f>
        <v>0.61977992010461858</v>
      </c>
      <c r="BK18" s="7">
        <f>BJ18+預測IC!BK18</f>
        <v>0.56177667593441594</v>
      </c>
      <c r="BL18" s="7">
        <f>BK18+預測IC!BL18</f>
        <v>0.64293434975462005</v>
      </c>
      <c r="BM18" s="7">
        <f>BL18+預測IC!BM18</f>
        <v>0.74570828881805962</v>
      </c>
      <c r="BN18" s="7">
        <f>BM18+預測IC!BN18</f>
        <v>0.7984826784418898</v>
      </c>
      <c r="BO18" s="7">
        <f>BN18+預測IC!BO18</f>
        <v>0.81871017454826445</v>
      </c>
      <c r="BP18" s="7">
        <f>BO18+預測IC!BP18</f>
        <v>0.86556771488294648</v>
      </c>
      <c r="BQ18" s="7">
        <f>BP18+預測IC!BQ18</f>
        <v>0.86748449899279545</v>
      </c>
      <c r="BR18" s="7">
        <f>BQ18+預測IC!BR18</f>
        <v>0.86173630540884072</v>
      </c>
      <c r="BS18" s="7">
        <f>BR18+預測IC!BS18</f>
        <v>0.85775268031172147</v>
      </c>
      <c r="BT18" s="7">
        <f>BS18+預測IC!BT18</f>
        <v>0.97298942834760804</v>
      </c>
      <c r="BU18" s="7">
        <f>BT18+預測IC!BU18</f>
        <v>1.0536668723876488</v>
      </c>
      <c r="BV18" s="7">
        <f>BU18+預測IC!BV18</f>
        <v>1.1345902676646911</v>
      </c>
      <c r="BW18" s="7">
        <f>BV18+預測IC!BW18</f>
        <v>1.0492791807314956</v>
      </c>
      <c r="BX18" s="7">
        <f>BW18+預測IC!BX18</f>
        <v>1.0682976554475312</v>
      </c>
      <c r="BY18" s="7">
        <f>BX18+預測IC!BY18</f>
        <v>0.94522267962350637</v>
      </c>
      <c r="BZ18" s="7">
        <f>BY18+預測IC!BZ18</f>
        <v>1.0985426674261045</v>
      </c>
      <c r="CA18" s="7">
        <f>BZ18+預測IC!CA18</f>
        <v>1.0824661235332438</v>
      </c>
      <c r="CB18" s="7">
        <f>CA18+預測IC!CB18</f>
        <v>1.0578887669207955</v>
      </c>
      <c r="CC18" s="7">
        <f>CB18+預測IC!CC18</f>
        <v>1.0297153229013953</v>
      </c>
      <c r="CD18" s="7">
        <f>CC18+預測IC!CD18</f>
        <v>1.2234321415482261</v>
      </c>
      <c r="CE18" s="7">
        <f>CD18+預測IC!CE18</f>
        <v>1.0455057852393488</v>
      </c>
      <c r="CF18" s="7">
        <f>CE18+預測IC!CF18</f>
        <v>1.1173233769397228</v>
      </c>
      <c r="CG18" s="7">
        <f>CF18+預測IC!CG18</f>
        <v>1.1145220180003073</v>
      </c>
      <c r="CH18" s="7">
        <f>CG18+預測IC!CH18</f>
        <v>1.2771790646875405</v>
      </c>
      <c r="CI18" s="7">
        <f>CH18+預測IC!CI18</f>
        <v>1.238309924809851</v>
      </c>
      <c r="CJ18" s="7">
        <f>CI18+預測IC!CJ18</f>
        <v>1.1759962469849414</v>
      </c>
      <c r="CK18" s="7">
        <f>CJ18+預測IC!CK18</f>
        <v>1.2666640312772253</v>
      </c>
      <c r="CL18" s="7">
        <f>CK18+預測IC!CL18</f>
        <v>1.2356744862190321</v>
      </c>
      <c r="CM18" s="7">
        <f>CL18+預測IC!CM18</f>
        <v>1.3793230293834258</v>
      </c>
      <c r="CN18" s="7">
        <f>CM18+預測IC!CN18</f>
        <v>1.3442367754052491</v>
      </c>
      <c r="CO18" s="7">
        <f>CN18+預測IC!CO18</f>
        <v>1.1126628968558199</v>
      </c>
      <c r="CP18" s="7">
        <f>CO18+預測IC!CP18</f>
        <v>1.2755020058038307</v>
      </c>
      <c r="CQ18" s="7">
        <f>CP18+預測IC!CQ18</f>
        <v>1.3234785422120983</v>
      </c>
      <c r="CR18" s="7">
        <f>CQ18+預測IC!CR18</f>
        <v>1.3786346709286903</v>
      </c>
      <c r="CS18" s="7">
        <f>CR18+預測IC!CS18</f>
        <v>1.4566619176606617</v>
      </c>
      <c r="CT18" s="7">
        <f>CS18+預測IC!CT18</f>
        <v>1.5471773466629111</v>
      </c>
      <c r="CU18" s="7">
        <f>CT18+預測IC!CU18</f>
        <v>1.4755286554578011</v>
      </c>
      <c r="CV18" s="7">
        <f>CU18+預測IC!CV18</f>
        <v>1.5665689376880898</v>
      </c>
      <c r="CW18" s="7">
        <f>CV18+預測IC!CW18</f>
        <v>1.5581128521235641</v>
      </c>
      <c r="CX18" s="7">
        <f>CW18+預測IC!CX18</f>
        <v>1.6196730379573421</v>
      </c>
      <c r="CY18" s="7">
        <f>CX18+預測IC!CY18</f>
        <v>1.5683156241825598</v>
      </c>
      <c r="CZ18" s="7">
        <f>CY18+預測IC!CZ18</f>
        <v>1.7011584874843311</v>
      </c>
      <c r="DA18" s="7">
        <f>CZ18+預測IC!DA18</f>
        <v>1.6537775479656376</v>
      </c>
      <c r="DB18" s="7">
        <f>DA18+預測IC!DB18</f>
        <v>1.6080423392868781</v>
      </c>
      <c r="DC18" s="7">
        <f>DB18+預測IC!DC18</f>
        <v>1.6444511207823844</v>
      </c>
      <c r="DD18" s="7">
        <f>DC18+預測IC!DD18</f>
        <v>1.5619887672869703</v>
      </c>
      <c r="DE18" s="7">
        <f>DD18+預測IC!DE18</f>
        <v>1.6111622121786113</v>
      </c>
      <c r="DF18" s="7">
        <f>DE18+預測IC!DF18</f>
        <v>1.5761194333962412</v>
      </c>
      <c r="DG18" s="7">
        <f>DF18+預測IC!DG18</f>
        <v>1.5684999602386134</v>
      </c>
      <c r="DH18" s="7">
        <f>DG18+預測IC!DH18</f>
        <v>1.5404619469899643</v>
      </c>
      <c r="DI18" s="7">
        <f>DH18+預測IC!DI18</f>
        <v>1.5243473177519375</v>
      </c>
      <c r="DJ18" s="7">
        <f>DI18+預測IC!DJ18</f>
        <v>1.479143277966648</v>
      </c>
      <c r="DK18" s="7">
        <f>DJ18+預測IC!DK18</f>
        <v>1.6376569050590755</v>
      </c>
      <c r="DL18" s="7">
        <f>DK18+預測IC!DL18</f>
        <v>1.7190546479753166</v>
      </c>
      <c r="DM18" s="7">
        <f>DL18+預測IC!DM18</f>
        <v>1.6525465072432783</v>
      </c>
      <c r="DN18" s="7">
        <f>DM18+預測IC!DN18</f>
        <v>1.6358244431652571</v>
      </c>
      <c r="DO18" s="7">
        <f>DN18+預測IC!DO18</f>
        <v>1.6779293507158877</v>
      </c>
      <c r="DP18" s="7">
        <f>DO18+預測IC!DP18</f>
        <v>1.657324664249022</v>
      </c>
      <c r="DQ18" s="7">
        <f>DP18+預測IC!DQ18</f>
        <v>1.5565973859431905</v>
      </c>
      <c r="DR18" s="7">
        <f>DQ18+預測IC!DR18</f>
        <v>1.6334380407151516</v>
      </c>
      <c r="DS18" s="7">
        <f>DR18+預測IC!DS18</f>
        <v>1.485716042263419</v>
      </c>
      <c r="DT18" s="7">
        <f>DS18+預測IC!DT18</f>
        <v>1.3696986521524419</v>
      </c>
      <c r="DU18" s="7">
        <f>DT18+預測IC!DU18</f>
        <v>1.2728034660755372</v>
      </c>
      <c r="DV18" s="7">
        <f>DU18+預測IC!DV18</f>
        <v>1.3784440748755991</v>
      </c>
      <c r="DW18" s="7">
        <f>DV18+預測IC!DW18</f>
        <v>1.4603527671599723</v>
      </c>
      <c r="DX18" s="7">
        <f>DW18+預測IC!DX18</f>
        <v>1.3067497896974904</v>
      </c>
      <c r="DY18" s="7">
        <f>DX18+預測IC!DY18</f>
        <v>1.4041778266734402</v>
      </c>
      <c r="DZ18" s="7">
        <f>DY18+預測IC!DZ18</f>
        <v>1.3286614673770745</v>
      </c>
      <c r="EA18" s="7">
        <f>DZ18+預測IC!EA18</f>
        <v>1.3222999046330928</v>
      </c>
      <c r="EB18" s="7">
        <f>EA18+預測IC!EB18</f>
        <v>1.4221462826114133</v>
      </c>
      <c r="EC18" s="7">
        <f>EB18+預測IC!EC18</f>
        <v>1.4249103980367848</v>
      </c>
      <c r="ED18" s="7">
        <f>EC18+預測IC!ED18</f>
        <v>1.3144323761710193</v>
      </c>
      <c r="EE18" s="7">
        <f>ED18+預測IC!EE18</f>
        <v>1.3005786221965121</v>
      </c>
      <c r="EF18" s="7">
        <f>EE18+預測IC!EF18</f>
        <v>1.3495336393069286</v>
      </c>
    </row>
    <row r="19" spans="1:136" x14ac:dyDescent="0.3">
      <c r="B19" s="1" t="s">
        <v>159</v>
      </c>
      <c r="C19" s="7">
        <v>0.19660026531165431</v>
      </c>
      <c r="D19" s="7">
        <f>C19+預測IC!D19</f>
        <v>0.17642946585745856</v>
      </c>
      <c r="E19" s="7">
        <f>D19+預測IC!E19</f>
        <v>0.12153137209004639</v>
      </c>
      <c r="F19" s="7">
        <f>E19+預測IC!F19</f>
        <v>8.2884690203802305E-2</v>
      </c>
      <c r="G19" s="7">
        <f>F19+預測IC!G19</f>
        <v>-1.4627400357797818E-2</v>
      </c>
      <c r="H19" s="7">
        <f>G19+預測IC!H19</f>
        <v>0.13426672167804948</v>
      </c>
      <c r="I19" s="7">
        <f>H19+預測IC!I19</f>
        <v>0.26892105456951598</v>
      </c>
      <c r="J19" s="7">
        <f>I19+預測IC!J19</f>
        <v>0.304350639089707</v>
      </c>
      <c r="K19" s="7">
        <f>J19+預測IC!K19</f>
        <v>-0.11398721187992722</v>
      </c>
      <c r="L19" s="7">
        <f>K19+預測IC!L19</f>
        <v>-7.093825424476119E-2</v>
      </c>
      <c r="M19" s="7">
        <f>L19+預測IC!M19</f>
        <v>1.5272084781356526E-2</v>
      </c>
      <c r="N19" s="7">
        <f>M19+預測IC!N19</f>
        <v>0.11061997047133743</v>
      </c>
      <c r="O19" s="7">
        <f>N19+預測IC!O19</f>
        <v>0.20284135349079463</v>
      </c>
      <c r="P19" s="7">
        <f>O19+預測IC!P19</f>
        <v>0.11030716730409752</v>
      </c>
      <c r="Q19" s="7">
        <f>P19+預測IC!Q19</f>
        <v>-8.685592096042237E-2</v>
      </c>
      <c r="R19" s="7">
        <f>Q19+預測IC!R19</f>
        <v>-0.17715501159127867</v>
      </c>
      <c r="S19" s="7">
        <f>R19+預測IC!S19</f>
        <v>-0.36131512828888668</v>
      </c>
      <c r="T19" s="7">
        <f>S19+預測IC!T19</f>
        <v>-0.38846940627518578</v>
      </c>
      <c r="U19" s="7">
        <f>T19+預測IC!U19</f>
        <v>-0.52416774490710893</v>
      </c>
      <c r="V19" s="7">
        <f>U19+預測IC!V19</f>
        <v>-0.48754905712165764</v>
      </c>
      <c r="W19" s="7">
        <f>V19+預測IC!W19</f>
        <v>-0.34092806640414752</v>
      </c>
      <c r="X19" s="7">
        <f>W19+預測IC!X19</f>
        <v>-0.22428902114005411</v>
      </c>
      <c r="Y19" s="7">
        <f>X19+預測IC!Y19</f>
        <v>-0.19866038361189761</v>
      </c>
      <c r="Z19" s="7">
        <f>Y19+預測IC!Z19</f>
        <v>-0.10704127303587405</v>
      </c>
      <c r="AA19" s="7">
        <f>Z19+預測IC!AA19</f>
        <v>-0.14861145757402977</v>
      </c>
      <c r="AB19" s="7">
        <f>AA19+預測IC!AB19</f>
        <v>-4.6357851690087076E-2</v>
      </c>
      <c r="AC19" s="7">
        <f>AB19+預測IC!AC19</f>
        <v>-1.7905017048395755E-2</v>
      </c>
      <c r="AD19" s="7">
        <f>AC19+預測IC!AD19</f>
        <v>1.7183911539554578E-2</v>
      </c>
      <c r="AE19" s="7">
        <f>AD19+預測IC!AE19</f>
        <v>-0.15223214945823521</v>
      </c>
      <c r="AF19" s="7">
        <f>AE19+預測IC!AF19</f>
        <v>-0.11344648264933546</v>
      </c>
      <c r="AG19" s="7">
        <f>AF19+預測IC!AG19</f>
        <v>-9.1310263576787648E-2</v>
      </c>
      <c r="AH19" s="7">
        <f>AG19+預測IC!AH19</f>
        <v>-0.1478679787984912</v>
      </c>
      <c r="AI19" s="7">
        <f>AH19+預測IC!AI19</f>
        <v>-5.6319315873816736E-2</v>
      </c>
      <c r="AJ19" s="7">
        <f>AI19+預測IC!AJ19</f>
        <v>-4.4152124297836229E-2</v>
      </c>
      <c r="AK19" s="7">
        <f>AJ19+預測IC!AK19</f>
        <v>-3.6600081791883517E-2</v>
      </c>
      <c r="AL19" s="7">
        <f>AK19+預測IC!AL19</f>
        <v>3.3670863878922035E-2</v>
      </c>
      <c r="AM19" s="7">
        <f>AL19+預測IC!AM19</f>
        <v>7.6776875690326984E-2</v>
      </c>
      <c r="AN19" s="7">
        <f>AM19+預測IC!AN19</f>
        <v>0.16034517005600907</v>
      </c>
      <c r="AO19" s="7">
        <f>AN19+預測IC!AO19</f>
        <v>0.18623807310142348</v>
      </c>
      <c r="AP19" s="7">
        <f>AO19+預測IC!AP19</f>
        <v>9.8663952828571405E-2</v>
      </c>
      <c r="AQ19" s="7">
        <f>AP19+預測IC!AQ19</f>
        <v>1.0411195767920753E-2</v>
      </c>
      <c r="AR19" s="7">
        <f>AQ19+預測IC!AR19</f>
        <v>0.16392875808077817</v>
      </c>
      <c r="AS19" s="7">
        <f>AR19+預測IC!AS19</f>
        <v>0.26172571334909261</v>
      </c>
      <c r="AT19" s="7">
        <f>AS19+預測IC!AT19</f>
        <v>0.31102069511479391</v>
      </c>
      <c r="AU19" s="7">
        <f>AT19+預測IC!AU19</f>
        <v>0.38744941082844808</v>
      </c>
      <c r="AV19" s="7">
        <f>AU19+預測IC!AV19</f>
        <v>0.33741639013147018</v>
      </c>
      <c r="AW19" s="7">
        <f>AV19+預測IC!AW19</f>
        <v>0.35977255828560667</v>
      </c>
      <c r="AX19" s="7">
        <f>AW19+預測IC!AX19</f>
        <v>0.43997897259601954</v>
      </c>
      <c r="AY19" s="7">
        <f>AX19+預測IC!AY19</f>
        <v>0.46950794298939935</v>
      </c>
      <c r="AZ19" s="7">
        <f>AY19+預測IC!AZ19</f>
        <v>0.28262832482122502</v>
      </c>
      <c r="BA19" s="7">
        <f>AZ19+預測IC!BA19</f>
        <v>0.24826444086715199</v>
      </c>
      <c r="BB19" s="7">
        <f>BA19+預測IC!BB19</f>
        <v>0.40801063993958359</v>
      </c>
      <c r="BC19" s="7">
        <f>BB19+預測IC!BC19</f>
        <v>0.47206612628576938</v>
      </c>
      <c r="BD19" s="7">
        <f>BC19+預測IC!BD19</f>
        <v>0.46883173365570124</v>
      </c>
      <c r="BE19" s="7">
        <f>BD19+預測IC!BE19</f>
        <v>0.51996360761936777</v>
      </c>
      <c r="BF19" s="7">
        <f>BE19+預測IC!BF19</f>
        <v>0.53353458176850643</v>
      </c>
      <c r="BG19" s="7">
        <f>BF19+預測IC!BG19</f>
        <v>0.51719092343566431</v>
      </c>
      <c r="BH19" s="7">
        <f>BG19+預測IC!BH19</f>
        <v>0.51920912513709527</v>
      </c>
      <c r="BI19" s="7">
        <f>BH19+預測IC!BI19</f>
        <v>0.64700775395631394</v>
      </c>
      <c r="BJ19" s="7">
        <f>BI19+預測IC!BJ19</f>
        <v>0.66871505549489318</v>
      </c>
      <c r="BK19" s="7">
        <f>BJ19+預測IC!BK19</f>
        <v>0.61696552940290084</v>
      </c>
      <c r="BL19" s="7">
        <f>BK19+預測IC!BL19</f>
        <v>0.69693018754940395</v>
      </c>
      <c r="BM19" s="7">
        <f>BL19+預測IC!BM19</f>
        <v>0.81118078780809966</v>
      </c>
      <c r="BN19" s="7">
        <f>BM19+預測IC!BN19</f>
        <v>0.87843343527537143</v>
      </c>
      <c r="BO19" s="7">
        <f>BN19+預測IC!BO19</f>
        <v>0.9041623965404868</v>
      </c>
      <c r="BP19" s="7">
        <f>BO19+預測IC!BP19</f>
        <v>0.96698120407461896</v>
      </c>
      <c r="BQ19" s="7">
        <f>BP19+預測IC!BQ19</f>
        <v>0.97691524852894207</v>
      </c>
      <c r="BR19" s="7">
        <f>BQ19+預測IC!BR19</f>
        <v>0.98359049455246206</v>
      </c>
      <c r="BS19" s="7">
        <f>BR19+預測IC!BS19</f>
        <v>0.95933415580797998</v>
      </c>
      <c r="BT19" s="7">
        <f>BS19+預測IC!BT19</f>
        <v>1.1009668356615534</v>
      </c>
      <c r="BU19" s="7">
        <f>BT19+預測IC!BU19</f>
        <v>1.1769030868957915</v>
      </c>
      <c r="BV19" s="7">
        <f>BU19+預測IC!BV19</f>
        <v>1.2705583280491379</v>
      </c>
      <c r="BW19" s="7">
        <f>BV19+預測IC!BW19</f>
        <v>1.1615913666654929</v>
      </c>
      <c r="BX19" s="7">
        <f>BW19+預測IC!BX19</f>
        <v>1.1956791519373511</v>
      </c>
      <c r="BY19" s="7">
        <f>BX19+預測IC!BY19</f>
        <v>1.0880294153817029</v>
      </c>
      <c r="BZ19" s="7">
        <f>BY19+預測IC!BZ19</f>
        <v>1.1567315402037568</v>
      </c>
      <c r="CA19" s="7">
        <f>BZ19+預測IC!CA19</f>
        <v>1.1274027849799824</v>
      </c>
      <c r="CB19" s="7">
        <f>CA19+預測IC!CB19</f>
        <v>1.0793616164717375</v>
      </c>
      <c r="CC19" s="7">
        <f>CB19+預測IC!CC19</f>
        <v>1.05463836370591</v>
      </c>
      <c r="CD19" s="7">
        <f>CC19+預測IC!CD19</f>
        <v>1.2702575617996279</v>
      </c>
      <c r="CE19" s="7">
        <f>CD19+預測IC!CE19</f>
        <v>1.0719917326226687</v>
      </c>
      <c r="CF19" s="7">
        <f>CE19+預測IC!CF19</f>
        <v>1.151896129828718</v>
      </c>
      <c r="CG19" s="7">
        <f>CF19+預測IC!CG19</f>
        <v>1.1012625998140646</v>
      </c>
      <c r="CH19" s="7">
        <f>CG19+預測IC!CH19</f>
        <v>1.254152466863991</v>
      </c>
      <c r="CI19" s="7">
        <f>CH19+預測IC!CI19</f>
        <v>1.2170855207037958</v>
      </c>
      <c r="CJ19" s="7">
        <f>CI19+預測IC!CJ19</f>
        <v>1.1551450207377596</v>
      </c>
      <c r="CK19" s="7">
        <f>CJ19+預測IC!CK19</f>
        <v>1.2591127385548577</v>
      </c>
      <c r="CL19" s="7">
        <f>CK19+預測IC!CL19</f>
        <v>1.2158724585800678</v>
      </c>
      <c r="CM19" s="7">
        <f>CL19+預測IC!CM19</f>
        <v>1.3912201001617828</v>
      </c>
      <c r="CN19" s="7">
        <f>CM19+預測IC!CN19</f>
        <v>1.3142874454944793</v>
      </c>
      <c r="CO19" s="7">
        <f>CN19+預測IC!CO19</f>
        <v>1.0418330408659728</v>
      </c>
      <c r="CP19" s="7">
        <f>CO19+預測IC!CP19</f>
        <v>1.2008656398483055</v>
      </c>
      <c r="CQ19" s="7">
        <f>CP19+預測IC!CQ19</f>
        <v>1.1981357316937435</v>
      </c>
      <c r="CR19" s="7">
        <f>CQ19+預測IC!CR19</f>
        <v>1.2478299212461461</v>
      </c>
      <c r="CS19" s="7">
        <f>CR19+預測IC!CS19</f>
        <v>1.3085307721446842</v>
      </c>
      <c r="CT19" s="7">
        <f>CS19+預測IC!CT19</f>
        <v>1.431151198774715</v>
      </c>
      <c r="CU19" s="7">
        <f>CT19+預測IC!CU19</f>
        <v>1.347714801660822</v>
      </c>
      <c r="CV19" s="7">
        <f>CU19+預測IC!CV19</f>
        <v>1.4496946631772256</v>
      </c>
      <c r="CW19" s="7">
        <f>CV19+預測IC!CW19</f>
        <v>1.427792855395327</v>
      </c>
      <c r="CX19" s="7">
        <f>CW19+預測IC!CX19</f>
        <v>1.4854275817635119</v>
      </c>
      <c r="CY19" s="7">
        <f>CX19+預測IC!CY19</f>
        <v>1.4145057121991422</v>
      </c>
      <c r="CZ19" s="7">
        <f>CY19+預測IC!CZ19</f>
        <v>1.5273575408406062</v>
      </c>
      <c r="DA19" s="7">
        <f>CZ19+預測IC!DA19</f>
        <v>1.4691336641373693</v>
      </c>
      <c r="DB19" s="7">
        <f>DA19+預測IC!DB19</f>
        <v>1.4334127651121538</v>
      </c>
      <c r="DC19" s="7">
        <f>DB19+預測IC!DC19</f>
        <v>1.3982333652100596</v>
      </c>
      <c r="DD19" s="7">
        <f>DC19+預測IC!DD19</f>
        <v>1.2919760292552589</v>
      </c>
      <c r="DE19" s="7">
        <f>DD19+預測IC!DE19</f>
        <v>1.3460009846378684</v>
      </c>
      <c r="DF19" s="7">
        <f>DE19+預測IC!DF19</f>
        <v>1.2763079377448459</v>
      </c>
      <c r="DG19" s="7">
        <f>DF19+預測IC!DG19</f>
        <v>1.2635614628341967</v>
      </c>
      <c r="DH19" s="7">
        <f>DG19+預測IC!DH19</f>
        <v>1.2634044797047919</v>
      </c>
      <c r="DI19" s="7">
        <f>DH19+預測IC!DI19</f>
        <v>1.267070904147213</v>
      </c>
      <c r="DJ19" s="7">
        <f>DI19+預測IC!DJ19</f>
        <v>1.2185565534242364</v>
      </c>
      <c r="DK19" s="7">
        <f>DJ19+預測IC!DK19</f>
        <v>1.342701141208444</v>
      </c>
      <c r="DL19" s="7">
        <f>DK19+預測IC!DL19</f>
        <v>1.4128685490083135</v>
      </c>
      <c r="DM19" s="7">
        <f>DL19+預測IC!DM19</f>
        <v>1.3309162939743191</v>
      </c>
      <c r="DN19" s="7">
        <f>DM19+預測IC!DN19</f>
        <v>1.3333914170719576</v>
      </c>
      <c r="DO19" s="7">
        <f>DN19+預測IC!DO19</f>
        <v>1.3885179804719014</v>
      </c>
      <c r="DP19" s="7">
        <f>DO19+預測IC!DP19</f>
        <v>1.4163559949548952</v>
      </c>
      <c r="DQ19" s="7">
        <f>DP19+預測IC!DQ19</f>
        <v>1.29586661559426</v>
      </c>
      <c r="DR19" s="7">
        <f>DQ19+預測IC!DR19</f>
        <v>1.3718289689193082</v>
      </c>
      <c r="DS19" s="7">
        <f>DR19+預測IC!DS19</f>
        <v>1.1938334219653379</v>
      </c>
      <c r="DT19" s="7">
        <f>DS19+預測IC!DT19</f>
        <v>1.0607049213459885</v>
      </c>
      <c r="DU19" s="7">
        <f>DT19+預測IC!DU19</f>
        <v>0.91787422329154822</v>
      </c>
      <c r="DV19" s="7">
        <f>DU19+預測IC!DV19</f>
        <v>1.0293989297321526</v>
      </c>
      <c r="DW19" s="7">
        <f>DV19+預測IC!DW19</f>
        <v>1.0900080690728369</v>
      </c>
      <c r="DX19" s="7">
        <f>DW19+預測IC!DX19</f>
        <v>0.95164293483465912</v>
      </c>
      <c r="DY19" s="7">
        <f>DX19+預測IC!DY19</f>
        <v>1.0217525125225821</v>
      </c>
      <c r="DZ19" s="7">
        <f>DY19+預測IC!DZ19</f>
        <v>0.90983168365858902</v>
      </c>
      <c r="EA19" s="7">
        <f>DZ19+預測IC!EA19</f>
        <v>0.88175233018292165</v>
      </c>
      <c r="EB19" s="7">
        <f>EA19+預測IC!EB19</f>
        <v>0.9035251001957002</v>
      </c>
      <c r="EC19" s="7">
        <f>EB19+預測IC!EC19</f>
        <v>0.891335056971998</v>
      </c>
      <c r="ED19" s="7">
        <f>EC19+預測IC!ED19</f>
        <v>0.74039973998184117</v>
      </c>
      <c r="EE19" s="7">
        <f>ED19+預測IC!EE19</f>
        <v>0.75303378292226364</v>
      </c>
      <c r="EF19" s="7">
        <f>EE19+預測IC!EF19</f>
        <v>0.7700117377970328</v>
      </c>
    </row>
    <row r="20" spans="1:136" x14ac:dyDescent="0.3">
      <c r="B20" s="1" t="s">
        <v>160</v>
      </c>
      <c r="C20" s="7">
        <v>0.2015510478639157</v>
      </c>
      <c r="D20" s="7">
        <f>C20+預測IC!D20</f>
        <v>0.20190276612766125</v>
      </c>
      <c r="E20" s="7">
        <f>D20+預測IC!E20</f>
        <v>0.21740275427199524</v>
      </c>
      <c r="F20" s="7">
        <f>E20+預測IC!F20</f>
        <v>0.12618433209994928</v>
      </c>
      <c r="G20" s="7">
        <f>F20+預測IC!G20</f>
        <v>2.5818420181085378E-2</v>
      </c>
      <c r="H20" s="7">
        <f>G20+預測IC!H20</f>
        <v>0.19019041830975528</v>
      </c>
      <c r="I20" s="7">
        <f>H20+預測IC!I20</f>
        <v>0.34833998091085694</v>
      </c>
      <c r="J20" s="7">
        <f>I20+預測IC!J20</f>
        <v>0.38281123963771319</v>
      </c>
      <c r="K20" s="7">
        <f>J20+預測IC!K20</f>
        <v>0.29270258551503919</v>
      </c>
      <c r="L20" s="7">
        <f>K20+預測IC!L20</f>
        <v>0.38841122101957493</v>
      </c>
      <c r="M20" s="7">
        <f>L20+預測IC!M20</f>
        <v>0.48854463538366094</v>
      </c>
      <c r="N20" s="7">
        <f>M20+預測IC!N20</f>
        <v>0.59046956442930087</v>
      </c>
      <c r="O20" s="7">
        <f>N20+預測IC!O20</f>
        <v>0.6895710485737746</v>
      </c>
      <c r="P20" s="7">
        <f>O20+預測IC!P20</f>
        <v>0.59840112090524933</v>
      </c>
      <c r="Q20" s="7">
        <f>P20+預測IC!Q20</f>
        <v>0.38167538190227079</v>
      </c>
      <c r="R20" s="7">
        <f>Q20+預測IC!R20</f>
        <v>0.27242232626480201</v>
      </c>
      <c r="S20" s="7">
        <f>R20+預測IC!S20</f>
        <v>0.1172397079370594</v>
      </c>
      <c r="T20" s="7">
        <f>S20+預測IC!T20</f>
        <v>0.13290261845631876</v>
      </c>
      <c r="U20" s="7">
        <f>T20+預測IC!U20</f>
        <v>-1.5747061661456146E-2</v>
      </c>
      <c r="V20" s="7">
        <f>U20+預測IC!V20</f>
        <v>-3.1029585442672071E-3</v>
      </c>
      <c r="W20" s="7">
        <f>V20+預測IC!W20</f>
        <v>0.1699824176333137</v>
      </c>
      <c r="X20" s="7">
        <f>W20+預測IC!X20</f>
        <v>0.31867961889044727</v>
      </c>
      <c r="Y20" s="7">
        <f>X20+預測IC!Y20</f>
        <v>0.36074710842904451</v>
      </c>
      <c r="Z20" s="7">
        <f>Y20+預測IC!Z20</f>
        <v>0.46636406891270382</v>
      </c>
      <c r="AA20" s="7">
        <f>Z20+預測IC!AA20</f>
        <v>0.44476951552540672</v>
      </c>
      <c r="AB20" s="7">
        <f>AA20+預測IC!AB20</f>
        <v>0.52952935625157993</v>
      </c>
      <c r="AC20" s="7">
        <f>AB20+預測IC!AC20</f>
        <v>0.58597270189209949</v>
      </c>
      <c r="AD20" s="7">
        <f>AC20+預測IC!AD20</f>
        <v>0.62042660474392919</v>
      </c>
      <c r="AE20" s="7">
        <f>AD20+預測IC!AE20</f>
        <v>0.42113374040483131</v>
      </c>
      <c r="AF20" s="7">
        <f>AE20+預測IC!AF20</f>
        <v>0.46017841879241128</v>
      </c>
      <c r="AG20" s="7">
        <f>AF20+預測IC!AG20</f>
        <v>0.48783763733230356</v>
      </c>
      <c r="AH20" s="7">
        <f>AG20+預測IC!AH20</f>
        <v>0.3976594366175209</v>
      </c>
      <c r="AI20" s="7">
        <f>AH20+預測IC!AI20</f>
        <v>0.51399619167284449</v>
      </c>
      <c r="AJ20" s="7">
        <f>AI20+預測IC!AJ20</f>
        <v>0.53123790738894572</v>
      </c>
      <c r="AK20" s="7">
        <f>AJ20+預測IC!AK20</f>
        <v>0.51764279189294282</v>
      </c>
      <c r="AL20" s="7">
        <f>AK20+預測IC!AL20</f>
        <v>0.59053624392991977</v>
      </c>
      <c r="AM20" s="7">
        <f>AL20+預測IC!AM20</f>
        <v>0.62363222467872237</v>
      </c>
      <c r="AN20" s="7">
        <f>AM20+預測IC!AN20</f>
        <v>0.69910241819772068</v>
      </c>
      <c r="AO20" s="7">
        <f>AN20+預測IC!AO20</f>
        <v>0.74438750016240907</v>
      </c>
      <c r="AP20" s="7">
        <f>AO20+預測IC!AP20</f>
        <v>0.61265703890702128</v>
      </c>
      <c r="AQ20" s="7">
        <f>AP20+預測IC!AQ20</f>
        <v>0.64010952423997236</v>
      </c>
      <c r="AR20" s="7">
        <f>AQ20+預測IC!AR20</f>
        <v>0.81015852891889661</v>
      </c>
      <c r="AS20" s="7">
        <f>AR20+預測IC!AS20</f>
        <v>0.92225433860171357</v>
      </c>
      <c r="AT20" s="7">
        <f>AS20+預測IC!AT20</f>
        <v>0.92811311236191929</v>
      </c>
      <c r="AU20" s="7">
        <f>AT20+預測IC!AU20</f>
        <v>1.0038054992570451</v>
      </c>
      <c r="AV20" s="7">
        <f>AU20+預測IC!AV20</f>
        <v>0.94917978547456694</v>
      </c>
      <c r="AW20" s="7">
        <f>AV20+預測IC!AW20</f>
        <v>0.95604505365371795</v>
      </c>
      <c r="AX20" s="7">
        <f>AW20+預測IC!AX20</f>
        <v>1.0667776016524195</v>
      </c>
      <c r="AY20" s="7">
        <f>AX20+預測IC!AY20</f>
        <v>1.1054523000953289</v>
      </c>
      <c r="AZ20" s="7">
        <f>AY20+預測IC!AZ20</f>
        <v>0.89164986891824016</v>
      </c>
      <c r="BA20" s="7">
        <f>AZ20+預測IC!BA20</f>
        <v>0.85485100405769965</v>
      </c>
      <c r="BB20" s="7">
        <f>BA20+預測IC!BB20</f>
        <v>1.022506427434269</v>
      </c>
      <c r="BC20" s="7">
        <f>BB20+預測IC!BC20</f>
        <v>1.0931119951120092</v>
      </c>
      <c r="BD20" s="7">
        <f>BC20+預測IC!BD20</f>
        <v>1.0396821818904118</v>
      </c>
      <c r="BE20" s="7">
        <f>BD20+預測IC!BE20</f>
        <v>1.0337353847511515</v>
      </c>
      <c r="BF20" s="7">
        <f>BE20+預測IC!BF20</f>
        <v>1.0394239670824801</v>
      </c>
      <c r="BG20" s="7">
        <f>BF20+預測IC!BG20</f>
        <v>1.0324978243737868</v>
      </c>
      <c r="BH20" s="7">
        <f>BG20+預測IC!BH20</f>
        <v>0.96089137725967577</v>
      </c>
      <c r="BI20" s="7">
        <f>BH20+預測IC!BI20</f>
        <v>1.0926366443448507</v>
      </c>
      <c r="BJ20" s="7">
        <f>BI20+預測IC!BJ20</f>
        <v>1.1142661561780374</v>
      </c>
      <c r="BK20" s="7">
        <f>BJ20+預測IC!BK20</f>
        <v>1.0550329883352101</v>
      </c>
      <c r="BL20" s="7">
        <f>BK20+預測IC!BL20</f>
        <v>1.1413252195116648</v>
      </c>
      <c r="BM20" s="7">
        <f>BL20+預測IC!BM20</f>
        <v>1.2782428808401032</v>
      </c>
      <c r="BN20" s="7">
        <f>BM20+預測IC!BN20</f>
        <v>1.3968001222854747</v>
      </c>
      <c r="BO20" s="7">
        <f>BN20+預測IC!BO20</f>
        <v>1.3583384047694955</v>
      </c>
      <c r="BP20" s="7">
        <f>BO20+預測IC!BP20</f>
        <v>1.4187459255324506</v>
      </c>
      <c r="BQ20" s="7">
        <f>BP20+預測IC!BQ20</f>
        <v>1.4341976324932937</v>
      </c>
      <c r="BR20" s="7">
        <f>BQ20+預測IC!BR20</f>
        <v>1.4462712642237663</v>
      </c>
      <c r="BS20" s="7">
        <f>BR20+預測IC!BS20</f>
        <v>1.4516787704149574</v>
      </c>
      <c r="BT20" s="7">
        <f>BS20+預測IC!BT20</f>
        <v>1.5994818035936047</v>
      </c>
      <c r="BU20" s="7">
        <f>BT20+預測IC!BU20</f>
        <v>1.6982367529613114</v>
      </c>
      <c r="BV20" s="7">
        <f>BU20+預測IC!BV20</f>
        <v>1.8141550845243835</v>
      </c>
      <c r="BW20" s="7">
        <f>BV20+預測IC!BW20</f>
        <v>1.6786518327119073</v>
      </c>
      <c r="BX20" s="7">
        <f>BW20+預測IC!BX20</f>
        <v>1.7093454693951515</v>
      </c>
      <c r="BY20" s="7">
        <f>BX20+預測IC!BY20</f>
        <v>1.6041115030258482</v>
      </c>
      <c r="BZ20" s="7">
        <f>BY20+預測IC!BZ20</f>
        <v>1.6943829072861318</v>
      </c>
      <c r="CA20" s="7">
        <f>BZ20+預測IC!CA20</f>
        <v>1.6542801792343789</v>
      </c>
      <c r="CB20" s="7">
        <f>CA20+預測IC!CB20</f>
        <v>1.6160282292234509</v>
      </c>
      <c r="CC20" s="7">
        <f>CB20+預測IC!CC20</f>
        <v>1.5899851954403859</v>
      </c>
      <c r="CD20" s="7">
        <f>CC20+預測IC!CD20</f>
        <v>1.7710126929309831</v>
      </c>
      <c r="CE20" s="7">
        <f>CD20+預測IC!CE20</f>
        <v>1.5270488974612499</v>
      </c>
      <c r="CF20" s="7">
        <f>CE20+預測IC!CF20</f>
        <v>1.6080068346599266</v>
      </c>
      <c r="CG20" s="7">
        <f>CF20+預測IC!CG20</f>
        <v>1.5089539461298378</v>
      </c>
      <c r="CH20" s="7">
        <f>CG20+預測IC!CH20</f>
        <v>1.5808179717269761</v>
      </c>
      <c r="CI20" s="7">
        <f>CH20+預測IC!CI20</f>
        <v>1.5504232979578942</v>
      </c>
      <c r="CJ20" s="7">
        <f>CI20+預測IC!CJ20</f>
        <v>1.4269829780705432</v>
      </c>
      <c r="CK20" s="7">
        <f>CJ20+預測IC!CK20</f>
        <v>1.5179613748206497</v>
      </c>
      <c r="CL20" s="7">
        <f>CK20+預測IC!CL20</f>
        <v>1.4257764406315208</v>
      </c>
      <c r="CM20" s="7">
        <f>CL20+預測IC!CM20</f>
        <v>1.6148276058021414</v>
      </c>
      <c r="CN20" s="7">
        <f>CM20+預測IC!CN20</f>
        <v>1.636987017172626</v>
      </c>
      <c r="CO20" s="7">
        <f>CN20+預測IC!CO20</f>
        <v>1.2210156820036135</v>
      </c>
      <c r="CP20" s="7">
        <f>CO20+預測IC!CP20</f>
        <v>1.4130468871126409</v>
      </c>
      <c r="CQ20" s="7">
        <f>CP20+預測IC!CQ20</f>
        <v>1.4191582450417031</v>
      </c>
      <c r="CR20" s="7">
        <f>CQ20+預測IC!CR20</f>
        <v>1.4922744895475535</v>
      </c>
      <c r="CS20" s="7">
        <f>CR20+預測IC!CS20</f>
        <v>1.5806387665598149</v>
      </c>
      <c r="CT20" s="7">
        <f>CS20+預測IC!CT20</f>
        <v>1.6711128039740812</v>
      </c>
      <c r="CU20" s="7">
        <f>CT20+預測IC!CU20</f>
        <v>1.5762451457075688</v>
      </c>
      <c r="CV20" s="7">
        <f>CU20+預測IC!CV20</f>
        <v>1.668756221402995</v>
      </c>
      <c r="CW20" s="7">
        <f>CV20+預測IC!CW20</f>
        <v>1.6787092843242777</v>
      </c>
      <c r="CX20" s="7">
        <f>CW20+預測IC!CX20</f>
        <v>1.7690078351920422</v>
      </c>
      <c r="CY20" s="7">
        <f>CX20+預測IC!CY20</f>
        <v>1.7565281025237454</v>
      </c>
      <c r="CZ20" s="7">
        <f>CY20+預測IC!CZ20</f>
        <v>1.9116897476729438</v>
      </c>
      <c r="DA20" s="7">
        <f>CZ20+預測IC!DA20</f>
        <v>1.8642178545177661</v>
      </c>
      <c r="DB20" s="7">
        <f>DA20+預測IC!DB20</f>
        <v>1.8073151447606319</v>
      </c>
      <c r="DC20" s="7">
        <f>DB20+預測IC!DC20</f>
        <v>1.7577020755250761</v>
      </c>
      <c r="DD20" s="7">
        <f>DC20+預測IC!DD20</f>
        <v>1.6095932611862536</v>
      </c>
      <c r="DE20" s="7">
        <f>DD20+預測IC!DE20</f>
        <v>1.5828433972653251</v>
      </c>
      <c r="DF20" s="7">
        <f>DE20+預測IC!DF20</f>
        <v>1.5837025187977456</v>
      </c>
      <c r="DG20" s="7">
        <f>DF20+預測IC!DG20</f>
        <v>1.5795003081773749</v>
      </c>
      <c r="DH20" s="7">
        <f>DG20+預測IC!DH20</f>
        <v>1.5685248964348477</v>
      </c>
      <c r="DI20" s="7">
        <f>DH20+預測IC!DI20</f>
        <v>1.5456481646497953</v>
      </c>
      <c r="DJ20" s="7">
        <f>DI20+預測IC!DJ20</f>
        <v>1.5061882183809074</v>
      </c>
      <c r="DK20" s="7">
        <f>DJ20+預測IC!DK20</f>
        <v>1.5911421998269624</v>
      </c>
      <c r="DL20" s="7">
        <f>DK20+預測IC!DL20</f>
        <v>1.6669688360055048</v>
      </c>
      <c r="DM20" s="7">
        <f>DL20+預測IC!DM20</f>
        <v>1.6762524862849419</v>
      </c>
      <c r="DN20" s="7">
        <f>DM20+預測IC!DN20</f>
        <v>1.7342716929391411</v>
      </c>
      <c r="DO20" s="7">
        <f>DN20+預測IC!DO20</f>
        <v>1.8000874947771115</v>
      </c>
      <c r="DP20" s="7">
        <f>DO20+預測IC!DP20</f>
        <v>1.8099180261679988</v>
      </c>
      <c r="DQ20" s="7">
        <f>DP20+預測IC!DQ20</f>
        <v>1.6227107084334582</v>
      </c>
      <c r="DR20" s="7">
        <f>DQ20+預測IC!DR20</f>
        <v>1.7012233684617488</v>
      </c>
      <c r="DS20" s="7">
        <f>DR20+預測IC!DS20</f>
        <v>1.4951422708833941</v>
      </c>
      <c r="DT20" s="7">
        <f>DS20+預測IC!DT20</f>
        <v>1.3617062862612559</v>
      </c>
      <c r="DU20" s="7">
        <f>DT20+預測IC!DU20</f>
        <v>1.1896371790553866</v>
      </c>
      <c r="DV20" s="7">
        <f>DU20+預測IC!DV20</f>
        <v>1.3189826508942453</v>
      </c>
      <c r="DW20" s="7">
        <f>DV20+預測IC!DW20</f>
        <v>1.388042854852285</v>
      </c>
      <c r="DX20" s="7">
        <f>DW20+預測IC!DX20</f>
        <v>1.2341765252459702</v>
      </c>
      <c r="DY20" s="7">
        <f>DX20+預測IC!DY20</f>
        <v>1.2877951345976191</v>
      </c>
      <c r="DZ20" s="7">
        <f>DY20+預測IC!DZ20</f>
        <v>1.203320556287927</v>
      </c>
      <c r="EA20" s="7">
        <f>DZ20+預測IC!EA20</f>
        <v>1.2182375817155509</v>
      </c>
      <c r="EB20" s="7">
        <f>EA20+預測IC!EB20</f>
        <v>1.257305215066516</v>
      </c>
      <c r="EC20" s="7">
        <f>EB20+預測IC!EC20</f>
        <v>1.2913547964804579</v>
      </c>
      <c r="ED20" s="7">
        <f>EC20+預測IC!ED20</f>
        <v>1.1144359354134477</v>
      </c>
      <c r="EE20" s="7">
        <f>ED20+預測IC!EE20</f>
        <v>1.1168031663408295</v>
      </c>
      <c r="EF20" s="7">
        <f>EE20+預測IC!EF20</f>
        <v>1.1370845829567369</v>
      </c>
    </row>
    <row r="21" spans="1:136" x14ac:dyDescent="0.3">
      <c r="B21" s="1" t="s">
        <v>161</v>
      </c>
      <c r="C21" s="7">
        <v>0.21462957980695321</v>
      </c>
      <c r="D21" s="7">
        <f>C21+預測IC!D21</f>
        <v>0.21426187041179401</v>
      </c>
      <c r="E21" s="7">
        <f>D21+預測IC!E21</f>
        <v>0.21398251814100216</v>
      </c>
      <c r="F21" s="7">
        <f>E21+預測IC!F21</f>
        <v>0.16288503429459394</v>
      </c>
      <c r="G21" s="7">
        <f>F21+預測IC!G21</f>
        <v>0.15558889626674249</v>
      </c>
      <c r="H21" s="7">
        <f>G21+預測IC!H21</f>
        <v>0.3542569572465083</v>
      </c>
      <c r="I21" s="7">
        <f>H21+預測IC!I21</f>
        <v>0.50151256537398126</v>
      </c>
      <c r="J21" s="7">
        <f>I21+預測IC!J21</f>
        <v>0.56194789106562359</v>
      </c>
      <c r="K21" s="7">
        <f>J21+預測IC!K21</f>
        <v>0.47297487371160152</v>
      </c>
      <c r="L21" s="7">
        <f>K21+預測IC!L21</f>
        <v>0.58265448116583141</v>
      </c>
      <c r="M21" s="7">
        <f>L21+預測IC!M21</f>
        <v>0.65831513109259188</v>
      </c>
      <c r="N21" s="7">
        <f>M21+預測IC!N21</f>
        <v>0.75790254321553341</v>
      </c>
      <c r="O21" s="7">
        <f>N21+預測IC!O21</f>
        <v>0.88768500174588694</v>
      </c>
      <c r="P21" s="7">
        <f>O21+預測IC!P21</f>
        <v>0.74291240085620203</v>
      </c>
      <c r="Q21" s="7">
        <f>P21+預測IC!Q21</f>
        <v>0.48560232676194975</v>
      </c>
      <c r="R21" s="7">
        <f>Q21+預測IC!R21</f>
        <v>0.39002701565531955</v>
      </c>
      <c r="S21" s="7">
        <f>R21+預測IC!S21</f>
        <v>0.26143673020536257</v>
      </c>
      <c r="T21" s="7">
        <f>S21+預測IC!T21</f>
        <v>0.24739636586515765</v>
      </c>
      <c r="U21" s="7">
        <f>T21+預測IC!U21</f>
        <v>0.16111794825339965</v>
      </c>
      <c r="V21" s="7">
        <f>U21+預測IC!V21</f>
        <v>0.21467556761943085</v>
      </c>
      <c r="W21" s="7">
        <f>V21+預測IC!W21</f>
        <v>0.37246404723489346</v>
      </c>
      <c r="X21" s="7">
        <f>W21+預測IC!X21</f>
        <v>0.56980122581854009</v>
      </c>
      <c r="Y21" s="7">
        <f>X21+預測IC!Y21</f>
        <v>0.59063430871097489</v>
      </c>
      <c r="Z21" s="7">
        <f>Y21+預測IC!Z21</f>
        <v>0.7048382959336994</v>
      </c>
      <c r="AA21" s="7">
        <f>Z21+預測IC!AA21</f>
        <v>0.7243293394737933</v>
      </c>
      <c r="AB21" s="7">
        <f>AA21+預測IC!AB21</f>
        <v>0.85416892187086313</v>
      </c>
      <c r="AC21" s="7">
        <f>AB21+預測IC!AC21</f>
        <v>0.92847005166288554</v>
      </c>
      <c r="AD21" s="7">
        <f>AC21+預測IC!AD21</f>
        <v>0.97516747621563116</v>
      </c>
      <c r="AE21" s="7">
        <f>AD21+預測IC!AE21</f>
        <v>0.73471136572244444</v>
      </c>
      <c r="AF21" s="7">
        <f>AE21+預測IC!AF21</f>
        <v>0.78783697560900745</v>
      </c>
      <c r="AG21" s="7">
        <f>AF21+預測IC!AG21</f>
        <v>0.83213975339880153</v>
      </c>
      <c r="AH21" s="7">
        <f>AG21+預測IC!AH21</f>
        <v>0.7245583908340032</v>
      </c>
      <c r="AI21" s="7">
        <f>AH21+預測IC!AI21</f>
        <v>0.82668206634548713</v>
      </c>
      <c r="AJ21" s="7">
        <f>AI21+預測IC!AJ21</f>
        <v>0.83186799199118822</v>
      </c>
      <c r="AK21" s="7">
        <f>AJ21+預測IC!AK21</f>
        <v>0.79606482437307813</v>
      </c>
      <c r="AL21" s="7">
        <f>AK21+預測IC!AL21</f>
        <v>0.86144464710618873</v>
      </c>
      <c r="AM21" s="7">
        <f>AL21+預測IC!AM21</f>
        <v>0.92998045455381928</v>
      </c>
      <c r="AN21" s="7">
        <f>AM21+預測IC!AN21</f>
        <v>1.0419365106169136</v>
      </c>
      <c r="AO21" s="7">
        <f>AN21+預測IC!AO21</f>
        <v>1.0896629062606402</v>
      </c>
      <c r="AP21" s="7">
        <f>AO21+預測IC!AP21</f>
        <v>1.017127762690621</v>
      </c>
      <c r="AQ21" s="7">
        <f>AP21+預測IC!AQ21</f>
        <v>1.0939932697011687</v>
      </c>
      <c r="AR21" s="7">
        <f>AQ21+預測IC!AR21</f>
        <v>1.29917554793165</v>
      </c>
      <c r="AS21" s="7">
        <f>AR21+預測IC!AS21</f>
        <v>1.3636314165782795</v>
      </c>
      <c r="AT21" s="7">
        <f>AS21+預測IC!AT21</f>
        <v>1.3611385053011245</v>
      </c>
      <c r="AU21" s="7">
        <f>AT21+預測IC!AU21</f>
        <v>1.4089481368100816</v>
      </c>
      <c r="AV21" s="7">
        <f>AU21+預測IC!AV21</f>
        <v>1.3534273567479478</v>
      </c>
      <c r="AW21" s="7">
        <f>AV21+預測IC!AW21</f>
        <v>1.3632183867020451</v>
      </c>
      <c r="AX21" s="7">
        <f>AW21+預測IC!AX21</f>
        <v>1.5063660741718019</v>
      </c>
      <c r="AY21" s="7">
        <f>AX21+預測IC!AY21</f>
        <v>1.55338736514984</v>
      </c>
      <c r="AZ21" s="7">
        <f>AY21+預測IC!AZ21</f>
        <v>1.2984760952527035</v>
      </c>
      <c r="BA21" s="7">
        <f>AZ21+預測IC!BA21</f>
        <v>1.2274439136046176</v>
      </c>
      <c r="BB21" s="7">
        <f>BA21+預測IC!BB21</f>
        <v>1.4527900486429557</v>
      </c>
      <c r="BC21" s="7">
        <f>BB21+預測IC!BC21</f>
        <v>1.4911111963681496</v>
      </c>
      <c r="BD21" s="7">
        <f>BC21+預測IC!BD21</f>
        <v>1.4693603329975218</v>
      </c>
      <c r="BE21" s="7">
        <f>BD21+預測IC!BE21</f>
        <v>1.4757108663949232</v>
      </c>
      <c r="BF21" s="7">
        <f>BE21+預測IC!BF21</f>
        <v>1.479287966575358</v>
      </c>
      <c r="BG21" s="7">
        <f>BF21+預測IC!BG21</f>
        <v>1.5159231557921706</v>
      </c>
      <c r="BH21" s="7">
        <f>BG21+預測IC!BH21</f>
        <v>1.4396017926534153</v>
      </c>
      <c r="BI21" s="7">
        <f>BH21+預測IC!BI21</f>
        <v>1.6055713888318071</v>
      </c>
      <c r="BJ21" s="7">
        <f>BI21+預測IC!BJ21</f>
        <v>1.6291504150135248</v>
      </c>
      <c r="BK21" s="7">
        <f>BJ21+預測IC!BK21</f>
        <v>1.5607005346339899</v>
      </c>
      <c r="BL21" s="7">
        <f>BK21+預測IC!BL21</f>
        <v>1.7034216272803397</v>
      </c>
      <c r="BM21" s="7">
        <f>BL21+預測IC!BM21</f>
        <v>1.8585416312014396</v>
      </c>
      <c r="BN21" s="7">
        <f>BM21+預測IC!BN21</f>
        <v>1.9221895791936876</v>
      </c>
      <c r="BO21" s="7">
        <f>BN21+預測IC!BO21</f>
        <v>1.8583323427800074</v>
      </c>
      <c r="BP21" s="7">
        <f>BO21+預測IC!BP21</f>
        <v>1.9628414721994216</v>
      </c>
      <c r="BQ21" s="7">
        <f>BP21+預測IC!BQ21</f>
        <v>2.0173837030339263</v>
      </c>
      <c r="BR21" s="7">
        <f>BQ21+預測IC!BR21</f>
        <v>2.0297075652177909</v>
      </c>
      <c r="BS21" s="7">
        <f>BR21+預測IC!BS21</f>
        <v>2.0355677379729671</v>
      </c>
      <c r="BT21" s="7">
        <f>BS21+預測IC!BT21</f>
        <v>2.1678124319474099</v>
      </c>
      <c r="BU21" s="7">
        <f>BT21+預測IC!BU21</f>
        <v>2.3033088941459789</v>
      </c>
      <c r="BV21" s="7">
        <f>BU21+預測IC!BV21</f>
        <v>2.4454518943314323</v>
      </c>
      <c r="BW21" s="7">
        <f>BV21+預測IC!BW21</f>
        <v>2.2987726973957012</v>
      </c>
      <c r="BX21" s="7">
        <f>BW21+預測IC!BX21</f>
        <v>2.2957818781112871</v>
      </c>
      <c r="BY21" s="7">
        <f>BX21+預測IC!BY21</f>
        <v>2.2454020268931707</v>
      </c>
      <c r="BZ21" s="7">
        <f>BY21+預測IC!BZ21</f>
        <v>2.2930649556138865</v>
      </c>
      <c r="CA21" s="7">
        <f>BZ21+預測IC!CA21</f>
        <v>2.2325473523114878</v>
      </c>
      <c r="CB21" s="7">
        <f>CA21+預測IC!CB21</f>
        <v>2.1691259611132296</v>
      </c>
      <c r="CC21" s="7">
        <f>CB21+預測IC!CC21</f>
        <v>2.1224324116442665</v>
      </c>
      <c r="CD21" s="7">
        <f>CC21+預測IC!CD21</f>
        <v>2.4104884760067398</v>
      </c>
      <c r="CE21" s="7">
        <f>CD21+預測IC!CE21</f>
        <v>2.0154125335416944</v>
      </c>
      <c r="CF21" s="7">
        <f>CE21+預測IC!CF21</f>
        <v>2.1466782103427668</v>
      </c>
      <c r="CG21" s="7">
        <f>CF21+預測IC!CG21</f>
        <v>2.0029270211850809</v>
      </c>
      <c r="CH21" s="7">
        <f>CG21+預測IC!CH21</f>
        <v>2.0830273422612926</v>
      </c>
      <c r="CI21" s="7">
        <f>CH21+預測IC!CI21</f>
        <v>2.0025277258703102</v>
      </c>
      <c r="CJ21" s="7">
        <f>CI21+預測IC!CJ21</f>
        <v>1.916899968853808</v>
      </c>
      <c r="CK21" s="7">
        <f>CJ21+預測IC!CK21</f>
        <v>2.0439505155839419</v>
      </c>
      <c r="CL21" s="7">
        <f>CK21+預測IC!CL21</f>
        <v>1.9100600909609773</v>
      </c>
      <c r="CM21" s="7">
        <f>CL21+預測IC!CM21</f>
        <v>2.1355630793643487</v>
      </c>
      <c r="CN21" s="7">
        <f>CM21+預測IC!CN21</f>
        <v>2.1661019695681243</v>
      </c>
      <c r="CO21" s="7">
        <f>CN21+預測IC!CO21</f>
        <v>1.6512367209705316</v>
      </c>
      <c r="CP21" s="7">
        <f>CO21+預測IC!CP21</f>
        <v>1.8739367818484443</v>
      </c>
      <c r="CQ21" s="7">
        <f>CP21+預測IC!CQ21</f>
        <v>1.8772248735735351</v>
      </c>
      <c r="CR21" s="7">
        <f>CQ21+預測IC!CR21</f>
        <v>1.9680491515532148</v>
      </c>
      <c r="CS21" s="7">
        <f>CR21+預測IC!CS21</f>
        <v>2.0376955476999865</v>
      </c>
      <c r="CT21" s="7">
        <f>CS21+預測IC!CT21</f>
        <v>2.1199884205543253</v>
      </c>
      <c r="CU21" s="7">
        <f>CT21+預測IC!CU21</f>
        <v>2.0573148603848339</v>
      </c>
      <c r="CV21" s="7">
        <f>CU21+預測IC!CV21</f>
        <v>2.1555404924062209</v>
      </c>
      <c r="CW21" s="7">
        <f>CV21+預測IC!CW21</f>
        <v>2.2205459096872096</v>
      </c>
      <c r="CX21" s="7">
        <f>CW21+預測IC!CX21</f>
        <v>2.3226680853446164</v>
      </c>
      <c r="CY21" s="7">
        <f>CX21+預測IC!CY21</f>
        <v>2.3141861689407022</v>
      </c>
      <c r="CZ21" s="7">
        <f>CY21+預測IC!CZ21</f>
        <v>2.5516375397665323</v>
      </c>
      <c r="DA21" s="7">
        <f>CZ21+預測IC!DA21</f>
        <v>2.5528297962232642</v>
      </c>
      <c r="DB21" s="7">
        <f>DA21+預測IC!DB21</f>
        <v>2.5012053625471098</v>
      </c>
      <c r="DC21" s="7">
        <f>DB21+預測IC!DC21</f>
        <v>2.4561578033238192</v>
      </c>
      <c r="DD21" s="7">
        <f>DC21+預測IC!DD21</f>
        <v>2.5774804921924681</v>
      </c>
      <c r="DE21" s="7">
        <f>DD21+預測IC!DE21</f>
        <v>2.5897186007807869</v>
      </c>
      <c r="DF21" s="7">
        <f>DE21+預測IC!DF21</f>
        <v>2.6112794814786615</v>
      </c>
      <c r="DG21" s="7">
        <f>DF21+預測IC!DG21</f>
        <v>2.6191258596071947</v>
      </c>
      <c r="DH21" s="7">
        <f>DG21+預測IC!DH21</f>
        <v>2.6332026798196493</v>
      </c>
      <c r="DI21" s="7">
        <f>DH21+預測IC!DI21</f>
        <v>2.6676101580998286</v>
      </c>
      <c r="DJ21" s="7">
        <f>DI21+預測IC!DJ21</f>
        <v>2.6296988449092686</v>
      </c>
      <c r="DK21" s="7">
        <f>DJ21+預測IC!DK21</f>
        <v>2.7692015517281732</v>
      </c>
      <c r="DL21" s="7">
        <f>DK21+預測IC!DL21</f>
        <v>2.8675664905675498</v>
      </c>
      <c r="DM21" s="7">
        <f>DL21+預測IC!DM21</f>
        <v>2.8377323709253095</v>
      </c>
      <c r="DN21" s="7">
        <f>DM21+預測IC!DN21</f>
        <v>2.9089299834193025</v>
      </c>
      <c r="DO21" s="7">
        <f>DN21+預測IC!DO21</f>
        <v>2.9913757757499821</v>
      </c>
      <c r="DP21" s="7">
        <f>DO21+預測IC!DP21</f>
        <v>3.015641930843548</v>
      </c>
      <c r="DQ21" s="7">
        <f>DP21+預測IC!DQ21</f>
        <v>2.8609007448142125</v>
      </c>
      <c r="DR21" s="7">
        <f>DQ21+預測IC!DR21</f>
        <v>2.9110716038512932</v>
      </c>
      <c r="DS21" s="7">
        <f>DR21+預測IC!DS21</f>
        <v>2.7102321300139973</v>
      </c>
      <c r="DT21" s="7">
        <f>DS21+預測IC!DT21</f>
        <v>2.5396613273285364</v>
      </c>
      <c r="DU21" s="7">
        <f>DT21+預測IC!DU21</f>
        <v>2.5115710333321579</v>
      </c>
      <c r="DV21" s="7">
        <f>DU21+預測IC!DV21</f>
        <v>2.6518470102020357</v>
      </c>
      <c r="DW21" s="7">
        <f>DV21+預測IC!DW21</f>
        <v>2.7800948788661568</v>
      </c>
      <c r="DX21" s="7">
        <f>DW21+預測IC!DX21</f>
        <v>2.5941286648349733</v>
      </c>
      <c r="DY21" s="7">
        <f>DX21+預測IC!DY21</f>
        <v>2.6187246603729895</v>
      </c>
      <c r="DZ21" s="7">
        <f>DY21+預測IC!DZ21</f>
        <v>2.5658805938127007</v>
      </c>
      <c r="EA21" s="7">
        <f>DZ21+預測IC!EA21</f>
        <v>2.5410150713642725</v>
      </c>
      <c r="EB21" s="7">
        <f>EA21+預測IC!EB21</f>
        <v>2.5494232175348586</v>
      </c>
      <c r="EC21" s="7">
        <f>EB21+預測IC!EC21</f>
        <v>2.5634602726329008</v>
      </c>
      <c r="ED21" s="7">
        <f>EC21+預測IC!ED21</f>
        <v>2.5089614162847202</v>
      </c>
      <c r="EE21" s="7">
        <f>ED21+預測IC!EE21</f>
        <v>2.5233902683931384</v>
      </c>
      <c r="EF21" s="7">
        <f>EE21+預測IC!EF21</f>
        <v>2.5046190043510195</v>
      </c>
    </row>
    <row r="22" spans="1:136" x14ac:dyDescent="0.3">
      <c r="B22" s="1" t="s">
        <v>162</v>
      </c>
      <c r="C22" s="7">
        <v>0.20528030103697539</v>
      </c>
      <c r="D22" s="7">
        <f>C22+預測IC!D22</f>
        <v>0.16059940413348889</v>
      </c>
      <c r="E22" s="7">
        <f>D22+預測IC!E22</f>
        <v>0.11957187213286984</v>
      </c>
      <c r="F22" s="7">
        <f>E22+預測IC!F22</f>
        <v>2.2137876553883384E-2</v>
      </c>
      <c r="G22" s="7">
        <f>F22+預測IC!G22</f>
        <v>-1.0816947695915229E-2</v>
      </c>
      <c r="H22" s="7">
        <f>G22+預測IC!H22</f>
        <v>0.16793251579170768</v>
      </c>
      <c r="I22" s="7">
        <f>H22+預測IC!I22</f>
        <v>0.29142568512977746</v>
      </c>
      <c r="J22" s="7">
        <f>I22+預測IC!J22</f>
        <v>0.34402427439512034</v>
      </c>
      <c r="K22" s="7">
        <f>J22+預測IC!K22</f>
        <v>0.19073750374061105</v>
      </c>
      <c r="L22" s="7">
        <f>K22+預測IC!L22</f>
        <v>0.36192086316651229</v>
      </c>
      <c r="M22" s="7">
        <f>L22+預測IC!M22</f>
        <v>0.13676225810293058</v>
      </c>
      <c r="N22" s="7">
        <f>M22+預測IC!N22</f>
        <v>0.27004267712617708</v>
      </c>
      <c r="O22" s="7">
        <f>N22+預測IC!O22</f>
        <v>0.41352302313044947</v>
      </c>
      <c r="P22" s="7">
        <f>O22+預測IC!P22</f>
        <v>0.34074013900163247</v>
      </c>
      <c r="Q22" s="7">
        <f>P22+預測IC!Q22</f>
        <v>6.3963245168580651E-2</v>
      </c>
      <c r="R22" s="7">
        <f>Q22+預測IC!R22</f>
        <v>2.7334810896992599E-2</v>
      </c>
      <c r="S22" s="7">
        <f>R22+預測IC!S22</f>
        <v>-0.14231174466094798</v>
      </c>
      <c r="T22" s="7">
        <f>S22+預測IC!T22</f>
        <v>-0.16255035713778201</v>
      </c>
      <c r="U22" s="7">
        <f>T22+預測IC!U22</f>
        <v>-0.27314038054028622</v>
      </c>
      <c r="V22" s="7">
        <f>U22+預測IC!V22</f>
        <v>-0.23485360402043071</v>
      </c>
      <c r="W22" s="7">
        <f>V22+預測IC!W22</f>
        <v>-2.7373336996133313E-2</v>
      </c>
      <c r="X22" s="7">
        <f>W22+預測IC!X22</f>
        <v>0.18752671073343169</v>
      </c>
      <c r="Y22" s="7">
        <f>X22+預測IC!Y22</f>
        <v>0.20325891914695274</v>
      </c>
      <c r="Z22" s="7">
        <f>Y22+預測IC!Z22</f>
        <v>0.27880718829279877</v>
      </c>
      <c r="AA22" s="7">
        <f>Z22+預測IC!AA22</f>
        <v>0.28585520517965551</v>
      </c>
      <c r="AB22" s="7">
        <f>AA22+預測IC!AB22</f>
        <v>0.42029141789298102</v>
      </c>
      <c r="AC22" s="7">
        <f>AB22+預測IC!AC22</f>
        <v>0.49471179873340843</v>
      </c>
      <c r="AD22" s="7">
        <f>AC22+預測IC!AD22</f>
        <v>0.50717910140398093</v>
      </c>
      <c r="AE22" s="7">
        <f>AD22+預測IC!AE22</f>
        <v>0.27855798979760671</v>
      </c>
      <c r="AF22" s="7">
        <f>AE22+預測IC!AF22</f>
        <v>0.32574030595563086</v>
      </c>
      <c r="AG22" s="7">
        <f>AF22+預測IC!AG22</f>
        <v>0.37858184613136475</v>
      </c>
      <c r="AH22" s="7">
        <f>AG22+預測IC!AH22</f>
        <v>0.27271588671089209</v>
      </c>
      <c r="AI22" s="7">
        <f>AH22+預測IC!AI22</f>
        <v>0.38371959793784111</v>
      </c>
      <c r="AJ22" s="7">
        <f>AI22+預測IC!AJ22</f>
        <v>0.39680113957519808</v>
      </c>
      <c r="AK22" s="7">
        <f>AJ22+預測IC!AK22</f>
        <v>0.4980897003155938</v>
      </c>
      <c r="AL22" s="7">
        <f>AK22+預測IC!AL22</f>
        <v>0.53843066712249421</v>
      </c>
      <c r="AM22" s="7">
        <f>AL22+預測IC!AM22</f>
        <v>0.6225195705901978</v>
      </c>
      <c r="AN22" s="7">
        <f>AM22+預測IC!AN22</f>
        <v>0.73365238025375712</v>
      </c>
      <c r="AO22" s="7">
        <f>AN22+預測IC!AO22</f>
        <v>0.80836975364746277</v>
      </c>
      <c r="AP22" s="7">
        <f>AO22+預測IC!AP22</f>
        <v>0.74583339975947005</v>
      </c>
      <c r="AQ22" s="7">
        <f>AP22+預測IC!AQ22</f>
        <v>0.82525951723806323</v>
      </c>
      <c r="AR22" s="7">
        <f>AQ22+預測IC!AR22</f>
        <v>1.0757921953964455</v>
      </c>
      <c r="AS22" s="7">
        <f>AR22+預測IC!AS22</f>
        <v>1.1586026342949955</v>
      </c>
      <c r="AT22" s="7">
        <f>AS22+預測IC!AT22</f>
        <v>1.1334662724549691</v>
      </c>
      <c r="AU22" s="7">
        <f>AT22+預測IC!AU22</f>
        <v>1.166966724365839</v>
      </c>
      <c r="AV22" s="7">
        <f>AU22+預測IC!AV22</f>
        <v>1.107153547689959</v>
      </c>
      <c r="AW22" s="7">
        <f>AV22+預測IC!AW22</f>
        <v>1.0770041584829499</v>
      </c>
      <c r="AX22" s="7">
        <f>AW22+預測IC!AX22</f>
        <v>1.2507675584629743</v>
      </c>
      <c r="AY22" s="7">
        <f>AX22+預測IC!AY22</f>
        <v>1.3225009437972048</v>
      </c>
      <c r="AZ22" s="7">
        <f>AY22+預測IC!AZ22</f>
        <v>1.1675971654760526</v>
      </c>
      <c r="BA22" s="7">
        <f>AZ22+預測IC!BA22</f>
        <v>1.1219987403085907</v>
      </c>
      <c r="BB22" s="7">
        <f>BA22+預測IC!BB22</f>
        <v>1.4239286848490136</v>
      </c>
      <c r="BC22" s="7">
        <f>BB22+預測IC!BC22</f>
        <v>1.2930917467260583</v>
      </c>
      <c r="BD22" s="7">
        <f>BC22+預測IC!BD22</f>
        <v>1.27091756526023</v>
      </c>
      <c r="BE22" s="7">
        <f>BD22+預測IC!BE22</f>
        <v>1.2931337486547105</v>
      </c>
      <c r="BF22" s="7">
        <f>BE22+預測IC!BF22</f>
        <v>1.3067725659930303</v>
      </c>
      <c r="BG22" s="7">
        <f>BF22+預測IC!BG22</f>
        <v>1.3530520781614164</v>
      </c>
      <c r="BH22" s="7">
        <f>BG22+預測IC!BH22</f>
        <v>1.2250915358232846</v>
      </c>
      <c r="BI22" s="7">
        <f>BH22+預測IC!BI22</f>
        <v>1.3361802552331916</v>
      </c>
      <c r="BJ22" s="7">
        <f>BI22+預測IC!BJ22</f>
        <v>1.3911766703839126</v>
      </c>
      <c r="BK22" s="7">
        <f>BJ22+預測IC!BK22</f>
        <v>1.3493370344502473</v>
      </c>
      <c r="BL22" s="7">
        <f>BK22+預測IC!BL22</f>
        <v>1.5111173735212826</v>
      </c>
      <c r="BM22" s="7">
        <f>BL22+預測IC!BM22</f>
        <v>1.7029144129773297</v>
      </c>
      <c r="BN22" s="7">
        <f>BM22+預測IC!BN22</f>
        <v>1.6875868609542874</v>
      </c>
      <c r="BO22" s="7">
        <f>BN22+預測IC!BO22</f>
        <v>1.637102431841537</v>
      </c>
      <c r="BP22" s="7">
        <f>BO22+預測IC!BP22</f>
        <v>1.7119379819966434</v>
      </c>
      <c r="BQ22" s="7">
        <f>BP22+預測IC!BQ22</f>
        <v>1.7397680793949559</v>
      </c>
      <c r="BR22" s="7">
        <f>BQ22+預測IC!BR22</f>
        <v>1.7605816888614088</v>
      </c>
      <c r="BS22" s="7">
        <f>BR22+預測IC!BS22</f>
        <v>1.7442089064846096</v>
      </c>
      <c r="BT22" s="7">
        <f>BS22+預測IC!BT22</f>
        <v>1.8747396098211557</v>
      </c>
      <c r="BU22" s="7">
        <f>BT22+預測IC!BU22</f>
        <v>2.087688375959166</v>
      </c>
      <c r="BV22" s="7">
        <f>BU22+預測IC!BV22</f>
        <v>2.246232348356775</v>
      </c>
      <c r="BW22" s="7">
        <f>BV22+預測IC!BW22</f>
        <v>2.0715638504291678</v>
      </c>
      <c r="BX22" s="7">
        <f>BW22+預測IC!BX22</f>
        <v>2.1082012961211403</v>
      </c>
      <c r="BY22" s="7">
        <f>BX22+預測IC!BY22</f>
        <v>2.1034545097184054</v>
      </c>
      <c r="BZ22" s="7">
        <f>BY22+預測IC!BZ22</f>
        <v>2.1507122455812975</v>
      </c>
      <c r="CA22" s="7">
        <f>BZ22+預測IC!CA22</f>
        <v>2.1232221671009741</v>
      </c>
      <c r="CB22" s="7">
        <f>CA22+預測IC!CB22</f>
        <v>1.9742288888550474</v>
      </c>
      <c r="CC22" s="7">
        <f>CB22+預測IC!CC22</f>
        <v>1.959243185416891</v>
      </c>
      <c r="CD22" s="7">
        <f>CC22+預測IC!CD22</f>
        <v>2.293121222129614</v>
      </c>
      <c r="CE22" s="7">
        <f>CD22+預測IC!CE22</f>
        <v>1.8997338830253359</v>
      </c>
      <c r="CF22" s="7">
        <f>CE22+預測IC!CF22</f>
        <v>2.0885336687856131</v>
      </c>
      <c r="CG22" s="7">
        <f>CF22+預測IC!CG22</f>
        <v>1.885270576583026</v>
      </c>
      <c r="CH22" s="7">
        <f>CG22+預測IC!CH22</f>
        <v>2.001189347862474</v>
      </c>
      <c r="CI22" s="7">
        <f>CH22+預測IC!CI22</f>
        <v>1.8834096015841149</v>
      </c>
      <c r="CJ22" s="7">
        <f>CI22+預測IC!CJ22</f>
        <v>1.7800300964945521</v>
      </c>
      <c r="CK22" s="7">
        <f>CJ22+預測IC!CK22</f>
        <v>1.8161934390992345</v>
      </c>
      <c r="CL22" s="7">
        <f>CK22+預測IC!CL22</f>
        <v>1.5755416404741938</v>
      </c>
      <c r="CM22" s="7">
        <f>CL22+預測IC!CM22</f>
        <v>1.895973644132019</v>
      </c>
      <c r="CN22" s="7">
        <f>CM22+預測IC!CN22</f>
        <v>1.8874268723111116</v>
      </c>
      <c r="CO22" s="7">
        <f>CN22+預測IC!CO22</f>
        <v>1.237470404061956</v>
      </c>
      <c r="CP22" s="7">
        <f>CO22+預測IC!CP22</f>
        <v>1.4968789610313584</v>
      </c>
      <c r="CQ22" s="7">
        <f>CP22+預測IC!CQ22</f>
        <v>1.4845451817056938</v>
      </c>
      <c r="CR22" s="7">
        <f>CQ22+預測IC!CR22</f>
        <v>1.6463956030070859</v>
      </c>
      <c r="CS22" s="7">
        <f>CR22+預測IC!CS22</f>
        <v>1.631193419485663</v>
      </c>
      <c r="CT22" s="7">
        <f>CS22+預測IC!CT22</f>
        <v>1.6894259408416483</v>
      </c>
      <c r="CU22" s="7">
        <f>CT22+預測IC!CU22</f>
        <v>1.5691942288775504</v>
      </c>
      <c r="CV22" s="7">
        <f>CU22+預測IC!CV22</f>
        <v>1.6814279240846046</v>
      </c>
      <c r="CW22" s="7">
        <f>CV22+預測IC!CW22</f>
        <v>1.7178791774107698</v>
      </c>
      <c r="CX22" s="7">
        <f>CW22+預測IC!CX22</f>
        <v>1.7216287706786186</v>
      </c>
      <c r="CY22" s="7">
        <f>CX22+預測IC!CY22</f>
        <v>1.7136399449051094</v>
      </c>
      <c r="CZ22" s="7">
        <f>CY22+預測IC!CZ22</f>
        <v>1.9765604295043486</v>
      </c>
      <c r="DA22" s="7">
        <f>CZ22+預測IC!DA22</f>
        <v>1.9725686756224245</v>
      </c>
      <c r="DB22" s="7">
        <f>DA22+預測IC!DB22</f>
        <v>1.9141851687939324</v>
      </c>
      <c r="DC22" s="7">
        <f>DB22+預測IC!DC22</f>
        <v>1.8934603843497748</v>
      </c>
      <c r="DD22" s="7">
        <f>DC22+預測IC!DD22</f>
        <v>2.0413544869225784</v>
      </c>
      <c r="DE22" s="7">
        <f>DD22+預測IC!DE22</f>
        <v>2.0358627289406281</v>
      </c>
      <c r="DF22" s="7">
        <f>DE22+預測IC!DF22</f>
        <v>2.0528945042141813</v>
      </c>
      <c r="DG22" s="7">
        <f>DF22+預測IC!DG22</f>
        <v>2.0848795472950687</v>
      </c>
      <c r="DH22" s="7">
        <f>DG22+預測IC!DH22</f>
        <v>2.0988248934785725</v>
      </c>
      <c r="DI22" s="7">
        <f>DH22+預測IC!DI22</f>
        <v>2.1623858927408217</v>
      </c>
      <c r="DJ22" s="7">
        <f>DI22+預測IC!DJ22</f>
        <v>2.1121398869077259</v>
      </c>
      <c r="DK22" s="7">
        <f>DJ22+預測IC!DK22</f>
        <v>2.2912746007305662</v>
      </c>
      <c r="DL22" s="7">
        <f>DK22+預測IC!DL22</f>
        <v>2.4162162484679492</v>
      </c>
      <c r="DM22" s="7">
        <f>DL22+預測IC!DM22</f>
        <v>2.3527501974299159</v>
      </c>
      <c r="DN22" s="7">
        <f>DM22+預測IC!DN22</f>
        <v>2.3995135256339233</v>
      </c>
      <c r="DO22" s="7">
        <f>DN22+預測IC!DO22</f>
        <v>2.5229510269455613</v>
      </c>
      <c r="DP22" s="7">
        <f>DO22+預測IC!DP22</f>
        <v>2.5331782847984652</v>
      </c>
      <c r="DQ22" s="7">
        <f>DP22+預測IC!DQ22</f>
        <v>2.4021472809790252</v>
      </c>
      <c r="DR22" s="7">
        <f>DQ22+預測IC!DR22</f>
        <v>2.396054728363707</v>
      </c>
      <c r="DS22" s="7">
        <f>DR22+預測IC!DS22</f>
        <v>2.1990038068013478</v>
      </c>
      <c r="DT22" s="7">
        <f>DS22+預測IC!DT22</f>
        <v>2.1406467978045827</v>
      </c>
      <c r="DU22" s="7">
        <f>DT22+預測IC!DU22</f>
        <v>2.0831514069677435</v>
      </c>
      <c r="DV22" s="7">
        <f>DU22+預測IC!DV22</f>
        <v>2.2088565246459213</v>
      </c>
      <c r="DW22" s="7">
        <f>DV22+預測IC!DW22</f>
        <v>2.2872462483529183</v>
      </c>
      <c r="DX22" s="7">
        <f>DW22+預測IC!DX22</f>
        <v>2.0648036399046235</v>
      </c>
      <c r="DY22" s="7">
        <f>DX22+預測IC!DY22</f>
        <v>2.0566565232790834</v>
      </c>
      <c r="DZ22" s="7">
        <f>DY22+預測IC!DZ22</f>
        <v>1.952908542333526</v>
      </c>
      <c r="EA22" s="7">
        <f>DZ22+預測IC!EA22</f>
        <v>1.8823598934941672</v>
      </c>
      <c r="EB22" s="7">
        <f>EA22+預測IC!EB22</f>
        <v>1.8017631659588493</v>
      </c>
      <c r="EC22" s="7">
        <f>EB22+預測IC!EC22</f>
        <v>1.8232582675344875</v>
      </c>
      <c r="ED22" s="7">
        <f>EC22+預測IC!ED22</f>
        <v>1.74584470047688</v>
      </c>
      <c r="EE22" s="7">
        <f>ED22+預測IC!EE22</f>
        <v>1.7792910042890935</v>
      </c>
      <c r="EF22" s="7">
        <f>EE22+預測IC!EF22</f>
        <v>1.7445007579169212</v>
      </c>
    </row>
    <row r="23" spans="1:136" x14ac:dyDescent="0.3">
      <c r="B23" s="1" t="s">
        <v>163</v>
      </c>
      <c r="C23" s="7">
        <v>0.28298926569632887</v>
      </c>
      <c r="D23" s="7">
        <f>C23+預測IC!D23</f>
        <v>0.25317859801090681</v>
      </c>
      <c r="E23" s="7">
        <f>D23+預測IC!E23</f>
        <v>0.1722374254402346</v>
      </c>
      <c r="F23" s="7">
        <f>E23+預測IC!F23</f>
        <v>3.0572516388332888E-2</v>
      </c>
      <c r="G23" s="7">
        <f>F23+預測IC!G23</f>
        <v>-2.1651657458165489E-2</v>
      </c>
      <c r="H23" s="7">
        <f>G23+預測IC!H23</f>
        <v>0.18206665042080961</v>
      </c>
      <c r="I23" s="7">
        <f>H23+預測IC!I23</f>
        <v>0.33021867902110358</v>
      </c>
      <c r="J23" s="7">
        <f>I23+預測IC!J23</f>
        <v>0.23205638787465122</v>
      </c>
      <c r="K23" s="7">
        <f>J23+預測IC!K23</f>
        <v>2.7566911402417626E-2</v>
      </c>
      <c r="L23" s="7">
        <f>K23+預測IC!L23</f>
        <v>8.1610441178016246E-2</v>
      </c>
      <c r="M23" s="7">
        <f>L23+預測IC!M23</f>
        <v>-0.18095890586932406</v>
      </c>
      <c r="N23" s="7">
        <f>M23+預測IC!N23</f>
        <v>-2.4539668233311274E-2</v>
      </c>
      <c r="O23" s="7">
        <f>N23+預測IC!O23</f>
        <v>0.18002470973969081</v>
      </c>
      <c r="P23" s="7">
        <f>O23+預測IC!P23</f>
        <v>8.9622998557565434E-2</v>
      </c>
      <c r="Q23" s="7">
        <f>P23+預測IC!Q23</f>
        <v>0.14919101545808594</v>
      </c>
      <c r="R23" s="7">
        <f>Q23+預測IC!R23</f>
        <v>9.2979872144830888E-2</v>
      </c>
      <c r="S23" s="7">
        <f>R23+預測IC!S23</f>
        <v>-2.0744660682431207E-2</v>
      </c>
      <c r="T23" s="7">
        <f>S23+預測IC!T23</f>
        <v>-2.1118029890909953E-2</v>
      </c>
      <c r="U23" s="7">
        <f>T23+預測IC!U23</f>
        <v>-0.11487545233170432</v>
      </c>
      <c r="V23" s="7">
        <f>U23+預測IC!V23</f>
        <v>-0.13790490944149544</v>
      </c>
      <c r="W23" s="7">
        <f>V23+預測IC!W23</f>
        <v>0.19371424080764907</v>
      </c>
      <c r="X23" s="7">
        <f>W23+預測IC!X23</f>
        <v>0.45779993577094635</v>
      </c>
      <c r="Y23" s="7">
        <f>X23+預測IC!Y23</f>
        <v>0.47245973730143659</v>
      </c>
      <c r="Z23" s="7">
        <f>Y23+預測IC!Z23</f>
        <v>0.50549225274531184</v>
      </c>
      <c r="AA23" s="7">
        <f>Z23+預測IC!AA23</f>
        <v>0.51209854471478211</v>
      </c>
      <c r="AB23" s="7">
        <f>AA23+預測IC!AB23</f>
        <v>0.57613832459156566</v>
      </c>
      <c r="AC23" s="7">
        <f>AB23+預測IC!AC23</f>
        <v>0.65248466273840366</v>
      </c>
      <c r="AD23" s="7">
        <f>AC23+預測IC!AD23</f>
        <v>0.66749556309545111</v>
      </c>
      <c r="AE23" s="7">
        <f>AD23+預測IC!AE23</f>
        <v>0.33515131448292562</v>
      </c>
      <c r="AF23" s="7">
        <f>AE23+預測IC!AF23</f>
        <v>0.40205757457267688</v>
      </c>
      <c r="AG23" s="7">
        <f>AF23+預測IC!AG23</f>
        <v>0.49393123221903706</v>
      </c>
      <c r="AH23" s="7">
        <f>AG23+預測IC!AH23</f>
        <v>0.40975964769585382</v>
      </c>
      <c r="AI23" s="7">
        <f>AH23+預測IC!AI23</f>
        <v>0.61891124631611749</v>
      </c>
      <c r="AJ23" s="7">
        <f>AI23+預測IC!AJ23</f>
        <v>0.64249868661014164</v>
      </c>
      <c r="AK23" s="7">
        <f>AJ23+預測IC!AK23</f>
        <v>0.75660978595733264</v>
      </c>
      <c r="AL23" s="7">
        <f>AK23+預測IC!AL23</f>
        <v>0.88804149914986819</v>
      </c>
      <c r="AM23" s="7">
        <f>AL23+預測IC!AM23</f>
        <v>0.89581098815473348</v>
      </c>
      <c r="AN23" s="7">
        <f>AM23+預測IC!AN23</f>
        <v>1.1381256875120342</v>
      </c>
      <c r="AO23" s="7">
        <f>AN23+預測IC!AO23</f>
        <v>1.1327887353206101</v>
      </c>
      <c r="AP23" s="7">
        <f>AO23+預測IC!AP23</f>
        <v>1.1359098346729157</v>
      </c>
      <c r="AQ23" s="7">
        <f>AP23+預測IC!AQ23</f>
        <v>1.2253348269325264</v>
      </c>
      <c r="AR23" s="7">
        <f>AQ23+預測IC!AR23</f>
        <v>1.5620788707775941</v>
      </c>
      <c r="AS23" s="7">
        <f>AR23+預測IC!AS23</f>
        <v>1.5473719827802166</v>
      </c>
      <c r="AT23" s="7">
        <f>AS23+預測IC!AT23</f>
        <v>1.505944260966567</v>
      </c>
      <c r="AU23" s="7">
        <f>AT23+預測IC!AU23</f>
        <v>1.5390897870950713</v>
      </c>
      <c r="AV23" s="7">
        <f>AU23+預測IC!AV23</f>
        <v>1.5114507928976972</v>
      </c>
      <c r="AW23" s="7">
        <f>AV23+預測IC!AW23</f>
        <v>1.4594238830592945</v>
      </c>
      <c r="AX23" s="7">
        <f>AW23+預測IC!AX23</f>
        <v>1.5292620368863385</v>
      </c>
      <c r="AY23" s="7">
        <f>AX23+預測IC!AY23</f>
        <v>1.6994960177269207</v>
      </c>
      <c r="AZ23" s="7">
        <f>AY23+預測IC!AZ23</f>
        <v>1.6357424003258605</v>
      </c>
      <c r="BA23" s="7">
        <f>AZ23+預測IC!BA23</f>
        <v>1.6453891804059613</v>
      </c>
      <c r="BB23" s="7">
        <f>BA23+預測IC!BB23</f>
        <v>1.5943396963030763</v>
      </c>
      <c r="BC23" s="7">
        <f>BB23+預測IC!BC23</f>
        <v>1.2935114471300104</v>
      </c>
      <c r="BD23" s="7">
        <f>BC23+預測IC!BD23</f>
        <v>1.3883423284764607</v>
      </c>
      <c r="BE23" s="7">
        <f>BD23+預測IC!BE23</f>
        <v>1.3169115660791642</v>
      </c>
      <c r="BF23" s="7">
        <f>BE23+預測IC!BF23</f>
        <v>1.294064575474478</v>
      </c>
      <c r="BG23" s="7">
        <f>BF23+預測IC!BG23</f>
        <v>1.3688260466712305</v>
      </c>
      <c r="BH23" s="7">
        <f>BG23+預測IC!BH23</f>
        <v>1.1653420653159434</v>
      </c>
      <c r="BI23" s="7">
        <f>BH23+預測IC!BI23</f>
        <v>1.3564541446391425</v>
      </c>
      <c r="BJ23" s="7">
        <f>BI23+預測IC!BJ23</f>
        <v>1.4604574599070694</v>
      </c>
      <c r="BK23" s="7">
        <f>BJ23+預測IC!BK23</f>
        <v>1.4624915682435469</v>
      </c>
      <c r="BL23" s="7">
        <f>BK23+預測IC!BL23</f>
        <v>1.6120258644937864</v>
      </c>
      <c r="BM23" s="7">
        <f>BL23+預測IC!BM23</f>
        <v>1.8012065512809403</v>
      </c>
      <c r="BN23" s="7">
        <f>BM23+預測IC!BN23</f>
        <v>1.7942593805221272</v>
      </c>
      <c r="BO23" s="7">
        <f>BN23+預測IC!BO23</f>
        <v>1.8307843222681264</v>
      </c>
      <c r="BP23" s="7">
        <f>BO23+預測IC!BP23</f>
        <v>1.9290507214795829</v>
      </c>
      <c r="BQ23" s="7">
        <f>BP23+預測IC!BQ23</f>
        <v>2.0010986229148489</v>
      </c>
      <c r="BR23" s="7">
        <f>BQ23+預測IC!BR23</f>
        <v>2.0189429443788116</v>
      </c>
      <c r="BS23" s="7">
        <f>BR23+預測IC!BS23</f>
        <v>1.9456675557208998</v>
      </c>
      <c r="BT23" s="7">
        <f>BS23+預測IC!BT23</f>
        <v>2.0893173617468968</v>
      </c>
      <c r="BU23" s="7">
        <f>BT23+預測IC!BU23</f>
        <v>2.2950050975928429</v>
      </c>
      <c r="BV23" s="7">
        <f>BU23+預測IC!BV23</f>
        <v>2.4084726659530316</v>
      </c>
      <c r="BW23" s="7">
        <f>BV23+預測IC!BW23</f>
        <v>2.2063203326773402</v>
      </c>
      <c r="BX23" s="7">
        <f>BW23+預測IC!BX23</f>
        <v>2.1981072129500872</v>
      </c>
      <c r="BY23" s="7">
        <f>BX23+預測IC!BY23</f>
        <v>2.1879015202557395</v>
      </c>
      <c r="BZ23" s="7">
        <f>BY23+預測IC!BZ23</f>
        <v>2.1955712826875842</v>
      </c>
      <c r="CA23" s="7">
        <f>BZ23+預測IC!CA23</f>
        <v>2.1199180829409552</v>
      </c>
      <c r="CB23" s="7">
        <f>CA23+預測IC!CB23</f>
        <v>1.9023038799485152</v>
      </c>
      <c r="CC23" s="7">
        <f>CB23+預測IC!CC23</f>
        <v>2.1272625074441955</v>
      </c>
      <c r="CD23" s="7">
        <f>CC23+預測IC!CD23</f>
        <v>2.3189389624589807</v>
      </c>
      <c r="CE23" s="7">
        <f>CD23+預測IC!CE23</f>
        <v>2.2023143556625193</v>
      </c>
      <c r="CF23" s="7">
        <f>CE23+預測IC!CF23</f>
        <v>2.3594492654536845</v>
      </c>
      <c r="CG23" s="7">
        <f>CF23+預測IC!CG23</f>
        <v>1.9662054775300077</v>
      </c>
      <c r="CH23" s="7">
        <f>CG23+預測IC!CH23</f>
        <v>2.146401926451436</v>
      </c>
      <c r="CI23" s="7">
        <f>CH23+預測IC!CI23</f>
        <v>1.8365025093233391</v>
      </c>
      <c r="CJ23" s="7">
        <f>CI23+預測IC!CJ23</f>
        <v>1.8166271417729285</v>
      </c>
      <c r="CK23" s="7">
        <f>CJ23+預測IC!CK23</f>
        <v>1.9127441365008901</v>
      </c>
      <c r="CL23" s="7">
        <f>CK23+預測IC!CL23</f>
        <v>1.5040831238334718</v>
      </c>
      <c r="CM23" s="7">
        <f>CL23+預測IC!CM23</f>
        <v>1.8908160703563812</v>
      </c>
      <c r="CN23" s="7">
        <f>CM23+預測IC!CN23</f>
        <v>1.8378108919865779</v>
      </c>
      <c r="CO23" s="7">
        <f>CN23+預測IC!CO23</f>
        <v>0.9288876046209581</v>
      </c>
      <c r="CP23" s="7">
        <f>CO23+預測IC!CP23</f>
        <v>1.2402483477837147</v>
      </c>
      <c r="CQ23" s="7">
        <f>CP23+預測IC!CQ23</f>
        <v>1.2310646032839088</v>
      </c>
      <c r="CR23" s="7">
        <f>CQ23+預測IC!CR23</f>
        <v>1.2426624071049874</v>
      </c>
      <c r="CS23" s="7">
        <f>CR23+預測IC!CS23</f>
        <v>1.2056881881137089</v>
      </c>
      <c r="CT23" s="7">
        <f>CS23+預測IC!CT23</f>
        <v>1.2513507298249629</v>
      </c>
      <c r="CU23" s="7">
        <f>CT23+預測IC!CU23</f>
        <v>1.2302941341116758</v>
      </c>
      <c r="CV23" s="7">
        <f>CU23+預測IC!CV23</f>
        <v>1.20804899662287</v>
      </c>
      <c r="CW23" s="7">
        <f>CV23+預測IC!CW23</f>
        <v>1.3089503284252886</v>
      </c>
      <c r="CX23" s="7">
        <f>CW23+預測IC!CX23</f>
        <v>1.2202333343287624</v>
      </c>
      <c r="CY23" s="7">
        <f>CX23+預測IC!CY23</f>
        <v>1.2422798650821409</v>
      </c>
      <c r="CZ23" s="7">
        <f>CY23+預測IC!CZ23</f>
        <v>1.4242786589394922</v>
      </c>
      <c r="DA23" s="7">
        <f>CZ23+預測IC!DA23</f>
        <v>1.3932965227135818</v>
      </c>
      <c r="DB23" s="7">
        <f>DA23+預測IC!DB23</f>
        <v>1.3773413658465854</v>
      </c>
      <c r="DC23" s="7">
        <f>DB23+預測IC!DC23</f>
        <v>1.4965318519169997</v>
      </c>
      <c r="DD23" s="7">
        <f>DC23+預測IC!DD23</f>
        <v>1.7099428963239964</v>
      </c>
      <c r="DE23" s="7">
        <f>DD23+預測IC!DE23</f>
        <v>1.7005476703723517</v>
      </c>
      <c r="DF23" s="7">
        <f>DE23+預測IC!DF23</f>
        <v>1.7624897974172571</v>
      </c>
      <c r="DG23" s="7">
        <f>DF23+預測IC!DG23</f>
        <v>1.8007598092919741</v>
      </c>
      <c r="DH23" s="7">
        <f>DG23+預測IC!DH23</f>
        <v>1.8561732566007165</v>
      </c>
      <c r="DI23" s="7">
        <f>DH23+預測IC!DI23</f>
        <v>1.9096528535167374</v>
      </c>
      <c r="DJ23" s="7">
        <f>DI23+預測IC!DJ23</f>
        <v>1.8225948453443896</v>
      </c>
      <c r="DK23" s="7">
        <f>DJ23+預測IC!DK23</f>
        <v>2.1004280619032327</v>
      </c>
      <c r="DL23" s="7">
        <f>DK23+預測IC!DL23</f>
        <v>2.3165291214435064</v>
      </c>
      <c r="DM23" s="7">
        <f>DL23+預測IC!DM23</f>
        <v>2.2970318165241403</v>
      </c>
      <c r="DN23" s="7">
        <f>DM23+預測IC!DN23</f>
        <v>2.3035290125681107</v>
      </c>
      <c r="DO23" s="7">
        <f>DN23+預測IC!DO23</f>
        <v>2.4676203163019448</v>
      </c>
      <c r="DP23" s="7">
        <f>DO23+預測IC!DP23</f>
        <v>2.5147085489576675</v>
      </c>
      <c r="DQ23" s="7">
        <f>DP23+預測IC!DQ23</f>
        <v>2.3444975524541296</v>
      </c>
      <c r="DR23" s="7">
        <f>DQ23+預測IC!DR23</f>
        <v>2.254611549722823</v>
      </c>
      <c r="DS23" s="7">
        <f>DR23+預測IC!DS23</f>
        <v>1.9665149728037767</v>
      </c>
      <c r="DT23" s="7">
        <f>DS23+預測IC!DT23</f>
        <v>1.8425597496075778</v>
      </c>
      <c r="DU23" s="7">
        <f>DT23+預測IC!DU23</f>
        <v>1.8768469348625754</v>
      </c>
      <c r="DV23" s="7">
        <f>DU23+預測IC!DV23</f>
        <v>2.153118543192015</v>
      </c>
      <c r="DW23" s="7">
        <f>DV23+預測IC!DW23</f>
        <v>2.2943467757748537</v>
      </c>
      <c r="DX23" s="7">
        <f>DW23+預測IC!DX23</f>
        <v>1.9808535693958875</v>
      </c>
      <c r="DY23" s="7">
        <f>DX23+預測IC!DY23</f>
        <v>2.1507303980481418</v>
      </c>
      <c r="DZ23" s="7">
        <f>DY23+預測IC!DZ23</f>
        <v>2.0478573794216293</v>
      </c>
      <c r="EA23" s="7">
        <f>DZ23+預測IC!EA23</f>
        <v>2.0244084718085098</v>
      </c>
      <c r="EB23" s="7">
        <f>EA23+預測IC!EB23</f>
        <v>1.9616550320978348</v>
      </c>
      <c r="EC23" s="7">
        <f>EB23+預測IC!EC23</f>
        <v>1.9250707157720215</v>
      </c>
      <c r="ED23" s="7">
        <f>EC23+預測IC!ED23</f>
        <v>1.8336448111522405</v>
      </c>
      <c r="EE23" s="7">
        <f>ED23+預測IC!EE23</f>
        <v>1.8926954950404808</v>
      </c>
      <c r="EF23" s="7">
        <f>EE23+預測IC!EF23</f>
        <v>1.8449132164488211</v>
      </c>
    </row>
    <row r="24" spans="1:136" x14ac:dyDescent="0.3">
      <c r="B24" s="1" t="s">
        <v>164</v>
      </c>
      <c r="C24" s="7">
        <v>9.9113364206882743E-2</v>
      </c>
      <c r="D24" s="7">
        <f>C24+預測IC!D24</f>
        <v>-4.9356457655301555E-3</v>
      </c>
      <c r="E24" s="7">
        <f>D24+預測IC!E24</f>
        <v>6.6464684403766752E-2</v>
      </c>
      <c r="F24" s="7">
        <f>E24+預測IC!F24</f>
        <v>-0.16069486223298207</v>
      </c>
      <c r="G24" s="7">
        <f>F24+預測IC!G24</f>
        <v>6.5065160824590323E-2</v>
      </c>
      <c r="H24" s="7">
        <f>G24+預測IC!H24</f>
        <v>0.31175188931516012</v>
      </c>
      <c r="I24" s="7">
        <f>H24+預測IC!I24</f>
        <v>0.30963995611201661</v>
      </c>
      <c r="J24" s="7">
        <f>I24+預測IC!J24</f>
        <v>0.20966776320188046</v>
      </c>
      <c r="K24" s="7">
        <f>J24+預測IC!K24</f>
        <v>0.18815248484692035</v>
      </c>
      <c r="L24" s="7">
        <f>K24+預測IC!L24</f>
        <v>0.28377573535560247</v>
      </c>
      <c r="M24" s="7">
        <f>L24+預測IC!M24</f>
        <v>-0.17925180884453601</v>
      </c>
      <c r="N24" s="7">
        <f>M24+預測IC!N24</f>
        <v>-3.5121356444102803E-2</v>
      </c>
      <c r="O24" s="7">
        <f>N24+預測IC!O24</f>
        <v>0.2001878369613202</v>
      </c>
      <c r="P24" s="7">
        <f>O24+預測IC!P24</f>
        <v>9.5939422552320699E-2</v>
      </c>
      <c r="Q24" s="7">
        <f>P24+預測IC!Q24</f>
        <v>0.15690438419902697</v>
      </c>
      <c r="R24" s="7">
        <f>Q24+預測IC!R24</f>
        <v>-8.8792986580232741E-2</v>
      </c>
      <c r="S24" s="7">
        <f>R24+預測IC!S24</f>
        <v>-0.44130744764039709</v>
      </c>
      <c r="T24" s="7">
        <f>S24+預測IC!T24</f>
        <v>-0.31761640354860787</v>
      </c>
      <c r="U24" s="7">
        <f>T24+預測IC!U24</f>
        <v>-0.46613507777252589</v>
      </c>
      <c r="V24" s="7">
        <f>U24+預測IC!V24</f>
        <v>-0.53327438061015442</v>
      </c>
      <c r="W24" s="7">
        <f>V24+預測IC!W24</f>
        <v>-3.7562394654211795E-2</v>
      </c>
      <c r="X24" s="7">
        <f>W24+預測IC!X24</f>
        <v>8.0460037851792107E-2</v>
      </c>
      <c r="Y24" s="7">
        <f>X24+預測IC!Y24</f>
        <v>8.9937052778209195E-2</v>
      </c>
      <c r="Z24" s="7">
        <f>Y24+預測IC!Z24</f>
        <v>0.1957793800570162</v>
      </c>
      <c r="AA24" s="7">
        <f>Z24+預測IC!AA24</f>
        <v>0.20932714829459348</v>
      </c>
      <c r="AB24" s="7">
        <f>AA24+預測IC!AB24</f>
        <v>0.40466677096983728</v>
      </c>
      <c r="AC24" s="7">
        <f>AB24+預測IC!AC24</f>
        <v>0.5300471517458023</v>
      </c>
      <c r="AD24" s="7">
        <f>AC24+預測IC!AD24</f>
        <v>0.53786899063843197</v>
      </c>
      <c r="AE24" s="7">
        <f>AD24+預測IC!AE24</f>
        <v>-3.3891306078492889E-3</v>
      </c>
      <c r="AF24" s="7">
        <f>AE24+預測IC!AF24</f>
        <v>1.913287942694121E-2</v>
      </c>
      <c r="AG24" s="7">
        <f>AF24+預測IC!AG24</f>
        <v>0.15786859705357881</v>
      </c>
      <c r="AH24" s="7">
        <f>AG24+預測IC!AH24</f>
        <v>0.10117123698578923</v>
      </c>
      <c r="AI24" s="7">
        <f>AH24+預測IC!AI24</f>
        <v>0.41158547221513153</v>
      </c>
      <c r="AJ24" s="7">
        <f>AI24+預測IC!AJ24</f>
        <v>0.49702067400599564</v>
      </c>
      <c r="AK24" s="7">
        <f>AJ24+預測IC!AK24</f>
        <v>0.58190462707418789</v>
      </c>
      <c r="AL24" s="7">
        <f>AK24+預測IC!AL24</f>
        <v>0.52722769158355254</v>
      </c>
      <c r="AM24" s="7">
        <f>AL24+預測IC!AM24</f>
        <v>0.50830841016302586</v>
      </c>
      <c r="AN24" s="7">
        <f>AM24+預測IC!AN24</f>
        <v>0.72949787530845711</v>
      </c>
      <c r="AO24" s="7">
        <f>AN24+預測IC!AO24</f>
        <v>0.79558798713744716</v>
      </c>
      <c r="AP24" s="7">
        <f>AO24+預測IC!AP24</f>
        <v>0.77273627164835079</v>
      </c>
      <c r="AQ24" s="7">
        <f>AP24+預測IC!AQ24</f>
        <v>0.81981324448259651</v>
      </c>
      <c r="AR24" s="7">
        <f>AQ24+預測IC!AR24</f>
        <v>0.82945250109020352</v>
      </c>
      <c r="AS24" s="7">
        <f>AR24+預測IC!AS24</f>
        <v>0.80149642382361341</v>
      </c>
      <c r="AT24" s="7">
        <f>AS24+預測IC!AT24</f>
        <v>0.83195563130832206</v>
      </c>
      <c r="AU24" s="7">
        <f>AT24+預測IC!AU24</f>
        <v>0.87605095117354637</v>
      </c>
      <c r="AV24" s="7">
        <f>AU24+預測IC!AV24</f>
        <v>0.7888989989866505</v>
      </c>
      <c r="AW24" s="7">
        <f>AV24+預測IC!AW24</f>
        <v>0.7938865404976897</v>
      </c>
      <c r="AX24" s="7">
        <f>AW24+預測IC!AX24</f>
        <v>0.82219272708611424</v>
      </c>
      <c r="AY24" s="7">
        <f>AX24+預測IC!AY24</f>
        <v>0.99032002097100369</v>
      </c>
      <c r="AZ24" s="7">
        <f>AY24+預測IC!AZ24</f>
        <v>1.0281870945706688</v>
      </c>
      <c r="BA24" s="7">
        <f>AZ24+預測IC!BA24</f>
        <v>0.97439236248603567</v>
      </c>
      <c r="BB24" s="7">
        <f>BA24+預測IC!BB24</f>
        <v>0.88823332909070085</v>
      </c>
      <c r="BC24" s="7">
        <f>BB24+預測IC!BC24</f>
        <v>8.5017316046323455E-2</v>
      </c>
      <c r="BD24" s="7">
        <f>BC24+預測IC!BD24</f>
        <v>0.27061253529275864</v>
      </c>
      <c r="BE24" s="7">
        <f>BD24+預測IC!BE24</f>
        <v>0.22454818126107176</v>
      </c>
      <c r="BF24" s="7">
        <f>BE24+預測IC!BF24</f>
        <v>0.31219951731516404</v>
      </c>
      <c r="BG24" s="7">
        <f>BF24+預測IC!BG24</f>
        <v>0.33903548318147497</v>
      </c>
      <c r="BH24" s="7">
        <f>BG24+預測IC!BH24</f>
        <v>-4.7219853732060002E-2</v>
      </c>
      <c r="BI24" s="7">
        <f>BH24+預測IC!BI24</f>
        <v>0.1764092523379871</v>
      </c>
      <c r="BJ24" s="7">
        <f>BI24+預測IC!BJ24</f>
        <v>0.17975756809287169</v>
      </c>
      <c r="BK24" s="7">
        <f>BJ24+預測IC!BK24</f>
        <v>0.18378111498715791</v>
      </c>
      <c r="BL24" s="7">
        <f>BK24+預測IC!BL24</f>
        <v>0.50094540891187456</v>
      </c>
      <c r="BM24" s="7">
        <f>BL24+預測IC!BM24</f>
        <v>0.51241842802961168</v>
      </c>
      <c r="BN24" s="7">
        <f>BM24+預測IC!BN24</f>
        <v>0.51926776987518641</v>
      </c>
      <c r="BO24" s="7">
        <f>BN24+預測IC!BO24</f>
        <v>0.35815807877954453</v>
      </c>
      <c r="BP24" s="7">
        <f>BO24+預測IC!BP24</f>
        <v>0.48150925990886645</v>
      </c>
      <c r="BQ24" s="7">
        <f>BP24+預測IC!BQ24</f>
        <v>0.4173396265787514</v>
      </c>
      <c r="BR24" s="7">
        <f>BQ24+預測IC!BR24</f>
        <v>0.45969584988216911</v>
      </c>
      <c r="BS24" s="7">
        <f>BR24+預測IC!BS24</f>
        <v>0.45841113239771214</v>
      </c>
      <c r="BT24" s="7">
        <f>BS24+預測IC!BT24</f>
        <v>0.57468182845189941</v>
      </c>
      <c r="BU24" s="7">
        <f>BT24+預測IC!BU24</f>
        <v>0.80300846001184012</v>
      </c>
      <c r="BV24" s="7">
        <f>BU24+預測IC!BV24</f>
        <v>0.91073691389982303</v>
      </c>
      <c r="BW24" s="7">
        <f>BV24+預測IC!BW24</f>
        <v>0.84890103026422992</v>
      </c>
      <c r="BX24" s="7">
        <f>BW24+預測IC!BX24</f>
        <v>0.71594097455377215</v>
      </c>
      <c r="BY24" s="7">
        <f>BX24+預測IC!BY24</f>
        <v>0.82568664372118949</v>
      </c>
      <c r="BZ24" s="7">
        <f>BY24+預測IC!BZ24</f>
        <v>1.0845795425711864</v>
      </c>
      <c r="CA24" s="7">
        <f>BZ24+預測IC!CA24</f>
        <v>0.96935786179777172</v>
      </c>
      <c r="CB24" s="7">
        <f>CA24+預測IC!CB24</f>
        <v>1.1781198360856409</v>
      </c>
      <c r="CC24" s="7">
        <f>CB24+預測IC!CC24</f>
        <v>1.6179743483525746</v>
      </c>
      <c r="CD24" s="7">
        <f>CC24+預測IC!CD24</f>
        <v>1.7622806590947695</v>
      </c>
      <c r="CE24" s="7">
        <f>CD24+預測IC!CE24</f>
        <v>1.552159223858681</v>
      </c>
      <c r="CF24" s="7">
        <f>CE24+預測IC!CF24</f>
        <v>1.7738805861040694</v>
      </c>
      <c r="CG24" s="7">
        <f>CF24+預測IC!CG24</f>
        <v>1.4500626070850089</v>
      </c>
      <c r="CH24" s="7">
        <f>CG24+預測IC!CH24</f>
        <v>1.8043399039275119</v>
      </c>
      <c r="CI24" s="7">
        <f>CH24+預測IC!CI24</f>
        <v>2.1327917246367765</v>
      </c>
      <c r="CJ24" s="7">
        <f>CI24+預測IC!CJ24</f>
        <v>2.1459012100561958</v>
      </c>
      <c r="CK24" s="7">
        <f>CJ24+預測IC!CK24</f>
        <v>2.2394312893718924</v>
      </c>
      <c r="CL24" s="7">
        <f>CK24+預測IC!CL24</f>
        <v>2.3811866227444329</v>
      </c>
      <c r="CM24" s="7">
        <f>CL24+預測IC!CM24</f>
        <v>2.9307737327035333</v>
      </c>
      <c r="CN24" s="7">
        <f>CM24+預測IC!CN24</f>
        <v>2.8230349662463201</v>
      </c>
      <c r="CO24" s="7">
        <f>CN24+預測IC!CO24</f>
        <v>2.0463817479100888</v>
      </c>
      <c r="CP24" s="7">
        <f>CO24+預測IC!CP24</f>
        <v>2.206725952724931</v>
      </c>
      <c r="CQ24" s="7">
        <f>CP24+預測IC!CQ24</f>
        <v>2.3214131265882276</v>
      </c>
      <c r="CR24" s="7">
        <f>CQ24+預測IC!CR24</f>
        <v>2.3824979648277842</v>
      </c>
      <c r="CS24" s="7">
        <f>CR24+預測IC!CS24</f>
        <v>2.2966027320809785</v>
      </c>
      <c r="CT24" s="7">
        <f>CS24+預測IC!CT24</f>
        <v>2.3930217402283742</v>
      </c>
      <c r="CU24" s="7">
        <f>CT24+預測IC!CU24</f>
        <v>2.3202703925716643</v>
      </c>
      <c r="CV24" s="7">
        <f>CU24+預測IC!CV24</f>
        <v>2.3353344401110396</v>
      </c>
      <c r="CW24" s="7">
        <f>CV24+預測IC!CW24</f>
        <v>2.5104516061830471</v>
      </c>
      <c r="CX24" s="7">
        <f>CW24+預測IC!CX24</f>
        <v>2.5656587998917342</v>
      </c>
      <c r="CY24" s="7">
        <f>CX24+預測IC!CY24</f>
        <v>2.4855918952549154</v>
      </c>
      <c r="CZ24" s="7">
        <f>CY24+預測IC!CZ24</f>
        <v>2.5977985236994825</v>
      </c>
      <c r="DA24" s="7">
        <f>CZ24+預測IC!DA24</f>
        <v>2.6223097278622371</v>
      </c>
      <c r="DB24" s="7">
        <f>DA24+預測IC!DB24</f>
        <v>2.426849055349583</v>
      </c>
      <c r="DC24" s="7">
        <f>DB24+預測IC!DC24</f>
        <v>2.6180248135201176</v>
      </c>
      <c r="DD24" s="7">
        <f>DC24+預測IC!DD24</f>
        <v>2.7714061942592236</v>
      </c>
      <c r="DE24" s="7">
        <f>DD24+預測IC!DE24</f>
        <v>2.5953434367496886</v>
      </c>
      <c r="DF24" s="7">
        <f>DE24+預測IC!DF24</f>
        <v>2.4906784607291272</v>
      </c>
      <c r="DG24" s="7">
        <f>DF24+預測IC!DG24</f>
        <v>2.5497842948534712</v>
      </c>
      <c r="DH24" s="7">
        <f>DG24+預測IC!DH24</f>
        <v>2.5506308199188377</v>
      </c>
      <c r="DI24" s="7">
        <f>DH24+預測IC!DI24</f>
        <v>2.692506278857107</v>
      </c>
      <c r="DJ24" s="7">
        <f>DI24+預測IC!DJ24</f>
        <v>2.5600176683478675</v>
      </c>
      <c r="DK24" s="7">
        <f>DJ24+預測IC!DK24</f>
        <v>2.8995268789783113</v>
      </c>
      <c r="DL24" s="7">
        <f>DK24+預測IC!DL24</f>
        <v>3.1126313052641925</v>
      </c>
      <c r="DM24" s="7">
        <f>DL24+預測IC!DM24</f>
        <v>2.9711917780373178</v>
      </c>
      <c r="DN24" s="7">
        <f>DM24+預測IC!DN24</f>
        <v>3.2045263488120139</v>
      </c>
      <c r="DO24" s="7">
        <f>DN24+預測IC!DO24</f>
        <v>3.3899671514447016</v>
      </c>
      <c r="DP24" s="7">
        <f>DO24+預測IC!DP24</f>
        <v>3.5043405769307157</v>
      </c>
      <c r="DQ24" s="7">
        <f>DP24+預測IC!DQ24</f>
        <v>3.3713632256947457</v>
      </c>
      <c r="DR24" s="7">
        <f>DQ24+預測IC!DR24</f>
        <v>3.3508475954827164</v>
      </c>
      <c r="DS24" s="7">
        <f>DR24+預測IC!DS24</f>
        <v>3.1345860544498709</v>
      </c>
      <c r="DT24" s="7">
        <f>DS24+預測IC!DT24</f>
        <v>3.0962231882797413</v>
      </c>
      <c r="DU24" s="7">
        <f>DT24+預測IC!DU24</f>
        <v>3.0485846010059836</v>
      </c>
      <c r="DV24" s="7">
        <f>DU24+預測IC!DV24</f>
        <v>3.2068092996497981</v>
      </c>
      <c r="DW24" s="7">
        <f>DV24+預測IC!DW24</f>
        <v>3.3156663895411285</v>
      </c>
      <c r="DX24" s="7">
        <f>DW24+預測IC!DX24</f>
        <v>3.0040732617486245</v>
      </c>
      <c r="DY24" s="7">
        <f>DX24+預測IC!DY24</f>
        <v>3.3478775485468333</v>
      </c>
      <c r="DZ24" s="7">
        <f>DY24+預測IC!DZ24</f>
        <v>3.2974083661437166</v>
      </c>
      <c r="EA24" s="7">
        <f>DZ24+預測IC!EA24</f>
        <v>3.3747592883710524</v>
      </c>
      <c r="EB24" s="7">
        <f>EA24+預測IC!EB24</f>
        <v>3.3451771120057585</v>
      </c>
      <c r="EC24" s="7">
        <f>EB24+預測IC!EC24</f>
        <v>3.3308671932350795</v>
      </c>
      <c r="ED24" s="7">
        <f>EC24+預測IC!ED24</f>
        <v>3.2746943479367174</v>
      </c>
      <c r="EE24" s="7">
        <f>ED24+預測IC!EE24</f>
        <v>3.3881237871279364</v>
      </c>
      <c r="EF24" s="7">
        <f>EE24+預測IC!EF24</f>
        <v>3.4554004641719049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21"/>
  <sheetViews>
    <sheetView workbookViewId="0">
      <selection activeCell="A2" sqref="A2"/>
    </sheetView>
  </sheetViews>
  <sheetFormatPr defaultRowHeight="15" x14ac:dyDescent="0.3"/>
  <cols>
    <col min="1" max="1" width="16.375" bestFit="1" customWidth="1"/>
  </cols>
  <sheetData>
    <row r="1" spans="1:137" x14ac:dyDescent="0.3">
      <c r="A1" t="str">
        <f>預測IC!A1</f>
        <v>NN5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7" spans="1:137" x14ac:dyDescent="0.3">
      <c r="A7" t="s">
        <v>165</v>
      </c>
    </row>
    <row r="8" spans="1:137" x14ac:dyDescent="0.3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  <c r="BB8" s="1" t="s">
        <v>53</v>
      </c>
      <c r="BC8" s="1" t="s">
        <v>54</v>
      </c>
      <c r="BD8" s="1" t="s">
        <v>55</v>
      </c>
      <c r="BE8" s="1" t="s">
        <v>56</v>
      </c>
      <c r="BF8" s="1" t="s">
        <v>57</v>
      </c>
      <c r="BG8" s="1" t="s">
        <v>58</v>
      </c>
      <c r="BH8" s="1" t="s">
        <v>59</v>
      </c>
      <c r="BI8" s="1" t="s">
        <v>60</v>
      </c>
      <c r="BJ8" s="1" t="s">
        <v>61</v>
      </c>
      <c r="BK8" s="1" t="s">
        <v>62</v>
      </c>
      <c r="BL8" s="1" t="s">
        <v>63</v>
      </c>
      <c r="BM8" s="1" t="s">
        <v>64</v>
      </c>
      <c r="BN8" s="1" t="s">
        <v>65</v>
      </c>
      <c r="BO8" s="1" t="s">
        <v>66</v>
      </c>
      <c r="BP8" s="1" t="s">
        <v>67</v>
      </c>
      <c r="BQ8" s="1" t="s">
        <v>68</v>
      </c>
      <c r="BR8" s="1" t="s">
        <v>69</v>
      </c>
      <c r="BS8" s="1" t="s">
        <v>70</v>
      </c>
      <c r="BT8" s="1" t="s">
        <v>71</v>
      </c>
      <c r="BU8" s="1" t="s">
        <v>72</v>
      </c>
      <c r="BV8" s="1" t="s">
        <v>73</v>
      </c>
      <c r="BW8" s="1" t="s">
        <v>74</v>
      </c>
      <c r="BX8" s="1" t="s">
        <v>75</v>
      </c>
      <c r="BY8" s="1" t="s">
        <v>76</v>
      </c>
      <c r="BZ8" s="1" t="s">
        <v>77</v>
      </c>
      <c r="CA8" s="1" t="s">
        <v>78</v>
      </c>
      <c r="CB8" s="1" t="s">
        <v>79</v>
      </c>
      <c r="CC8" s="1" t="s">
        <v>80</v>
      </c>
      <c r="CD8" s="1" t="s">
        <v>81</v>
      </c>
      <c r="CE8" s="1" t="s">
        <v>82</v>
      </c>
      <c r="CF8" s="1" t="s">
        <v>83</v>
      </c>
      <c r="CG8" s="1" t="s">
        <v>84</v>
      </c>
      <c r="CH8" s="1" t="s">
        <v>85</v>
      </c>
      <c r="CI8" s="1" t="s">
        <v>86</v>
      </c>
      <c r="CJ8" s="1" t="s">
        <v>87</v>
      </c>
      <c r="CK8" s="1" t="s">
        <v>88</v>
      </c>
      <c r="CL8" s="1" t="s">
        <v>89</v>
      </c>
      <c r="CM8" s="1" t="s">
        <v>90</v>
      </c>
      <c r="CN8" s="1" t="s">
        <v>91</v>
      </c>
      <c r="CO8" s="1" t="s">
        <v>92</v>
      </c>
      <c r="CP8" s="1" t="s">
        <v>93</v>
      </c>
      <c r="CQ8" s="1" t="s">
        <v>94</v>
      </c>
      <c r="CR8" s="1" t="s">
        <v>95</v>
      </c>
      <c r="CS8" s="1" t="s">
        <v>96</v>
      </c>
      <c r="CT8" s="1" t="s">
        <v>97</v>
      </c>
      <c r="CU8" s="1" t="s">
        <v>98</v>
      </c>
      <c r="CV8" s="1" t="s">
        <v>99</v>
      </c>
      <c r="CW8" s="1" t="s">
        <v>100</v>
      </c>
      <c r="CX8" s="1" t="s">
        <v>101</v>
      </c>
      <c r="CY8" s="1" t="s">
        <v>102</v>
      </c>
      <c r="CZ8" s="1" t="s">
        <v>103</v>
      </c>
      <c r="DA8" s="1" t="s">
        <v>104</v>
      </c>
      <c r="DB8" s="1" t="s">
        <v>105</v>
      </c>
      <c r="DC8" s="1" t="s">
        <v>106</v>
      </c>
      <c r="DD8" s="1" t="s">
        <v>107</v>
      </c>
      <c r="DE8" s="1" t="s">
        <v>108</v>
      </c>
      <c r="DF8" s="1" t="s">
        <v>109</v>
      </c>
      <c r="DG8" s="1" t="s">
        <v>110</v>
      </c>
      <c r="DH8" s="1" t="s">
        <v>111</v>
      </c>
      <c r="DI8" s="1" t="s">
        <v>112</v>
      </c>
      <c r="DJ8" s="1" t="s">
        <v>113</v>
      </c>
      <c r="DK8" s="1" t="s">
        <v>114</v>
      </c>
      <c r="DL8" s="1" t="s">
        <v>115</v>
      </c>
      <c r="DM8" s="1" t="s">
        <v>116</v>
      </c>
      <c r="DN8" s="1" t="s">
        <v>117</v>
      </c>
      <c r="DO8" s="1" t="s">
        <v>118</v>
      </c>
      <c r="DP8" s="1" t="s">
        <v>119</v>
      </c>
      <c r="DQ8" s="1" t="s">
        <v>120</v>
      </c>
      <c r="DR8" s="1" t="s">
        <v>121</v>
      </c>
      <c r="DS8" s="1" t="s">
        <v>122</v>
      </c>
      <c r="DT8" s="1" t="s">
        <v>123</v>
      </c>
      <c r="DU8" s="1" t="s">
        <v>124</v>
      </c>
      <c r="DV8" s="1" t="s">
        <v>125</v>
      </c>
      <c r="DW8" s="1" t="s">
        <v>126</v>
      </c>
      <c r="DX8" s="1" t="s">
        <v>127</v>
      </c>
      <c r="DY8" s="1" t="s">
        <v>128</v>
      </c>
      <c r="DZ8" s="1" t="s">
        <v>129</v>
      </c>
      <c r="EA8" s="1" t="s">
        <v>130</v>
      </c>
      <c r="EB8" s="1" t="s">
        <v>131</v>
      </c>
      <c r="EC8" s="1" t="s">
        <v>132</v>
      </c>
      <c r="ED8" s="1" t="s">
        <v>133</v>
      </c>
      <c r="EE8" s="1" t="s">
        <v>134</v>
      </c>
      <c r="EF8" s="1" t="s">
        <v>135</v>
      </c>
    </row>
    <row r="9" spans="1:137" x14ac:dyDescent="0.3">
      <c r="B9" s="1" t="s">
        <v>137</v>
      </c>
      <c r="C9" s="9">
        <v>0.10910583</v>
      </c>
      <c r="D9" s="9">
        <v>1.457658E-2</v>
      </c>
      <c r="E9" s="9">
        <v>-3.6154400000000003E-2</v>
      </c>
      <c r="F9" s="9">
        <v>-4.7425999999999996E-3</v>
      </c>
      <c r="G9" s="9">
        <v>-5.7478E-3</v>
      </c>
      <c r="H9" s="9">
        <v>4.9378020000000002E-2</v>
      </c>
      <c r="I9" s="9">
        <v>0.18325177000000001</v>
      </c>
      <c r="J9" s="9">
        <v>0.11648631</v>
      </c>
      <c r="K9" s="9">
        <v>-3.0594900000000001E-2</v>
      </c>
      <c r="L9" s="9">
        <v>1.982805E-2</v>
      </c>
      <c r="M9" s="9">
        <v>-2.0999E-2</v>
      </c>
      <c r="N9" s="9">
        <v>0.14977942</v>
      </c>
      <c r="O9" s="9">
        <v>1.546341E-2</v>
      </c>
      <c r="P9" s="9">
        <v>-9.1792299999999993E-2</v>
      </c>
      <c r="Q9" s="9">
        <v>-7.7409000000000006E-2</v>
      </c>
      <c r="R9" s="9">
        <v>5.4776600000000002E-2</v>
      </c>
      <c r="S9" s="9">
        <v>-0.12533440000000001</v>
      </c>
      <c r="T9" s="9">
        <v>-0.1190534</v>
      </c>
      <c r="U9" s="9">
        <v>-3.7770100000000001E-2</v>
      </c>
      <c r="V9" s="9">
        <v>8.1183820000000004E-2</v>
      </c>
      <c r="W9" s="9">
        <v>8.4008970000000002E-2</v>
      </c>
      <c r="X9" s="9">
        <v>0.14701136000000001</v>
      </c>
      <c r="Y9" s="9">
        <v>-0.12536050000000001</v>
      </c>
      <c r="Z9" s="9">
        <v>0.19195355</v>
      </c>
      <c r="AA9" s="9">
        <v>-8.4370799999999996E-2</v>
      </c>
      <c r="AB9" s="9">
        <v>7.2897610000000002E-2</v>
      </c>
      <c r="AC9" s="9">
        <v>0.10260456</v>
      </c>
      <c r="AD9" s="9">
        <v>1.577017E-2</v>
      </c>
      <c r="AE9" s="9">
        <v>-0.15200720000000001</v>
      </c>
      <c r="AF9" s="9">
        <v>5.9250249999999997E-2</v>
      </c>
      <c r="AG9" s="9">
        <v>0.13005884000000001</v>
      </c>
      <c r="AH9" s="9">
        <v>0.11525639999999999</v>
      </c>
      <c r="AI9" s="9">
        <v>3.2606620000000003E-2</v>
      </c>
      <c r="AJ9" s="9">
        <v>2.7999110000000001E-2</v>
      </c>
      <c r="AK9" s="9">
        <v>0.14657042000000001</v>
      </c>
      <c r="AL9" s="9">
        <v>4.0841919999999997E-2</v>
      </c>
      <c r="AM9" s="9">
        <v>0.13137636999999999</v>
      </c>
      <c r="AN9" s="9">
        <v>0.22143296000000001</v>
      </c>
      <c r="AO9" s="9">
        <v>-2.0941000000000001E-2</v>
      </c>
      <c r="AP9" s="9">
        <v>-0.13716</v>
      </c>
      <c r="AQ9" s="9">
        <v>-2.4882899999999999E-2</v>
      </c>
      <c r="AR9" s="9">
        <v>1.551397E-2</v>
      </c>
      <c r="AS9" s="9">
        <v>3.4373040000000001E-2</v>
      </c>
      <c r="AT9" s="9">
        <v>6.3095689999999996E-2</v>
      </c>
      <c r="AU9" s="9">
        <v>4.3237699999999997E-2</v>
      </c>
      <c r="AV9" s="9">
        <v>-7.4230400000000002E-2</v>
      </c>
      <c r="AW9" s="9">
        <v>2.7994829999999998E-2</v>
      </c>
      <c r="AX9" s="9">
        <v>0.11986442</v>
      </c>
      <c r="AY9" s="9">
        <v>7.6559569999999993E-2</v>
      </c>
      <c r="AZ9" s="9">
        <v>-2.17304E-2</v>
      </c>
      <c r="BA9" s="9">
        <v>-1.2465E-3</v>
      </c>
      <c r="BB9" s="9">
        <v>0.10099582</v>
      </c>
      <c r="BC9" s="9">
        <v>2.9826930000000001E-2</v>
      </c>
      <c r="BD9" s="9">
        <v>8.6757699999999993E-3</v>
      </c>
      <c r="BE9" s="9">
        <v>6.8557209999999993E-2</v>
      </c>
      <c r="BF9" s="9">
        <v>0.15691260000000001</v>
      </c>
      <c r="BG9" s="9">
        <v>0.15920372999999999</v>
      </c>
      <c r="BH9" s="9">
        <v>6.1121670000000003E-2</v>
      </c>
      <c r="BI9" s="9">
        <v>9.6912849999999995E-2</v>
      </c>
      <c r="BJ9" s="9">
        <v>-5.4746200000000002E-2</v>
      </c>
      <c r="BK9" s="9">
        <v>-8.7493000000000001E-2</v>
      </c>
      <c r="BL9" s="9">
        <v>9.4426750000000004E-2</v>
      </c>
      <c r="BM9" s="9">
        <v>-2.2191099999999998E-2</v>
      </c>
      <c r="BN9" s="9">
        <v>1.5628610000000001E-2</v>
      </c>
      <c r="BO9" s="9">
        <v>8.1418240000000003E-2</v>
      </c>
      <c r="BP9" s="9">
        <v>-1.8508899999999998E-2</v>
      </c>
      <c r="BQ9" s="9">
        <v>6.8729570000000004E-2</v>
      </c>
      <c r="BR9" s="9">
        <v>3.1023600000000002E-3</v>
      </c>
      <c r="BS9" s="9">
        <v>7.4964420000000004E-2</v>
      </c>
      <c r="BT9" s="9">
        <v>4.520159E-2</v>
      </c>
      <c r="BU9" s="9">
        <v>2.5677330000000002E-2</v>
      </c>
      <c r="BV9" s="9">
        <v>9.1804029999999995E-2</v>
      </c>
      <c r="BW9" s="9">
        <v>-2.6353999999999999E-2</v>
      </c>
      <c r="BX9" s="9">
        <v>1.9394829999999998E-2</v>
      </c>
      <c r="BY9" s="9">
        <v>-7.6838900000000002E-2</v>
      </c>
      <c r="BZ9" s="9">
        <v>0.11330931</v>
      </c>
      <c r="CA9" s="9">
        <v>-0.1073549</v>
      </c>
      <c r="CB9" s="9">
        <v>4.0844789999999999E-2</v>
      </c>
      <c r="CC9" s="9">
        <v>-1.9801699999999998E-2</v>
      </c>
      <c r="CD9" s="9">
        <v>0.18837709</v>
      </c>
      <c r="CE9" s="9">
        <v>5.5574909999999998E-2</v>
      </c>
      <c r="CF9" s="9">
        <v>7.4872069999999999E-2</v>
      </c>
      <c r="CG9" s="9">
        <v>0.10000019</v>
      </c>
      <c r="CH9" s="9">
        <v>0.13602172000000001</v>
      </c>
      <c r="CI9" s="9">
        <v>-9.3741000000000005E-2</v>
      </c>
      <c r="CJ9" s="9">
        <v>3.9306000000000002E-3</v>
      </c>
      <c r="CK9" s="9">
        <v>5.6507780000000001E-2</v>
      </c>
      <c r="CL9" s="9">
        <v>0.26354578000000001</v>
      </c>
      <c r="CM9" s="9">
        <v>-9.5554000000000004E-3</v>
      </c>
      <c r="CN9" s="9">
        <v>-3.1511900000000002E-2</v>
      </c>
      <c r="CO9" s="9">
        <v>-2.2619E-2</v>
      </c>
      <c r="CP9" s="9">
        <v>0.13265561000000001</v>
      </c>
      <c r="CQ9" s="9">
        <v>0.13307278</v>
      </c>
      <c r="CR9" s="9">
        <v>-1.49564E-2</v>
      </c>
      <c r="CS9" s="9">
        <v>-3.3419900000000002E-2</v>
      </c>
      <c r="CT9" s="9">
        <v>1.2281210000000001E-2</v>
      </c>
      <c r="CU9" s="9">
        <v>0.11681498</v>
      </c>
      <c r="CV9" s="9">
        <v>-3.1589000000000001E-3</v>
      </c>
      <c r="CW9" s="9">
        <v>3.8217760000000003E-2</v>
      </c>
      <c r="CX9" s="9">
        <v>0.13917409</v>
      </c>
      <c r="CY9" s="9">
        <v>-2.3712299999999999E-2</v>
      </c>
      <c r="CZ9" s="9">
        <v>0.21835291000000001</v>
      </c>
      <c r="DA9" s="9">
        <v>-5.7967400000000002E-2</v>
      </c>
      <c r="DB9" s="9">
        <v>-1.4104200000000001E-2</v>
      </c>
      <c r="DC9" s="9">
        <v>0.11395608</v>
      </c>
      <c r="DD9" s="9">
        <v>7.4472259999999998E-2</v>
      </c>
      <c r="DE9" s="9">
        <v>-8.9970000000000002E-4</v>
      </c>
      <c r="DF9" s="9">
        <v>9.7707000000000002E-4</v>
      </c>
      <c r="DG9" s="9">
        <v>-7.2980100000000006E-2</v>
      </c>
      <c r="DH9" s="9">
        <v>-2.38453E-2</v>
      </c>
      <c r="DI9" s="9">
        <v>-0.1015307</v>
      </c>
      <c r="DJ9" s="9">
        <v>2.7692540000000002E-2</v>
      </c>
      <c r="DK9" s="9">
        <v>-4.9335200000000003E-2</v>
      </c>
      <c r="DL9" s="9">
        <v>-5.6994000000000003E-3</v>
      </c>
      <c r="DM9" s="9">
        <v>-3.6981800000000002E-2</v>
      </c>
      <c r="DN9" s="9">
        <v>0.10981299</v>
      </c>
      <c r="DO9" s="9">
        <v>4.2036829999999997E-2</v>
      </c>
      <c r="DP9" s="9">
        <v>8.4566669999999997E-2</v>
      </c>
      <c r="DQ9" s="9">
        <v>-0.1102798</v>
      </c>
      <c r="DR9" s="9">
        <v>9.4328709999999996E-2</v>
      </c>
      <c r="DS9" s="9">
        <v>-7.1906899999999996E-2</v>
      </c>
      <c r="DT9" s="9">
        <v>-9.62364E-2</v>
      </c>
      <c r="DU9" s="9">
        <v>2.3455500000000001E-3</v>
      </c>
      <c r="DV9" s="9">
        <v>0.13401742</v>
      </c>
      <c r="DW9" s="9">
        <v>9.4732520000000001E-2</v>
      </c>
      <c r="DX9" s="9">
        <v>-0.1037732</v>
      </c>
      <c r="DY9" s="9">
        <v>7.576215E-2</v>
      </c>
      <c r="DZ9" s="9">
        <v>-3.1829700000000002E-2</v>
      </c>
      <c r="EA9" s="9">
        <v>0.16130802</v>
      </c>
      <c r="EB9" s="9">
        <v>1.0203530000000001E-2</v>
      </c>
      <c r="EC9" s="9">
        <v>7.3988429999999994E-2</v>
      </c>
      <c r="ED9" s="9">
        <v>-0.15737689999999999</v>
      </c>
      <c r="EE9" s="9">
        <v>7.9137550000000001E-2</v>
      </c>
      <c r="EF9" s="9">
        <v>7.2528549999999997E-2</v>
      </c>
      <c r="EG9" s="10">
        <f>CORREL([1]bm補值!EG$2:EG$972,[1]下個月月報酬補值!EG$2:EG$972)</f>
        <v>0.14231065676311483</v>
      </c>
    </row>
    <row r="10" spans="1:137" x14ac:dyDescent="0.3">
      <c r="B10" s="1" t="s">
        <v>138</v>
      </c>
      <c r="C10" s="9">
        <v>-0.24758869999999999</v>
      </c>
      <c r="D10" s="9">
        <v>-0.27469329999999997</v>
      </c>
      <c r="E10" s="9">
        <v>-8.4648399999999999E-2</v>
      </c>
      <c r="F10" s="9">
        <v>2.2644629999999999E-2</v>
      </c>
      <c r="G10" s="9">
        <v>-4.9680000000000002E-2</v>
      </c>
      <c r="H10" s="9">
        <v>-0.1007596</v>
      </c>
      <c r="I10" s="9">
        <v>-1.2522699999999999E-2</v>
      </c>
      <c r="J10" s="9">
        <v>7.8736539999999994E-2</v>
      </c>
      <c r="K10" s="9">
        <v>-3.4185100000000003E-2</v>
      </c>
      <c r="L10" s="9">
        <v>8.8406789999999999E-2</v>
      </c>
      <c r="M10" s="9">
        <v>-3.0634999999999998E-3</v>
      </c>
      <c r="N10" s="9">
        <v>-0.21221799999999999</v>
      </c>
      <c r="O10" s="9">
        <v>-3.6805400000000002E-2</v>
      </c>
      <c r="P10" s="9">
        <v>7.1033120000000005E-2</v>
      </c>
      <c r="Q10" s="9">
        <v>-7.1261099999999994E-2</v>
      </c>
      <c r="R10" s="9">
        <v>2.1560449999999998E-2</v>
      </c>
      <c r="S10" s="9">
        <v>0.10111125999999999</v>
      </c>
      <c r="T10" s="9">
        <v>4.3224730000000003E-2</v>
      </c>
      <c r="U10" s="9">
        <v>1.488195E-2</v>
      </c>
      <c r="V10" s="9">
        <v>6.3260199999999999E-3</v>
      </c>
      <c r="W10" s="9">
        <v>-0.14355299999999999</v>
      </c>
      <c r="X10" s="9">
        <v>-6.4282199999999998E-2</v>
      </c>
      <c r="Y10" s="9">
        <v>-1.9034200000000001E-2</v>
      </c>
      <c r="Z10" s="9">
        <v>-2.0644599999999999E-2</v>
      </c>
      <c r="AA10" s="9">
        <v>3.3059529999999997E-2</v>
      </c>
      <c r="AB10" s="9">
        <v>-1.94182E-2</v>
      </c>
      <c r="AC10" s="9">
        <v>-6.3126799999999997E-2</v>
      </c>
      <c r="AD10" s="9">
        <v>-6.5629699999999999E-2</v>
      </c>
      <c r="AE10" s="9">
        <v>0.13799568000000001</v>
      </c>
      <c r="AF10" s="9">
        <v>-0.1005679</v>
      </c>
      <c r="AG10" s="9">
        <v>-3.7969099999999999E-2</v>
      </c>
      <c r="AH10" s="9">
        <v>-4.5839499999999998E-2</v>
      </c>
      <c r="AI10" s="9">
        <v>-5.1034099999999999E-2</v>
      </c>
      <c r="AJ10" s="9">
        <v>-3.2204E-3</v>
      </c>
      <c r="AK10" s="9">
        <v>4.8952000000000002E-4</v>
      </c>
      <c r="AL10" s="9">
        <v>-0.10644670000000001</v>
      </c>
      <c r="AM10" s="9">
        <v>-1.3724E-2</v>
      </c>
      <c r="AN10" s="9">
        <v>-0.1219647</v>
      </c>
      <c r="AO10" s="9">
        <v>-4.85897E-2</v>
      </c>
      <c r="AP10" s="9">
        <v>-1.9032000000000001E-3</v>
      </c>
      <c r="AQ10" s="9">
        <v>2.9067490000000001E-2</v>
      </c>
      <c r="AR10" s="9">
        <v>5.2635769999999998E-2</v>
      </c>
      <c r="AS10" s="9">
        <v>-1.28933E-2</v>
      </c>
      <c r="AT10" s="9">
        <v>-2.1310999999999999E-3</v>
      </c>
      <c r="AU10" s="9">
        <v>-0.15538440000000001</v>
      </c>
      <c r="AV10" s="9">
        <v>1.268178E-2</v>
      </c>
      <c r="AW10" s="9">
        <v>-1.1942299999999999E-2</v>
      </c>
      <c r="AX10" s="9">
        <v>-4.2538000000000003E-3</v>
      </c>
      <c r="AY10" s="9">
        <v>2.930087E-2</v>
      </c>
      <c r="AZ10" s="9">
        <v>-0.13412750000000001</v>
      </c>
      <c r="BA10" s="9">
        <v>-0.1371115</v>
      </c>
      <c r="BB10" s="9">
        <v>1.7546599999999999E-3</v>
      </c>
      <c r="BC10" s="9">
        <v>2.511712E-2</v>
      </c>
      <c r="BD10" s="9">
        <v>-0.1196019</v>
      </c>
      <c r="BE10" s="9">
        <v>0.13576165000000001</v>
      </c>
      <c r="BF10" s="9">
        <v>4.7091170000000002E-2</v>
      </c>
      <c r="BG10" s="9">
        <v>-2.60501E-2</v>
      </c>
      <c r="BH10" s="9">
        <v>4.3752760000000002E-2</v>
      </c>
      <c r="BI10" s="9">
        <v>-8.13918E-2</v>
      </c>
      <c r="BJ10" s="9">
        <v>-0.1006008</v>
      </c>
      <c r="BK10" s="9">
        <v>9.0490070000000006E-2</v>
      </c>
      <c r="BL10" s="9">
        <v>-3.0898499999999999E-2</v>
      </c>
      <c r="BM10" s="9">
        <v>5.8814169999999999E-2</v>
      </c>
      <c r="BN10" s="9">
        <v>8.1345630000000002E-2</v>
      </c>
      <c r="BO10" s="9">
        <v>-7.7164E-3</v>
      </c>
      <c r="BP10" s="9">
        <v>0.10673487</v>
      </c>
      <c r="BQ10" s="9">
        <v>-2.7156300000000001E-2</v>
      </c>
      <c r="BR10" s="9">
        <v>-5.4431E-2</v>
      </c>
      <c r="BS10" s="9">
        <v>-6.8229300000000007E-2</v>
      </c>
      <c r="BT10" s="9">
        <v>9.861222E-2</v>
      </c>
      <c r="BU10" s="9">
        <v>0.12839854000000001</v>
      </c>
      <c r="BV10" s="9">
        <v>-7.84025E-2</v>
      </c>
      <c r="BW10" s="9">
        <v>-0.1191337</v>
      </c>
      <c r="BX10" s="9">
        <v>-4.6890099999999997E-2</v>
      </c>
      <c r="BY10" s="9">
        <v>0.10169835000000001</v>
      </c>
      <c r="BZ10" s="9">
        <v>-2.5680100000000001E-2</v>
      </c>
      <c r="CA10" s="9">
        <v>-8.3301799999999995E-2</v>
      </c>
      <c r="CB10" s="9">
        <v>-0.15782760000000001</v>
      </c>
      <c r="CC10" s="9">
        <v>-7.1052599999999994E-2</v>
      </c>
      <c r="CD10" s="9">
        <v>-7.3875499999999997E-2</v>
      </c>
      <c r="CE10" s="9">
        <v>-0.23678650000000001</v>
      </c>
      <c r="CF10" s="9">
        <v>3.2627709999999997E-2</v>
      </c>
      <c r="CG10" s="9">
        <v>1.342309E-2</v>
      </c>
      <c r="CH10" s="9">
        <v>-2.7967000000000001E-3</v>
      </c>
      <c r="CI10" s="9">
        <v>4.7925700000000002E-2</v>
      </c>
      <c r="CJ10" s="9">
        <v>-3.2520000000000001E-3</v>
      </c>
      <c r="CK10" s="9">
        <v>-7.5708200000000003E-2</v>
      </c>
      <c r="CL10" s="9">
        <v>-4.4397300000000001E-2</v>
      </c>
      <c r="CM10" s="9">
        <v>0.17898859</v>
      </c>
      <c r="CN10" s="9">
        <v>5.7994270000000001E-2</v>
      </c>
      <c r="CO10" s="9">
        <v>-0.13939019999999999</v>
      </c>
      <c r="CP10" s="9">
        <v>6.4714670000000002E-2</v>
      </c>
      <c r="CQ10" s="9">
        <v>-0.18118790000000001</v>
      </c>
      <c r="CR10" s="9">
        <v>-8.8633500000000004E-2</v>
      </c>
      <c r="CS10" s="9">
        <v>-2.5321799999999998E-2</v>
      </c>
      <c r="CT10" s="9">
        <v>-0.1130791</v>
      </c>
      <c r="CU10" s="9">
        <v>8.0959599999999993E-3</v>
      </c>
      <c r="CV10" s="9">
        <v>-4.5200200000000003E-2</v>
      </c>
      <c r="CW10" s="9">
        <v>-5.8941199999999999E-2</v>
      </c>
      <c r="CX10" s="9">
        <v>-0.1077283</v>
      </c>
      <c r="CY10" s="9">
        <v>-9.6503500000000006E-2</v>
      </c>
      <c r="CZ10" s="9">
        <v>-0.21035429999999999</v>
      </c>
      <c r="DA10" s="9">
        <v>-0.10996110000000001</v>
      </c>
      <c r="DB10" s="9">
        <v>-0.1908205</v>
      </c>
      <c r="DC10" s="9">
        <v>-2.0727300000000001E-2</v>
      </c>
      <c r="DD10" s="9">
        <v>8.7029090000000003E-2</v>
      </c>
      <c r="DE10" s="9">
        <v>8.2024589999999994E-2</v>
      </c>
      <c r="DF10" s="9">
        <v>-0.16687669999999999</v>
      </c>
      <c r="DG10" s="9">
        <v>0.22243809</v>
      </c>
      <c r="DH10" s="9">
        <v>-0.1442978</v>
      </c>
      <c r="DI10" s="9">
        <v>-0.1196199</v>
      </c>
      <c r="DJ10" s="9">
        <v>-0.1015928</v>
      </c>
      <c r="DK10" s="9">
        <v>9.2855060000000003E-2</v>
      </c>
      <c r="DL10" s="9">
        <v>-4.2630500000000002E-2</v>
      </c>
      <c r="DM10" s="9">
        <v>8.2732070000000005E-2</v>
      </c>
      <c r="DN10" s="9">
        <v>-3.1049500000000001E-2</v>
      </c>
      <c r="DO10" s="9">
        <v>-9.8141999999999993E-2</v>
      </c>
      <c r="DP10" s="9">
        <v>-0.13058890000000001</v>
      </c>
      <c r="DQ10" s="9">
        <v>4.865572E-2</v>
      </c>
      <c r="DR10" s="9">
        <v>-3.9251899999999999E-2</v>
      </c>
      <c r="DS10" s="9">
        <v>-0.16103020000000001</v>
      </c>
      <c r="DT10" s="9">
        <v>-7.8883999999999996E-2</v>
      </c>
      <c r="DU10" s="9">
        <v>0.16407715</v>
      </c>
      <c r="DV10" s="9">
        <v>7.5052599999999997E-3</v>
      </c>
      <c r="DW10" s="9">
        <v>-0.1016452</v>
      </c>
      <c r="DX10" s="9">
        <v>-5.6040300000000001E-2</v>
      </c>
      <c r="DY10" s="9">
        <v>-0.10665669999999999</v>
      </c>
      <c r="DZ10" s="9">
        <v>-6.9186600000000001E-2</v>
      </c>
      <c r="EA10" s="9">
        <v>-0.12618869999999999</v>
      </c>
      <c r="EB10" s="9">
        <v>-6.4737100000000006E-2</v>
      </c>
      <c r="EC10" s="9">
        <v>5.1426090000000001E-2</v>
      </c>
      <c r="ED10" s="9">
        <v>3.4496730000000003E-2</v>
      </c>
      <c r="EE10" s="9">
        <v>0.1576776</v>
      </c>
      <c r="EF10" s="9">
        <v>-0.12717999999999999</v>
      </c>
      <c r="EG10" s="10">
        <f>CORREL([2]size補值!EG$2:EG$965,[2]下個月月報酬補值!EG$2:EG$965)</f>
        <v>-0.15895948868776608</v>
      </c>
    </row>
    <row r="11" spans="1:137" x14ac:dyDescent="0.3">
      <c r="B11" s="1" t="s">
        <v>139</v>
      </c>
      <c r="C11" s="9">
        <v>-5.4239999999999997E-2</v>
      </c>
      <c r="D11" s="9">
        <v>4.5377000000000001E-2</v>
      </c>
      <c r="E11" s="9">
        <v>-1.7749999999999998E-2</v>
      </c>
      <c r="F11" s="9">
        <v>-8.7690000000000004E-2</v>
      </c>
      <c r="G11" s="9">
        <v>0.102759</v>
      </c>
      <c r="H11" s="9">
        <v>2.5110000000000002E-3</v>
      </c>
      <c r="I11" s="9">
        <v>-1.83E-2</v>
      </c>
      <c r="J11" s="9">
        <v>2.2110999999999999E-2</v>
      </c>
      <c r="K11" s="9">
        <v>7.7257999999999993E-2</v>
      </c>
      <c r="L11" s="9">
        <v>9.3439999999999999E-3</v>
      </c>
      <c r="M11" s="9">
        <v>5.3601999999999997E-2</v>
      </c>
      <c r="N11" s="9">
        <v>-6.7879999999999996E-2</v>
      </c>
      <c r="O11" s="9">
        <v>6.4930000000000002E-2</v>
      </c>
      <c r="P11" s="9">
        <v>4.8809999999999999E-3</v>
      </c>
      <c r="Q11" s="9">
        <v>1.9198E-2</v>
      </c>
      <c r="R11" s="9">
        <v>-5.47E-3</v>
      </c>
      <c r="S11" s="9">
        <v>3.6551E-2</v>
      </c>
      <c r="T11" s="9">
        <v>0.12918499999999999</v>
      </c>
      <c r="U11" s="9">
        <v>1.3691999999999999E-2</v>
      </c>
      <c r="V11" s="9">
        <v>1.5295E-2</v>
      </c>
      <c r="W11" s="9">
        <v>-0.10469000000000001</v>
      </c>
      <c r="X11" s="9">
        <v>-0.29385</v>
      </c>
      <c r="Y11" s="9">
        <v>5.9212000000000001E-2</v>
      </c>
      <c r="Z11" s="9">
        <v>-0.18495</v>
      </c>
      <c r="AA11" s="9">
        <v>9.8247000000000001E-2</v>
      </c>
      <c r="AB11" s="9">
        <v>-6.6E-4</v>
      </c>
      <c r="AC11" s="9">
        <v>-0.10369</v>
      </c>
      <c r="AD11" s="9">
        <v>3.545E-3</v>
      </c>
      <c r="AE11" s="9">
        <v>0.17560100000000001</v>
      </c>
      <c r="AF11" s="9">
        <v>-0.15503</v>
      </c>
      <c r="AG11" s="9">
        <v>-2.6329999999999999E-2</v>
      </c>
      <c r="AH11" s="9">
        <v>-5.0000000000000001E-3</v>
      </c>
      <c r="AI11" s="9">
        <v>2.8067999999999999E-2</v>
      </c>
      <c r="AJ11" s="9">
        <v>-2.2380000000000001E-2</v>
      </c>
      <c r="AK11" s="9">
        <v>-4.7019999999999999E-2</v>
      </c>
      <c r="AL11" s="9">
        <v>-0.10156</v>
      </c>
      <c r="AM11" s="9">
        <v>2.3525000000000001E-2</v>
      </c>
      <c r="AN11" s="9">
        <v>5.2525000000000002E-2</v>
      </c>
      <c r="AO11" s="9">
        <v>5.8502999999999999E-2</v>
      </c>
      <c r="AP11" s="9">
        <v>3.3446999999999998E-2</v>
      </c>
      <c r="AQ11" s="9">
        <v>1.43E-2</v>
      </c>
      <c r="AR11" s="9">
        <v>3.5903999999999998E-2</v>
      </c>
      <c r="AS11" s="9">
        <v>3.9781999999999998E-2</v>
      </c>
      <c r="AT11" s="9">
        <v>0.148456</v>
      </c>
      <c r="AU11" s="9">
        <v>-4.079E-2</v>
      </c>
      <c r="AV11" s="9">
        <v>0.138959</v>
      </c>
      <c r="AW11" s="9">
        <v>5.9863E-2</v>
      </c>
      <c r="AX11" s="9">
        <v>-0.14979000000000001</v>
      </c>
      <c r="AY11" s="9">
        <v>6.1595999999999998E-2</v>
      </c>
      <c r="AZ11" s="9">
        <v>-6.1949999999999998E-2</v>
      </c>
      <c r="BA11" s="9">
        <v>-2.3900000000000002E-3</v>
      </c>
      <c r="BB11" s="9">
        <v>-0.14887</v>
      </c>
      <c r="BC11" s="9">
        <v>6.0351000000000002E-2</v>
      </c>
      <c r="BD11" s="9">
        <v>-1.469E-2</v>
      </c>
      <c r="BE11" s="9">
        <v>-0.14652000000000001</v>
      </c>
      <c r="BF11" s="9">
        <v>-0.20876</v>
      </c>
      <c r="BG11" s="9">
        <v>-0.20144000000000001</v>
      </c>
      <c r="BH11" s="9">
        <v>-0.11805</v>
      </c>
      <c r="BI11" s="9">
        <v>-7.7030000000000001E-2</v>
      </c>
      <c r="BJ11" s="9">
        <v>-3.6220000000000002E-2</v>
      </c>
      <c r="BK11" s="9">
        <v>-1.891E-2</v>
      </c>
      <c r="BL11" s="9">
        <v>-0.17126</v>
      </c>
      <c r="BM11" s="9">
        <v>0.13291700000000001</v>
      </c>
      <c r="BN11" s="9">
        <v>-3.5909999999999997E-2</v>
      </c>
      <c r="BO11" s="9">
        <v>2.1344999999999999E-2</v>
      </c>
      <c r="BP11" s="9">
        <v>4.9634999999999999E-2</v>
      </c>
      <c r="BQ11" s="9">
        <v>-1.721E-2</v>
      </c>
      <c r="BR11" s="9">
        <v>0.189827</v>
      </c>
      <c r="BS11" s="9">
        <v>-9.7610000000000002E-2</v>
      </c>
      <c r="BT11" s="9">
        <v>3.7830999999999997E-2</v>
      </c>
      <c r="BU11" s="9">
        <v>5.6008000000000002E-2</v>
      </c>
      <c r="BV11" s="9">
        <v>-0.11674</v>
      </c>
      <c r="BW11" s="9">
        <v>-0.14132</v>
      </c>
      <c r="BX11" s="9">
        <v>-3.3800000000000002E-3</v>
      </c>
      <c r="BY11" s="9">
        <v>0.13033600000000001</v>
      </c>
      <c r="BZ11" s="9">
        <v>3.1697999999999997E-2</v>
      </c>
      <c r="CA11" s="9">
        <v>4.0555000000000001E-2</v>
      </c>
      <c r="CB11" s="9">
        <v>-4.2040000000000001E-2</v>
      </c>
      <c r="CC11" s="9">
        <v>5.0014000000000003E-2</v>
      </c>
      <c r="CD11" s="9">
        <v>-6.8459999999999993E-2</v>
      </c>
      <c r="CE11" s="9">
        <v>-8.0829999999999999E-2</v>
      </c>
      <c r="CF11" s="9">
        <v>-1.9499999999999999E-3</v>
      </c>
      <c r="CG11" s="9">
        <v>-0.11821</v>
      </c>
      <c r="CH11" s="9">
        <v>-3.6720000000000003E-2</v>
      </c>
      <c r="CI11" s="9">
        <v>-8.3330000000000001E-2</v>
      </c>
      <c r="CJ11" s="9">
        <v>0.23067299999999999</v>
      </c>
      <c r="CK11" s="9">
        <v>0.13277900000000001</v>
      </c>
      <c r="CL11" s="9">
        <v>0.141287</v>
      </c>
      <c r="CM11" s="9">
        <v>-0.11269</v>
      </c>
      <c r="CN11" s="9">
        <v>0.22348899999999999</v>
      </c>
      <c r="CO11" s="9">
        <v>-0.10442</v>
      </c>
      <c r="CP11" s="9">
        <v>-1.443E-2</v>
      </c>
      <c r="CQ11" s="9">
        <v>-0.20723</v>
      </c>
      <c r="CR11" s="9">
        <v>-0.13486000000000001</v>
      </c>
      <c r="CS11" s="9">
        <v>7.3008000000000003E-2</v>
      </c>
      <c r="CT11" s="9">
        <v>-3.022E-2</v>
      </c>
      <c r="CU11" s="9">
        <v>-0.28688999999999998</v>
      </c>
      <c r="CV11" s="9">
        <v>0.23073099999999999</v>
      </c>
      <c r="CW11" s="9">
        <v>9.1076000000000004E-2</v>
      </c>
      <c r="CX11" s="9">
        <v>-0.12249</v>
      </c>
      <c r="CY11" s="9">
        <v>7.8381999999999993E-2</v>
      </c>
      <c r="CZ11" s="9">
        <v>-4.5949999999999998E-2</v>
      </c>
      <c r="DA11" s="9">
        <v>8.2669999999999993E-2</v>
      </c>
      <c r="DB11" s="9">
        <v>0.14934900000000001</v>
      </c>
      <c r="DC11" s="9">
        <v>-4.7800000000000002E-2</v>
      </c>
      <c r="DD11" s="9">
        <v>-0.16450999999999999</v>
      </c>
      <c r="DE11" s="9">
        <v>-0.11057</v>
      </c>
      <c r="DF11" s="9">
        <v>5.7417000000000003E-2</v>
      </c>
      <c r="DG11" s="9">
        <v>-0.21489</v>
      </c>
      <c r="DH11" s="9">
        <v>6.2996999999999997E-2</v>
      </c>
      <c r="DI11" s="9">
        <v>6.7721000000000003E-2</v>
      </c>
      <c r="DJ11" s="9">
        <v>0.118802</v>
      </c>
      <c r="DK11" s="9">
        <v>7.2830000000000004E-3</v>
      </c>
      <c r="DL11" s="9">
        <v>7.1320999999999996E-2</v>
      </c>
      <c r="DM11" s="9">
        <v>2.1021999999999999E-2</v>
      </c>
      <c r="DN11" s="9">
        <v>-3.04E-2</v>
      </c>
      <c r="DO11" s="9">
        <v>-9.6949999999999995E-2</v>
      </c>
      <c r="DP11" s="9">
        <v>-0.23068</v>
      </c>
      <c r="DQ11" s="9">
        <v>0.23818400000000001</v>
      </c>
      <c r="DR11" s="9">
        <v>3.5750000000000001E-3</v>
      </c>
      <c r="DS11" s="9">
        <v>0.13395599999999999</v>
      </c>
      <c r="DT11" s="9">
        <v>0.115106</v>
      </c>
      <c r="DU11" s="9">
        <v>0.10408000000000001</v>
      </c>
      <c r="DV11" s="9">
        <v>-5.4609999999999999E-2</v>
      </c>
      <c r="DW11" s="9">
        <v>-3.329E-2</v>
      </c>
      <c r="DX11" s="9">
        <v>5.5094999999999998E-2</v>
      </c>
      <c r="DY11" s="9">
        <v>6.8793999999999994E-2</v>
      </c>
      <c r="DZ11" s="9">
        <v>1.4481000000000001E-2</v>
      </c>
      <c r="EA11" s="9">
        <v>-0.29314000000000001</v>
      </c>
      <c r="EB11" s="9">
        <v>-0.14097999999999999</v>
      </c>
      <c r="EC11" s="9">
        <v>-1.221E-2</v>
      </c>
      <c r="ED11" s="9">
        <v>5.8167999999999997E-2</v>
      </c>
      <c r="EE11" s="9">
        <v>-0.1444</v>
      </c>
      <c r="EF11" s="9">
        <v>-9.7009999999999999E-2</v>
      </c>
      <c r="EG11" s="10"/>
    </row>
    <row r="13" spans="1:137" x14ac:dyDescent="0.3">
      <c r="A13" t="s">
        <v>166</v>
      </c>
      <c r="B13" s="1" t="s">
        <v>137</v>
      </c>
      <c r="C13" s="7">
        <f t="shared" ref="C13:AH13" si="0">(C3-C9)^2</f>
        <v>5.1996813799186142E-3</v>
      </c>
      <c r="D13" s="7">
        <f t="shared" si="0"/>
        <v>3.5048473353152922E-4</v>
      </c>
      <c r="E13" s="7">
        <f t="shared" si="0"/>
        <v>2.6600877303294369E-3</v>
      </c>
      <c r="F13" s="7">
        <f t="shared" si="0"/>
        <v>4.4942230431208193E-4</v>
      </c>
      <c r="G13" s="7">
        <f t="shared" si="0"/>
        <v>5.2780517845682137E-4</v>
      </c>
      <c r="H13" s="7">
        <f t="shared" si="0"/>
        <v>4.249333666010586E-4</v>
      </c>
      <c r="I13" s="7">
        <f t="shared" si="0"/>
        <v>2.5272237243023361E-2</v>
      </c>
      <c r="J13" s="7">
        <f t="shared" si="0"/>
        <v>7.9512695322386199E-3</v>
      </c>
      <c r="K13" s="7">
        <f t="shared" si="0"/>
        <v>3.6928597738125064E-3</v>
      </c>
      <c r="L13" s="7">
        <f t="shared" si="0"/>
        <v>2.9249135631848184E-5</v>
      </c>
      <c r="M13" s="7">
        <f t="shared" si="0"/>
        <v>2.8867091128506918E-3</v>
      </c>
      <c r="N13" s="7">
        <f t="shared" si="0"/>
        <v>1.3977069901561058E-2</v>
      </c>
      <c r="O13" s="7">
        <f t="shared" si="0"/>
        <v>3.448408774114424E-4</v>
      </c>
      <c r="P13" s="7">
        <f t="shared" si="0"/>
        <v>1.562630280277811E-2</v>
      </c>
      <c r="Q13" s="7">
        <f t="shared" si="0"/>
        <v>1.1344877534616517E-2</v>
      </c>
      <c r="R13" s="7">
        <f t="shared" si="0"/>
        <v>8.0105680235926418E-4</v>
      </c>
      <c r="S13" s="7">
        <f t="shared" si="0"/>
        <v>2.3602098852003491E-2</v>
      </c>
      <c r="T13" s="7">
        <f t="shared" si="0"/>
        <v>2.0071558564657716E-2</v>
      </c>
      <c r="U13" s="7">
        <f t="shared" si="0"/>
        <v>2.9067309283588561E-3</v>
      </c>
      <c r="V13" s="7">
        <f t="shared" si="0"/>
        <v>3.1528946158744038E-3</v>
      </c>
      <c r="W13" s="7">
        <f t="shared" si="0"/>
        <v>1.4611448880293581E-3</v>
      </c>
      <c r="X13" s="7">
        <f t="shared" si="0"/>
        <v>1.0806339754763725E-2</v>
      </c>
      <c r="Y13" s="7">
        <f t="shared" si="0"/>
        <v>2.6616697436949232E-2</v>
      </c>
      <c r="Z13" s="7">
        <f t="shared" si="0"/>
        <v>2.8175668770913827E-2</v>
      </c>
      <c r="AA13" s="7">
        <f t="shared" si="0"/>
        <v>1.3102288161996168E-2</v>
      </c>
      <c r="AB13" s="7">
        <f t="shared" si="0"/>
        <v>2.0079851069904871E-3</v>
      </c>
      <c r="AC13" s="7">
        <f t="shared" si="0"/>
        <v>4.738049785213477E-3</v>
      </c>
      <c r="AD13" s="7">
        <f t="shared" si="0"/>
        <v>3.3714592500825533E-4</v>
      </c>
      <c r="AE13" s="7">
        <f t="shared" si="0"/>
        <v>3.4651304458888248E-2</v>
      </c>
      <c r="AF13" s="7">
        <f t="shared" si="0"/>
        <v>2.1281899312767453E-3</v>
      </c>
      <c r="AG13" s="7">
        <f t="shared" si="0"/>
        <v>1.106735265388672E-2</v>
      </c>
      <c r="AH13" s="7">
        <f t="shared" si="0"/>
        <v>6.9508830453818516E-3</v>
      </c>
      <c r="AI13" s="7">
        <f t="shared" ref="AI13:BN13" si="1">(AI3-AI9)^2</f>
        <v>1.428190816057953E-5</v>
      </c>
      <c r="AJ13" s="7">
        <f t="shared" si="1"/>
        <v>6.319946996907329E-5</v>
      </c>
      <c r="AK13" s="7">
        <f t="shared" si="1"/>
        <v>1.0627051012025795E-2</v>
      </c>
      <c r="AL13" s="7">
        <f t="shared" si="1"/>
        <v>5.6636500009581251E-6</v>
      </c>
      <c r="AM13" s="7">
        <f t="shared" si="1"/>
        <v>8.4577683009452887E-3</v>
      </c>
      <c r="AN13" s="7">
        <f t="shared" si="1"/>
        <v>2.9134850613342721E-2</v>
      </c>
      <c r="AO13" s="7">
        <f t="shared" si="1"/>
        <v>5.5690117600416585E-3</v>
      </c>
      <c r="AP13" s="7">
        <f t="shared" si="1"/>
        <v>3.4772888090034586E-2</v>
      </c>
      <c r="AQ13" s="7">
        <f t="shared" si="1"/>
        <v>3.3242821077860275E-3</v>
      </c>
      <c r="AR13" s="7">
        <f t="shared" si="1"/>
        <v>1.6336343510028715E-4</v>
      </c>
      <c r="AS13" s="7">
        <f t="shared" si="1"/>
        <v>3.5942871483349788E-5</v>
      </c>
      <c r="AT13" s="7">
        <f t="shared" si="1"/>
        <v>1.6021175433399901E-3</v>
      </c>
      <c r="AU13" s="7">
        <f t="shared" si="1"/>
        <v>1.9156406625396089E-4</v>
      </c>
      <c r="AV13" s="7">
        <f t="shared" si="1"/>
        <v>1.1081404926974067E-2</v>
      </c>
      <c r="AW13" s="7">
        <f t="shared" si="1"/>
        <v>2.879489779995489E-6</v>
      </c>
      <c r="AX13" s="7">
        <f t="shared" si="1"/>
        <v>8.7796166595132258E-3</v>
      </c>
      <c r="AY13" s="7">
        <f t="shared" si="1"/>
        <v>1.9807650166994363E-3</v>
      </c>
      <c r="AZ13" s="7">
        <f t="shared" si="1"/>
        <v>3.1593314819808047E-3</v>
      </c>
      <c r="BA13" s="7">
        <f t="shared" si="1"/>
        <v>9.3503798071668137E-4</v>
      </c>
      <c r="BB13" s="7">
        <f t="shared" si="1"/>
        <v>4.4450052281279333E-3</v>
      </c>
      <c r="BC13" s="7">
        <f t="shared" si="1"/>
        <v>5.7681700020622434E-5</v>
      </c>
      <c r="BD13" s="7">
        <f t="shared" si="1"/>
        <v>5.1701448172159718E-4</v>
      </c>
      <c r="BE13" s="7">
        <f t="shared" si="1"/>
        <v>1.3359609029332763E-3</v>
      </c>
      <c r="BF13" s="7">
        <f t="shared" si="1"/>
        <v>1.6545875574042614E-2</v>
      </c>
      <c r="BG13" s="7">
        <f t="shared" si="1"/>
        <v>1.3947679273956598E-2</v>
      </c>
      <c r="BH13" s="7">
        <f t="shared" si="1"/>
        <v>2.5353844699813971E-4</v>
      </c>
      <c r="BI13" s="7">
        <f t="shared" si="1"/>
        <v>3.0608345589578528E-3</v>
      </c>
      <c r="BJ13" s="7">
        <f t="shared" si="1"/>
        <v>9.1144456194463958E-3</v>
      </c>
      <c r="BK13" s="7">
        <f t="shared" si="1"/>
        <v>1.5331565763291767E-2</v>
      </c>
      <c r="BL13" s="7">
        <f t="shared" si="1"/>
        <v>3.3934770021981134E-3</v>
      </c>
      <c r="BM13" s="7">
        <f t="shared" si="1"/>
        <v>3.5879726004166956E-3</v>
      </c>
      <c r="BN13" s="7">
        <f t="shared" si="1"/>
        <v>2.3059722750382752E-4</v>
      </c>
      <c r="BO13" s="7">
        <f t="shared" ref="BO13:CT13" si="2">(BO3-BO9)^2</f>
        <v>2.5768196525653136E-3</v>
      </c>
      <c r="BP13" s="7">
        <f t="shared" si="2"/>
        <v>2.7993127472971347E-3</v>
      </c>
      <c r="BQ13" s="7">
        <f t="shared" si="2"/>
        <v>1.1465619014837207E-3</v>
      </c>
      <c r="BR13" s="7">
        <f t="shared" si="2"/>
        <v>1.1036800119850543E-3</v>
      </c>
      <c r="BS13" s="7">
        <f t="shared" si="2"/>
        <v>1.5054362677075022E-3</v>
      </c>
      <c r="BT13" s="7">
        <f t="shared" si="2"/>
        <v>4.2676104531932104E-5</v>
      </c>
      <c r="BU13" s="7">
        <f t="shared" si="2"/>
        <v>2.3796622565370565E-4</v>
      </c>
      <c r="BV13" s="7">
        <f t="shared" si="2"/>
        <v>3.9841213406552863E-3</v>
      </c>
      <c r="BW13" s="7">
        <f t="shared" si="2"/>
        <v>3.7909276846222169E-3</v>
      </c>
      <c r="BX13" s="7">
        <f t="shared" si="2"/>
        <v>4.5677820231987691E-4</v>
      </c>
      <c r="BY13" s="7">
        <f t="shared" si="2"/>
        <v>9.6909135501075435E-3</v>
      </c>
      <c r="BZ13" s="7">
        <f t="shared" si="2"/>
        <v>6.8683719042463651E-3</v>
      </c>
      <c r="CA13" s="7">
        <f t="shared" si="2"/>
        <v>2.0928499826830992E-2</v>
      </c>
      <c r="CB13" s="7">
        <f t="shared" si="2"/>
        <v>1.7510532472383292E-4</v>
      </c>
      <c r="CC13" s="7">
        <f t="shared" si="2"/>
        <v>1.5637797193320884E-3</v>
      </c>
      <c r="CD13" s="7">
        <f t="shared" si="2"/>
        <v>3.2611169702490374E-2</v>
      </c>
      <c r="CE13" s="7">
        <f t="shared" si="2"/>
        <v>1.0921771147353616E-3</v>
      </c>
      <c r="CF13" s="7">
        <f t="shared" si="2"/>
        <v>1.607519380586402E-3</v>
      </c>
      <c r="CG13" s="7">
        <f t="shared" si="2"/>
        <v>4.5452983652325089E-3</v>
      </c>
      <c r="CH13" s="7">
        <f t="shared" si="2"/>
        <v>9.0464292745178303E-3</v>
      </c>
      <c r="CI13" s="7">
        <f t="shared" si="2"/>
        <v>1.7633516937132464E-2</v>
      </c>
      <c r="CJ13" s="7">
        <f t="shared" si="2"/>
        <v>4.2565052483562545E-4</v>
      </c>
      <c r="CK13" s="7">
        <f t="shared" si="2"/>
        <v>5.0056536403316875E-4</v>
      </c>
      <c r="CL13" s="7">
        <f t="shared" si="2"/>
        <v>5.1810792684756642E-2</v>
      </c>
      <c r="CM13" s="7">
        <f t="shared" si="2"/>
        <v>2.7062304443338427E-3</v>
      </c>
      <c r="CN13" s="7">
        <f t="shared" si="2"/>
        <v>4.6288709683154905E-3</v>
      </c>
      <c r="CO13" s="7">
        <f t="shared" si="2"/>
        <v>3.6334553157072571E-3</v>
      </c>
      <c r="CP13" s="7">
        <f t="shared" si="2"/>
        <v>8.5928775877290899E-3</v>
      </c>
      <c r="CQ13" s="7">
        <f t="shared" si="2"/>
        <v>1.8951644038637271E-2</v>
      </c>
      <c r="CR13" s="7">
        <f t="shared" si="2"/>
        <v>8.9759144062833047E-4</v>
      </c>
      <c r="CS13" s="7">
        <f t="shared" si="2"/>
        <v>3.1224240084575558E-3</v>
      </c>
      <c r="CT13" s="7">
        <f t="shared" si="2"/>
        <v>8.2317106091032662E-4</v>
      </c>
      <c r="CU13" s="7">
        <f t="shared" ref="CU13:DZ13" si="3">(CU3-CU9)^2</f>
        <v>6.0641428859623484E-3</v>
      </c>
      <c r="CV13" s="7">
        <f t="shared" si="3"/>
        <v>2.1320290874023056E-3</v>
      </c>
      <c r="CW13" s="7">
        <f t="shared" si="3"/>
        <v>2.2166447811572091E-6</v>
      </c>
      <c r="CX13" s="7">
        <f t="shared" si="3"/>
        <v>1.0000613438025059E-2</v>
      </c>
      <c r="CY13" s="7">
        <f t="shared" si="3"/>
        <v>3.4401902182973122E-3</v>
      </c>
      <c r="CZ13" s="7">
        <f t="shared" si="3"/>
        <v>3.3242797906358999E-2</v>
      </c>
      <c r="DA13" s="7">
        <f t="shared" si="3"/>
        <v>1.0501524901709282E-2</v>
      </c>
      <c r="DB13" s="7">
        <f t="shared" si="3"/>
        <v>2.8544547184288158E-3</v>
      </c>
      <c r="DC13" s="7">
        <f t="shared" si="3"/>
        <v>5.7794473643209806E-3</v>
      </c>
      <c r="DD13" s="7">
        <f t="shared" si="3"/>
        <v>1.2529659470906641E-3</v>
      </c>
      <c r="DE13" s="7">
        <f t="shared" si="3"/>
        <v>1.8398674641594676E-3</v>
      </c>
      <c r="DF13" s="7">
        <f t="shared" si="3"/>
        <v>1.6800389933388728E-3</v>
      </c>
      <c r="DG13" s="7">
        <f t="shared" si="3"/>
        <v>1.2851021218355229E-2</v>
      </c>
      <c r="DH13" s="7">
        <f t="shared" si="3"/>
        <v>3.676304924673184E-3</v>
      </c>
      <c r="DI13" s="7">
        <f t="shared" si="3"/>
        <v>1.9156903334821073E-2</v>
      </c>
      <c r="DJ13" s="7">
        <f t="shared" si="3"/>
        <v>3.5874753230731818E-5</v>
      </c>
      <c r="DK13" s="7">
        <f t="shared" si="3"/>
        <v>7.3739390789208901E-3</v>
      </c>
      <c r="DL13" s="7">
        <f t="shared" si="3"/>
        <v>1.3860696400704781E-3</v>
      </c>
      <c r="DM13" s="7">
        <f t="shared" si="3"/>
        <v>4.3091396783038272E-3</v>
      </c>
      <c r="DN13" s="7">
        <f t="shared" si="3"/>
        <v>6.2359839943271003E-3</v>
      </c>
      <c r="DO13" s="7">
        <f t="shared" si="3"/>
        <v>6.9914120169814009E-5</v>
      </c>
      <c r="DP13" s="7">
        <f t="shared" si="3"/>
        <v>2.4467360170529044E-3</v>
      </c>
      <c r="DQ13" s="7">
        <f t="shared" si="3"/>
        <v>2.1605474223694927E-2</v>
      </c>
      <c r="DR13" s="7">
        <f t="shared" si="3"/>
        <v>3.6257605275531149E-3</v>
      </c>
      <c r="DS13" s="7">
        <f t="shared" si="3"/>
        <v>1.1798914078723773E-2</v>
      </c>
      <c r="DT13" s="7">
        <f t="shared" si="3"/>
        <v>1.7177890780536317E-2</v>
      </c>
      <c r="DU13" s="7">
        <f t="shared" si="3"/>
        <v>4.4184154618383183E-4</v>
      </c>
      <c r="DV13" s="7">
        <f t="shared" si="3"/>
        <v>1.1832322834727068E-2</v>
      </c>
      <c r="DW13" s="7">
        <f t="shared" si="3"/>
        <v>3.5489801359718095E-3</v>
      </c>
      <c r="DX13" s="7">
        <f t="shared" si="3"/>
        <v>1.8517266719152714E-2</v>
      </c>
      <c r="DY13" s="7">
        <f t="shared" si="3"/>
        <v>2.7566629698304542E-3</v>
      </c>
      <c r="DZ13" s="7">
        <f t="shared" si="3"/>
        <v>3.616633400846986E-3</v>
      </c>
      <c r="EA13" s="7">
        <f t="shared" ref="EA13:EG13" si="4">(EA3-EA9)^2</f>
        <v>1.6876789500486301E-2</v>
      </c>
      <c r="EB13" s="7">
        <f t="shared" si="4"/>
        <v>7.3047400107600425E-4</v>
      </c>
      <c r="EC13" s="7">
        <f t="shared" si="4"/>
        <v>1.6517997946211668E-3</v>
      </c>
      <c r="ED13" s="7">
        <f t="shared" si="4"/>
        <v>3.6696590205193523E-2</v>
      </c>
      <c r="EE13" s="7">
        <f t="shared" si="4"/>
        <v>2.926419672873294E-3</v>
      </c>
      <c r="EF13" s="7">
        <f t="shared" si="4"/>
        <v>1.4751064845341983E-3</v>
      </c>
      <c r="EG13" s="7">
        <f t="shared" si="4"/>
        <v>2.0252323028349079E-2</v>
      </c>
    </row>
    <row r="14" spans="1:137" x14ac:dyDescent="0.3">
      <c r="B14" s="1" t="s">
        <v>138</v>
      </c>
      <c r="C14" s="7">
        <f t="shared" ref="C14:AH14" si="5">(C4-C10)^2</f>
        <v>3.9175644269373755E-2</v>
      </c>
      <c r="D14" s="7">
        <f t="shared" si="5"/>
        <v>4.4200790352970531E-2</v>
      </c>
      <c r="E14" s="7">
        <f t="shared" si="5"/>
        <v>1.2446813427734085E-4</v>
      </c>
      <c r="F14" s="7">
        <f t="shared" si="5"/>
        <v>9.8682128065271171E-3</v>
      </c>
      <c r="G14" s="7">
        <f t="shared" si="5"/>
        <v>5.3660238871035932E-4</v>
      </c>
      <c r="H14" s="7">
        <f t="shared" si="5"/>
        <v>4.4366190268049083E-3</v>
      </c>
      <c r="I14" s="7">
        <f t="shared" si="5"/>
        <v>1.1335483371339697E-3</v>
      </c>
      <c r="J14" s="7">
        <f t="shared" si="5"/>
        <v>1.5603732868216454E-2</v>
      </c>
      <c r="K14" s="7">
        <f t="shared" si="5"/>
        <v>1.3798751794180235E-4</v>
      </c>
      <c r="L14" s="7">
        <f t="shared" si="5"/>
        <v>1.6697441339335817E-2</v>
      </c>
      <c r="M14" s="7">
        <f t="shared" si="5"/>
        <v>2.4556899043494618E-4</v>
      </c>
      <c r="N14" s="7">
        <f t="shared" si="5"/>
        <v>3.1112308791386926E-2</v>
      </c>
      <c r="O14" s="7">
        <f t="shared" si="5"/>
        <v>4.0874572462974864E-4</v>
      </c>
      <c r="P14" s="7">
        <f t="shared" si="5"/>
        <v>1.2881283911286994E-2</v>
      </c>
      <c r="Q14" s="7">
        <f t="shared" si="5"/>
        <v>1.121503823372956E-3</v>
      </c>
      <c r="R14" s="7">
        <f t="shared" si="5"/>
        <v>2.5188965042704558E-3</v>
      </c>
      <c r="S14" s="7">
        <f t="shared" si="5"/>
        <v>1.745279291590799E-2</v>
      </c>
      <c r="T14" s="7">
        <f t="shared" si="5"/>
        <v>2.4928798988249315E-3</v>
      </c>
      <c r="U14" s="7">
        <f t="shared" si="5"/>
        <v>2.7919212143956646E-3</v>
      </c>
      <c r="V14" s="7">
        <f t="shared" si="5"/>
        <v>1.2836474638295895E-3</v>
      </c>
      <c r="W14" s="7">
        <f t="shared" si="5"/>
        <v>1.0467287615892816E-2</v>
      </c>
      <c r="X14" s="7">
        <f t="shared" si="5"/>
        <v>9.6017843416955958E-5</v>
      </c>
      <c r="Y14" s="7">
        <f t="shared" si="5"/>
        <v>1.4699466732228318E-3</v>
      </c>
      <c r="Z14" s="7">
        <f t="shared" si="5"/>
        <v>8.9902372187629842E-4</v>
      </c>
      <c r="AA14" s="7">
        <f t="shared" si="5"/>
        <v>5.6820194858651545E-3</v>
      </c>
      <c r="AB14" s="7">
        <f t="shared" si="5"/>
        <v>2.2068825013907807E-4</v>
      </c>
      <c r="AC14" s="7">
        <f t="shared" si="5"/>
        <v>6.0868334489718769E-4</v>
      </c>
      <c r="AD14" s="7">
        <f t="shared" si="5"/>
        <v>1.0907460839452304E-3</v>
      </c>
      <c r="AE14" s="7">
        <f t="shared" si="5"/>
        <v>2.9856599119717348E-2</v>
      </c>
      <c r="AF14" s="7">
        <f t="shared" si="5"/>
        <v>9.7868536792326041E-3</v>
      </c>
      <c r="AG14" s="7">
        <f t="shared" si="5"/>
        <v>3.2832331170464627E-5</v>
      </c>
      <c r="AH14" s="7">
        <f t="shared" si="5"/>
        <v>4.0588321407821138E-4</v>
      </c>
      <c r="AI14" s="7">
        <f t="shared" ref="AI14:BN14" si="6">(AI4-AI10)^2</f>
        <v>4.3870203277319476E-4</v>
      </c>
      <c r="AJ14" s="7">
        <f t="shared" si="6"/>
        <v>7.0220362588522135E-4</v>
      </c>
      <c r="AK14" s="7">
        <f t="shared" si="6"/>
        <v>5.3974909681424636E-4</v>
      </c>
      <c r="AL14" s="7">
        <f t="shared" si="6"/>
        <v>6.5811935076129126E-3</v>
      </c>
      <c r="AM14" s="7">
        <f t="shared" si="6"/>
        <v>1.0802205745972615E-4</v>
      </c>
      <c r="AN14" s="7">
        <f t="shared" si="6"/>
        <v>8.9666685151176869E-3</v>
      </c>
      <c r="AO14" s="7">
        <f t="shared" si="6"/>
        <v>4.0830587645303951E-4</v>
      </c>
      <c r="AP14" s="7">
        <f t="shared" si="6"/>
        <v>4.8674703019560767E-4</v>
      </c>
      <c r="AQ14" s="7">
        <f t="shared" si="6"/>
        <v>3.5250293848851527E-3</v>
      </c>
      <c r="AR14" s="7">
        <f t="shared" si="6"/>
        <v>4.9521885777286685E-3</v>
      </c>
      <c r="AS14" s="7">
        <f t="shared" si="6"/>
        <v>4.1856946508117374E-6</v>
      </c>
      <c r="AT14" s="7">
        <f t="shared" si="6"/>
        <v>1.3173546496325774E-4</v>
      </c>
      <c r="AU14" s="7">
        <f t="shared" si="6"/>
        <v>1.9310016760507465E-2</v>
      </c>
      <c r="AV14" s="7">
        <f t="shared" si="6"/>
        <v>1.3484600303550057E-3</v>
      </c>
      <c r="AW14" s="7">
        <f t="shared" si="6"/>
        <v>8.9045707702789815E-5</v>
      </c>
      <c r="AX14" s="7">
        <f t="shared" si="6"/>
        <v>3.53346262780251E-4</v>
      </c>
      <c r="AY14" s="7">
        <f t="shared" si="6"/>
        <v>2.8348395005948711E-3</v>
      </c>
      <c r="AZ14" s="7">
        <f t="shared" si="6"/>
        <v>1.3959226678496167E-2</v>
      </c>
      <c r="BA14" s="7">
        <f t="shared" si="6"/>
        <v>1.1551489377154403E-2</v>
      </c>
      <c r="BB14" s="7">
        <f t="shared" si="6"/>
        <v>1.4959700995582914E-3</v>
      </c>
      <c r="BC14" s="7">
        <f t="shared" si="6"/>
        <v>2.2780406351339513E-3</v>
      </c>
      <c r="BD14" s="7">
        <f t="shared" si="6"/>
        <v>8.5814766124508515E-3</v>
      </c>
      <c r="BE14" s="7">
        <f t="shared" si="6"/>
        <v>2.7795296139707899E-2</v>
      </c>
      <c r="BF14" s="7">
        <f t="shared" si="6"/>
        <v>4.2605715815932409E-3</v>
      </c>
      <c r="BG14" s="7">
        <f t="shared" si="6"/>
        <v>1.0178929410137656E-4</v>
      </c>
      <c r="BH14" s="7">
        <f t="shared" si="6"/>
        <v>4.2394967172838345E-3</v>
      </c>
      <c r="BI14" s="7">
        <f t="shared" si="6"/>
        <v>3.9057563922559801E-3</v>
      </c>
      <c r="BJ14" s="7">
        <f t="shared" si="6"/>
        <v>6.3278817754078252E-3</v>
      </c>
      <c r="BK14" s="7">
        <f t="shared" si="6"/>
        <v>1.3712854958125978E-2</v>
      </c>
      <c r="BL14" s="7">
        <f t="shared" si="6"/>
        <v>1.7746900743427152E-4</v>
      </c>
      <c r="BM14" s="7">
        <f t="shared" si="6"/>
        <v>6.5060688733550491E-3</v>
      </c>
      <c r="BN14" s="7">
        <f t="shared" si="6"/>
        <v>9.0433539745741719E-3</v>
      </c>
      <c r="BO14" s="7">
        <f t="shared" ref="BO14:CT14" si="7">(BO4-BO10)^2</f>
        <v>1.4728522402663308E-6</v>
      </c>
      <c r="BP14" s="7">
        <f t="shared" si="7"/>
        <v>1.4138774864529349E-2</v>
      </c>
      <c r="BQ14" s="7">
        <f t="shared" si="7"/>
        <v>7.4961362961495977E-4</v>
      </c>
      <c r="BR14" s="7">
        <f t="shared" si="7"/>
        <v>2.4192562968297993E-3</v>
      </c>
      <c r="BS14" s="7">
        <f t="shared" si="7"/>
        <v>3.0570806927332135E-3</v>
      </c>
      <c r="BT14" s="7">
        <f t="shared" si="7"/>
        <v>1.3216390094427793E-2</v>
      </c>
      <c r="BU14" s="7">
        <f t="shared" si="7"/>
        <v>1.6933073797895184E-2</v>
      </c>
      <c r="BV14" s="7">
        <f t="shared" si="7"/>
        <v>8.7584359810285988E-3</v>
      </c>
      <c r="BW14" s="7">
        <f t="shared" si="7"/>
        <v>1.3308948800734874E-2</v>
      </c>
      <c r="BX14" s="7">
        <f t="shared" si="7"/>
        <v>9.5140679189656418E-4</v>
      </c>
      <c r="BY14" s="7">
        <f t="shared" si="7"/>
        <v>1.4542656412368878E-2</v>
      </c>
      <c r="BZ14" s="7">
        <f t="shared" si="7"/>
        <v>4.6326044742821823E-4</v>
      </c>
      <c r="CA14" s="7">
        <f t="shared" si="7"/>
        <v>4.2351850997595902E-3</v>
      </c>
      <c r="CB14" s="7">
        <f t="shared" si="7"/>
        <v>1.8366649364414154E-2</v>
      </c>
      <c r="CC14" s="7">
        <f t="shared" si="7"/>
        <v>8.9644665648134494E-4</v>
      </c>
      <c r="CD14" s="7">
        <f t="shared" si="7"/>
        <v>1.7090151074337122E-3</v>
      </c>
      <c r="CE14" s="7">
        <f t="shared" si="7"/>
        <v>4.2627124443387399E-2</v>
      </c>
      <c r="CF14" s="7">
        <f t="shared" si="7"/>
        <v>8.8211064278138525E-3</v>
      </c>
      <c r="CG14" s="7">
        <f t="shared" si="7"/>
        <v>3.3169179063906678E-3</v>
      </c>
      <c r="CH14" s="7">
        <f t="shared" si="7"/>
        <v>5.7954533822292937E-4</v>
      </c>
      <c r="CI14" s="7">
        <f t="shared" si="7"/>
        <v>4.3112919574686617E-3</v>
      </c>
      <c r="CJ14" s="7">
        <f t="shared" si="7"/>
        <v>6.7930092833262665E-5</v>
      </c>
      <c r="CK14" s="7">
        <f t="shared" si="7"/>
        <v>3.5757565783185578E-3</v>
      </c>
      <c r="CL14" s="7">
        <f t="shared" si="7"/>
        <v>8.3294905785859903E-4</v>
      </c>
      <c r="CM14" s="7">
        <f t="shared" si="7"/>
        <v>3.9255579935579994E-2</v>
      </c>
      <c r="CN14" s="7">
        <f t="shared" si="7"/>
        <v>2.4963678379687658E-3</v>
      </c>
      <c r="CO14" s="7">
        <f t="shared" si="7"/>
        <v>2.0613731338723906E-2</v>
      </c>
      <c r="CP14" s="7">
        <f t="shared" si="7"/>
        <v>5.2125630545471592E-3</v>
      </c>
      <c r="CQ14" s="7">
        <f t="shared" si="7"/>
        <v>3.2586458133545347E-2</v>
      </c>
      <c r="CR14" s="7">
        <f t="shared" si="7"/>
        <v>4.8238598039694316E-3</v>
      </c>
      <c r="CS14" s="7">
        <f t="shared" si="7"/>
        <v>3.8989432314765745E-6</v>
      </c>
      <c r="CT14" s="7">
        <f t="shared" si="7"/>
        <v>8.3338596720373571E-3</v>
      </c>
      <c r="CU14" s="7">
        <f t="shared" ref="CU14:DZ14" si="8">(CU4-CU10)^2</f>
        <v>1.4140106131453811E-3</v>
      </c>
      <c r="CV14" s="7">
        <f t="shared" si="8"/>
        <v>4.1360419784279979E-4</v>
      </c>
      <c r="CW14" s="7">
        <f t="shared" si="8"/>
        <v>1.3035996631558103E-3</v>
      </c>
      <c r="CX14" s="7">
        <f t="shared" si="8"/>
        <v>7.3090094521827209E-3</v>
      </c>
      <c r="CY14" s="7">
        <f t="shared" si="8"/>
        <v>5.0291966692893103E-3</v>
      </c>
      <c r="CZ14" s="7">
        <f t="shared" si="8"/>
        <v>3.2444440397064019E-2</v>
      </c>
      <c r="DA14" s="7">
        <f t="shared" si="8"/>
        <v>4.4538504075452212E-3</v>
      </c>
      <c r="DB14" s="7">
        <f t="shared" si="8"/>
        <v>2.1343943092456824E-2</v>
      </c>
      <c r="DC14" s="7">
        <f t="shared" si="8"/>
        <v>2.5032898092659885E-3</v>
      </c>
      <c r="DD14" s="7">
        <f t="shared" si="8"/>
        <v>2.0920422642574737E-2</v>
      </c>
      <c r="DE14" s="7">
        <f t="shared" si="8"/>
        <v>1.3471457365169208E-2</v>
      </c>
      <c r="DF14" s="7">
        <f t="shared" si="8"/>
        <v>1.9514158896816413E-2</v>
      </c>
      <c r="DG14" s="7">
        <f t="shared" si="8"/>
        <v>6.63013835490949E-2</v>
      </c>
      <c r="DH14" s="7">
        <f t="shared" si="8"/>
        <v>1.8460535749105222E-2</v>
      </c>
      <c r="DI14" s="7">
        <f t="shared" si="8"/>
        <v>6.9304296293935608E-3</v>
      </c>
      <c r="DJ14" s="7">
        <f t="shared" si="8"/>
        <v>3.9478447042668252E-3</v>
      </c>
      <c r="DK14" s="7">
        <f t="shared" si="8"/>
        <v>1.4599075620800293E-2</v>
      </c>
      <c r="DL14" s="7">
        <f t="shared" si="8"/>
        <v>6.9484280904047067E-4</v>
      </c>
      <c r="DM14" s="7">
        <f t="shared" si="8"/>
        <v>1.0109860400483563E-2</v>
      </c>
      <c r="DN14" s="7">
        <f t="shared" si="8"/>
        <v>5.2885363016682077E-4</v>
      </c>
      <c r="DO14" s="7">
        <f t="shared" si="8"/>
        <v>5.5659979183301442E-3</v>
      </c>
      <c r="DP14" s="7">
        <f t="shared" si="8"/>
        <v>1.0221529562949253E-2</v>
      </c>
      <c r="DQ14" s="7">
        <f t="shared" si="8"/>
        <v>7.449962936409333E-3</v>
      </c>
      <c r="DR14" s="7">
        <f t="shared" si="8"/>
        <v>9.2233763004232017E-5</v>
      </c>
      <c r="DS14" s="7">
        <f t="shared" si="8"/>
        <v>1.7119260981561159E-2</v>
      </c>
      <c r="DT14" s="7">
        <f t="shared" si="8"/>
        <v>1.4309594095382563E-3</v>
      </c>
      <c r="DU14" s="7">
        <f t="shared" si="8"/>
        <v>4.0557016597374679E-2</v>
      </c>
      <c r="DV14" s="7">
        <f t="shared" si="8"/>
        <v>2.7040590626861564E-4</v>
      </c>
      <c r="DW14" s="7">
        <f t="shared" si="8"/>
        <v>6.9335189314339825E-3</v>
      </c>
      <c r="DX14" s="7">
        <f t="shared" si="8"/>
        <v>6.5815346207697301E-4</v>
      </c>
      <c r="DY14" s="7">
        <f t="shared" si="8"/>
        <v>5.4181294632484594E-3</v>
      </c>
      <c r="DZ14" s="7">
        <f t="shared" si="8"/>
        <v>1.4595696137373736E-3</v>
      </c>
      <c r="EA14" s="7">
        <f t="shared" ref="EA14:EG14" si="9">(EA4-EA10)^2</f>
        <v>8.9357957746704665E-3</v>
      </c>
      <c r="EB14" s="7">
        <f t="shared" si="9"/>
        <v>7.9786177940049886E-4</v>
      </c>
      <c r="EC14" s="7">
        <f t="shared" si="9"/>
        <v>8.5553796447068627E-3</v>
      </c>
      <c r="ED14" s="7">
        <f t="shared" si="9"/>
        <v>4.2904602823733489E-3</v>
      </c>
      <c r="EE14" s="7">
        <f t="shared" si="9"/>
        <v>3.2671846836402833E-2</v>
      </c>
      <c r="EF14" s="7">
        <f t="shared" si="9"/>
        <v>1.3400178420845659E-2</v>
      </c>
      <c r="EG14" s="7">
        <f t="shared" si="9"/>
        <v>2.526811904387603E-2</v>
      </c>
    </row>
    <row r="15" spans="1:137" x14ac:dyDescent="0.3">
      <c r="B15" s="1" t="s">
        <v>139</v>
      </c>
      <c r="C15" s="7">
        <f t="shared" ref="C15:AH15" si="10">(C5-C11)^2</f>
        <v>3.3445774266807797E-3</v>
      </c>
      <c r="D15" s="7">
        <f t="shared" si="10"/>
        <v>1.8054664086030437E-3</v>
      </c>
      <c r="E15" s="7">
        <f t="shared" si="10"/>
        <v>6.6375830113139746E-4</v>
      </c>
      <c r="F15" s="7">
        <f t="shared" si="10"/>
        <v>9.0494721488881286E-3</v>
      </c>
      <c r="G15" s="7">
        <f t="shared" si="10"/>
        <v>1.0594347934893892E-2</v>
      </c>
      <c r="H15" s="7">
        <f t="shared" si="10"/>
        <v>4.3889857583746603E-5</v>
      </c>
      <c r="I15" s="7">
        <f t="shared" si="10"/>
        <v>9.1852463310217376E-4</v>
      </c>
      <c r="J15" s="7">
        <f t="shared" si="10"/>
        <v>2.6129282932566526E-4</v>
      </c>
      <c r="K15" s="7">
        <f t="shared" si="10"/>
        <v>3.6804070853811116E-3</v>
      </c>
      <c r="L15" s="7">
        <f t="shared" si="10"/>
        <v>9.7172651042362474E-5</v>
      </c>
      <c r="M15" s="7">
        <f t="shared" si="10"/>
        <v>1.1492225233322643E-3</v>
      </c>
      <c r="N15" s="7">
        <f t="shared" si="10"/>
        <v>7.7513430173740162E-3</v>
      </c>
      <c r="O15" s="7">
        <f t="shared" si="10"/>
        <v>2.6515058242642512E-3</v>
      </c>
      <c r="P15" s="7">
        <f t="shared" si="10"/>
        <v>1.6274225659941441E-4</v>
      </c>
      <c r="Q15" s="7">
        <f t="shared" si="10"/>
        <v>3.6973425509449717E-5</v>
      </c>
      <c r="R15" s="7">
        <f t="shared" si="10"/>
        <v>3.5822169819186639E-4</v>
      </c>
      <c r="S15" s="7">
        <f t="shared" si="10"/>
        <v>4.0027821594814934E-4</v>
      </c>
      <c r="T15" s="7">
        <f t="shared" si="10"/>
        <v>1.2837734447198887E-2</v>
      </c>
      <c r="U15" s="7">
        <f t="shared" si="10"/>
        <v>1.500202959968062E-4</v>
      </c>
      <c r="V15" s="7">
        <f t="shared" si="10"/>
        <v>1.9233855709457144E-5</v>
      </c>
      <c r="W15" s="7">
        <f t="shared" si="10"/>
        <v>1.8870996976421663E-2</v>
      </c>
      <c r="X15" s="7">
        <f t="shared" si="10"/>
        <v>0.10411550050746329</v>
      </c>
      <c r="Y15" s="7">
        <f t="shared" si="10"/>
        <v>9.083713280516971E-3</v>
      </c>
      <c r="Z15" s="7">
        <f t="shared" si="10"/>
        <v>3.2087745428731392E-2</v>
      </c>
      <c r="AA15" s="7">
        <f t="shared" si="10"/>
        <v>1.2564306816642543E-2</v>
      </c>
      <c r="AB15" s="7">
        <f t="shared" si="10"/>
        <v>2.4282364518411199E-3</v>
      </c>
      <c r="AC15" s="7">
        <f t="shared" si="10"/>
        <v>8.926817581861755E-3</v>
      </c>
      <c r="AD15" s="7">
        <f t="shared" si="10"/>
        <v>4.8304550069429748E-3</v>
      </c>
      <c r="AE15" s="7">
        <f t="shared" si="10"/>
        <v>3.8941554416002042E-2</v>
      </c>
      <c r="AF15" s="7">
        <f t="shared" si="10"/>
        <v>2.6896794555651769E-2</v>
      </c>
      <c r="AG15" s="7">
        <f t="shared" si="10"/>
        <v>2.101634157510987E-4</v>
      </c>
      <c r="AH15" s="7">
        <f t="shared" si="10"/>
        <v>4.1404488440995593E-6</v>
      </c>
      <c r="AI15" s="7">
        <f t="shared" ref="AI15:BN15" si="11">(AI5-AI11)^2</f>
        <v>5.4206397290241495E-4</v>
      </c>
      <c r="AJ15" s="7">
        <f t="shared" si="11"/>
        <v>7.9054923488952036E-4</v>
      </c>
      <c r="AK15" s="7">
        <f t="shared" si="11"/>
        <v>2.9607405422707876E-3</v>
      </c>
      <c r="AL15" s="7">
        <f t="shared" si="11"/>
        <v>9.9372479680188038E-3</v>
      </c>
      <c r="AM15" s="7">
        <f t="shared" si="11"/>
        <v>6.4910418381203142E-4</v>
      </c>
      <c r="AN15" s="7">
        <f t="shared" si="11"/>
        <v>3.1526896347508428E-3</v>
      </c>
      <c r="AO15" s="7">
        <f t="shared" si="11"/>
        <v>4.5783229756529318E-3</v>
      </c>
      <c r="AP15" s="7">
        <f t="shared" si="11"/>
        <v>9.5514986292402257E-4</v>
      </c>
      <c r="AQ15" s="7">
        <f t="shared" si="11"/>
        <v>1.0923650811337983E-4</v>
      </c>
      <c r="AR15" s="7">
        <f t="shared" si="11"/>
        <v>1.0563164667923733E-3</v>
      </c>
      <c r="AS15" s="7">
        <f t="shared" si="11"/>
        <v>1.5151188576839408E-3</v>
      </c>
      <c r="AT15" s="7">
        <f t="shared" si="11"/>
        <v>1.9677657021547636E-2</v>
      </c>
      <c r="AU15" s="7">
        <f t="shared" si="11"/>
        <v>2.5855158135816288E-3</v>
      </c>
      <c r="AV15" s="7">
        <f t="shared" si="11"/>
        <v>1.6338245348061154E-2</v>
      </c>
      <c r="AW15" s="7">
        <f t="shared" si="11"/>
        <v>2.1608302637360914E-3</v>
      </c>
      <c r="AX15" s="7">
        <f t="shared" si="11"/>
        <v>2.6138748985644712E-2</v>
      </c>
      <c r="AY15" s="7">
        <f t="shared" si="11"/>
        <v>3.7948809946807063E-3</v>
      </c>
      <c r="AZ15" s="7">
        <f t="shared" si="11"/>
        <v>4.8683940311457586E-3</v>
      </c>
      <c r="BA15" s="7">
        <f t="shared" si="11"/>
        <v>8.7970058863424144E-5</v>
      </c>
      <c r="BB15" s="7">
        <f t="shared" si="11"/>
        <v>2.435384022378765E-2</v>
      </c>
      <c r="BC15" s="7">
        <f t="shared" si="11"/>
        <v>3.936736049193112E-3</v>
      </c>
      <c r="BD15" s="7">
        <f t="shared" si="11"/>
        <v>2.376649395190964E-4</v>
      </c>
      <c r="BE15" s="7">
        <f t="shared" si="11"/>
        <v>2.0820604248184982E-2</v>
      </c>
      <c r="BF15" s="7">
        <f t="shared" si="11"/>
        <v>4.3145661869509189E-2</v>
      </c>
      <c r="BG15" s="7">
        <f t="shared" si="11"/>
        <v>3.2663034532763847E-2</v>
      </c>
      <c r="BH15" s="7">
        <f t="shared" si="11"/>
        <v>5.4353464337775492E-3</v>
      </c>
      <c r="BI15" s="7">
        <f t="shared" si="11"/>
        <v>3.8768124844020596E-3</v>
      </c>
      <c r="BJ15" s="7">
        <f t="shared" si="11"/>
        <v>1.9438610178895154E-4</v>
      </c>
      <c r="BK15" s="7">
        <f t="shared" si="11"/>
        <v>2.1129429583325377E-5</v>
      </c>
      <c r="BL15" s="7">
        <f t="shared" si="11"/>
        <v>2.3920910173574735E-2</v>
      </c>
      <c r="BM15" s="7">
        <f t="shared" si="11"/>
        <v>2.9132825127745929E-2</v>
      </c>
      <c r="BN15" s="7">
        <f t="shared" si="11"/>
        <v>6.6922890830006234E-4</v>
      </c>
      <c r="BO15" s="7">
        <f t="shared" ref="BO15:CT15" si="12">(BO5-BO11)^2</f>
        <v>8.3168599013039746E-4</v>
      </c>
      <c r="BP15" s="7">
        <f t="shared" si="12"/>
        <v>2.1403162596611543E-3</v>
      </c>
      <c r="BQ15" s="7">
        <f t="shared" si="12"/>
        <v>5.774657014534474E-4</v>
      </c>
      <c r="BR15" s="7">
        <f t="shared" si="12"/>
        <v>3.3939687301992531E-2</v>
      </c>
      <c r="BS15" s="7">
        <f t="shared" si="12"/>
        <v>1.2788384898096637E-2</v>
      </c>
      <c r="BT15" s="7">
        <f t="shared" si="12"/>
        <v>1.2479164126446875E-3</v>
      </c>
      <c r="BU15" s="7">
        <f t="shared" si="12"/>
        <v>2.4110648486338859E-3</v>
      </c>
      <c r="BV15" s="7">
        <f t="shared" si="12"/>
        <v>1.5252129602537818E-2</v>
      </c>
      <c r="BW15" s="7">
        <f t="shared" si="12"/>
        <v>2.152248840096144E-2</v>
      </c>
      <c r="BX15" s="7">
        <f t="shared" si="12"/>
        <v>8.2130938930655052E-6</v>
      </c>
      <c r="BY15" s="7">
        <f t="shared" si="12"/>
        <v>1.8105795794529107E-2</v>
      </c>
      <c r="BZ15" s="7">
        <f t="shared" si="12"/>
        <v>9.2018028752670865E-4</v>
      </c>
      <c r="CA15" s="7">
        <f t="shared" si="12"/>
        <v>7.9607957630029003E-4</v>
      </c>
      <c r="CB15" s="7">
        <f t="shared" si="12"/>
        <v>3.3874008345532937E-3</v>
      </c>
      <c r="CC15" s="7">
        <f t="shared" si="12"/>
        <v>2.2890411845555001E-3</v>
      </c>
      <c r="CD15" s="7">
        <f t="shared" si="12"/>
        <v>5.9071885840278459E-3</v>
      </c>
      <c r="CE15" s="7">
        <f t="shared" si="12"/>
        <v>7.0262074370944947E-3</v>
      </c>
      <c r="CF15" s="7">
        <f t="shared" si="12"/>
        <v>1.2464239991566077E-6</v>
      </c>
      <c r="CG15" s="7">
        <f t="shared" si="12"/>
        <v>1.3799186375289062E-2</v>
      </c>
      <c r="CH15" s="7">
        <f t="shared" si="12"/>
        <v>6.1526903071588534E-4</v>
      </c>
      <c r="CI15" s="7">
        <f t="shared" si="12"/>
        <v>4.7438113673342807E-3</v>
      </c>
      <c r="CJ15" s="7">
        <f t="shared" si="12"/>
        <v>5.6612035000661698E-2</v>
      </c>
      <c r="CK15" s="7">
        <f t="shared" si="12"/>
        <v>1.7975617261428788E-2</v>
      </c>
      <c r="CL15" s="7">
        <f t="shared" si="12"/>
        <v>1.7382733940297865E-2</v>
      </c>
      <c r="CM15" s="7">
        <f t="shared" si="12"/>
        <v>1.3877790570487415E-2</v>
      </c>
      <c r="CN15" s="7">
        <f t="shared" si="12"/>
        <v>4.8671296218745615E-2</v>
      </c>
      <c r="CO15" s="7">
        <f t="shared" si="12"/>
        <v>1.4801271417349085E-2</v>
      </c>
      <c r="CP15" s="7">
        <f t="shared" si="12"/>
        <v>6.6792360757934757E-4</v>
      </c>
      <c r="CQ15" s="7">
        <f t="shared" si="12"/>
        <v>4.6758338125014877E-2</v>
      </c>
      <c r="CR15" s="7">
        <f t="shared" si="12"/>
        <v>1.7629611659978825E-2</v>
      </c>
      <c r="CS15" s="7">
        <f t="shared" si="12"/>
        <v>8.9706984047041964E-3</v>
      </c>
      <c r="CT15" s="7">
        <f t="shared" si="12"/>
        <v>6.1942351292729625E-4</v>
      </c>
      <c r="CU15" s="7">
        <f t="shared" ref="CU15:DZ15" si="13">(CU5-CU11)^2</f>
        <v>8.0203931133498579E-2</v>
      </c>
      <c r="CV15" s="7">
        <f t="shared" si="13"/>
        <v>7.2106562465344665E-2</v>
      </c>
      <c r="CW15" s="7">
        <f t="shared" si="13"/>
        <v>1.1018731683034945E-2</v>
      </c>
      <c r="CX15" s="7">
        <f t="shared" si="13"/>
        <v>1.6671842624490969E-2</v>
      </c>
      <c r="CY15" s="7">
        <f t="shared" si="13"/>
        <v>7.5080455872947507E-3</v>
      </c>
      <c r="CZ15" s="7">
        <f t="shared" si="13"/>
        <v>2.2642905508848885E-3</v>
      </c>
      <c r="DA15" s="7">
        <f t="shared" si="13"/>
        <v>6.7667244806491958E-3</v>
      </c>
      <c r="DB15" s="7">
        <f t="shared" si="13"/>
        <v>2.1005570866122359E-2</v>
      </c>
      <c r="DC15" s="7">
        <f t="shared" si="13"/>
        <v>5.5949916095976481E-3</v>
      </c>
      <c r="DD15" s="7">
        <f t="shared" si="13"/>
        <v>3.0216446848658068E-2</v>
      </c>
      <c r="DE15" s="7">
        <f t="shared" si="13"/>
        <v>1.0562274257460825E-2</v>
      </c>
      <c r="DF15" s="7">
        <f t="shared" si="13"/>
        <v>4.3039402690599905E-3</v>
      </c>
      <c r="DG15" s="7">
        <f t="shared" si="13"/>
        <v>4.8223378571655512E-2</v>
      </c>
      <c r="DH15" s="7">
        <f t="shared" si="13"/>
        <v>5.8773693966677077E-3</v>
      </c>
      <c r="DI15" s="7">
        <f t="shared" si="13"/>
        <v>5.5908054671486469E-3</v>
      </c>
      <c r="DJ15" s="7">
        <f t="shared" si="13"/>
        <v>1.4534920469182819E-2</v>
      </c>
      <c r="DK15" s="7">
        <f t="shared" si="13"/>
        <v>1.5792128908244004E-5</v>
      </c>
      <c r="DL15" s="7">
        <f t="shared" si="13"/>
        <v>4.4166833407060201E-3</v>
      </c>
      <c r="DM15" s="7">
        <f t="shared" si="13"/>
        <v>3.0300033946846971E-4</v>
      </c>
      <c r="DN15" s="7">
        <f t="shared" si="13"/>
        <v>1.3460242828675223E-3</v>
      </c>
      <c r="DO15" s="7">
        <f t="shared" si="13"/>
        <v>1.0100799449732563E-2</v>
      </c>
      <c r="DP15" s="7">
        <f t="shared" si="13"/>
        <v>5.4383301566762111E-2</v>
      </c>
      <c r="DQ15" s="7">
        <f t="shared" si="13"/>
        <v>6.192573299961119E-2</v>
      </c>
      <c r="DR15" s="7">
        <f t="shared" si="13"/>
        <v>5.5051415422837567E-5</v>
      </c>
      <c r="DS15" s="7">
        <f t="shared" si="13"/>
        <v>1.8117402846172841E-2</v>
      </c>
      <c r="DT15" s="7">
        <f t="shared" si="13"/>
        <v>1.3195317902847772E-2</v>
      </c>
      <c r="DU15" s="7">
        <f t="shared" si="13"/>
        <v>9.3530108341017843E-3</v>
      </c>
      <c r="DV15" s="7">
        <f t="shared" si="13"/>
        <v>3.768525240520397E-3</v>
      </c>
      <c r="DW15" s="7">
        <f t="shared" si="13"/>
        <v>8.7135751244992257E-4</v>
      </c>
      <c r="DX15" s="7">
        <f t="shared" si="13"/>
        <v>2.9148659335190416E-3</v>
      </c>
      <c r="DY15" s="7">
        <f t="shared" si="13"/>
        <v>4.2781032468901482E-3</v>
      </c>
      <c r="DZ15" s="7">
        <f t="shared" si="13"/>
        <v>1.2602203824954987E-4</v>
      </c>
      <c r="EA15" s="7">
        <f t="shared" ref="EA15:EG15" si="14">(EA5-EA11)^2</f>
        <v>8.9644207206630799E-2</v>
      </c>
      <c r="EB15" s="7">
        <f t="shared" si="14"/>
        <v>1.5343091243110136E-2</v>
      </c>
      <c r="EC15" s="7">
        <f t="shared" si="14"/>
        <v>7.5284157412192242E-5</v>
      </c>
      <c r="ED15" s="7">
        <f t="shared" si="14"/>
        <v>4.5498816419546955E-3</v>
      </c>
      <c r="EE15" s="7">
        <f t="shared" si="14"/>
        <v>1.7540690875588103E-2</v>
      </c>
      <c r="EF15" s="7">
        <f t="shared" si="14"/>
        <v>6.8703278408362564E-3</v>
      </c>
      <c r="EG15" s="7">
        <f t="shared" si="14"/>
        <v>0</v>
      </c>
    </row>
    <row r="17" spans="1:137" x14ac:dyDescent="0.3">
      <c r="A17" t="s">
        <v>167</v>
      </c>
      <c r="B17" s="1" t="s">
        <v>137</v>
      </c>
      <c r="C17" s="7">
        <f t="shared" ref="C17:AH17" si="15">C9^2</f>
        <v>1.1904082139988901E-2</v>
      </c>
      <c r="D17" s="7">
        <f t="shared" si="15"/>
        <v>2.1247668449640001E-4</v>
      </c>
      <c r="E17" s="7">
        <f t="shared" si="15"/>
        <v>1.3071406393600003E-3</v>
      </c>
      <c r="F17" s="7">
        <f t="shared" si="15"/>
        <v>2.2492254759999996E-5</v>
      </c>
      <c r="G17" s="7">
        <f t="shared" si="15"/>
        <v>3.3037204839999999E-5</v>
      </c>
      <c r="H17" s="7">
        <f t="shared" si="15"/>
        <v>2.4381888591204002E-3</v>
      </c>
      <c r="I17" s="7">
        <f t="shared" si="15"/>
        <v>3.3581211208132906E-2</v>
      </c>
      <c r="J17" s="7">
        <f t="shared" si="15"/>
        <v>1.3569060417416099E-2</v>
      </c>
      <c r="K17" s="7">
        <f t="shared" si="15"/>
        <v>9.3604790601000006E-4</v>
      </c>
      <c r="L17" s="7">
        <f t="shared" si="15"/>
        <v>3.9315156680250001E-4</v>
      </c>
      <c r="M17" s="7">
        <f t="shared" si="15"/>
        <v>4.4095800100000003E-4</v>
      </c>
      <c r="N17" s="7">
        <f t="shared" si="15"/>
        <v>2.2433874655536399E-2</v>
      </c>
      <c r="O17" s="7">
        <f t="shared" si="15"/>
        <v>2.3911704882810002E-4</v>
      </c>
      <c r="P17" s="7">
        <f t="shared" si="15"/>
        <v>8.425826339289998E-3</v>
      </c>
      <c r="Q17" s="7">
        <f t="shared" si="15"/>
        <v>5.9921532810000011E-3</v>
      </c>
      <c r="R17" s="7">
        <f t="shared" si="15"/>
        <v>3.0004759075600001E-3</v>
      </c>
      <c r="S17" s="7">
        <f t="shared" si="15"/>
        <v>1.5708711823360002E-2</v>
      </c>
      <c r="T17" s="7">
        <f t="shared" si="15"/>
        <v>1.4173712051560001E-2</v>
      </c>
      <c r="U17" s="7">
        <f t="shared" si="15"/>
        <v>1.4265804540100002E-3</v>
      </c>
      <c r="V17" s="7">
        <f t="shared" si="15"/>
        <v>6.5908126297924002E-3</v>
      </c>
      <c r="W17" s="7">
        <f t="shared" si="15"/>
        <v>7.0575070404609004E-3</v>
      </c>
      <c r="X17" s="7">
        <f t="shared" si="15"/>
        <v>2.1612339969049602E-2</v>
      </c>
      <c r="Y17" s="7">
        <f t="shared" si="15"/>
        <v>1.5715254960250002E-2</v>
      </c>
      <c r="Z17" s="7">
        <f t="shared" si="15"/>
        <v>3.6846165357602503E-2</v>
      </c>
      <c r="AA17" s="7">
        <f t="shared" si="15"/>
        <v>7.118431892639999E-3</v>
      </c>
      <c r="AB17" s="7">
        <f t="shared" si="15"/>
        <v>5.3140615437121006E-3</v>
      </c>
      <c r="AC17" s="7">
        <f t="shared" si="15"/>
        <v>1.05276957327936E-2</v>
      </c>
      <c r="AD17" s="7">
        <f t="shared" si="15"/>
        <v>2.4869826182889997E-4</v>
      </c>
      <c r="AE17" s="7">
        <f t="shared" si="15"/>
        <v>2.3106188851840001E-2</v>
      </c>
      <c r="AF17" s="7">
        <f t="shared" si="15"/>
        <v>3.5105921250624997E-3</v>
      </c>
      <c r="AG17" s="7">
        <f t="shared" si="15"/>
        <v>1.6915301862145602E-2</v>
      </c>
      <c r="AH17" s="7">
        <f t="shared" si="15"/>
        <v>1.3284037740959998E-2</v>
      </c>
      <c r="AI17" s="7">
        <f t="shared" ref="AI17:BN17" si="16">AI9^2</f>
        <v>1.0631916678244002E-3</v>
      </c>
      <c r="AJ17" s="7">
        <f t="shared" si="16"/>
        <v>7.8395016079210007E-4</v>
      </c>
      <c r="AK17" s="7">
        <f t="shared" si="16"/>
        <v>2.1482888018976402E-2</v>
      </c>
      <c r="AL17" s="7">
        <f t="shared" si="16"/>
        <v>1.6680624292863997E-3</v>
      </c>
      <c r="AM17" s="7">
        <f t="shared" si="16"/>
        <v>1.7259750594376899E-2</v>
      </c>
      <c r="AN17" s="7">
        <f t="shared" si="16"/>
        <v>4.9032555774361608E-2</v>
      </c>
      <c r="AO17" s="7">
        <f t="shared" si="16"/>
        <v>4.3852548100000008E-4</v>
      </c>
      <c r="AP17" s="7">
        <f t="shared" si="16"/>
        <v>1.8812865600000003E-2</v>
      </c>
      <c r="AQ17" s="7">
        <f t="shared" si="16"/>
        <v>6.1915871240999999E-4</v>
      </c>
      <c r="AR17" s="7">
        <f t="shared" si="16"/>
        <v>2.4068326516090002E-4</v>
      </c>
      <c r="AS17" s="7">
        <f t="shared" si="16"/>
        <v>1.1815058788416E-3</v>
      </c>
      <c r="AT17" s="7">
        <f t="shared" si="16"/>
        <v>3.9810660965760997E-3</v>
      </c>
      <c r="AU17" s="7">
        <f t="shared" si="16"/>
        <v>1.8694987012899996E-3</v>
      </c>
      <c r="AV17" s="7">
        <f t="shared" si="16"/>
        <v>5.5101522841600001E-3</v>
      </c>
      <c r="AW17" s="7">
        <f t="shared" si="16"/>
        <v>7.8371050672889991E-4</v>
      </c>
      <c r="AX17" s="7">
        <f t="shared" si="16"/>
        <v>1.4367479181936401E-2</v>
      </c>
      <c r="AY17" s="7">
        <f t="shared" si="16"/>
        <v>5.861367758584899E-3</v>
      </c>
      <c r="AZ17" s="7">
        <f t="shared" si="16"/>
        <v>4.7221028416000004E-4</v>
      </c>
      <c r="BA17" s="7">
        <f t="shared" si="16"/>
        <v>1.5537622499999999E-6</v>
      </c>
      <c r="BB17" s="7">
        <f t="shared" si="16"/>
        <v>1.02001556574724E-2</v>
      </c>
      <c r="BC17" s="7">
        <f t="shared" si="16"/>
        <v>8.8964575322490009E-4</v>
      </c>
      <c r="BD17" s="7">
        <f t="shared" si="16"/>
        <v>7.5268985092899991E-5</v>
      </c>
      <c r="BE17" s="7">
        <f t="shared" si="16"/>
        <v>4.7000910429840989E-3</v>
      </c>
      <c r="BF17" s="7">
        <f t="shared" si="16"/>
        <v>2.4621564038760004E-2</v>
      </c>
      <c r="BG17" s="7">
        <f t="shared" si="16"/>
        <v>2.5345827645912897E-2</v>
      </c>
      <c r="BH17" s="7">
        <f t="shared" si="16"/>
        <v>3.7358585435889003E-3</v>
      </c>
      <c r="BI17" s="7">
        <f t="shared" si="16"/>
        <v>9.392100495122499E-3</v>
      </c>
      <c r="BJ17" s="7">
        <f t="shared" si="16"/>
        <v>2.9971464144400001E-3</v>
      </c>
      <c r="BK17" s="7">
        <f t="shared" si="16"/>
        <v>7.6550250490000004E-3</v>
      </c>
      <c r="BL17" s="7">
        <f t="shared" si="16"/>
        <v>8.9164111155625014E-3</v>
      </c>
      <c r="BM17" s="7">
        <f t="shared" si="16"/>
        <v>4.9244491920999998E-4</v>
      </c>
      <c r="BN17" s="7">
        <f t="shared" si="16"/>
        <v>2.4425345053210001E-4</v>
      </c>
      <c r="BO17" s="7">
        <f t="shared" ref="BO17:CT17" si="17">BO9^2</f>
        <v>6.6289298046976006E-3</v>
      </c>
      <c r="BP17" s="7">
        <f t="shared" si="17"/>
        <v>3.4257937920999991E-4</v>
      </c>
      <c r="BQ17" s="7">
        <f t="shared" si="17"/>
        <v>4.7237537923849006E-3</v>
      </c>
      <c r="BR17" s="7">
        <f t="shared" si="17"/>
        <v>9.6246375696000012E-6</v>
      </c>
      <c r="BS17" s="7">
        <f t="shared" si="17"/>
        <v>5.6196642659364004E-3</v>
      </c>
      <c r="BT17" s="7">
        <f t="shared" si="17"/>
        <v>2.0431837385280999E-3</v>
      </c>
      <c r="BU17" s="7">
        <f t="shared" si="17"/>
        <v>6.5932527592890006E-4</v>
      </c>
      <c r="BV17" s="7">
        <f t="shared" si="17"/>
        <v>8.4279799242408995E-3</v>
      </c>
      <c r="BW17" s="7">
        <f t="shared" si="17"/>
        <v>6.9453331599999993E-4</v>
      </c>
      <c r="BX17" s="7">
        <f t="shared" si="17"/>
        <v>3.7615943072889991E-4</v>
      </c>
      <c r="BY17" s="7">
        <f t="shared" si="17"/>
        <v>5.9042165532099998E-3</v>
      </c>
      <c r="BZ17" s="7">
        <f t="shared" si="17"/>
        <v>1.2838999732676099E-2</v>
      </c>
      <c r="CA17" s="7">
        <f t="shared" si="17"/>
        <v>1.1525074554010001E-2</v>
      </c>
      <c r="CB17" s="7">
        <f t="shared" si="17"/>
        <v>1.6682968701440999E-3</v>
      </c>
      <c r="CC17" s="7">
        <f t="shared" si="17"/>
        <v>3.9210732288999994E-4</v>
      </c>
      <c r="CD17" s="7">
        <f t="shared" si="17"/>
        <v>3.5485928036868099E-2</v>
      </c>
      <c r="CE17" s="7">
        <f t="shared" si="17"/>
        <v>3.0885706215080999E-3</v>
      </c>
      <c r="CF17" s="7">
        <f t="shared" si="17"/>
        <v>5.6058268660848995E-3</v>
      </c>
      <c r="CG17" s="7">
        <f t="shared" si="17"/>
        <v>1.0000038000036101E-2</v>
      </c>
      <c r="CH17" s="7">
        <f t="shared" si="17"/>
        <v>1.8501908311758405E-2</v>
      </c>
      <c r="CI17" s="7">
        <f t="shared" si="17"/>
        <v>8.7873750810000002E-3</v>
      </c>
      <c r="CJ17" s="7">
        <f t="shared" si="17"/>
        <v>1.5449616360000003E-5</v>
      </c>
      <c r="CK17" s="7">
        <f t="shared" si="17"/>
        <v>3.1931292005284002E-3</v>
      </c>
      <c r="CL17" s="7">
        <f t="shared" si="17"/>
        <v>6.9456378155808407E-2</v>
      </c>
      <c r="CM17" s="7">
        <f t="shared" si="17"/>
        <v>9.1305669160000001E-5</v>
      </c>
      <c r="CN17" s="7">
        <f t="shared" si="17"/>
        <v>9.9299984161000006E-4</v>
      </c>
      <c r="CO17" s="7">
        <f t="shared" si="17"/>
        <v>5.1161916100000006E-4</v>
      </c>
      <c r="CP17" s="7">
        <f t="shared" si="17"/>
        <v>1.7597510864472102E-2</v>
      </c>
      <c r="CQ17" s="7">
        <f t="shared" si="17"/>
        <v>1.7708364776928401E-2</v>
      </c>
      <c r="CR17" s="7">
        <f t="shared" si="17"/>
        <v>2.2369390096000001E-4</v>
      </c>
      <c r="CS17" s="7">
        <f t="shared" si="17"/>
        <v>1.1168897160100002E-3</v>
      </c>
      <c r="CT17" s="7">
        <f t="shared" si="17"/>
        <v>1.5082811906410001E-4</v>
      </c>
      <c r="CU17" s="7">
        <f t="shared" ref="CU17:DZ17" si="18">CU9^2</f>
        <v>1.36457395524004E-2</v>
      </c>
      <c r="CV17" s="7">
        <f t="shared" si="18"/>
        <v>9.9786492100000001E-6</v>
      </c>
      <c r="CW17" s="7">
        <f t="shared" si="18"/>
        <v>1.4605971794176002E-3</v>
      </c>
      <c r="CX17" s="7">
        <f t="shared" si="18"/>
        <v>1.93694273273281E-2</v>
      </c>
      <c r="CY17" s="7">
        <f t="shared" si="18"/>
        <v>5.6227317128999994E-4</v>
      </c>
      <c r="CZ17" s="7">
        <f t="shared" si="18"/>
        <v>4.7677993305468104E-2</v>
      </c>
      <c r="DA17" s="7">
        <f t="shared" si="18"/>
        <v>3.3602194627600003E-3</v>
      </c>
      <c r="DB17" s="7">
        <f t="shared" si="18"/>
        <v>1.9892845764000002E-4</v>
      </c>
      <c r="DC17" s="7">
        <f t="shared" si="18"/>
        <v>1.29859881689664E-2</v>
      </c>
      <c r="DD17" s="7">
        <f t="shared" si="18"/>
        <v>5.5461175095075999E-3</v>
      </c>
      <c r="DE17" s="7">
        <f t="shared" si="18"/>
        <v>8.0946009000000001E-7</v>
      </c>
      <c r="DF17" s="7">
        <f t="shared" si="18"/>
        <v>9.5466578489999995E-7</v>
      </c>
      <c r="DG17" s="7">
        <f t="shared" si="18"/>
        <v>5.326094996010001E-3</v>
      </c>
      <c r="DH17" s="7">
        <f t="shared" si="18"/>
        <v>5.6859833208999994E-4</v>
      </c>
      <c r="DI17" s="7">
        <f t="shared" si="18"/>
        <v>1.030848304249E-2</v>
      </c>
      <c r="DJ17" s="7">
        <f t="shared" si="18"/>
        <v>7.6687677165160014E-4</v>
      </c>
      <c r="DK17" s="7">
        <f t="shared" si="18"/>
        <v>2.4339619590400003E-3</v>
      </c>
      <c r="DL17" s="7">
        <f t="shared" si="18"/>
        <v>3.2483160360000005E-5</v>
      </c>
      <c r="DM17" s="7">
        <f t="shared" si="18"/>
        <v>1.3676535312400003E-3</v>
      </c>
      <c r="DN17" s="7">
        <f t="shared" si="18"/>
        <v>1.2058892772740099E-2</v>
      </c>
      <c r="DO17" s="7">
        <f t="shared" si="18"/>
        <v>1.7670950764488997E-3</v>
      </c>
      <c r="DP17" s="7">
        <f t="shared" si="18"/>
        <v>7.1515216748888992E-3</v>
      </c>
      <c r="DQ17" s="7">
        <f t="shared" si="18"/>
        <v>1.2161634288039999E-2</v>
      </c>
      <c r="DR17" s="7">
        <f t="shared" si="18"/>
        <v>8.8979055302640993E-3</v>
      </c>
      <c r="DS17" s="7">
        <f t="shared" si="18"/>
        <v>5.1706022676099991E-3</v>
      </c>
      <c r="DT17" s="7">
        <f t="shared" si="18"/>
        <v>9.2614446849600008E-3</v>
      </c>
      <c r="DU17" s="7">
        <f t="shared" si="18"/>
        <v>5.5016048025000004E-6</v>
      </c>
      <c r="DV17" s="7">
        <f t="shared" si="18"/>
        <v>1.7960668863456399E-2</v>
      </c>
      <c r="DW17" s="7">
        <f t="shared" si="18"/>
        <v>8.9742503455504004E-3</v>
      </c>
      <c r="DX17" s="7">
        <f t="shared" si="18"/>
        <v>1.0768877038239999E-2</v>
      </c>
      <c r="DY17" s="7">
        <f t="shared" si="18"/>
        <v>5.7399033726224999E-3</v>
      </c>
      <c r="DZ17" s="7">
        <f t="shared" si="18"/>
        <v>1.0131298020900001E-3</v>
      </c>
      <c r="EA17" s="7">
        <f t="shared" ref="EA17:EG17" si="19">EA9^2</f>
        <v>2.6020277316320398E-2</v>
      </c>
      <c r="EB17" s="7">
        <f t="shared" si="19"/>
        <v>1.0411202446090002E-4</v>
      </c>
      <c r="EC17" s="7">
        <f t="shared" si="19"/>
        <v>5.4742877738648988E-3</v>
      </c>
      <c r="ED17" s="7">
        <f t="shared" si="19"/>
        <v>2.4767488653609997E-2</v>
      </c>
      <c r="EE17" s="7">
        <f t="shared" si="19"/>
        <v>6.2627518200025004E-3</v>
      </c>
      <c r="EF17" s="7">
        <f t="shared" si="19"/>
        <v>5.2603905651024997E-3</v>
      </c>
      <c r="EG17" s="7">
        <f t="shared" si="19"/>
        <v>2.0252323028349079E-2</v>
      </c>
    </row>
    <row r="18" spans="1:137" x14ac:dyDescent="0.3">
      <c r="B18" s="1" t="s">
        <v>138</v>
      </c>
      <c r="C18" s="7">
        <f t="shared" ref="C18:AH18" si="20">C10^2</f>
        <v>6.1300164367690001E-2</v>
      </c>
      <c r="D18" s="7">
        <f t="shared" si="20"/>
        <v>7.5456409064889984E-2</v>
      </c>
      <c r="E18" s="7">
        <f t="shared" si="20"/>
        <v>7.1653516225599996E-3</v>
      </c>
      <c r="F18" s="7">
        <f t="shared" si="20"/>
        <v>5.127792678369E-4</v>
      </c>
      <c r="G18" s="7">
        <f t="shared" si="20"/>
        <v>2.4681024000000004E-3</v>
      </c>
      <c r="H18" s="7">
        <f t="shared" si="20"/>
        <v>1.015249699216E-2</v>
      </c>
      <c r="I18" s="7">
        <f t="shared" si="20"/>
        <v>1.5681801528999998E-4</v>
      </c>
      <c r="J18" s="7">
        <f t="shared" si="20"/>
        <v>6.1994427311715993E-3</v>
      </c>
      <c r="K18" s="7">
        <f t="shared" si="20"/>
        <v>1.1686210620100001E-3</v>
      </c>
      <c r="L18" s="7">
        <f t="shared" si="20"/>
        <v>7.8157605181040993E-3</v>
      </c>
      <c r="M18" s="7">
        <f t="shared" si="20"/>
        <v>9.385032249999999E-6</v>
      </c>
      <c r="N18" s="7">
        <f t="shared" si="20"/>
        <v>4.5036479523999993E-2</v>
      </c>
      <c r="O18" s="7">
        <f t="shared" si="20"/>
        <v>1.3546374691600002E-3</v>
      </c>
      <c r="P18" s="7">
        <f t="shared" si="20"/>
        <v>5.0457041369344011E-3</v>
      </c>
      <c r="Q18" s="7">
        <f t="shared" si="20"/>
        <v>5.0781443732099991E-3</v>
      </c>
      <c r="R18" s="7">
        <f t="shared" si="20"/>
        <v>4.6485300420249994E-4</v>
      </c>
      <c r="S18" s="7">
        <f t="shared" si="20"/>
        <v>1.0223486898787599E-2</v>
      </c>
      <c r="T18" s="7">
        <f t="shared" si="20"/>
        <v>1.8683772835729002E-3</v>
      </c>
      <c r="U18" s="7">
        <f t="shared" si="20"/>
        <v>2.214724358025E-4</v>
      </c>
      <c r="V18" s="7">
        <f t="shared" si="20"/>
        <v>4.0018529040399998E-5</v>
      </c>
      <c r="W18" s="7">
        <f t="shared" si="20"/>
        <v>2.0607463808999995E-2</v>
      </c>
      <c r="X18" s="7">
        <f t="shared" si="20"/>
        <v>4.1322012368399993E-3</v>
      </c>
      <c r="Y18" s="7">
        <f t="shared" si="20"/>
        <v>3.6230076964000003E-4</v>
      </c>
      <c r="Z18" s="7">
        <f t="shared" si="20"/>
        <v>4.2619950915999996E-4</v>
      </c>
      <c r="AA18" s="7">
        <f t="shared" si="20"/>
        <v>1.0929325238208999E-3</v>
      </c>
      <c r="AB18" s="7">
        <f t="shared" si="20"/>
        <v>3.7706649124000002E-4</v>
      </c>
      <c r="AC18" s="7">
        <f t="shared" si="20"/>
        <v>3.9849928782399995E-3</v>
      </c>
      <c r="AD18" s="7">
        <f t="shared" si="20"/>
        <v>4.3072575220899998E-3</v>
      </c>
      <c r="AE18" s="7">
        <f t="shared" si="20"/>
        <v>1.9042807698662404E-2</v>
      </c>
      <c r="AF18" s="7">
        <f t="shared" si="20"/>
        <v>1.011390251041E-2</v>
      </c>
      <c r="AG18" s="7">
        <f t="shared" si="20"/>
        <v>1.4416525548099999E-3</v>
      </c>
      <c r="AH18" s="7">
        <f t="shared" si="20"/>
        <v>2.10125976025E-3</v>
      </c>
      <c r="AI18" s="7">
        <f t="shared" ref="AI18:BN18" si="21">AI10^2</f>
        <v>2.6044793628099997E-3</v>
      </c>
      <c r="AJ18" s="7">
        <f t="shared" si="21"/>
        <v>1.0370976159999999E-5</v>
      </c>
      <c r="AK18" s="7">
        <f t="shared" si="21"/>
        <v>2.3962983040000003E-7</v>
      </c>
      <c r="AL18" s="7">
        <f t="shared" si="21"/>
        <v>1.1330899940890002E-2</v>
      </c>
      <c r="AM18" s="7">
        <f t="shared" si="21"/>
        <v>1.8834817599999999E-4</v>
      </c>
      <c r="AN18" s="7">
        <f t="shared" si="21"/>
        <v>1.487538804609E-2</v>
      </c>
      <c r="AO18" s="7">
        <f t="shared" si="21"/>
        <v>2.36095894609E-3</v>
      </c>
      <c r="AP18" s="7">
        <f t="shared" si="21"/>
        <v>3.6221702400000003E-6</v>
      </c>
      <c r="AQ18" s="7">
        <f t="shared" si="21"/>
        <v>8.4491897490010005E-4</v>
      </c>
      <c r="AR18" s="7">
        <f t="shared" si="21"/>
        <v>2.7705242834928996E-3</v>
      </c>
      <c r="AS18" s="7">
        <f t="shared" si="21"/>
        <v>1.6623718489E-4</v>
      </c>
      <c r="AT18" s="7">
        <f t="shared" si="21"/>
        <v>4.5415872099999998E-6</v>
      </c>
      <c r="AU18" s="7">
        <f t="shared" si="21"/>
        <v>2.4144311763360002E-2</v>
      </c>
      <c r="AV18" s="7">
        <f t="shared" si="21"/>
        <v>1.608275439684E-4</v>
      </c>
      <c r="AW18" s="7">
        <f t="shared" si="21"/>
        <v>1.4261852928999999E-4</v>
      </c>
      <c r="AX18" s="7">
        <f t="shared" si="21"/>
        <v>1.8094814440000002E-5</v>
      </c>
      <c r="AY18" s="7">
        <f t="shared" si="21"/>
        <v>8.5854098275690003E-4</v>
      </c>
      <c r="AZ18" s="7">
        <f t="shared" si="21"/>
        <v>1.7990186256250002E-2</v>
      </c>
      <c r="BA18" s="7">
        <f t="shared" si="21"/>
        <v>1.8799563432249998E-2</v>
      </c>
      <c r="BB18" s="7">
        <f t="shared" si="21"/>
        <v>3.0788317155999996E-6</v>
      </c>
      <c r="BC18" s="7">
        <f t="shared" si="21"/>
        <v>6.3086971709439997E-4</v>
      </c>
      <c r="BD18" s="7">
        <f t="shared" si="21"/>
        <v>1.4304614483609999E-2</v>
      </c>
      <c r="BE18" s="7">
        <f t="shared" si="21"/>
        <v>1.8431225610722503E-2</v>
      </c>
      <c r="BF18" s="7">
        <f t="shared" si="21"/>
        <v>2.2175782919689E-3</v>
      </c>
      <c r="BG18" s="7">
        <f t="shared" si="21"/>
        <v>6.7860771001000003E-4</v>
      </c>
      <c r="BH18" s="7">
        <f t="shared" si="21"/>
        <v>1.9143040076176E-3</v>
      </c>
      <c r="BI18" s="7">
        <f t="shared" si="21"/>
        <v>6.6246251072400002E-3</v>
      </c>
      <c r="BJ18" s="7">
        <f t="shared" si="21"/>
        <v>1.0120520960640001E-2</v>
      </c>
      <c r="BK18" s="7">
        <f t="shared" si="21"/>
        <v>8.1884527686049008E-3</v>
      </c>
      <c r="BL18" s="7">
        <f t="shared" si="21"/>
        <v>9.5471730224999988E-4</v>
      </c>
      <c r="BM18" s="7">
        <f t="shared" si="21"/>
        <v>3.4591065927889E-3</v>
      </c>
      <c r="BN18" s="7">
        <f t="shared" si="21"/>
        <v>6.6171115200969006E-3</v>
      </c>
      <c r="BO18" s="7">
        <f t="shared" ref="BO18:CT18" si="22">BO10^2</f>
        <v>5.9542828960000002E-5</v>
      </c>
      <c r="BP18" s="7">
        <f t="shared" si="22"/>
        <v>1.1392332473916899E-2</v>
      </c>
      <c r="BQ18" s="7">
        <f t="shared" si="22"/>
        <v>7.3746462969000008E-4</v>
      </c>
      <c r="BR18" s="7">
        <f t="shared" si="22"/>
        <v>2.9627337609999999E-3</v>
      </c>
      <c r="BS18" s="7">
        <f t="shared" si="22"/>
        <v>4.6552373784900011E-3</v>
      </c>
      <c r="BT18" s="7">
        <f t="shared" si="22"/>
        <v>9.7243699333284007E-3</v>
      </c>
      <c r="BU18" s="7">
        <f t="shared" si="22"/>
        <v>1.6486185074131601E-2</v>
      </c>
      <c r="BV18" s="7">
        <f t="shared" si="22"/>
        <v>6.1469520062500003E-3</v>
      </c>
      <c r="BW18" s="7">
        <f t="shared" si="22"/>
        <v>1.4192838475689999E-2</v>
      </c>
      <c r="BX18" s="7">
        <f t="shared" si="22"/>
        <v>2.1986814780099997E-3</v>
      </c>
      <c r="BY18" s="7">
        <f t="shared" si="22"/>
        <v>1.0342554392722501E-2</v>
      </c>
      <c r="BZ18" s="7">
        <f t="shared" si="22"/>
        <v>6.5946753601000001E-4</v>
      </c>
      <c r="CA18" s="7">
        <f t="shared" si="22"/>
        <v>6.9391898832399995E-3</v>
      </c>
      <c r="CB18" s="7">
        <f t="shared" si="22"/>
        <v>2.4909551321760003E-2</v>
      </c>
      <c r="CC18" s="7">
        <f t="shared" si="22"/>
        <v>5.048471966759999E-3</v>
      </c>
      <c r="CD18" s="7">
        <f t="shared" si="22"/>
        <v>5.4575895002499999E-3</v>
      </c>
      <c r="CE18" s="7">
        <f t="shared" si="22"/>
        <v>5.6067846582250003E-2</v>
      </c>
      <c r="CF18" s="7">
        <f t="shared" si="22"/>
        <v>1.0645674598440999E-3</v>
      </c>
      <c r="CG18" s="7">
        <f t="shared" si="22"/>
        <v>1.801793451481E-4</v>
      </c>
      <c r="CH18" s="7">
        <f t="shared" si="22"/>
        <v>7.8215308899999996E-6</v>
      </c>
      <c r="CI18" s="7">
        <f t="shared" si="22"/>
        <v>2.2968727204900003E-3</v>
      </c>
      <c r="CJ18" s="7">
        <f t="shared" si="22"/>
        <v>1.0575504000000002E-5</v>
      </c>
      <c r="CK18" s="7">
        <f t="shared" si="22"/>
        <v>5.7317315472400002E-3</v>
      </c>
      <c r="CL18" s="7">
        <f t="shared" si="22"/>
        <v>1.9711202472899999E-3</v>
      </c>
      <c r="CM18" s="7">
        <f t="shared" si="22"/>
        <v>3.20369153501881E-2</v>
      </c>
      <c r="CN18" s="7">
        <f t="shared" si="22"/>
        <v>3.3633353528328999E-3</v>
      </c>
      <c r="CO18" s="7">
        <f t="shared" si="22"/>
        <v>1.9429627856039997E-2</v>
      </c>
      <c r="CP18" s="7">
        <f t="shared" si="22"/>
        <v>4.1879885132089E-3</v>
      </c>
      <c r="CQ18" s="7">
        <f t="shared" si="22"/>
        <v>3.2829055106410002E-2</v>
      </c>
      <c r="CR18" s="7">
        <f t="shared" si="22"/>
        <v>7.8558973222500016E-3</v>
      </c>
      <c r="CS18" s="7">
        <f t="shared" si="22"/>
        <v>6.4119355523999989E-4</v>
      </c>
      <c r="CT18" s="7">
        <f t="shared" si="22"/>
        <v>1.2786882856810001E-2</v>
      </c>
      <c r="CU18" s="7">
        <f t="shared" ref="CU18:DZ18" si="23">CU10^2</f>
        <v>6.5544568321599994E-5</v>
      </c>
      <c r="CV18" s="7">
        <f t="shared" si="23"/>
        <v>2.0430580800400002E-3</v>
      </c>
      <c r="CW18" s="7">
        <f t="shared" si="23"/>
        <v>3.4740650574399999E-3</v>
      </c>
      <c r="CX18" s="7">
        <f t="shared" si="23"/>
        <v>1.160538662089E-2</v>
      </c>
      <c r="CY18" s="7">
        <f t="shared" si="23"/>
        <v>9.3129255122500008E-3</v>
      </c>
      <c r="CZ18" s="7">
        <f t="shared" si="23"/>
        <v>4.424893152849E-2</v>
      </c>
      <c r="DA18" s="7">
        <f t="shared" si="23"/>
        <v>1.2091443513210001E-2</v>
      </c>
      <c r="DB18" s="7">
        <f t="shared" si="23"/>
        <v>3.6412463220250005E-2</v>
      </c>
      <c r="DC18" s="7">
        <f t="shared" si="23"/>
        <v>4.2962096529000003E-4</v>
      </c>
      <c r="DD18" s="7">
        <f t="shared" si="23"/>
        <v>7.5740625062281006E-3</v>
      </c>
      <c r="DE18" s="7">
        <f t="shared" si="23"/>
        <v>6.7280333646680991E-3</v>
      </c>
      <c r="DF18" s="7">
        <f t="shared" si="23"/>
        <v>2.7847833002889996E-2</v>
      </c>
      <c r="DG18" s="7">
        <f t="shared" si="23"/>
        <v>4.9478703882848099E-2</v>
      </c>
      <c r="DH18" s="7">
        <f t="shared" si="23"/>
        <v>2.082185508484E-2</v>
      </c>
      <c r="DI18" s="7">
        <f t="shared" si="23"/>
        <v>1.430892047601E-2</v>
      </c>
      <c r="DJ18" s="7">
        <f t="shared" si="23"/>
        <v>1.0321097011839999E-2</v>
      </c>
      <c r="DK18" s="7">
        <f t="shared" si="23"/>
        <v>8.6220621676036009E-3</v>
      </c>
      <c r="DL18" s="7">
        <f t="shared" si="23"/>
        <v>1.8173595302500001E-3</v>
      </c>
      <c r="DM18" s="7">
        <f t="shared" si="23"/>
        <v>6.8445954064849006E-3</v>
      </c>
      <c r="DN18" s="7">
        <f t="shared" si="23"/>
        <v>9.6407145025000009E-4</v>
      </c>
      <c r="DO18" s="7">
        <f t="shared" si="23"/>
        <v>9.6318521639999991E-3</v>
      </c>
      <c r="DP18" s="7">
        <f t="shared" si="23"/>
        <v>1.7053460803210001E-2</v>
      </c>
      <c r="DQ18" s="7">
        <f t="shared" si="23"/>
        <v>2.3673790887184E-3</v>
      </c>
      <c r="DR18" s="7">
        <f t="shared" si="23"/>
        <v>1.5407116536099998E-3</v>
      </c>
      <c r="DS18" s="7">
        <f t="shared" si="23"/>
        <v>2.5930725312040003E-2</v>
      </c>
      <c r="DT18" s="7">
        <f t="shared" si="23"/>
        <v>6.2226854559999994E-3</v>
      </c>
      <c r="DU18" s="7">
        <f t="shared" si="23"/>
        <v>2.6921311152122502E-2</v>
      </c>
      <c r="DV18" s="7">
        <f t="shared" si="23"/>
        <v>5.6328927667599998E-5</v>
      </c>
      <c r="DW18" s="7">
        <f t="shared" si="23"/>
        <v>1.0331746683040001E-2</v>
      </c>
      <c r="DX18" s="7">
        <f t="shared" si="23"/>
        <v>3.14051522409E-3</v>
      </c>
      <c r="DY18" s="7">
        <f t="shared" si="23"/>
        <v>1.1375651654889999E-2</v>
      </c>
      <c r="DZ18" s="7">
        <f t="shared" si="23"/>
        <v>4.7867856195600005E-3</v>
      </c>
      <c r="EA18" s="7">
        <f t="shared" ref="EA18:EG18" si="24">EA10^2</f>
        <v>1.5923588007689997E-2</v>
      </c>
      <c r="EB18" s="7">
        <f t="shared" si="24"/>
        <v>4.1908921164100004E-3</v>
      </c>
      <c r="EC18" s="7">
        <f t="shared" si="24"/>
        <v>2.6446427326880999E-3</v>
      </c>
      <c r="ED18" s="7">
        <f t="shared" si="24"/>
        <v>1.1900243806929002E-3</v>
      </c>
      <c r="EE18" s="7">
        <f t="shared" si="24"/>
        <v>2.486222554176E-2</v>
      </c>
      <c r="EF18" s="7">
        <f t="shared" si="24"/>
        <v>1.6174752399999996E-2</v>
      </c>
      <c r="EG18" s="7">
        <f t="shared" si="24"/>
        <v>2.526811904387603E-2</v>
      </c>
    </row>
    <row r="19" spans="1:137" x14ac:dyDescent="0.3">
      <c r="B19" s="1" t="s">
        <v>139</v>
      </c>
      <c r="C19" s="7">
        <f t="shared" ref="C19:AH19" si="25">C11^2</f>
        <v>2.9419775999999995E-3</v>
      </c>
      <c r="D19" s="7">
        <f t="shared" si="25"/>
        <v>2.0590721290000003E-3</v>
      </c>
      <c r="E19" s="7">
        <f t="shared" si="25"/>
        <v>3.1506249999999997E-4</v>
      </c>
      <c r="F19" s="7">
        <f t="shared" si="25"/>
        <v>7.6895361000000008E-3</v>
      </c>
      <c r="G19" s="7">
        <f t="shared" si="25"/>
        <v>1.0559412081000001E-2</v>
      </c>
      <c r="H19" s="7">
        <f t="shared" si="25"/>
        <v>6.3051210000000008E-6</v>
      </c>
      <c r="I19" s="7">
        <f t="shared" si="25"/>
        <v>3.3489000000000001E-4</v>
      </c>
      <c r="J19" s="7">
        <f t="shared" si="25"/>
        <v>4.8889632099999997E-4</v>
      </c>
      <c r="K19" s="7">
        <f t="shared" si="25"/>
        <v>5.9687985639999986E-3</v>
      </c>
      <c r="L19" s="7">
        <f t="shared" si="25"/>
        <v>8.7310336000000002E-5</v>
      </c>
      <c r="M19" s="7">
        <f t="shared" si="25"/>
        <v>2.8731744039999997E-3</v>
      </c>
      <c r="N19" s="7">
        <f t="shared" si="25"/>
        <v>4.6076943999999991E-3</v>
      </c>
      <c r="O19" s="7">
        <f t="shared" si="25"/>
        <v>4.2159049000000002E-3</v>
      </c>
      <c r="P19" s="7">
        <f t="shared" si="25"/>
        <v>2.3824160999999998E-5</v>
      </c>
      <c r="Q19" s="7">
        <f t="shared" si="25"/>
        <v>3.6856320399999997E-4</v>
      </c>
      <c r="R19" s="7">
        <f t="shared" si="25"/>
        <v>2.99209E-5</v>
      </c>
      <c r="S19" s="7">
        <f t="shared" si="25"/>
        <v>1.3359756010000001E-3</v>
      </c>
      <c r="T19" s="7">
        <f t="shared" si="25"/>
        <v>1.6688764225E-2</v>
      </c>
      <c r="U19" s="7">
        <f t="shared" si="25"/>
        <v>1.8747086399999998E-4</v>
      </c>
      <c r="V19" s="7">
        <f t="shared" si="25"/>
        <v>2.3393702499999999E-4</v>
      </c>
      <c r="W19" s="7">
        <f t="shared" si="25"/>
        <v>1.0959996100000001E-2</v>
      </c>
      <c r="X19" s="7">
        <f t="shared" si="25"/>
        <v>8.6347822500000004E-2</v>
      </c>
      <c r="Y19" s="7">
        <f t="shared" si="25"/>
        <v>3.5060609440000002E-3</v>
      </c>
      <c r="Z19" s="7">
        <f t="shared" si="25"/>
        <v>3.4206502499999999E-2</v>
      </c>
      <c r="AA19" s="7">
        <f t="shared" si="25"/>
        <v>9.6524730090000004E-3</v>
      </c>
      <c r="AB19" s="7">
        <f t="shared" si="25"/>
        <v>4.3560000000000001E-7</v>
      </c>
      <c r="AC19" s="7">
        <f t="shared" si="25"/>
        <v>1.0751616100000002E-2</v>
      </c>
      <c r="AD19" s="7">
        <f t="shared" si="25"/>
        <v>1.2567025E-5</v>
      </c>
      <c r="AE19" s="7">
        <f t="shared" si="25"/>
        <v>3.0835711201000003E-2</v>
      </c>
      <c r="AF19" s="7">
        <f t="shared" si="25"/>
        <v>2.40343009E-2</v>
      </c>
      <c r="AG19" s="7">
        <f t="shared" si="25"/>
        <v>6.9326890000000001E-4</v>
      </c>
      <c r="AH19" s="7">
        <f t="shared" si="25"/>
        <v>2.5000000000000001E-5</v>
      </c>
      <c r="AI19" s="7">
        <f t="shared" ref="AI19:BN19" si="26">AI11^2</f>
        <v>7.8781262399999993E-4</v>
      </c>
      <c r="AJ19" s="7">
        <f t="shared" si="26"/>
        <v>5.0086439999999998E-4</v>
      </c>
      <c r="AK19" s="7">
        <f t="shared" si="26"/>
        <v>2.2108803999999998E-3</v>
      </c>
      <c r="AL19" s="7">
        <f t="shared" si="26"/>
        <v>1.0314433599999999E-2</v>
      </c>
      <c r="AM19" s="7">
        <f t="shared" si="26"/>
        <v>5.5342562500000007E-4</v>
      </c>
      <c r="AN19" s="7">
        <f t="shared" si="26"/>
        <v>2.7588756250000001E-3</v>
      </c>
      <c r="AO19" s="7">
        <f t="shared" si="26"/>
        <v>3.4226010089999999E-3</v>
      </c>
      <c r="AP19" s="7">
        <f t="shared" si="26"/>
        <v>1.1187018089999997E-3</v>
      </c>
      <c r="AQ19" s="7">
        <f t="shared" si="26"/>
        <v>2.0449000000000002E-4</v>
      </c>
      <c r="AR19" s="7">
        <f t="shared" si="26"/>
        <v>1.2890972159999999E-3</v>
      </c>
      <c r="AS19" s="7">
        <f t="shared" si="26"/>
        <v>1.5826075239999998E-3</v>
      </c>
      <c r="AT19" s="7">
        <f t="shared" si="26"/>
        <v>2.2039183936E-2</v>
      </c>
      <c r="AU19" s="7">
        <f t="shared" si="26"/>
        <v>1.6638241E-3</v>
      </c>
      <c r="AV19" s="7">
        <f t="shared" si="26"/>
        <v>1.9309603681000001E-2</v>
      </c>
      <c r="AW19" s="7">
        <f t="shared" si="26"/>
        <v>3.583578769E-3</v>
      </c>
      <c r="AX19" s="7">
        <f t="shared" si="26"/>
        <v>2.2437044100000001E-2</v>
      </c>
      <c r="AY19" s="7">
        <f t="shared" si="26"/>
        <v>3.7940672159999999E-3</v>
      </c>
      <c r="AZ19" s="7">
        <f t="shared" si="26"/>
        <v>3.8378024999999997E-3</v>
      </c>
      <c r="BA19" s="7">
        <f t="shared" si="26"/>
        <v>5.7121000000000008E-6</v>
      </c>
      <c r="BB19" s="7">
        <f t="shared" si="26"/>
        <v>2.21622769E-2</v>
      </c>
      <c r="BC19" s="7">
        <f t="shared" si="26"/>
        <v>3.6422432010000004E-3</v>
      </c>
      <c r="BD19" s="7">
        <f t="shared" si="26"/>
        <v>2.1579609999999999E-4</v>
      </c>
      <c r="BE19" s="7">
        <f t="shared" si="26"/>
        <v>2.1468110400000004E-2</v>
      </c>
      <c r="BF19" s="7">
        <f t="shared" si="26"/>
        <v>4.3580737600000002E-2</v>
      </c>
      <c r="BG19" s="7">
        <f t="shared" si="26"/>
        <v>4.05780736E-2</v>
      </c>
      <c r="BH19" s="7">
        <f t="shared" si="26"/>
        <v>1.39358025E-2</v>
      </c>
      <c r="BI19" s="7">
        <f t="shared" si="26"/>
        <v>5.9336209000000004E-3</v>
      </c>
      <c r="BJ19" s="7">
        <f t="shared" si="26"/>
        <v>1.3118884000000001E-3</v>
      </c>
      <c r="BK19" s="7">
        <f t="shared" si="26"/>
        <v>3.5758809999999997E-4</v>
      </c>
      <c r="BL19" s="7">
        <f t="shared" si="26"/>
        <v>2.9329987599999999E-2</v>
      </c>
      <c r="BM19" s="7">
        <f t="shared" si="26"/>
        <v>1.7666928889E-2</v>
      </c>
      <c r="BN19" s="7">
        <f t="shared" si="26"/>
        <v>1.2895280999999999E-3</v>
      </c>
      <c r="BO19" s="7">
        <f t="shared" ref="BO19:CT19" si="27">BO11^2</f>
        <v>4.5560902499999995E-4</v>
      </c>
      <c r="BP19" s="7">
        <f t="shared" si="27"/>
        <v>2.4636332249999998E-3</v>
      </c>
      <c r="BQ19" s="7">
        <f t="shared" si="27"/>
        <v>2.9618409999999999E-4</v>
      </c>
      <c r="BR19" s="7">
        <f t="shared" si="27"/>
        <v>3.6034289928999999E-2</v>
      </c>
      <c r="BS19" s="7">
        <f t="shared" si="27"/>
        <v>9.5277121000000003E-3</v>
      </c>
      <c r="BT19" s="7">
        <f t="shared" si="27"/>
        <v>1.4311845609999998E-3</v>
      </c>
      <c r="BU19" s="7">
        <f t="shared" si="27"/>
        <v>3.1368960640000003E-3</v>
      </c>
      <c r="BV19" s="7">
        <f t="shared" si="27"/>
        <v>1.3628227599999999E-2</v>
      </c>
      <c r="BW19" s="7">
        <f t="shared" si="27"/>
        <v>1.9971342400000001E-2</v>
      </c>
      <c r="BX19" s="7">
        <f t="shared" si="27"/>
        <v>1.1424400000000002E-5</v>
      </c>
      <c r="BY19" s="7">
        <f t="shared" si="27"/>
        <v>1.6987472896000003E-2</v>
      </c>
      <c r="BZ19" s="7">
        <f t="shared" si="27"/>
        <v>1.0047632039999997E-3</v>
      </c>
      <c r="CA19" s="7">
        <f t="shared" si="27"/>
        <v>1.6447080250000001E-3</v>
      </c>
      <c r="CB19" s="7">
        <f t="shared" si="27"/>
        <v>1.7673616E-3</v>
      </c>
      <c r="CC19" s="7">
        <f t="shared" si="27"/>
        <v>2.5014001960000005E-3</v>
      </c>
      <c r="CD19" s="7">
        <f t="shared" si="27"/>
        <v>4.6867715999999986E-3</v>
      </c>
      <c r="CE19" s="7">
        <f t="shared" si="27"/>
        <v>6.5334888999999995E-3</v>
      </c>
      <c r="CF19" s="7">
        <f t="shared" si="27"/>
        <v>3.8024999999999996E-6</v>
      </c>
      <c r="CG19" s="7">
        <f t="shared" si="27"/>
        <v>1.3973604099999998E-2</v>
      </c>
      <c r="CH19" s="7">
        <f t="shared" si="27"/>
        <v>1.3483584000000002E-3</v>
      </c>
      <c r="CI19" s="7">
        <f t="shared" si="27"/>
        <v>6.9438889000000004E-3</v>
      </c>
      <c r="CJ19" s="7">
        <f t="shared" si="27"/>
        <v>5.3210032928999992E-2</v>
      </c>
      <c r="CK19" s="7">
        <f t="shared" si="27"/>
        <v>1.7630262841000003E-2</v>
      </c>
      <c r="CL19" s="7">
        <f t="shared" si="27"/>
        <v>1.9962016369E-2</v>
      </c>
      <c r="CM19" s="7">
        <f t="shared" si="27"/>
        <v>1.26990361E-2</v>
      </c>
      <c r="CN19" s="7">
        <f t="shared" si="27"/>
        <v>4.9947333120999998E-2</v>
      </c>
      <c r="CO19" s="7">
        <f t="shared" si="27"/>
        <v>1.09035364E-2</v>
      </c>
      <c r="CP19" s="7">
        <f t="shared" si="27"/>
        <v>2.082249E-4</v>
      </c>
      <c r="CQ19" s="7">
        <f t="shared" si="27"/>
        <v>4.2944272899999997E-2</v>
      </c>
      <c r="CR19" s="7">
        <f t="shared" si="27"/>
        <v>1.8187219600000002E-2</v>
      </c>
      <c r="CS19" s="7">
        <f t="shared" si="27"/>
        <v>5.3301680640000003E-3</v>
      </c>
      <c r="CT19" s="7">
        <f t="shared" si="27"/>
        <v>9.132484E-4</v>
      </c>
      <c r="CU19" s="7">
        <f t="shared" ref="CU19:DZ19" si="28">CU11^2</f>
        <v>8.2305872099999983E-2</v>
      </c>
      <c r="CV19" s="7">
        <f t="shared" si="28"/>
        <v>5.3236794360999998E-2</v>
      </c>
      <c r="CW19" s="7">
        <f t="shared" si="28"/>
        <v>8.2948377760000015E-3</v>
      </c>
      <c r="CX19" s="7">
        <f t="shared" si="28"/>
        <v>1.5003800100000001E-2</v>
      </c>
      <c r="CY19" s="7">
        <f t="shared" si="28"/>
        <v>6.1437379239999987E-3</v>
      </c>
      <c r="CZ19" s="7">
        <f t="shared" si="28"/>
        <v>2.1114024999999998E-3</v>
      </c>
      <c r="DA19" s="7">
        <f t="shared" si="28"/>
        <v>6.8343288999999988E-3</v>
      </c>
      <c r="DB19" s="7">
        <f t="shared" si="28"/>
        <v>2.2305123801000002E-2</v>
      </c>
      <c r="DC19" s="7">
        <f t="shared" si="28"/>
        <v>2.2848400000000002E-3</v>
      </c>
      <c r="DD19" s="7">
        <f t="shared" si="28"/>
        <v>2.7063540099999995E-2</v>
      </c>
      <c r="DE19" s="7">
        <f t="shared" si="28"/>
        <v>1.22257249E-2</v>
      </c>
      <c r="DF19" s="7">
        <f t="shared" si="28"/>
        <v>3.2967118890000003E-3</v>
      </c>
      <c r="DG19" s="7">
        <f t="shared" si="28"/>
        <v>4.6177712099999997E-2</v>
      </c>
      <c r="DH19" s="7">
        <f t="shared" si="28"/>
        <v>3.9686220089999993E-3</v>
      </c>
      <c r="DI19" s="7">
        <f t="shared" si="28"/>
        <v>4.5861338410000006E-3</v>
      </c>
      <c r="DJ19" s="7">
        <f t="shared" si="28"/>
        <v>1.4113915204E-2</v>
      </c>
      <c r="DK19" s="7">
        <f t="shared" si="28"/>
        <v>5.3042089000000008E-5</v>
      </c>
      <c r="DL19" s="7">
        <f t="shared" si="28"/>
        <v>5.086685040999999E-3</v>
      </c>
      <c r="DM19" s="7">
        <f t="shared" si="28"/>
        <v>4.4192448399999997E-4</v>
      </c>
      <c r="DN19" s="7">
        <f t="shared" si="28"/>
        <v>9.2416000000000004E-4</v>
      </c>
      <c r="DO19" s="7">
        <f t="shared" si="28"/>
        <v>9.3993024999999997E-3</v>
      </c>
      <c r="DP19" s="7">
        <f t="shared" si="28"/>
        <v>5.3213262399999996E-2</v>
      </c>
      <c r="DQ19" s="7">
        <f t="shared" si="28"/>
        <v>5.6731617856000005E-2</v>
      </c>
      <c r="DR19" s="7">
        <f t="shared" si="28"/>
        <v>1.2780625000000001E-5</v>
      </c>
      <c r="DS19" s="7">
        <f t="shared" si="28"/>
        <v>1.7944209935999999E-2</v>
      </c>
      <c r="DT19" s="7">
        <f t="shared" si="28"/>
        <v>1.3249391236E-2</v>
      </c>
      <c r="DU19" s="7">
        <f t="shared" si="28"/>
        <v>1.0832646400000001E-2</v>
      </c>
      <c r="DV19" s="7">
        <f t="shared" si="28"/>
        <v>2.9822520999999999E-3</v>
      </c>
      <c r="DW19" s="7">
        <f t="shared" si="28"/>
        <v>1.1082240999999999E-3</v>
      </c>
      <c r="DX19" s="7">
        <f t="shared" si="28"/>
        <v>3.0354590249999998E-3</v>
      </c>
      <c r="DY19" s="7">
        <f t="shared" si="28"/>
        <v>4.7326144359999996E-3</v>
      </c>
      <c r="DZ19" s="7">
        <f t="shared" si="28"/>
        <v>2.0969936100000003E-4</v>
      </c>
      <c r="EA19" s="7">
        <f t="shared" ref="EA19:EG19" si="29">EA11^2</f>
        <v>8.5931059600000012E-2</v>
      </c>
      <c r="EB19" s="7">
        <f t="shared" si="29"/>
        <v>1.98753604E-2</v>
      </c>
      <c r="EC19" s="7">
        <f t="shared" si="29"/>
        <v>1.4908410000000002E-4</v>
      </c>
      <c r="ED19" s="7">
        <f t="shared" si="29"/>
        <v>3.3835162239999996E-3</v>
      </c>
      <c r="EE19" s="7">
        <f t="shared" si="29"/>
        <v>2.0851359999999999E-2</v>
      </c>
      <c r="EF19" s="7">
        <f t="shared" si="29"/>
        <v>9.4109400999999992E-3</v>
      </c>
      <c r="EG19" s="7">
        <f t="shared" si="29"/>
        <v>0</v>
      </c>
    </row>
    <row r="21" spans="1:137" x14ac:dyDescent="0.3">
      <c r="A21" t="s">
        <v>168</v>
      </c>
      <c r="B21">
        <f>1-SUM(C13:EF15)/SUM(C17:EF19)</f>
        <v>3.509484856089895E-2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夏普比率</vt:lpstr>
      <vt:lpstr>NN5再投資累積報酬</vt:lpstr>
      <vt:lpstr>勝率</vt:lpstr>
      <vt:lpstr>累積報酬</vt:lpstr>
      <vt:lpstr>畫圖</vt:lpstr>
      <vt:lpstr>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2025-06-02T09:41:10Z</dcterms:modified>
</cp:coreProperties>
</file>