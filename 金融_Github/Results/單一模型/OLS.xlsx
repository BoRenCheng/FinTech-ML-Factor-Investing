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Raych\OneDrive\桌面\金融科技與應用\0415作業\"/>
    </mc:Choice>
  </mc:AlternateContent>
  <xr:revisionPtr revIDLastSave="0" documentId="13_ncr:1_{E5C80471-2CF9-430B-A81A-4104A8E3A88A}" xr6:coauthVersionLast="47" xr6:coauthVersionMax="47" xr10:uidLastSave="{00000000-0000-0000-0000-000000000000}"/>
  <bookViews>
    <workbookView xWindow="-108" yWindow="-108" windowWidth="23256" windowHeight="12456" firstSheet="7" activeTab="11" xr2:uid="{00000000-000D-0000-FFFF-FFFF00000000}"/>
  </bookViews>
  <sheets>
    <sheet name="真實IC" sheetId="1" r:id="rId1"/>
    <sheet name="預測IC" sheetId="2" r:id="rId2"/>
    <sheet name="真實勝率" sheetId="3" r:id="rId3"/>
    <sheet name="預測(OLS)勝率" sheetId="4" r:id="rId4"/>
    <sheet name="真實累積報酬" sheetId="5" r:id="rId5"/>
    <sheet name="預測(OLS)累積報酬" sheetId="6" r:id="rId6"/>
    <sheet name="畫圖(真實)" sheetId="7" r:id="rId7"/>
    <sheet name="畫圖(預測)" sheetId="8" r:id="rId8"/>
    <sheet name="真實IC再投資累積報酬" sheetId="9" r:id="rId9"/>
    <sheet name="OLS再投資累積報酬" sheetId="10" r:id="rId10"/>
    <sheet name="預測OLS夏普比率" sheetId="11" r:id="rId11"/>
    <sheet name="真實OLS夏普比率" sheetId="12" r:id="rId12"/>
  </sheets>
  <externalReferences>
    <externalReference r:id="rId13"/>
    <externalReference r:id="rId1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H24" i="12" l="1"/>
  <c r="EG24" i="12"/>
  <c r="EI24" i="12" s="1"/>
  <c r="EH23" i="12"/>
  <c r="EG23" i="12"/>
  <c r="EI23" i="12" s="1"/>
  <c r="EH22" i="12"/>
  <c r="EG22" i="12"/>
  <c r="EI22" i="12" s="1"/>
  <c r="EH21" i="12"/>
  <c r="EG21" i="12"/>
  <c r="EI21" i="12" s="1"/>
  <c r="EH20" i="12"/>
  <c r="EI20" i="12" s="1"/>
  <c r="EG20" i="12"/>
  <c r="EH19" i="12"/>
  <c r="EG19" i="12"/>
  <c r="EI19" i="12" s="1"/>
  <c r="EH18" i="12"/>
  <c r="EG18" i="12"/>
  <c r="EI18" i="12" s="1"/>
  <c r="EH17" i="12"/>
  <c r="EG17" i="12"/>
  <c r="EI17" i="12" s="1"/>
  <c r="EH16" i="12"/>
  <c r="EG16" i="12"/>
  <c r="EI16" i="12" s="1"/>
  <c r="EH15" i="12"/>
  <c r="EG15" i="12"/>
  <c r="EI15" i="12" s="1"/>
  <c r="EH14" i="12"/>
  <c r="EG14" i="12"/>
  <c r="EI14" i="12" s="1"/>
  <c r="EH13" i="12"/>
  <c r="EG13" i="12"/>
  <c r="EI13" i="12" s="1"/>
  <c r="EH12" i="12"/>
  <c r="EG12" i="12"/>
  <c r="EI12" i="12" s="1"/>
  <c r="EB8" i="12"/>
  <c r="DE8" i="12"/>
  <c r="DD8" i="12"/>
  <c r="DC8" i="12"/>
  <c r="CO8" i="12"/>
  <c r="CN8" i="12"/>
  <c r="CM8" i="12"/>
  <c r="BY8" i="12"/>
  <c r="BX8" i="12"/>
  <c r="BI8" i="12"/>
  <c r="BH8" i="12"/>
  <c r="BG8" i="12"/>
  <c r="AQ8" i="12"/>
  <c r="AC8" i="12"/>
  <c r="AB8" i="12"/>
  <c r="AA8" i="12"/>
  <c r="M8" i="12"/>
  <c r="L8" i="12"/>
  <c r="K8" i="12"/>
  <c r="D8" i="12"/>
  <c r="CW7" i="12"/>
  <c r="CV7" i="12"/>
  <c r="CU7" i="12"/>
  <c r="CO7" i="12"/>
  <c r="CN7" i="12"/>
  <c r="CM7" i="12"/>
  <c r="CF7" i="12"/>
  <c r="BP7" i="12"/>
  <c r="BO7" i="12"/>
  <c r="BJ7" i="12"/>
  <c r="BA7" i="12"/>
  <c r="AZ7" i="12"/>
  <c r="AY7" i="12"/>
  <c r="AQ7" i="12"/>
  <c r="AK7" i="12"/>
  <c r="AJ7" i="12"/>
  <c r="U7" i="12"/>
  <c r="T7" i="12"/>
  <c r="S7" i="12"/>
  <c r="D7" i="12"/>
  <c r="C7" i="12"/>
  <c r="EF6" i="12" a="1"/>
  <c r="EF6" i="12" s="1"/>
  <c r="EE6" i="12" a="1"/>
  <c r="EE6" i="12" s="1"/>
  <c r="ED6" i="12" a="1"/>
  <c r="ED6" i="12" s="1"/>
  <c r="EC6" i="12" a="1"/>
  <c r="EC6" i="12" s="1"/>
  <c r="EB6" i="12" a="1"/>
  <c r="EB6" i="12" s="1"/>
  <c r="EB7" i="12" s="1"/>
  <c r="EA6" i="12" a="1"/>
  <c r="EA6" i="12" s="1"/>
  <c r="EA8" i="12" s="1"/>
  <c r="DZ6" i="12" a="1"/>
  <c r="DZ6" i="12" s="1"/>
  <c r="DY6" i="12" a="1"/>
  <c r="DY6" i="12" s="1"/>
  <c r="DX6" i="12" a="1"/>
  <c r="DX6" i="12" s="1"/>
  <c r="DW6" i="12" a="1"/>
  <c r="DW6" i="12" s="1"/>
  <c r="DV6" i="12" a="1"/>
  <c r="DV6" i="12" s="1"/>
  <c r="DU6" i="12" a="1"/>
  <c r="DU6" i="12" s="1"/>
  <c r="DU8" i="12" s="1"/>
  <c r="DT6" i="12" a="1"/>
  <c r="DT6" i="12" s="1"/>
  <c r="DT7" i="12" s="1"/>
  <c r="DS6" i="12" a="1"/>
  <c r="DS6" i="12" s="1"/>
  <c r="DS7" i="12" s="1"/>
  <c r="DR6" i="12"/>
  <c r="DR6" i="12" a="1"/>
  <c r="DQ6" i="12" a="1"/>
  <c r="DQ6" i="12" s="1"/>
  <c r="DP6" i="12" a="1"/>
  <c r="DP6" i="12" s="1"/>
  <c r="DO6" i="12" a="1"/>
  <c r="DO6" i="12" s="1"/>
  <c r="DN6" i="12" a="1"/>
  <c r="DN6" i="12" s="1"/>
  <c r="DM6" i="12" a="1"/>
  <c r="DM6" i="12" s="1"/>
  <c r="DM7" i="12" s="1"/>
  <c r="DL6" i="12" a="1"/>
  <c r="DL6" i="12" s="1"/>
  <c r="DL7" i="12" s="1"/>
  <c r="DK6" i="12" a="1"/>
  <c r="DK6" i="12" s="1"/>
  <c r="DK8" i="12" s="1"/>
  <c r="DJ6" i="12" a="1"/>
  <c r="DJ6" i="12" s="1"/>
  <c r="DI6" i="12" a="1"/>
  <c r="DI6" i="12" s="1"/>
  <c r="DH6" i="12" a="1"/>
  <c r="DH6" i="12" s="1"/>
  <c r="DG6" i="12" a="1"/>
  <c r="DG6" i="12" s="1"/>
  <c r="DF6" i="12" a="1"/>
  <c r="DF6" i="12" s="1"/>
  <c r="DE6" i="12" a="1"/>
  <c r="DE6" i="12" s="1"/>
  <c r="DE7" i="12" s="1"/>
  <c r="DD6" i="12" a="1"/>
  <c r="DD6" i="12" s="1"/>
  <c r="DD7" i="12" s="1"/>
  <c r="DC6" i="12" a="1"/>
  <c r="DC6" i="12" s="1"/>
  <c r="DC7" i="12" s="1"/>
  <c r="DB6" i="12" a="1"/>
  <c r="DB6" i="12" s="1"/>
  <c r="DA6" i="12" a="1"/>
  <c r="DA6" i="12" s="1"/>
  <c r="CZ6" i="12" a="1"/>
  <c r="CZ6" i="12" s="1"/>
  <c r="CY6" i="12"/>
  <c r="CY6" i="12" a="1"/>
  <c r="CX6" i="12"/>
  <c r="CX7" i="12" s="1"/>
  <c r="CX6" i="12" a="1"/>
  <c r="CW6" i="12" a="1"/>
  <c r="CW6" i="12" s="1"/>
  <c r="CW8" i="12" s="1"/>
  <c r="CV6" i="12" a="1"/>
  <c r="CV6" i="12" s="1"/>
  <c r="CV8" i="12" s="1"/>
  <c r="CU6" i="12" a="1"/>
  <c r="CU6" i="12" s="1"/>
  <c r="CU8" i="12" s="1"/>
  <c r="CT6" i="12" a="1"/>
  <c r="CT6" i="12" s="1"/>
  <c r="CS6" i="12" a="1"/>
  <c r="CS6" i="12" s="1"/>
  <c r="CR6" i="12" a="1"/>
  <c r="CR6" i="12" s="1"/>
  <c r="CQ6" i="12" a="1"/>
  <c r="CQ6" i="12" s="1"/>
  <c r="CP6" i="12" a="1"/>
  <c r="CP6" i="12" s="1"/>
  <c r="CO6" i="12" a="1"/>
  <c r="CO6" i="12" s="1"/>
  <c r="CN6" i="12" a="1"/>
  <c r="CN6" i="12" s="1"/>
  <c r="CM6" i="12" a="1"/>
  <c r="CM6" i="12" s="1"/>
  <c r="CL6" i="12" a="1"/>
  <c r="CL6" i="12" s="1"/>
  <c r="CK6" i="12" a="1"/>
  <c r="CK6" i="12" s="1"/>
  <c r="CJ6" i="12" a="1"/>
  <c r="CJ6" i="12" s="1"/>
  <c r="CI6" i="12" a="1"/>
  <c r="CI6" i="12" s="1"/>
  <c r="CH6" i="12" a="1"/>
  <c r="CH6" i="12" s="1"/>
  <c r="CG6" i="12" a="1"/>
  <c r="CG6" i="12" s="1"/>
  <c r="CG7" i="12" s="1"/>
  <c r="CF6" i="12" a="1"/>
  <c r="CF6" i="12" s="1"/>
  <c r="CF8" i="12" s="1"/>
  <c r="CE6" i="12" a="1"/>
  <c r="CE6" i="12" s="1"/>
  <c r="CD6" i="12" a="1"/>
  <c r="CD6" i="12" s="1"/>
  <c r="CC6" i="12" a="1"/>
  <c r="CC6" i="12" s="1"/>
  <c r="CB6" i="12" a="1"/>
  <c r="CB6" i="12" s="1"/>
  <c r="CA6" i="12" a="1"/>
  <c r="CA6" i="12" s="1"/>
  <c r="BZ6" i="12" a="1"/>
  <c r="BZ6" i="12" s="1"/>
  <c r="BY6" i="12" a="1"/>
  <c r="BY6" i="12" s="1"/>
  <c r="BY7" i="12" s="1"/>
  <c r="BX6" i="12" a="1"/>
  <c r="BX6" i="12" s="1"/>
  <c r="BX7" i="12" s="1"/>
  <c r="BW6" i="12" a="1"/>
  <c r="BW6" i="12" s="1"/>
  <c r="BW8" i="12" s="1"/>
  <c r="BV6" i="12" a="1"/>
  <c r="BV6" i="12" s="1"/>
  <c r="BU6" i="12"/>
  <c r="BU6" i="12" a="1"/>
  <c r="BT6" i="12" a="1"/>
  <c r="BT6" i="12" s="1"/>
  <c r="BS6" i="12" a="1"/>
  <c r="BS6" i="12" s="1"/>
  <c r="BR6" i="12" a="1"/>
  <c r="BR6" i="12" s="1"/>
  <c r="BQ6" i="12" a="1"/>
  <c r="BQ6" i="12" s="1"/>
  <c r="BQ7" i="12" s="1"/>
  <c r="BP6" i="12" a="1"/>
  <c r="BP6" i="12" s="1"/>
  <c r="BP8" i="12" s="1"/>
  <c r="BO6" i="12" a="1"/>
  <c r="BO6" i="12" s="1"/>
  <c r="BO8" i="12" s="1"/>
  <c r="BN6" i="12" a="1"/>
  <c r="BN6" i="12" s="1"/>
  <c r="BM6" i="12" a="1"/>
  <c r="BM6" i="12" s="1"/>
  <c r="BL6" i="12" a="1"/>
  <c r="BL6" i="12" s="1"/>
  <c r="BK6" i="12" a="1"/>
  <c r="BK6" i="12" s="1"/>
  <c r="BJ6" i="12" a="1"/>
  <c r="BJ6" i="12" s="1"/>
  <c r="BJ8" i="12" s="1"/>
  <c r="BI6" i="12" a="1"/>
  <c r="BI6" i="12" s="1"/>
  <c r="BI7" i="12" s="1"/>
  <c r="BH6" i="12" a="1"/>
  <c r="BH6" i="12" s="1"/>
  <c r="BH7" i="12" s="1"/>
  <c r="BG6" i="12" a="1"/>
  <c r="BG6" i="12" s="1"/>
  <c r="BG7" i="12" s="1"/>
  <c r="BF6" i="12" a="1"/>
  <c r="BF6" i="12" s="1"/>
  <c r="BE6" i="12" a="1"/>
  <c r="BE6" i="12" s="1"/>
  <c r="BD6" i="12" a="1"/>
  <c r="BD6" i="12" s="1"/>
  <c r="BC6" i="12" a="1"/>
  <c r="BC6" i="12" s="1"/>
  <c r="BB6" i="12"/>
  <c r="BB6" i="12" a="1"/>
  <c r="BA6" i="12" a="1"/>
  <c r="BA6" i="12" s="1"/>
  <c r="BA8" i="12" s="1"/>
  <c r="AZ6" i="12" a="1"/>
  <c r="AZ6" i="12" s="1"/>
  <c r="AZ8" i="12" s="1"/>
  <c r="AY6" i="12" a="1"/>
  <c r="AY6" i="12" s="1"/>
  <c r="AY8" i="12" s="1"/>
  <c r="AX6" i="12" a="1"/>
  <c r="AX6" i="12" s="1"/>
  <c r="AW6" i="12" a="1"/>
  <c r="AW6" i="12" s="1"/>
  <c r="AV6" i="12" a="1"/>
  <c r="AV6" i="12" s="1"/>
  <c r="AU6" i="12" a="1"/>
  <c r="AU6" i="12" s="1"/>
  <c r="AT6" i="12" a="1"/>
  <c r="AT6" i="12" s="1"/>
  <c r="AS6" i="12" a="1"/>
  <c r="AS6" i="12" s="1"/>
  <c r="AS8" i="12" s="1"/>
  <c r="AR6" i="12" a="1"/>
  <c r="AR6" i="12" s="1"/>
  <c r="AQ6" i="12" a="1"/>
  <c r="AQ6" i="12" s="1"/>
  <c r="AP6" i="12" a="1"/>
  <c r="AP6" i="12" s="1"/>
  <c r="AO6" i="12" a="1"/>
  <c r="AO6" i="12" s="1"/>
  <c r="AN6" i="12" a="1"/>
  <c r="AN6" i="12" s="1"/>
  <c r="AM6" i="12" a="1"/>
  <c r="AM6" i="12" s="1"/>
  <c r="AL6" i="12" a="1"/>
  <c r="AL6" i="12" s="1"/>
  <c r="AK6" i="12" a="1"/>
  <c r="AK6" i="12" s="1"/>
  <c r="AK8" i="12" s="1"/>
  <c r="AJ6" i="12" a="1"/>
  <c r="AJ6" i="12" s="1"/>
  <c r="AJ8" i="12" s="1"/>
  <c r="AI6" i="12" a="1"/>
  <c r="AI6" i="12" s="1"/>
  <c r="AI8" i="12" s="1"/>
  <c r="AH6" i="12" a="1"/>
  <c r="AH6" i="12" s="1"/>
  <c r="AG6" i="12" a="1"/>
  <c r="AG6" i="12" s="1"/>
  <c r="AF6" i="12" a="1"/>
  <c r="AF6" i="12" s="1"/>
  <c r="AE6" i="12" a="1"/>
  <c r="AE6" i="12" s="1"/>
  <c r="AD6" i="12" a="1"/>
  <c r="AD6" i="12" s="1"/>
  <c r="AC6" i="12" a="1"/>
  <c r="AC6" i="12" s="1"/>
  <c r="AC7" i="12" s="1"/>
  <c r="AB6" i="12" a="1"/>
  <c r="AB6" i="12" s="1"/>
  <c r="AB7" i="12" s="1"/>
  <c r="AA6" i="12" a="1"/>
  <c r="AA6" i="12" s="1"/>
  <c r="AA7" i="12" s="1"/>
  <c r="Z6" i="12" a="1"/>
  <c r="Z6" i="12" s="1"/>
  <c r="Y6" i="12" a="1"/>
  <c r="Y6" i="12" s="1"/>
  <c r="X6" i="12"/>
  <c r="X6" i="12" a="1"/>
  <c r="W6" i="12" a="1"/>
  <c r="W6" i="12" s="1"/>
  <c r="V6" i="12" a="1"/>
  <c r="V6" i="12" s="1"/>
  <c r="U6" i="12" a="1"/>
  <c r="U6" i="12" s="1"/>
  <c r="U8" i="12" s="1"/>
  <c r="T6" i="12" a="1"/>
  <c r="T6" i="12" s="1"/>
  <c r="T8" i="12" s="1"/>
  <c r="S6" i="12" a="1"/>
  <c r="S6" i="12" s="1"/>
  <c r="S8" i="12" s="1"/>
  <c r="R6" i="12" a="1"/>
  <c r="R6" i="12" s="1"/>
  <c r="Q6" i="12" a="1"/>
  <c r="Q6" i="12" s="1"/>
  <c r="P6" i="12" a="1"/>
  <c r="P6" i="12" s="1"/>
  <c r="O6" i="12" a="1"/>
  <c r="O6" i="12" s="1"/>
  <c r="O8" i="12" s="1"/>
  <c r="N6" i="12" a="1"/>
  <c r="N6" i="12" s="1"/>
  <c r="M6" i="12" a="1"/>
  <c r="M6" i="12" s="1"/>
  <c r="M7" i="12" s="1"/>
  <c r="L6" i="12" a="1"/>
  <c r="L6" i="12" s="1"/>
  <c r="L7" i="12" s="1"/>
  <c r="K6" i="12" a="1"/>
  <c r="K6" i="12" s="1"/>
  <c r="K7" i="12" s="1"/>
  <c r="J6" i="12" a="1"/>
  <c r="J6" i="12" s="1"/>
  <c r="I6" i="12" a="1"/>
  <c r="I6" i="12" s="1"/>
  <c r="H6" i="12" a="1"/>
  <c r="H6" i="12" s="1"/>
  <c r="G6" i="12" a="1"/>
  <c r="G6" i="12" s="1"/>
  <c r="F6" i="12" a="1"/>
  <c r="F6" i="12" s="1"/>
  <c r="E6" i="12" a="1"/>
  <c r="E6" i="12" s="1"/>
  <c r="D6" i="12" a="1"/>
  <c r="D6" i="12" s="1"/>
  <c r="C6" i="12" a="1"/>
  <c r="C6" i="12" s="1"/>
  <c r="C8" i="12" s="1"/>
  <c r="EG4" i="12"/>
  <c r="EG3" i="12"/>
  <c r="EG6" i="12" s="1" a="1"/>
  <c r="EG6" i="12" s="1"/>
  <c r="EH25" i="11"/>
  <c r="EI25" i="11" s="1"/>
  <c r="EG25" i="11"/>
  <c r="EH24" i="11"/>
  <c r="EG24" i="11"/>
  <c r="EI24" i="11" s="1"/>
  <c r="EH23" i="11"/>
  <c r="EI23" i="11" s="1"/>
  <c r="EG23" i="11"/>
  <c r="EH22" i="11"/>
  <c r="EG22" i="11"/>
  <c r="EI22" i="11" s="1"/>
  <c r="EI21" i="11"/>
  <c r="EH21" i="11"/>
  <c r="EG21" i="11"/>
  <c r="EI20" i="11"/>
  <c r="EH20" i="11"/>
  <c r="EG20" i="11"/>
  <c r="EH19" i="11"/>
  <c r="EG19" i="11"/>
  <c r="EI19" i="11" s="1"/>
  <c r="EH18" i="11"/>
  <c r="EG18" i="11"/>
  <c r="EI18" i="11" s="1"/>
  <c r="EH17" i="11"/>
  <c r="EG17" i="11"/>
  <c r="EI17" i="11" s="1"/>
  <c r="EH16" i="11"/>
  <c r="EI16" i="11" s="1"/>
  <c r="EG16" i="11"/>
  <c r="EH15" i="11"/>
  <c r="EI15" i="11" s="1"/>
  <c r="EG15" i="11"/>
  <c r="EI14" i="11"/>
  <c r="EH14" i="11"/>
  <c r="EG14" i="11"/>
  <c r="EH13" i="11"/>
  <c r="EG13" i="11"/>
  <c r="EI13" i="11" s="1"/>
  <c r="EI12" i="11"/>
  <c r="EH12" i="11"/>
  <c r="EG12" i="11"/>
  <c r="DX8" i="11"/>
  <c r="DV8" i="11"/>
  <c r="DH8" i="11"/>
  <c r="DF8" i="11"/>
  <c r="CR8" i="11"/>
  <c r="CP8" i="11"/>
  <c r="CB8" i="11"/>
  <c r="BZ8" i="11"/>
  <c r="BL8" i="11"/>
  <c r="BJ8" i="11"/>
  <c r="AV8" i="11"/>
  <c r="AT8" i="11"/>
  <c r="AF8" i="11"/>
  <c r="AD8" i="11"/>
  <c r="N8" i="11"/>
  <c r="DN7" i="11"/>
  <c r="CX7" i="11"/>
  <c r="CH7" i="11"/>
  <c r="BR7" i="11"/>
  <c r="BB7" i="11"/>
  <c r="AL7" i="11"/>
  <c r="V7" i="11"/>
  <c r="F7" i="11"/>
  <c r="EG6" i="11" a="1"/>
  <c r="EG6" i="11" s="1"/>
  <c r="EF6" i="11"/>
  <c r="EF8" i="11" s="1"/>
  <c r="EF6" i="11" a="1"/>
  <c r="EE6" i="11" a="1"/>
  <c r="EE6" i="11" s="1"/>
  <c r="ED6" i="11"/>
  <c r="ED8" i="11" s="1"/>
  <c r="ED6" i="11" a="1"/>
  <c r="EC6" i="11" a="1"/>
  <c r="EC6" i="11" s="1"/>
  <c r="EB6" i="11" a="1"/>
  <c r="EB6" i="11" s="1"/>
  <c r="EA6" i="11" a="1"/>
  <c r="EA6" i="11" s="1"/>
  <c r="DZ6" i="11"/>
  <c r="DZ8" i="11" s="1"/>
  <c r="DZ6" i="11" a="1"/>
  <c r="DY6" i="11" a="1"/>
  <c r="DY6" i="11" s="1"/>
  <c r="DX6" i="11"/>
  <c r="DX7" i="11" s="1"/>
  <c r="DX6" i="11" a="1"/>
  <c r="DW6" i="11" a="1"/>
  <c r="DW6" i="11" s="1"/>
  <c r="DV6" i="11"/>
  <c r="DV7" i="11" s="1"/>
  <c r="DV6" i="11" a="1"/>
  <c r="DU6" i="11" a="1"/>
  <c r="DU6" i="11" s="1"/>
  <c r="DT6" i="11" a="1"/>
  <c r="DT6" i="11" s="1"/>
  <c r="DS6" i="11" a="1"/>
  <c r="DS6" i="11" s="1"/>
  <c r="DR6" i="11"/>
  <c r="DR7" i="11" s="1"/>
  <c r="DR6" i="11" a="1"/>
  <c r="DQ6" i="11" a="1"/>
  <c r="DQ6" i="11" s="1"/>
  <c r="DP6" i="11"/>
  <c r="DP8" i="11" s="1"/>
  <c r="DP6" i="11" a="1"/>
  <c r="DO6" i="11" a="1"/>
  <c r="DO6" i="11" s="1"/>
  <c r="DN6" i="11"/>
  <c r="DN8" i="11" s="1"/>
  <c r="DN6" i="11" a="1"/>
  <c r="DM6" i="11" a="1"/>
  <c r="DM6" i="11" s="1"/>
  <c r="DL6" i="11" a="1"/>
  <c r="DL6" i="11" s="1"/>
  <c r="DK6" i="11" a="1"/>
  <c r="DK6" i="11" s="1"/>
  <c r="DJ6" i="11"/>
  <c r="DJ8" i="11" s="1"/>
  <c r="DJ6" i="11" a="1"/>
  <c r="DI6" i="11" a="1"/>
  <c r="DI6" i="11" s="1"/>
  <c r="DH6" i="11"/>
  <c r="DH7" i="11" s="1"/>
  <c r="DH6" i="11" a="1"/>
  <c r="DG6" i="11" a="1"/>
  <c r="DG6" i="11" s="1"/>
  <c r="DF6" i="11"/>
  <c r="DF7" i="11" s="1"/>
  <c r="DF6" i="11" a="1"/>
  <c r="DE6" i="11" a="1"/>
  <c r="DE6" i="11" s="1"/>
  <c r="DD6" i="11" a="1"/>
  <c r="DD6" i="11" s="1"/>
  <c r="DC6" i="11" a="1"/>
  <c r="DC6" i="11" s="1"/>
  <c r="DB6" i="11"/>
  <c r="DB7" i="11" s="1"/>
  <c r="DB6" i="11" a="1"/>
  <c r="DA6" i="11" a="1"/>
  <c r="DA6" i="11" s="1"/>
  <c r="CZ6" i="11"/>
  <c r="CZ8" i="11" s="1"/>
  <c r="CZ6" i="11" a="1"/>
  <c r="CY6" i="11" a="1"/>
  <c r="CY6" i="11" s="1"/>
  <c r="CX6" i="11"/>
  <c r="CX8" i="11" s="1"/>
  <c r="CX6" i="11" a="1"/>
  <c r="CW6" i="11" a="1"/>
  <c r="CW6" i="11" s="1"/>
  <c r="CV6" i="11" a="1"/>
  <c r="CV6" i="11" s="1"/>
  <c r="CU6" i="11" a="1"/>
  <c r="CU6" i="11" s="1"/>
  <c r="CT6" i="11"/>
  <c r="CT8" i="11" s="1"/>
  <c r="CT6" i="11" a="1"/>
  <c r="CS6" i="11" a="1"/>
  <c r="CS6" i="11" s="1"/>
  <c r="CR6" i="11"/>
  <c r="CR7" i="11" s="1"/>
  <c r="CR6" i="11" a="1"/>
  <c r="CQ6" i="11" a="1"/>
  <c r="CQ6" i="11" s="1"/>
  <c r="CP6" i="11"/>
  <c r="CP7" i="11" s="1"/>
  <c r="CP6" i="11" a="1"/>
  <c r="CO6" i="11" a="1"/>
  <c r="CO6" i="11" s="1"/>
  <c r="CN6" i="11" a="1"/>
  <c r="CN6" i="11" s="1"/>
  <c r="CM6" i="11" a="1"/>
  <c r="CM6" i="11" s="1"/>
  <c r="CL6" i="11"/>
  <c r="CL7" i="11" s="1"/>
  <c r="CL6" i="11" a="1"/>
  <c r="CK6" i="11" a="1"/>
  <c r="CK6" i="11" s="1"/>
  <c r="CJ6" i="11"/>
  <c r="CJ8" i="11" s="1"/>
  <c r="CJ6" i="11" a="1"/>
  <c r="CI6" i="11" a="1"/>
  <c r="CI6" i="11" s="1"/>
  <c r="CH6" i="11"/>
  <c r="CH8" i="11" s="1"/>
  <c r="CH6" i="11" a="1"/>
  <c r="CG6" i="11" a="1"/>
  <c r="CG6" i="11" s="1"/>
  <c r="CF6" i="11" a="1"/>
  <c r="CF6" i="11" s="1"/>
  <c r="CE6" i="11" a="1"/>
  <c r="CE6" i="11" s="1"/>
  <c r="CD6" i="11"/>
  <c r="CD7" i="11" s="1"/>
  <c r="CD6" i="11" a="1"/>
  <c r="CC6" i="11" a="1"/>
  <c r="CC6" i="11" s="1"/>
  <c r="CB6" i="11"/>
  <c r="CB7" i="11" s="1"/>
  <c r="CB6" i="11" a="1"/>
  <c r="CA6" i="11" a="1"/>
  <c r="CA6" i="11" s="1"/>
  <c r="BZ6" i="11"/>
  <c r="BZ7" i="11" s="1"/>
  <c r="BZ6" i="11" a="1"/>
  <c r="BY6" i="11" a="1"/>
  <c r="BY6" i="11" s="1"/>
  <c r="BX6" i="11" a="1"/>
  <c r="BX6" i="11" s="1"/>
  <c r="BW6" i="11" a="1"/>
  <c r="BW6" i="11" s="1"/>
  <c r="BV6" i="11"/>
  <c r="BV7" i="11" s="1"/>
  <c r="BV6" i="11" a="1"/>
  <c r="BU6" i="11" a="1"/>
  <c r="BU6" i="11" s="1"/>
  <c r="BT6" i="11"/>
  <c r="BT8" i="11" s="1"/>
  <c r="BT6" i="11" a="1"/>
  <c r="BS6" i="11" a="1"/>
  <c r="BS6" i="11" s="1"/>
  <c r="BR6" i="11"/>
  <c r="BR8" i="11" s="1"/>
  <c r="BR6" i="11" a="1"/>
  <c r="BQ6" i="11" a="1"/>
  <c r="BQ6" i="11" s="1"/>
  <c r="BP6" i="11" a="1"/>
  <c r="BP6" i="11" s="1"/>
  <c r="BO6" i="11" a="1"/>
  <c r="BO6" i="11" s="1"/>
  <c r="BN6" i="11"/>
  <c r="BN7" i="11" s="1"/>
  <c r="BN6" i="11" a="1"/>
  <c r="BM6" i="11" a="1"/>
  <c r="BM6" i="11" s="1"/>
  <c r="BL6" i="11"/>
  <c r="BL7" i="11" s="1"/>
  <c r="BL6" i="11" a="1"/>
  <c r="BK6" i="11" a="1"/>
  <c r="BK6" i="11" s="1"/>
  <c r="BJ6" i="11"/>
  <c r="BJ7" i="11" s="1"/>
  <c r="BJ6" i="11" a="1"/>
  <c r="BI6" i="11" a="1"/>
  <c r="BI6" i="11" s="1"/>
  <c r="BH6" i="11" a="1"/>
  <c r="BH6" i="11" s="1"/>
  <c r="BG6" i="11" a="1"/>
  <c r="BG6" i="11" s="1"/>
  <c r="BF6" i="11"/>
  <c r="BF7" i="11" s="1"/>
  <c r="BF6" i="11" a="1"/>
  <c r="BE6" i="11" a="1"/>
  <c r="BE6" i="11" s="1"/>
  <c r="BD6" i="11"/>
  <c r="BD8" i="11" s="1"/>
  <c r="BD6" i="11" a="1"/>
  <c r="BC6" i="11" a="1"/>
  <c r="BC6" i="11" s="1"/>
  <c r="BB6" i="11"/>
  <c r="BB8" i="11" s="1"/>
  <c r="BB6" i="11" a="1"/>
  <c r="BA6" i="11" a="1"/>
  <c r="BA6" i="11" s="1"/>
  <c r="AZ6" i="11" a="1"/>
  <c r="AZ6" i="11" s="1"/>
  <c r="AY6" i="11" a="1"/>
  <c r="AY6" i="11" s="1"/>
  <c r="AX6" i="11"/>
  <c r="AX8" i="11" s="1"/>
  <c r="AX6" i="11" a="1"/>
  <c r="AW6" i="11" a="1"/>
  <c r="AW6" i="11" s="1"/>
  <c r="AV6" i="11"/>
  <c r="AV7" i="11" s="1"/>
  <c r="AV6" i="11" a="1"/>
  <c r="AU6" i="11" a="1"/>
  <c r="AU6" i="11" s="1"/>
  <c r="AT6" i="11"/>
  <c r="AT7" i="11" s="1"/>
  <c r="AT6" i="11" a="1"/>
  <c r="AS6" i="11" a="1"/>
  <c r="AS6" i="11" s="1"/>
  <c r="AR6" i="11" a="1"/>
  <c r="AR6" i="11" s="1"/>
  <c r="AQ6" i="11" a="1"/>
  <c r="AQ6" i="11" s="1"/>
  <c r="AP6" i="11"/>
  <c r="AP7" i="11" s="1"/>
  <c r="AP6" i="11" a="1"/>
  <c r="AO6" i="11" a="1"/>
  <c r="AO6" i="11" s="1"/>
  <c r="AN6" i="11"/>
  <c r="AN8" i="11" s="1"/>
  <c r="AN6" i="11" a="1"/>
  <c r="AM6" i="11" a="1"/>
  <c r="AM6" i="11" s="1"/>
  <c r="AL6" i="11"/>
  <c r="AL8" i="11" s="1"/>
  <c r="AL6" i="11" a="1"/>
  <c r="AK6" i="11" a="1"/>
  <c r="AK6" i="11" s="1"/>
  <c r="AJ6" i="11" a="1"/>
  <c r="AJ6" i="11" s="1"/>
  <c r="AI6" i="11" a="1"/>
  <c r="AI6" i="11" s="1"/>
  <c r="AH6" i="11"/>
  <c r="AH8" i="11" s="1"/>
  <c r="AH6" i="11" a="1"/>
  <c r="AG6" i="11" a="1"/>
  <c r="AG6" i="11" s="1"/>
  <c r="AF6" i="11"/>
  <c r="AF7" i="11" s="1"/>
  <c r="AF6" i="11" a="1"/>
  <c r="AE6" i="11" a="1"/>
  <c r="AE6" i="11" s="1"/>
  <c r="AD6" i="11"/>
  <c r="AD7" i="11" s="1"/>
  <c r="AD6" i="11" a="1"/>
  <c r="AC6" i="11" a="1"/>
  <c r="AC6" i="11" s="1"/>
  <c r="AB6" i="11" a="1"/>
  <c r="AB6" i="11" s="1"/>
  <c r="AA6" i="11" a="1"/>
  <c r="AA6" i="11" s="1"/>
  <c r="Z6" i="11"/>
  <c r="Z7" i="11" s="1"/>
  <c r="Z6" i="11" a="1"/>
  <c r="Y6" i="11" a="1"/>
  <c r="Y6" i="11" s="1"/>
  <c r="X6" i="11"/>
  <c r="X8" i="11" s="1"/>
  <c r="X6" i="11" a="1"/>
  <c r="W6" i="11" a="1"/>
  <c r="W6" i="11" s="1"/>
  <c r="V6" i="11"/>
  <c r="V8" i="11" s="1"/>
  <c r="V6" i="11" a="1"/>
  <c r="U6" i="11" a="1"/>
  <c r="U6" i="11" s="1"/>
  <c r="T6" i="11" a="1"/>
  <c r="T6" i="11" s="1"/>
  <c r="S6" i="11" a="1"/>
  <c r="S6" i="11" s="1"/>
  <c r="R6" i="11"/>
  <c r="R8" i="11" s="1"/>
  <c r="R6" i="11" a="1"/>
  <c r="Q6" i="11" a="1"/>
  <c r="Q6" i="11" s="1"/>
  <c r="P6" i="11" a="1"/>
  <c r="P6" i="11" s="1"/>
  <c r="O6" i="11" a="1"/>
  <c r="O6" i="11" s="1"/>
  <c r="N6" i="11"/>
  <c r="N7" i="11" s="1"/>
  <c r="N6" i="11" a="1"/>
  <c r="M6" i="11" a="1"/>
  <c r="M6" i="11" s="1"/>
  <c r="L6" i="11" a="1"/>
  <c r="L6" i="11" s="1"/>
  <c r="K6" i="11" a="1"/>
  <c r="K6" i="11" s="1"/>
  <c r="J6" i="11"/>
  <c r="J7" i="11" s="1"/>
  <c r="J6" i="11" a="1"/>
  <c r="I6" i="11" a="1"/>
  <c r="I6" i="11" s="1"/>
  <c r="H6" i="11" a="1"/>
  <c r="H6" i="11" s="1"/>
  <c r="G6" i="11" a="1"/>
  <c r="G6" i="11" s="1"/>
  <c r="F6" i="11"/>
  <c r="F8" i="11" s="1"/>
  <c r="F6" i="11" a="1"/>
  <c r="E6" i="11" a="1"/>
  <c r="E6" i="11" s="1"/>
  <c r="D6" i="11" a="1"/>
  <c r="D6" i="11" s="1"/>
  <c r="C6" i="11" a="1"/>
  <c r="C6" i="11" s="1"/>
  <c r="BN8" i="12" l="1"/>
  <c r="BN7" i="12"/>
  <c r="CC8" i="12"/>
  <c r="CC7" i="12"/>
  <c r="DV8" i="12"/>
  <c r="DV7" i="12"/>
  <c r="DW8" i="12"/>
  <c r="DW7" i="12"/>
  <c r="DI8" i="12"/>
  <c r="DI7" i="12"/>
  <c r="W7" i="12"/>
  <c r="W8" i="12"/>
  <c r="DY8" i="12"/>
  <c r="DY7" i="12"/>
  <c r="DZ8" i="12"/>
  <c r="DZ7" i="12"/>
  <c r="X7" i="12"/>
  <c r="X8" i="12"/>
  <c r="AN7" i="12"/>
  <c r="AN8" i="12"/>
  <c r="BC7" i="12"/>
  <c r="BC8" i="12"/>
  <c r="BS7" i="12"/>
  <c r="BS8" i="12"/>
  <c r="CH7" i="12"/>
  <c r="CH8" i="12"/>
  <c r="J7" i="12"/>
  <c r="J8" i="12"/>
  <c r="Y7" i="12"/>
  <c r="Y8" i="12"/>
  <c r="AO7" i="12"/>
  <c r="AO8" i="12"/>
  <c r="BT7" i="12"/>
  <c r="BT8" i="12"/>
  <c r="CI7" i="12"/>
  <c r="CI8" i="12"/>
  <c r="Z7" i="12"/>
  <c r="Z8" i="12"/>
  <c r="BF7" i="12"/>
  <c r="BF8" i="12"/>
  <c r="CK7" i="12"/>
  <c r="CK8" i="12"/>
  <c r="DO7" i="12"/>
  <c r="DO8" i="12"/>
  <c r="AR8" i="12"/>
  <c r="AR7" i="12"/>
  <c r="BV7" i="12"/>
  <c r="BV8" i="12"/>
  <c r="DP7" i="12"/>
  <c r="DP8" i="12"/>
  <c r="P8" i="12"/>
  <c r="P7" i="12"/>
  <c r="AU8" i="12"/>
  <c r="AU7" i="12"/>
  <c r="AH8" i="12"/>
  <c r="AH7" i="12"/>
  <c r="CB8" i="12"/>
  <c r="CB7" i="12"/>
  <c r="CT8" i="12"/>
  <c r="CT7" i="12"/>
  <c r="F7" i="12"/>
  <c r="F8" i="12"/>
  <c r="BB7" i="12"/>
  <c r="BB8" i="12"/>
  <c r="AX8" i="12"/>
  <c r="AX7" i="12"/>
  <c r="BM8" i="12"/>
  <c r="BM7" i="12"/>
  <c r="CR8" i="12"/>
  <c r="CR7" i="12"/>
  <c r="DF8" i="12"/>
  <c r="DF7" i="12"/>
  <c r="CS8" i="12"/>
  <c r="CS7" i="12"/>
  <c r="DG8" i="12"/>
  <c r="DG7" i="12"/>
  <c r="E7" i="12"/>
  <c r="E8" i="12"/>
  <c r="CD8" i="12"/>
  <c r="CD7" i="12"/>
  <c r="DH8" i="12"/>
  <c r="DH7" i="12"/>
  <c r="V7" i="12"/>
  <c r="V8" i="12"/>
  <c r="CE8" i="12"/>
  <c r="CE7" i="12"/>
  <c r="DX8" i="12"/>
  <c r="DX7" i="12"/>
  <c r="G7" i="12"/>
  <c r="G8" i="12"/>
  <c r="AL7" i="12"/>
  <c r="AL8" i="12"/>
  <c r="DJ8" i="12"/>
  <c r="DJ7" i="12"/>
  <c r="H7" i="12"/>
  <c r="H8" i="12"/>
  <c r="AM7" i="12"/>
  <c r="AM8" i="12"/>
  <c r="BR7" i="12"/>
  <c r="BR8" i="12"/>
  <c r="I7" i="12"/>
  <c r="I8" i="12"/>
  <c r="BD7" i="12"/>
  <c r="BD8" i="12"/>
  <c r="AP7" i="12"/>
  <c r="AP8" i="12"/>
  <c r="BE7" i="12"/>
  <c r="BE8" i="12"/>
  <c r="CJ7" i="12"/>
  <c r="CJ8" i="12"/>
  <c r="DN7" i="12"/>
  <c r="DN8" i="12"/>
  <c r="EC7" i="12"/>
  <c r="EC8" i="12"/>
  <c r="BU7" i="12"/>
  <c r="BU8" i="12"/>
  <c r="CY7" i="12"/>
  <c r="CY8" i="12"/>
  <c r="ED7" i="12"/>
  <c r="ED8" i="12"/>
  <c r="CL7" i="12"/>
  <c r="CL8" i="12"/>
  <c r="CZ7" i="12"/>
  <c r="CZ8" i="12"/>
  <c r="EE7" i="12"/>
  <c r="EE8" i="12"/>
  <c r="N8" i="12"/>
  <c r="N7" i="12"/>
  <c r="DA7" i="12"/>
  <c r="DA8" i="12"/>
  <c r="DQ7" i="12"/>
  <c r="DQ8" i="12"/>
  <c r="EF7" i="12"/>
  <c r="EF8" i="12"/>
  <c r="AD8" i="12"/>
  <c r="AD7" i="12"/>
  <c r="AT8" i="12"/>
  <c r="AT7" i="12"/>
  <c r="DB7" i="12"/>
  <c r="DB8" i="12"/>
  <c r="AE8" i="12"/>
  <c r="AE7" i="12"/>
  <c r="DR7" i="12"/>
  <c r="DR8" i="12"/>
  <c r="EG7" i="12"/>
  <c r="EG8" i="12"/>
  <c r="Q8" i="12"/>
  <c r="Q7" i="12"/>
  <c r="AF8" i="12"/>
  <c r="AF7" i="12"/>
  <c r="AV8" i="12"/>
  <c r="AV7" i="12"/>
  <c r="BK8" i="12"/>
  <c r="BK7" i="12"/>
  <c r="BZ8" i="12"/>
  <c r="BZ7" i="12"/>
  <c r="CP8" i="12"/>
  <c r="CP7" i="12"/>
  <c r="O7" i="12"/>
  <c r="R8" i="12"/>
  <c r="R7" i="12"/>
  <c r="AG8" i="12"/>
  <c r="AG7" i="12"/>
  <c r="AW8" i="12"/>
  <c r="AW7" i="12"/>
  <c r="BL8" i="12"/>
  <c r="BL7" i="12"/>
  <c r="CA8" i="12"/>
  <c r="CA7" i="12"/>
  <c r="CQ8" i="12"/>
  <c r="CQ7" i="12"/>
  <c r="CG8" i="12"/>
  <c r="DL8" i="12"/>
  <c r="AS7" i="12"/>
  <c r="DK7" i="12"/>
  <c r="DM8" i="12"/>
  <c r="DU7" i="12"/>
  <c r="BQ8" i="12"/>
  <c r="DS8" i="12"/>
  <c r="EA7" i="12"/>
  <c r="CX8" i="12"/>
  <c r="DT8" i="12"/>
  <c r="BW7" i="12"/>
  <c r="AI7" i="12"/>
  <c r="BP8" i="11"/>
  <c r="BP7" i="11"/>
  <c r="BU8" i="11"/>
  <c r="BU7" i="11"/>
  <c r="CG8" i="11"/>
  <c r="CG7" i="11"/>
  <c r="DD7" i="11"/>
  <c r="DD8" i="11"/>
  <c r="EA8" i="11"/>
  <c r="EA7" i="11"/>
  <c r="O7" i="11"/>
  <c r="O8" i="11"/>
  <c r="AA7" i="11"/>
  <c r="AA8" i="11"/>
  <c r="AM8" i="11"/>
  <c r="AM7" i="11"/>
  <c r="CS8" i="11"/>
  <c r="CS7" i="11"/>
  <c r="DE7" i="11"/>
  <c r="DE8" i="11"/>
  <c r="EB8" i="11"/>
  <c r="EB7" i="11"/>
  <c r="BW7" i="11"/>
  <c r="BW8" i="11"/>
  <c r="CM7" i="11"/>
  <c r="CM8" i="11"/>
  <c r="C8" i="11"/>
  <c r="C7" i="11"/>
  <c r="P7" i="11"/>
  <c r="P8" i="11"/>
  <c r="AB7" i="11"/>
  <c r="AB8" i="11"/>
  <c r="AY8" i="11"/>
  <c r="AY7" i="11"/>
  <c r="BK7" i="11"/>
  <c r="BK8" i="11"/>
  <c r="DQ8" i="11"/>
  <c r="DQ7" i="11"/>
  <c r="EC8" i="11"/>
  <c r="EC7" i="11"/>
  <c r="D8" i="11"/>
  <c r="D7" i="11"/>
  <c r="Q8" i="11"/>
  <c r="Q7" i="11"/>
  <c r="AC7" i="11"/>
  <c r="AC8" i="11"/>
  <c r="E8" i="11"/>
  <c r="E7" i="11"/>
  <c r="AO8" i="11"/>
  <c r="AO7" i="11"/>
  <c r="BA7" i="11"/>
  <c r="BA8" i="11"/>
  <c r="BX7" i="11"/>
  <c r="BX8" i="11"/>
  <c r="CU8" i="11"/>
  <c r="CU7" i="11"/>
  <c r="DG7" i="11"/>
  <c r="DG8" i="11"/>
  <c r="BM8" i="11"/>
  <c r="BM7" i="11"/>
  <c r="BY7" i="11"/>
  <c r="BY8" i="11"/>
  <c r="CV8" i="11"/>
  <c r="CV7" i="11"/>
  <c r="DS7" i="11"/>
  <c r="DS8" i="11"/>
  <c r="EE8" i="11"/>
  <c r="EE7" i="11"/>
  <c r="S8" i="11"/>
  <c r="S7" i="11"/>
  <c r="AE7" i="11"/>
  <c r="AE8" i="11"/>
  <c r="CK8" i="11"/>
  <c r="CK7" i="11"/>
  <c r="CW8" i="11"/>
  <c r="CW7" i="11"/>
  <c r="DT7" i="11"/>
  <c r="DT8" i="11"/>
  <c r="G8" i="11"/>
  <c r="G7" i="11"/>
  <c r="T8" i="11"/>
  <c r="T7" i="11"/>
  <c r="AQ7" i="11"/>
  <c r="AQ8" i="11"/>
  <c r="BC8" i="11"/>
  <c r="BC7" i="11"/>
  <c r="DI8" i="11"/>
  <c r="DI7" i="11"/>
  <c r="DU8" i="11"/>
  <c r="DU7" i="11"/>
  <c r="AZ8" i="11"/>
  <c r="AZ7" i="11"/>
  <c r="BO8" i="11"/>
  <c r="BO7" i="11"/>
  <c r="CY8" i="11"/>
  <c r="CY7" i="11"/>
  <c r="W8" i="11"/>
  <c r="W7" i="11"/>
  <c r="CC8" i="11"/>
  <c r="CC7" i="11"/>
  <c r="CO7" i="11"/>
  <c r="CO8" i="11"/>
  <c r="DL7" i="11"/>
  <c r="DL8" i="11"/>
  <c r="CA7" i="11"/>
  <c r="CA8" i="11"/>
  <c r="K7" i="11"/>
  <c r="K8" i="11"/>
  <c r="AI8" i="11"/>
  <c r="AI7" i="11"/>
  <c r="AU7" i="11"/>
  <c r="AU8" i="11"/>
  <c r="DA8" i="11"/>
  <c r="DA7" i="11"/>
  <c r="DM8" i="11"/>
  <c r="DM7" i="11"/>
  <c r="EG8" i="11"/>
  <c r="EG7" i="11"/>
  <c r="AS8" i="11"/>
  <c r="AS7" i="11"/>
  <c r="BQ7" i="11"/>
  <c r="BQ8" i="11"/>
  <c r="DW7" i="11"/>
  <c r="DW8" i="11"/>
  <c r="L7" i="11"/>
  <c r="L8" i="11"/>
  <c r="AJ8" i="11"/>
  <c r="AJ7" i="11"/>
  <c r="BG7" i="11"/>
  <c r="BG8" i="11"/>
  <c r="BS8" i="11"/>
  <c r="BS7" i="11"/>
  <c r="DY8" i="11"/>
  <c r="DY7" i="11"/>
  <c r="H8" i="11"/>
  <c r="H7" i="11"/>
  <c r="I8" i="11"/>
  <c r="I7" i="11"/>
  <c r="BE8" i="11"/>
  <c r="BE7" i="11"/>
  <c r="CN7" i="11"/>
  <c r="CN8" i="11"/>
  <c r="M7" i="11"/>
  <c r="M8" i="11"/>
  <c r="Y8" i="11"/>
  <c r="Y7" i="11"/>
  <c r="AK7" i="11"/>
  <c r="AK8" i="11"/>
  <c r="BH8" i="11"/>
  <c r="BH7" i="11"/>
  <c r="CE8" i="11"/>
  <c r="CE7" i="11"/>
  <c r="CQ7" i="11"/>
  <c r="CQ8" i="11"/>
  <c r="CI8" i="11"/>
  <c r="CI7" i="11"/>
  <c r="U8" i="11"/>
  <c r="U7" i="11"/>
  <c r="AR7" i="11"/>
  <c r="AR8" i="11"/>
  <c r="AG8" i="11"/>
  <c r="AG7" i="11"/>
  <c r="DK8" i="11"/>
  <c r="DK7" i="11"/>
  <c r="AW8" i="11"/>
  <c r="AW7" i="11"/>
  <c r="BI7" i="11"/>
  <c r="BI8" i="11"/>
  <c r="CF8" i="11"/>
  <c r="CF7" i="11"/>
  <c r="DC7" i="11"/>
  <c r="DC8" i="11"/>
  <c r="DO8" i="11"/>
  <c r="DO7" i="11"/>
  <c r="BN8" i="11"/>
  <c r="J8" i="11"/>
  <c r="Z8" i="11"/>
  <c r="AP8" i="11"/>
  <c r="BF8" i="11"/>
  <c r="BV8" i="11"/>
  <c r="CL8" i="11"/>
  <c r="DB8" i="11"/>
  <c r="DR8" i="11"/>
  <c r="CD8" i="11"/>
  <c r="R7" i="11"/>
  <c r="AH7" i="11"/>
  <c r="AX7" i="11"/>
  <c r="CT7" i="11"/>
  <c r="DJ7" i="11"/>
  <c r="DZ7" i="11"/>
  <c r="ED7" i="11"/>
  <c r="X7" i="11"/>
  <c r="AN7" i="11"/>
  <c r="BD7" i="11"/>
  <c r="BT7" i="11"/>
  <c r="CJ7" i="11"/>
  <c r="CZ7" i="11"/>
  <c r="DP7" i="11"/>
  <c r="EF7" i="11"/>
  <c r="Z14" i="10" l="1"/>
  <c r="C12" i="10" a="1"/>
  <c r="C12" i="10"/>
  <c r="I25" i="10"/>
  <c r="J25" i="10" s="1"/>
  <c r="K25" i="10" s="1"/>
  <c r="L25" i="10" s="1"/>
  <c r="M25" i="10" s="1"/>
  <c r="N25" i="10" s="1"/>
  <c r="O25" i="10" s="1"/>
  <c r="P25" i="10" s="1"/>
  <c r="Q25" i="10" s="1"/>
  <c r="R25" i="10" s="1"/>
  <c r="S25" i="10" s="1"/>
  <c r="T25" i="10" s="1"/>
  <c r="U25" i="10" s="1"/>
  <c r="V25" i="10" s="1"/>
  <c r="W25" i="10" s="1"/>
  <c r="X25" i="10" s="1"/>
  <c r="Y25" i="10" s="1"/>
  <c r="Z25" i="10" s="1"/>
  <c r="AA25" i="10" s="1"/>
  <c r="AB25" i="10" s="1"/>
  <c r="AC25" i="10" s="1"/>
  <c r="AD25" i="10" s="1"/>
  <c r="AE25" i="10" s="1"/>
  <c r="AF25" i="10" s="1"/>
  <c r="AG25" i="10" s="1"/>
  <c r="AH25" i="10" s="1"/>
  <c r="AI25" i="10" s="1"/>
  <c r="AJ25" i="10" s="1"/>
  <c r="AK25" i="10" s="1"/>
  <c r="AL25" i="10" s="1"/>
  <c r="AM25" i="10" s="1"/>
  <c r="AN25" i="10" s="1"/>
  <c r="AO25" i="10" s="1"/>
  <c r="AP25" i="10" s="1"/>
  <c r="AQ25" i="10" s="1"/>
  <c r="AR25" i="10" s="1"/>
  <c r="AS25" i="10" s="1"/>
  <c r="AT25" i="10" s="1"/>
  <c r="AU25" i="10" s="1"/>
  <c r="AV25" i="10" s="1"/>
  <c r="AW25" i="10" s="1"/>
  <c r="AX25" i="10" s="1"/>
  <c r="AY25" i="10" s="1"/>
  <c r="AZ25" i="10" s="1"/>
  <c r="BA25" i="10" s="1"/>
  <c r="BB25" i="10" s="1"/>
  <c r="BC25" i="10" s="1"/>
  <c r="BD25" i="10" s="1"/>
  <c r="BE25" i="10" s="1"/>
  <c r="BF25" i="10" s="1"/>
  <c r="BG25" i="10" s="1"/>
  <c r="BH25" i="10" s="1"/>
  <c r="BI25" i="10" s="1"/>
  <c r="BJ25" i="10" s="1"/>
  <c r="BK25" i="10" s="1"/>
  <c r="BL25" i="10" s="1"/>
  <c r="BM25" i="10" s="1"/>
  <c r="BN25" i="10" s="1"/>
  <c r="BO25" i="10" s="1"/>
  <c r="BP25" i="10" s="1"/>
  <c r="BQ25" i="10" s="1"/>
  <c r="BR25" i="10" s="1"/>
  <c r="BS25" i="10" s="1"/>
  <c r="BT25" i="10" s="1"/>
  <c r="BU25" i="10" s="1"/>
  <c r="BV25" i="10" s="1"/>
  <c r="BW25" i="10" s="1"/>
  <c r="BX25" i="10" s="1"/>
  <c r="BY25" i="10" s="1"/>
  <c r="BZ25" i="10" s="1"/>
  <c r="CA25" i="10" s="1"/>
  <c r="CB25" i="10" s="1"/>
  <c r="CC25" i="10" s="1"/>
  <c r="CD25" i="10" s="1"/>
  <c r="CE25" i="10" s="1"/>
  <c r="CF25" i="10" s="1"/>
  <c r="CG25" i="10" s="1"/>
  <c r="CH25" i="10" s="1"/>
  <c r="CI25" i="10" s="1"/>
  <c r="CJ25" i="10" s="1"/>
  <c r="CK25" i="10" s="1"/>
  <c r="CL25" i="10" s="1"/>
  <c r="CM25" i="10" s="1"/>
  <c r="CN25" i="10" s="1"/>
  <c r="CO25" i="10" s="1"/>
  <c r="CP25" i="10" s="1"/>
  <c r="CQ25" i="10" s="1"/>
  <c r="CR25" i="10" s="1"/>
  <c r="CS25" i="10" s="1"/>
  <c r="CT25" i="10" s="1"/>
  <c r="CU25" i="10" s="1"/>
  <c r="CV25" i="10" s="1"/>
  <c r="CW25" i="10" s="1"/>
  <c r="CX25" i="10" s="1"/>
  <c r="CY25" i="10" s="1"/>
  <c r="CZ25" i="10" s="1"/>
  <c r="DA25" i="10" s="1"/>
  <c r="DB25" i="10" s="1"/>
  <c r="DC25" i="10" s="1"/>
  <c r="DD25" i="10" s="1"/>
  <c r="DE25" i="10" s="1"/>
  <c r="DF25" i="10" s="1"/>
  <c r="DG25" i="10" s="1"/>
  <c r="DH25" i="10" s="1"/>
  <c r="DI25" i="10" s="1"/>
  <c r="DJ25" i="10" s="1"/>
  <c r="DK25" i="10" s="1"/>
  <c r="DL25" i="10" s="1"/>
  <c r="DM25" i="10" s="1"/>
  <c r="DN25" i="10" s="1"/>
  <c r="DO25" i="10" s="1"/>
  <c r="DP25" i="10" s="1"/>
  <c r="DQ25" i="10" s="1"/>
  <c r="DR25" i="10" s="1"/>
  <c r="DS25" i="10" s="1"/>
  <c r="DT25" i="10" s="1"/>
  <c r="DU25" i="10" s="1"/>
  <c r="DV25" i="10" s="1"/>
  <c r="DW25" i="10" s="1"/>
  <c r="DX25" i="10" s="1"/>
  <c r="DY25" i="10" s="1"/>
  <c r="DZ25" i="10" s="1"/>
  <c r="EA25" i="10" s="1"/>
  <c r="EB25" i="10" s="1"/>
  <c r="EC25" i="10" s="1"/>
  <c r="ED25" i="10" s="1"/>
  <c r="EE25" i="10" s="1"/>
  <c r="EF25" i="10" s="1"/>
  <c r="D25" i="10"/>
  <c r="E25" i="10" s="1"/>
  <c r="F25" i="10" s="1"/>
  <c r="G25" i="10" s="1"/>
  <c r="H25" i="10" s="1"/>
  <c r="G24" i="10"/>
  <c r="H24" i="10" s="1"/>
  <c r="I24" i="10" s="1"/>
  <c r="J24" i="10" s="1"/>
  <c r="K24" i="10" s="1"/>
  <c r="L24" i="10" s="1"/>
  <c r="M24" i="10" s="1"/>
  <c r="N24" i="10" s="1"/>
  <c r="O24" i="10" s="1"/>
  <c r="P24" i="10" s="1"/>
  <c r="Q24" i="10" s="1"/>
  <c r="R24" i="10" s="1"/>
  <c r="S24" i="10" s="1"/>
  <c r="T24" i="10" s="1"/>
  <c r="U24" i="10" s="1"/>
  <c r="V24" i="10" s="1"/>
  <c r="W24" i="10" s="1"/>
  <c r="X24" i="10" s="1"/>
  <c r="Y24" i="10" s="1"/>
  <c r="Z24" i="10" s="1"/>
  <c r="AA24" i="10" s="1"/>
  <c r="AB24" i="10" s="1"/>
  <c r="AC24" i="10" s="1"/>
  <c r="AD24" i="10" s="1"/>
  <c r="AE24" i="10" s="1"/>
  <c r="AF24" i="10" s="1"/>
  <c r="AG24" i="10" s="1"/>
  <c r="AH24" i="10" s="1"/>
  <c r="AI24" i="10" s="1"/>
  <c r="AJ24" i="10" s="1"/>
  <c r="AK24" i="10" s="1"/>
  <c r="AL24" i="10" s="1"/>
  <c r="AM24" i="10" s="1"/>
  <c r="AN24" i="10" s="1"/>
  <c r="AO24" i="10" s="1"/>
  <c r="AP24" i="10" s="1"/>
  <c r="AQ24" i="10" s="1"/>
  <c r="AR24" i="10" s="1"/>
  <c r="AS24" i="10" s="1"/>
  <c r="AT24" i="10" s="1"/>
  <c r="AU24" i="10" s="1"/>
  <c r="AV24" i="10" s="1"/>
  <c r="AW24" i="10" s="1"/>
  <c r="AX24" i="10" s="1"/>
  <c r="AY24" i="10" s="1"/>
  <c r="AZ24" i="10" s="1"/>
  <c r="BA24" i="10" s="1"/>
  <c r="BB24" i="10" s="1"/>
  <c r="BC24" i="10" s="1"/>
  <c r="BD24" i="10" s="1"/>
  <c r="BE24" i="10" s="1"/>
  <c r="BF24" i="10" s="1"/>
  <c r="BG24" i="10" s="1"/>
  <c r="BH24" i="10" s="1"/>
  <c r="BI24" i="10" s="1"/>
  <c r="BJ24" i="10" s="1"/>
  <c r="BK24" i="10" s="1"/>
  <c r="BL24" i="10" s="1"/>
  <c r="BM24" i="10" s="1"/>
  <c r="BN24" i="10" s="1"/>
  <c r="BO24" i="10" s="1"/>
  <c r="BP24" i="10" s="1"/>
  <c r="BQ24" i="10" s="1"/>
  <c r="BR24" i="10" s="1"/>
  <c r="BS24" i="10" s="1"/>
  <c r="BT24" i="10" s="1"/>
  <c r="BU24" i="10" s="1"/>
  <c r="BV24" i="10" s="1"/>
  <c r="BW24" i="10" s="1"/>
  <c r="BX24" i="10" s="1"/>
  <c r="BY24" i="10" s="1"/>
  <c r="BZ24" i="10" s="1"/>
  <c r="CA24" i="10" s="1"/>
  <c r="CB24" i="10" s="1"/>
  <c r="CC24" i="10" s="1"/>
  <c r="CD24" i="10" s="1"/>
  <c r="CE24" i="10" s="1"/>
  <c r="CF24" i="10" s="1"/>
  <c r="CG24" i="10" s="1"/>
  <c r="CH24" i="10" s="1"/>
  <c r="CI24" i="10" s="1"/>
  <c r="CJ24" i="10" s="1"/>
  <c r="CK24" i="10" s="1"/>
  <c r="CL24" i="10" s="1"/>
  <c r="CM24" i="10" s="1"/>
  <c r="CN24" i="10" s="1"/>
  <c r="CO24" i="10" s="1"/>
  <c r="CP24" i="10" s="1"/>
  <c r="CQ24" i="10" s="1"/>
  <c r="CR24" i="10" s="1"/>
  <c r="CS24" i="10" s="1"/>
  <c r="CT24" i="10" s="1"/>
  <c r="CU24" i="10" s="1"/>
  <c r="CV24" i="10" s="1"/>
  <c r="CW24" i="10" s="1"/>
  <c r="CX24" i="10" s="1"/>
  <c r="CY24" i="10" s="1"/>
  <c r="CZ24" i="10" s="1"/>
  <c r="DA24" i="10" s="1"/>
  <c r="DB24" i="10" s="1"/>
  <c r="DC24" i="10" s="1"/>
  <c r="DD24" i="10" s="1"/>
  <c r="DE24" i="10" s="1"/>
  <c r="DF24" i="10" s="1"/>
  <c r="DG24" i="10" s="1"/>
  <c r="DH24" i="10" s="1"/>
  <c r="DI24" i="10" s="1"/>
  <c r="DJ24" i="10" s="1"/>
  <c r="DK24" i="10" s="1"/>
  <c r="DL24" i="10" s="1"/>
  <c r="DM24" i="10" s="1"/>
  <c r="DN24" i="10" s="1"/>
  <c r="DO24" i="10" s="1"/>
  <c r="DP24" i="10" s="1"/>
  <c r="DQ24" i="10" s="1"/>
  <c r="DR24" i="10" s="1"/>
  <c r="DS24" i="10" s="1"/>
  <c r="DT24" i="10" s="1"/>
  <c r="DU24" i="10" s="1"/>
  <c r="DV24" i="10" s="1"/>
  <c r="DW24" i="10" s="1"/>
  <c r="DX24" i="10" s="1"/>
  <c r="DY24" i="10" s="1"/>
  <c r="DZ24" i="10" s="1"/>
  <c r="EA24" i="10" s="1"/>
  <c r="EB24" i="10" s="1"/>
  <c r="EC24" i="10" s="1"/>
  <c r="ED24" i="10" s="1"/>
  <c r="EE24" i="10" s="1"/>
  <c r="EF24" i="10" s="1"/>
  <c r="E24" i="10"/>
  <c r="F24" i="10" s="1"/>
  <c r="D24" i="10"/>
  <c r="E23" i="10"/>
  <c r="F23" i="10" s="1"/>
  <c r="G23" i="10" s="1"/>
  <c r="H23" i="10" s="1"/>
  <c r="I23" i="10" s="1"/>
  <c r="J23" i="10" s="1"/>
  <c r="K23" i="10" s="1"/>
  <c r="L23" i="10" s="1"/>
  <c r="M23" i="10" s="1"/>
  <c r="N23" i="10" s="1"/>
  <c r="O23" i="10" s="1"/>
  <c r="P23" i="10" s="1"/>
  <c r="Q23" i="10" s="1"/>
  <c r="R23" i="10" s="1"/>
  <c r="S23" i="10" s="1"/>
  <c r="T23" i="10" s="1"/>
  <c r="U23" i="10" s="1"/>
  <c r="V23" i="10" s="1"/>
  <c r="W23" i="10" s="1"/>
  <c r="X23" i="10" s="1"/>
  <c r="Y23" i="10" s="1"/>
  <c r="Z23" i="10" s="1"/>
  <c r="AA23" i="10" s="1"/>
  <c r="AB23" i="10" s="1"/>
  <c r="AC23" i="10" s="1"/>
  <c r="AD23" i="10" s="1"/>
  <c r="AE23" i="10" s="1"/>
  <c r="AF23" i="10" s="1"/>
  <c r="AG23" i="10" s="1"/>
  <c r="AH23" i="10" s="1"/>
  <c r="AI23" i="10" s="1"/>
  <c r="AJ23" i="10" s="1"/>
  <c r="AK23" i="10" s="1"/>
  <c r="AL23" i="10" s="1"/>
  <c r="AM23" i="10" s="1"/>
  <c r="AN23" i="10" s="1"/>
  <c r="AO23" i="10" s="1"/>
  <c r="AP23" i="10" s="1"/>
  <c r="AQ23" i="10" s="1"/>
  <c r="AR23" i="10" s="1"/>
  <c r="AS23" i="10" s="1"/>
  <c r="AT23" i="10" s="1"/>
  <c r="AU23" i="10" s="1"/>
  <c r="AV23" i="10" s="1"/>
  <c r="AW23" i="10" s="1"/>
  <c r="AX23" i="10" s="1"/>
  <c r="AY23" i="10" s="1"/>
  <c r="AZ23" i="10" s="1"/>
  <c r="BA23" i="10" s="1"/>
  <c r="BB23" i="10" s="1"/>
  <c r="BC23" i="10" s="1"/>
  <c r="BD23" i="10" s="1"/>
  <c r="BE23" i="10" s="1"/>
  <c r="BF23" i="10" s="1"/>
  <c r="BG23" i="10" s="1"/>
  <c r="BH23" i="10" s="1"/>
  <c r="BI23" i="10" s="1"/>
  <c r="BJ23" i="10" s="1"/>
  <c r="BK23" i="10" s="1"/>
  <c r="BL23" i="10" s="1"/>
  <c r="BM23" i="10" s="1"/>
  <c r="BN23" i="10" s="1"/>
  <c r="BO23" i="10" s="1"/>
  <c r="BP23" i="10" s="1"/>
  <c r="BQ23" i="10" s="1"/>
  <c r="BR23" i="10" s="1"/>
  <c r="BS23" i="10" s="1"/>
  <c r="BT23" i="10" s="1"/>
  <c r="BU23" i="10" s="1"/>
  <c r="BV23" i="10" s="1"/>
  <c r="BW23" i="10" s="1"/>
  <c r="BX23" i="10" s="1"/>
  <c r="BY23" i="10" s="1"/>
  <c r="BZ23" i="10" s="1"/>
  <c r="CA23" i="10" s="1"/>
  <c r="CB23" i="10" s="1"/>
  <c r="CC23" i="10" s="1"/>
  <c r="CD23" i="10" s="1"/>
  <c r="CE23" i="10" s="1"/>
  <c r="CF23" i="10" s="1"/>
  <c r="CG23" i="10" s="1"/>
  <c r="CH23" i="10" s="1"/>
  <c r="CI23" i="10" s="1"/>
  <c r="CJ23" i="10" s="1"/>
  <c r="CK23" i="10" s="1"/>
  <c r="CL23" i="10" s="1"/>
  <c r="CM23" i="10" s="1"/>
  <c r="CN23" i="10" s="1"/>
  <c r="CO23" i="10" s="1"/>
  <c r="CP23" i="10" s="1"/>
  <c r="CQ23" i="10" s="1"/>
  <c r="CR23" i="10" s="1"/>
  <c r="CS23" i="10" s="1"/>
  <c r="CT23" i="10" s="1"/>
  <c r="CU23" i="10" s="1"/>
  <c r="CV23" i="10" s="1"/>
  <c r="CW23" i="10" s="1"/>
  <c r="CX23" i="10" s="1"/>
  <c r="CY23" i="10" s="1"/>
  <c r="CZ23" i="10" s="1"/>
  <c r="DA23" i="10" s="1"/>
  <c r="DB23" i="10" s="1"/>
  <c r="DC23" i="10" s="1"/>
  <c r="DD23" i="10" s="1"/>
  <c r="DE23" i="10" s="1"/>
  <c r="DF23" i="10" s="1"/>
  <c r="DG23" i="10" s="1"/>
  <c r="DH23" i="10" s="1"/>
  <c r="DI23" i="10" s="1"/>
  <c r="DJ23" i="10" s="1"/>
  <c r="DK23" i="10" s="1"/>
  <c r="DL23" i="10" s="1"/>
  <c r="DM23" i="10" s="1"/>
  <c r="DN23" i="10" s="1"/>
  <c r="DO23" i="10" s="1"/>
  <c r="DP23" i="10" s="1"/>
  <c r="DQ23" i="10" s="1"/>
  <c r="DR23" i="10" s="1"/>
  <c r="DS23" i="10" s="1"/>
  <c r="DT23" i="10" s="1"/>
  <c r="DU23" i="10" s="1"/>
  <c r="DV23" i="10" s="1"/>
  <c r="DW23" i="10" s="1"/>
  <c r="DX23" i="10" s="1"/>
  <c r="DY23" i="10" s="1"/>
  <c r="DZ23" i="10" s="1"/>
  <c r="EA23" i="10" s="1"/>
  <c r="EB23" i="10" s="1"/>
  <c r="EC23" i="10" s="1"/>
  <c r="ED23" i="10" s="1"/>
  <c r="EE23" i="10" s="1"/>
  <c r="EF23" i="10" s="1"/>
  <c r="D23" i="10"/>
  <c r="D22" i="10"/>
  <c r="E22" i="10" s="1"/>
  <c r="F22" i="10" s="1"/>
  <c r="G22" i="10" s="1"/>
  <c r="H22" i="10" s="1"/>
  <c r="I22" i="10" s="1"/>
  <c r="J22" i="10" s="1"/>
  <c r="K22" i="10" s="1"/>
  <c r="L22" i="10" s="1"/>
  <c r="M22" i="10" s="1"/>
  <c r="N22" i="10" s="1"/>
  <c r="O22" i="10" s="1"/>
  <c r="P22" i="10" s="1"/>
  <c r="Q22" i="10" s="1"/>
  <c r="R22" i="10" s="1"/>
  <c r="S22" i="10" s="1"/>
  <c r="T22" i="10" s="1"/>
  <c r="U22" i="10" s="1"/>
  <c r="V22" i="10" s="1"/>
  <c r="W22" i="10" s="1"/>
  <c r="X22" i="10" s="1"/>
  <c r="Y22" i="10" s="1"/>
  <c r="Z22" i="10" s="1"/>
  <c r="AA22" i="10" s="1"/>
  <c r="AB22" i="10" s="1"/>
  <c r="AC22" i="10" s="1"/>
  <c r="AD22" i="10" s="1"/>
  <c r="AE22" i="10" s="1"/>
  <c r="AF22" i="10" s="1"/>
  <c r="AG22" i="10" s="1"/>
  <c r="AH22" i="10" s="1"/>
  <c r="AI22" i="10" s="1"/>
  <c r="AJ22" i="10" s="1"/>
  <c r="AK22" i="10" s="1"/>
  <c r="AL22" i="10" s="1"/>
  <c r="AM22" i="10" s="1"/>
  <c r="AN22" i="10" s="1"/>
  <c r="AO22" i="10" s="1"/>
  <c r="AP22" i="10" s="1"/>
  <c r="AQ22" i="10" s="1"/>
  <c r="AR22" i="10" s="1"/>
  <c r="AS22" i="10" s="1"/>
  <c r="AT22" i="10" s="1"/>
  <c r="AU22" i="10" s="1"/>
  <c r="AV22" i="10" s="1"/>
  <c r="AW22" i="10" s="1"/>
  <c r="AX22" i="10" s="1"/>
  <c r="AY22" i="10" s="1"/>
  <c r="AZ22" i="10" s="1"/>
  <c r="BA22" i="10" s="1"/>
  <c r="BB22" i="10" s="1"/>
  <c r="BC22" i="10" s="1"/>
  <c r="BD22" i="10" s="1"/>
  <c r="BE22" i="10" s="1"/>
  <c r="BF22" i="10" s="1"/>
  <c r="BG22" i="10" s="1"/>
  <c r="BH22" i="10" s="1"/>
  <c r="BI22" i="10" s="1"/>
  <c r="BJ22" i="10" s="1"/>
  <c r="BK22" i="10" s="1"/>
  <c r="BL22" i="10" s="1"/>
  <c r="BM22" i="10" s="1"/>
  <c r="BN22" i="10" s="1"/>
  <c r="BO22" i="10" s="1"/>
  <c r="BP22" i="10" s="1"/>
  <c r="BQ22" i="10" s="1"/>
  <c r="BR22" i="10" s="1"/>
  <c r="BS22" i="10" s="1"/>
  <c r="BT22" i="10" s="1"/>
  <c r="BU22" i="10" s="1"/>
  <c r="BV22" i="10" s="1"/>
  <c r="BW22" i="10" s="1"/>
  <c r="BX22" i="10" s="1"/>
  <c r="BY22" i="10" s="1"/>
  <c r="BZ22" i="10" s="1"/>
  <c r="CA22" i="10" s="1"/>
  <c r="CB22" i="10" s="1"/>
  <c r="CC22" i="10" s="1"/>
  <c r="CD22" i="10" s="1"/>
  <c r="CE22" i="10" s="1"/>
  <c r="CF22" i="10" s="1"/>
  <c r="CG22" i="10" s="1"/>
  <c r="CH22" i="10" s="1"/>
  <c r="CI22" i="10" s="1"/>
  <c r="CJ22" i="10" s="1"/>
  <c r="CK22" i="10" s="1"/>
  <c r="CL22" i="10" s="1"/>
  <c r="CM22" i="10" s="1"/>
  <c r="CN22" i="10" s="1"/>
  <c r="CO22" i="10" s="1"/>
  <c r="CP22" i="10" s="1"/>
  <c r="CQ22" i="10" s="1"/>
  <c r="CR22" i="10" s="1"/>
  <c r="CS22" i="10" s="1"/>
  <c r="CT22" i="10" s="1"/>
  <c r="CU22" i="10" s="1"/>
  <c r="CV22" i="10" s="1"/>
  <c r="CW22" i="10" s="1"/>
  <c r="CX22" i="10" s="1"/>
  <c r="CY22" i="10" s="1"/>
  <c r="CZ22" i="10" s="1"/>
  <c r="DA22" i="10" s="1"/>
  <c r="DB22" i="10" s="1"/>
  <c r="DC22" i="10" s="1"/>
  <c r="DD22" i="10" s="1"/>
  <c r="DE22" i="10" s="1"/>
  <c r="DF22" i="10" s="1"/>
  <c r="DG22" i="10" s="1"/>
  <c r="DH22" i="10" s="1"/>
  <c r="DI22" i="10" s="1"/>
  <c r="DJ22" i="10" s="1"/>
  <c r="DK22" i="10" s="1"/>
  <c r="DL22" i="10" s="1"/>
  <c r="DM22" i="10" s="1"/>
  <c r="DN22" i="10" s="1"/>
  <c r="DO22" i="10" s="1"/>
  <c r="DP22" i="10" s="1"/>
  <c r="DQ22" i="10" s="1"/>
  <c r="DR22" i="10" s="1"/>
  <c r="DS22" i="10" s="1"/>
  <c r="DT22" i="10" s="1"/>
  <c r="DU22" i="10" s="1"/>
  <c r="DV22" i="10" s="1"/>
  <c r="DW22" i="10" s="1"/>
  <c r="DX22" i="10" s="1"/>
  <c r="DY22" i="10" s="1"/>
  <c r="DZ22" i="10" s="1"/>
  <c r="EA22" i="10" s="1"/>
  <c r="EB22" i="10" s="1"/>
  <c r="EC22" i="10" s="1"/>
  <c r="ED22" i="10" s="1"/>
  <c r="EE22" i="10" s="1"/>
  <c r="EF22" i="10" s="1"/>
  <c r="D21" i="10"/>
  <c r="E21" i="10" s="1"/>
  <c r="F21" i="10" s="1"/>
  <c r="G21" i="10" s="1"/>
  <c r="H21" i="10" s="1"/>
  <c r="I21" i="10" s="1"/>
  <c r="J21" i="10" s="1"/>
  <c r="K21" i="10" s="1"/>
  <c r="L21" i="10" s="1"/>
  <c r="M21" i="10" s="1"/>
  <c r="N21" i="10" s="1"/>
  <c r="O21" i="10" s="1"/>
  <c r="P21" i="10" s="1"/>
  <c r="Q21" i="10" s="1"/>
  <c r="R21" i="10" s="1"/>
  <c r="S21" i="10" s="1"/>
  <c r="T21" i="10" s="1"/>
  <c r="U21" i="10" s="1"/>
  <c r="V21" i="10" s="1"/>
  <c r="W21" i="10" s="1"/>
  <c r="X21" i="10" s="1"/>
  <c r="Y21" i="10" s="1"/>
  <c r="Z21" i="10" s="1"/>
  <c r="AA21" i="10" s="1"/>
  <c r="AB21" i="10" s="1"/>
  <c r="AC21" i="10" s="1"/>
  <c r="AD21" i="10" s="1"/>
  <c r="AE21" i="10" s="1"/>
  <c r="AF21" i="10" s="1"/>
  <c r="AG21" i="10" s="1"/>
  <c r="AH21" i="10" s="1"/>
  <c r="AI21" i="10" s="1"/>
  <c r="AJ21" i="10" s="1"/>
  <c r="AK21" i="10" s="1"/>
  <c r="AL21" i="10" s="1"/>
  <c r="AM21" i="10" s="1"/>
  <c r="AN21" i="10" s="1"/>
  <c r="AO21" i="10" s="1"/>
  <c r="AP21" i="10" s="1"/>
  <c r="AQ21" i="10" s="1"/>
  <c r="AR21" i="10" s="1"/>
  <c r="AS21" i="10" s="1"/>
  <c r="AT21" i="10" s="1"/>
  <c r="AU21" i="10" s="1"/>
  <c r="AV21" i="10" s="1"/>
  <c r="AW21" i="10" s="1"/>
  <c r="AX21" i="10" s="1"/>
  <c r="AY21" i="10" s="1"/>
  <c r="AZ21" i="10" s="1"/>
  <c r="BA21" i="10" s="1"/>
  <c r="BB21" i="10" s="1"/>
  <c r="BC21" i="10" s="1"/>
  <c r="BD21" i="10" s="1"/>
  <c r="BE21" i="10" s="1"/>
  <c r="BF21" i="10" s="1"/>
  <c r="BG21" i="10" s="1"/>
  <c r="BH21" i="10" s="1"/>
  <c r="BI21" i="10" s="1"/>
  <c r="BJ21" i="10" s="1"/>
  <c r="BK21" i="10" s="1"/>
  <c r="BL21" i="10" s="1"/>
  <c r="BM21" i="10" s="1"/>
  <c r="BN21" i="10" s="1"/>
  <c r="BO21" i="10" s="1"/>
  <c r="BP21" i="10" s="1"/>
  <c r="BQ21" i="10" s="1"/>
  <c r="BR21" i="10" s="1"/>
  <c r="BS21" i="10" s="1"/>
  <c r="BT21" i="10" s="1"/>
  <c r="BU21" i="10" s="1"/>
  <c r="BV21" i="10" s="1"/>
  <c r="BW21" i="10" s="1"/>
  <c r="BX21" i="10" s="1"/>
  <c r="BY21" i="10" s="1"/>
  <c r="BZ21" i="10" s="1"/>
  <c r="CA21" i="10" s="1"/>
  <c r="CB21" i="10" s="1"/>
  <c r="CC21" i="10" s="1"/>
  <c r="CD21" i="10" s="1"/>
  <c r="CE21" i="10" s="1"/>
  <c r="CF21" i="10" s="1"/>
  <c r="CG21" i="10" s="1"/>
  <c r="CH21" i="10" s="1"/>
  <c r="CI21" i="10" s="1"/>
  <c r="CJ21" i="10" s="1"/>
  <c r="CK21" i="10" s="1"/>
  <c r="CL21" i="10" s="1"/>
  <c r="CM21" i="10" s="1"/>
  <c r="CN21" i="10" s="1"/>
  <c r="CO21" i="10" s="1"/>
  <c r="CP21" i="10" s="1"/>
  <c r="CQ21" i="10" s="1"/>
  <c r="CR21" i="10" s="1"/>
  <c r="CS21" i="10" s="1"/>
  <c r="CT21" i="10" s="1"/>
  <c r="CU21" i="10" s="1"/>
  <c r="CV21" i="10" s="1"/>
  <c r="CW21" i="10" s="1"/>
  <c r="CX21" i="10" s="1"/>
  <c r="CY21" i="10" s="1"/>
  <c r="CZ21" i="10" s="1"/>
  <c r="DA21" i="10" s="1"/>
  <c r="DB21" i="10" s="1"/>
  <c r="DC21" i="10" s="1"/>
  <c r="DD21" i="10" s="1"/>
  <c r="DE21" i="10" s="1"/>
  <c r="DF21" i="10" s="1"/>
  <c r="DG21" i="10" s="1"/>
  <c r="DH21" i="10" s="1"/>
  <c r="DI21" i="10" s="1"/>
  <c r="DJ21" i="10" s="1"/>
  <c r="DK21" i="10" s="1"/>
  <c r="DL21" i="10" s="1"/>
  <c r="DM21" i="10" s="1"/>
  <c r="DN21" i="10" s="1"/>
  <c r="DO21" i="10" s="1"/>
  <c r="DP21" i="10" s="1"/>
  <c r="DQ21" i="10" s="1"/>
  <c r="DR21" i="10" s="1"/>
  <c r="DS21" i="10" s="1"/>
  <c r="DT21" i="10" s="1"/>
  <c r="DU21" i="10" s="1"/>
  <c r="DV21" i="10" s="1"/>
  <c r="DW21" i="10" s="1"/>
  <c r="DX21" i="10" s="1"/>
  <c r="DY21" i="10" s="1"/>
  <c r="DZ21" i="10" s="1"/>
  <c r="EA21" i="10" s="1"/>
  <c r="EB21" i="10" s="1"/>
  <c r="EC21" i="10" s="1"/>
  <c r="ED21" i="10" s="1"/>
  <c r="EE21" i="10" s="1"/>
  <c r="EF21" i="10" s="1"/>
  <c r="P20" i="10"/>
  <c r="Q20" i="10" s="1"/>
  <c r="R20" i="10" s="1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AG20" i="10" s="1"/>
  <c r="AH20" i="10" s="1"/>
  <c r="AI20" i="10" s="1"/>
  <c r="AJ20" i="10" s="1"/>
  <c r="AK20" i="10" s="1"/>
  <c r="AL20" i="10" s="1"/>
  <c r="AM20" i="10" s="1"/>
  <c r="AN20" i="10" s="1"/>
  <c r="AO20" i="10" s="1"/>
  <c r="AP20" i="10" s="1"/>
  <c r="AQ20" i="10" s="1"/>
  <c r="AR20" i="10" s="1"/>
  <c r="AS20" i="10" s="1"/>
  <c r="AT20" i="10" s="1"/>
  <c r="AU20" i="10" s="1"/>
  <c r="AV20" i="10" s="1"/>
  <c r="AW20" i="10" s="1"/>
  <c r="AX20" i="10" s="1"/>
  <c r="AY20" i="10" s="1"/>
  <c r="AZ20" i="10" s="1"/>
  <c r="BA20" i="10" s="1"/>
  <c r="BB20" i="10" s="1"/>
  <c r="BC20" i="10" s="1"/>
  <c r="BD20" i="10" s="1"/>
  <c r="BE20" i="10" s="1"/>
  <c r="BF20" i="10" s="1"/>
  <c r="BG20" i="10" s="1"/>
  <c r="BH20" i="10" s="1"/>
  <c r="BI20" i="10" s="1"/>
  <c r="BJ20" i="10" s="1"/>
  <c r="BK20" i="10" s="1"/>
  <c r="BL20" i="10" s="1"/>
  <c r="BM20" i="10" s="1"/>
  <c r="BN20" i="10" s="1"/>
  <c r="BO20" i="10" s="1"/>
  <c r="BP20" i="10" s="1"/>
  <c r="BQ20" i="10" s="1"/>
  <c r="BR20" i="10" s="1"/>
  <c r="BS20" i="10" s="1"/>
  <c r="BT20" i="10" s="1"/>
  <c r="BU20" i="10" s="1"/>
  <c r="BV20" i="10" s="1"/>
  <c r="BW20" i="10" s="1"/>
  <c r="BX20" i="10" s="1"/>
  <c r="BY20" i="10" s="1"/>
  <c r="BZ20" i="10" s="1"/>
  <c r="CA20" i="10" s="1"/>
  <c r="CB20" i="10" s="1"/>
  <c r="CC20" i="10" s="1"/>
  <c r="CD20" i="10" s="1"/>
  <c r="CE20" i="10" s="1"/>
  <c r="CF20" i="10" s="1"/>
  <c r="CG20" i="10" s="1"/>
  <c r="CH20" i="10" s="1"/>
  <c r="CI20" i="10" s="1"/>
  <c r="CJ20" i="10" s="1"/>
  <c r="CK20" i="10" s="1"/>
  <c r="CL20" i="10" s="1"/>
  <c r="CM20" i="10" s="1"/>
  <c r="CN20" i="10" s="1"/>
  <c r="CO20" i="10" s="1"/>
  <c r="CP20" i="10" s="1"/>
  <c r="CQ20" i="10" s="1"/>
  <c r="CR20" i="10" s="1"/>
  <c r="CS20" i="10" s="1"/>
  <c r="CT20" i="10" s="1"/>
  <c r="CU20" i="10" s="1"/>
  <c r="CV20" i="10" s="1"/>
  <c r="CW20" i="10" s="1"/>
  <c r="CX20" i="10" s="1"/>
  <c r="CY20" i="10" s="1"/>
  <c r="CZ20" i="10" s="1"/>
  <c r="DA20" i="10" s="1"/>
  <c r="DB20" i="10" s="1"/>
  <c r="DC20" i="10" s="1"/>
  <c r="DD20" i="10" s="1"/>
  <c r="DE20" i="10" s="1"/>
  <c r="DF20" i="10" s="1"/>
  <c r="DG20" i="10" s="1"/>
  <c r="DH20" i="10" s="1"/>
  <c r="DI20" i="10" s="1"/>
  <c r="DJ20" i="10" s="1"/>
  <c r="DK20" i="10" s="1"/>
  <c r="DL20" i="10" s="1"/>
  <c r="DM20" i="10" s="1"/>
  <c r="DN20" i="10" s="1"/>
  <c r="DO20" i="10" s="1"/>
  <c r="DP20" i="10" s="1"/>
  <c r="DQ20" i="10" s="1"/>
  <c r="DR20" i="10" s="1"/>
  <c r="DS20" i="10" s="1"/>
  <c r="DT20" i="10" s="1"/>
  <c r="DU20" i="10" s="1"/>
  <c r="DV20" i="10" s="1"/>
  <c r="DW20" i="10" s="1"/>
  <c r="DX20" i="10" s="1"/>
  <c r="DY20" i="10" s="1"/>
  <c r="DZ20" i="10" s="1"/>
  <c r="EA20" i="10" s="1"/>
  <c r="EB20" i="10" s="1"/>
  <c r="EC20" i="10" s="1"/>
  <c r="ED20" i="10" s="1"/>
  <c r="EE20" i="10" s="1"/>
  <c r="EF20" i="10" s="1"/>
  <c r="F20" i="10"/>
  <c r="G20" i="10" s="1"/>
  <c r="H20" i="10" s="1"/>
  <c r="I20" i="10" s="1"/>
  <c r="J20" i="10" s="1"/>
  <c r="K20" i="10" s="1"/>
  <c r="L20" i="10" s="1"/>
  <c r="M20" i="10" s="1"/>
  <c r="N20" i="10" s="1"/>
  <c r="O20" i="10" s="1"/>
  <c r="D20" i="10"/>
  <c r="E20" i="10" s="1"/>
  <c r="I19" i="10"/>
  <c r="J19" i="10" s="1"/>
  <c r="K19" i="10" s="1"/>
  <c r="L19" i="10" s="1"/>
  <c r="M19" i="10" s="1"/>
  <c r="N19" i="10" s="1"/>
  <c r="O19" i="10" s="1"/>
  <c r="P19" i="10" s="1"/>
  <c r="Q19" i="10" s="1"/>
  <c r="R19" i="10" s="1"/>
  <c r="S19" i="10" s="1"/>
  <c r="T19" i="10" s="1"/>
  <c r="U19" i="10" s="1"/>
  <c r="V19" i="10" s="1"/>
  <c r="W19" i="10" s="1"/>
  <c r="X19" i="10" s="1"/>
  <c r="Y19" i="10" s="1"/>
  <c r="Z19" i="10" s="1"/>
  <c r="AA19" i="10" s="1"/>
  <c r="AB19" i="10" s="1"/>
  <c r="AC19" i="10" s="1"/>
  <c r="AD19" i="10" s="1"/>
  <c r="AE19" i="10" s="1"/>
  <c r="AF19" i="10" s="1"/>
  <c r="AG19" i="10" s="1"/>
  <c r="AH19" i="10" s="1"/>
  <c r="AI19" i="10" s="1"/>
  <c r="AJ19" i="10" s="1"/>
  <c r="AK19" i="10" s="1"/>
  <c r="AL19" i="10" s="1"/>
  <c r="AM19" i="10" s="1"/>
  <c r="AN19" i="10" s="1"/>
  <c r="AO19" i="10" s="1"/>
  <c r="AP19" i="10" s="1"/>
  <c r="AQ19" i="10" s="1"/>
  <c r="AR19" i="10" s="1"/>
  <c r="AS19" i="10" s="1"/>
  <c r="AT19" i="10" s="1"/>
  <c r="AU19" i="10" s="1"/>
  <c r="AV19" i="10" s="1"/>
  <c r="AW19" i="10" s="1"/>
  <c r="AX19" i="10" s="1"/>
  <c r="AY19" i="10" s="1"/>
  <c r="AZ19" i="10" s="1"/>
  <c r="BA19" i="10" s="1"/>
  <c r="BB19" i="10" s="1"/>
  <c r="BC19" i="10" s="1"/>
  <c r="BD19" i="10" s="1"/>
  <c r="BE19" i="10" s="1"/>
  <c r="BF19" i="10" s="1"/>
  <c r="BG19" i="10" s="1"/>
  <c r="BH19" i="10" s="1"/>
  <c r="BI19" i="10" s="1"/>
  <c r="BJ19" i="10" s="1"/>
  <c r="BK19" i="10" s="1"/>
  <c r="BL19" i="10" s="1"/>
  <c r="BM19" i="10" s="1"/>
  <c r="BN19" i="10" s="1"/>
  <c r="BO19" i="10" s="1"/>
  <c r="BP19" i="10" s="1"/>
  <c r="BQ19" i="10" s="1"/>
  <c r="BR19" i="10" s="1"/>
  <c r="BS19" i="10" s="1"/>
  <c r="BT19" i="10" s="1"/>
  <c r="BU19" i="10" s="1"/>
  <c r="BV19" i="10" s="1"/>
  <c r="BW19" i="10" s="1"/>
  <c r="BX19" i="10" s="1"/>
  <c r="BY19" i="10" s="1"/>
  <c r="BZ19" i="10" s="1"/>
  <c r="CA19" i="10" s="1"/>
  <c r="CB19" i="10" s="1"/>
  <c r="CC19" i="10" s="1"/>
  <c r="CD19" i="10" s="1"/>
  <c r="CE19" i="10" s="1"/>
  <c r="CF19" i="10" s="1"/>
  <c r="CG19" i="10" s="1"/>
  <c r="CH19" i="10" s="1"/>
  <c r="CI19" i="10" s="1"/>
  <c r="CJ19" i="10" s="1"/>
  <c r="CK19" i="10" s="1"/>
  <c r="CL19" i="10" s="1"/>
  <c r="CM19" i="10" s="1"/>
  <c r="CN19" i="10" s="1"/>
  <c r="CO19" i="10" s="1"/>
  <c r="CP19" i="10" s="1"/>
  <c r="CQ19" i="10" s="1"/>
  <c r="CR19" i="10" s="1"/>
  <c r="CS19" i="10" s="1"/>
  <c r="CT19" i="10" s="1"/>
  <c r="CU19" i="10" s="1"/>
  <c r="CV19" i="10" s="1"/>
  <c r="CW19" i="10" s="1"/>
  <c r="CX19" i="10" s="1"/>
  <c r="CY19" i="10" s="1"/>
  <c r="CZ19" i="10" s="1"/>
  <c r="DA19" i="10" s="1"/>
  <c r="DB19" i="10" s="1"/>
  <c r="DC19" i="10" s="1"/>
  <c r="DD19" i="10" s="1"/>
  <c r="DE19" i="10" s="1"/>
  <c r="DF19" i="10" s="1"/>
  <c r="DG19" i="10" s="1"/>
  <c r="DH19" i="10" s="1"/>
  <c r="DI19" i="10" s="1"/>
  <c r="DJ19" i="10" s="1"/>
  <c r="DK19" i="10" s="1"/>
  <c r="DL19" i="10" s="1"/>
  <c r="DM19" i="10" s="1"/>
  <c r="DN19" i="10" s="1"/>
  <c r="DO19" i="10" s="1"/>
  <c r="DP19" i="10" s="1"/>
  <c r="DQ19" i="10" s="1"/>
  <c r="DR19" i="10" s="1"/>
  <c r="DS19" i="10" s="1"/>
  <c r="DT19" i="10" s="1"/>
  <c r="DU19" i="10" s="1"/>
  <c r="DV19" i="10" s="1"/>
  <c r="DW19" i="10" s="1"/>
  <c r="DX19" i="10" s="1"/>
  <c r="DY19" i="10" s="1"/>
  <c r="DZ19" i="10" s="1"/>
  <c r="EA19" i="10" s="1"/>
  <c r="EB19" i="10" s="1"/>
  <c r="EC19" i="10" s="1"/>
  <c r="ED19" i="10" s="1"/>
  <c r="EE19" i="10" s="1"/>
  <c r="EF19" i="10" s="1"/>
  <c r="F19" i="10"/>
  <c r="G19" i="10" s="1"/>
  <c r="H19" i="10" s="1"/>
  <c r="E19" i="10"/>
  <c r="D19" i="10"/>
  <c r="E18" i="10"/>
  <c r="F18" i="10" s="1"/>
  <c r="G18" i="10" s="1"/>
  <c r="H18" i="10" s="1"/>
  <c r="I18" i="10" s="1"/>
  <c r="J18" i="10" s="1"/>
  <c r="K18" i="10" s="1"/>
  <c r="L18" i="10" s="1"/>
  <c r="M18" i="10" s="1"/>
  <c r="N18" i="10" s="1"/>
  <c r="O18" i="10" s="1"/>
  <c r="P18" i="10" s="1"/>
  <c r="Q18" i="10" s="1"/>
  <c r="R18" i="10" s="1"/>
  <c r="S18" i="10" s="1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AG18" i="10" s="1"/>
  <c r="AH18" i="10" s="1"/>
  <c r="AI18" i="10" s="1"/>
  <c r="AJ18" i="10" s="1"/>
  <c r="AK18" i="10" s="1"/>
  <c r="AL18" i="10" s="1"/>
  <c r="AM18" i="10" s="1"/>
  <c r="AN18" i="10" s="1"/>
  <c r="AO18" i="10" s="1"/>
  <c r="AP18" i="10" s="1"/>
  <c r="AQ18" i="10" s="1"/>
  <c r="AR18" i="10" s="1"/>
  <c r="AS18" i="10" s="1"/>
  <c r="AT18" i="10" s="1"/>
  <c r="AU18" i="10" s="1"/>
  <c r="AV18" i="10" s="1"/>
  <c r="AW18" i="10" s="1"/>
  <c r="AX18" i="10" s="1"/>
  <c r="AY18" i="10" s="1"/>
  <c r="AZ18" i="10" s="1"/>
  <c r="BA18" i="10" s="1"/>
  <c r="BB18" i="10" s="1"/>
  <c r="BC18" i="10" s="1"/>
  <c r="BD18" i="10" s="1"/>
  <c r="BE18" i="10" s="1"/>
  <c r="BF18" i="10" s="1"/>
  <c r="BG18" i="10" s="1"/>
  <c r="BH18" i="10" s="1"/>
  <c r="BI18" i="10" s="1"/>
  <c r="BJ18" i="10" s="1"/>
  <c r="BK18" i="10" s="1"/>
  <c r="BL18" i="10" s="1"/>
  <c r="BM18" i="10" s="1"/>
  <c r="BN18" i="10" s="1"/>
  <c r="BO18" i="10" s="1"/>
  <c r="BP18" i="10" s="1"/>
  <c r="BQ18" i="10" s="1"/>
  <c r="BR18" i="10" s="1"/>
  <c r="BS18" i="10" s="1"/>
  <c r="BT18" i="10" s="1"/>
  <c r="BU18" i="10" s="1"/>
  <c r="BV18" i="10" s="1"/>
  <c r="BW18" i="10" s="1"/>
  <c r="BX18" i="10" s="1"/>
  <c r="BY18" i="10" s="1"/>
  <c r="BZ18" i="10" s="1"/>
  <c r="CA18" i="10" s="1"/>
  <c r="CB18" i="10" s="1"/>
  <c r="CC18" i="10" s="1"/>
  <c r="CD18" i="10" s="1"/>
  <c r="CE18" i="10" s="1"/>
  <c r="CF18" i="10" s="1"/>
  <c r="CG18" i="10" s="1"/>
  <c r="CH18" i="10" s="1"/>
  <c r="CI18" i="10" s="1"/>
  <c r="CJ18" i="10" s="1"/>
  <c r="CK18" i="10" s="1"/>
  <c r="CL18" i="10" s="1"/>
  <c r="CM18" i="10" s="1"/>
  <c r="CN18" i="10" s="1"/>
  <c r="CO18" i="10" s="1"/>
  <c r="CP18" i="10" s="1"/>
  <c r="CQ18" i="10" s="1"/>
  <c r="CR18" i="10" s="1"/>
  <c r="CS18" i="10" s="1"/>
  <c r="CT18" i="10" s="1"/>
  <c r="CU18" i="10" s="1"/>
  <c r="CV18" i="10" s="1"/>
  <c r="CW18" i="10" s="1"/>
  <c r="CX18" i="10" s="1"/>
  <c r="CY18" i="10" s="1"/>
  <c r="CZ18" i="10" s="1"/>
  <c r="DA18" i="10" s="1"/>
  <c r="DB18" i="10" s="1"/>
  <c r="DC18" i="10" s="1"/>
  <c r="DD18" i="10" s="1"/>
  <c r="DE18" i="10" s="1"/>
  <c r="DF18" i="10" s="1"/>
  <c r="DG18" i="10" s="1"/>
  <c r="DH18" i="10" s="1"/>
  <c r="DI18" i="10" s="1"/>
  <c r="DJ18" i="10" s="1"/>
  <c r="DK18" i="10" s="1"/>
  <c r="DL18" i="10" s="1"/>
  <c r="DM18" i="10" s="1"/>
  <c r="DN18" i="10" s="1"/>
  <c r="DO18" i="10" s="1"/>
  <c r="DP18" i="10" s="1"/>
  <c r="DQ18" i="10" s="1"/>
  <c r="DR18" i="10" s="1"/>
  <c r="DS18" i="10" s="1"/>
  <c r="DT18" i="10" s="1"/>
  <c r="DU18" i="10" s="1"/>
  <c r="DV18" i="10" s="1"/>
  <c r="DW18" i="10" s="1"/>
  <c r="DX18" i="10" s="1"/>
  <c r="DY18" i="10" s="1"/>
  <c r="DZ18" i="10" s="1"/>
  <c r="EA18" i="10" s="1"/>
  <c r="EB18" i="10" s="1"/>
  <c r="EC18" i="10" s="1"/>
  <c r="ED18" i="10" s="1"/>
  <c r="EE18" i="10" s="1"/>
  <c r="EF18" i="10" s="1"/>
  <c r="D18" i="10"/>
  <c r="D17" i="10"/>
  <c r="E17" i="10" s="1"/>
  <c r="F17" i="10" s="1"/>
  <c r="G17" i="10" s="1"/>
  <c r="H17" i="10" s="1"/>
  <c r="I17" i="10" s="1"/>
  <c r="J17" i="10" s="1"/>
  <c r="K17" i="10" s="1"/>
  <c r="L17" i="10" s="1"/>
  <c r="M17" i="10" s="1"/>
  <c r="N17" i="10" s="1"/>
  <c r="O17" i="10" s="1"/>
  <c r="P17" i="10" s="1"/>
  <c r="Q17" i="10" s="1"/>
  <c r="R17" i="10" s="1"/>
  <c r="S17" i="10" s="1"/>
  <c r="T17" i="10" s="1"/>
  <c r="U17" i="10" s="1"/>
  <c r="V17" i="10" s="1"/>
  <c r="W17" i="10" s="1"/>
  <c r="X17" i="10" s="1"/>
  <c r="Y17" i="10" s="1"/>
  <c r="Z17" i="10" s="1"/>
  <c r="AA17" i="10" s="1"/>
  <c r="AB17" i="10" s="1"/>
  <c r="AC17" i="10" s="1"/>
  <c r="AD17" i="10" s="1"/>
  <c r="AE17" i="10" s="1"/>
  <c r="AF17" i="10" s="1"/>
  <c r="AG17" i="10" s="1"/>
  <c r="AH17" i="10" s="1"/>
  <c r="AI17" i="10" s="1"/>
  <c r="AJ17" i="10" s="1"/>
  <c r="AK17" i="10" s="1"/>
  <c r="AL17" i="10" s="1"/>
  <c r="AM17" i="10" s="1"/>
  <c r="AN17" i="10" s="1"/>
  <c r="AO17" i="10" s="1"/>
  <c r="AP17" i="10" s="1"/>
  <c r="AQ17" i="10" s="1"/>
  <c r="AR17" i="10" s="1"/>
  <c r="AS17" i="10" s="1"/>
  <c r="AT17" i="10" s="1"/>
  <c r="AU17" i="10" s="1"/>
  <c r="AV17" i="10" s="1"/>
  <c r="AW17" i="10" s="1"/>
  <c r="AX17" i="10" s="1"/>
  <c r="AY17" i="10" s="1"/>
  <c r="AZ17" i="10" s="1"/>
  <c r="BA17" i="10" s="1"/>
  <c r="BB17" i="10" s="1"/>
  <c r="BC17" i="10" s="1"/>
  <c r="BD17" i="10" s="1"/>
  <c r="BE17" i="10" s="1"/>
  <c r="BF17" i="10" s="1"/>
  <c r="BG17" i="10" s="1"/>
  <c r="BH17" i="10" s="1"/>
  <c r="BI17" i="10" s="1"/>
  <c r="BJ17" i="10" s="1"/>
  <c r="BK17" i="10" s="1"/>
  <c r="BL17" i="10" s="1"/>
  <c r="BM17" i="10" s="1"/>
  <c r="BN17" i="10" s="1"/>
  <c r="BO17" i="10" s="1"/>
  <c r="BP17" i="10" s="1"/>
  <c r="BQ17" i="10" s="1"/>
  <c r="BR17" i="10" s="1"/>
  <c r="BS17" i="10" s="1"/>
  <c r="BT17" i="10" s="1"/>
  <c r="BU17" i="10" s="1"/>
  <c r="BV17" i="10" s="1"/>
  <c r="BW17" i="10" s="1"/>
  <c r="BX17" i="10" s="1"/>
  <c r="BY17" i="10" s="1"/>
  <c r="BZ17" i="10" s="1"/>
  <c r="CA17" i="10" s="1"/>
  <c r="CB17" i="10" s="1"/>
  <c r="CC17" i="10" s="1"/>
  <c r="CD17" i="10" s="1"/>
  <c r="CE17" i="10" s="1"/>
  <c r="CF17" i="10" s="1"/>
  <c r="CG17" i="10" s="1"/>
  <c r="CH17" i="10" s="1"/>
  <c r="CI17" i="10" s="1"/>
  <c r="CJ17" i="10" s="1"/>
  <c r="CK17" i="10" s="1"/>
  <c r="CL17" i="10" s="1"/>
  <c r="CM17" i="10" s="1"/>
  <c r="CN17" i="10" s="1"/>
  <c r="CO17" i="10" s="1"/>
  <c r="CP17" i="10" s="1"/>
  <c r="CQ17" i="10" s="1"/>
  <c r="CR17" i="10" s="1"/>
  <c r="CS17" i="10" s="1"/>
  <c r="CT17" i="10" s="1"/>
  <c r="CU17" i="10" s="1"/>
  <c r="CV17" i="10" s="1"/>
  <c r="CW17" i="10" s="1"/>
  <c r="CX17" i="10" s="1"/>
  <c r="CY17" i="10" s="1"/>
  <c r="CZ17" i="10" s="1"/>
  <c r="DA17" i="10" s="1"/>
  <c r="DB17" i="10" s="1"/>
  <c r="DC17" i="10" s="1"/>
  <c r="DD17" i="10" s="1"/>
  <c r="DE17" i="10" s="1"/>
  <c r="DF17" i="10" s="1"/>
  <c r="DG17" i="10" s="1"/>
  <c r="DH17" i="10" s="1"/>
  <c r="DI17" i="10" s="1"/>
  <c r="DJ17" i="10" s="1"/>
  <c r="DK17" i="10" s="1"/>
  <c r="DL17" i="10" s="1"/>
  <c r="DM17" i="10" s="1"/>
  <c r="DN17" i="10" s="1"/>
  <c r="DO17" i="10" s="1"/>
  <c r="DP17" i="10" s="1"/>
  <c r="DQ17" i="10" s="1"/>
  <c r="DR17" i="10" s="1"/>
  <c r="DS17" i="10" s="1"/>
  <c r="DT17" i="10" s="1"/>
  <c r="DU17" i="10" s="1"/>
  <c r="DV17" i="10" s="1"/>
  <c r="DW17" i="10" s="1"/>
  <c r="DX17" i="10" s="1"/>
  <c r="DY17" i="10" s="1"/>
  <c r="DZ17" i="10" s="1"/>
  <c r="EA17" i="10" s="1"/>
  <c r="EB17" i="10" s="1"/>
  <c r="EC17" i="10" s="1"/>
  <c r="ED17" i="10" s="1"/>
  <c r="EE17" i="10" s="1"/>
  <c r="EF17" i="10" s="1"/>
  <c r="F16" i="10"/>
  <c r="G16" i="10" s="1"/>
  <c r="H16" i="10" s="1"/>
  <c r="I16" i="10" s="1"/>
  <c r="J16" i="10" s="1"/>
  <c r="K16" i="10" s="1"/>
  <c r="L16" i="10" s="1"/>
  <c r="M16" i="10" s="1"/>
  <c r="N16" i="10" s="1"/>
  <c r="O16" i="10" s="1"/>
  <c r="P16" i="10" s="1"/>
  <c r="Q16" i="10" s="1"/>
  <c r="R16" i="10" s="1"/>
  <c r="S16" i="10" s="1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G16" i="10" s="1"/>
  <c r="AH16" i="10" s="1"/>
  <c r="AI16" i="10" s="1"/>
  <c r="AJ16" i="10" s="1"/>
  <c r="AK16" i="10" s="1"/>
  <c r="AL16" i="10" s="1"/>
  <c r="AM16" i="10" s="1"/>
  <c r="AN16" i="10" s="1"/>
  <c r="AO16" i="10" s="1"/>
  <c r="AP16" i="10" s="1"/>
  <c r="AQ16" i="10" s="1"/>
  <c r="AR16" i="10" s="1"/>
  <c r="AS16" i="10" s="1"/>
  <c r="AT16" i="10" s="1"/>
  <c r="AU16" i="10" s="1"/>
  <c r="AV16" i="10" s="1"/>
  <c r="AW16" i="10" s="1"/>
  <c r="AX16" i="10" s="1"/>
  <c r="AY16" i="10" s="1"/>
  <c r="AZ16" i="10" s="1"/>
  <c r="BA16" i="10" s="1"/>
  <c r="BB16" i="10" s="1"/>
  <c r="BC16" i="10" s="1"/>
  <c r="BD16" i="10" s="1"/>
  <c r="BE16" i="10" s="1"/>
  <c r="BF16" i="10" s="1"/>
  <c r="BG16" i="10" s="1"/>
  <c r="BH16" i="10" s="1"/>
  <c r="BI16" i="10" s="1"/>
  <c r="BJ16" i="10" s="1"/>
  <c r="BK16" i="10" s="1"/>
  <c r="BL16" i="10" s="1"/>
  <c r="BM16" i="10" s="1"/>
  <c r="BN16" i="10" s="1"/>
  <c r="BO16" i="10" s="1"/>
  <c r="BP16" i="10" s="1"/>
  <c r="BQ16" i="10" s="1"/>
  <c r="BR16" i="10" s="1"/>
  <c r="BS16" i="10" s="1"/>
  <c r="BT16" i="10" s="1"/>
  <c r="BU16" i="10" s="1"/>
  <c r="BV16" i="10" s="1"/>
  <c r="BW16" i="10" s="1"/>
  <c r="BX16" i="10" s="1"/>
  <c r="BY16" i="10" s="1"/>
  <c r="BZ16" i="10" s="1"/>
  <c r="CA16" i="10" s="1"/>
  <c r="CB16" i="10" s="1"/>
  <c r="CC16" i="10" s="1"/>
  <c r="CD16" i="10" s="1"/>
  <c r="CE16" i="10" s="1"/>
  <c r="CF16" i="10" s="1"/>
  <c r="CG16" i="10" s="1"/>
  <c r="CH16" i="10" s="1"/>
  <c r="CI16" i="10" s="1"/>
  <c r="CJ16" i="10" s="1"/>
  <c r="CK16" i="10" s="1"/>
  <c r="CL16" i="10" s="1"/>
  <c r="CM16" i="10" s="1"/>
  <c r="CN16" i="10" s="1"/>
  <c r="CO16" i="10" s="1"/>
  <c r="CP16" i="10" s="1"/>
  <c r="CQ16" i="10" s="1"/>
  <c r="CR16" i="10" s="1"/>
  <c r="CS16" i="10" s="1"/>
  <c r="CT16" i="10" s="1"/>
  <c r="CU16" i="10" s="1"/>
  <c r="CV16" i="10" s="1"/>
  <c r="CW16" i="10" s="1"/>
  <c r="CX16" i="10" s="1"/>
  <c r="CY16" i="10" s="1"/>
  <c r="CZ16" i="10" s="1"/>
  <c r="DA16" i="10" s="1"/>
  <c r="DB16" i="10" s="1"/>
  <c r="DC16" i="10" s="1"/>
  <c r="DD16" i="10" s="1"/>
  <c r="DE16" i="10" s="1"/>
  <c r="DF16" i="10" s="1"/>
  <c r="DG16" i="10" s="1"/>
  <c r="DH16" i="10" s="1"/>
  <c r="DI16" i="10" s="1"/>
  <c r="DJ16" i="10" s="1"/>
  <c r="DK16" i="10" s="1"/>
  <c r="DL16" i="10" s="1"/>
  <c r="DM16" i="10" s="1"/>
  <c r="DN16" i="10" s="1"/>
  <c r="DO16" i="10" s="1"/>
  <c r="DP16" i="10" s="1"/>
  <c r="DQ16" i="10" s="1"/>
  <c r="DR16" i="10" s="1"/>
  <c r="DS16" i="10" s="1"/>
  <c r="DT16" i="10" s="1"/>
  <c r="DU16" i="10" s="1"/>
  <c r="DV16" i="10" s="1"/>
  <c r="DW16" i="10" s="1"/>
  <c r="DX16" i="10" s="1"/>
  <c r="DY16" i="10" s="1"/>
  <c r="DZ16" i="10" s="1"/>
  <c r="EA16" i="10" s="1"/>
  <c r="EB16" i="10" s="1"/>
  <c r="EC16" i="10" s="1"/>
  <c r="ED16" i="10" s="1"/>
  <c r="EE16" i="10" s="1"/>
  <c r="EF16" i="10" s="1"/>
  <c r="D16" i="10"/>
  <c r="E16" i="10" s="1"/>
  <c r="E15" i="10"/>
  <c r="F15" i="10" s="1"/>
  <c r="G15" i="10" s="1"/>
  <c r="H15" i="10" s="1"/>
  <c r="I15" i="10" s="1"/>
  <c r="J15" i="10" s="1"/>
  <c r="K15" i="10" s="1"/>
  <c r="L15" i="10" s="1"/>
  <c r="M15" i="10" s="1"/>
  <c r="N15" i="10" s="1"/>
  <c r="O15" i="10" s="1"/>
  <c r="P15" i="10" s="1"/>
  <c r="Q15" i="10" s="1"/>
  <c r="R15" i="10" s="1"/>
  <c r="S15" i="10" s="1"/>
  <c r="T15" i="10" s="1"/>
  <c r="U15" i="10" s="1"/>
  <c r="V15" i="10" s="1"/>
  <c r="W15" i="10" s="1"/>
  <c r="X15" i="10" s="1"/>
  <c r="Y15" i="10" s="1"/>
  <c r="Z15" i="10" s="1"/>
  <c r="AA15" i="10" s="1"/>
  <c r="AB15" i="10" s="1"/>
  <c r="AC15" i="10" s="1"/>
  <c r="AD15" i="10" s="1"/>
  <c r="AE15" i="10" s="1"/>
  <c r="AF15" i="10" s="1"/>
  <c r="AG15" i="10" s="1"/>
  <c r="AH15" i="10" s="1"/>
  <c r="AI15" i="10" s="1"/>
  <c r="AJ15" i="10" s="1"/>
  <c r="AK15" i="10" s="1"/>
  <c r="AL15" i="10" s="1"/>
  <c r="AM15" i="10" s="1"/>
  <c r="AN15" i="10" s="1"/>
  <c r="AO15" i="10" s="1"/>
  <c r="AP15" i="10" s="1"/>
  <c r="AQ15" i="10" s="1"/>
  <c r="AR15" i="10" s="1"/>
  <c r="AS15" i="10" s="1"/>
  <c r="AT15" i="10" s="1"/>
  <c r="AU15" i="10" s="1"/>
  <c r="AV15" i="10" s="1"/>
  <c r="AW15" i="10" s="1"/>
  <c r="AX15" i="10" s="1"/>
  <c r="AY15" i="10" s="1"/>
  <c r="AZ15" i="10" s="1"/>
  <c r="BA15" i="10" s="1"/>
  <c r="BB15" i="10" s="1"/>
  <c r="BC15" i="10" s="1"/>
  <c r="BD15" i="10" s="1"/>
  <c r="BE15" i="10" s="1"/>
  <c r="BF15" i="10" s="1"/>
  <c r="BG15" i="10" s="1"/>
  <c r="BH15" i="10" s="1"/>
  <c r="BI15" i="10" s="1"/>
  <c r="BJ15" i="10" s="1"/>
  <c r="BK15" i="10" s="1"/>
  <c r="BL15" i="10" s="1"/>
  <c r="BM15" i="10" s="1"/>
  <c r="BN15" i="10" s="1"/>
  <c r="BO15" i="10" s="1"/>
  <c r="BP15" i="10" s="1"/>
  <c r="BQ15" i="10" s="1"/>
  <c r="BR15" i="10" s="1"/>
  <c r="BS15" i="10" s="1"/>
  <c r="BT15" i="10" s="1"/>
  <c r="BU15" i="10" s="1"/>
  <c r="BV15" i="10" s="1"/>
  <c r="BW15" i="10" s="1"/>
  <c r="BX15" i="10" s="1"/>
  <c r="BY15" i="10" s="1"/>
  <c r="BZ15" i="10" s="1"/>
  <c r="CA15" i="10" s="1"/>
  <c r="CB15" i="10" s="1"/>
  <c r="CC15" i="10" s="1"/>
  <c r="CD15" i="10" s="1"/>
  <c r="CE15" i="10" s="1"/>
  <c r="CF15" i="10" s="1"/>
  <c r="CG15" i="10" s="1"/>
  <c r="CH15" i="10" s="1"/>
  <c r="CI15" i="10" s="1"/>
  <c r="CJ15" i="10" s="1"/>
  <c r="CK15" i="10" s="1"/>
  <c r="CL15" i="10" s="1"/>
  <c r="CM15" i="10" s="1"/>
  <c r="CN15" i="10" s="1"/>
  <c r="CO15" i="10" s="1"/>
  <c r="CP15" i="10" s="1"/>
  <c r="CQ15" i="10" s="1"/>
  <c r="CR15" i="10" s="1"/>
  <c r="CS15" i="10" s="1"/>
  <c r="CT15" i="10" s="1"/>
  <c r="CU15" i="10" s="1"/>
  <c r="CV15" i="10" s="1"/>
  <c r="CW15" i="10" s="1"/>
  <c r="CX15" i="10" s="1"/>
  <c r="CY15" i="10" s="1"/>
  <c r="CZ15" i="10" s="1"/>
  <c r="DA15" i="10" s="1"/>
  <c r="DB15" i="10" s="1"/>
  <c r="DC15" i="10" s="1"/>
  <c r="DD15" i="10" s="1"/>
  <c r="DE15" i="10" s="1"/>
  <c r="DF15" i="10" s="1"/>
  <c r="DG15" i="10" s="1"/>
  <c r="DH15" i="10" s="1"/>
  <c r="DI15" i="10" s="1"/>
  <c r="DJ15" i="10" s="1"/>
  <c r="DK15" i="10" s="1"/>
  <c r="DL15" i="10" s="1"/>
  <c r="DM15" i="10" s="1"/>
  <c r="DN15" i="10" s="1"/>
  <c r="DO15" i="10" s="1"/>
  <c r="DP15" i="10" s="1"/>
  <c r="DQ15" i="10" s="1"/>
  <c r="DR15" i="10" s="1"/>
  <c r="DS15" i="10" s="1"/>
  <c r="DT15" i="10" s="1"/>
  <c r="DU15" i="10" s="1"/>
  <c r="DV15" i="10" s="1"/>
  <c r="DW15" i="10" s="1"/>
  <c r="DX15" i="10" s="1"/>
  <c r="DY15" i="10" s="1"/>
  <c r="DZ15" i="10" s="1"/>
  <c r="EA15" i="10" s="1"/>
  <c r="EB15" i="10" s="1"/>
  <c r="EC15" i="10" s="1"/>
  <c r="ED15" i="10" s="1"/>
  <c r="EE15" i="10" s="1"/>
  <c r="EF15" i="10" s="1"/>
  <c r="D15" i="10"/>
  <c r="E14" i="10"/>
  <c r="F14" i="10" s="1"/>
  <c r="G14" i="10" s="1"/>
  <c r="H14" i="10" s="1"/>
  <c r="I14" i="10" s="1"/>
  <c r="J14" i="10" s="1"/>
  <c r="K14" i="10" s="1"/>
  <c r="L14" i="10" s="1"/>
  <c r="M14" i="10" s="1"/>
  <c r="N14" i="10" s="1"/>
  <c r="O14" i="10" s="1"/>
  <c r="P14" i="10" s="1"/>
  <c r="Q14" i="10" s="1"/>
  <c r="R14" i="10" s="1"/>
  <c r="S14" i="10" s="1"/>
  <c r="T14" i="10" s="1"/>
  <c r="U14" i="10" s="1"/>
  <c r="V14" i="10" s="1"/>
  <c r="W14" i="10" s="1"/>
  <c r="X14" i="10" s="1"/>
  <c r="Y14" i="10" s="1"/>
  <c r="D14" i="10"/>
  <c r="E13" i="10"/>
  <c r="F13" i="10" s="1"/>
  <c r="G13" i="10" s="1"/>
  <c r="H13" i="10" s="1"/>
  <c r="I13" i="10" s="1"/>
  <c r="J13" i="10" s="1"/>
  <c r="K13" i="10" s="1"/>
  <c r="L13" i="10" s="1"/>
  <c r="M13" i="10" s="1"/>
  <c r="N13" i="10" s="1"/>
  <c r="O13" i="10" s="1"/>
  <c r="P13" i="10" s="1"/>
  <c r="Q13" i="10" s="1"/>
  <c r="R13" i="10" s="1"/>
  <c r="S13" i="10" s="1"/>
  <c r="T13" i="10" s="1"/>
  <c r="U13" i="10" s="1"/>
  <c r="V13" i="10" s="1"/>
  <c r="W13" i="10" s="1"/>
  <c r="X13" i="10" s="1"/>
  <c r="Y13" i="10" s="1"/>
  <c r="Z13" i="10" s="1"/>
  <c r="AA13" i="10" s="1"/>
  <c r="AB13" i="10" s="1"/>
  <c r="AC13" i="10" s="1"/>
  <c r="AD13" i="10" s="1"/>
  <c r="AE13" i="10" s="1"/>
  <c r="AF13" i="10" s="1"/>
  <c r="AG13" i="10" s="1"/>
  <c r="AH13" i="10" s="1"/>
  <c r="AI13" i="10" s="1"/>
  <c r="AJ13" i="10" s="1"/>
  <c r="AK13" i="10" s="1"/>
  <c r="AL13" i="10" s="1"/>
  <c r="AM13" i="10" s="1"/>
  <c r="AN13" i="10" s="1"/>
  <c r="AO13" i="10" s="1"/>
  <c r="AP13" i="10" s="1"/>
  <c r="AQ13" i="10" s="1"/>
  <c r="AR13" i="10" s="1"/>
  <c r="AS13" i="10" s="1"/>
  <c r="AT13" i="10" s="1"/>
  <c r="AU13" i="10" s="1"/>
  <c r="AV13" i="10" s="1"/>
  <c r="AW13" i="10" s="1"/>
  <c r="AX13" i="10" s="1"/>
  <c r="AY13" i="10" s="1"/>
  <c r="AZ13" i="10" s="1"/>
  <c r="BA13" i="10" s="1"/>
  <c r="BB13" i="10" s="1"/>
  <c r="BC13" i="10" s="1"/>
  <c r="BD13" i="10" s="1"/>
  <c r="BE13" i="10" s="1"/>
  <c r="BF13" i="10" s="1"/>
  <c r="BG13" i="10" s="1"/>
  <c r="BH13" i="10" s="1"/>
  <c r="BI13" i="10" s="1"/>
  <c r="BJ13" i="10" s="1"/>
  <c r="BK13" i="10" s="1"/>
  <c r="BL13" i="10" s="1"/>
  <c r="BM13" i="10" s="1"/>
  <c r="BN13" i="10" s="1"/>
  <c r="BO13" i="10" s="1"/>
  <c r="BP13" i="10" s="1"/>
  <c r="BQ13" i="10" s="1"/>
  <c r="BR13" i="10" s="1"/>
  <c r="BS13" i="10" s="1"/>
  <c r="BT13" i="10" s="1"/>
  <c r="BU13" i="10" s="1"/>
  <c r="BV13" i="10" s="1"/>
  <c r="BW13" i="10" s="1"/>
  <c r="BX13" i="10" s="1"/>
  <c r="BY13" i="10" s="1"/>
  <c r="BZ13" i="10" s="1"/>
  <c r="CA13" i="10" s="1"/>
  <c r="CB13" i="10" s="1"/>
  <c r="CC13" i="10" s="1"/>
  <c r="CD13" i="10" s="1"/>
  <c r="CE13" i="10" s="1"/>
  <c r="CF13" i="10" s="1"/>
  <c r="CG13" i="10" s="1"/>
  <c r="CH13" i="10" s="1"/>
  <c r="CI13" i="10" s="1"/>
  <c r="CJ13" i="10" s="1"/>
  <c r="CK13" i="10" s="1"/>
  <c r="CL13" i="10" s="1"/>
  <c r="CM13" i="10" s="1"/>
  <c r="CN13" i="10" s="1"/>
  <c r="CO13" i="10" s="1"/>
  <c r="CP13" i="10" s="1"/>
  <c r="CQ13" i="10" s="1"/>
  <c r="CR13" i="10" s="1"/>
  <c r="CS13" i="10" s="1"/>
  <c r="CT13" i="10" s="1"/>
  <c r="CU13" i="10" s="1"/>
  <c r="CV13" i="10" s="1"/>
  <c r="CW13" i="10" s="1"/>
  <c r="CX13" i="10" s="1"/>
  <c r="CY13" i="10" s="1"/>
  <c r="CZ13" i="10" s="1"/>
  <c r="DA13" i="10" s="1"/>
  <c r="DB13" i="10" s="1"/>
  <c r="DC13" i="10" s="1"/>
  <c r="DD13" i="10" s="1"/>
  <c r="DE13" i="10" s="1"/>
  <c r="DF13" i="10" s="1"/>
  <c r="DG13" i="10" s="1"/>
  <c r="DH13" i="10" s="1"/>
  <c r="DI13" i="10" s="1"/>
  <c r="DJ13" i="10" s="1"/>
  <c r="DK13" i="10" s="1"/>
  <c r="DL13" i="10" s="1"/>
  <c r="DM13" i="10" s="1"/>
  <c r="DN13" i="10" s="1"/>
  <c r="DO13" i="10" s="1"/>
  <c r="DP13" i="10" s="1"/>
  <c r="DQ13" i="10" s="1"/>
  <c r="DR13" i="10" s="1"/>
  <c r="DS13" i="10" s="1"/>
  <c r="DT13" i="10" s="1"/>
  <c r="DU13" i="10" s="1"/>
  <c r="DV13" i="10" s="1"/>
  <c r="DW13" i="10" s="1"/>
  <c r="DX13" i="10" s="1"/>
  <c r="DY13" i="10" s="1"/>
  <c r="DZ13" i="10" s="1"/>
  <c r="EA13" i="10" s="1"/>
  <c r="EB13" i="10" s="1"/>
  <c r="EC13" i="10" s="1"/>
  <c r="ED13" i="10" s="1"/>
  <c r="EE13" i="10" s="1"/>
  <c r="EF13" i="10" s="1"/>
  <c r="D13" i="10"/>
  <c r="D12" i="10"/>
  <c r="E12" i="10" s="1"/>
  <c r="F12" i="10" s="1"/>
  <c r="G12" i="10" s="1"/>
  <c r="H12" i="10" s="1"/>
  <c r="I12" i="10" s="1"/>
  <c r="J12" i="10" s="1"/>
  <c r="K12" i="10" s="1"/>
  <c r="L12" i="10" s="1"/>
  <c r="M12" i="10" s="1"/>
  <c r="N12" i="10" s="1"/>
  <c r="O12" i="10" s="1"/>
  <c r="P12" i="10" s="1"/>
  <c r="Q12" i="10" s="1"/>
  <c r="R12" i="10" s="1"/>
  <c r="S12" i="10" s="1"/>
  <c r="T12" i="10" s="1"/>
  <c r="U12" i="10" s="1"/>
  <c r="V12" i="10" s="1"/>
  <c r="W12" i="10" s="1"/>
  <c r="X12" i="10" s="1"/>
  <c r="Y12" i="10" s="1"/>
  <c r="Z12" i="10" s="1"/>
  <c r="AA12" i="10" s="1"/>
  <c r="AB12" i="10" s="1"/>
  <c r="AC12" i="10" s="1"/>
  <c r="AD12" i="10" s="1"/>
  <c r="AE12" i="10" s="1"/>
  <c r="AF12" i="10" s="1"/>
  <c r="AG12" i="10" s="1"/>
  <c r="AH12" i="10" s="1"/>
  <c r="AI12" i="10" s="1"/>
  <c r="AJ12" i="10" s="1"/>
  <c r="AK12" i="10" s="1"/>
  <c r="AL12" i="10" s="1"/>
  <c r="AM12" i="10" s="1"/>
  <c r="AN12" i="10" s="1"/>
  <c r="AO12" i="10" s="1"/>
  <c r="AP12" i="10" s="1"/>
  <c r="AQ12" i="10" s="1"/>
  <c r="AR12" i="10" s="1"/>
  <c r="AS12" i="10" s="1"/>
  <c r="AT12" i="10" s="1"/>
  <c r="AU12" i="10" s="1"/>
  <c r="AV12" i="10" s="1"/>
  <c r="AW12" i="10" s="1"/>
  <c r="AX12" i="10" s="1"/>
  <c r="AY12" i="10" s="1"/>
  <c r="AZ12" i="10" s="1"/>
  <c r="BA12" i="10" s="1"/>
  <c r="BB12" i="10" s="1"/>
  <c r="BC12" i="10" s="1"/>
  <c r="BD12" i="10" s="1"/>
  <c r="BE12" i="10" s="1"/>
  <c r="BF12" i="10" s="1"/>
  <c r="BG12" i="10" s="1"/>
  <c r="BH12" i="10" s="1"/>
  <c r="BI12" i="10" s="1"/>
  <c r="BJ12" i="10" s="1"/>
  <c r="BK12" i="10" s="1"/>
  <c r="BL12" i="10" s="1"/>
  <c r="BM12" i="10" s="1"/>
  <c r="BN12" i="10" s="1"/>
  <c r="BO12" i="10" s="1"/>
  <c r="BP12" i="10" s="1"/>
  <c r="BQ12" i="10" s="1"/>
  <c r="BR12" i="10" s="1"/>
  <c r="BS12" i="10" s="1"/>
  <c r="BT12" i="10" s="1"/>
  <c r="BU12" i="10" s="1"/>
  <c r="BV12" i="10" s="1"/>
  <c r="BW12" i="10" s="1"/>
  <c r="BX12" i="10" s="1"/>
  <c r="BY12" i="10" s="1"/>
  <c r="BZ12" i="10" s="1"/>
  <c r="CA12" i="10" s="1"/>
  <c r="CB12" i="10" s="1"/>
  <c r="CC12" i="10" s="1"/>
  <c r="CD12" i="10" s="1"/>
  <c r="CE12" i="10" s="1"/>
  <c r="CF12" i="10" s="1"/>
  <c r="CG12" i="10" s="1"/>
  <c r="CH12" i="10" s="1"/>
  <c r="CI12" i="10" s="1"/>
  <c r="CJ12" i="10" s="1"/>
  <c r="CK12" i="10" s="1"/>
  <c r="CL12" i="10" s="1"/>
  <c r="CM12" i="10" s="1"/>
  <c r="CN12" i="10" s="1"/>
  <c r="CO12" i="10" s="1"/>
  <c r="CP12" i="10" s="1"/>
  <c r="CQ12" i="10" s="1"/>
  <c r="CR12" i="10" s="1"/>
  <c r="CS12" i="10" s="1"/>
  <c r="CT12" i="10" s="1"/>
  <c r="CU12" i="10" s="1"/>
  <c r="CV12" i="10" s="1"/>
  <c r="CW12" i="10" s="1"/>
  <c r="CX12" i="10" s="1"/>
  <c r="CY12" i="10" s="1"/>
  <c r="CZ12" i="10" s="1"/>
  <c r="DA12" i="10" s="1"/>
  <c r="DB12" i="10" s="1"/>
  <c r="DC12" i="10" s="1"/>
  <c r="DD12" i="10" s="1"/>
  <c r="DE12" i="10" s="1"/>
  <c r="DF12" i="10" s="1"/>
  <c r="DG12" i="10" s="1"/>
  <c r="DH12" i="10" s="1"/>
  <c r="DI12" i="10" s="1"/>
  <c r="DJ12" i="10" s="1"/>
  <c r="DK12" i="10" s="1"/>
  <c r="DL12" i="10" s="1"/>
  <c r="DM12" i="10" s="1"/>
  <c r="DN12" i="10" s="1"/>
  <c r="DO12" i="10" s="1"/>
  <c r="DP12" i="10" s="1"/>
  <c r="DQ12" i="10" s="1"/>
  <c r="DR12" i="10" s="1"/>
  <c r="DS12" i="10" s="1"/>
  <c r="DT12" i="10" s="1"/>
  <c r="DU12" i="10" s="1"/>
  <c r="DV12" i="10" s="1"/>
  <c r="DW12" i="10" s="1"/>
  <c r="DX12" i="10" s="1"/>
  <c r="DY12" i="10" s="1"/>
  <c r="DZ12" i="10" s="1"/>
  <c r="EA12" i="10" s="1"/>
  <c r="EB12" i="10" s="1"/>
  <c r="EC12" i="10" s="1"/>
  <c r="ED12" i="10" s="1"/>
  <c r="EE12" i="10" s="1"/>
  <c r="EF12" i="10" s="1"/>
  <c r="DN8" i="10"/>
  <c r="DM8" i="10"/>
  <c r="DL8" i="10"/>
  <c r="DK8" i="10"/>
  <c r="CX8" i="10"/>
  <c r="CW8" i="10"/>
  <c r="CV8" i="10"/>
  <c r="CI8" i="10"/>
  <c r="BZ8" i="10"/>
  <c r="BQ8" i="10"/>
  <c r="BN8" i="10"/>
  <c r="BM8" i="10"/>
  <c r="BL8" i="10"/>
  <c r="AU8" i="10"/>
  <c r="AT8" i="10"/>
  <c r="AS8" i="10"/>
  <c r="AR8" i="10"/>
  <c r="AJ8" i="10"/>
  <c r="AB8" i="10"/>
  <c r="U8" i="10"/>
  <c r="R8" i="10"/>
  <c r="EG7" i="10"/>
  <c r="EF7" i="10"/>
  <c r="EC7" i="10"/>
  <c r="DX7" i="10"/>
  <c r="DW7" i="10"/>
  <c r="DK7" i="10"/>
  <c r="DI7" i="10"/>
  <c r="DF7" i="10"/>
  <c r="CW7" i="10"/>
  <c r="CV7" i="10"/>
  <c r="CJ7" i="10"/>
  <c r="CH7" i="10"/>
  <c r="CG7" i="10"/>
  <c r="CE7" i="10"/>
  <c r="CD7" i="10"/>
  <c r="CC7" i="10"/>
  <c r="CA7" i="10"/>
  <c r="BL7" i="10"/>
  <c r="BD7" i="10"/>
  <c r="BB7" i="10"/>
  <c r="BA7" i="10"/>
  <c r="AZ7" i="10"/>
  <c r="AY7" i="10"/>
  <c r="AT7" i="10"/>
  <c r="AS7" i="10"/>
  <c r="AL7" i="10"/>
  <c r="AK7" i="10"/>
  <c r="AJ7" i="10"/>
  <c r="AI7" i="10"/>
  <c r="AG7" i="10"/>
  <c r="R7" i="10"/>
  <c r="Q7" i="10"/>
  <c r="O7" i="10"/>
  <c r="N7" i="10"/>
  <c r="M7" i="10"/>
  <c r="F7" i="10"/>
  <c r="E7" i="10"/>
  <c r="EG6" i="10" a="1"/>
  <c r="EG6" i="10" s="1"/>
  <c r="EG8" i="10" s="1"/>
  <c r="EF6" i="10" a="1"/>
  <c r="EF6" i="10" s="1"/>
  <c r="EF8" i="10" s="1"/>
  <c r="EE6" i="10"/>
  <c r="EE8" i="10" s="1"/>
  <c r="EE6" i="10" a="1"/>
  <c r="ED6" i="10" a="1"/>
  <c r="ED6" i="10" s="1"/>
  <c r="EC6" i="10" a="1"/>
  <c r="EC6" i="10" s="1"/>
  <c r="EC8" i="10" s="1"/>
  <c r="EB6" i="10"/>
  <c r="EB8" i="10" s="1"/>
  <c r="EB6" i="10" a="1"/>
  <c r="EA6" i="10" a="1"/>
  <c r="EA6" i="10" s="1"/>
  <c r="DZ6" i="10" a="1"/>
  <c r="DZ6" i="10" s="1"/>
  <c r="DY6" i="10"/>
  <c r="DY8" i="10" s="1"/>
  <c r="DY6" i="10" a="1"/>
  <c r="DX6" i="10" a="1"/>
  <c r="DX6" i="10" s="1"/>
  <c r="DX8" i="10" s="1"/>
  <c r="DW6" i="10" a="1"/>
  <c r="DW6" i="10" s="1"/>
  <c r="DW8" i="10" s="1"/>
  <c r="DV6" i="10" a="1"/>
  <c r="DV6" i="10" s="1"/>
  <c r="DU6" i="10" a="1"/>
  <c r="DU6" i="10" s="1"/>
  <c r="DT6" i="10"/>
  <c r="DT7" i="10" s="1"/>
  <c r="DT6" i="10" a="1"/>
  <c r="DS6" i="10" a="1"/>
  <c r="DS6" i="10" s="1"/>
  <c r="DR6" i="10" a="1"/>
  <c r="DR6" i="10" s="1"/>
  <c r="DQ6" i="10" a="1"/>
  <c r="DQ6" i="10" s="1"/>
  <c r="DP6" i="10"/>
  <c r="DP7" i="10" s="1"/>
  <c r="DP6" i="10" a="1"/>
  <c r="DO6" i="10" a="1"/>
  <c r="DO6" i="10" s="1"/>
  <c r="DO7" i="10" s="1"/>
  <c r="DN6" i="10" a="1"/>
  <c r="DN6" i="10" s="1"/>
  <c r="DN7" i="10" s="1"/>
  <c r="DM6" i="10" a="1"/>
  <c r="DM6" i="10" s="1"/>
  <c r="DM7" i="10" s="1"/>
  <c r="DL6" i="10"/>
  <c r="DL7" i="10" s="1"/>
  <c r="DL6" i="10" a="1"/>
  <c r="DK6" i="10"/>
  <c r="DK6" i="10" a="1"/>
  <c r="DJ6" i="10" a="1"/>
  <c r="DJ6" i="10" s="1"/>
  <c r="DI6" i="10"/>
  <c r="DI8" i="10" s="1"/>
  <c r="DI6" i="10" a="1"/>
  <c r="DH6" i="10" a="1"/>
  <c r="DH6" i="10" s="1"/>
  <c r="DG6" i="10"/>
  <c r="DG6" i="10" a="1"/>
  <c r="DF6" i="10" a="1"/>
  <c r="DF6" i="10" s="1"/>
  <c r="DF8" i="10" s="1"/>
  <c r="DE6" i="10" a="1"/>
  <c r="DE6" i="10" s="1"/>
  <c r="DD6" i="10"/>
  <c r="DD6" i="10" a="1"/>
  <c r="DC6" i="10" a="1"/>
  <c r="DC6" i="10" s="1"/>
  <c r="DB6" i="10"/>
  <c r="DB6" i="10" a="1"/>
  <c r="DA6" i="10" a="1"/>
  <c r="DA6" i="10" s="1"/>
  <c r="CZ6" i="10"/>
  <c r="CZ6" i="10" a="1"/>
  <c r="CY6" i="10" a="1"/>
  <c r="CY6" i="10" s="1"/>
  <c r="CX6" i="10" a="1"/>
  <c r="CX6" i="10" s="1"/>
  <c r="CX7" i="10" s="1"/>
  <c r="CW6" i="10" a="1"/>
  <c r="CW6" i="10" s="1"/>
  <c r="CV6" i="10"/>
  <c r="CV6" i="10" a="1"/>
  <c r="CU6" i="10" a="1"/>
  <c r="CU6" i="10" s="1"/>
  <c r="CU8" i="10" s="1"/>
  <c r="CT6" i="10" a="1"/>
  <c r="CT6" i="10" s="1"/>
  <c r="CS6" i="10"/>
  <c r="CS7" i="10" s="1"/>
  <c r="CS6" i="10" a="1"/>
  <c r="CR6" i="10"/>
  <c r="CR7" i="10" s="1"/>
  <c r="CR6" i="10" a="1"/>
  <c r="CQ6" i="10" a="1"/>
  <c r="CQ6" i="10" s="1"/>
  <c r="CP6" i="10" a="1"/>
  <c r="CP6" i="10" s="1"/>
  <c r="CO6" i="10" a="1"/>
  <c r="CO6" i="10" s="1"/>
  <c r="CN6" i="10"/>
  <c r="CN6" i="10" a="1"/>
  <c r="CM6" i="10" a="1"/>
  <c r="CM6" i="10" s="1"/>
  <c r="CL6" i="10" a="1"/>
  <c r="CL6" i="10" s="1"/>
  <c r="CK6" i="10" a="1"/>
  <c r="CK6" i="10" s="1"/>
  <c r="CJ6" i="10"/>
  <c r="CJ8" i="10" s="1"/>
  <c r="CJ6" i="10" a="1"/>
  <c r="CI6" i="10"/>
  <c r="CI7" i="10" s="1"/>
  <c r="CI6" i="10" a="1"/>
  <c r="CH6" i="10" a="1"/>
  <c r="CH6" i="10" s="1"/>
  <c r="CH8" i="10" s="1"/>
  <c r="CG6" i="10" a="1"/>
  <c r="CG6" i="10" s="1"/>
  <c r="CG8" i="10" s="1"/>
  <c r="CF6" i="10"/>
  <c r="CF6" i="10" a="1"/>
  <c r="CE6" i="10"/>
  <c r="CE8" i="10" s="1"/>
  <c r="CE6" i="10" a="1"/>
  <c r="CD6" i="10" a="1"/>
  <c r="CD6" i="10" s="1"/>
  <c r="CD8" i="10" s="1"/>
  <c r="CC6" i="10" a="1"/>
  <c r="CC6" i="10" s="1"/>
  <c r="CC8" i="10" s="1"/>
  <c r="CB6" i="10" a="1"/>
  <c r="CB6" i="10" s="1"/>
  <c r="CA6" i="10"/>
  <c r="CA8" i="10" s="1"/>
  <c r="CA6" i="10" a="1"/>
  <c r="BZ6" i="10" a="1"/>
  <c r="BZ6" i="10" s="1"/>
  <c r="BZ7" i="10" s="1"/>
  <c r="BY6" i="10" a="1"/>
  <c r="BY6" i="10" s="1"/>
  <c r="BY8" i="10" s="1"/>
  <c r="BX6" i="10"/>
  <c r="BX6" i="10" a="1"/>
  <c r="BW6" i="10"/>
  <c r="BW6" i="10" a="1"/>
  <c r="BV6" i="10"/>
  <c r="BV6" i="10" a="1"/>
  <c r="BU6" i="10" a="1"/>
  <c r="BU6" i="10" s="1"/>
  <c r="BT6" i="10" a="1"/>
  <c r="BT6" i="10" s="1"/>
  <c r="BS6" i="10" a="1"/>
  <c r="BS6" i="10" s="1"/>
  <c r="BR6" i="10" a="1"/>
  <c r="BR6" i="10" s="1"/>
  <c r="BR7" i="10" s="1"/>
  <c r="BQ6" i="10" a="1"/>
  <c r="BQ6" i="10" s="1"/>
  <c r="BQ7" i="10" s="1"/>
  <c r="BP6" i="10"/>
  <c r="BP7" i="10" s="1"/>
  <c r="BP6" i="10" a="1"/>
  <c r="BO6" i="10" a="1"/>
  <c r="BO6" i="10" s="1"/>
  <c r="BN6" i="10"/>
  <c r="BN7" i="10" s="1"/>
  <c r="BN6" i="10" a="1"/>
  <c r="BM6" i="10"/>
  <c r="BM7" i="10" s="1"/>
  <c r="BM6" i="10" a="1"/>
  <c r="BL6" i="10" a="1"/>
  <c r="BL6" i="10" s="1"/>
  <c r="BK6" i="10" a="1"/>
  <c r="BK6" i="10" s="1"/>
  <c r="BJ6" i="10" a="1"/>
  <c r="BJ6" i="10" s="1"/>
  <c r="BJ8" i="10" s="1"/>
  <c r="BI6" i="10" a="1"/>
  <c r="BI6" i="10" s="1"/>
  <c r="BI8" i="10" s="1"/>
  <c r="BH6" i="10"/>
  <c r="BH6" i="10" a="1"/>
  <c r="BG6" i="10" a="1"/>
  <c r="BG6" i="10" s="1"/>
  <c r="BF6" i="10" a="1"/>
  <c r="BF6" i="10" s="1"/>
  <c r="BE6" i="10" a="1"/>
  <c r="BE6" i="10" s="1"/>
  <c r="BD6" i="10"/>
  <c r="BD8" i="10" s="1"/>
  <c r="BD6" i="10" a="1"/>
  <c r="BC6" i="10" a="1"/>
  <c r="BC6" i="10" s="1"/>
  <c r="BB6" i="10" a="1"/>
  <c r="BB6" i="10" s="1"/>
  <c r="BB8" i="10" s="1"/>
  <c r="BA6" i="10" a="1"/>
  <c r="BA6" i="10" s="1"/>
  <c r="BA8" i="10" s="1"/>
  <c r="AZ6" i="10"/>
  <c r="AZ8" i="10" s="1"/>
  <c r="AZ6" i="10" a="1"/>
  <c r="AY6" i="10"/>
  <c r="AY8" i="10" s="1"/>
  <c r="AY6" i="10" a="1"/>
  <c r="AX6" i="10" a="1"/>
  <c r="AX6" i="10" s="1"/>
  <c r="AW6" i="10" a="1"/>
  <c r="AW6" i="10" s="1"/>
  <c r="AV6" i="10"/>
  <c r="AV7" i="10" s="1"/>
  <c r="AV6" i="10" a="1"/>
  <c r="AU6" i="10"/>
  <c r="AU7" i="10" s="1"/>
  <c r="AU6" i="10" a="1"/>
  <c r="AT6" i="10" a="1"/>
  <c r="AT6" i="10" s="1"/>
  <c r="AS6" i="10" a="1"/>
  <c r="AS6" i="10" s="1"/>
  <c r="AR6" i="10"/>
  <c r="AR7" i="10" s="1"/>
  <c r="AR6" i="10" a="1"/>
  <c r="AQ6" i="10"/>
  <c r="AQ6" i="10" a="1"/>
  <c r="AP6" i="10"/>
  <c r="AP6" i="10" a="1"/>
  <c r="AO6" i="10" a="1"/>
  <c r="AO6" i="10" s="1"/>
  <c r="AN6" i="10" a="1"/>
  <c r="AN6" i="10" s="1"/>
  <c r="AM6" i="10"/>
  <c r="AM6" i="10" a="1"/>
  <c r="AL6" i="10" a="1"/>
  <c r="AL6" i="10" s="1"/>
  <c r="AL8" i="10" s="1"/>
  <c r="AK6" i="10" a="1"/>
  <c r="AK6" i="10" s="1"/>
  <c r="AK8" i="10" s="1"/>
  <c r="AJ6" i="10"/>
  <c r="AJ6" i="10" a="1"/>
  <c r="AI6" i="10" a="1"/>
  <c r="AI6" i="10" s="1"/>
  <c r="AI8" i="10" s="1"/>
  <c r="AH6" i="10" a="1"/>
  <c r="AH6" i="10" s="1"/>
  <c r="AG6" i="10"/>
  <c r="AG8" i="10" s="1"/>
  <c r="AG6" i="10" a="1"/>
  <c r="AF6" i="10" a="1"/>
  <c r="AF6" i="10" s="1"/>
  <c r="AE6" i="10" a="1"/>
  <c r="AE6" i="10" s="1"/>
  <c r="AD6" i="10" a="1"/>
  <c r="AD6" i="10" s="1"/>
  <c r="AD8" i="10" s="1"/>
  <c r="AC6" i="10" a="1"/>
  <c r="AC6" i="10" s="1"/>
  <c r="AC7" i="10" s="1"/>
  <c r="AB6" i="10"/>
  <c r="AB7" i="10" s="1"/>
  <c r="AB6" i="10" a="1"/>
  <c r="AA6" i="10" a="1"/>
  <c r="AA6" i="10" s="1"/>
  <c r="Z6" i="10" a="1"/>
  <c r="Z6" i="10" s="1"/>
  <c r="Y6" i="10"/>
  <c r="Y6" i="10" a="1"/>
  <c r="X6" i="10"/>
  <c r="X6" i="10" a="1"/>
  <c r="W6" i="10" a="1"/>
  <c r="W6" i="10" s="1"/>
  <c r="V6" i="10" a="1"/>
  <c r="V6" i="10" s="1"/>
  <c r="U6" i="10" a="1"/>
  <c r="U6" i="10" s="1"/>
  <c r="U7" i="10" s="1"/>
  <c r="T6" i="10"/>
  <c r="T6" i="10" a="1"/>
  <c r="S6" i="10"/>
  <c r="S8" i="10" s="1"/>
  <c r="S6" i="10" a="1"/>
  <c r="R6" i="10" a="1"/>
  <c r="R6" i="10" s="1"/>
  <c r="Q6" i="10" a="1"/>
  <c r="Q6" i="10" s="1"/>
  <c r="Q8" i="10" s="1"/>
  <c r="P6" i="10"/>
  <c r="P7" i="10" s="1"/>
  <c r="P6" i="10" a="1"/>
  <c r="O6" i="10"/>
  <c r="O8" i="10" s="1"/>
  <c r="O6" i="10" a="1"/>
  <c r="N6" i="10" a="1"/>
  <c r="N6" i="10" s="1"/>
  <c r="N8" i="10" s="1"/>
  <c r="M6" i="10" a="1"/>
  <c r="M6" i="10" s="1"/>
  <c r="M8" i="10" s="1"/>
  <c r="L6" i="10"/>
  <c r="L6" i="10" a="1"/>
  <c r="K6" i="10" a="1"/>
  <c r="K6" i="10" s="1"/>
  <c r="J6" i="10"/>
  <c r="J6" i="10" a="1"/>
  <c r="I6" i="10" a="1"/>
  <c r="I6" i="10" s="1"/>
  <c r="H6" i="10" a="1"/>
  <c r="H6" i="10" s="1"/>
  <c r="H8" i="10" s="1"/>
  <c r="G6" i="10" a="1"/>
  <c r="G6" i="10" s="1"/>
  <c r="F6" i="10" a="1"/>
  <c r="F6" i="10" s="1"/>
  <c r="F8" i="10" s="1"/>
  <c r="E6" i="10" a="1"/>
  <c r="E6" i="10" s="1"/>
  <c r="E8" i="10" s="1"/>
  <c r="D6" i="10"/>
  <c r="D8" i="10" s="1"/>
  <c r="D6" i="10" a="1"/>
  <c r="C6" i="10" a="1"/>
  <c r="C6" i="10" s="1"/>
  <c r="EF24" i="9" a="1"/>
  <c r="EF24" i="9" s="1"/>
  <c r="EE24" i="9" a="1"/>
  <c r="EE24" i="9" s="1"/>
  <c r="ED24" i="9" a="1"/>
  <c r="ED24" i="9" s="1"/>
  <c r="EC24" i="9" a="1"/>
  <c r="EC24" i="9" s="1"/>
  <c r="EB24" i="9" a="1"/>
  <c r="EB24" i="9" s="1"/>
  <c r="EA24" i="9" a="1"/>
  <c r="EA24" i="9" s="1"/>
  <c r="DZ24" i="9" a="1"/>
  <c r="DZ24" i="9" s="1"/>
  <c r="DY24" i="9" a="1"/>
  <c r="DY24" i="9" s="1"/>
  <c r="DX24" i="9" a="1"/>
  <c r="DX24" i="9" s="1"/>
  <c r="DW24" i="9" a="1"/>
  <c r="DW24" i="9" s="1"/>
  <c r="DV24" i="9" a="1"/>
  <c r="DV24" i="9" s="1"/>
  <c r="DU24" i="9" a="1"/>
  <c r="DU24" i="9" s="1"/>
  <c r="DT24" i="9" a="1"/>
  <c r="DT24" i="9" s="1"/>
  <c r="DS24" i="9" a="1"/>
  <c r="DS24" i="9" s="1"/>
  <c r="DR24" i="9" a="1"/>
  <c r="DR24" i="9" s="1"/>
  <c r="DQ24" i="9" a="1"/>
  <c r="DQ24" i="9" s="1"/>
  <c r="DP24" i="9" a="1"/>
  <c r="DP24" i="9" s="1"/>
  <c r="DO24" i="9" a="1"/>
  <c r="DO24" i="9" s="1"/>
  <c r="DN24" i="9" a="1"/>
  <c r="DN24" i="9" s="1"/>
  <c r="DM24" i="9" a="1"/>
  <c r="DM24" i="9" s="1"/>
  <c r="DL24" i="9" a="1"/>
  <c r="DL24" i="9" s="1"/>
  <c r="DK24" i="9" a="1"/>
  <c r="DK24" i="9" s="1"/>
  <c r="DJ24" i="9" a="1"/>
  <c r="DJ24" i="9" s="1"/>
  <c r="DI24" i="9" a="1"/>
  <c r="DI24" i="9" s="1"/>
  <c r="DH24" i="9" a="1"/>
  <c r="DH24" i="9" s="1"/>
  <c r="DG24" i="9" a="1"/>
  <c r="DG24" i="9" s="1"/>
  <c r="DF24" i="9" a="1"/>
  <c r="DF24" i="9" s="1"/>
  <c r="DE24" i="9" a="1"/>
  <c r="DE24" i="9" s="1"/>
  <c r="DD24" i="9" a="1"/>
  <c r="DD24" i="9" s="1"/>
  <c r="DC24" i="9" a="1"/>
  <c r="DC24" i="9" s="1"/>
  <c r="DB24" i="9" a="1"/>
  <c r="DB24" i="9" s="1"/>
  <c r="DA24" i="9" a="1"/>
  <c r="DA24" i="9" s="1"/>
  <c r="CZ24" i="9" a="1"/>
  <c r="CZ24" i="9" s="1"/>
  <c r="CY24" i="9" a="1"/>
  <c r="CY24" i="9" s="1"/>
  <c r="CX24" i="9" a="1"/>
  <c r="CX24" i="9" s="1"/>
  <c r="CW24" i="9" a="1"/>
  <c r="CW24" i="9" s="1"/>
  <c r="CV24" i="9" a="1"/>
  <c r="CV24" i="9" s="1"/>
  <c r="CU24" i="9" a="1"/>
  <c r="CU24" i="9" s="1"/>
  <c r="CT24" i="9"/>
  <c r="CT24" i="9" a="1"/>
  <c r="CS24" i="9" a="1"/>
  <c r="CS24" i="9" s="1"/>
  <c r="CR24" i="9" a="1"/>
  <c r="CR24" i="9" s="1"/>
  <c r="CQ24" i="9" a="1"/>
  <c r="CQ24" i="9" s="1"/>
  <c r="CP24" i="9" a="1"/>
  <c r="CP24" i="9" s="1"/>
  <c r="CO24" i="9" a="1"/>
  <c r="CO24" i="9" s="1"/>
  <c r="CN24" i="9" a="1"/>
  <c r="CN24" i="9" s="1"/>
  <c r="CM24" i="9" a="1"/>
  <c r="CM24" i="9" s="1"/>
  <c r="CL24" i="9" a="1"/>
  <c r="CL24" i="9" s="1"/>
  <c r="CK24" i="9" a="1"/>
  <c r="CK24" i="9" s="1"/>
  <c r="CJ24" i="9" a="1"/>
  <c r="CJ24" i="9" s="1"/>
  <c r="CI24" i="9" a="1"/>
  <c r="CI24" i="9" s="1"/>
  <c r="CH24" i="9" a="1"/>
  <c r="CH24" i="9" s="1"/>
  <c r="CG24" i="9" a="1"/>
  <c r="CG24" i="9" s="1"/>
  <c r="CF24" i="9" a="1"/>
  <c r="CF24" i="9" s="1"/>
  <c r="CE24" i="9" a="1"/>
  <c r="CE24" i="9" s="1"/>
  <c r="CD24" i="9" a="1"/>
  <c r="CD24" i="9" s="1"/>
  <c r="CC24" i="9"/>
  <c r="CC24" i="9" a="1"/>
  <c r="CB24" i="9" a="1"/>
  <c r="CB24" i="9" s="1"/>
  <c r="CA24" i="9" a="1"/>
  <c r="CA24" i="9" s="1"/>
  <c r="BZ24" i="9" a="1"/>
  <c r="BZ24" i="9" s="1"/>
  <c r="BY24" i="9" a="1"/>
  <c r="BY24" i="9" s="1"/>
  <c r="BX24" i="9"/>
  <c r="BX24" i="9" a="1"/>
  <c r="BW24" i="9" a="1"/>
  <c r="BW24" i="9" s="1"/>
  <c r="BV24" i="9" a="1"/>
  <c r="BV24" i="9" s="1"/>
  <c r="BU24" i="9" a="1"/>
  <c r="BU24" i="9" s="1"/>
  <c r="BT24" i="9" a="1"/>
  <c r="BT24" i="9" s="1"/>
  <c r="BS24" i="9" a="1"/>
  <c r="BS24" i="9" s="1"/>
  <c r="BR24" i="9" a="1"/>
  <c r="BR24" i="9" s="1"/>
  <c r="BQ24" i="9" a="1"/>
  <c r="BQ24" i="9" s="1"/>
  <c r="BP24" i="9" a="1"/>
  <c r="BP24" i="9" s="1"/>
  <c r="BO24" i="9" a="1"/>
  <c r="BO24" i="9" s="1"/>
  <c r="BN24" i="9" a="1"/>
  <c r="BN24" i="9" s="1"/>
  <c r="BM24" i="9" a="1"/>
  <c r="BM24" i="9" s="1"/>
  <c r="BL24" i="9" a="1"/>
  <c r="BL24" i="9" s="1"/>
  <c r="BK24" i="9" a="1"/>
  <c r="BK24" i="9" s="1"/>
  <c r="BJ24" i="9" a="1"/>
  <c r="BJ24" i="9" s="1"/>
  <c r="BI24" i="9" a="1"/>
  <c r="BI24" i="9" s="1"/>
  <c r="BH24" i="9" a="1"/>
  <c r="BH24" i="9" s="1"/>
  <c r="BG24" i="9" a="1"/>
  <c r="BG24" i="9" s="1"/>
  <c r="BF24" i="9"/>
  <c r="BF24" i="9" a="1"/>
  <c r="BE24" i="9" a="1"/>
  <c r="BE24" i="9" s="1"/>
  <c r="BD24" i="9" a="1"/>
  <c r="BD24" i="9" s="1"/>
  <c r="BC24" i="9" a="1"/>
  <c r="BC24" i="9" s="1"/>
  <c r="BB24" i="9" a="1"/>
  <c r="BB24" i="9" s="1"/>
  <c r="BA24" i="9" a="1"/>
  <c r="BA24" i="9" s="1"/>
  <c r="AZ24" i="9" a="1"/>
  <c r="AZ24" i="9" s="1"/>
  <c r="AY24" i="9" a="1"/>
  <c r="AY24" i="9" s="1"/>
  <c r="AX24" i="9" a="1"/>
  <c r="AX24" i="9" s="1"/>
  <c r="AW24" i="9" a="1"/>
  <c r="AW24" i="9" s="1"/>
  <c r="AV24" i="9" a="1"/>
  <c r="AV24" i="9" s="1"/>
  <c r="AU24" i="9" a="1"/>
  <c r="AU24" i="9" s="1"/>
  <c r="AT24" i="9" a="1"/>
  <c r="AT24" i="9" s="1"/>
  <c r="AS24" i="9"/>
  <c r="AS24" i="9" a="1"/>
  <c r="AR24" i="9" a="1"/>
  <c r="AR24" i="9" s="1"/>
  <c r="AQ24" i="9" a="1"/>
  <c r="AQ24" i="9" s="1"/>
  <c r="AP24" i="9" a="1"/>
  <c r="AP24" i="9" s="1"/>
  <c r="AO24" i="9" a="1"/>
  <c r="AO24" i="9" s="1"/>
  <c r="AN24" i="9" a="1"/>
  <c r="AN24" i="9" s="1"/>
  <c r="AM24" i="9" a="1"/>
  <c r="AM24" i="9" s="1"/>
  <c r="AL24" i="9" a="1"/>
  <c r="AL24" i="9" s="1"/>
  <c r="AK24" i="9" a="1"/>
  <c r="AK24" i="9" s="1"/>
  <c r="AJ24" i="9" a="1"/>
  <c r="AJ24" i="9" s="1"/>
  <c r="AI24" i="9" a="1"/>
  <c r="AI24" i="9" s="1"/>
  <c r="AH24" i="9" a="1"/>
  <c r="AH24" i="9" s="1"/>
  <c r="AG24" i="9"/>
  <c r="AG24" i="9" a="1"/>
  <c r="AF24" i="9" a="1"/>
  <c r="AF24" i="9" s="1"/>
  <c r="AE24" i="9" a="1"/>
  <c r="AE24" i="9" s="1"/>
  <c r="AD24" i="9" a="1"/>
  <c r="AD24" i="9" s="1"/>
  <c r="AC24" i="9" a="1"/>
  <c r="AC24" i="9" s="1"/>
  <c r="AB24" i="9" a="1"/>
  <c r="AB24" i="9" s="1"/>
  <c r="AA24" i="9" a="1"/>
  <c r="AA24" i="9" s="1"/>
  <c r="Z24" i="9" a="1"/>
  <c r="Z24" i="9" s="1"/>
  <c r="Y24" i="9" a="1"/>
  <c r="Y24" i="9" s="1"/>
  <c r="X24" i="9" a="1"/>
  <c r="X24" i="9" s="1"/>
  <c r="W24" i="9" a="1"/>
  <c r="W24" i="9" s="1"/>
  <c r="V24" i="9" a="1"/>
  <c r="V24" i="9" s="1"/>
  <c r="U24" i="9" a="1"/>
  <c r="U24" i="9" s="1"/>
  <c r="T24" i="9" a="1"/>
  <c r="T24" i="9" s="1"/>
  <c r="S24" i="9" a="1"/>
  <c r="S24" i="9" s="1"/>
  <c r="R24" i="9" a="1"/>
  <c r="R24" i="9" s="1"/>
  <c r="Q24" i="9" a="1"/>
  <c r="Q24" i="9" s="1"/>
  <c r="P24" i="9" a="1"/>
  <c r="P24" i="9" s="1"/>
  <c r="O24" i="9" a="1"/>
  <c r="O24" i="9" s="1"/>
  <c r="N24" i="9" a="1"/>
  <c r="N24" i="9" s="1"/>
  <c r="M24" i="9" a="1"/>
  <c r="M24" i="9" s="1"/>
  <c r="L24" i="9" a="1"/>
  <c r="L24" i="9" s="1"/>
  <c r="K24" i="9" a="1"/>
  <c r="K24" i="9" s="1"/>
  <c r="J24" i="9" a="1"/>
  <c r="J24" i="9" s="1"/>
  <c r="I24" i="9" a="1"/>
  <c r="I24" i="9" s="1"/>
  <c r="H24" i="9" a="1"/>
  <c r="H24" i="9" s="1"/>
  <c r="G24" i="9" a="1"/>
  <c r="G24" i="9" s="1"/>
  <c r="F24" i="9" a="1"/>
  <c r="F24" i="9" s="1"/>
  <c r="E24" i="9" a="1"/>
  <c r="E24" i="9" s="1"/>
  <c r="D24" i="9" a="1"/>
  <c r="D24" i="9" s="1"/>
  <c r="C24" i="9" a="1"/>
  <c r="C24" i="9" s="1"/>
  <c r="EF23" i="9" a="1"/>
  <c r="EF23" i="9" s="1"/>
  <c r="EE23" i="9" a="1"/>
  <c r="EE23" i="9" s="1"/>
  <c r="ED23" i="9" a="1"/>
  <c r="ED23" i="9" s="1"/>
  <c r="EC23" i="9" a="1"/>
  <c r="EC23" i="9" s="1"/>
  <c r="EB23" i="9" a="1"/>
  <c r="EB23" i="9" s="1"/>
  <c r="EA23" i="9" a="1"/>
  <c r="EA23" i="9" s="1"/>
  <c r="DZ23" i="9" a="1"/>
  <c r="DZ23" i="9" s="1"/>
  <c r="DY23" i="9" a="1"/>
  <c r="DY23" i="9" s="1"/>
  <c r="DX23" i="9" a="1"/>
  <c r="DX23" i="9" s="1"/>
  <c r="DW23" i="9"/>
  <c r="DW23" i="9" a="1"/>
  <c r="DV23" i="9" a="1"/>
  <c r="DV23" i="9" s="1"/>
  <c r="DU23" i="9" a="1"/>
  <c r="DU23" i="9" s="1"/>
  <c r="DT23" i="9" a="1"/>
  <c r="DT23" i="9" s="1"/>
  <c r="DS23" i="9" a="1"/>
  <c r="DS23" i="9" s="1"/>
  <c r="DR23" i="9" a="1"/>
  <c r="DR23" i="9" s="1"/>
  <c r="DQ23" i="9" a="1"/>
  <c r="DQ23" i="9" s="1"/>
  <c r="DP23" i="9" a="1"/>
  <c r="DP23" i="9" s="1"/>
  <c r="DO23" i="9" a="1"/>
  <c r="DO23" i="9" s="1"/>
  <c r="DN23" i="9" a="1"/>
  <c r="DN23" i="9" s="1"/>
  <c r="DM23" i="9" a="1"/>
  <c r="DM23" i="9" s="1"/>
  <c r="DL23" i="9" a="1"/>
  <c r="DL23" i="9" s="1"/>
  <c r="DK23" i="9" a="1"/>
  <c r="DK23" i="9" s="1"/>
  <c r="DJ23" i="9" a="1"/>
  <c r="DJ23" i="9" s="1"/>
  <c r="DI23" i="9" a="1"/>
  <c r="DI23" i="9" s="1"/>
  <c r="DH23" i="9"/>
  <c r="DH23" i="9" a="1"/>
  <c r="DG23" i="9" a="1"/>
  <c r="DG23" i="9" s="1"/>
  <c r="DF23" i="9" a="1"/>
  <c r="DF23" i="9" s="1"/>
  <c r="DE23" i="9" a="1"/>
  <c r="DE23" i="9" s="1"/>
  <c r="DD23" i="9" a="1"/>
  <c r="DD23" i="9" s="1"/>
  <c r="DC23" i="9" a="1"/>
  <c r="DC23" i="9" s="1"/>
  <c r="DB23" i="9" a="1"/>
  <c r="DB23" i="9" s="1"/>
  <c r="DA23" i="9" a="1"/>
  <c r="DA23" i="9" s="1"/>
  <c r="CZ23" i="9" a="1"/>
  <c r="CZ23" i="9" s="1"/>
  <c r="CY23" i="9"/>
  <c r="CY23" i="9" a="1"/>
  <c r="CX23" i="9" a="1"/>
  <c r="CX23" i="9" s="1"/>
  <c r="CW23" i="9" a="1"/>
  <c r="CW23" i="9" s="1"/>
  <c r="CV23" i="9" a="1"/>
  <c r="CV23" i="9" s="1"/>
  <c r="CU23" i="9" a="1"/>
  <c r="CU23" i="9" s="1"/>
  <c r="CT23" i="9" a="1"/>
  <c r="CT23" i="9" s="1"/>
  <c r="CS23" i="9" a="1"/>
  <c r="CS23" i="9" s="1"/>
  <c r="CR23" i="9" a="1"/>
  <c r="CR23" i="9" s="1"/>
  <c r="CQ23" i="9" a="1"/>
  <c r="CQ23" i="9" s="1"/>
  <c r="CP23" i="9" a="1"/>
  <c r="CP23" i="9" s="1"/>
  <c r="CO23" i="9" a="1"/>
  <c r="CO23" i="9" s="1"/>
  <c r="CN23" i="9" a="1"/>
  <c r="CN23" i="9" s="1"/>
  <c r="CM23" i="9" a="1"/>
  <c r="CM23" i="9" s="1"/>
  <c r="CL23" i="9" a="1"/>
  <c r="CL23" i="9" s="1"/>
  <c r="CK23" i="9" a="1"/>
  <c r="CK23" i="9" s="1"/>
  <c r="CJ23" i="9" a="1"/>
  <c r="CJ23" i="9" s="1"/>
  <c r="CI23" i="9" a="1"/>
  <c r="CI23" i="9" s="1"/>
  <c r="CH23" i="9" a="1"/>
  <c r="CH23" i="9" s="1"/>
  <c r="CG23" i="9" a="1"/>
  <c r="CG23" i="9" s="1"/>
  <c r="CF23" i="9" a="1"/>
  <c r="CF23" i="9" s="1"/>
  <c r="CE23" i="9" a="1"/>
  <c r="CE23" i="9" s="1"/>
  <c r="CD23" i="9" a="1"/>
  <c r="CD23" i="9" s="1"/>
  <c r="CC23" i="9" a="1"/>
  <c r="CC23" i="9" s="1"/>
  <c r="CB23" i="9" a="1"/>
  <c r="CB23" i="9" s="1"/>
  <c r="CA23" i="9" a="1"/>
  <c r="CA23" i="9" s="1"/>
  <c r="BZ23" i="9" a="1"/>
  <c r="BZ23" i="9" s="1"/>
  <c r="BY23" i="9" a="1"/>
  <c r="BY23" i="9" s="1"/>
  <c r="BX23" i="9" a="1"/>
  <c r="BX23" i="9" s="1"/>
  <c r="BW23" i="9" a="1"/>
  <c r="BW23" i="9" s="1"/>
  <c r="BV23" i="9" a="1"/>
  <c r="BV23" i="9" s="1"/>
  <c r="BU23" i="9" a="1"/>
  <c r="BU23" i="9" s="1"/>
  <c r="BT23" i="9" a="1"/>
  <c r="BT23" i="9" s="1"/>
  <c r="BS23" i="9" a="1"/>
  <c r="BS23" i="9" s="1"/>
  <c r="BR23" i="9" a="1"/>
  <c r="BR23" i="9" s="1"/>
  <c r="BQ23" i="9" a="1"/>
  <c r="BQ23" i="9" s="1"/>
  <c r="BP23" i="9" a="1"/>
  <c r="BP23" i="9" s="1"/>
  <c r="BO23" i="9" a="1"/>
  <c r="BO23" i="9" s="1"/>
  <c r="BN23" i="9" a="1"/>
  <c r="BN23" i="9" s="1"/>
  <c r="BM23" i="9" a="1"/>
  <c r="BM23" i="9" s="1"/>
  <c r="BL23" i="9" a="1"/>
  <c r="BL23" i="9" s="1"/>
  <c r="BK23" i="9" a="1"/>
  <c r="BK23" i="9" s="1"/>
  <c r="BJ23" i="9" a="1"/>
  <c r="BJ23" i="9" s="1"/>
  <c r="BI23" i="9" a="1"/>
  <c r="BI23" i="9" s="1"/>
  <c r="BH23" i="9" a="1"/>
  <c r="BH23" i="9" s="1"/>
  <c r="BG23" i="9" a="1"/>
  <c r="BG23" i="9" s="1"/>
  <c r="BF23" i="9" a="1"/>
  <c r="BF23" i="9" s="1"/>
  <c r="BE23" i="9" a="1"/>
  <c r="BE23" i="9" s="1"/>
  <c r="BD23" i="9" a="1"/>
  <c r="BD23" i="9" s="1"/>
  <c r="BC23" i="9" a="1"/>
  <c r="BC23" i="9" s="1"/>
  <c r="BB23" i="9" a="1"/>
  <c r="BB23" i="9" s="1"/>
  <c r="BA23" i="9" a="1"/>
  <c r="BA23" i="9" s="1"/>
  <c r="AZ23" i="9" a="1"/>
  <c r="AZ23" i="9" s="1"/>
  <c r="AY23" i="9" a="1"/>
  <c r="AY23" i="9" s="1"/>
  <c r="AX23" i="9" a="1"/>
  <c r="AX23" i="9" s="1"/>
  <c r="AW23" i="9" a="1"/>
  <c r="AW23" i="9" s="1"/>
  <c r="AV23" i="9" a="1"/>
  <c r="AV23" i="9" s="1"/>
  <c r="AU23" i="9" a="1"/>
  <c r="AU23" i="9" s="1"/>
  <c r="AT23" i="9" a="1"/>
  <c r="AT23" i="9" s="1"/>
  <c r="AS23" i="9" a="1"/>
  <c r="AS23" i="9" s="1"/>
  <c r="AR23" i="9" a="1"/>
  <c r="AR23" i="9" s="1"/>
  <c r="AQ23" i="9" a="1"/>
  <c r="AQ23" i="9" s="1"/>
  <c r="AP23" i="9" a="1"/>
  <c r="AP23" i="9" s="1"/>
  <c r="AO23" i="9" a="1"/>
  <c r="AO23" i="9" s="1"/>
  <c r="AN23" i="9" a="1"/>
  <c r="AN23" i="9" s="1"/>
  <c r="AM23" i="9" a="1"/>
  <c r="AM23" i="9" s="1"/>
  <c r="AL23" i="9" a="1"/>
  <c r="AL23" i="9" s="1"/>
  <c r="AK23" i="9" a="1"/>
  <c r="AK23" i="9" s="1"/>
  <c r="AJ23" i="9" a="1"/>
  <c r="AJ23" i="9" s="1"/>
  <c r="AI23" i="9" a="1"/>
  <c r="AI23" i="9" s="1"/>
  <c r="AH23" i="9" a="1"/>
  <c r="AH23" i="9" s="1"/>
  <c r="AG23" i="9" a="1"/>
  <c r="AG23" i="9" s="1"/>
  <c r="AF23" i="9"/>
  <c r="AF23" i="9" a="1"/>
  <c r="AE23" i="9" a="1"/>
  <c r="AE23" i="9" s="1"/>
  <c r="AD23" i="9" a="1"/>
  <c r="AD23" i="9" s="1"/>
  <c r="AC23" i="9" a="1"/>
  <c r="AC23" i="9" s="1"/>
  <c r="AB23" i="9" a="1"/>
  <c r="AB23" i="9" s="1"/>
  <c r="AA23" i="9" a="1"/>
  <c r="AA23" i="9" s="1"/>
  <c r="Z23" i="9" a="1"/>
  <c r="Z23" i="9" s="1"/>
  <c r="Y23" i="9" a="1"/>
  <c r="Y23" i="9" s="1"/>
  <c r="X23" i="9" a="1"/>
  <c r="X23" i="9" s="1"/>
  <c r="W23" i="9" a="1"/>
  <c r="W23" i="9" s="1"/>
  <c r="V23" i="9" a="1"/>
  <c r="V23" i="9" s="1"/>
  <c r="U23" i="9" a="1"/>
  <c r="U23" i="9" s="1"/>
  <c r="T23" i="9" a="1"/>
  <c r="T23" i="9" s="1"/>
  <c r="S23" i="9" a="1"/>
  <c r="S23" i="9" s="1"/>
  <c r="R23" i="9" a="1"/>
  <c r="R23" i="9" s="1"/>
  <c r="Q23" i="9" a="1"/>
  <c r="Q23" i="9" s="1"/>
  <c r="P23" i="9" a="1"/>
  <c r="P23" i="9" s="1"/>
  <c r="O23" i="9" a="1"/>
  <c r="O23" i="9" s="1"/>
  <c r="N23" i="9" a="1"/>
  <c r="N23" i="9" s="1"/>
  <c r="M23" i="9" a="1"/>
  <c r="M23" i="9" s="1"/>
  <c r="L23" i="9" a="1"/>
  <c r="L23" i="9" s="1"/>
  <c r="K23" i="9" a="1"/>
  <c r="K23" i="9" s="1"/>
  <c r="J23" i="9" a="1"/>
  <c r="J23" i="9" s="1"/>
  <c r="I23" i="9" a="1"/>
  <c r="I23" i="9" s="1"/>
  <c r="H23" i="9"/>
  <c r="H23" i="9" a="1"/>
  <c r="G23" i="9" a="1"/>
  <c r="G23" i="9" s="1"/>
  <c r="F23" i="9" a="1"/>
  <c r="F23" i="9" s="1"/>
  <c r="E23" i="9" a="1"/>
  <c r="E23" i="9" s="1"/>
  <c r="D23" i="9" a="1"/>
  <c r="D23" i="9" s="1"/>
  <c r="C23" i="9" a="1"/>
  <c r="C23" i="9" s="1"/>
  <c r="EF22" i="9" a="1"/>
  <c r="EF22" i="9" s="1"/>
  <c r="EE22" i="9" a="1"/>
  <c r="EE22" i="9" s="1"/>
  <c r="ED22" i="9" a="1"/>
  <c r="ED22" i="9" s="1"/>
  <c r="EC22" i="9" a="1"/>
  <c r="EC22" i="9" s="1"/>
  <c r="EB22" i="9" a="1"/>
  <c r="EB22" i="9" s="1"/>
  <c r="EA22" i="9" a="1"/>
  <c r="EA22" i="9" s="1"/>
  <c r="DZ22" i="9" a="1"/>
  <c r="DZ22" i="9" s="1"/>
  <c r="DY22" i="9" a="1"/>
  <c r="DY22" i="9" s="1"/>
  <c r="DX22" i="9" a="1"/>
  <c r="DX22" i="9" s="1"/>
  <c r="DW22" i="9" a="1"/>
  <c r="DW22" i="9" s="1"/>
  <c r="DV22" i="9" a="1"/>
  <c r="DV22" i="9" s="1"/>
  <c r="DU22" i="9" a="1"/>
  <c r="DU22" i="9" s="1"/>
  <c r="DT22" i="9" a="1"/>
  <c r="DT22" i="9" s="1"/>
  <c r="DS22" i="9" a="1"/>
  <c r="DS22" i="9" s="1"/>
  <c r="DR22" i="9" a="1"/>
  <c r="DR22" i="9" s="1"/>
  <c r="DQ22" i="9" a="1"/>
  <c r="DQ22" i="9" s="1"/>
  <c r="DP22" i="9" a="1"/>
  <c r="DP22" i="9" s="1"/>
  <c r="DO22" i="9" a="1"/>
  <c r="DO22" i="9" s="1"/>
  <c r="DN22" i="9" a="1"/>
  <c r="DN22" i="9" s="1"/>
  <c r="DM22" i="9" a="1"/>
  <c r="DM22" i="9" s="1"/>
  <c r="DL22" i="9" a="1"/>
  <c r="DL22" i="9" s="1"/>
  <c r="DK22" i="9" a="1"/>
  <c r="DK22" i="9" s="1"/>
  <c r="DJ22" i="9" a="1"/>
  <c r="DJ22" i="9" s="1"/>
  <c r="DI22" i="9" a="1"/>
  <c r="DI22" i="9" s="1"/>
  <c r="DH22" i="9" a="1"/>
  <c r="DH22" i="9" s="1"/>
  <c r="DG22" i="9" a="1"/>
  <c r="DG22" i="9" s="1"/>
  <c r="DF22" i="9" a="1"/>
  <c r="DF22" i="9" s="1"/>
  <c r="DE22" i="9" a="1"/>
  <c r="DE22" i="9" s="1"/>
  <c r="DD22" i="9" a="1"/>
  <c r="DD22" i="9" s="1"/>
  <c r="DC22" i="9" a="1"/>
  <c r="DC22" i="9" s="1"/>
  <c r="DB22" i="9" a="1"/>
  <c r="DB22" i="9" s="1"/>
  <c r="DA22" i="9" a="1"/>
  <c r="DA22" i="9" s="1"/>
  <c r="CZ22" i="9" a="1"/>
  <c r="CZ22" i="9" s="1"/>
  <c r="CY22" i="9" a="1"/>
  <c r="CY22" i="9" s="1"/>
  <c r="CX22" i="9" a="1"/>
  <c r="CX22" i="9" s="1"/>
  <c r="CW22" i="9" a="1"/>
  <c r="CW22" i="9" s="1"/>
  <c r="CV22" i="9" a="1"/>
  <c r="CV22" i="9" s="1"/>
  <c r="CU22" i="9" a="1"/>
  <c r="CU22" i="9" s="1"/>
  <c r="CT22" i="9" a="1"/>
  <c r="CT22" i="9" s="1"/>
  <c r="CS22" i="9" a="1"/>
  <c r="CS22" i="9" s="1"/>
  <c r="CR22" i="9" a="1"/>
  <c r="CR22" i="9" s="1"/>
  <c r="CQ22" i="9" a="1"/>
  <c r="CQ22" i="9" s="1"/>
  <c r="CP22" i="9" a="1"/>
  <c r="CP22" i="9" s="1"/>
  <c r="CO22" i="9" a="1"/>
  <c r="CO22" i="9" s="1"/>
  <c r="CN22" i="9" a="1"/>
  <c r="CN22" i="9" s="1"/>
  <c r="CM22" i="9" a="1"/>
  <c r="CM22" i="9" s="1"/>
  <c r="CL22" i="9" a="1"/>
  <c r="CL22" i="9" s="1"/>
  <c r="CK22" i="9" a="1"/>
  <c r="CK22" i="9" s="1"/>
  <c r="CJ22" i="9" a="1"/>
  <c r="CJ22" i="9" s="1"/>
  <c r="CI22" i="9"/>
  <c r="CI22" i="9" a="1"/>
  <c r="CH22" i="9" a="1"/>
  <c r="CH22" i="9" s="1"/>
  <c r="CG22" i="9" a="1"/>
  <c r="CG22" i="9" s="1"/>
  <c r="CF22" i="9" a="1"/>
  <c r="CF22" i="9" s="1"/>
  <c r="CE22" i="9" a="1"/>
  <c r="CE22" i="9" s="1"/>
  <c r="CD22" i="9" a="1"/>
  <c r="CD22" i="9" s="1"/>
  <c r="CC22" i="9" a="1"/>
  <c r="CC22" i="9" s="1"/>
  <c r="CB22" i="9" a="1"/>
  <c r="CB22" i="9" s="1"/>
  <c r="CA22" i="9" a="1"/>
  <c r="CA22" i="9" s="1"/>
  <c r="BZ22" i="9" a="1"/>
  <c r="BZ22" i="9" s="1"/>
  <c r="BY22" i="9" a="1"/>
  <c r="BY22" i="9" s="1"/>
  <c r="BX22" i="9" a="1"/>
  <c r="BX22" i="9" s="1"/>
  <c r="BW22" i="9" a="1"/>
  <c r="BW22" i="9" s="1"/>
  <c r="BV22" i="9" a="1"/>
  <c r="BV22" i="9" s="1"/>
  <c r="BU22" i="9" a="1"/>
  <c r="BU22" i="9" s="1"/>
  <c r="BT22" i="9" a="1"/>
  <c r="BT22" i="9" s="1"/>
  <c r="BS22" i="9" a="1"/>
  <c r="BS22" i="9" s="1"/>
  <c r="BR22" i="9" a="1"/>
  <c r="BR22" i="9" s="1"/>
  <c r="BQ22" i="9" a="1"/>
  <c r="BQ22" i="9" s="1"/>
  <c r="BP22" i="9" a="1"/>
  <c r="BP22" i="9" s="1"/>
  <c r="BO22" i="9" a="1"/>
  <c r="BO22" i="9" s="1"/>
  <c r="BN22" i="9" a="1"/>
  <c r="BN22" i="9" s="1"/>
  <c r="BM22" i="9" a="1"/>
  <c r="BM22" i="9" s="1"/>
  <c r="BL22" i="9" a="1"/>
  <c r="BL22" i="9" s="1"/>
  <c r="BK22" i="9" a="1"/>
  <c r="BK22" i="9" s="1"/>
  <c r="BJ22" i="9" a="1"/>
  <c r="BJ22" i="9" s="1"/>
  <c r="BI22" i="9" a="1"/>
  <c r="BI22" i="9" s="1"/>
  <c r="BH22" i="9" a="1"/>
  <c r="BH22" i="9" s="1"/>
  <c r="BG22" i="9" a="1"/>
  <c r="BG22" i="9" s="1"/>
  <c r="BF22" i="9" a="1"/>
  <c r="BF22" i="9" s="1"/>
  <c r="BE22" i="9" a="1"/>
  <c r="BE22" i="9" s="1"/>
  <c r="BD22" i="9" a="1"/>
  <c r="BD22" i="9" s="1"/>
  <c r="BC22" i="9" a="1"/>
  <c r="BC22" i="9" s="1"/>
  <c r="BB22" i="9" a="1"/>
  <c r="BB22" i="9" s="1"/>
  <c r="BA22" i="9" a="1"/>
  <c r="BA22" i="9" s="1"/>
  <c r="AZ22" i="9" a="1"/>
  <c r="AZ22" i="9" s="1"/>
  <c r="AY22" i="9" a="1"/>
  <c r="AY22" i="9" s="1"/>
  <c r="AX22" i="9" a="1"/>
  <c r="AX22" i="9" s="1"/>
  <c r="AW22" i="9" a="1"/>
  <c r="AW22" i="9" s="1"/>
  <c r="AV22" i="9" a="1"/>
  <c r="AV22" i="9" s="1"/>
  <c r="AU22" i="9" a="1"/>
  <c r="AU22" i="9" s="1"/>
  <c r="AT22" i="9" a="1"/>
  <c r="AT22" i="9" s="1"/>
  <c r="AS22" i="9" a="1"/>
  <c r="AS22" i="9" s="1"/>
  <c r="AR22" i="9" a="1"/>
  <c r="AR22" i="9" s="1"/>
  <c r="AQ22" i="9" a="1"/>
  <c r="AQ22" i="9" s="1"/>
  <c r="AP22" i="9" a="1"/>
  <c r="AP22" i="9" s="1"/>
  <c r="AO22" i="9" a="1"/>
  <c r="AO22" i="9" s="1"/>
  <c r="AN22" i="9" a="1"/>
  <c r="AN22" i="9" s="1"/>
  <c r="AM22" i="9" a="1"/>
  <c r="AM22" i="9" s="1"/>
  <c r="AL22" i="9" a="1"/>
  <c r="AL22" i="9" s="1"/>
  <c r="AK22" i="9" a="1"/>
  <c r="AK22" i="9" s="1"/>
  <c r="AJ22" i="9" a="1"/>
  <c r="AJ22" i="9" s="1"/>
  <c r="AI22" i="9" a="1"/>
  <c r="AI22" i="9" s="1"/>
  <c r="AH22" i="9" a="1"/>
  <c r="AH22" i="9" s="1"/>
  <c r="AG22" i="9" a="1"/>
  <c r="AG22" i="9" s="1"/>
  <c r="AF22" i="9" a="1"/>
  <c r="AF22" i="9" s="1"/>
  <c r="AE22" i="9" a="1"/>
  <c r="AE22" i="9" s="1"/>
  <c r="AD22" i="9" a="1"/>
  <c r="AD22" i="9" s="1"/>
  <c r="AC22" i="9" a="1"/>
  <c r="AC22" i="9" s="1"/>
  <c r="AB22" i="9" a="1"/>
  <c r="AB22" i="9" s="1"/>
  <c r="AA22" i="9" a="1"/>
  <c r="AA22" i="9" s="1"/>
  <c r="Z22" i="9" a="1"/>
  <c r="Z22" i="9" s="1"/>
  <c r="Y22" i="9" a="1"/>
  <c r="Y22" i="9" s="1"/>
  <c r="X22" i="9" a="1"/>
  <c r="X22" i="9" s="1"/>
  <c r="W22" i="9" a="1"/>
  <c r="W22" i="9" s="1"/>
  <c r="V22" i="9" a="1"/>
  <c r="V22" i="9" s="1"/>
  <c r="U22" i="9" a="1"/>
  <c r="U22" i="9" s="1"/>
  <c r="T22" i="9" a="1"/>
  <c r="T22" i="9" s="1"/>
  <c r="S22" i="9" a="1"/>
  <c r="S22" i="9" s="1"/>
  <c r="R22" i="9" a="1"/>
  <c r="R22" i="9" s="1"/>
  <c r="Q22" i="9" a="1"/>
  <c r="Q22" i="9" s="1"/>
  <c r="P22" i="9" a="1"/>
  <c r="P22" i="9" s="1"/>
  <c r="O22" i="9" a="1"/>
  <c r="O22" i="9" s="1"/>
  <c r="N22" i="9" a="1"/>
  <c r="N22" i="9" s="1"/>
  <c r="M22" i="9" a="1"/>
  <c r="M22" i="9" s="1"/>
  <c r="L22" i="9" a="1"/>
  <c r="L22" i="9" s="1"/>
  <c r="K22" i="9" a="1"/>
  <c r="K22" i="9" s="1"/>
  <c r="J22" i="9" a="1"/>
  <c r="J22" i="9" s="1"/>
  <c r="I22" i="9" a="1"/>
  <c r="I22" i="9" s="1"/>
  <c r="H22" i="9"/>
  <c r="H22" i="9" a="1"/>
  <c r="G22" i="9" a="1"/>
  <c r="G22" i="9" s="1"/>
  <c r="F22" i="9" a="1"/>
  <c r="F22" i="9" s="1"/>
  <c r="E22" i="9" a="1"/>
  <c r="E22" i="9" s="1"/>
  <c r="D22" i="9" a="1"/>
  <c r="D22" i="9" s="1"/>
  <c r="C22" i="9" a="1"/>
  <c r="C22" i="9" s="1"/>
  <c r="EF21" i="9" a="1"/>
  <c r="EF21" i="9" s="1"/>
  <c r="EE21" i="9" a="1"/>
  <c r="EE21" i="9" s="1"/>
  <c r="ED21" i="9" a="1"/>
  <c r="ED21" i="9" s="1"/>
  <c r="EC21" i="9" a="1"/>
  <c r="EC21" i="9" s="1"/>
  <c r="EB21" i="9" a="1"/>
  <c r="EB21" i="9" s="1"/>
  <c r="EA21" i="9" a="1"/>
  <c r="EA21" i="9" s="1"/>
  <c r="DZ21" i="9" a="1"/>
  <c r="DZ21" i="9" s="1"/>
  <c r="DY21" i="9" a="1"/>
  <c r="DY21" i="9" s="1"/>
  <c r="DX21" i="9" a="1"/>
  <c r="DX21" i="9" s="1"/>
  <c r="DW21" i="9" a="1"/>
  <c r="DW21" i="9" s="1"/>
  <c r="DV21" i="9" a="1"/>
  <c r="DV21" i="9" s="1"/>
  <c r="DU21" i="9" a="1"/>
  <c r="DU21" i="9" s="1"/>
  <c r="DT21" i="9"/>
  <c r="DT21" i="9" a="1"/>
  <c r="DS21" i="9" a="1"/>
  <c r="DS21" i="9" s="1"/>
  <c r="DR21" i="9" a="1"/>
  <c r="DR21" i="9" s="1"/>
  <c r="DQ21" i="9" a="1"/>
  <c r="DQ21" i="9" s="1"/>
  <c r="DP21" i="9" a="1"/>
  <c r="DP21" i="9" s="1"/>
  <c r="DO21" i="9" a="1"/>
  <c r="DO21" i="9" s="1"/>
  <c r="DN21" i="9" a="1"/>
  <c r="DN21" i="9" s="1"/>
  <c r="DM21" i="9" a="1"/>
  <c r="DM21" i="9" s="1"/>
  <c r="DL21" i="9" a="1"/>
  <c r="DL21" i="9" s="1"/>
  <c r="DK21" i="9"/>
  <c r="DK21" i="9" a="1"/>
  <c r="DJ21" i="9" a="1"/>
  <c r="DJ21" i="9" s="1"/>
  <c r="DI21" i="9" a="1"/>
  <c r="DI21" i="9" s="1"/>
  <c r="DH21" i="9" a="1"/>
  <c r="DH21" i="9" s="1"/>
  <c r="DG21" i="9" a="1"/>
  <c r="DG21" i="9" s="1"/>
  <c r="DF21" i="9" a="1"/>
  <c r="DF21" i="9" s="1"/>
  <c r="DE21" i="9" a="1"/>
  <c r="DE21" i="9" s="1"/>
  <c r="DD21" i="9" a="1"/>
  <c r="DD21" i="9" s="1"/>
  <c r="DC21" i="9" a="1"/>
  <c r="DC21" i="9" s="1"/>
  <c r="DB21" i="9" a="1"/>
  <c r="DB21" i="9" s="1"/>
  <c r="DA21" i="9" a="1"/>
  <c r="DA21" i="9" s="1"/>
  <c r="CZ21" i="9" a="1"/>
  <c r="CZ21" i="9" s="1"/>
  <c r="CY21" i="9" a="1"/>
  <c r="CY21" i="9" s="1"/>
  <c r="CX21" i="9" a="1"/>
  <c r="CX21" i="9" s="1"/>
  <c r="CW21" i="9" a="1"/>
  <c r="CW21" i="9" s="1"/>
  <c r="CV21" i="9"/>
  <c r="CV21" i="9" a="1"/>
  <c r="CU21" i="9" a="1"/>
  <c r="CU21" i="9" s="1"/>
  <c r="CT21" i="9" a="1"/>
  <c r="CT21" i="9" s="1"/>
  <c r="CS21" i="9" a="1"/>
  <c r="CS21" i="9" s="1"/>
  <c r="CR21" i="9" a="1"/>
  <c r="CR21" i="9" s="1"/>
  <c r="CQ21" i="9" a="1"/>
  <c r="CQ21" i="9" s="1"/>
  <c r="CP21" i="9" a="1"/>
  <c r="CP21" i="9" s="1"/>
  <c r="CO21" i="9" a="1"/>
  <c r="CO21" i="9" s="1"/>
  <c r="CN21" i="9" a="1"/>
  <c r="CN21" i="9" s="1"/>
  <c r="CM21" i="9" a="1"/>
  <c r="CM21" i="9" s="1"/>
  <c r="CL21" i="9" a="1"/>
  <c r="CL21" i="9" s="1"/>
  <c r="CK21" i="9" a="1"/>
  <c r="CK21" i="9" s="1"/>
  <c r="CJ21" i="9" a="1"/>
  <c r="CJ21" i="9" s="1"/>
  <c r="CI21" i="9" a="1"/>
  <c r="CI21" i="9" s="1"/>
  <c r="CH21" i="9" a="1"/>
  <c r="CH21" i="9" s="1"/>
  <c r="CG21" i="9" a="1"/>
  <c r="CG21" i="9" s="1"/>
  <c r="CF21" i="9" a="1"/>
  <c r="CF21" i="9" s="1"/>
  <c r="CE21" i="9" a="1"/>
  <c r="CE21" i="9" s="1"/>
  <c r="CD21" i="9" a="1"/>
  <c r="CD21" i="9" s="1"/>
  <c r="CC21" i="9" a="1"/>
  <c r="CC21" i="9" s="1"/>
  <c r="CB21" i="9" a="1"/>
  <c r="CB21" i="9" s="1"/>
  <c r="CA21" i="9" a="1"/>
  <c r="CA21" i="9" s="1"/>
  <c r="BZ21" i="9" a="1"/>
  <c r="BZ21" i="9" s="1"/>
  <c r="BY21" i="9" a="1"/>
  <c r="BY21" i="9" s="1"/>
  <c r="BX21" i="9" a="1"/>
  <c r="BX21" i="9" s="1"/>
  <c r="BW21" i="9"/>
  <c r="BW21" i="9" a="1"/>
  <c r="BV21" i="9" a="1"/>
  <c r="BV21" i="9" s="1"/>
  <c r="BU21" i="9" a="1"/>
  <c r="BU21" i="9" s="1"/>
  <c r="BT21" i="9" a="1"/>
  <c r="BT21" i="9" s="1"/>
  <c r="BS21" i="9" a="1"/>
  <c r="BS21" i="9" s="1"/>
  <c r="BR21" i="9" a="1"/>
  <c r="BR21" i="9" s="1"/>
  <c r="BQ21" i="9" a="1"/>
  <c r="BQ21" i="9" s="1"/>
  <c r="BP21" i="9" a="1"/>
  <c r="BP21" i="9" s="1"/>
  <c r="BO21" i="9" a="1"/>
  <c r="BO21" i="9" s="1"/>
  <c r="BN21" i="9" a="1"/>
  <c r="BN21" i="9" s="1"/>
  <c r="BM21" i="9" a="1"/>
  <c r="BM21" i="9" s="1"/>
  <c r="BL21" i="9" a="1"/>
  <c r="BL21" i="9" s="1"/>
  <c r="BK21" i="9"/>
  <c r="BK21" i="9" a="1"/>
  <c r="BJ21" i="9" a="1"/>
  <c r="BJ21" i="9" s="1"/>
  <c r="BI21" i="9" a="1"/>
  <c r="BI21" i="9" s="1"/>
  <c r="BH21" i="9" a="1"/>
  <c r="BH21" i="9" s="1"/>
  <c r="BG21" i="9"/>
  <c r="BG21" i="9" a="1"/>
  <c r="BF21" i="9" a="1"/>
  <c r="BF21" i="9" s="1"/>
  <c r="BE21" i="9" a="1"/>
  <c r="BE21" i="9" s="1"/>
  <c r="BD21" i="9" a="1"/>
  <c r="BD21" i="9" s="1"/>
  <c r="BC21" i="9" a="1"/>
  <c r="BC21" i="9" s="1"/>
  <c r="BB21" i="9" a="1"/>
  <c r="BB21" i="9" s="1"/>
  <c r="BA21" i="9" a="1"/>
  <c r="BA21" i="9" s="1"/>
  <c r="AZ21" i="9" a="1"/>
  <c r="AZ21" i="9" s="1"/>
  <c r="AY21" i="9" a="1"/>
  <c r="AY21" i="9" s="1"/>
  <c r="AX21" i="9" a="1"/>
  <c r="AX21" i="9" s="1"/>
  <c r="AW21" i="9" a="1"/>
  <c r="AW21" i="9" s="1"/>
  <c r="AV21" i="9" a="1"/>
  <c r="AV21" i="9" s="1"/>
  <c r="AU21" i="9" a="1"/>
  <c r="AU21" i="9" s="1"/>
  <c r="AT21" i="9" a="1"/>
  <c r="AT21" i="9" s="1"/>
  <c r="AS21" i="9" a="1"/>
  <c r="AS21" i="9" s="1"/>
  <c r="AR21" i="9" a="1"/>
  <c r="AR21" i="9" s="1"/>
  <c r="AQ21" i="9" a="1"/>
  <c r="AQ21" i="9" s="1"/>
  <c r="AP21" i="9" a="1"/>
  <c r="AP21" i="9" s="1"/>
  <c r="AO21" i="9" a="1"/>
  <c r="AO21" i="9" s="1"/>
  <c r="AN21" i="9" a="1"/>
  <c r="AN21" i="9" s="1"/>
  <c r="AM21" i="9" a="1"/>
  <c r="AM21" i="9" s="1"/>
  <c r="AL21" i="9" a="1"/>
  <c r="AL21" i="9" s="1"/>
  <c r="AK21" i="9" a="1"/>
  <c r="AK21" i="9" s="1"/>
  <c r="AJ21" i="9"/>
  <c r="AJ21" i="9" a="1"/>
  <c r="AI21" i="9" a="1"/>
  <c r="AI21" i="9" s="1"/>
  <c r="AH21" i="9" a="1"/>
  <c r="AH21" i="9" s="1"/>
  <c r="AG21" i="9" a="1"/>
  <c r="AG21" i="9" s="1"/>
  <c r="AF21" i="9" a="1"/>
  <c r="AF21" i="9" s="1"/>
  <c r="AE21" i="9" a="1"/>
  <c r="AE21" i="9" s="1"/>
  <c r="AD21" i="9" a="1"/>
  <c r="AD21" i="9" s="1"/>
  <c r="AC21" i="9" a="1"/>
  <c r="AC21" i="9" s="1"/>
  <c r="AB21" i="9" a="1"/>
  <c r="AB21" i="9" s="1"/>
  <c r="AA21" i="9" a="1"/>
  <c r="AA21" i="9" s="1"/>
  <c r="Z21" i="9" a="1"/>
  <c r="Z21" i="9" s="1"/>
  <c r="Y21" i="9" a="1"/>
  <c r="Y21" i="9" s="1"/>
  <c r="X21" i="9" a="1"/>
  <c r="X21" i="9" s="1"/>
  <c r="W21" i="9" a="1"/>
  <c r="W21" i="9" s="1"/>
  <c r="V21" i="9" a="1"/>
  <c r="V21" i="9" s="1"/>
  <c r="U21" i="9" a="1"/>
  <c r="U21" i="9" s="1"/>
  <c r="T21" i="9" a="1"/>
  <c r="T21" i="9" s="1"/>
  <c r="S21" i="9" a="1"/>
  <c r="S21" i="9" s="1"/>
  <c r="R21" i="9" a="1"/>
  <c r="R21" i="9" s="1"/>
  <c r="Q21" i="9" a="1"/>
  <c r="Q21" i="9" s="1"/>
  <c r="P21" i="9" a="1"/>
  <c r="P21" i="9" s="1"/>
  <c r="O21" i="9" a="1"/>
  <c r="O21" i="9" s="1"/>
  <c r="N21" i="9" a="1"/>
  <c r="N21" i="9" s="1"/>
  <c r="M21" i="9" a="1"/>
  <c r="M21" i="9" s="1"/>
  <c r="L21" i="9" a="1"/>
  <c r="L21" i="9" s="1"/>
  <c r="K21" i="9" a="1"/>
  <c r="K21" i="9" s="1"/>
  <c r="J21" i="9" a="1"/>
  <c r="J21" i="9" s="1"/>
  <c r="I21" i="9" a="1"/>
  <c r="I21" i="9" s="1"/>
  <c r="H21" i="9" a="1"/>
  <c r="H21" i="9" s="1"/>
  <c r="G21" i="9" a="1"/>
  <c r="G21" i="9" s="1"/>
  <c r="F21" i="9" a="1"/>
  <c r="F21" i="9" s="1"/>
  <c r="E21" i="9" a="1"/>
  <c r="E21" i="9" s="1"/>
  <c r="D21" i="9" a="1"/>
  <c r="D21" i="9" s="1"/>
  <c r="C21" i="9" a="1"/>
  <c r="C21" i="9" s="1"/>
  <c r="EF20" i="9" a="1"/>
  <c r="EF20" i="9" s="1"/>
  <c r="EE20" i="9" a="1"/>
  <c r="EE20" i="9" s="1"/>
  <c r="ED20" i="9" a="1"/>
  <c r="ED20" i="9" s="1"/>
  <c r="EC20" i="9" a="1"/>
  <c r="EC20" i="9" s="1"/>
  <c r="EB20" i="9" a="1"/>
  <c r="EB20" i="9" s="1"/>
  <c r="EA20" i="9" a="1"/>
  <c r="EA20" i="9" s="1"/>
  <c r="DZ20" i="9"/>
  <c r="DZ20" i="9" a="1"/>
  <c r="DY20" i="9"/>
  <c r="DY20" i="9" a="1"/>
  <c r="DX20" i="9" a="1"/>
  <c r="DX20" i="9" s="1"/>
  <c r="DW20" i="9" a="1"/>
  <c r="DW20" i="9" s="1"/>
  <c r="DV20" i="9" a="1"/>
  <c r="DV20" i="9" s="1"/>
  <c r="DU20" i="9"/>
  <c r="DU20" i="9" a="1"/>
  <c r="DT20" i="9" a="1"/>
  <c r="DT20" i="9" s="1"/>
  <c r="DS20" i="9" a="1"/>
  <c r="DS20" i="9" s="1"/>
  <c r="DR20" i="9" a="1"/>
  <c r="DR20" i="9" s="1"/>
  <c r="DQ20" i="9" a="1"/>
  <c r="DQ20" i="9" s="1"/>
  <c r="DP20" i="9" a="1"/>
  <c r="DP20" i="9" s="1"/>
  <c r="DO20" i="9" a="1"/>
  <c r="DO20" i="9" s="1"/>
  <c r="DN20" i="9" a="1"/>
  <c r="DN20" i="9" s="1"/>
  <c r="DM20" i="9" a="1"/>
  <c r="DM20" i="9" s="1"/>
  <c r="DL20" i="9"/>
  <c r="DL20" i="9" a="1"/>
  <c r="DK20" i="9" a="1"/>
  <c r="DK20" i="9" s="1"/>
  <c r="DJ20" i="9" a="1"/>
  <c r="DJ20" i="9" s="1"/>
  <c r="DI20" i="9" a="1"/>
  <c r="DI20" i="9" s="1"/>
  <c r="DH20" i="9" a="1"/>
  <c r="DH20" i="9" s="1"/>
  <c r="DG20" i="9" a="1"/>
  <c r="DG20" i="9" s="1"/>
  <c r="DF20" i="9" a="1"/>
  <c r="DF20" i="9" s="1"/>
  <c r="DE20" i="9" a="1"/>
  <c r="DE20" i="9" s="1"/>
  <c r="DD20" i="9" a="1"/>
  <c r="DD20" i="9" s="1"/>
  <c r="DC20" i="9" a="1"/>
  <c r="DC20" i="9" s="1"/>
  <c r="DB20" i="9" a="1"/>
  <c r="DB20" i="9" s="1"/>
  <c r="DA20" i="9"/>
  <c r="DA20" i="9" a="1"/>
  <c r="CZ20" i="9" a="1"/>
  <c r="CZ20" i="9" s="1"/>
  <c r="CY20" i="9" a="1"/>
  <c r="CY20" i="9" s="1"/>
  <c r="CX20" i="9" a="1"/>
  <c r="CX20" i="9" s="1"/>
  <c r="CW20" i="9" a="1"/>
  <c r="CW20" i="9" s="1"/>
  <c r="CV20" i="9"/>
  <c r="CV20" i="9" a="1"/>
  <c r="CU20" i="9" a="1"/>
  <c r="CU20" i="9" s="1"/>
  <c r="CT20" i="9" a="1"/>
  <c r="CT20" i="9" s="1"/>
  <c r="CS20" i="9" a="1"/>
  <c r="CS20" i="9" s="1"/>
  <c r="CR20" i="9" a="1"/>
  <c r="CR20" i="9" s="1"/>
  <c r="CQ20" i="9" a="1"/>
  <c r="CQ20" i="9" s="1"/>
  <c r="CP20" i="9" a="1"/>
  <c r="CP20" i="9" s="1"/>
  <c r="CO20" i="9" a="1"/>
  <c r="CO20" i="9" s="1"/>
  <c r="CN20" i="9" a="1"/>
  <c r="CN20" i="9" s="1"/>
  <c r="CM20" i="9" a="1"/>
  <c r="CM20" i="9" s="1"/>
  <c r="CL20" i="9" a="1"/>
  <c r="CL20" i="9" s="1"/>
  <c r="CK20" i="9" a="1"/>
  <c r="CK20" i="9" s="1"/>
  <c r="CJ20" i="9" a="1"/>
  <c r="CJ20" i="9" s="1"/>
  <c r="CI20" i="9" a="1"/>
  <c r="CI20" i="9" s="1"/>
  <c r="CH20" i="9" a="1"/>
  <c r="CH20" i="9" s="1"/>
  <c r="CG20" i="9" a="1"/>
  <c r="CG20" i="9" s="1"/>
  <c r="CF20" i="9" a="1"/>
  <c r="CF20" i="9" s="1"/>
  <c r="CE20" i="9" a="1"/>
  <c r="CE20" i="9" s="1"/>
  <c r="CD20" i="9" a="1"/>
  <c r="CD20" i="9" s="1"/>
  <c r="CC20" i="9" a="1"/>
  <c r="CC20" i="9" s="1"/>
  <c r="CB20" i="9" a="1"/>
  <c r="CB20" i="9" s="1"/>
  <c r="CA20" i="9" a="1"/>
  <c r="CA20" i="9" s="1"/>
  <c r="BZ20" i="9" a="1"/>
  <c r="BZ20" i="9" s="1"/>
  <c r="BY20" i="9" a="1"/>
  <c r="BY20" i="9" s="1"/>
  <c r="BX20" i="9" a="1"/>
  <c r="BX20" i="9" s="1"/>
  <c r="BW20" i="9" a="1"/>
  <c r="BW20" i="9" s="1"/>
  <c r="BV20" i="9" a="1"/>
  <c r="BV20" i="9" s="1"/>
  <c r="BU20" i="9" a="1"/>
  <c r="BU20" i="9" s="1"/>
  <c r="BT20" i="9" a="1"/>
  <c r="BT20" i="9" s="1"/>
  <c r="BS20" i="9" a="1"/>
  <c r="BS20" i="9" s="1"/>
  <c r="BR20" i="9" a="1"/>
  <c r="BR20" i="9" s="1"/>
  <c r="BQ20" i="9" a="1"/>
  <c r="BQ20" i="9" s="1"/>
  <c r="BP20" i="9" a="1"/>
  <c r="BP20" i="9" s="1"/>
  <c r="BO20" i="9" a="1"/>
  <c r="BO20" i="9" s="1"/>
  <c r="BN20" i="9" a="1"/>
  <c r="BN20" i="9" s="1"/>
  <c r="BM20" i="9" a="1"/>
  <c r="BM20" i="9" s="1"/>
  <c r="BL20" i="9" a="1"/>
  <c r="BL20" i="9" s="1"/>
  <c r="BK20" i="9" a="1"/>
  <c r="BK20" i="9" s="1"/>
  <c r="BJ20" i="9" a="1"/>
  <c r="BJ20" i="9" s="1"/>
  <c r="BI20" i="9" a="1"/>
  <c r="BI20" i="9" s="1"/>
  <c r="BH20" i="9" a="1"/>
  <c r="BH20" i="9" s="1"/>
  <c r="BG20" i="9" a="1"/>
  <c r="BG20" i="9" s="1"/>
  <c r="BF20" i="9" a="1"/>
  <c r="BF20" i="9" s="1"/>
  <c r="BE20" i="9" a="1"/>
  <c r="BE20" i="9" s="1"/>
  <c r="BD20" i="9" a="1"/>
  <c r="BD20" i="9" s="1"/>
  <c r="BC20" i="9" a="1"/>
  <c r="BC20" i="9" s="1"/>
  <c r="BB20" i="9" a="1"/>
  <c r="BB20" i="9" s="1"/>
  <c r="BA20" i="9" a="1"/>
  <c r="BA20" i="9" s="1"/>
  <c r="AZ20" i="9" a="1"/>
  <c r="AZ20" i="9" s="1"/>
  <c r="AY20" i="9" a="1"/>
  <c r="AY20" i="9" s="1"/>
  <c r="AX20" i="9" a="1"/>
  <c r="AX20" i="9" s="1"/>
  <c r="AW20" i="9" a="1"/>
  <c r="AW20" i="9" s="1"/>
  <c r="AV20" i="9" a="1"/>
  <c r="AV20" i="9" s="1"/>
  <c r="AU20" i="9" a="1"/>
  <c r="AU20" i="9" s="1"/>
  <c r="AT20" i="9" a="1"/>
  <c r="AT20" i="9" s="1"/>
  <c r="AS20" i="9" a="1"/>
  <c r="AS20" i="9" s="1"/>
  <c r="AR20" i="9" a="1"/>
  <c r="AR20" i="9" s="1"/>
  <c r="AQ20" i="9" a="1"/>
  <c r="AQ20" i="9" s="1"/>
  <c r="AP20" i="9" a="1"/>
  <c r="AP20" i="9" s="1"/>
  <c r="AO20" i="9" a="1"/>
  <c r="AO20" i="9" s="1"/>
  <c r="AN20" i="9" a="1"/>
  <c r="AN20" i="9" s="1"/>
  <c r="AM20" i="9" a="1"/>
  <c r="AM20" i="9" s="1"/>
  <c r="AL20" i="9" a="1"/>
  <c r="AL20" i="9" s="1"/>
  <c r="AK20" i="9" a="1"/>
  <c r="AK20" i="9" s="1"/>
  <c r="AJ20" i="9" a="1"/>
  <c r="AJ20" i="9" s="1"/>
  <c r="AI20" i="9" a="1"/>
  <c r="AI20" i="9" s="1"/>
  <c r="AH20" i="9" a="1"/>
  <c r="AH20" i="9" s="1"/>
  <c r="AG20" i="9" a="1"/>
  <c r="AG20" i="9" s="1"/>
  <c r="AF20" i="9" a="1"/>
  <c r="AF20" i="9" s="1"/>
  <c r="AE20" i="9" a="1"/>
  <c r="AE20" i="9" s="1"/>
  <c r="AD20" i="9" a="1"/>
  <c r="AD20" i="9" s="1"/>
  <c r="AC20" i="9" a="1"/>
  <c r="AC20" i="9" s="1"/>
  <c r="AB20" i="9" a="1"/>
  <c r="AB20" i="9" s="1"/>
  <c r="AA20" i="9" a="1"/>
  <c r="AA20" i="9" s="1"/>
  <c r="Z20" i="9" a="1"/>
  <c r="Z20" i="9" s="1"/>
  <c r="Y20" i="9" a="1"/>
  <c r="Y20" i="9" s="1"/>
  <c r="X20" i="9" a="1"/>
  <c r="X20" i="9" s="1"/>
  <c r="W20" i="9" a="1"/>
  <c r="W20" i="9" s="1"/>
  <c r="V20" i="9" a="1"/>
  <c r="V20" i="9" s="1"/>
  <c r="U20" i="9" a="1"/>
  <c r="U20" i="9" s="1"/>
  <c r="T20" i="9"/>
  <c r="T20" i="9" a="1"/>
  <c r="S20" i="9" a="1"/>
  <c r="S20" i="9" s="1"/>
  <c r="R20" i="9" a="1"/>
  <c r="R20" i="9" s="1"/>
  <c r="Q20" i="9" a="1"/>
  <c r="Q20" i="9" s="1"/>
  <c r="P20" i="9" a="1"/>
  <c r="P20" i="9" s="1"/>
  <c r="O20" i="9" a="1"/>
  <c r="O20" i="9" s="1"/>
  <c r="N20" i="9" a="1"/>
  <c r="N20" i="9" s="1"/>
  <c r="M20" i="9" a="1"/>
  <c r="M20" i="9" s="1"/>
  <c r="L20" i="9" a="1"/>
  <c r="L20" i="9" s="1"/>
  <c r="K20" i="9" a="1"/>
  <c r="K20" i="9" s="1"/>
  <c r="J20" i="9" a="1"/>
  <c r="J20" i="9" s="1"/>
  <c r="I20" i="9" a="1"/>
  <c r="I20" i="9" s="1"/>
  <c r="H20" i="9" a="1"/>
  <c r="H20" i="9" s="1"/>
  <c r="G20" i="9" a="1"/>
  <c r="G20" i="9" s="1"/>
  <c r="F20" i="9" a="1"/>
  <c r="F20" i="9" s="1"/>
  <c r="E20" i="9" a="1"/>
  <c r="E20" i="9" s="1"/>
  <c r="D20" i="9" a="1"/>
  <c r="D20" i="9" s="1"/>
  <c r="C20" i="9" a="1"/>
  <c r="C20" i="9" s="1"/>
  <c r="EF19" i="9" a="1"/>
  <c r="EF19" i="9" s="1"/>
  <c r="EE19" i="9" a="1"/>
  <c r="EE19" i="9" s="1"/>
  <c r="ED19" i="9" a="1"/>
  <c r="ED19" i="9" s="1"/>
  <c r="EC19" i="9" a="1"/>
  <c r="EC19" i="9" s="1"/>
  <c r="EB19" i="9" a="1"/>
  <c r="EB19" i="9" s="1"/>
  <c r="EA19" i="9" a="1"/>
  <c r="EA19" i="9" s="1"/>
  <c r="DZ19" i="9"/>
  <c r="DZ19" i="9" a="1"/>
  <c r="DY19" i="9" a="1"/>
  <c r="DY19" i="9" s="1"/>
  <c r="DX19" i="9" a="1"/>
  <c r="DX19" i="9" s="1"/>
  <c r="DW19" i="9" a="1"/>
  <c r="DW19" i="9" s="1"/>
  <c r="DV19" i="9" a="1"/>
  <c r="DV19" i="9" s="1"/>
  <c r="DU19" i="9" a="1"/>
  <c r="DU19" i="9" s="1"/>
  <c r="DT19" i="9" a="1"/>
  <c r="DT19" i="9" s="1"/>
  <c r="DS19" i="9" a="1"/>
  <c r="DS19" i="9" s="1"/>
  <c r="DR19" i="9" a="1"/>
  <c r="DR19" i="9" s="1"/>
  <c r="DQ19" i="9" a="1"/>
  <c r="DQ19" i="9" s="1"/>
  <c r="DP19" i="9" a="1"/>
  <c r="DP19" i="9" s="1"/>
  <c r="DO19" i="9" a="1"/>
  <c r="DO19" i="9" s="1"/>
  <c r="DN19" i="9" a="1"/>
  <c r="DN19" i="9" s="1"/>
  <c r="DM19" i="9" a="1"/>
  <c r="DM19" i="9" s="1"/>
  <c r="DL19" i="9" a="1"/>
  <c r="DL19" i="9" s="1"/>
  <c r="DK19" i="9" a="1"/>
  <c r="DK19" i="9" s="1"/>
  <c r="DJ19" i="9" a="1"/>
  <c r="DJ19" i="9" s="1"/>
  <c r="DI19" i="9" a="1"/>
  <c r="DI19" i="9" s="1"/>
  <c r="DH19" i="9"/>
  <c r="DH19" i="9" a="1"/>
  <c r="DG19" i="9" a="1"/>
  <c r="DG19" i="9" s="1"/>
  <c r="DF19" i="9" a="1"/>
  <c r="DF19" i="9" s="1"/>
  <c r="DE19" i="9" a="1"/>
  <c r="DE19" i="9" s="1"/>
  <c r="DD19" i="9" a="1"/>
  <c r="DD19" i="9" s="1"/>
  <c r="DC19" i="9" a="1"/>
  <c r="DC19" i="9" s="1"/>
  <c r="DB19" i="9" a="1"/>
  <c r="DB19" i="9" s="1"/>
  <c r="DA19" i="9" a="1"/>
  <c r="DA19" i="9" s="1"/>
  <c r="CZ19" i="9" a="1"/>
  <c r="CZ19" i="9" s="1"/>
  <c r="CY19" i="9" a="1"/>
  <c r="CY19" i="9" s="1"/>
  <c r="CX19" i="9" a="1"/>
  <c r="CX19" i="9" s="1"/>
  <c r="CW19" i="9" a="1"/>
  <c r="CW19" i="9" s="1"/>
  <c r="CV19" i="9" a="1"/>
  <c r="CV19" i="9" s="1"/>
  <c r="CU19" i="9" a="1"/>
  <c r="CU19" i="9" s="1"/>
  <c r="CT19" i="9"/>
  <c r="CT19" i="9" a="1"/>
  <c r="CS19" i="9" a="1"/>
  <c r="CS19" i="9" s="1"/>
  <c r="CR19" i="9" a="1"/>
  <c r="CR19" i="9" s="1"/>
  <c r="CQ19" i="9"/>
  <c r="CQ19" i="9" a="1"/>
  <c r="CP19" i="9" a="1"/>
  <c r="CP19" i="9" s="1"/>
  <c r="CO19" i="9" a="1"/>
  <c r="CO19" i="9" s="1"/>
  <c r="CN19" i="9" a="1"/>
  <c r="CN19" i="9" s="1"/>
  <c r="CM19" i="9" a="1"/>
  <c r="CM19" i="9" s="1"/>
  <c r="CL19" i="9" a="1"/>
  <c r="CL19" i="9" s="1"/>
  <c r="CK19" i="9" a="1"/>
  <c r="CK19" i="9" s="1"/>
  <c r="CJ19" i="9" a="1"/>
  <c r="CJ19" i="9" s="1"/>
  <c r="CI19" i="9" a="1"/>
  <c r="CI19" i="9" s="1"/>
  <c r="CH19" i="9" a="1"/>
  <c r="CH19" i="9" s="1"/>
  <c r="CG19" i="9" a="1"/>
  <c r="CG19" i="9" s="1"/>
  <c r="CF19" i="9" a="1"/>
  <c r="CF19" i="9" s="1"/>
  <c r="CE19" i="9" a="1"/>
  <c r="CE19" i="9" s="1"/>
  <c r="CD19" i="9" a="1"/>
  <c r="CD19" i="9" s="1"/>
  <c r="CC19" i="9" a="1"/>
  <c r="CC19" i="9" s="1"/>
  <c r="CB19" i="9" a="1"/>
  <c r="CB19" i="9" s="1"/>
  <c r="CA19" i="9" a="1"/>
  <c r="CA19" i="9" s="1"/>
  <c r="BZ19" i="9" a="1"/>
  <c r="BZ19" i="9" s="1"/>
  <c r="BY19" i="9"/>
  <c r="BY19" i="9" a="1"/>
  <c r="BX19" i="9" a="1"/>
  <c r="BX19" i="9" s="1"/>
  <c r="BW19" i="9" a="1"/>
  <c r="BW19" i="9" s="1"/>
  <c r="BV19" i="9" a="1"/>
  <c r="BV19" i="9" s="1"/>
  <c r="BU19" i="9" a="1"/>
  <c r="BU19" i="9" s="1"/>
  <c r="BT19" i="9" a="1"/>
  <c r="BT19" i="9" s="1"/>
  <c r="BS19" i="9" a="1"/>
  <c r="BS19" i="9" s="1"/>
  <c r="BR19" i="9" a="1"/>
  <c r="BR19" i="9" s="1"/>
  <c r="BQ19" i="9" a="1"/>
  <c r="BQ19" i="9" s="1"/>
  <c r="BP19" i="9" a="1"/>
  <c r="BP19" i="9" s="1"/>
  <c r="BO19" i="9" a="1"/>
  <c r="BO19" i="9" s="1"/>
  <c r="BN19" i="9" a="1"/>
  <c r="BN19" i="9" s="1"/>
  <c r="BM19" i="9" a="1"/>
  <c r="BM19" i="9" s="1"/>
  <c r="BL19" i="9" a="1"/>
  <c r="BL19" i="9" s="1"/>
  <c r="BK19" i="9" a="1"/>
  <c r="BK19" i="9" s="1"/>
  <c r="BJ19" i="9" a="1"/>
  <c r="BJ19" i="9" s="1"/>
  <c r="BI19" i="9" a="1"/>
  <c r="BI19" i="9" s="1"/>
  <c r="BH19" i="9" a="1"/>
  <c r="BH19" i="9" s="1"/>
  <c r="BG19" i="9" a="1"/>
  <c r="BG19" i="9" s="1"/>
  <c r="BF19" i="9" a="1"/>
  <c r="BF19" i="9" s="1"/>
  <c r="BE19" i="9" a="1"/>
  <c r="BE19" i="9" s="1"/>
  <c r="BD19" i="9" a="1"/>
  <c r="BD19" i="9" s="1"/>
  <c r="BC19" i="9" a="1"/>
  <c r="BC19" i="9" s="1"/>
  <c r="BB19" i="9" a="1"/>
  <c r="BB19" i="9" s="1"/>
  <c r="BA19" i="9" a="1"/>
  <c r="BA19" i="9" s="1"/>
  <c r="AZ19" i="9" a="1"/>
  <c r="AZ19" i="9" s="1"/>
  <c r="AY19" i="9" a="1"/>
  <c r="AY19" i="9" s="1"/>
  <c r="AX19" i="9" a="1"/>
  <c r="AX19" i="9" s="1"/>
  <c r="AW19" i="9" a="1"/>
  <c r="AW19" i="9" s="1"/>
  <c r="AV19" i="9"/>
  <c r="AV19" i="9" a="1"/>
  <c r="AU19" i="9" a="1"/>
  <c r="AU19" i="9" s="1"/>
  <c r="AT19" i="9" a="1"/>
  <c r="AT19" i="9" s="1"/>
  <c r="AS19" i="9" a="1"/>
  <c r="AS19" i="9" s="1"/>
  <c r="AR19" i="9" a="1"/>
  <c r="AR19" i="9" s="1"/>
  <c r="AQ19" i="9" a="1"/>
  <c r="AQ19" i="9" s="1"/>
  <c r="AP19" i="9" a="1"/>
  <c r="AP19" i="9" s="1"/>
  <c r="AO19" i="9" a="1"/>
  <c r="AO19" i="9" s="1"/>
  <c r="AN19" i="9" a="1"/>
  <c r="AN19" i="9" s="1"/>
  <c r="AM19" i="9" a="1"/>
  <c r="AM19" i="9" s="1"/>
  <c r="AL19" i="9" a="1"/>
  <c r="AL19" i="9" s="1"/>
  <c r="AK19" i="9" a="1"/>
  <c r="AK19" i="9" s="1"/>
  <c r="AJ19" i="9" a="1"/>
  <c r="AJ19" i="9" s="1"/>
  <c r="AI19" i="9" a="1"/>
  <c r="AI19" i="9" s="1"/>
  <c r="AH19" i="9" a="1"/>
  <c r="AH19" i="9" s="1"/>
  <c r="AG19" i="9" a="1"/>
  <c r="AG19" i="9" s="1"/>
  <c r="AF19" i="9" a="1"/>
  <c r="AF19" i="9" s="1"/>
  <c r="AE19" i="9" a="1"/>
  <c r="AE19" i="9" s="1"/>
  <c r="AD19" i="9" a="1"/>
  <c r="AD19" i="9" s="1"/>
  <c r="AC19" i="9" a="1"/>
  <c r="AC19" i="9" s="1"/>
  <c r="AB19" i="9" a="1"/>
  <c r="AB19" i="9" s="1"/>
  <c r="AA19" i="9"/>
  <c r="AA19" i="9" a="1"/>
  <c r="Z19" i="9" a="1"/>
  <c r="Z19" i="9" s="1"/>
  <c r="Y19" i="9" a="1"/>
  <c r="Y19" i="9" s="1"/>
  <c r="X19" i="9" a="1"/>
  <c r="X19" i="9" s="1"/>
  <c r="W19" i="9" a="1"/>
  <c r="W19" i="9" s="1"/>
  <c r="V19" i="9" a="1"/>
  <c r="V19" i="9" s="1"/>
  <c r="U19" i="9" a="1"/>
  <c r="U19" i="9" s="1"/>
  <c r="T19" i="9" a="1"/>
  <c r="T19" i="9" s="1"/>
  <c r="S19" i="9" a="1"/>
  <c r="S19" i="9" s="1"/>
  <c r="R19" i="9"/>
  <c r="R19" i="9" a="1"/>
  <c r="Q19" i="9" a="1"/>
  <c r="Q19" i="9" s="1"/>
  <c r="P19" i="9"/>
  <c r="P19" i="9" a="1"/>
  <c r="O19" i="9" a="1"/>
  <c r="O19" i="9" s="1"/>
  <c r="N19" i="9" a="1"/>
  <c r="N19" i="9" s="1"/>
  <c r="M19" i="9" a="1"/>
  <c r="M19" i="9" s="1"/>
  <c r="L19" i="9" a="1"/>
  <c r="L19" i="9" s="1"/>
  <c r="K19" i="9" a="1"/>
  <c r="K19" i="9" s="1"/>
  <c r="J19" i="9" a="1"/>
  <c r="J19" i="9" s="1"/>
  <c r="I19" i="9" a="1"/>
  <c r="I19" i="9" s="1"/>
  <c r="H19" i="9" a="1"/>
  <c r="H19" i="9" s="1"/>
  <c r="G19" i="9" a="1"/>
  <c r="G19" i="9" s="1"/>
  <c r="F19" i="9" a="1"/>
  <c r="F19" i="9" s="1"/>
  <c r="E19" i="9"/>
  <c r="E19" i="9" a="1"/>
  <c r="D19" i="9" a="1"/>
  <c r="D19" i="9" s="1"/>
  <c r="C19" i="9" a="1"/>
  <c r="C19" i="9" s="1"/>
  <c r="EF18" i="9" a="1"/>
  <c r="EF18" i="9" s="1"/>
  <c r="EE18" i="9"/>
  <c r="EE18" i="9" a="1"/>
  <c r="ED18" i="9" a="1"/>
  <c r="ED18" i="9" s="1"/>
  <c r="EC18" i="9" a="1"/>
  <c r="EC18" i="9" s="1"/>
  <c r="EB18" i="9" a="1"/>
  <c r="EB18" i="9" s="1"/>
  <c r="EA18" i="9" a="1"/>
  <c r="EA18" i="9" s="1"/>
  <c r="DZ18" i="9" a="1"/>
  <c r="DZ18" i="9" s="1"/>
  <c r="DY18" i="9" a="1"/>
  <c r="DY18" i="9" s="1"/>
  <c r="DX18" i="9"/>
  <c r="DX18" i="9" a="1"/>
  <c r="DW18" i="9" a="1"/>
  <c r="DW18" i="9" s="1"/>
  <c r="DV18" i="9" a="1"/>
  <c r="DV18" i="9" s="1"/>
  <c r="DU18" i="9" a="1"/>
  <c r="DU18" i="9" s="1"/>
  <c r="DT18" i="9" a="1"/>
  <c r="DT18" i="9" s="1"/>
  <c r="DS18" i="9" a="1"/>
  <c r="DS18" i="9" s="1"/>
  <c r="DR18" i="9" a="1"/>
  <c r="DR18" i="9" s="1"/>
  <c r="DQ18" i="9" a="1"/>
  <c r="DQ18" i="9" s="1"/>
  <c r="DP18" i="9" a="1"/>
  <c r="DP18" i="9" s="1"/>
  <c r="DO18" i="9" a="1"/>
  <c r="DO18" i="9" s="1"/>
  <c r="DN18" i="9" a="1"/>
  <c r="DN18" i="9" s="1"/>
  <c r="DM18" i="9" a="1"/>
  <c r="DM18" i="9" s="1"/>
  <c r="DL18" i="9" a="1"/>
  <c r="DL18" i="9" s="1"/>
  <c r="DK18" i="9" a="1"/>
  <c r="DK18" i="9" s="1"/>
  <c r="DJ18" i="9" a="1"/>
  <c r="DJ18" i="9" s="1"/>
  <c r="DI18" i="9" a="1"/>
  <c r="DI18" i="9" s="1"/>
  <c r="DH18" i="9" a="1"/>
  <c r="DH18" i="9" s="1"/>
  <c r="DG18" i="9" a="1"/>
  <c r="DG18" i="9" s="1"/>
  <c r="DF18" i="9" a="1"/>
  <c r="DF18" i="9" s="1"/>
  <c r="DE18" i="9" a="1"/>
  <c r="DE18" i="9" s="1"/>
  <c r="DD18" i="9" a="1"/>
  <c r="DD18" i="9" s="1"/>
  <c r="DC18" i="9" a="1"/>
  <c r="DC18" i="9" s="1"/>
  <c r="DB18" i="9" a="1"/>
  <c r="DB18" i="9" s="1"/>
  <c r="DA18" i="9" a="1"/>
  <c r="DA18" i="9" s="1"/>
  <c r="CZ18" i="9" a="1"/>
  <c r="CZ18" i="9" s="1"/>
  <c r="CY18" i="9" a="1"/>
  <c r="CY18" i="9" s="1"/>
  <c r="CX18" i="9" a="1"/>
  <c r="CX18" i="9" s="1"/>
  <c r="CW18" i="9" a="1"/>
  <c r="CW18" i="9" s="1"/>
  <c r="CV18" i="9" a="1"/>
  <c r="CV18" i="9" s="1"/>
  <c r="CU18" i="9" a="1"/>
  <c r="CU18" i="9" s="1"/>
  <c r="CT18" i="9" a="1"/>
  <c r="CT18" i="9" s="1"/>
  <c r="CS18" i="9" a="1"/>
  <c r="CS18" i="9" s="1"/>
  <c r="CR18" i="9" a="1"/>
  <c r="CR18" i="9" s="1"/>
  <c r="CQ18" i="9" a="1"/>
  <c r="CQ18" i="9" s="1"/>
  <c r="CP18" i="9" a="1"/>
  <c r="CP18" i="9" s="1"/>
  <c r="CO18" i="9" a="1"/>
  <c r="CO18" i="9" s="1"/>
  <c r="CN18" i="9" a="1"/>
  <c r="CN18" i="9" s="1"/>
  <c r="CM18" i="9" a="1"/>
  <c r="CM18" i="9" s="1"/>
  <c r="CL18" i="9" a="1"/>
  <c r="CL18" i="9" s="1"/>
  <c r="CK18" i="9" a="1"/>
  <c r="CK18" i="9" s="1"/>
  <c r="CJ18" i="9" a="1"/>
  <c r="CJ18" i="9" s="1"/>
  <c r="CI18" i="9" a="1"/>
  <c r="CI18" i="9" s="1"/>
  <c r="CH18" i="9" a="1"/>
  <c r="CH18" i="9" s="1"/>
  <c r="CG18" i="9" a="1"/>
  <c r="CG18" i="9" s="1"/>
  <c r="CF18" i="9" a="1"/>
  <c r="CF18" i="9" s="1"/>
  <c r="CE18" i="9" a="1"/>
  <c r="CE18" i="9" s="1"/>
  <c r="CD18" i="9" a="1"/>
  <c r="CD18" i="9" s="1"/>
  <c r="CC18" i="9" a="1"/>
  <c r="CC18" i="9" s="1"/>
  <c r="CB18" i="9" a="1"/>
  <c r="CB18" i="9" s="1"/>
  <c r="CA18" i="9" a="1"/>
  <c r="CA18" i="9" s="1"/>
  <c r="BZ18" i="9" a="1"/>
  <c r="BZ18" i="9" s="1"/>
  <c r="BY18" i="9" a="1"/>
  <c r="BY18" i="9" s="1"/>
  <c r="BX18" i="9"/>
  <c r="BX18" i="9" a="1"/>
  <c r="BW18" i="9" a="1"/>
  <c r="BW18" i="9" s="1"/>
  <c r="BV18" i="9" a="1"/>
  <c r="BV18" i="9" s="1"/>
  <c r="BU18" i="9"/>
  <c r="BU18" i="9" a="1"/>
  <c r="BT18" i="9" a="1"/>
  <c r="BT18" i="9" s="1"/>
  <c r="BS18" i="9" a="1"/>
  <c r="BS18" i="9" s="1"/>
  <c r="BR18" i="9"/>
  <c r="BR18" i="9" a="1"/>
  <c r="BQ18" i="9" a="1"/>
  <c r="BQ18" i="9" s="1"/>
  <c r="BP18" i="9" a="1"/>
  <c r="BP18" i="9" s="1"/>
  <c r="BO18" i="9" a="1"/>
  <c r="BO18" i="9" s="1"/>
  <c r="BN18" i="9" a="1"/>
  <c r="BN18" i="9" s="1"/>
  <c r="BM18" i="9" a="1"/>
  <c r="BM18" i="9" s="1"/>
  <c r="BL18" i="9" a="1"/>
  <c r="BL18" i="9" s="1"/>
  <c r="BK18" i="9" a="1"/>
  <c r="BK18" i="9" s="1"/>
  <c r="BJ18" i="9" a="1"/>
  <c r="BJ18" i="9" s="1"/>
  <c r="BI18" i="9" a="1"/>
  <c r="BI18" i="9" s="1"/>
  <c r="BH18" i="9"/>
  <c r="BH18" i="9" a="1"/>
  <c r="BG18" i="9" a="1"/>
  <c r="BG18" i="9" s="1"/>
  <c r="BF18" i="9" a="1"/>
  <c r="BF18" i="9" s="1"/>
  <c r="BE18" i="9" a="1"/>
  <c r="BE18" i="9" s="1"/>
  <c r="BD18" i="9" a="1"/>
  <c r="BD18" i="9" s="1"/>
  <c r="BC18" i="9" a="1"/>
  <c r="BC18" i="9" s="1"/>
  <c r="BB18" i="9" a="1"/>
  <c r="BB18" i="9" s="1"/>
  <c r="BA18" i="9" a="1"/>
  <c r="BA18" i="9" s="1"/>
  <c r="AZ18" i="9" a="1"/>
  <c r="AZ18" i="9" s="1"/>
  <c r="AY18" i="9" a="1"/>
  <c r="AY18" i="9" s="1"/>
  <c r="AX18" i="9" a="1"/>
  <c r="AX18" i="9" s="1"/>
  <c r="AW18" i="9" a="1"/>
  <c r="AW18" i="9" s="1"/>
  <c r="AV18" i="9" a="1"/>
  <c r="AV18" i="9" s="1"/>
  <c r="AU18" i="9" a="1"/>
  <c r="AU18" i="9" s="1"/>
  <c r="AT18" i="9" a="1"/>
  <c r="AT18" i="9" s="1"/>
  <c r="AS18" i="9"/>
  <c r="AS18" i="9" a="1"/>
  <c r="AR18" i="9" a="1"/>
  <c r="AR18" i="9" s="1"/>
  <c r="AQ18" i="9" a="1"/>
  <c r="AQ18" i="9" s="1"/>
  <c r="AP18" i="9" a="1"/>
  <c r="AP18" i="9" s="1"/>
  <c r="AO18" i="9" a="1"/>
  <c r="AO18" i="9" s="1"/>
  <c r="AN18" i="9" a="1"/>
  <c r="AN18" i="9" s="1"/>
  <c r="AM18" i="9" a="1"/>
  <c r="AM18" i="9" s="1"/>
  <c r="AL18" i="9" a="1"/>
  <c r="AL18" i="9" s="1"/>
  <c r="AK18" i="9" a="1"/>
  <c r="AK18" i="9" s="1"/>
  <c r="AJ18" i="9" a="1"/>
  <c r="AJ18" i="9" s="1"/>
  <c r="AI18" i="9" a="1"/>
  <c r="AI18" i="9" s="1"/>
  <c r="AH18" i="9" a="1"/>
  <c r="AH18" i="9" s="1"/>
  <c r="AG18" i="9" a="1"/>
  <c r="AG18" i="9" s="1"/>
  <c r="AF18" i="9" a="1"/>
  <c r="AF18" i="9" s="1"/>
  <c r="AE18" i="9" a="1"/>
  <c r="AE18" i="9" s="1"/>
  <c r="AD18" i="9" a="1"/>
  <c r="AD18" i="9" s="1"/>
  <c r="AC18" i="9" a="1"/>
  <c r="AC18" i="9" s="1"/>
  <c r="AB18" i="9" a="1"/>
  <c r="AB18" i="9" s="1"/>
  <c r="AA18" i="9" a="1"/>
  <c r="AA18" i="9" s="1"/>
  <c r="Z18" i="9" a="1"/>
  <c r="Z18" i="9" s="1"/>
  <c r="Y18" i="9" a="1"/>
  <c r="Y18" i="9" s="1"/>
  <c r="X18" i="9" a="1"/>
  <c r="X18" i="9" s="1"/>
  <c r="W18" i="9" a="1"/>
  <c r="W18" i="9" s="1"/>
  <c r="V18" i="9" a="1"/>
  <c r="V18" i="9" s="1"/>
  <c r="U18" i="9" a="1"/>
  <c r="U18" i="9" s="1"/>
  <c r="T18" i="9" a="1"/>
  <c r="T18" i="9" s="1"/>
  <c r="S18" i="9" a="1"/>
  <c r="S18" i="9" s="1"/>
  <c r="R18" i="9" a="1"/>
  <c r="R18" i="9" s="1"/>
  <c r="Q18" i="9"/>
  <c r="Q18" i="9" a="1"/>
  <c r="P18" i="9" a="1"/>
  <c r="P18" i="9" s="1"/>
  <c r="O18" i="9" a="1"/>
  <c r="O18" i="9" s="1"/>
  <c r="N18" i="9"/>
  <c r="N18" i="9" a="1"/>
  <c r="M18" i="9" a="1"/>
  <c r="M18" i="9" s="1"/>
  <c r="L18" i="9" a="1"/>
  <c r="L18" i="9" s="1"/>
  <c r="K18" i="9" a="1"/>
  <c r="K18" i="9" s="1"/>
  <c r="J18" i="9" a="1"/>
  <c r="J18" i="9" s="1"/>
  <c r="I18" i="9" a="1"/>
  <c r="I18" i="9" s="1"/>
  <c r="H18" i="9" a="1"/>
  <c r="H18" i="9" s="1"/>
  <c r="G18" i="9" a="1"/>
  <c r="G18" i="9" s="1"/>
  <c r="F18" i="9" a="1"/>
  <c r="F18" i="9" s="1"/>
  <c r="E18" i="9"/>
  <c r="E18" i="9" a="1"/>
  <c r="D18" i="9" a="1"/>
  <c r="D18" i="9" s="1"/>
  <c r="C18" i="9" a="1"/>
  <c r="C18" i="9" s="1"/>
  <c r="EF17" i="9" a="1"/>
  <c r="EF17" i="9" s="1"/>
  <c r="EE17" i="9" a="1"/>
  <c r="EE17" i="9" s="1"/>
  <c r="ED17" i="9" a="1"/>
  <c r="ED17" i="9" s="1"/>
  <c r="EC17" i="9" a="1"/>
  <c r="EC17" i="9" s="1"/>
  <c r="EB17" i="9" a="1"/>
  <c r="EB17" i="9" s="1"/>
  <c r="EA17" i="9" a="1"/>
  <c r="EA17" i="9" s="1"/>
  <c r="DZ17" i="9" a="1"/>
  <c r="DZ17" i="9" s="1"/>
  <c r="DY17" i="9" a="1"/>
  <c r="DY17" i="9" s="1"/>
  <c r="DX17" i="9" a="1"/>
  <c r="DX17" i="9" s="1"/>
  <c r="DW17" i="9" a="1"/>
  <c r="DW17" i="9" s="1"/>
  <c r="DV17" i="9" a="1"/>
  <c r="DV17" i="9" s="1"/>
  <c r="DU17" i="9" a="1"/>
  <c r="DU17" i="9" s="1"/>
  <c r="DT17" i="9" a="1"/>
  <c r="DT17" i="9" s="1"/>
  <c r="DS17" i="9" a="1"/>
  <c r="DS17" i="9" s="1"/>
  <c r="DR17" i="9" a="1"/>
  <c r="DR17" i="9" s="1"/>
  <c r="DQ17" i="9" a="1"/>
  <c r="DQ17" i="9" s="1"/>
  <c r="DP17" i="9" a="1"/>
  <c r="DP17" i="9" s="1"/>
  <c r="DO17" i="9" a="1"/>
  <c r="DO17" i="9" s="1"/>
  <c r="DN17" i="9" a="1"/>
  <c r="DN17" i="9" s="1"/>
  <c r="DM17" i="9" a="1"/>
  <c r="DM17" i="9" s="1"/>
  <c r="DL17" i="9" a="1"/>
  <c r="DL17" i="9" s="1"/>
  <c r="DK17" i="9" a="1"/>
  <c r="DK17" i="9" s="1"/>
  <c r="DJ17" i="9" a="1"/>
  <c r="DJ17" i="9" s="1"/>
  <c r="DI17" i="9" a="1"/>
  <c r="DI17" i="9" s="1"/>
  <c r="DH17" i="9" a="1"/>
  <c r="DH17" i="9" s="1"/>
  <c r="DG17" i="9" a="1"/>
  <c r="DG17" i="9" s="1"/>
  <c r="DF17" i="9" a="1"/>
  <c r="DF17" i="9" s="1"/>
  <c r="DE17" i="9" a="1"/>
  <c r="DE17" i="9" s="1"/>
  <c r="DD17" i="9" a="1"/>
  <c r="DD17" i="9" s="1"/>
  <c r="DC17" i="9"/>
  <c r="DC17" i="9" a="1"/>
  <c r="DB17" i="9" a="1"/>
  <c r="DB17" i="9" s="1"/>
  <c r="DA17" i="9" a="1"/>
  <c r="DA17" i="9" s="1"/>
  <c r="CZ17" i="9" a="1"/>
  <c r="CZ17" i="9" s="1"/>
  <c r="CY17" i="9" a="1"/>
  <c r="CY17" i="9" s="1"/>
  <c r="CX17" i="9" a="1"/>
  <c r="CX17" i="9" s="1"/>
  <c r="CW17" i="9" a="1"/>
  <c r="CW17" i="9" s="1"/>
  <c r="CV17" i="9" a="1"/>
  <c r="CV17" i="9" s="1"/>
  <c r="CU17" i="9" a="1"/>
  <c r="CU17" i="9" s="1"/>
  <c r="CT17" i="9" a="1"/>
  <c r="CT17" i="9" s="1"/>
  <c r="CS17" i="9"/>
  <c r="CS17" i="9" a="1"/>
  <c r="CR17" i="9" a="1"/>
  <c r="CR17" i="9" s="1"/>
  <c r="CQ17" i="9" a="1"/>
  <c r="CQ17" i="9" s="1"/>
  <c r="CP17" i="9" a="1"/>
  <c r="CP17" i="9" s="1"/>
  <c r="CO17" i="9" a="1"/>
  <c r="CO17" i="9" s="1"/>
  <c r="CN17" i="9" a="1"/>
  <c r="CN17" i="9" s="1"/>
  <c r="CM17" i="9" a="1"/>
  <c r="CM17" i="9" s="1"/>
  <c r="CL17" i="9" a="1"/>
  <c r="CL17" i="9" s="1"/>
  <c r="CK17" i="9" a="1"/>
  <c r="CK17" i="9" s="1"/>
  <c r="CJ17" i="9" a="1"/>
  <c r="CJ17" i="9" s="1"/>
  <c r="CI17" i="9" a="1"/>
  <c r="CI17" i="9" s="1"/>
  <c r="CH17" i="9" a="1"/>
  <c r="CH17" i="9" s="1"/>
  <c r="CG17" i="9" a="1"/>
  <c r="CG17" i="9" s="1"/>
  <c r="CF17" i="9" a="1"/>
  <c r="CF17" i="9" s="1"/>
  <c r="CE17" i="9" a="1"/>
  <c r="CE17" i="9" s="1"/>
  <c r="CD17" i="9" a="1"/>
  <c r="CD17" i="9" s="1"/>
  <c r="CC17" i="9" a="1"/>
  <c r="CC17" i="9" s="1"/>
  <c r="CB17" i="9" a="1"/>
  <c r="CB17" i="9" s="1"/>
  <c r="CA17" i="9" a="1"/>
  <c r="CA17" i="9" s="1"/>
  <c r="BZ17" i="9" a="1"/>
  <c r="BZ17" i="9" s="1"/>
  <c r="BY17" i="9" a="1"/>
  <c r="BY17" i="9" s="1"/>
  <c r="BX17" i="9" a="1"/>
  <c r="BX17" i="9" s="1"/>
  <c r="BW17" i="9" a="1"/>
  <c r="BW17" i="9" s="1"/>
  <c r="BV17" i="9" a="1"/>
  <c r="BV17" i="9" s="1"/>
  <c r="BU17" i="9" a="1"/>
  <c r="BU17" i="9" s="1"/>
  <c r="BT17" i="9" a="1"/>
  <c r="BT17" i="9" s="1"/>
  <c r="BS17" i="9" a="1"/>
  <c r="BS17" i="9" s="1"/>
  <c r="BR17" i="9" a="1"/>
  <c r="BR17" i="9" s="1"/>
  <c r="BQ17" i="9" a="1"/>
  <c r="BQ17" i="9" s="1"/>
  <c r="BP17" i="9" a="1"/>
  <c r="BP17" i="9" s="1"/>
  <c r="BO17" i="9" a="1"/>
  <c r="BO17" i="9" s="1"/>
  <c r="BN17" i="9" a="1"/>
  <c r="BN17" i="9" s="1"/>
  <c r="BM17" i="9" a="1"/>
  <c r="BM17" i="9" s="1"/>
  <c r="BL17" i="9" a="1"/>
  <c r="BL17" i="9" s="1"/>
  <c r="BK17" i="9" a="1"/>
  <c r="BK17" i="9" s="1"/>
  <c r="BJ17" i="9" a="1"/>
  <c r="BJ17" i="9" s="1"/>
  <c r="BI17" i="9" a="1"/>
  <c r="BI17" i="9" s="1"/>
  <c r="BH17" i="9" a="1"/>
  <c r="BH17" i="9" s="1"/>
  <c r="BG17" i="9" a="1"/>
  <c r="BG17" i="9" s="1"/>
  <c r="BF17" i="9"/>
  <c r="BF17" i="9" a="1"/>
  <c r="BE17" i="9" a="1"/>
  <c r="BE17" i="9" s="1"/>
  <c r="BD17" i="9" a="1"/>
  <c r="BD17" i="9" s="1"/>
  <c r="BC17" i="9" a="1"/>
  <c r="BC17" i="9" s="1"/>
  <c r="BB17" i="9" a="1"/>
  <c r="BB17" i="9" s="1"/>
  <c r="BA17" i="9" a="1"/>
  <c r="BA17" i="9" s="1"/>
  <c r="AZ17" i="9" a="1"/>
  <c r="AZ17" i="9" s="1"/>
  <c r="AY17" i="9" a="1"/>
  <c r="AY17" i="9" s="1"/>
  <c r="AX17" i="9" a="1"/>
  <c r="AX17" i="9" s="1"/>
  <c r="AW17" i="9" a="1"/>
  <c r="AW17" i="9" s="1"/>
  <c r="AV17" i="9" a="1"/>
  <c r="AV17" i="9" s="1"/>
  <c r="AU17" i="9" a="1"/>
  <c r="AU17" i="9" s="1"/>
  <c r="AT17" i="9" a="1"/>
  <c r="AT17" i="9" s="1"/>
  <c r="AS17" i="9" a="1"/>
  <c r="AS17" i="9" s="1"/>
  <c r="AR17" i="9" a="1"/>
  <c r="AR17" i="9" s="1"/>
  <c r="AQ17" i="9" a="1"/>
  <c r="AQ17" i="9" s="1"/>
  <c r="AP17" i="9" a="1"/>
  <c r="AP17" i="9" s="1"/>
  <c r="AO17" i="9" a="1"/>
  <c r="AO17" i="9" s="1"/>
  <c r="AN17" i="9" a="1"/>
  <c r="AN17" i="9" s="1"/>
  <c r="AM17" i="9" a="1"/>
  <c r="AM17" i="9" s="1"/>
  <c r="AL17" i="9" a="1"/>
  <c r="AL17" i="9" s="1"/>
  <c r="AK17" i="9" a="1"/>
  <c r="AK17" i="9" s="1"/>
  <c r="AJ17" i="9" a="1"/>
  <c r="AJ17" i="9" s="1"/>
  <c r="AI17" i="9" a="1"/>
  <c r="AI17" i="9" s="1"/>
  <c r="AH17" i="9" a="1"/>
  <c r="AH17" i="9" s="1"/>
  <c r="AG17" i="9" a="1"/>
  <c r="AG17" i="9" s="1"/>
  <c r="AF17" i="9" a="1"/>
  <c r="AF17" i="9" s="1"/>
  <c r="AE17" i="9" a="1"/>
  <c r="AE17" i="9" s="1"/>
  <c r="AD17" i="9" a="1"/>
  <c r="AD17" i="9" s="1"/>
  <c r="AC17" i="9" a="1"/>
  <c r="AC17" i="9" s="1"/>
  <c r="AB17" i="9" a="1"/>
  <c r="AB17" i="9" s="1"/>
  <c r="AA17" i="9" a="1"/>
  <c r="AA17" i="9" s="1"/>
  <c r="Z17" i="9" a="1"/>
  <c r="Z17" i="9" s="1"/>
  <c r="Y17" i="9" a="1"/>
  <c r="Y17" i="9" s="1"/>
  <c r="X17" i="9" a="1"/>
  <c r="X17" i="9" s="1"/>
  <c r="W17" i="9" a="1"/>
  <c r="W17" i="9" s="1"/>
  <c r="V17" i="9" a="1"/>
  <c r="V17" i="9" s="1"/>
  <c r="U17" i="9" a="1"/>
  <c r="U17" i="9" s="1"/>
  <c r="T17" i="9" a="1"/>
  <c r="T17" i="9" s="1"/>
  <c r="S17" i="9" a="1"/>
  <c r="S17" i="9" s="1"/>
  <c r="R17" i="9" a="1"/>
  <c r="R17" i="9" s="1"/>
  <c r="Q17" i="9" a="1"/>
  <c r="Q17" i="9" s="1"/>
  <c r="P17" i="9" a="1"/>
  <c r="P17" i="9" s="1"/>
  <c r="O17" i="9" a="1"/>
  <c r="O17" i="9" s="1"/>
  <c r="N17" i="9" a="1"/>
  <c r="N17" i="9" s="1"/>
  <c r="M17" i="9"/>
  <c r="M17" i="9" a="1"/>
  <c r="L17" i="9" a="1"/>
  <c r="L17" i="9" s="1"/>
  <c r="K17" i="9" a="1"/>
  <c r="K17" i="9" s="1"/>
  <c r="J17" i="9" a="1"/>
  <c r="J17" i="9" s="1"/>
  <c r="I17" i="9" a="1"/>
  <c r="I17" i="9" s="1"/>
  <c r="H17" i="9" a="1"/>
  <c r="H17" i="9" s="1"/>
  <c r="G17" i="9" a="1"/>
  <c r="G17" i="9" s="1"/>
  <c r="F17" i="9" a="1"/>
  <c r="F17" i="9" s="1"/>
  <c r="E17" i="9" a="1"/>
  <c r="E17" i="9" s="1"/>
  <c r="D17" i="9"/>
  <c r="D17" i="9" a="1"/>
  <c r="C17" i="9" a="1"/>
  <c r="C17" i="9" s="1"/>
  <c r="EF16" i="9" a="1"/>
  <c r="EF16" i="9" s="1"/>
  <c r="EE16" i="9" a="1"/>
  <c r="EE16" i="9" s="1"/>
  <c r="ED16" i="9" a="1"/>
  <c r="ED16" i="9" s="1"/>
  <c r="EC16" i="9" a="1"/>
  <c r="EC16" i="9" s="1"/>
  <c r="EB16" i="9" a="1"/>
  <c r="EB16" i="9" s="1"/>
  <c r="EA16" i="9" a="1"/>
  <c r="EA16" i="9" s="1"/>
  <c r="DZ16" i="9"/>
  <c r="DZ16" i="9" a="1"/>
  <c r="DY16" i="9" a="1"/>
  <c r="DY16" i="9" s="1"/>
  <c r="DX16" i="9" a="1"/>
  <c r="DX16" i="9" s="1"/>
  <c r="DW16" i="9" a="1"/>
  <c r="DW16" i="9" s="1"/>
  <c r="DV16" i="9" a="1"/>
  <c r="DV16" i="9" s="1"/>
  <c r="DU16" i="9" a="1"/>
  <c r="DU16" i="9" s="1"/>
  <c r="DT16" i="9" a="1"/>
  <c r="DT16" i="9" s="1"/>
  <c r="DS16" i="9" a="1"/>
  <c r="DS16" i="9" s="1"/>
  <c r="DR16" i="9" a="1"/>
  <c r="DR16" i="9" s="1"/>
  <c r="DQ16" i="9"/>
  <c r="DQ16" i="9" a="1"/>
  <c r="DP16" i="9" a="1"/>
  <c r="DP16" i="9" s="1"/>
  <c r="DO16" i="9" a="1"/>
  <c r="DO16" i="9" s="1"/>
  <c r="DN16" i="9" a="1"/>
  <c r="DN16" i="9" s="1"/>
  <c r="DM16" i="9" a="1"/>
  <c r="DM16" i="9" s="1"/>
  <c r="DL16" i="9" a="1"/>
  <c r="DL16" i="9" s="1"/>
  <c r="DK16" i="9" a="1"/>
  <c r="DK16" i="9" s="1"/>
  <c r="DJ16" i="9" a="1"/>
  <c r="DJ16" i="9" s="1"/>
  <c r="DI16" i="9" a="1"/>
  <c r="DI16" i="9" s="1"/>
  <c r="DH16" i="9" a="1"/>
  <c r="DH16" i="9" s="1"/>
  <c r="DG16" i="9" a="1"/>
  <c r="DG16" i="9" s="1"/>
  <c r="DF16" i="9" a="1"/>
  <c r="DF16" i="9" s="1"/>
  <c r="DE16" i="9" a="1"/>
  <c r="DE16" i="9" s="1"/>
  <c r="DD16" i="9" a="1"/>
  <c r="DD16" i="9" s="1"/>
  <c r="DC16" i="9" a="1"/>
  <c r="DC16" i="9" s="1"/>
  <c r="DB16" i="9" a="1"/>
  <c r="DB16" i="9" s="1"/>
  <c r="DA16" i="9" a="1"/>
  <c r="DA16" i="9" s="1"/>
  <c r="CZ16" i="9" a="1"/>
  <c r="CZ16" i="9" s="1"/>
  <c r="CY16" i="9" a="1"/>
  <c r="CY16" i="9" s="1"/>
  <c r="CX16" i="9" a="1"/>
  <c r="CX16" i="9" s="1"/>
  <c r="CW16" i="9" a="1"/>
  <c r="CW16" i="9" s="1"/>
  <c r="CV16" i="9" a="1"/>
  <c r="CV16" i="9" s="1"/>
  <c r="CU16" i="9" a="1"/>
  <c r="CU16" i="9" s="1"/>
  <c r="CT16" i="9" a="1"/>
  <c r="CT16" i="9" s="1"/>
  <c r="CS16" i="9" a="1"/>
  <c r="CS16" i="9" s="1"/>
  <c r="CR16" i="9" a="1"/>
  <c r="CR16" i="9" s="1"/>
  <c r="CQ16" i="9" a="1"/>
  <c r="CQ16" i="9" s="1"/>
  <c r="CP16" i="9" a="1"/>
  <c r="CP16" i="9" s="1"/>
  <c r="CO16" i="9" a="1"/>
  <c r="CO16" i="9" s="1"/>
  <c r="CN16" i="9" a="1"/>
  <c r="CN16" i="9" s="1"/>
  <c r="CM16" i="9" a="1"/>
  <c r="CM16" i="9" s="1"/>
  <c r="CL16" i="9" a="1"/>
  <c r="CL16" i="9" s="1"/>
  <c r="CK16" i="9" a="1"/>
  <c r="CK16" i="9" s="1"/>
  <c r="CJ16" i="9"/>
  <c r="CJ16" i="9" a="1"/>
  <c r="CI16" i="9" a="1"/>
  <c r="CI16" i="9" s="1"/>
  <c r="CH16" i="9" a="1"/>
  <c r="CH16" i="9" s="1"/>
  <c r="CG16" i="9" a="1"/>
  <c r="CG16" i="9" s="1"/>
  <c r="CF16" i="9" a="1"/>
  <c r="CF16" i="9" s="1"/>
  <c r="CE16" i="9" a="1"/>
  <c r="CE16" i="9" s="1"/>
  <c r="CD16" i="9" a="1"/>
  <c r="CD16" i="9" s="1"/>
  <c r="CC16" i="9" a="1"/>
  <c r="CC16" i="9" s="1"/>
  <c r="CB16" i="9" a="1"/>
  <c r="CB16" i="9" s="1"/>
  <c r="CA16" i="9" a="1"/>
  <c r="CA16" i="9" s="1"/>
  <c r="BZ16" i="9" a="1"/>
  <c r="BZ16" i="9" s="1"/>
  <c r="BY16" i="9" a="1"/>
  <c r="BY16" i="9" s="1"/>
  <c r="BX16" i="9" a="1"/>
  <c r="BX16" i="9" s="1"/>
  <c r="BW16" i="9" a="1"/>
  <c r="BW16" i="9" s="1"/>
  <c r="BV16" i="9" a="1"/>
  <c r="BV16" i="9" s="1"/>
  <c r="BU16" i="9" a="1"/>
  <c r="BU16" i="9" s="1"/>
  <c r="BT16" i="9" a="1"/>
  <c r="BT16" i="9" s="1"/>
  <c r="BS16" i="9" a="1"/>
  <c r="BS16" i="9" s="1"/>
  <c r="BR16" i="9" a="1"/>
  <c r="BR16" i="9" s="1"/>
  <c r="BQ16" i="9" a="1"/>
  <c r="BQ16" i="9" s="1"/>
  <c r="BP16" i="9" a="1"/>
  <c r="BP16" i="9" s="1"/>
  <c r="BO16" i="9" a="1"/>
  <c r="BO16" i="9" s="1"/>
  <c r="BN16" i="9" a="1"/>
  <c r="BN16" i="9" s="1"/>
  <c r="BM16" i="9" a="1"/>
  <c r="BM16" i="9" s="1"/>
  <c r="BL16" i="9" a="1"/>
  <c r="BL16" i="9" s="1"/>
  <c r="BK16" i="9" a="1"/>
  <c r="BK16" i="9" s="1"/>
  <c r="BJ16" i="9" a="1"/>
  <c r="BJ16" i="9" s="1"/>
  <c r="BI16" i="9" a="1"/>
  <c r="BI16" i="9" s="1"/>
  <c r="BH16" i="9" a="1"/>
  <c r="BH16" i="9" s="1"/>
  <c r="BG16" i="9" a="1"/>
  <c r="BG16" i="9" s="1"/>
  <c r="BF16" i="9" a="1"/>
  <c r="BF16" i="9" s="1"/>
  <c r="BE16" i="9" a="1"/>
  <c r="BE16" i="9" s="1"/>
  <c r="BD16" i="9" a="1"/>
  <c r="BD16" i="9" s="1"/>
  <c r="BC16" i="9"/>
  <c r="BC16" i="9" a="1"/>
  <c r="BB16" i="9" a="1"/>
  <c r="BB16" i="9" s="1"/>
  <c r="BA16" i="9" a="1"/>
  <c r="BA16" i="9" s="1"/>
  <c r="AZ16" i="9" a="1"/>
  <c r="AZ16" i="9" s="1"/>
  <c r="AY16" i="9" a="1"/>
  <c r="AY16" i="9" s="1"/>
  <c r="AX16" i="9" a="1"/>
  <c r="AX16" i="9" s="1"/>
  <c r="AW16" i="9" a="1"/>
  <c r="AW16" i="9" s="1"/>
  <c r="AV16" i="9" a="1"/>
  <c r="AV16" i="9" s="1"/>
  <c r="AU16" i="9" a="1"/>
  <c r="AU16" i="9" s="1"/>
  <c r="AT16" i="9" a="1"/>
  <c r="AT16" i="9" s="1"/>
  <c r="AS16" i="9" a="1"/>
  <c r="AS16" i="9" s="1"/>
  <c r="AR16" i="9" a="1"/>
  <c r="AR16" i="9" s="1"/>
  <c r="AQ16" i="9" a="1"/>
  <c r="AQ16" i="9" s="1"/>
  <c r="AP16" i="9" a="1"/>
  <c r="AP16" i="9" s="1"/>
  <c r="AO16" i="9" a="1"/>
  <c r="AO16" i="9" s="1"/>
  <c r="AN16" i="9" a="1"/>
  <c r="AN16" i="9" s="1"/>
  <c r="AM16" i="9" a="1"/>
  <c r="AM16" i="9" s="1"/>
  <c r="AL16" i="9" a="1"/>
  <c r="AL16" i="9" s="1"/>
  <c r="AK16" i="9" a="1"/>
  <c r="AK16" i="9" s="1"/>
  <c r="AJ16" i="9" a="1"/>
  <c r="AJ16" i="9" s="1"/>
  <c r="AI16" i="9" a="1"/>
  <c r="AI16" i="9" s="1"/>
  <c r="AH16" i="9" a="1"/>
  <c r="AH16" i="9" s="1"/>
  <c r="AG16" i="9" a="1"/>
  <c r="AG16" i="9" s="1"/>
  <c r="AF16" i="9" a="1"/>
  <c r="AF16" i="9" s="1"/>
  <c r="AE16" i="9" a="1"/>
  <c r="AE16" i="9" s="1"/>
  <c r="AD16" i="9" a="1"/>
  <c r="AD16" i="9" s="1"/>
  <c r="AC16" i="9" a="1"/>
  <c r="AC16" i="9" s="1"/>
  <c r="AB16" i="9" a="1"/>
  <c r="AB16" i="9" s="1"/>
  <c r="AA16" i="9" a="1"/>
  <c r="AA16" i="9" s="1"/>
  <c r="Z16" i="9" a="1"/>
  <c r="Z16" i="9" s="1"/>
  <c r="Y16" i="9" a="1"/>
  <c r="Y16" i="9" s="1"/>
  <c r="X16" i="9" a="1"/>
  <c r="X16" i="9" s="1"/>
  <c r="W16" i="9" a="1"/>
  <c r="W16" i="9" s="1"/>
  <c r="V16" i="9"/>
  <c r="V16" i="9" a="1"/>
  <c r="U16" i="9" a="1"/>
  <c r="U16" i="9" s="1"/>
  <c r="T16" i="9" a="1"/>
  <c r="T16" i="9" s="1"/>
  <c r="S16" i="9" a="1"/>
  <c r="S16" i="9" s="1"/>
  <c r="R16" i="9" a="1"/>
  <c r="R16" i="9" s="1"/>
  <c r="Q16" i="9" a="1"/>
  <c r="Q16" i="9" s="1"/>
  <c r="P16" i="9" a="1"/>
  <c r="P16" i="9" s="1"/>
  <c r="O16" i="9" a="1"/>
  <c r="O16" i="9" s="1"/>
  <c r="N16" i="9"/>
  <c r="N16" i="9" a="1"/>
  <c r="M16" i="9" a="1"/>
  <c r="M16" i="9" s="1"/>
  <c r="L16" i="9" a="1"/>
  <c r="L16" i="9" s="1"/>
  <c r="K16" i="9" a="1"/>
  <c r="K16" i="9" s="1"/>
  <c r="J16" i="9" a="1"/>
  <c r="J16" i="9" s="1"/>
  <c r="I16" i="9" a="1"/>
  <c r="I16" i="9" s="1"/>
  <c r="H16" i="9" a="1"/>
  <c r="H16" i="9" s="1"/>
  <c r="G16" i="9" a="1"/>
  <c r="G16" i="9" s="1"/>
  <c r="F16" i="9" a="1"/>
  <c r="F16" i="9" s="1"/>
  <c r="E16" i="9" a="1"/>
  <c r="E16" i="9" s="1"/>
  <c r="D16" i="9" a="1"/>
  <c r="D16" i="9" s="1"/>
  <c r="C16" i="9" a="1"/>
  <c r="C16" i="9" s="1"/>
  <c r="EF15" i="9" a="1"/>
  <c r="EF15" i="9" s="1"/>
  <c r="EE15" i="9" a="1"/>
  <c r="EE15" i="9" s="1"/>
  <c r="ED15" i="9" a="1"/>
  <c r="ED15" i="9" s="1"/>
  <c r="EC15" i="9" a="1"/>
  <c r="EC15" i="9" s="1"/>
  <c r="EB15" i="9" a="1"/>
  <c r="EB15" i="9" s="1"/>
  <c r="EA15" i="9" a="1"/>
  <c r="EA15" i="9" s="1"/>
  <c r="DZ15" i="9" a="1"/>
  <c r="DZ15" i="9" s="1"/>
  <c r="DY15" i="9" a="1"/>
  <c r="DY15" i="9" s="1"/>
  <c r="DX15" i="9" a="1"/>
  <c r="DX15" i="9" s="1"/>
  <c r="DW15" i="9" a="1"/>
  <c r="DW15" i="9" s="1"/>
  <c r="DV15" i="9" a="1"/>
  <c r="DV15" i="9" s="1"/>
  <c r="DU15" i="9" a="1"/>
  <c r="DU15" i="9" s="1"/>
  <c r="DT15" i="9" a="1"/>
  <c r="DT15" i="9" s="1"/>
  <c r="DS15" i="9" a="1"/>
  <c r="DS15" i="9" s="1"/>
  <c r="DR15" i="9" a="1"/>
  <c r="DR15" i="9" s="1"/>
  <c r="DQ15" i="9" a="1"/>
  <c r="DQ15" i="9" s="1"/>
  <c r="DP15" i="9" a="1"/>
  <c r="DP15" i="9" s="1"/>
  <c r="DO15" i="9" a="1"/>
  <c r="DO15" i="9" s="1"/>
  <c r="DN15" i="9" a="1"/>
  <c r="DN15" i="9" s="1"/>
  <c r="DM15" i="9" a="1"/>
  <c r="DM15" i="9" s="1"/>
  <c r="DL15" i="9"/>
  <c r="DL15" i="9" a="1"/>
  <c r="DK15" i="9" a="1"/>
  <c r="DK15" i="9" s="1"/>
  <c r="DJ15" i="9" a="1"/>
  <c r="DJ15" i="9" s="1"/>
  <c r="DI15" i="9" a="1"/>
  <c r="DI15" i="9" s="1"/>
  <c r="DH15" i="9" a="1"/>
  <c r="DH15" i="9" s="1"/>
  <c r="DG15" i="9" a="1"/>
  <c r="DG15" i="9" s="1"/>
  <c r="DF15" i="9" a="1"/>
  <c r="DF15" i="9" s="1"/>
  <c r="DE15" i="9" a="1"/>
  <c r="DE15" i="9" s="1"/>
  <c r="DD15" i="9"/>
  <c r="DD15" i="9" a="1"/>
  <c r="DC15" i="9" a="1"/>
  <c r="DC15" i="9" s="1"/>
  <c r="DB15" i="9" a="1"/>
  <c r="DB15" i="9" s="1"/>
  <c r="DA15" i="9" a="1"/>
  <c r="DA15" i="9" s="1"/>
  <c r="CZ15" i="9" a="1"/>
  <c r="CZ15" i="9" s="1"/>
  <c r="CY15" i="9" a="1"/>
  <c r="CY15" i="9" s="1"/>
  <c r="CX15" i="9" a="1"/>
  <c r="CX15" i="9" s="1"/>
  <c r="CW15" i="9" a="1"/>
  <c r="CW15" i="9" s="1"/>
  <c r="CV15" i="9" a="1"/>
  <c r="CV15" i="9" s="1"/>
  <c r="CU15" i="9" a="1"/>
  <c r="CU15" i="9" s="1"/>
  <c r="CT15" i="9" a="1"/>
  <c r="CT15" i="9" s="1"/>
  <c r="CS15" i="9" a="1"/>
  <c r="CS15" i="9" s="1"/>
  <c r="CR15" i="9" a="1"/>
  <c r="CR15" i="9" s="1"/>
  <c r="CQ15" i="9"/>
  <c r="CQ15" i="9" a="1"/>
  <c r="CP15" i="9" a="1"/>
  <c r="CP15" i="9" s="1"/>
  <c r="CO15" i="9" a="1"/>
  <c r="CO15" i="9" s="1"/>
  <c r="CN15" i="9"/>
  <c r="CN15" i="9" a="1"/>
  <c r="CM15" i="9" a="1"/>
  <c r="CM15" i="9" s="1"/>
  <c r="CL15" i="9" a="1"/>
  <c r="CL15" i="9" s="1"/>
  <c r="CK15" i="9" a="1"/>
  <c r="CK15" i="9" s="1"/>
  <c r="CJ15" i="9" a="1"/>
  <c r="CJ15" i="9" s="1"/>
  <c r="CI15" i="9" a="1"/>
  <c r="CI15" i="9" s="1"/>
  <c r="CH15" i="9" a="1"/>
  <c r="CH15" i="9" s="1"/>
  <c r="CG15" i="9" a="1"/>
  <c r="CG15" i="9" s="1"/>
  <c r="CF15" i="9" a="1"/>
  <c r="CF15" i="9" s="1"/>
  <c r="CE15" i="9" a="1"/>
  <c r="CE15" i="9" s="1"/>
  <c r="CD15" i="9" a="1"/>
  <c r="CD15" i="9" s="1"/>
  <c r="CC15" i="9" a="1"/>
  <c r="CC15" i="9" s="1"/>
  <c r="CB15" i="9" a="1"/>
  <c r="CB15" i="9" s="1"/>
  <c r="CA15" i="9" a="1"/>
  <c r="CA15" i="9" s="1"/>
  <c r="BZ15" i="9" a="1"/>
  <c r="BZ15" i="9" s="1"/>
  <c r="BY15" i="9" a="1"/>
  <c r="BY15" i="9" s="1"/>
  <c r="BX15" i="9" a="1"/>
  <c r="BX15" i="9" s="1"/>
  <c r="BW15" i="9" a="1"/>
  <c r="BW15" i="9" s="1"/>
  <c r="BV15" i="9" a="1"/>
  <c r="BV15" i="9" s="1"/>
  <c r="BU15" i="9" a="1"/>
  <c r="BU15" i="9" s="1"/>
  <c r="BT15" i="9" a="1"/>
  <c r="BT15" i="9" s="1"/>
  <c r="BS15" i="9" a="1"/>
  <c r="BS15" i="9" s="1"/>
  <c r="BR15" i="9"/>
  <c r="BR15" i="9" a="1"/>
  <c r="BQ15" i="9" a="1"/>
  <c r="BQ15" i="9" s="1"/>
  <c r="BP15" i="9" a="1"/>
  <c r="BP15" i="9" s="1"/>
  <c r="BO15" i="9" a="1"/>
  <c r="BO15" i="9" s="1"/>
  <c r="BN15" i="9" a="1"/>
  <c r="BN15" i="9" s="1"/>
  <c r="BM15" i="9" a="1"/>
  <c r="BM15" i="9" s="1"/>
  <c r="BL15" i="9" a="1"/>
  <c r="BL15" i="9" s="1"/>
  <c r="BK15" i="9" a="1"/>
  <c r="BK15" i="9" s="1"/>
  <c r="BJ15" i="9" a="1"/>
  <c r="BJ15" i="9" s="1"/>
  <c r="BI15" i="9" a="1"/>
  <c r="BI15" i="9" s="1"/>
  <c r="BH15" i="9" a="1"/>
  <c r="BH15" i="9" s="1"/>
  <c r="BG15" i="9" a="1"/>
  <c r="BG15" i="9" s="1"/>
  <c r="BF15" i="9" a="1"/>
  <c r="BF15" i="9" s="1"/>
  <c r="BE15" i="9" a="1"/>
  <c r="BE15" i="9" s="1"/>
  <c r="BD15" i="9"/>
  <c r="BD15" i="9" a="1"/>
  <c r="BC15" i="9" a="1"/>
  <c r="BC15" i="9" s="1"/>
  <c r="BB15" i="9" a="1"/>
  <c r="BB15" i="9" s="1"/>
  <c r="BA15" i="9" a="1"/>
  <c r="BA15" i="9" s="1"/>
  <c r="AZ15" i="9" a="1"/>
  <c r="AZ15" i="9" s="1"/>
  <c r="AY15" i="9" a="1"/>
  <c r="AY15" i="9" s="1"/>
  <c r="AX15" i="9" a="1"/>
  <c r="AX15" i="9" s="1"/>
  <c r="AW15" i="9" a="1"/>
  <c r="AW15" i="9" s="1"/>
  <c r="AV15" i="9" a="1"/>
  <c r="AV15" i="9" s="1"/>
  <c r="AU15" i="9" a="1"/>
  <c r="AU15" i="9" s="1"/>
  <c r="AT15" i="9" a="1"/>
  <c r="AT15" i="9" s="1"/>
  <c r="AS15" i="9" a="1"/>
  <c r="AS15" i="9" s="1"/>
  <c r="AR15" i="9" a="1"/>
  <c r="AR15" i="9" s="1"/>
  <c r="AQ15" i="9" a="1"/>
  <c r="AQ15" i="9" s="1"/>
  <c r="AP15" i="9" a="1"/>
  <c r="AP15" i="9" s="1"/>
  <c r="AO15" i="9" a="1"/>
  <c r="AO15" i="9" s="1"/>
  <c r="AN15" i="9" a="1"/>
  <c r="AN15" i="9" s="1"/>
  <c r="AM15" i="9" a="1"/>
  <c r="AM15" i="9" s="1"/>
  <c r="AL15" i="9" a="1"/>
  <c r="AL15" i="9" s="1"/>
  <c r="AK15" i="9" a="1"/>
  <c r="AK15" i="9" s="1"/>
  <c r="AJ15" i="9" a="1"/>
  <c r="AJ15" i="9" s="1"/>
  <c r="AI15" i="9" a="1"/>
  <c r="AI15" i="9" s="1"/>
  <c r="AH15" i="9" a="1"/>
  <c r="AH15" i="9" s="1"/>
  <c r="AG15" i="9" a="1"/>
  <c r="AG15" i="9" s="1"/>
  <c r="AF15" i="9" a="1"/>
  <c r="AF15" i="9" s="1"/>
  <c r="AE15" i="9" a="1"/>
  <c r="AE15" i="9" s="1"/>
  <c r="AD15" i="9" a="1"/>
  <c r="AD15" i="9" s="1"/>
  <c r="AC15" i="9" a="1"/>
  <c r="AC15" i="9" s="1"/>
  <c r="AB15" i="9" a="1"/>
  <c r="AB15" i="9" s="1"/>
  <c r="AA15" i="9" a="1"/>
  <c r="AA15" i="9" s="1"/>
  <c r="Z15" i="9" a="1"/>
  <c r="Z15" i="9" s="1"/>
  <c r="Y15" i="9" a="1"/>
  <c r="Y15" i="9" s="1"/>
  <c r="X15" i="9" a="1"/>
  <c r="X15" i="9" s="1"/>
  <c r="W15" i="9" a="1"/>
  <c r="W15" i="9" s="1"/>
  <c r="V15" i="9" a="1"/>
  <c r="V15" i="9" s="1"/>
  <c r="U15" i="9" a="1"/>
  <c r="U15" i="9" s="1"/>
  <c r="T15" i="9" a="1"/>
  <c r="T15" i="9" s="1"/>
  <c r="S15" i="9" a="1"/>
  <c r="S15" i="9" s="1"/>
  <c r="R15" i="9" a="1"/>
  <c r="R15" i="9" s="1"/>
  <c r="Q15" i="9" a="1"/>
  <c r="Q15" i="9" s="1"/>
  <c r="P15" i="9" a="1"/>
  <c r="P15" i="9" s="1"/>
  <c r="O15" i="9"/>
  <c r="O15" i="9" a="1"/>
  <c r="N15" i="9" a="1"/>
  <c r="N15" i="9" s="1"/>
  <c r="M15" i="9" a="1"/>
  <c r="M15" i="9" s="1"/>
  <c r="L15" i="9" a="1"/>
  <c r="L15" i="9" s="1"/>
  <c r="K15" i="9" a="1"/>
  <c r="K15" i="9" s="1"/>
  <c r="J15" i="9" a="1"/>
  <c r="J15" i="9" s="1"/>
  <c r="I15" i="9" a="1"/>
  <c r="I15" i="9" s="1"/>
  <c r="H15" i="9" a="1"/>
  <c r="H15" i="9" s="1"/>
  <c r="G15" i="9" a="1"/>
  <c r="G15" i="9" s="1"/>
  <c r="F15" i="9" a="1"/>
  <c r="F15" i="9" s="1"/>
  <c r="E15" i="9" a="1"/>
  <c r="E15" i="9" s="1"/>
  <c r="D15" i="9" a="1"/>
  <c r="D15" i="9" s="1"/>
  <c r="C15" i="9" a="1"/>
  <c r="C15" i="9" s="1"/>
  <c r="EF14" i="9" a="1"/>
  <c r="EF14" i="9" s="1"/>
  <c r="EE14" i="9" a="1"/>
  <c r="EE14" i="9" s="1"/>
  <c r="ED14" i="9" a="1"/>
  <c r="ED14" i="9" s="1"/>
  <c r="EC14" i="9" a="1"/>
  <c r="EC14" i="9" s="1"/>
  <c r="EB14" i="9" a="1"/>
  <c r="EB14" i="9" s="1"/>
  <c r="EA14" i="9" a="1"/>
  <c r="EA14" i="9" s="1"/>
  <c r="DZ14" i="9" a="1"/>
  <c r="DZ14" i="9" s="1"/>
  <c r="DY14" i="9" a="1"/>
  <c r="DY14" i="9" s="1"/>
  <c r="DX14" i="9" a="1"/>
  <c r="DX14" i="9" s="1"/>
  <c r="DW14" i="9" a="1"/>
  <c r="DW14" i="9" s="1"/>
  <c r="DV14" i="9" a="1"/>
  <c r="DV14" i="9" s="1"/>
  <c r="DU14" i="9" a="1"/>
  <c r="DU14" i="9" s="1"/>
  <c r="DT14" i="9" a="1"/>
  <c r="DT14" i="9" s="1"/>
  <c r="DS14" i="9" a="1"/>
  <c r="DS14" i="9" s="1"/>
  <c r="DR14" i="9" a="1"/>
  <c r="DR14" i="9" s="1"/>
  <c r="DQ14" i="9" a="1"/>
  <c r="DQ14" i="9" s="1"/>
  <c r="DP14" i="9" a="1"/>
  <c r="DP14" i="9" s="1"/>
  <c r="DO14" i="9" a="1"/>
  <c r="DO14" i="9" s="1"/>
  <c r="DN14" i="9" a="1"/>
  <c r="DN14" i="9" s="1"/>
  <c r="DM14" i="9" a="1"/>
  <c r="DM14" i="9" s="1"/>
  <c r="DL14" i="9" a="1"/>
  <c r="DL14" i="9" s="1"/>
  <c r="DK14" i="9"/>
  <c r="DK14" i="9" a="1"/>
  <c r="DJ14" i="9" a="1"/>
  <c r="DJ14" i="9" s="1"/>
  <c r="DI14" i="9" a="1"/>
  <c r="DI14" i="9" s="1"/>
  <c r="DH14" i="9" a="1"/>
  <c r="DH14" i="9" s="1"/>
  <c r="DG14" i="9" a="1"/>
  <c r="DG14" i="9" s="1"/>
  <c r="DF14" i="9" a="1"/>
  <c r="DF14" i="9" s="1"/>
  <c r="DE14" i="9" a="1"/>
  <c r="DE14" i="9" s="1"/>
  <c r="DD14" i="9" a="1"/>
  <c r="DD14" i="9" s="1"/>
  <c r="DC14" i="9" a="1"/>
  <c r="DC14" i="9" s="1"/>
  <c r="DB14" i="9" a="1"/>
  <c r="DB14" i="9" s="1"/>
  <c r="DA14" i="9" a="1"/>
  <c r="DA14" i="9" s="1"/>
  <c r="CZ14" i="9" a="1"/>
  <c r="CZ14" i="9" s="1"/>
  <c r="CY14" i="9" a="1"/>
  <c r="CY14" i="9" s="1"/>
  <c r="CX14" i="9" a="1"/>
  <c r="CX14" i="9" s="1"/>
  <c r="CW14" i="9" a="1"/>
  <c r="CW14" i="9" s="1"/>
  <c r="CV14" i="9" a="1"/>
  <c r="CV14" i="9" s="1"/>
  <c r="CU14" i="9" a="1"/>
  <c r="CU14" i="9" s="1"/>
  <c r="CT14" i="9" a="1"/>
  <c r="CT14" i="9" s="1"/>
  <c r="CS14" i="9" a="1"/>
  <c r="CS14" i="9" s="1"/>
  <c r="CR14" i="9" a="1"/>
  <c r="CR14" i="9" s="1"/>
  <c r="CQ14" i="9" a="1"/>
  <c r="CQ14" i="9" s="1"/>
  <c r="CP14" i="9" a="1"/>
  <c r="CP14" i="9" s="1"/>
  <c r="CO14" i="9" a="1"/>
  <c r="CO14" i="9" s="1"/>
  <c r="CN14" i="9" a="1"/>
  <c r="CN14" i="9" s="1"/>
  <c r="CM14" i="9" a="1"/>
  <c r="CM14" i="9" s="1"/>
  <c r="CL14" i="9" a="1"/>
  <c r="CL14" i="9" s="1"/>
  <c r="CK14" i="9" a="1"/>
  <c r="CK14" i="9" s="1"/>
  <c r="CJ14" i="9" a="1"/>
  <c r="CJ14" i="9" s="1"/>
  <c r="CI14" i="9" a="1"/>
  <c r="CI14" i="9" s="1"/>
  <c r="CH14" i="9" a="1"/>
  <c r="CH14" i="9" s="1"/>
  <c r="CG14" i="9" a="1"/>
  <c r="CG14" i="9" s="1"/>
  <c r="CF14" i="9" a="1"/>
  <c r="CF14" i="9" s="1"/>
  <c r="CE14" i="9" a="1"/>
  <c r="CE14" i="9" s="1"/>
  <c r="CD14" i="9" a="1"/>
  <c r="CD14" i="9" s="1"/>
  <c r="CC14" i="9" a="1"/>
  <c r="CC14" i="9" s="1"/>
  <c r="CB14" i="9" a="1"/>
  <c r="CB14" i="9" s="1"/>
  <c r="CA14" i="9" a="1"/>
  <c r="CA14" i="9" s="1"/>
  <c r="BZ14" i="9" a="1"/>
  <c r="BZ14" i="9" s="1"/>
  <c r="BY14" i="9" a="1"/>
  <c r="BY14" i="9" s="1"/>
  <c r="BX14" i="9" a="1"/>
  <c r="BX14" i="9" s="1"/>
  <c r="BW14" i="9" a="1"/>
  <c r="BW14" i="9" s="1"/>
  <c r="BV14" i="9" a="1"/>
  <c r="BV14" i="9" s="1"/>
  <c r="BU14" i="9" a="1"/>
  <c r="BU14" i="9" s="1"/>
  <c r="BT14" i="9" a="1"/>
  <c r="BT14" i="9" s="1"/>
  <c r="BS14" i="9" a="1"/>
  <c r="BS14" i="9" s="1"/>
  <c r="BR14" i="9" a="1"/>
  <c r="BR14" i="9" s="1"/>
  <c r="BQ14" i="9" a="1"/>
  <c r="BQ14" i="9" s="1"/>
  <c r="BP14" i="9" a="1"/>
  <c r="BP14" i="9" s="1"/>
  <c r="BO14" i="9" a="1"/>
  <c r="BO14" i="9" s="1"/>
  <c r="BN14" i="9" a="1"/>
  <c r="BN14" i="9" s="1"/>
  <c r="BM14" i="9" a="1"/>
  <c r="BM14" i="9" s="1"/>
  <c r="BL14" i="9" a="1"/>
  <c r="BL14" i="9" s="1"/>
  <c r="BK14" i="9" a="1"/>
  <c r="BK14" i="9" s="1"/>
  <c r="BJ14" i="9" a="1"/>
  <c r="BJ14" i="9" s="1"/>
  <c r="BI14" i="9" a="1"/>
  <c r="BI14" i="9" s="1"/>
  <c r="BH14" i="9" a="1"/>
  <c r="BH14" i="9" s="1"/>
  <c r="BG14" i="9" a="1"/>
  <c r="BG14" i="9" s="1"/>
  <c r="BF14" i="9" a="1"/>
  <c r="BF14" i="9" s="1"/>
  <c r="BE14" i="9" a="1"/>
  <c r="BE14" i="9" s="1"/>
  <c r="BD14" i="9" a="1"/>
  <c r="BD14" i="9" s="1"/>
  <c r="BC14" i="9" a="1"/>
  <c r="BC14" i="9" s="1"/>
  <c r="BB14" i="9" a="1"/>
  <c r="BB14" i="9" s="1"/>
  <c r="BA14" i="9" a="1"/>
  <c r="BA14" i="9" s="1"/>
  <c r="AZ14" i="9" a="1"/>
  <c r="AZ14" i="9" s="1"/>
  <c r="AY14" i="9" a="1"/>
  <c r="AY14" i="9" s="1"/>
  <c r="AX14" i="9" a="1"/>
  <c r="AX14" i="9" s="1"/>
  <c r="AW14" i="9" a="1"/>
  <c r="AW14" i="9" s="1"/>
  <c r="AV14" i="9" a="1"/>
  <c r="AV14" i="9" s="1"/>
  <c r="AU14" i="9" a="1"/>
  <c r="AU14" i="9" s="1"/>
  <c r="AT14" i="9" a="1"/>
  <c r="AT14" i="9" s="1"/>
  <c r="AS14" i="9" a="1"/>
  <c r="AS14" i="9" s="1"/>
  <c r="AR14" i="9" a="1"/>
  <c r="AR14" i="9" s="1"/>
  <c r="AQ14" i="9" a="1"/>
  <c r="AQ14" i="9" s="1"/>
  <c r="AP14" i="9" a="1"/>
  <c r="AP14" i="9" s="1"/>
  <c r="AO14" i="9" a="1"/>
  <c r="AO14" i="9" s="1"/>
  <c r="AN14" i="9" a="1"/>
  <c r="AN14" i="9" s="1"/>
  <c r="AM14" i="9" a="1"/>
  <c r="AM14" i="9" s="1"/>
  <c r="AL14" i="9" a="1"/>
  <c r="AL14" i="9" s="1"/>
  <c r="AK14" i="9" a="1"/>
  <c r="AK14" i="9" s="1"/>
  <c r="AJ14" i="9" a="1"/>
  <c r="AJ14" i="9" s="1"/>
  <c r="AI14" i="9" a="1"/>
  <c r="AI14" i="9" s="1"/>
  <c r="AH14" i="9" a="1"/>
  <c r="AH14" i="9" s="1"/>
  <c r="AG14" i="9" a="1"/>
  <c r="AG14" i="9" s="1"/>
  <c r="AF14" i="9" a="1"/>
  <c r="AF14" i="9" s="1"/>
  <c r="AE14" i="9" a="1"/>
  <c r="AE14" i="9" s="1"/>
  <c r="AD14" i="9" a="1"/>
  <c r="AD14" i="9" s="1"/>
  <c r="AC14" i="9" a="1"/>
  <c r="AC14" i="9" s="1"/>
  <c r="AB14" i="9" a="1"/>
  <c r="AB14" i="9" s="1"/>
  <c r="AA14" i="9" a="1"/>
  <c r="AA14" i="9" s="1"/>
  <c r="Z14" i="9" a="1"/>
  <c r="Z14" i="9" s="1"/>
  <c r="Y14" i="9" a="1"/>
  <c r="Y14" i="9" s="1"/>
  <c r="X14" i="9" a="1"/>
  <c r="X14" i="9" s="1"/>
  <c r="W14" i="9" a="1"/>
  <c r="W14" i="9" s="1"/>
  <c r="V14" i="9" a="1"/>
  <c r="V14" i="9" s="1"/>
  <c r="U14" i="9" a="1"/>
  <c r="U14" i="9" s="1"/>
  <c r="T14" i="9" a="1"/>
  <c r="T14" i="9" s="1"/>
  <c r="S14" i="9" a="1"/>
  <c r="S14" i="9" s="1"/>
  <c r="R14" i="9" a="1"/>
  <c r="R14" i="9" s="1"/>
  <c r="Q14" i="9" a="1"/>
  <c r="Q14" i="9" s="1"/>
  <c r="P14" i="9" a="1"/>
  <c r="P14" i="9" s="1"/>
  <c r="O14" i="9" a="1"/>
  <c r="O14" i="9" s="1"/>
  <c r="N14" i="9" a="1"/>
  <c r="N14" i="9" s="1"/>
  <c r="M14" i="9" a="1"/>
  <c r="M14" i="9" s="1"/>
  <c r="L14" i="9" a="1"/>
  <c r="L14" i="9" s="1"/>
  <c r="K14" i="9" a="1"/>
  <c r="K14" i="9" s="1"/>
  <c r="J14" i="9" a="1"/>
  <c r="J14" i="9" s="1"/>
  <c r="I14" i="9" a="1"/>
  <c r="I14" i="9" s="1"/>
  <c r="H14" i="9" a="1"/>
  <c r="H14" i="9" s="1"/>
  <c r="G14" i="9" a="1"/>
  <c r="G14" i="9" s="1"/>
  <c r="F14" i="9" a="1"/>
  <c r="F14" i="9" s="1"/>
  <c r="E14" i="9" a="1"/>
  <c r="E14" i="9" s="1"/>
  <c r="D14" i="9" a="1"/>
  <c r="D14" i="9" s="1"/>
  <c r="C14" i="9" a="1"/>
  <c r="C14" i="9" s="1"/>
  <c r="EF13" i="9" a="1"/>
  <c r="EF13" i="9" s="1"/>
  <c r="EE13" i="9" a="1"/>
  <c r="EE13" i="9" s="1"/>
  <c r="ED13" i="9" a="1"/>
  <c r="ED13" i="9" s="1"/>
  <c r="EC13" i="9" a="1"/>
  <c r="EC13" i="9" s="1"/>
  <c r="EB13" i="9" a="1"/>
  <c r="EB13" i="9" s="1"/>
  <c r="EA13" i="9" a="1"/>
  <c r="EA13" i="9" s="1"/>
  <c r="DZ13" i="9" a="1"/>
  <c r="DZ13" i="9" s="1"/>
  <c r="DY13" i="9" a="1"/>
  <c r="DY13" i="9" s="1"/>
  <c r="DX13" i="9" a="1"/>
  <c r="DX13" i="9" s="1"/>
  <c r="DW13" i="9" a="1"/>
  <c r="DW13" i="9" s="1"/>
  <c r="DV13" i="9" a="1"/>
  <c r="DV13" i="9" s="1"/>
  <c r="DU13" i="9" a="1"/>
  <c r="DU13" i="9" s="1"/>
  <c r="DT13" i="9" a="1"/>
  <c r="DT13" i="9" s="1"/>
  <c r="DS13" i="9" a="1"/>
  <c r="DS13" i="9" s="1"/>
  <c r="DR13" i="9" a="1"/>
  <c r="DR13" i="9" s="1"/>
  <c r="DQ13" i="9" a="1"/>
  <c r="DQ13" i="9" s="1"/>
  <c r="DP13" i="9" a="1"/>
  <c r="DP13" i="9" s="1"/>
  <c r="DO13" i="9" a="1"/>
  <c r="DO13" i="9" s="1"/>
  <c r="DN13" i="9" a="1"/>
  <c r="DN13" i="9" s="1"/>
  <c r="DM13" i="9" a="1"/>
  <c r="DM13" i="9" s="1"/>
  <c r="DL13" i="9" a="1"/>
  <c r="DL13" i="9" s="1"/>
  <c r="DK13" i="9" a="1"/>
  <c r="DK13" i="9" s="1"/>
  <c r="DJ13" i="9" a="1"/>
  <c r="DJ13" i="9" s="1"/>
  <c r="DI13" i="9" a="1"/>
  <c r="DI13" i="9" s="1"/>
  <c r="DH13" i="9"/>
  <c r="DH13" i="9" a="1"/>
  <c r="DG13" i="9" a="1"/>
  <c r="DG13" i="9" s="1"/>
  <c r="DF13" i="9" a="1"/>
  <c r="DF13" i="9" s="1"/>
  <c r="DE13" i="9" a="1"/>
  <c r="DE13" i="9" s="1"/>
  <c r="DD13" i="9" a="1"/>
  <c r="DD13" i="9" s="1"/>
  <c r="DC13" i="9" a="1"/>
  <c r="DC13" i="9" s="1"/>
  <c r="DB13" i="9" a="1"/>
  <c r="DB13" i="9" s="1"/>
  <c r="DA13" i="9" a="1"/>
  <c r="DA13" i="9" s="1"/>
  <c r="CZ13" i="9" a="1"/>
  <c r="CZ13" i="9" s="1"/>
  <c r="CY13" i="9" a="1"/>
  <c r="CY13" i="9" s="1"/>
  <c r="CX13" i="9" a="1"/>
  <c r="CX13" i="9" s="1"/>
  <c r="CW13" i="9" a="1"/>
  <c r="CW13" i="9" s="1"/>
  <c r="CV13" i="9" a="1"/>
  <c r="CV13" i="9" s="1"/>
  <c r="CU13" i="9" a="1"/>
  <c r="CU13" i="9" s="1"/>
  <c r="CT13" i="9" a="1"/>
  <c r="CT13" i="9" s="1"/>
  <c r="CS13" i="9" a="1"/>
  <c r="CS13" i="9" s="1"/>
  <c r="CR13" i="9" a="1"/>
  <c r="CR13" i="9" s="1"/>
  <c r="CQ13" i="9" a="1"/>
  <c r="CQ13" i="9" s="1"/>
  <c r="CP13" i="9" a="1"/>
  <c r="CP13" i="9" s="1"/>
  <c r="CO13" i="9" a="1"/>
  <c r="CO13" i="9" s="1"/>
  <c r="CN13" i="9" a="1"/>
  <c r="CN13" i="9" s="1"/>
  <c r="CM13" i="9" a="1"/>
  <c r="CM13" i="9" s="1"/>
  <c r="CL13" i="9" a="1"/>
  <c r="CL13" i="9" s="1"/>
  <c r="CK13" i="9" a="1"/>
  <c r="CK13" i="9" s="1"/>
  <c r="CJ13" i="9" a="1"/>
  <c r="CJ13" i="9" s="1"/>
  <c r="CI13" i="9" a="1"/>
  <c r="CI13" i="9" s="1"/>
  <c r="CH13" i="9" a="1"/>
  <c r="CH13" i="9" s="1"/>
  <c r="CG13" i="9" a="1"/>
  <c r="CG13" i="9" s="1"/>
  <c r="CF13" i="9" a="1"/>
  <c r="CF13" i="9" s="1"/>
  <c r="CE13" i="9" a="1"/>
  <c r="CE13" i="9" s="1"/>
  <c r="CD13" i="9" a="1"/>
  <c r="CD13" i="9" s="1"/>
  <c r="CC13" i="9" a="1"/>
  <c r="CC13" i="9" s="1"/>
  <c r="CB13" i="9" a="1"/>
  <c r="CB13" i="9" s="1"/>
  <c r="CA13" i="9" a="1"/>
  <c r="CA13" i="9" s="1"/>
  <c r="BZ13" i="9" a="1"/>
  <c r="BZ13" i="9" s="1"/>
  <c r="BY13" i="9"/>
  <c r="BY13" i="9" a="1"/>
  <c r="BX13" i="9" a="1"/>
  <c r="BX13" i="9" s="1"/>
  <c r="BW13" i="9" a="1"/>
  <c r="BW13" i="9" s="1"/>
  <c r="BV13" i="9" a="1"/>
  <c r="BV13" i="9" s="1"/>
  <c r="BU13" i="9" a="1"/>
  <c r="BU13" i="9" s="1"/>
  <c r="BT13" i="9" a="1"/>
  <c r="BT13" i="9" s="1"/>
  <c r="BS13" i="9" a="1"/>
  <c r="BS13" i="9" s="1"/>
  <c r="BR13" i="9" a="1"/>
  <c r="BR13" i="9" s="1"/>
  <c r="BQ13" i="9" a="1"/>
  <c r="BQ13" i="9" s="1"/>
  <c r="BP13" i="9" a="1"/>
  <c r="BP13" i="9" s="1"/>
  <c r="BO13" i="9" a="1"/>
  <c r="BO13" i="9" s="1"/>
  <c r="BN13" i="9" a="1"/>
  <c r="BN13" i="9" s="1"/>
  <c r="BM13" i="9" a="1"/>
  <c r="BM13" i="9" s="1"/>
  <c r="BL13" i="9" a="1"/>
  <c r="BL13" i="9" s="1"/>
  <c r="BK13" i="9" a="1"/>
  <c r="BK13" i="9" s="1"/>
  <c r="BJ13" i="9" a="1"/>
  <c r="BJ13" i="9" s="1"/>
  <c r="BI13" i="9" a="1"/>
  <c r="BI13" i="9" s="1"/>
  <c r="BH13" i="9"/>
  <c r="BH13" i="9" a="1"/>
  <c r="BG13" i="9" a="1"/>
  <c r="BG13" i="9" s="1"/>
  <c r="BF13" i="9" a="1"/>
  <c r="BF13" i="9" s="1"/>
  <c r="BE13" i="9" a="1"/>
  <c r="BE13" i="9" s="1"/>
  <c r="BD13" i="9" a="1"/>
  <c r="BD13" i="9" s="1"/>
  <c r="BC13" i="9" a="1"/>
  <c r="BC13" i="9" s="1"/>
  <c r="BB13" i="9" a="1"/>
  <c r="BB13" i="9" s="1"/>
  <c r="BA13" i="9" a="1"/>
  <c r="BA13" i="9" s="1"/>
  <c r="AZ13" i="9" a="1"/>
  <c r="AZ13" i="9" s="1"/>
  <c r="AY13" i="9" a="1"/>
  <c r="AY13" i="9" s="1"/>
  <c r="AX13" i="9" a="1"/>
  <c r="AX13" i="9" s="1"/>
  <c r="AW13" i="9" a="1"/>
  <c r="AW13" i="9" s="1"/>
  <c r="AV13" i="9" a="1"/>
  <c r="AV13" i="9" s="1"/>
  <c r="AU13" i="9" a="1"/>
  <c r="AU13" i="9" s="1"/>
  <c r="AT13" i="9" a="1"/>
  <c r="AT13" i="9" s="1"/>
  <c r="AS13" i="9" a="1"/>
  <c r="AS13" i="9" s="1"/>
  <c r="AR13" i="9" a="1"/>
  <c r="AR13" i="9" s="1"/>
  <c r="AQ13" i="9" a="1"/>
  <c r="AQ13" i="9" s="1"/>
  <c r="AP13" i="9" a="1"/>
  <c r="AP13" i="9" s="1"/>
  <c r="AO13" i="9" a="1"/>
  <c r="AO13" i="9" s="1"/>
  <c r="AN13" i="9" a="1"/>
  <c r="AN13" i="9" s="1"/>
  <c r="AM13" i="9" a="1"/>
  <c r="AM13" i="9" s="1"/>
  <c r="AL13" i="9" a="1"/>
  <c r="AL13" i="9" s="1"/>
  <c r="AK13" i="9" a="1"/>
  <c r="AK13" i="9" s="1"/>
  <c r="AJ13" i="9" a="1"/>
  <c r="AJ13" i="9" s="1"/>
  <c r="AI13" i="9" a="1"/>
  <c r="AI13" i="9" s="1"/>
  <c r="AH13" i="9" a="1"/>
  <c r="AH13" i="9" s="1"/>
  <c r="AG13" i="9" a="1"/>
  <c r="AG13" i="9" s="1"/>
  <c r="AF13" i="9" a="1"/>
  <c r="AF13" i="9" s="1"/>
  <c r="AE13" i="9" a="1"/>
  <c r="AE13" i="9" s="1"/>
  <c r="AD13" i="9" a="1"/>
  <c r="AD13" i="9" s="1"/>
  <c r="AC13" i="9" a="1"/>
  <c r="AC13" i="9" s="1"/>
  <c r="AB13" i="9" a="1"/>
  <c r="AB13" i="9" s="1"/>
  <c r="AA13" i="9" a="1"/>
  <c r="AA13" i="9" s="1"/>
  <c r="Z13" i="9" a="1"/>
  <c r="Z13" i="9" s="1"/>
  <c r="Y13" i="9" a="1"/>
  <c r="Y13" i="9" s="1"/>
  <c r="X13" i="9" a="1"/>
  <c r="X13" i="9" s="1"/>
  <c r="W13" i="9" a="1"/>
  <c r="W13" i="9" s="1"/>
  <c r="V13" i="9" a="1"/>
  <c r="V13" i="9" s="1"/>
  <c r="U13" i="9" a="1"/>
  <c r="U13" i="9" s="1"/>
  <c r="T13" i="9" a="1"/>
  <c r="T13" i="9" s="1"/>
  <c r="S13" i="9" a="1"/>
  <c r="S13" i="9" s="1"/>
  <c r="R13" i="9" a="1"/>
  <c r="R13" i="9" s="1"/>
  <c r="Q13" i="9" a="1"/>
  <c r="Q13" i="9" s="1"/>
  <c r="P13" i="9" a="1"/>
  <c r="P13" i="9" s="1"/>
  <c r="O13" i="9" a="1"/>
  <c r="O13" i="9" s="1"/>
  <c r="N13" i="9" a="1"/>
  <c r="N13" i="9" s="1"/>
  <c r="M13" i="9" a="1"/>
  <c r="M13" i="9" s="1"/>
  <c r="L13" i="9" a="1"/>
  <c r="L13" i="9" s="1"/>
  <c r="K13" i="9" a="1"/>
  <c r="K13" i="9" s="1"/>
  <c r="J13" i="9" a="1"/>
  <c r="J13" i="9" s="1"/>
  <c r="I13" i="9" a="1"/>
  <c r="I13" i="9" s="1"/>
  <c r="H13" i="9"/>
  <c r="H13" i="9" a="1"/>
  <c r="G13" i="9" a="1"/>
  <c r="G13" i="9" s="1"/>
  <c r="F13" i="9" a="1"/>
  <c r="F13" i="9" s="1"/>
  <c r="E13" i="9" a="1"/>
  <c r="E13" i="9" s="1"/>
  <c r="D13" i="9" a="1"/>
  <c r="D13" i="9" s="1"/>
  <c r="C13" i="9" a="1"/>
  <c r="C13" i="9" s="1"/>
  <c r="EF12" i="9" a="1"/>
  <c r="EF12" i="9" s="1"/>
  <c r="EE12" i="9" a="1"/>
  <c r="EE12" i="9" s="1"/>
  <c r="ED12" i="9" a="1"/>
  <c r="ED12" i="9" s="1"/>
  <c r="EC12" i="9" a="1"/>
  <c r="EC12" i="9" s="1"/>
  <c r="EB12" i="9" a="1"/>
  <c r="EB12" i="9" s="1"/>
  <c r="EA12" i="9" a="1"/>
  <c r="EA12" i="9" s="1"/>
  <c r="DZ12" i="9" a="1"/>
  <c r="DZ12" i="9" s="1"/>
  <c r="DY12" i="9" a="1"/>
  <c r="DY12" i="9" s="1"/>
  <c r="DX12" i="9" a="1"/>
  <c r="DX12" i="9" s="1"/>
  <c r="DW12" i="9" a="1"/>
  <c r="DW12" i="9" s="1"/>
  <c r="DV12" i="9" a="1"/>
  <c r="DV12" i="9" s="1"/>
  <c r="DU12" i="9" a="1"/>
  <c r="DU12" i="9" s="1"/>
  <c r="DT12" i="9" a="1"/>
  <c r="DT12" i="9" s="1"/>
  <c r="DS12" i="9" a="1"/>
  <c r="DS12" i="9" s="1"/>
  <c r="DR12" i="9" a="1"/>
  <c r="DR12" i="9" s="1"/>
  <c r="DQ12" i="9" a="1"/>
  <c r="DQ12" i="9" s="1"/>
  <c r="DP12" i="9" a="1"/>
  <c r="DP12" i="9" s="1"/>
  <c r="DO12" i="9" a="1"/>
  <c r="DO12" i="9" s="1"/>
  <c r="DN12" i="9" a="1"/>
  <c r="DN12" i="9" s="1"/>
  <c r="DM12" i="9" a="1"/>
  <c r="DM12" i="9" s="1"/>
  <c r="DL12" i="9" a="1"/>
  <c r="DL12" i="9" s="1"/>
  <c r="DK12" i="9"/>
  <c r="DK12" i="9" a="1"/>
  <c r="DJ12" i="9" a="1"/>
  <c r="DJ12" i="9" s="1"/>
  <c r="DI12" i="9" a="1"/>
  <c r="DI12" i="9" s="1"/>
  <c r="DH12" i="9" a="1"/>
  <c r="DH12" i="9" s="1"/>
  <c r="DG12" i="9" a="1"/>
  <c r="DG12" i="9" s="1"/>
  <c r="DF12" i="9" a="1"/>
  <c r="DF12" i="9" s="1"/>
  <c r="DE12" i="9" a="1"/>
  <c r="DE12" i="9" s="1"/>
  <c r="DD12" i="9" a="1"/>
  <c r="DD12" i="9" s="1"/>
  <c r="DC12" i="9" a="1"/>
  <c r="DC12" i="9" s="1"/>
  <c r="DB12" i="9" a="1"/>
  <c r="DB12" i="9" s="1"/>
  <c r="DA12" i="9" a="1"/>
  <c r="DA12" i="9" s="1"/>
  <c r="CZ12" i="9" a="1"/>
  <c r="CZ12" i="9" s="1"/>
  <c r="CY12" i="9" a="1"/>
  <c r="CY12" i="9" s="1"/>
  <c r="CX12" i="9"/>
  <c r="CX12" i="9" a="1"/>
  <c r="CW12" i="9" a="1"/>
  <c r="CW12" i="9" s="1"/>
  <c r="CV12" i="9" a="1"/>
  <c r="CV12" i="9" s="1"/>
  <c r="CU12" i="9" a="1"/>
  <c r="CU12" i="9" s="1"/>
  <c r="CT12" i="9" a="1"/>
  <c r="CT12" i="9" s="1"/>
  <c r="CS12" i="9" a="1"/>
  <c r="CS12" i="9" s="1"/>
  <c r="CR12" i="9" a="1"/>
  <c r="CR12" i="9" s="1"/>
  <c r="CQ12" i="9" a="1"/>
  <c r="CQ12" i="9" s="1"/>
  <c r="CP12" i="9" a="1"/>
  <c r="CP12" i="9" s="1"/>
  <c r="CO12" i="9" a="1"/>
  <c r="CO12" i="9" s="1"/>
  <c r="CN12" i="9" a="1"/>
  <c r="CN12" i="9" s="1"/>
  <c r="CM12" i="9" a="1"/>
  <c r="CM12" i="9" s="1"/>
  <c r="CL12" i="9" a="1"/>
  <c r="CL12" i="9" s="1"/>
  <c r="CK12" i="9" a="1"/>
  <c r="CK12" i="9" s="1"/>
  <c r="CJ12" i="9" a="1"/>
  <c r="CJ12" i="9" s="1"/>
  <c r="CI12" i="9" a="1"/>
  <c r="CI12" i="9" s="1"/>
  <c r="CH12" i="9" a="1"/>
  <c r="CH12" i="9" s="1"/>
  <c r="CG12" i="9" a="1"/>
  <c r="CG12" i="9" s="1"/>
  <c r="CF12" i="9" a="1"/>
  <c r="CF12" i="9" s="1"/>
  <c r="CE12" i="9" a="1"/>
  <c r="CE12" i="9" s="1"/>
  <c r="CD12" i="9" a="1"/>
  <c r="CD12" i="9" s="1"/>
  <c r="CC12" i="9" a="1"/>
  <c r="CC12" i="9" s="1"/>
  <c r="CB12" i="9" a="1"/>
  <c r="CB12" i="9" s="1"/>
  <c r="CA12" i="9" a="1"/>
  <c r="CA12" i="9" s="1"/>
  <c r="BZ12" i="9" a="1"/>
  <c r="BZ12" i="9" s="1"/>
  <c r="BY12" i="9" a="1"/>
  <c r="BY12" i="9" s="1"/>
  <c r="BX12" i="9" a="1"/>
  <c r="BX12" i="9" s="1"/>
  <c r="BW12" i="9" a="1"/>
  <c r="BW12" i="9" s="1"/>
  <c r="BV12" i="9" a="1"/>
  <c r="BV12" i="9" s="1"/>
  <c r="BU12" i="9" a="1"/>
  <c r="BU12" i="9" s="1"/>
  <c r="BT12" i="9" a="1"/>
  <c r="BT12" i="9" s="1"/>
  <c r="BS12" i="9" a="1"/>
  <c r="BS12" i="9" s="1"/>
  <c r="BR12" i="9" a="1"/>
  <c r="BR12" i="9" s="1"/>
  <c r="BQ12" i="9" a="1"/>
  <c r="BQ12" i="9" s="1"/>
  <c r="BP12" i="9" a="1"/>
  <c r="BP12" i="9" s="1"/>
  <c r="BO12" i="9" a="1"/>
  <c r="BO12" i="9" s="1"/>
  <c r="BN12" i="9" a="1"/>
  <c r="BN12" i="9" s="1"/>
  <c r="BM12" i="9" a="1"/>
  <c r="BM12" i="9" s="1"/>
  <c r="BL12" i="9" a="1"/>
  <c r="BL12" i="9" s="1"/>
  <c r="BK12" i="9" a="1"/>
  <c r="BK12" i="9" s="1"/>
  <c r="BJ12" i="9" a="1"/>
  <c r="BJ12" i="9" s="1"/>
  <c r="BI12" i="9" a="1"/>
  <c r="BI12" i="9" s="1"/>
  <c r="BH12" i="9" a="1"/>
  <c r="BH12" i="9" s="1"/>
  <c r="BG12" i="9" a="1"/>
  <c r="BG12" i="9" s="1"/>
  <c r="BF12" i="9" a="1"/>
  <c r="BF12" i="9" s="1"/>
  <c r="BE12" i="9" a="1"/>
  <c r="BE12" i="9" s="1"/>
  <c r="BD12" i="9" a="1"/>
  <c r="BD12" i="9" s="1"/>
  <c r="BC12" i="9" a="1"/>
  <c r="BC12" i="9" s="1"/>
  <c r="BB12" i="9" a="1"/>
  <c r="BB12" i="9" s="1"/>
  <c r="BA12" i="9" a="1"/>
  <c r="BA12" i="9" s="1"/>
  <c r="AZ12" i="9" a="1"/>
  <c r="AZ12" i="9" s="1"/>
  <c r="AY12" i="9"/>
  <c r="AY12" i="9" a="1"/>
  <c r="AX12" i="9" a="1"/>
  <c r="AX12" i="9" s="1"/>
  <c r="AW12" i="9" a="1"/>
  <c r="AW12" i="9" s="1"/>
  <c r="AV12" i="9" a="1"/>
  <c r="AV12" i="9" s="1"/>
  <c r="AU12" i="9" a="1"/>
  <c r="AU12" i="9" s="1"/>
  <c r="AT12" i="9"/>
  <c r="AT12" i="9" a="1"/>
  <c r="AS12" i="9" a="1"/>
  <c r="AS12" i="9" s="1"/>
  <c r="AR12" i="9" a="1"/>
  <c r="AR12" i="9" s="1"/>
  <c r="AQ12" i="9" a="1"/>
  <c r="AQ12" i="9" s="1"/>
  <c r="AP12" i="9" a="1"/>
  <c r="AP12" i="9" s="1"/>
  <c r="AO12" i="9" a="1"/>
  <c r="AO12" i="9" s="1"/>
  <c r="AN12" i="9" a="1"/>
  <c r="AN12" i="9" s="1"/>
  <c r="AM12" i="9" a="1"/>
  <c r="AM12" i="9" s="1"/>
  <c r="AL12" i="9" a="1"/>
  <c r="AL12" i="9" s="1"/>
  <c r="AK12" i="9" a="1"/>
  <c r="AK12" i="9" s="1"/>
  <c r="AJ12" i="9" a="1"/>
  <c r="AJ12" i="9" s="1"/>
  <c r="AI12" i="9" a="1"/>
  <c r="AI12" i="9" s="1"/>
  <c r="AH12" i="9" a="1"/>
  <c r="AH12" i="9" s="1"/>
  <c r="AG12" i="9" a="1"/>
  <c r="AG12" i="9" s="1"/>
  <c r="AF12" i="9" a="1"/>
  <c r="AF12" i="9" s="1"/>
  <c r="AE12" i="9" a="1"/>
  <c r="AE12" i="9" s="1"/>
  <c r="AD12" i="9" a="1"/>
  <c r="AD12" i="9" s="1"/>
  <c r="AC12" i="9" a="1"/>
  <c r="AC12" i="9" s="1"/>
  <c r="AB12" i="9" a="1"/>
  <c r="AB12" i="9" s="1"/>
  <c r="AA12" i="9" a="1"/>
  <c r="AA12" i="9" s="1"/>
  <c r="Z12" i="9" a="1"/>
  <c r="Z12" i="9" s="1"/>
  <c r="Y12" i="9" a="1"/>
  <c r="Y12" i="9" s="1"/>
  <c r="X12" i="9" a="1"/>
  <c r="X12" i="9" s="1"/>
  <c r="W12" i="9" a="1"/>
  <c r="W12" i="9" s="1"/>
  <c r="V12" i="9" a="1"/>
  <c r="V12" i="9" s="1"/>
  <c r="U12" i="9" a="1"/>
  <c r="U12" i="9" s="1"/>
  <c r="T12" i="9" a="1"/>
  <c r="T12" i="9" s="1"/>
  <c r="S12" i="9" a="1"/>
  <c r="S12" i="9" s="1"/>
  <c r="R12" i="9" a="1"/>
  <c r="R12" i="9" s="1"/>
  <c r="Q12" i="9" a="1"/>
  <c r="Q12" i="9" s="1"/>
  <c r="P12" i="9" a="1"/>
  <c r="P12" i="9" s="1"/>
  <c r="O12" i="9" a="1"/>
  <c r="O12" i="9" s="1"/>
  <c r="N12" i="9" a="1"/>
  <c r="N12" i="9" s="1"/>
  <c r="M12" i="9" a="1"/>
  <c r="M12" i="9" s="1"/>
  <c r="L12" i="9" a="1"/>
  <c r="L12" i="9" s="1"/>
  <c r="K12" i="9" a="1"/>
  <c r="K12" i="9" s="1"/>
  <c r="J12" i="9" a="1"/>
  <c r="J12" i="9" s="1"/>
  <c r="I12" i="9" a="1"/>
  <c r="I12" i="9" s="1"/>
  <c r="H12" i="9" a="1"/>
  <c r="H12" i="9" s="1"/>
  <c r="G12" i="9" a="1"/>
  <c r="G12" i="9" s="1"/>
  <c r="F12" i="9"/>
  <c r="F12" i="9" a="1"/>
  <c r="E12" i="9" a="1"/>
  <c r="E12" i="9" s="1"/>
  <c r="D12" i="9" a="1"/>
  <c r="D12" i="9" s="1"/>
  <c r="C12" i="9" a="1"/>
  <c r="C12" i="9" s="1"/>
  <c r="EF6" i="9" a="1"/>
  <c r="EF6" i="9" s="1"/>
  <c r="EE6" i="9" a="1"/>
  <c r="EE6" i="9" s="1"/>
  <c r="ED6" i="9" a="1"/>
  <c r="ED6" i="9" s="1"/>
  <c r="EC6" i="9" a="1"/>
  <c r="EC6" i="9" s="1"/>
  <c r="EB6" i="9" a="1"/>
  <c r="EB6" i="9" s="1"/>
  <c r="EA6" i="9" a="1"/>
  <c r="EA6" i="9" s="1"/>
  <c r="DZ6" i="9" a="1"/>
  <c r="DZ6" i="9" s="1"/>
  <c r="DY6" i="9" a="1"/>
  <c r="DY6" i="9" s="1"/>
  <c r="DX6" i="9" a="1"/>
  <c r="DX6" i="9" s="1"/>
  <c r="DW6" i="9" a="1"/>
  <c r="DW6" i="9" s="1"/>
  <c r="DV6" i="9" a="1"/>
  <c r="DV6" i="9" s="1"/>
  <c r="DU6" i="9" a="1"/>
  <c r="DU6" i="9" s="1"/>
  <c r="DT6" i="9" a="1"/>
  <c r="DT6" i="9" s="1"/>
  <c r="DS6" i="9" a="1"/>
  <c r="DS6" i="9" s="1"/>
  <c r="DR6" i="9" a="1"/>
  <c r="DR6" i="9" s="1"/>
  <c r="DQ6" i="9" a="1"/>
  <c r="DQ6" i="9" s="1"/>
  <c r="DP6" i="9" a="1"/>
  <c r="DP6" i="9" s="1"/>
  <c r="DO6" i="9" a="1"/>
  <c r="DO6" i="9" s="1"/>
  <c r="DN6" i="9" a="1"/>
  <c r="DN6" i="9" s="1"/>
  <c r="DM6" i="9" a="1"/>
  <c r="DM6" i="9" s="1"/>
  <c r="DL6" i="9" a="1"/>
  <c r="DL6" i="9" s="1"/>
  <c r="DK6" i="9" a="1"/>
  <c r="DK6" i="9" s="1"/>
  <c r="DJ6" i="9" a="1"/>
  <c r="DJ6" i="9" s="1"/>
  <c r="DI6" i="9" a="1"/>
  <c r="DI6" i="9" s="1"/>
  <c r="DH6" i="9" a="1"/>
  <c r="DH6" i="9" s="1"/>
  <c r="DG6" i="9" a="1"/>
  <c r="DG6" i="9" s="1"/>
  <c r="DF6" i="9" a="1"/>
  <c r="DF6" i="9" s="1"/>
  <c r="DE6" i="9" a="1"/>
  <c r="DE6" i="9" s="1"/>
  <c r="DD6" i="9" a="1"/>
  <c r="DD6" i="9" s="1"/>
  <c r="DC6" i="9" a="1"/>
  <c r="DC6" i="9" s="1"/>
  <c r="DB6" i="9" a="1"/>
  <c r="DB6" i="9" s="1"/>
  <c r="DA6" i="9" a="1"/>
  <c r="DA6" i="9" s="1"/>
  <c r="CZ6" i="9" a="1"/>
  <c r="CZ6" i="9" s="1"/>
  <c r="CY6" i="9" a="1"/>
  <c r="CY6" i="9" s="1"/>
  <c r="CX6" i="9" a="1"/>
  <c r="CX6" i="9" s="1"/>
  <c r="CW6" i="9" a="1"/>
  <c r="CW6" i="9" s="1"/>
  <c r="CV6" i="9" a="1"/>
  <c r="CV6" i="9" s="1"/>
  <c r="CU6" i="9" a="1"/>
  <c r="CU6" i="9" s="1"/>
  <c r="CT6" i="9" a="1"/>
  <c r="CT6" i="9" s="1"/>
  <c r="CS6" i="9" a="1"/>
  <c r="CS6" i="9" s="1"/>
  <c r="CR6" i="9" a="1"/>
  <c r="CR6" i="9" s="1"/>
  <c r="CQ6" i="9" a="1"/>
  <c r="CQ6" i="9" s="1"/>
  <c r="CP6" i="9" a="1"/>
  <c r="CP6" i="9" s="1"/>
  <c r="CO6" i="9" a="1"/>
  <c r="CO6" i="9" s="1"/>
  <c r="CN6" i="9" a="1"/>
  <c r="CN6" i="9" s="1"/>
  <c r="CM6" i="9" a="1"/>
  <c r="CM6" i="9" s="1"/>
  <c r="CL6" i="9" a="1"/>
  <c r="CL6" i="9" s="1"/>
  <c r="CK6" i="9" a="1"/>
  <c r="CK6" i="9" s="1"/>
  <c r="CJ6" i="9" a="1"/>
  <c r="CJ6" i="9" s="1"/>
  <c r="CI6" i="9" a="1"/>
  <c r="CI6" i="9" s="1"/>
  <c r="CH6" i="9" a="1"/>
  <c r="CH6" i="9" s="1"/>
  <c r="CG6" i="9" a="1"/>
  <c r="CG6" i="9" s="1"/>
  <c r="CF6" i="9" a="1"/>
  <c r="CF6" i="9" s="1"/>
  <c r="CE6" i="9" a="1"/>
  <c r="CE6" i="9" s="1"/>
  <c r="CD6" i="9" a="1"/>
  <c r="CD6" i="9" s="1"/>
  <c r="CC6" i="9" a="1"/>
  <c r="CC6" i="9" s="1"/>
  <c r="CB6" i="9" a="1"/>
  <c r="CB6" i="9" s="1"/>
  <c r="CA6" i="9" a="1"/>
  <c r="CA6" i="9" s="1"/>
  <c r="BZ6" i="9" a="1"/>
  <c r="BZ6" i="9" s="1"/>
  <c r="BY6" i="9" a="1"/>
  <c r="BY6" i="9" s="1"/>
  <c r="BX6" i="9" a="1"/>
  <c r="BX6" i="9" s="1"/>
  <c r="BW6" i="9" a="1"/>
  <c r="BW6" i="9" s="1"/>
  <c r="BV6" i="9" a="1"/>
  <c r="BV6" i="9" s="1"/>
  <c r="BU6" i="9" a="1"/>
  <c r="BU6" i="9" s="1"/>
  <c r="BT6" i="9" a="1"/>
  <c r="BT6" i="9" s="1"/>
  <c r="BS6" i="9" a="1"/>
  <c r="BS6" i="9" s="1"/>
  <c r="BR6" i="9" a="1"/>
  <c r="BR6" i="9" s="1"/>
  <c r="BQ6" i="9" a="1"/>
  <c r="BQ6" i="9" s="1"/>
  <c r="BP6" i="9" a="1"/>
  <c r="BP6" i="9" s="1"/>
  <c r="BO6" i="9" a="1"/>
  <c r="BO6" i="9" s="1"/>
  <c r="BN6" i="9" a="1"/>
  <c r="BN6" i="9" s="1"/>
  <c r="BM6" i="9" a="1"/>
  <c r="BM6" i="9" s="1"/>
  <c r="BL6" i="9" a="1"/>
  <c r="BL6" i="9" s="1"/>
  <c r="BK6" i="9" a="1"/>
  <c r="BK6" i="9" s="1"/>
  <c r="BJ6" i="9" a="1"/>
  <c r="BJ6" i="9" s="1"/>
  <c r="BI6" i="9" a="1"/>
  <c r="BI6" i="9" s="1"/>
  <c r="BH6" i="9" a="1"/>
  <c r="BH6" i="9" s="1"/>
  <c r="BG6" i="9" a="1"/>
  <c r="BG6" i="9" s="1"/>
  <c r="BF6" i="9" a="1"/>
  <c r="BF6" i="9" s="1"/>
  <c r="BE6" i="9" a="1"/>
  <c r="BE6" i="9" s="1"/>
  <c r="BD6" i="9" a="1"/>
  <c r="BD6" i="9" s="1"/>
  <c r="BC6" i="9" a="1"/>
  <c r="BC6" i="9" s="1"/>
  <c r="BB6" i="9" a="1"/>
  <c r="BB6" i="9" s="1"/>
  <c r="BA6" i="9" a="1"/>
  <c r="BA6" i="9" s="1"/>
  <c r="AZ6" i="9" a="1"/>
  <c r="AZ6" i="9" s="1"/>
  <c r="AY6" i="9" a="1"/>
  <c r="AY6" i="9" s="1"/>
  <c r="AX6" i="9" a="1"/>
  <c r="AX6" i="9" s="1"/>
  <c r="AW6" i="9" a="1"/>
  <c r="AW6" i="9" s="1"/>
  <c r="AV6" i="9" a="1"/>
  <c r="AV6" i="9" s="1"/>
  <c r="AU6" i="9" a="1"/>
  <c r="AU6" i="9" s="1"/>
  <c r="AT6" i="9" a="1"/>
  <c r="AT6" i="9" s="1"/>
  <c r="AS6" i="9" a="1"/>
  <c r="AS6" i="9" s="1"/>
  <c r="AR6" i="9" a="1"/>
  <c r="AR6" i="9" s="1"/>
  <c r="AQ6" i="9" a="1"/>
  <c r="AQ6" i="9" s="1"/>
  <c r="AP6" i="9" a="1"/>
  <c r="AP6" i="9" s="1"/>
  <c r="AO6" i="9" a="1"/>
  <c r="AO6" i="9" s="1"/>
  <c r="AN6" i="9" a="1"/>
  <c r="AN6" i="9" s="1"/>
  <c r="AM6" i="9" a="1"/>
  <c r="AM6" i="9" s="1"/>
  <c r="AL6" i="9" a="1"/>
  <c r="AL6" i="9" s="1"/>
  <c r="AK6" i="9" a="1"/>
  <c r="AK6" i="9" s="1"/>
  <c r="AJ6" i="9" a="1"/>
  <c r="AJ6" i="9" s="1"/>
  <c r="AI6" i="9" a="1"/>
  <c r="AI6" i="9" s="1"/>
  <c r="AH6" i="9" a="1"/>
  <c r="AH6" i="9" s="1"/>
  <c r="AG6" i="9" a="1"/>
  <c r="AG6" i="9" s="1"/>
  <c r="AF6" i="9" a="1"/>
  <c r="AF6" i="9" s="1"/>
  <c r="AE6" i="9" a="1"/>
  <c r="AE6" i="9" s="1"/>
  <c r="AD6" i="9" a="1"/>
  <c r="AD6" i="9" s="1"/>
  <c r="AC6" i="9" a="1"/>
  <c r="AC6" i="9" s="1"/>
  <c r="AB6" i="9" a="1"/>
  <c r="AB6" i="9" s="1"/>
  <c r="AA6" i="9" a="1"/>
  <c r="AA6" i="9" s="1"/>
  <c r="Z6" i="9" a="1"/>
  <c r="Z6" i="9" s="1"/>
  <c r="Y6" i="9" a="1"/>
  <c r="Y6" i="9" s="1"/>
  <c r="X6" i="9" a="1"/>
  <c r="X6" i="9" s="1"/>
  <c r="W6" i="9" a="1"/>
  <c r="W6" i="9" s="1"/>
  <c r="V6" i="9" a="1"/>
  <c r="V6" i="9" s="1"/>
  <c r="U6" i="9" a="1"/>
  <c r="U6" i="9" s="1"/>
  <c r="T6" i="9" a="1"/>
  <c r="T6" i="9" s="1"/>
  <c r="S6" i="9" a="1"/>
  <c r="S6" i="9" s="1"/>
  <c r="R6" i="9" a="1"/>
  <c r="R6" i="9" s="1"/>
  <c r="Q6" i="9" a="1"/>
  <c r="Q6" i="9" s="1"/>
  <c r="P6" i="9" a="1"/>
  <c r="P6" i="9" s="1"/>
  <c r="O6" i="9" a="1"/>
  <c r="O6" i="9" s="1"/>
  <c r="N6" i="9" a="1"/>
  <c r="N6" i="9" s="1"/>
  <c r="M6" i="9" a="1"/>
  <c r="M6" i="9" s="1"/>
  <c r="L6" i="9" a="1"/>
  <c r="L6" i="9" s="1"/>
  <c r="K6" i="9" a="1"/>
  <c r="K6" i="9" s="1"/>
  <c r="J6" i="9" a="1"/>
  <c r="J6" i="9" s="1"/>
  <c r="I6" i="9" a="1"/>
  <c r="I6" i="9" s="1"/>
  <c r="H6" i="9" a="1"/>
  <c r="H6" i="9" s="1"/>
  <c r="G6" i="9" a="1"/>
  <c r="G6" i="9" s="1"/>
  <c r="F6" i="9" a="1"/>
  <c r="F6" i="9" s="1"/>
  <c r="E6" i="9" a="1"/>
  <c r="E6" i="9" s="1"/>
  <c r="D6" i="9" a="1"/>
  <c r="D6" i="9" s="1"/>
  <c r="C6" i="9" a="1"/>
  <c r="C6" i="9" s="1"/>
  <c r="EG4" i="9"/>
  <c r="EG3" i="9"/>
  <c r="AL25" i="7"/>
  <c r="AM25" i="7" s="1"/>
  <c r="AN25" i="7" s="1"/>
  <c r="AO25" i="7" s="1"/>
  <c r="AP25" i="7" s="1"/>
  <c r="AQ25" i="7" s="1"/>
  <c r="AR25" i="7" s="1"/>
  <c r="AS25" i="7" s="1"/>
  <c r="AT25" i="7" s="1"/>
  <c r="AU25" i="7" s="1"/>
  <c r="AV25" i="7" s="1"/>
  <c r="AW25" i="7" s="1"/>
  <c r="AX25" i="7" s="1"/>
  <c r="AY25" i="7" s="1"/>
  <c r="AZ25" i="7" s="1"/>
  <c r="BA25" i="7" s="1"/>
  <c r="BB25" i="7" s="1"/>
  <c r="BC25" i="7" s="1"/>
  <c r="BD25" i="7" s="1"/>
  <c r="BE25" i="7" s="1"/>
  <c r="BF25" i="7" s="1"/>
  <c r="BG25" i="7" s="1"/>
  <c r="BH25" i="7" s="1"/>
  <c r="BI25" i="7" s="1"/>
  <c r="BJ25" i="7" s="1"/>
  <c r="BK25" i="7" s="1"/>
  <c r="BL25" i="7" s="1"/>
  <c r="BM25" i="7" s="1"/>
  <c r="BN25" i="7" s="1"/>
  <c r="BO25" i="7" s="1"/>
  <c r="BP25" i="7" s="1"/>
  <c r="BQ25" i="7" s="1"/>
  <c r="BR25" i="7" s="1"/>
  <c r="BS25" i="7" s="1"/>
  <c r="BT25" i="7" s="1"/>
  <c r="BU25" i="7" s="1"/>
  <c r="BV25" i="7" s="1"/>
  <c r="BW25" i="7" s="1"/>
  <c r="BX25" i="7" s="1"/>
  <c r="BY25" i="7" s="1"/>
  <c r="BZ25" i="7" s="1"/>
  <c r="CA25" i="7" s="1"/>
  <c r="CB25" i="7" s="1"/>
  <c r="CC25" i="7" s="1"/>
  <c r="CD25" i="7" s="1"/>
  <c r="CE25" i="7" s="1"/>
  <c r="CF25" i="7" s="1"/>
  <c r="CG25" i="7" s="1"/>
  <c r="CH25" i="7" s="1"/>
  <c r="CI25" i="7" s="1"/>
  <c r="CJ25" i="7" s="1"/>
  <c r="CK25" i="7" s="1"/>
  <c r="CL25" i="7" s="1"/>
  <c r="CM25" i="7" s="1"/>
  <c r="CN25" i="7" s="1"/>
  <c r="CO25" i="7" s="1"/>
  <c r="CP25" i="7" s="1"/>
  <c r="CQ25" i="7" s="1"/>
  <c r="CR25" i="7" s="1"/>
  <c r="CS25" i="7" s="1"/>
  <c r="CT25" i="7" s="1"/>
  <c r="CU25" i="7" s="1"/>
  <c r="CV25" i="7" s="1"/>
  <c r="CW25" i="7" s="1"/>
  <c r="CX25" i="7" s="1"/>
  <c r="CY25" i="7" s="1"/>
  <c r="CZ25" i="7" s="1"/>
  <c r="DA25" i="7" s="1"/>
  <c r="DB25" i="7" s="1"/>
  <c r="DC25" i="7" s="1"/>
  <c r="DD25" i="7" s="1"/>
  <c r="DE25" i="7" s="1"/>
  <c r="DF25" i="7" s="1"/>
  <c r="DG25" i="7" s="1"/>
  <c r="DH25" i="7" s="1"/>
  <c r="DI25" i="7" s="1"/>
  <c r="DJ25" i="7" s="1"/>
  <c r="DK25" i="7" s="1"/>
  <c r="DL25" i="7" s="1"/>
  <c r="DM25" i="7" s="1"/>
  <c r="DN25" i="7" s="1"/>
  <c r="DO25" i="7" s="1"/>
  <c r="DP25" i="7" s="1"/>
  <c r="DQ25" i="7" s="1"/>
  <c r="DR25" i="7" s="1"/>
  <c r="DS25" i="7" s="1"/>
  <c r="DT25" i="7" s="1"/>
  <c r="DU25" i="7" s="1"/>
  <c r="DV25" i="7" s="1"/>
  <c r="DW25" i="7" s="1"/>
  <c r="DX25" i="7" s="1"/>
  <c r="DY25" i="7" s="1"/>
  <c r="DZ25" i="7" s="1"/>
  <c r="EA25" i="7" s="1"/>
  <c r="EB25" i="7" s="1"/>
  <c r="EC25" i="7" s="1"/>
  <c r="ED25" i="7" s="1"/>
  <c r="EE25" i="7" s="1"/>
  <c r="EF25" i="7" s="1"/>
  <c r="G25" i="7"/>
  <c r="H25" i="7" s="1"/>
  <c r="I25" i="7" s="1"/>
  <c r="J25" i="7" s="1"/>
  <c r="K25" i="7" s="1"/>
  <c r="L25" i="7" s="1"/>
  <c r="M25" i="7" s="1"/>
  <c r="N25" i="7" s="1"/>
  <c r="O25" i="7" s="1"/>
  <c r="P25" i="7" s="1"/>
  <c r="Q25" i="7" s="1"/>
  <c r="R25" i="7" s="1"/>
  <c r="S25" i="7" s="1"/>
  <c r="T25" i="7" s="1"/>
  <c r="U25" i="7" s="1"/>
  <c r="V25" i="7" s="1"/>
  <c r="W25" i="7" s="1"/>
  <c r="X25" i="7" s="1"/>
  <c r="Y25" i="7" s="1"/>
  <c r="Z25" i="7" s="1"/>
  <c r="AA25" i="7" s="1"/>
  <c r="AB25" i="7" s="1"/>
  <c r="AC25" i="7" s="1"/>
  <c r="AD25" i="7" s="1"/>
  <c r="AE25" i="7" s="1"/>
  <c r="AF25" i="7" s="1"/>
  <c r="AG25" i="7" s="1"/>
  <c r="AH25" i="7" s="1"/>
  <c r="AI25" i="7" s="1"/>
  <c r="AJ25" i="7" s="1"/>
  <c r="AK25" i="7" s="1"/>
  <c r="F25" i="7"/>
  <c r="D25" i="7"/>
  <c r="E25" i="7" s="1"/>
  <c r="C24" i="7"/>
  <c r="D24" i="7" s="1"/>
  <c r="E24" i="7" s="1"/>
  <c r="F24" i="7" s="1"/>
  <c r="G24" i="7" s="1"/>
  <c r="H24" i="7" s="1"/>
  <c r="I24" i="7" s="1"/>
  <c r="J24" i="7" s="1"/>
  <c r="K24" i="7" s="1"/>
  <c r="L24" i="7" s="1"/>
  <c r="M24" i="7" s="1"/>
  <c r="N24" i="7" s="1"/>
  <c r="O24" i="7" s="1"/>
  <c r="P24" i="7" s="1"/>
  <c r="Q24" i="7" s="1"/>
  <c r="R24" i="7" s="1"/>
  <c r="S24" i="7" s="1"/>
  <c r="T24" i="7" s="1"/>
  <c r="U24" i="7" s="1"/>
  <c r="V24" i="7" s="1"/>
  <c r="W24" i="7" s="1"/>
  <c r="X24" i="7" s="1"/>
  <c r="Y24" i="7" s="1"/>
  <c r="Z24" i="7" s="1"/>
  <c r="AA24" i="7" s="1"/>
  <c r="AB24" i="7" s="1"/>
  <c r="AC24" i="7" s="1"/>
  <c r="AD24" i="7" s="1"/>
  <c r="AE24" i="7" s="1"/>
  <c r="AF24" i="7" s="1"/>
  <c r="AG24" i="7" s="1"/>
  <c r="AH24" i="7" s="1"/>
  <c r="AI24" i="7" s="1"/>
  <c r="AJ24" i="7" s="1"/>
  <c r="AK24" i="7" s="1"/>
  <c r="AL24" i="7" s="1"/>
  <c r="AM24" i="7" s="1"/>
  <c r="AN24" i="7" s="1"/>
  <c r="AO24" i="7" s="1"/>
  <c r="AP24" i="7" s="1"/>
  <c r="AQ24" i="7" s="1"/>
  <c r="AR24" i="7" s="1"/>
  <c r="AS24" i="7" s="1"/>
  <c r="AT24" i="7" s="1"/>
  <c r="AU24" i="7" s="1"/>
  <c r="AV24" i="7" s="1"/>
  <c r="AW24" i="7" s="1"/>
  <c r="AX24" i="7" s="1"/>
  <c r="AY24" i="7" s="1"/>
  <c r="AZ24" i="7" s="1"/>
  <c r="BA24" i="7" s="1"/>
  <c r="BB24" i="7" s="1"/>
  <c r="BC24" i="7" s="1"/>
  <c r="BD24" i="7" s="1"/>
  <c r="BE24" i="7" s="1"/>
  <c r="BF24" i="7" s="1"/>
  <c r="BG24" i="7" s="1"/>
  <c r="BH24" i="7" s="1"/>
  <c r="BI24" i="7" s="1"/>
  <c r="BJ24" i="7" s="1"/>
  <c r="BK24" i="7" s="1"/>
  <c r="BL24" i="7" s="1"/>
  <c r="BM24" i="7" s="1"/>
  <c r="BN24" i="7" s="1"/>
  <c r="BO24" i="7" s="1"/>
  <c r="BP24" i="7" s="1"/>
  <c r="BQ24" i="7" s="1"/>
  <c r="BR24" i="7" s="1"/>
  <c r="BS24" i="7" s="1"/>
  <c r="BT24" i="7" s="1"/>
  <c r="BU24" i="7" s="1"/>
  <c r="BV24" i="7" s="1"/>
  <c r="BW24" i="7" s="1"/>
  <c r="BX24" i="7" s="1"/>
  <c r="BY24" i="7" s="1"/>
  <c r="BZ24" i="7" s="1"/>
  <c r="CA24" i="7" s="1"/>
  <c r="CB24" i="7" s="1"/>
  <c r="CC24" i="7" s="1"/>
  <c r="CD24" i="7" s="1"/>
  <c r="CE24" i="7" s="1"/>
  <c r="CF24" i="7" s="1"/>
  <c r="CG24" i="7" s="1"/>
  <c r="CH24" i="7" s="1"/>
  <c r="CI24" i="7" s="1"/>
  <c r="CJ24" i="7" s="1"/>
  <c r="CK24" i="7" s="1"/>
  <c r="CL24" i="7" s="1"/>
  <c r="CM24" i="7" s="1"/>
  <c r="CN24" i="7" s="1"/>
  <c r="CO24" i="7" s="1"/>
  <c r="CP24" i="7" s="1"/>
  <c r="CQ24" i="7" s="1"/>
  <c r="CR24" i="7" s="1"/>
  <c r="CS24" i="7" s="1"/>
  <c r="CT24" i="7" s="1"/>
  <c r="CU24" i="7" s="1"/>
  <c r="CV24" i="7" s="1"/>
  <c r="CW24" i="7" s="1"/>
  <c r="CX24" i="7" s="1"/>
  <c r="CY24" i="7" s="1"/>
  <c r="CZ24" i="7" s="1"/>
  <c r="DA24" i="7" s="1"/>
  <c r="DB24" i="7" s="1"/>
  <c r="DC24" i="7" s="1"/>
  <c r="DD24" i="7" s="1"/>
  <c r="DE24" i="7" s="1"/>
  <c r="DF24" i="7" s="1"/>
  <c r="DG24" i="7" s="1"/>
  <c r="DH24" i="7" s="1"/>
  <c r="DI24" i="7" s="1"/>
  <c r="DJ24" i="7" s="1"/>
  <c r="DK24" i="7" s="1"/>
  <c r="DL24" i="7" s="1"/>
  <c r="DM24" i="7" s="1"/>
  <c r="DN24" i="7" s="1"/>
  <c r="DO24" i="7" s="1"/>
  <c r="DP24" i="7" s="1"/>
  <c r="DQ24" i="7" s="1"/>
  <c r="DR24" i="7" s="1"/>
  <c r="DS24" i="7" s="1"/>
  <c r="DT24" i="7" s="1"/>
  <c r="DU24" i="7" s="1"/>
  <c r="DV24" i="7" s="1"/>
  <c r="DW24" i="7" s="1"/>
  <c r="DX24" i="7" s="1"/>
  <c r="DY24" i="7" s="1"/>
  <c r="DZ24" i="7" s="1"/>
  <c r="EA24" i="7" s="1"/>
  <c r="EB24" i="7" s="1"/>
  <c r="EC24" i="7" s="1"/>
  <c r="ED24" i="7" s="1"/>
  <c r="EE24" i="7" s="1"/>
  <c r="EF24" i="7" s="1"/>
  <c r="C23" i="7"/>
  <c r="D23" i="7" s="1"/>
  <c r="E23" i="7" s="1"/>
  <c r="F23" i="7" s="1"/>
  <c r="G23" i="7" s="1"/>
  <c r="H23" i="7" s="1"/>
  <c r="I23" i="7" s="1"/>
  <c r="J23" i="7" s="1"/>
  <c r="K23" i="7" s="1"/>
  <c r="L23" i="7" s="1"/>
  <c r="M23" i="7" s="1"/>
  <c r="N23" i="7" s="1"/>
  <c r="O23" i="7" s="1"/>
  <c r="P23" i="7" s="1"/>
  <c r="Q23" i="7" s="1"/>
  <c r="R23" i="7" s="1"/>
  <c r="S23" i="7" s="1"/>
  <c r="T23" i="7" s="1"/>
  <c r="U23" i="7" s="1"/>
  <c r="V23" i="7" s="1"/>
  <c r="W23" i="7" s="1"/>
  <c r="X23" i="7" s="1"/>
  <c r="Y23" i="7" s="1"/>
  <c r="Z23" i="7" s="1"/>
  <c r="AA23" i="7" s="1"/>
  <c r="AB23" i="7" s="1"/>
  <c r="AC23" i="7" s="1"/>
  <c r="AD23" i="7" s="1"/>
  <c r="AE23" i="7" s="1"/>
  <c r="AF23" i="7" s="1"/>
  <c r="AG23" i="7" s="1"/>
  <c r="AH23" i="7" s="1"/>
  <c r="AI23" i="7" s="1"/>
  <c r="AJ23" i="7" s="1"/>
  <c r="AK23" i="7" s="1"/>
  <c r="AL23" i="7" s="1"/>
  <c r="AM23" i="7" s="1"/>
  <c r="AN23" i="7" s="1"/>
  <c r="AO23" i="7" s="1"/>
  <c r="AP23" i="7" s="1"/>
  <c r="AQ23" i="7" s="1"/>
  <c r="AR23" i="7" s="1"/>
  <c r="AS23" i="7" s="1"/>
  <c r="AT23" i="7" s="1"/>
  <c r="AU23" i="7" s="1"/>
  <c r="AV23" i="7" s="1"/>
  <c r="AW23" i="7" s="1"/>
  <c r="AX23" i="7" s="1"/>
  <c r="AY23" i="7" s="1"/>
  <c r="AZ23" i="7" s="1"/>
  <c r="BA23" i="7" s="1"/>
  <c r="BB23" i="7" s="1"/>
  <c r="BC23" i="7" s="1"/>
  <c r="BD23" i="7" s="1"/>
  <c r="BE23" i="7" s="1"/>
  <c r="BF23" i="7" s="1"/>
  <c r="BG23" i="7" s="1"/>
  <c r="BH23" i="7" s="1"/>
  <c r="BI23" i="7" s="1"/>
  <c r="BJ23" i="7" s="1"/>
  <c r="BK23" i="7" s="1"/>
  <c r="BL23" i="7" s="1"/>
  <c r="BM23" i="7" s="1"/>
  <c r="BN23" i="7" s="1"/>
  <c r="BO23" i="7" s="1"/>
  <c r="BP23" i="7" s="1"/>
  <c r="BQ23" i="7" s="1"/>
  <c r="BR23" i="7" s="1"/>
  <c r="BS23" i="7" s="1"/>
  <c r="BT23" i="7" s="1"/>
  <c r="BU23" i="7" s="1"/>
  <c r="BV23" i="7" s="1"/>
  <c r="BW23" i="7" s="1"/>
  <c r="BX23" i="7" s="1"/>
  <c r="BY23" i="7" s="1"/>
  <c r="BZ23" i="7" s="1"/>
  <c r="CA23" i="7" s="1"/>
  <c r="CB23" i="7" s="1"/>
  <c r="CC23" i="7" s="1"/>
  <c r="CD23" i="7" s="1"/>
  <c r="CE23" i="7" s="1"/>
  <c r="CF23" i="7" s="1"/>
  <c r="CG23" i="7" s="1"/>
  <c r="CH23" i="7" s="1"/>
  <c r="CI23" i="7" s="1"/>
  <c r="CJ23" i="7" s="1"/>
  <c r="CK23" i="7" s="1"/>
  <c r="CL23" i="7" s="1"/>
  <c r="CM23" i="7" s="1"/>
  <c r="CN23" i="7" s="1"/>
  <c r="CO23" i="7" s="1"/>
  <c r="CP23" i="7" s="1"/>
  <c r="CQ23" i="7" s="1"/>
  <c r="CR23" i="7" s="1"/>
  <c r="CS23" i="7" s="1"/>
  <c r="CT23" i="7" s="1"/>
  <c r="CU23" i="7" s="1"/>
  <c r="CV23" i="7" s="1"/>
  <c r="CW23" i="7" s="1"/>
  <c r="CX23" i="7" s="1"/>
  <c r="CY23" i="7" s="1"/>
  <c r="CZ23" i="7" s="1"/>
  <c r="DA23" i="7" s="1"/>
  <c r="DB23" i="7" s="1"/>
  <c r="DC23" i="7" s="1"/>
  <c r="DD23" i="7" s="1"/>
  <c r="DE23" i="7" s="1"/>
  <c r="DF23" i="7" s="1"/>
  <c r="DG23" i="7" s="1"/>
  <c r="DH23" i="7" s="1"/>
  <c r="DI23" i="7" s="1"/>
  <c r="DJ23" i="7" s="1"/>
  <c r="DK23" i="7" s="1"/>
  <c r="DL23" i="7" s="1"/>
  <c r="DM23" i="7" s="1"/>
  <c r="DN23" i="7" s="1"/>
  <c r="DO23" i="7" s="1"/>
  <c r="DP23" i="7" s="1"/>
  <c r="DQ23" i="7" s="1"/>
  <c r="DR23" i="7" s="1"/>
  <c r="DS23" i="7" s="1"/>
  <c r="DT23" i="7" s="1"/>
  <c r="DU23" i="7" s="1"/>
  <c r="DV23" i="7" s="1"/>
  <c r="DW23" i="7" s="1"/>
  <c r="DX23" i="7" s="1"/>
  <c r="DY23" i="7" s="1"/>
  <c r="DZ23" i="7" s="1"/>
  <c r="EA23" i="7" s="1"/>
  <c r="EB23" i="7" s="1"/>
  <c r="EC23" i="7" s="1"/>
  <c r="ED23" i="7" s="1"/>
  <c r="EE23" i="7" s="1"/>
  <c r="EF23" i="7" s="1"/>
  <c r="AG22" i="7"/>
  <c r="AH22" i="7" s="1"/>
  <c r="AI22" i="7" s="1"/>
  <c r="AJ22" i="7" s="1"/>
  <c r="AK22" i="7" s="1"/>
  <c r="AL22" i="7" s="1"/>
  <c r="AM22" i="7" s="1"/>
  <c r="AN22" i="7" s="1"/>
  <c r="AO22" i="7" s="1"/>
  <c r="AP22" i="7" s="1"/>
  <c r="AQ22" i="7" s="1"/>
  <c r="AR22" i="7" s="1"/>
  <c r="AS22" i="7" s="1"/>
  <c r="AT22" i="7" s="1"/>
  <c r="AU22" i="7" s="1"/>
  <c r="AV22" i="7" s="1"/>
  <c r="AW22" i="7" s="1"/>
  <c r="AX22" i="7" s="1"/>
  <c r="AY22" i="7" s="1"/>
  <c r="AZ22" i="7" s="1"/>
  <c r="BA22" i="7" s="1"/>
  <c r="BB22" i="7" s="1"/>
  <c r="BC22" i="7" s="1"/>
  <c r="BD22" i="7" s="1"/>
  <c r="BE22" i="7" s="1"/>
  <c r="BF22" i="7" s="1"/>
  <c r="BG22" i="7" s="1"/>
  <c r="BH22" i="7" s="1"/>
  <c r="BI22" i="7" s="1"/>
  <c r="BJ22" i="7" s="1"/>
  <c r="BK22" i="7" s="1"/>
  <c r="BL22" i="7" s="1"/>
  <c r="BM22" i="7" s="1"/>
  <c r="BN22" i="7" s="1"/>
  <c r="BO22" i="7" s="1"/>
  <c r="BP22" i="7" s="1"/>
  <c r="BQ22" i="7" s="1"/>
  <c r="BR22" i="7" s="1"/>
  <c r="BS22" i="7" s="1"/>
  <c r="BT22" i="7" s="1"/>
  <c r="BU22" i="7" s="1"/>
  <c r="BV22" i="7" s="1"/>
  <c r="BW22" i="7" s="1"/>
  <c r="BX22" i="7" s="1"/>
  <c r="BY22" i="7" s="1"/>
  <c r="BZ22" i="7" s="1"/>
  <c r="CA22" i="7" s="1"/>
  <c r="CB22" i="7" s="1"/>
  <c r="CC22" i="7" s="1"/>
  <c r="CD22" i="7" s="1"/>
  <c r="CE22" i="7" s="1"/>
  <c r="CF22" i="7" s="1"/>
  <c r="CG22" i="7" s="1"/>
  <c r="CH22" i="7" s="1"/>
  <c r="CI22" i="7" s="1"/>
  <c r="CJ22" i="7" s="1"/>
  <c r="CK22" i="7" s="1"/>
  <c r="CL22" i="7" s="1"/>
  <c r="CM22" i="7" s="1"/>
  <c r="CN22" i="7" s="1"/>
  <c r="CO22" i="7" s="1"/>
  <c r="CP22" i="7" s="1"/>
  <c r="CQ22" i="7" s="1"/>
  <c r="CR22" i="7" s="1"/>
  <c r="CS22" i="7" s="1"/>
  <c r="CT22" i="7" s="1"/>
  <c r="CU22" i="7" s="1"/>
  <c r="CV22" i="7" s="1"/>
  <c r="CW22" i="7" s="1"/>
  <c r="CX22" i="7" s="1"/>
  <c r="CY22" i="7" s="1"/>
  <c r="CZ22" i="7" s="1"/>
  <c r="DA22" i="7" s="1"/>
  <c r="DB22" i="7" s="1"/>
  <c r="DC22" i="7" s="1"/>
  <c r="DD22" i="7" s="1"/>
  <c r="DE22" i="7" s="1"/>
  <c r="DF22" i="7" s="1"/>
  <c r="DG22" i="7" s="1"/>
  <c r="DH22" i="7" s="1"/>
  <c r="DI22" i="7" s="1"/>
  <c r="DJ22" i="7" s="1"/>
  <c r="DK22" i="7" s="1"/>
  <c r="DL22" i="7" s="1"/>
  <c r="DM22" i="7" s="1"/>
  <c r="DN22" i="7" s="1"/>
  <c r="DO22" i="7" s="1"/>
  <c r="DP22" i="7" s="1"/>
  <c r="DQ22" i="7" s="1"/>
  <c r="DR22" i="7" s="1"/>
  <c r="DS22" i="7" s="1"/>
  <c r="DT22" i="7" s="1"/>
  <c r="DU22" i="7" s="1"/>
  <c r="DV22" i="7" s="1"/>
  <c r="DW22" i="7" s="1"/>
  <c r="DX22" i="7" s="1"/>
  <c r="DY22" i="7" s="1"/>
  <c r="DZ22" i="7" s="1"/>
  <c r="EA22" i="7" s="1"/>
  <c r="EB22" i="7" s="1"/>
  <c r="EC22" i="7" s="1"/>
  <c r="ED22" i="7" s="1"/>
  <c r="EE22" i="7" s="1"/>
  <c r="EF22" i="7" s="1"/>
  <c r="C22" i="7"/>
  <c r="D22" i="7" s="1"/>
  <c r="E22" i="7" s="1"/>
  <c r="F22" i="7" s="1"/>
  <c r="G22" i="7" s="1"/>
  <c r="H22" i="7" s="1"/>
  <c r="I22" i="7" s="1"/>
  <c r="J22" i="7" s="1"/>
  <c r="K22" i="7" s="1"/>
  <c r="L22" i="7" s="1"/>
  <c r="M22" i="7" s="1"/>
  <c r="N22" i="7" s="1"/>
  <c r="O22" i="7" s="1"/>
  <c r="P22" i="7" s="1"/>
  <c r="Q22" i="7" s="1"/>
  <c r="R22" i="7" s="1"/>
  <c r="S22" i="7" s="1"/>
  <c r="T22" i="7" s="1"/>
  <c r="U22" i="7" s="1"/>
  <c r="V22" i="7" s="1"/>
  <c r="W22" i="7" s="1"/>
  <c r="X22" i="7" s="1"/>
  <c r="Y22" i="7" s="1"/>
  <c r="Z22" i="7" s="1"/>
  <c r="AA22" i="7" s="1"/>
  <c r="AB22" i="7" s="1"/>
  <c r="AC22" i="7" s="1"/>
  <c r="AD22" i="7" s="1"/>
  <c r="AE22" i="7" s="1"/>
  <c r="AF22" i="7" s="1"/>
  <c r="C21" i="7"/>
  <c r="D21" i="7" s="1"/>
  <c r="E21" i="7" s="1"/>
  <c r="F21" i="7" s="1"/>
  <c r="G21" i="7" s="1"/>
  <c r="H21" i="7" s="1"/>
  <c r="I21" i="7" s="1"/>
  <c r="J21" i="7" s="1"/>
  <c r="K21" i="7" s="1"/>
  <c r="L21" i="7" s="1"/>
  <c r="M21" i="7" s="1"/>
  <c r="N21" i="7" s="1"/>
  <c r="O21" i="7" s="1"/>
  <c r="P21" i="7" s="1"/>
  <c r="Q21" i="7" s="1"/>
  <c r="R21" i="7" s="1"/>
  <c r="S21" i="7" s="1"/>
  <c r="T21" i="7" s="1"/>
  <c r="U21" i="7" s="1"/>
  <c r="V21" i="7" s="1"/>
  <c r="W21" i="7" s="1"/>
  <c r="X21" i="7" s="1"/>
  <c r="Y21" i="7" s="1"/>
  <c r="Z21" i="7" s="1"/>
  <c r="AA21" i="7" s="1"/>
  <c r="AB21" i="7" s="1"/>
  <c r="AC21" i="7" s="1"/>
  <c r="AD21" i="7" s="1"/>
  <c r="AE21" i="7" s="1"/>
  <c r="AF21" i="7" s="1"/>
  <c r="AG21" i="7" s="1"/>
  <c r="AH21" i="7" s="1"/>
  <c r="AI21" i="7" s="1"/>
  <c r="AJ21" i="7" s="1"/>
  <c r="AK21" i="7" s="1"/>
  <c r="AL21" i="7" s="1"/>
  <c r="AM21" i="7" s="1"/>
  <c r="AN21" i="7" s="1"/>
  <c r="AO21" i="7" s="1"/>
  <c r="AP21" i="7" s="1"/>
  <c r="AQ21" i="7" s="1"/>
  <c r="AR21" i="7" s="1"/>
  <c r="AS21" i="7" s="1"/>
  <c r="AT21" i="7" s="1"/>
  <c r="AU21" i="7" s="1"/>
  <c r="AV21" i="7" s="1"/>
  <c r="AW21" i="7" s="1"/>
  <c r="AX21" i="7" s="1"/>
  <c r="AY21" i="7" s="1"/>
  <c r="AZ21" i="7" s="1"/>
  <c r="BA21" i="7" s="1"/>
  <c r="BB21" i="7" s="1"/>
  <c r="BC21" i="7" s="1"/>
  <c r="BD21" i="7" s="1"/>
  <c r="BE21" i="7" s="1"/>
  <c r="BF21" i="7" s="1"/>
  <c r="BG21" i="7" s="1"/>
  <c r="BH21" i="7" s="1"/>
  <c r="BI21" i="7" s="1"/>
  <c r="BJ21" i="7" s="1"/>
  <c r="BK21" i="7" s="1"/>
  <c r="BL21" i="7" s="1"/>
  <c r="BM21" i="7" s="1"/>
  <c r="BN21" i="7" s="1"/>
  <c r="BO21" i="7" s="1"/>
  <c r="BP21" i="7" s="1"/>
  <c r="BQ21" i="7" s="1"/>
  <c r="BR21" i="7" s="1"/>
  <c r="BS21" i="7" s="1"/>
  <c r="BT21" i="7" s="1"/>
  <c r="BU21" i="7" s="1"/>
  <c r="BV21" i="7" s="1"/>
  <c r="BW21" i="7" s="1"/>
  <c r="BX21" i="7" s="1"/>
  <c r="BY21" i="7" s="1"/>
  <c r="BZ21" i="7" s="1"/>
  <c r="CA21" i="7" s="1"/>
  <c r="CB21" i="7" s="1"/>
  <c r="CC21" i="7" s="1"/>
  <c r="CD21" i="7" s="1"/>
  <c r="CE21" i="7" s="1"/>
  <c r="CF21" i="7" s="1"/>
  <c r="CG21" i="7" s="1"/>
  <c r="CH21" i="7" s="1"/>
  <c r="CI21" i="7" s="1"/>
  <c r="CJ21" i="7" s="1"/>
  <c r="CK21" i="7" s="1"/>
  <c r="CL21" i="7" s="1"/>
  <c r="CM21" i="7" s="1"/>
  <c r="CN21" i="7" s="1"/>
  <c r="CO21" i="7" s="1"/>
  <c r="CP21" i="7" s="1"/>
  <c r="CQ21" i="7" s="1"/>
  <c r="CR21" i="7" s="1"/>
  <c r="CS21" i="7" s="1"/>
  <c r="CT21" i="7" s="1"/>
  <c r="CU21" i="7" s="1"/>
  <c r="CV21" i="7" s="1"/>
  <c r="CW21" i="7" s="1"/>
  <c r="CX21" i="7" s="1"/>
  <c r="CY21" i="7" s="1"/>
  <c r="CZ21" i="7" s="1"/>
  <c r="DA21" i="7" s="1"/>
  <c r="DB21" i="7" s="1"/>
  <c r="DC21" i="7" s="1"/>
  <c r="DD21" i="7" s="1"/>
  <c r="DE21" i="7" s="1"/>
  <c r="DF21" i="7" s="1"/>
  <c r="DG21" i="7" s="1"/>
  <c r="DH21" i="7" s="1"/>
  <c r="DI21" i="7" s="1"/>
  <c r="DJ21" i="7" s="1"/>
  <c r="DK21" i="7" s="1"/>
  <c r="DL21" i="7" s="1"/>
  <c r="DM21" i="7" s="1"/>
  <c r="DN21" i="7" s="1"/>
  <c r="DO21" i="7" s="1"/>
  <c r="DP21" i="7" s="1"/>
  <c r="DQ21" i="7" s="1"/>
  <c r="DR21" i="7" s="1"/>
  <c r="DS21" i="7" s="1"/>
  <c r="DT21" i="7" s="1"/>
  <c r="DU21" i="7" s="1"/>
  <c r="DV21" i="7" s="1"/>
  <c r="DW21" i="7" s="1"/>
  <c r="DX21" i="7" s="1"/>
  <c r="DY21" i="7" s="1"/>
  <c r="DZ21" i="7" s="1"/>
  <c r="EA21" i="7" s="1"/>
  <c r="EB21" i="7" s="1"/>
  <c r="EC21" i="7" s="1"/>
  <c r="ED21" i="7" s="1"/>
  <c r="EE21" i="7" s="1"/>
  <c r="EF21" i="7" s="1"/>
  <c r="C20" i="7"/>
  <c r="D20" i="7" s="1"/>
  <c r="E20" i="7" s="1"/>
  <c r="F20" i="7" s="1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T20" i="7" s="1"/>
  <c r="U20" i="7" s="1"/>
  <c r="V20" i="7" s="1"/>
  <c r="W20" i="7" s="1"/>
  <c r="X20" i="7" s="1"/>
  <c r="Y20" i="7" s="1"/>
  <c r="Z20" i="7" s="1"/>
  <c r="AA20" i="7" s="1"/>
  <c r="AB20" i="7" s="1"/>
  <c r="AC20" i="7" s="1"/>
  <c r="AD20" i="7" s="1"/>
  <c r="AE20" i="7" s="1"/>
  <c r="AF20" i="7" s="1"/>
  <c r="AG20" i="7" s="1"/>
  <c r="AH20" i="7" s="1"/>
  <c r="AI20" i="7" s="1"/>
  <c r="AJ20" i="7" s="1"/>
  <c r="AK20" i="7" s="1"/>
  <c r="AL20" i="7" s="1"/>
  <c r="AM20" i="7" s="1"/>
  <c r="AN20" i="7" s="1"/>
  <c r="AO20" i="7" s="1"/>
  <c r="AP20" i="7" s="1"/>
  <c r="AQ20" i="7" s="1"/>
  <c r="AR20" i="7" s="1"/>
  <c r="AS20" i="7" s="1"/>
  <c r="AT20" i="7" s="1"/>
  <c r="AU20" i="7" s="1"/>
  <c r="AV20" i="7" s="1"/>
  <c r="AW20" i="7" s="1"/>
  <c r="AX20" i="7" s="1"/>
  <c r="AY20" i="7" s="1"/>
  <c r="AZ20" i="7" s="1"/>
  <c r="BA20" i="7" s="1"/>
  <c r="BB20" i="7" s="1"/>
  <c r="BC20" i="7" s="1"/>
  <c r="BD20" i="7" s="1"/>
  <c r="BE20" i="7" s="1"/>
  <c r="BF20" i="7" s="1"/>
  <c r="BG20" i="7" s="1"/>
  <c r="BH20" i="7" s="1"/>
  <c r="BI20" i="7" s="1"/>
  <c r="BJ20" i="7" s="1"/>
  <c r="BK20" i="7" s="1"/>
  <c r="BL20" i="7" s="1"/>
  <c r="BM20" i="7" s="1"/>
  <c r="BN20" i="7" s="1"/>
  <c r="BO20" i="7" s="1"/>
  <c r="BP20" i="7" s="1"/>
  <c r="BQ20" i="7" s="1"/>
  <c r="BR20" i="7" s="1"/>
  <c r="BS20" i="7" s="1"/>
  <c r="BT20" i="7" s="1"/>
  <c r="BU20" i="7" s="1"/>
  <c r="BV20" i="7" s="1"/>
  <c r="BW20" i="7" s="1"/>
  <c r="BX20" i="7" s="1"/>
  <c r="BY20" i="7" s="1"/>
  <c r="BZ20" i="7" s="1"/>
  <c r="CA20" i="7" s="1"/>
  <c r="CB20" i="7" s="1"/>
  <c r="CC20" i="7" s="1"/>
  <c r="CD20" i="7" s="1"/>
  <c r="CE20" i="7" s="1"/>
  <c r="CF20" i="7" s="1"/>
  <c r="CG20" i="7" s="1"/>
  <c r="CH20" i="7" s="1"/>
  <c r="CI20" i="7" s="1"/>
  <c r="CJ20" i="7" s="1"/>
  <c r="CK20" i="7" s="1"/>
  <c r="CL20" i="7" s="1"/>
  <c r="CM20" i="7" s="1"/>
  <c r="CN20" i="7" s="1"/>
  <c r="CO20" i="7" s="1"/>
  <c r="CP20" i="7" s="1"/>
  <c r="CQ20" i="7" s="1"/>
  <c r="CR20" i="7" s="1"/>
  <c r="CS20" i="7" s="1"/>
  <c r="CT20" i="7" s="1"/>
  <c r="CU20" i="7" s="1"/>
  <c r="CV20" i="7" s="1"/>
  <c r="CW20" i="7" s="1"/>
  <c r="CX20" i="7" s="1"/>
  <c r="CY20" i="7" s="1"/>
  <c r="CZ20" i="7" s="1"/>
  <c r="DA20" i="7" s="1"/>
  <c r="DB20" i="7" s="1"/>
  <c r="DC20" i="7" s="1"/>
  <c r="DD20" i="7" s="1"/>
  <c r="DE20" i="7" s="1"/>
  <c r="DF20" i="7" s="1"/>
  <c r="DG20" i="7" s="1"/>
  <c r="DH20" i="7" s="1"/>
  <c r="DI20" i="7" s="1"/>
  <c r="DJ20" i="7" s="1"/>
  <c r="DK20" i="7" s="1"/>
  <c r="DL20" i="7" s="1"/>
  <c r="DM20" i="7" s="1"/>
  <c r="DN20" i="7" s="1"/>
  <c r="DO20" i="7" s="1"/>
  <c r="DP20" i="7" s="1"/>
  <c r="DQ20" i="7" s="1"/>
  <c r="DR20" i="7" s="1"/>
  <c r="DS20" i="7" s="1"/>
  <c r="DT20" i="7" s="1"/>
  <c r="DU20" i="7" s="1"/>
  <c r="DV20" i="7" s="1"/>
  <c r="DW20" i="7" s="1"/>
  <c r="DX20" i="7" s="1"/>
  <c r="DY20" i="7" s="1"/>
  <c r="DZ20" i="7" s="1"/>
  <c r="EA20" i="7" s="1"/>
  <c r="EB20" i="7" s="1"/>
  <c r="EC20" i="7" s="1"/>
  <c r="ED20" i="7" s="1"/>
  <c r="EE20" i="7" s="1"/>
  <c r="EF20" i="7" s="1"/>
  <c r="E19" i="7"/>
  <c r="F19" i="7" s="1"/>
  <c r="G19" i="7" s="1"/>
  <c r="H19" i="7" s="1"/>
  <c r="I19" i="7" s="1"/>
  <c r="J19" i="7" s="1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U19" i="7" s="1"/>
  <c r="V19" i="7" s="1"/>
  <c r="W19" i="7" s="1"/>
  <c r="X19" i="7" s="1"/>
  <c r="Y19" i="7" s="1"/>
  <c r="Z19" i="7" s="1"/>
  <c r="AA19" i="7" s="1"/>
  <c r="AB19" i="7" s="1"/>
  <c r="AC19" i="7" s="1"/>
  <c r="AD19" i="7" s="1"/>
  <c r="AE19" i="7" s="1"/>
  <c r="AF19" i="7" s="1"/>
  <c r="AG19" i="7" s="1"/>
  <c r="AH19" i="7" s="1"/>
  <c r="AI19" i="7" s="1"/>
  <c r="AJ19" i="7" s="1"/>
  <c r="AK19" i="7" s="1"/>
  <c r="AL19" i="7" s="1"/>
  <c r="AM19" i="7" s="1"/>
  <c r="AN19" i="7" s="1"/>
  <c r="AO19" i="7" s="1"/>
  <c r="AP19" i="7" s="1"/>
  <c r="AQ19" i="7" s="1"/>
  <c r="AR19" i="7" s="1"/>
  <c r="AS19" i="7" s="1"/>
  <c r="AT19" i="7" s="1"/>
  <c r="AU19" i="7" s="1"/>
  <c r="AV19" i="7" s="1"/>
  <c r="AW19" i="7" s="1"/>
  <c r="AX19" i="7" s="1"/>
  <c r="AY19" i="7" s="1"/>
  <c r="AZ19" i="7" s="1"/>
  <c r="BA19" i="7" s="1"/>
  <c r="BB19" i="7" s="1"/>
  <c r="BC19" i="7" s="1"/>
  <c r="BD19" i="7" s="1"/>
  <c r="BE19" i="7" s="1"/>
  <c r="BF19" i="7" s="1"/>
  <c r="BG19" i="7" s="1"/>
  <c r="BH19" i="7" s="1"/>
  <c r="BI19" i="7" s="1"/>
  <c r="BJ19" i="7" s="1"/>
  <c r="BK19" i="7" s="1"/>
  <c r="BL19" i="7" s="1"/>
  <c r="BM19" i="7" s="1"/>
  <c r="BN19" i="7" s="1"/>
  <c r="BO19" i="7" s="1"/>
  <c r="BP19" i="7" s="1"/>
  <c r="BQ19" i="7" s="1"/>
  <c r="BR19" i="7" s="1"/>
  <c r="BS19" i="7" s="1"/>
  <c r="BT19" i="7" s="1"/>
  <c r="BU19" i="7" s="1"/>
  <c r="BV19" i="7" s="1"/>
  <c r="BW19" i="7" s="1"/>
  <c r="BX19" i="7" s="1"/>
  <c r="BY19" i="7" s="1"/>
  <c r="BZ19" i="7" s="1"/>
  <c r="CA19" i="7" s="1"/>
  <c r="CB19" i="7" s="1"/>
  <c r="CC19" i="7" s="1"/>
  <c r="CD19" i="7" s="1"/>
  <c r="CE19" i="7" s="1"/>
  <c r="CF19" i="7" s="1"/>
  <c r="CG19" i="7" s="1"/>
  <c r="CH19" i="7" s="1"/>
  <c r="CI19" i="7" s="1"/>
  <c r="CJ19" i="7" s="1"/>
  <c r="CK19" i="7" s="1"/>
  <c r="CL19" i="7" s="1"/>
  <c r="CM19" i="7" s="1"/>
  <c r="CN19" i="7" s="1"/>
  <c r="CO19" i="7" s="1"/>
  <c r="CP19" i="7" s="1"/>
  <c r="CQ19" i="7" s="1"/>
  <c r="CR19" i="7" s="1"/>
  <c r="CS19" i="7" s="1"/>
  <c r="CT19" i="7" s="1"/>
  <c r="CU19" i="7" s="1"/>
  <c r="CV19" i="7" s="1"/>
  <c r="CW19" i="7" s="1"/>
  <c r="CX19" i="7" s="1"/>
  <c r="CY19" i="7" s="1"/>
  <c r="CZ19" i="7" s="1"/>
  <c r="DA19" i="7" s="1"/>
  <c r="DB19" i="7" s="1"/>
  <c r="DC19" i="7" s="1"/>
  <c r="DD19" i="7" s="1"/>
  <c r="DE19" i="7" s="1"/>
  <c r="DF19" i="7" s="1"/>
  <c r="DG19" i="7" s="1"/>
  <c r="DH19" i="7" s="1"/>
  <c r="DI19" i="7" s="1"/>
  <c r="DJ19" i="7" s="1"/>
  <c r="DK19" i="7" s="1"/>
  <c r="DL19" i="7" s="1"/>
  <c r="DM19" i="7" s="1"/>
  <c r="DN19" i="7" s="1"/>
  <c r="DO19" i="7" s="1"/>
  <c r="DP19" i="7" s="1"/>
  <c r="DQ19" i="7" s="1"/>
  <c r="DR19" i="7" s="1"/>
  <c r="DS19" i="7" s="1"/>
  <c r="DT19" i="7" s="1"/>
  <c r="DU19" i="7" s="1"/>
  <c r="DV19" i="7" s="1"/>
  <c r="DW19" i="7" s="1"/>
  <c r="DX19" i="7" s="1"/>
  <c r="DY19" i="7" s="1"/>
  <c r="DZ19" i="7" s="1"/>
  <c r="EA19" i="7" s="1"/>
  <c r="EB19" i="7" s="1"/>
  <c r="EC19" i="7" s="1"/>
  <c r="ED19" i="7" s="1"/>
  <c r="EE19" i="7" s="1"/>
  <c r="EF19" i="7" s="1"/>
  <c r="C19" i="7"/>
  <c r="D19" i="7" s="1"/>
  <c r="E18" i="7"/>
  <c r="F18" i="7" s="1"/>
  <c r="G18" i="7" s="1"/>
  <c r="H18" i="7" s="1"/>
  <c r="I18" i="7" s="1"/>
  <c r="J18" i="7" s="1"/>
  <c r="K18" i="7" s="1"/>
  <c r="L18" i="7" s="1"/>
  <c r="M18" i="7" s="1"/>
  <c r="N18" i="7" s="1"/>
  <c r="O18" i="7" s="1"/>
  <c r="P18" i="7" s="1"/>
  <c r="Q18" i="7" s="1"/>
  <c r="R18" i="7" s="1"/>
  <c r="S18" i="7" s="1"/>
  <c r="T18" i="7" s="1"/>
  <c r="U18" i="7" s="1"/>
  <c r="V18" i="7" s="1"/>
  <c r="W18" i="7" s="1"/>
  <c r="X18" i="7" s="1"/>
  <c r="Y18" i="7" s="1"/>
  <c r="Z18" i="7" s="1"/>
  <c r="AA18" i="7" s="1"/>
  <c r="AB18" i="7" s="1"/>
  <c r="AC18" i="7" s="1"/>
  <c r="AD18" i="7" s="1"/>
  <c r="AE18" i="7" s="1"/>
  <c r="AF18" i="7" s="1"/>
  <c r="AG18" i="7" s="1"/>
  <c r="AH18" i="7" s="1"/>
  <c r="AI18" i="7" s="1"/>
  <c r="AJ18" i="7" s="1"/>
  <c r="AK18" i="7" s="1"/>
  <c r="AL18" i="7" s="1"/>
  <c r="AM18" i="7" s="1"/>
  <c r="AN18" i="7" s="1"/>
  <c r="AO18" i="7" s="1"/>
  <c r="AP18" i="7" s="1"/>
  <c r="AQ18" i="7" s="1"/>
  <c r="AR18" i="7" s="1"/>
  <c r="AS18" i="7" s="1"/>
  <c r="AT18" i="7" s="1"/>
  <c r="AU18" i="7" s="1"/>
  <c r="AV18" i="7" s="1"/>
  <c r="AW18" i="7" s="1"/>
  <c r="AX18" i="7" s="1"/>
  <c r="AY18" i="7" s="1"/>
  <c r="AZ18" i="7" s="1"/>
  <c r="BA18" i="7" s="1"/>
  <c r="BB18" i="7" s="1"/>
  <c r="BC18" i="7" s="1"/>
  <c r="BD18" i="7" s="1"/>
  <c r="BE18" i="7" s="1"/>
  <c r="BF18" i="7" s="1"/>
  <c r="BG18" i="7" s="1"/>
  <c r="BH18" i="7" s="1"/>
  <c r="BI18" i="7" s="1"/>
  <c r="BJ18" i="7" s="1"/>
  <c r="BK18" i="7" s="1"/>
  <c r="BL18" i="7" s="1"/>
  <c r="BM18" i="7" s="1"/>
  <c r="BN18" i="7" s="1"/>
  <c r="BO18" i="7" s="1"/>
  <c r="BP18" i="7" s="1"/>
  <c r="BQ18" i="7" s="1"/>
  <c r="BR18" i="7" s="1"/>
  <c r="BS18" i="7" s="1"/>
  <c r="BT18" i="7" s="1"/>
  <c r="BU18" i="7" s="1"/>
  <c r="BV18" i="7" s="1"/>
  <c r="BW18" i="7" s="1"/>
  <c r="BX18" i="7" s="1"/>
  <c r="BY18" i="7" s="1"/>
  <c r="BZ18" i="7" s="1"/>
  <c r="CA18" i="7" s="1"/>
  <c r="CB18" i="7" s="1"/>
  <c r="CC18" i="7" s="1"/>
  <c r="CD18" i="7" s="1"/>
  <c r="CE18" i="7" s="1"/>
  <c r="CF18" i="7" s="1"/>
  <c r="CG18" i="7" s="1"/>
  <c r="CH18" i="7" s="1"/>
  <c r="CI18" i="7" s="1"/>
  <c r="CJ18" i="7" s="1"/>
  <c r="CK18" i="7" s="1"/>
  <c r="CL18" i="7" s="1"/>
  <c r="CM18" i="7" s="1"/>
  <c r="CN18" i="7" s="1"/>
  <c r="CO18" i="7" s="1"/>
  <c r="CP18" i="7" s="1"/>
  <c r="CQ18" i="7" s="1"/>
  <c r="CR18" i="7" s="1"/>
  <c r="CS18" i="7" s="1"/>
  <c r="CT18" i="7" s="1"/>
  <c r="CU18" i="7" s="1"/>
  <c r="CV18" i="7" s="1"/>
  <c r="CW18" i="7" s="1"/>
  <c r="CX18" i="7" s="1"/>
  <c r="CY18" i="7" s="1"/>
  <c r="CZ18" i="7" s="1"/>
  <c r="DA18" i="7" s="1"/>
  <c r="DB18" i="7" s="1"/>
  <c r="DC18" i="7" s="1"/>
  <c r="DD18" i="7" s="1"/>
  <c r="DE18" i="7" s="1"/>
  <c r="DF18" i="7" s="1"/>
  <c r="DG18" i="7" s="1"/>
  <c r="DH18" i="7" s="1"/>
  <c r="DI18" i="7" s="1"/>
  <c r="DJ18" i="7" s="1"/>
  <c r="DK18" i="7" s="1"/>
  <c r="DL18" i="7" s="1"/>
  <c r="DM18" i="7" s="1"/>
  <c r="DN18" i="7" s="1"/>
  <c r="DO18" i="7" s="1"/>
  <c r="DP18" i="7" s="1"/>
  <c r="DQ18" i="7" s="1"/>
  <c r="DR18" i="7" s="1"/>
  <c r="DS18" i="7" s="1"/>
  <c r="DT18" i="7" s="1"/>
  <c r="DU18" i="7" s="1"/>
  <c r="DV18" i="7" s="1"/>
  <c r="DW18" i="7" s="1"/>
  <c r="DX18" i="7" s="1"/>
  <c r="DY18" i="7" s="1"/>
  <c r="DZ18" i="7" s="1"/>
  <c r="EA18" i="7" s="1"/>
  <c r="EB18" i="7" s="1"/>
  <c r="EC18" i="7" s="1"/>
  <c r="ED18" i="7" s="1"/>
  <c r="EE18" i="7" s="1"/>
  <c r="EF18" i="7" s="1"/>
  <c r="C18" i="7"/>
  <c r="D18" i="7" s="1"/>
  <c r="C17" i="7"/>
  <c r="D17" i="7" s="1"/>
  <c r="E17" i="7" s="1"/>
  <c r="F17" i="7" s="1"/>
  <c r="G17" i="7" s="1"/>
  <c r="H17" i="7" s="1"/>
  <c r="I17" i="7" s="1"/>
  <c r="J17" i="7" s="1"/>
  <c r="K17" i="7" s="1"/>
  <c r="L17" i="7" s="1"/>
  <c r="M17" i="7" s="1"/>
  <c r="N17" i="7" s="1"/>
  <c r="O17" i="7" s="1"/>
  <c r="P17" i="7" s="1"/>
  <c r="Q17" i="7" s="1"/>
  <c r="R17" i="7" s="1"/>
  <c r="S17" i="7" s="1"/>
  <c r="T17" i="7" s="1"/>
  <c r="U17" i="7" s="1"/>
  <c r="V17" i="7" s="1"/>
  <c r="W17" i="7" s="1"/>
  <c r="X17" i="7" s="1"/>
  <c r="Y17" i="7" s="1"/>
  <c r="Z17" i="7" s="1"/>
  <c r="AA17" i="7" s="1"/>
  <c r="AB17" i="7" s="1"/>
  <c r="AC17" i="7" s="1"/>
  <c r="AD17" i="7" s="1"/>
  <c r="AE17" i="7" s="1"/>
  <c r="AF17" i="7" s="1"/>
  <c r="AG17" i="7" s="1"/>
  <c r="AH17" i="7" s="1"/>
  <c r="AI17" i="7" s="1"/>
  <c r="AJ17" i="7" s="1"/>
  <c r="AK17" i="7" s="1"/>
  <c r="AL17" i="7" s="1"/>
  <c r="AM17" i="7" s="1"/>
  <c r="AN17" i="7" s="1"/>
  <c r="AO17" i="7" s="1"/>
  <c r="AP17" i="7" s="1"/>
  <c r="AQ17" i="7" s="1"/>
  <c r="AR17" i="7" s="1"/>
  <c r="AS17" i="7" s="1"/>
  <c r="AT17" i="7" s="1"/>
  <c r="AU17" i="7" s="1"/>
  <c r="AV17" i="7" s="1"/>
  <c r="AW17" i="7" s="1"/>
  <c r="AX17" i="7" s="1"/>
  <c r="AY17" i="7" s="1"/>
  <c r="AZ17" i="7" s="1"/>
  <c r="BA17" i="7" s="1"/>
  <c r="BB17" i="7" s="1"/>
  <c r="BC17" i="7" s="1"/>
  <c r="BD17" i="7" s="1"/>
  <c r="BE17" i="7" s="1"/>
  <c r="BF17" i="7" s="1"/>
  <c r="BG17" i="7" s="1"/>
  <c r="BH17" i="7" s="1"/>
  <c r="BI17" i="7" s="1"/>
  <c r="BJ17" i="7" s="1"/>
  <c r="BK17" i="7" s="1"/>
  <c r="BL17" i="7" s="1"/>
  <c r="BM17" i="7" s="1"/>
  <c r="BN17" i="7" s="1"/>
  <c r="BO17" i="7" s="1"/>
  <c r="BP17" i="7" s="1"/>
  <c r="BQ17" i="7" s="1"/>
  <c r="BR17" i="7" s="1"/>
  <c r="BS17" i="7" s="1"/>
  <c r="BT17" i="7" s="1"/>
  <c r="BU17" i="7" s="1"/>
  <c r="BV17" i="7" s="1"/>
  <c r="BW17" i="7" s="1"/>
  <c r="BX17" i="7" s="1"/>
  <c r="BY17" i="7" s="1"/>
  <c r="BZ17" i="7" s="1"/>
  <c r="CA17" i="7" s="1"/>
  <c r="CB17" i="7" s="1"/>
  <c r="CC17" i="7" s="1"/>
  <c r="CD17" i="7" s="1"/>
  <c r="CE17" i="7" s="1"/>
  <c r="CF17" i="7" s="1"/>
  <c r="CG17" i="7" s="1"/>
  <c r="CH17" i="7" s="1"/>
  <c r="CI17" i="7" s="1"/>
  <c r="CJ17" i="7" s="1"/>
  <c r="CK17" i="7" s="1"/>
  <c r="CL17" i="7" s="1"/>
  <c r="CM17" i="7" s="1"/>
  <c r="CN17" i="7" s="1"/>
  <c r="CO17" i="7" s="1"/>
  <c r="CP17" i="7" s="1"/>
  <c r="CQ17" i="7" s="1"/>
  <c r="CR17" i="7" s="1"/>
  <c r="CS17" i="7" s="1"/>
  <c r="CT17" i="7" s="1"/>
  <c r="CU17" i="7" s="1"/>
  <c r="CV17" i="7" s="1"/>
  <c r="CW17" i="7" s="1"/>
  <c r="CX17" i="7" s="1"/>
  <c r="CY17" i="7" s="1"/>
  <c r="CZ17" i="7" s="1"/>
  <c r="DA17" i="7" s="1"/>
  <c r="DB17" i="7" s="1"/>
  <c r="DC17" i="7" s="1"/>
  <c r="DD17" i="7" s="1"/>
  <c r="DE17" i="7" s="1"/>
  <c r="DF17" i="7" s="1"/>
  <c r="DG17" i="7" s="1"/>
  <c r="DH17" i="7" s="1"/>
  <c r="DI17" i="7" s="1"/>
  <c r="DJ17" i="7" s="1"/>
  <c r="DK17" i="7" s="1"/>
  <c r="DL17" i="7" s="1"/>
  <c r="DM17" i="7" s="1"/>
  <c r="DN17" i="7" s="1"/>
  <c r="DO17" i="7" s="1"/>
  <c r="DP17" i="7" s="1"/>
  <c r="DQ17" i="7" s="1"/>
  <c r="DR17" i="7" s="1"/>
  <c r="DS17" i="7" s="1"/>
  <c r="DT17" i="7" s="1"/>
  <c r="DU17" i="7" s="1"/>
  <c r="DV17" i="7" s="1"/>
  <c r="DW17" i="7" s="1"/>
  <c r="DX17" i="7" s="1"/>
  <c r="DY17" i="7" s="1"/>
  <c r="DZ17" i="7" s="1"/>
  <c r="EA17" i="7" s="1"/>
  <c r="EB17" i="7" s="1"/>
  <c r="EC17" i="7" s="1"/>
  <c r="ED17" i="7" s="1"/>
  <c r="EE17" i="7" s="1"/>
  <c r="EF17" i="7" s="1"/>
  <c r="U16" i="7"/>
  <c r="V16" i="7" s="1"/>
  <c r="W16" i="7" s="1"/>
  <c r="X16" i="7" s="1"/>
  <c r="Y16" i="7" s="1"/>
  <c r="Z16" i="7" s="1"/>
  <c r="AA16" i="7" s="1"/>
  <c r="AB16" i="7" s="1"/>
  <c r="AC16" i="7" s="1"/>
  <c r="AD16" i="7" s="1"/>
  <c r="AE16" i="7" s="1"/>
  <c r="AF16" i="7" s="1"/>
  <c r="AG16" i="7" s="1"/>
  <c r="AH16" i="7" s="1"/>
  <c r="AI16" i="7" s="1"/>
  <c r="AJ16" i="7" s="1"/>
  <c r="AK16" i="7" s="1"/>
  <c r="AL16" i="7" s="1"/>
  <c r="AM16" i="7" s="1"/>
  <c r="AN16" i="7" s="1"/>
  <c r="AO16" i="7" s="1"/>
  <c r="AP16" i="7" s="1"/>
  <c r="AQ16" i="7" s="1"/>
  <c r="AR16" i="7" s="1"/>
  <c r="AS16" i="7" s="1"/>
  <c r="AT16" i="7" s="1"/>
  <c r="AU16" i="7" s="1"/>
  <c r="AV16" i="7" s="1"/>
  <c r="AW16" i="7" s="1"/>
  <c r="AX16" i="7" s="1"/>
  <c r="AY16" i="7" s="1"/>
  <c r="AZ16" i="7" s="1"/>
  <c r="BA16" i="7" s="1"/>
  <c r="BB16" i="7" s="1"/>
  <c r="BC16" i="7" s="1"/>
  <c r="BD16" i="7" s="1"/>
  <c r="BE16" i="7" s="1"/>
  <c r="BF16" i="7" s="1"/>
  <c r="BG16" i="7" s="1"/>
  <c r="BH16" i="7" s="1"/>
  <c r="BI16" i="7" s="1"/>
  <c r="BJ16" i="7" s="1"/>
  <c r="BK16" i="7" s="1"/>
  <c r="BL16" i="7" s="1"/>
  <c r="BM16" i="7" s="1"/>
  <c r="BN16" i="7" s="1"/>
  <c r="BO16" i="7" s="1"/>
  <c r="BP16" i="7" s="1"/>
  <c r="BQ16" i="7" s="1"/>
  <c r="BR16" i="7" s="1"/>
  <c r="BS16" i="7" s="1"/>
  <c r="BT16" i="7" s="1"/>
  <c r="BU16" i="7" s="1"/>
  <c r="BV16" i="7" s="1"/>
  <c r="BW16" i="7" s="1"/>
  <c r="BX16" i="7" s="1"/>
  <c r="BY16" i="7" s="1"/>
  <c r="BZ16" i="7" s="1"/>
  <c r="CA16" i="7" s="1"/>
  <c r="CB16" i="7" s="1"/>
  <c r="CC16" i="7" s="1"/>
  <c r="CD16" i="7" s="1"/>
  <c r="CE16" i="7" s="1"/>
  <c r="CF16" i="7" s="1"/>
  <c r="CG16" i="7" s="1"/>
  <c r="CH16" i="7" s="1"/>
  <c r="CI16" i="7" s="1"/>
  <c r="CJ16" i="7" s="1"/>
  <c r="CK16" i="7" s="1"/>
  <c r="CL16" i="7" s="1"/>
  <c r="CM16" i="7" s="1"/>
  <c r="CN16" i="7" s="1"/>
  <c r="CO16" i="7" s="1"/>
  <c r="CP16" i="7" s="1"/>
  <c r="CQ16" i="7" s="1"/>
  <c r="CR16" i="7" s="1"/>
  <c r="CS16" i="7" s="1"/>
  <c r="CT16" i="7" s="1"/>
  <c r="CU16" i="7" s="1"/>
  <c r="CV16" i="7" s="1"/>
  <c r="CW16" i="7" s="1"/>
  <c r="CX16" i="7" s="1"/>
  <c r="CY16" i="7" s="1"/>
  <c r="CZ16" i="7" s="1"/>
  <c r="DA16" i="7" s="1"/>
  <c r="DB16" i="7" s="1"/>
  <c r="DC16" i="7" s="1"/>
  <c r="DD16" i="7" s="1"/>
  <c r="DE16" i="7" s="1"/>
  <c r="DF16" i="7" s="1"/>
  <c r="DG16" i="7" s="1"/>
  <c r="DH16" i="7" s="1"/>
  <c r="DI16" i="7" s="1"/>
  <c r="DJ16" i="7" s="1"/>
  <c r="DK16" i="7" s="1"/>
  <c r="DL16" i="7" s="1"/>
  <c r="DM16" i="7" s="1"/>
  <c r="DN16" i="7" s="1"/>
  <c r="DO16" i="7" s="1"/>
  <c r="DP16" i="7" s="1"/>
  <c r="DQ16" i="7" s="1"/>
  <c r="DR16" i="7" s="1"/>
  <c r="DS16" i="7" s="1"/>
  <c r="DT16" i="7" s="1"/>
  <c r="DU16" i="7" s="1"/>
  <c r="DV16" i="7" s="1"/>
  <c r="DW16" i="7" s="1"/>
  <c r="DX16" i="7" s="1"/>
  <c r="DY16" i="7" s="1"/>
  <c r="DZ16" i="7" s="1"/>
  <c r="EA16" i="7" s="1"/>
  <c r="EB16" i="7" s="1"/>
  <c r="EC16" i="7" s="1"/>
  <c r="ED16" i="7" s="1"/>
  <c r="EE16" i="7" s="1"/>
  <c r="EF16" i="7" s="1"/>
  <c r="P16" i="7"/>
  <c r="Q16" i="7" s="1"/>
  <c r="R16" i="7" s="1"/>
  <c r="S16" i="7" s="1"/>
  <c r="T16" i="7" s="1"/>
  <c r="C16" i="7"/>
  <c r="D16" i="7" s="1"/>
  <c r="E16" i="7" s="1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C15" i="7"/>
  <c r="D15" i="7" s="1"/>
  <c r="E15" i="7" s="1"/>
  <c r="F15" i="7" s="1"/>
  <c r="G15" i="7" s="1"/>
  <c r="H15" i="7" s="1"/>
  <c r="I15" i="7" s="1"/>
  <c r="J15" i="7" s="1"/>
  <c r="K15" i="7" s="1"/>
  <c r="L15" i="7" s="1"/>
  <c r="M15" i="7" s="1"/>
  <c r="N15" i="7" s="1"/>
  <c r="O15" i="7" s="1"/>
  <c r="P15" i="7" s="1"/>
  <c r="Q15" i="7" s="1"/>
  <c r="R15" i="7" s="1"/>
  <c r="S15" i="7" s="1"/>
  <c r="T15" i="7" s="1"/>
  <c r="U15" i="7" s="1"/>
  <c r="V15" i="7" s="1"/>
  <c r="W15" i="7" s="1"/>
  <c r="X15" i="7" s="1"/>
  <c r="Y15" i="7" s="1"/>
  <c r="Z15" i="7" s="1"/>
  <c r="AA15" i="7" s="1"/>
  <c r="AB15" i="7" s="1"/>
  <c r="AC15" i="7" s="1"/>
  <c r="AD15" i="7" s="1"/>
  <c r="AE15" i="7" s="1"/>
  <c r="AF15" i="7" s="1"/>
  <c r="AG15" i="7" s="1"/>
  <c r="AH15" i="7" s="1"/>
  <c r="AI15" i="7" s="1"/>
  <c r="AJ15" i="7" s="1"/>
  <c r="AK15" i="7" s="1"/>
  <c r="AL15" i="7" s="1"/>
  <c r="AM15" i="7" s="1"/>
  <c r="AN15" i="7" s="1"/>
  <c r="AO15" i="7" s="1"/>
  <c r="AP15" i="7" s="1"/>
  <c r="AQ15" i="7" s="1"/>
  <c r="AR15" i="7" s="1"/>
  <c r="AS15" i="7" s="1"/>
  <c r="AT15" i="7" s="1"/>
  <c r="AU15" i="7" s="1"/>
  <c r="AV15" i="7" s="1"/>
  <c r="AW15" i="7" s="1"/>
  <c r="AX15" i="7" s="1"/>
  <c r="AY15" i="7" s="1"/>
  <c r="AZ15" i="7" s="1"/>
  <c r="BA15" i="7" s="1"/>
  <c r="BB15" i="7" s="1"/>
  <c r="BC15" i="7" s="1"/>
  <c r="BD15" i="7" s="1"/>
  <c r="BE15" i="7" s="1"/>
  <c r="BF15" i="7" s="1"/>
  <c r="BG15" i="7" s="1"/>
  <c r="BH15" i="7" s="1"/>
  <c r="BI15" i="7" s="1"/>
  <c r="BJ15" i="7" s="1"/>
  <c r="BK15" i="7" s="1"/>
  <c r="BL15" i="7" s="1"/>
  <c r="BM15" i="7" s="1"/>
  <c r="BN15" i="7" s="1"/>
  <c r="BO15" i="7" s="1"/>
  <c r="BP15" i="7" s="1"/>
  <c r="BQ15" i="7" s="1"/>
  <c r="BR15" i="7" s="1"/>
  <c r="BS15" i="7" s="1"/>
  <c r="BT15" i="7" s="1"/>
  <c r="BU15" i="7" s="1"/>
  <c r="BV15" i="7" s="1"/>
  <c r="BW15" i="7" s="1"/>
  <c r="BX15" i="7" s="1"/>
  <c r="BY15" i="7" s="1"/>
  <c r="BZ15" i="7" s="1"/>
  <c r="CA15" i="7" s="1"/>
  <c r="CB15" i="7" s="1"/>
  <c r="CC15" i="7" s="1"/>
  <c r="CD15" i="7" s="1"/>
  <c r="CE15" i="7" s="1"/>
  <c r="CF15" i="7" s="1"/>
  <c r="CG15" i="7" s="1"/>
  <c r="CH15" i="7" s="1"/>
  <c r="CI15" i="7" s="1"/>
  <c r="CJ15" i="7" s="1"/>
  <c r="CK15" i="7" s="1"/>
  <c r="CL15" i="7" s="1"/>
  <c r="CM15" i="7" s="1"/>
  <c r="CN15" i="7" s="1"/>
  <c r="CO15" i="7" s="1"/>
  <c r="CP15" i="7" s="1"/>
  <c r="CQ15" i="7" s="1"/>
  <c r="CR15" i="7" s="1"/>
  <c r="CS15" i="7" s="1"/>
  <c r="CT15" i="7" s="1"/>
  <c r="CU15" i="7" s="1"/>
  <c r="CV15" i="7" s="1"/>
  <c r="CW15" i="7" s="1"/>
  <c r="CX15" i="7" s="1"/>
  <c r="CY15" i="7" s="1"/>
  <c r="CZ15" i="7" s="1"/>
  <c r="DA15" i="7" s="1"/>
  <c r="DB15" i="7" s="1"/>
  <c r="DC15" i="7" s="1"/>
  <c r="DD15" i="7" s="1"/>
  <c r="DE15" i="7" s="1"/>
  <c r="DF15" i="7" s="1"/>
  <c r="DG15" i="7" s="1"/>
  <c r="DH15" i="7" s="1"/>
  <c r="DI15" i="7" s="1"/>
  <c r="DJ15" i="7" s="1"/>
  <c r="DK15" i="7" s="1"/>
  <c r="DL15" i="7" s="1"/>
  <c r="DM15" i="7" s="1"/>
  <c r="DN15" i="7" s="1"/>
  <c r="DO15" i="7" s="1"/>
  <c r="DP15" i="7" s="1"/>
  <c r="DQ15" i="7" s="1"/>
  <c r="DR15" i="7" s="1"/>
  <c r="DS15" i="7" s="1"/>
  <c r="DT15" i="7" s="1"/>
  <c r="DU15" i="7" s="1"/>
  <c r="DV15" i="7" s="1"/>
  <c r="DW15" i="7" s="1"/>
  <c r="DX15" i="7" s="1"/>
  <c r="DY15" i="7" s="1"/>
  <c r="DZ15" i="7" s="1"/>
  <c r="EA15" i="7" s="1"/>
  <c r="EB15" i="7" s="1"/>
  <c r="EC15" i="7" s="1"/>
  <c r="ED15" i="7" s="1"/>
  <c r="EE15" i="7" s="1"/>
  <c r="EF15" i="7" s="1"/>
  <c r="E14" i="7"/>
  <c r="F14" i="7" s="1"/>
  <c r="G14" i="7" s="1"/>
  <c r="H14" i="7" s="1"/>
  <c r="I14" i="7" s="1"/>
  <c r="J14" i="7" s="1"/>
  <c r="K14" i="7" s="1"/>
  <c r="L14" i="7" s="1"/>
  <c r="M14" i="7" s="1"/>
  <c r="N14" i="7" s="1"/>
  <c r="O14" i="7" s="1"/>
  <c r="P14" i="7" s="1"/>
  <c r="Q14" i="7" s="1"/>
  <c r="R14" i="7" s="1"/>
  <c r="S14" i="7" s="1"/>
  <c r="T14" i="7" s="1"/>
  <c r="U14" i="7" s="1"/>
  <c r="V14" i="7" s="1"/>
  <c r="W14" i="7" s="1"/>
  <c r="X14" i="7" s="1"/>
  <c r="Y14" i="7" s="1"/>
  <c r="Z14" i="7" s="1"/>
  <c r="AA14" i="7" s="1"/>
  <c r="AB14" i="7" s="1"/>
  <c r="AC14" i="7" s="1"/>
  <c r="AD14" i="7" s="1"/>
  <c r="AE14" i="7" s="1"/>
  <c r="AF14" i="7" s="1"/>
  <c r="AG14" i="7" s="1"/>
  <c r="AH14" i="7" s="1"/>
  <c r="AI14" i="7" s="1"/>
  <c r="AJ14" i="7" s="1"/>
  <c r="AK14" i="7" s="1"/>
  <c r="AL14" i="7" s="1"/>
  <c r="AM14" i="7" s="1"/>
  <c r="AN14" i="7" s="1"/>
  <c r="AO14" i="7" s="1"/>
  <c r="AP14" i="7" s="1"/>
  <c r="AQ14" i="7" s="1"/>
  <c r="AR14" i="7" s="1"/>
  <c r="AS14" i="7" s="1"/>
  <c r="AT14" i="7" s="1"/>
  <c r="AU14" i="7" s="1"/>
  <c r="AV14" i="7" s="1"/>
  <c r="AW14" i="7" s="1"/>
  <c r="AX14" i="7" s="1"/>
  <c r="AY14" i="7" s="1"/>
  <c r="AZ14" i="7" s="1"/>
  <c r="BA14" i="7" s="1"/>
  <c r="BB14" i="7" s="1"/>
  <c r="BC14" i="7" s="1"/>
  <c r="BD14" i="7" s="1"/>
  <c r="BE14" i="7" s="1"/>
  <c r="BF14" i="7" s="1"/>
  <c r="BG14" i="7" s="1"/>
  <c r="BH14" i="7" s="1"/>
  <c r="BI14" i="7" s="1"/>
  <c r="BJ14" i="7" s="1"/>
  <c r="BK14" i="7" s="1"/>
  <c r="BL14" i="7" s="1"/>
  <c r="BM14" i="7" s="1"/>
  <c r="BN14" i="7" s="1"/>
  <c r="BO14" i="7" s="1"/>
  <c r="BP14" i="7" s="1"/>
  <c r="BQ14" i="7" s="1"/>
  <c r="BR14" i="7" s="1"/>
  <c r="BS14" i="7" s="1"/>
  <c r="BT14" i="7" s="1"/>
  <c r="BU14" i="7" s="1"/>
  <c r="BV14" i="7" s="1"/>
  <c r="BW14" i="7" s="1"/>
  <c r="BX14" i="7" s="1"/>
  <c r="BY14" i="7" s="1"/>
  <c r="BZ14" i="7" s="1"/>
  <c r="CA14" i="7" s="1"/>
  <c r="CB14" i="7" s="1"/>
  <c r="CC14" i="7" s="1"/>
  <c r="CD14" i="7" s="1"/>
  <c r="CE14" i="7" s="1"/>
  <c r="CF14" i="7" s="1"/>
  <c r="CG14" i="7" s="1"/>
  <c r="CH14" i="7" s="1"/>
  <c r="CI14" i="7" s="1"/>
  <c r="CJ14" i="7" s="1"/>
  <c r="CK14" i="7" s="1"/>
  <c r="CL14" i="7" s="1"/>
  <c r="CM14" i="7" s="1"/>
  <c r="CN14" i="7" s="1"/>
  <c r="CO14" i="7" s="1"/>
  <c r="CP14" i="7" s="1"/>
  <c r="CQ14" i="7" s="1"/>
  <c r="CR14" i="7" s="1"/>
  <c r="CS14" i="7" s="1"/>
  <c r="CT14" i="7" s="1"/>
  <c r="CU14" i="7" s="1"/>
  <c r="CV14" i="7" s="1"/>
  <c r="CW14" i="7" s="1"/>
  <c r="CX14" i="7" s="1"/>
  <c r="CY14" i="7" s="1"/>
  <c r="CZ14" i="7" s="1"/>
  <c r="DA14" i="7" s="1"/>
  <c r="DB14" i="7" s="1"/>
  <c r="DC14" i="7" s="1"/>
  <c r="DD14" i="7" s="1"/>
  <c r="DE14" i="7" s="1"/>
  <c r="DF14" i="7" s="1"/>
  <c r="DG14" i="7" s="1"/>
  <c r="DH14" i="7" s="1"/>
  <c r="DI14" i="7" s="1"/>
  <c r="DJ14" i="7" s="1"/>
  <c r="DK14" i="7" s="1"/>
  <c r="DL14" i="7" s="1"/>
  <c r="DM14" i="7" s="1"/>
  <c r="DN14" i="7" s="1"/>
  <c r="DO14" i="7" s="1"/>
  <c r="DP14" i="7" s="1"/>
  <c r="DQ14" i="7" s="1"/>
  <c r="DR14" i="7" s="1"/>
  <c r="DS14" i="7" s="1"/>
  <c r="DT14" i="7" s="1"/>
  <c r="DU14" i="7" s="1"/>
  <c r="DV14" i="7" s="1"/>
  <c r="DW14" i="7" s="1"/>
  <c r="DX14" i="7" s="1"/>
  <c r="DY14" i="7" s="1"/>
  <c r="DZ14" i="7" s="1"/>
  <c r="EA14" i="7" s="1"/>
  <c r="EB14" i="7" s="1"/>
  <c r="EC14" i="7" s="1"/>
  <c r="ED14" i="7" s="1"/>
  <c r="EE14" i="7" s="1"/>
  <c r="EF14" i="7" s="1"/>
  <c r="C14" i="7"/>
  <c r="D14" i="7" s="1"/>
  <c r="D13" i="7"/>
  <c r="E13" i="7" s="1"/>
  <c r="F13" i="7" s="1"/>
  <c r="G13" i="7" s="1"/>
  <c r="H13" i="7" s="1"/>
  <c r="I13" i="7" s="1"/>
  <c r="J13" i="7" s="1"/>
  <c r="K13" i="7" s="1"/>
  <c r="L13" i="7" s="1"/>
  <c r="M13" i="7" s="1"/>
  <c r="N13" i="7" s="1"/>
  <c r="O13" i="7" s="1"/>
  <c r="P13" i="7" s="1"/>
  <c r="Q13" i="7" s="1"/>
  <c r="R13" i="7" s="1"/>
  <c r="S13" i="7" s="1"/>
  <c r="T13" i="7" s="1"/>
  <c r="U13" i="7" s="1"/>
  <c r="V13" i="7" s="1"/>
  <c r="W13" i="7" s="1"/>
  <c r="X13" i="7" s="1"/>
  <c r="Y13" i="7" s="1"/>
  <c r="Z13" i="7" s="1"/>
  <c r="AA13" i="7" s="1"/>
  <c r="AB13" i="7" s="1"/>
  <c r="AC13" i="7" s="1"/>
  <c r="AD13" i="7" s="1"/>
  <c r="AE13" i="7" s="1"/>
  <c r="AF13" i="7" s="1"/>
  <c r="AG13" i="7" s="1"/>
  <c r="AH13" i="7" s="1"/>
  <c r="AI13" i="7" s="1"/>
  <c r="AJ13" i="7" s="1"/>
  <c r="AK13" i="7" s="1"/>
  <c r="AL13" i="7" s="1"/>
  <c r="AM13" i="7" s="1"/>
  <c r="AN13" i="7" s="1"/>
  <c r="AO13" i="7" s="1"/>
  <c r="AP13" i="7" s="1"/>
  <c r="AQ13" i="7" s="1"/>
  <c r="AR13" i="7" s="1"/>
  <c r="AS13" i="7" s="1"/>
  <c r="AT13" i="7" s="1"/>
  <c r="AU13" i="7" s="1"/>
  <c r="AV13" i="7" s="1"/>
  <c r="AW13" i="7" s="1"/>
  <c r="AX13" i="7" s="1"/>
  <c r="AY13" i="7" s="1"/>
  <c r="AZ13" i="7" s="1"/>
  <c r="BA13" i="7" s="1"/>
  <c r="BB13" i="7" s="1"/>
  <c r="BC13" i="7" s="1"/>
  <c r="BD13" i="7" s="1"/>
  <c r="BE13" i="7" s="1"/>
  <c r="BF13" i="7" s="1"/>
  <c r="BG13" i="7" s="1"/>
  <c r="BH13" i="7" s="1"/>
  <c r="BI13" i="7" s="1"/>
  <c r="BJ13" i="7" s="1"/>
  <c r="BK13" i="7" s="1"/>
  <c r="BL13" i="7" s="1"/>
  <c r="BM13" i="7" s="1"/>
  <c r="BN13" i="7" s="1"/>
  <c r="BO13" i="7" s="1"/>
  <c r="BP13" i="7" s="1"/>
  <c r="BQ13" i="7" s="1"/>
  <c r="BR13" i="7" s="1"/>
  <c r="BS13" i="7" s="1"/>
  <c r="BT13" i="7" s="1"/>
  <c r="BU13" i="7" s="1"/>
  <c r="BV13" i="7" s="1"/>
  <c r="BW13" i="7" s="1"/>
  <c r="BX13" i="7" s="1"/>
  <c r="BY13" i="7" s="1"/>
  <c r="BZ13" i="7" s="1"/>
  <c r="CA13" i="7" s="1"/>
  <c r="CB13" i="7" s="1"/>
  <c r="CC13" i="7" s="1"/>
  <c r="CD13" i="7" s="1"/>
  <c r="CE13" i="7" s="1"/>
  <c r="CF13" i="7" s="1"/>
  <c r="CG13" i="7" s="1"/>
  <c r="CH13" i="7" s="1"/>
  <c r="CI13" i="7" s="1"/>
  <c r="CJ13" i="7" s="1"/>
  <c r="CK13" i="7" s="1"/>
  <c r="CL13" i="7" s="1"/>
  <c r="CM13" i="7" s="1"/>
  <c r="CN13" i="7" s="1"/>
  <c r="CO13" i="7" s="1"/>
  <c r="CP13" i="7" s="1"/>
  <c r="CQ13" i="7" s="1"/>
  <c r="CR13" i="7" s="1"/>
  <c r="CS13" i="7" s="1"/>
  <c r="CT13" i="7" s="1"/>
  <c r="CU13" i="7" s="1"/>
  <c r="CV13" i="7" s="1"/>
  <c r="CW13" i="7" s="1"/>
  <c r="CX13" i="7" s="1"/>
  <c r="CY13" i="7" s="1"/>
  <c r="CZ13" i="7" s="1"/>
  <c r="DA13" i="7" s="1"/>
  <c r="DB13" i="7" s="1"/>
  <c r="DC13" i="7" s="1"/>
  <c r="DD13" i="7" s="1"/>
  <c r="DE13" i="7" s="1"/>
  <c r="DF13" i="7" s="1"/>
  <c r="DG13" i="7" s="1"/>
  <c r="DH13" i="7" s="1"/>
  <c r="DI13" i="7" s="1"/>
  <c r="DJ13" i="7" s="1"/>
  <c r="DK13" i="7" s="1"/>
  <c r="DL13" i="7" s="1"/>
  <c r="DM13" i="7" s="1"/>
  <c r="DN13" i="7" s="1"/>
  <c r="DO13" i="7" s="1"/>
  <c r="DP13" i="7" s="1"/>
  <c r="DQ13" i="7" s="1"/>
  <c r="DR13" i="7" s="1"/>
  <c r="DS13" i="7" s="1"/>
  <c r="DT13" i="7" s="1"/>
  <c r="DU13" i="7" s="1"/>
  <c r="DV13" i="7" s="1"/>
  <c r="DW13" i="7" s="1"/>
  <c r="DX13" i="7" s="1"/>
  <c r="DY13" i="7" s="1"/>
  <c r="DZ13" i="7" s="1"/>
  <c r="EA13" i="7" s="1"/>
  <c r="EB13" i="7" s="1"/>
  <c r="EC13" i="7" s="1"/>
  <c r="ED13" i="7" s="1"/>
  <c r="EE13" i="7" s="1"/>
  <c r="EF13" i="7" s="1"/>
  <c r="C13" i="7"/>
  <c r="D12" i="7"/>
  <c r="E12" i="7" s="1"/>
  <c r="F12" i="7" s="1"/>
  <c r="G12" i="7" s="1"/>
  <c r="H12" i="7" s="1"/>
  <c r="I12" i="7" s="1"/>
  <c r="J12" i="7" s="1"/>
  <c r="K12" i="7" s="1"/>
  <c r="L12" i="7" s="1"/>
  <c r="M12" i="7" s="1"/>
  <c r="N12" i="7" s="1"/>
  <c r="O12" i="7" s="1"/>
  <c r="P12" i="7" s="1"/>
  <c r="Q12" i="7" s="1"/>
  <c r="R12" i="7" s="1"/>
  <c r="S12" i="7" s="1"/>
  <c r="T12" i="7" s="1"/>
  <c r="U12" i="7" s="1"/>
  <c r="V12" i="7" s="1"/>
  <c r="W12" i="7" s="1"/>
  <c r="X12" i="7" s="1"/>
  <c r="Y12" i="7" s="1"/>
  <c r="Z12" i="7" s="1"/>
  <c r="AA12" i="7" s="1"/>
  <c r="AB12" i="7" s="1"/>
  <c r="AC12" i="7" s="1"/>
  <c r="AD12" i="7" s="1"/>
  <c r="AE12" i="7" s="1"/>
  <c r="AF12" i="7" s="1"/>
  <c r="AG12" i="7" s="1"/>
  <c r="AH12" i="7" s="1"/>
  <c r="AI12" i="7" s="1"/>
  <c r="AJ12" i="7" s="1"/>
  <c r="AK12" i="7" s="1"/>
  <c r="AL12" i="7" s="1"/>
  <c r="AM12" i="7" s="1"/>
  <c r="AN12" i="7" s="1"/>
  <c r="AO12" i="7" s="1"/>
  <c r="AP12" i="7" s="1"/>
  <c r="AQ12" i="7" s="1"/>
  <c r="AR12" i="7" s="1"/>
  <c r="AS12" i="7" s="1"/>
  <c r="AT12" i="7" s="1"/>
  <c r="AU12" i="7" s="1"/>
  <c r="AV12" i="7" s="1"/>
  <c r="AW12" i="7" s="1"/>
  <c r="AX12" i="7" s="1"/>
  <c r="AY12" i="7" s="1"/>
  <c r="AZ12" i="7" s="1"/>
  <c r="BA12" i="7" s="1"/>
  <c r="BB12" i="7" s="1"/>
  <c r="BC12" i="7" s="1"/>
  <c r="BD12" i="7" s="1"/>
  <c r="BE12" i="7" s="1"/>
  <c r="BF12" i="7" s="1"/>
  <c r="BG12" i="7" s="1"/>
  <c r="BH12" i="7" s="1"/>
  <c r="BI12" i="7" s="1"/>
  <c r="BJ12" i="7" s="1"/>
  <c r="BK12" i="7" s="1"/>
  <c r="BL12" i="7" s="1"/>
  <c r="BM12" i="7" s="1"/>
  <c r="BN12" i="7" s="1"/>
  <c r="BO12" i="7" s="1"/>
  <c r="BP12" i="7" s="1"/>
  <c r="BQ12" i="7" s="1"/>
  <c r="BR12" i="7" s="1"/>
  <c r="BS12" i="7" s="1"/>
  <c r="BT12" i="7" s="1"/>
  <c r="BU12" i="7" s="1"/>
  <c r="BV12" i="7" s="1"/>
  <c r="BW12" i="7" s="1"/>
  <c r="BX12" i="7" s="1"/>
  <c r="BY12" i="7" s="1"/>
  <c r="BZ12" i="7" s="1"/>
  <c r="CA12" i="7" s="1"/>
  <c r="CB12" i="7" s="1"/>
  <c r="CC12" i="7" s="1"/>
  <c r="CD12" i="7" s="1"/>
  <c r="CE12" i="7" s="1"/>
  <c r="CF12" i="7" s="1"/>
  <c r="CG12" i="7" s="1"/>
  <c r="CH12" i="7" s="1"/>
  <c r="CI12" i="7" s="1"/>
  <c r="CJ12" i="7" s="1"/>
  <c r="CK12" i="7" s="1"/>
  <c r="CL12" i="7" s="1"/>
  <c r="CM12" i="7" s="1"/>
  <c r="CN12" i="7" s="1"/>
  <c r="CO12" i="7" s="1"/>
  <c r="CP12" i="7" s="1"/>
  <c r="CQ12" i="7" s="1"/>
  <c r="CR12" i="7" s="1"/>
  <c r="CS12" i="7" s="1"/>
  <c r="CT12" i="7" s="1"/>
  <c r="CU12" i="7" s="1"/>
  <c r="CV12" i="7" s="1"/>
  <c r="CW12" i="7" s="1"/>
  <c r="CX12" i="7" s="1"/>
  <c r="CY12" i="7" s="1"/>
  <c r="CZ12" i="7" s="1"/>
  <c r="DA12" i="7" s="1"/>
  <c r="DB12" i="7" s="1"/>
  <c r="DC12" i="7" s="1"/>
  <c r="DD12" i="7" s="1"/>
  <c r="DE12" i="7" s="1"/>
  <c r="DF12" i="7" s="1"/>
  <c r="DG12" i="7" s="1"/>
  <c r="DH12" i="7" s="1"/>
  <c r="DI12" i="7" s="1"/>
  <c r="DJ12" i="7" s="1"/>
  <c r="DK12" i="7" s="1"/>
  <c r="DL12" i="7" s="1"/>
  <c r="DM12" i="7" s="1"/>
  <c r="DN12" i="7" s="1"/>
  <c r="DO12" i="7" s="1"/>
  <c r="DP12" i="7" s="1"/>
  <c r="DQ12" i="7" s="1"/>
  <c r="DR12" i="7" s="1"/>
  <c r="DS12" i="7" s="1"/>
  <c r="DT12" i="7" s="1"/>
  <c r="DU12" i="7" s="1"/>
  <c r="DV12" i="7" s="1"/>
  <c r="DW12" i="7" s="1"/>
  <c r="DX12" i="7" s="1"/>
  <c r="DY12" i="7" s="1"/>
  <c r="DZ12" i="7" s="1"/>
  <c r="EA12" i="7" s="1"/>
  <c r="EB12" i="7" s="1"/>
  <c r="EC12" i="7" s="1"/>
  <c r="ED12" i="7" s="1"/>
  <c r="EE12" i="7" s="1"/>
  <c r="EF12" i="7" s="1"/>
  <c r="C12" i="7"/>
  <c r="DM8" i="7"/>
  <c r="DL8" i="7"/>
  <c r="DC8" i="7"/>
  <c r="CU8" i="7"/>
  <c r="CT8" i="7"/>
  <c r="CI8" i="7"/>
  <c r="CG8" i="7"/>
  <c r="CF8" i="7"/>
  <c r="CE8" i="7"/>
  <c r="BH8" i="7"/>
  <c r="BG8" i="7"/>
  <c r="AY8" i="7"/>
  <c r="AX8" i="7"/>
  <c r="X8" i="7"/>
  <c r="ED7" i="7"/>
  <c r="EB7" i="7"/>
  <c r="DX7" i="7"/>
  <c r="DG7" i="7"/>
  <c r="DF7" i="7"/>
  <c r="DC7" i="7"/>
  <c r="DB7" i="7"/>
  <c r="CU7" i="7"/>
  <c r="CF7" i="7"/>
  <c r="CA7" i="7"/>
  <c r="BZ7" i="7"/>
  <c r="BI7" i="7"/>
  <c r="BG7" i="7"/>
  <c r="AZ7" i="7"/>
  <c r="AQ7" i="7"/>
  <c r="AP7" i="7"/>
  <c r="AO7" i="7"/>
  <c r="AJ7" i="7"/>
  <c r="AI7" i="7"/>
  <c r="AH7" i="7"/>
  <c r="AG7" i="7"/>
  <c r="O7" i="7"/>
  <c r="EF6" i="7"/>
  <c r="EF6" i="7" a="1"/>
  <c r="EE6" i="7" a="1"/>
  <c r="EE6" i="7" s="1"/>
  <c r="ED6" i="7" a="1"/>
  <c r="ED6" i="7" s="1"/>
  <c r="ED8" i="7" s="1"/>
  <c r="EC6" i="7" a="1"/>
  <c r="EC6" i="7" s="1"/>
  <c r="EB6" i="7" a="1"/>
  <c r="EB6" i="7" s="1"/>
  <c r="EB8" i="7" s="1"/>
  <c r="EA6" i="7" a="1"/>
  <c r="EA6" i="7" s="1"/>
  <c r="EA8" i="7" s="1"/>
  <c r="DZ6" i="7" a="1"/>
  <c r="DZ6" i="7" s="1"/>
  <c r="DY6" i="7"/>
  <c r="DY6" i="7" a="1"/>
  <c r="DX6" i="7"/>
  <c r="DX8" i="7" s="1"/>
  <c r="DX6" i="7" a="1"/>
  <c r="DW6" i="7" a="1"/>
  <c r="DW6" i="7" s="1"/>
  <c r="DV6" i="7" a="1"/>
  <c r="DV6" i="7" s="1"/>
  <c r="DU6" i="7" a="1"/>
  <c r="DU6" i="7" s="1"/>
  <c r="DT6" i="7" a="1"/>
  <c r="DT6" i="7" s="1"/>
  <c r="DT7" i="7" s="1"/>
  <c r="DS6" i="7" a="1"/>
  <c r="DS6" i="7" s="1"/>
  <c r="DR6" i="7" a="1"/>
  <c r="DR6" i="7" s="1"/>
  <c r="DQ6" i="7"/>
  <c r="DQ7" i="7" s="1"/>
  <c r="DQ6" i="7" a="1"/>
  <c r="DP6" i="7" a="1"/>
  <c r="DP6" i="7" s="1"/>
  <c r="DO6" i="7" a="1"/>
  <c r="DO6" i="7" s="1"/>
  <c r="DO7" i="7" s="1"/>
  <c r="DN6" i="7" a="1"/>
  <c r="DN6" i="7" s="1"/>
  <c r="DM6" i="7" a="1"/>
  <c r="DM6" i="7" s="1"/>
  <c r="DM7" i="7" s="1"/>
  <c r="DL6" i="7" a="1"/>
  <c r="DL6" i="7" s="1"/>
  <c r="DL7" i="7" s="1"/>
  <c r="DK6" i="7" a="1"/>
  <c r="DK6" i="7" s="1"/>
  <c r="DK8" i="7" s="1"/>
  <c r="DJ6" i="7" a="1"/>
  <c r="DJ6" i="7" s="1"/>
  <c r="DI6" i="7"/>
  <c r="DI6" i="7" a="1"/>
  <c r="DH6" i="7" a="1"/>
  <c r="DH6" i="7" s="1"/>
  <c r="DG6" i="7" a="1"/>
  <c r="DG6" i="7" s="1"/>
  <c r="DG8" i="7" s="1"/>
  <c r="DF6" i="7" a="1"/>
  <c r="DF6" i="7" s="1"/>
  <c r="DF8" i="7" s="1"/>
  <c r="DE6" i="7" a="1"/>
  <c r="DE6" i="7" s="1"/>
  <c r="DD6" i="7" a="1"/>
  <c r="DD6" i="7" s="1"/>
  <c r="DC6" i="7" a="1"/>
  <c r="DC6" i="7" s="1"/>
  <c r="DB6" i="7"/>
  <c r="DB8" i="7" s="1"/>
  <c r="DB6" i="7" a="1"/>
  <c r="DA6" i="7" a="1"/>
  <c r="DA6" i="7" s="1"/>
  <c r="CZ6" i="7" a="1"/>
  <c r="CZ6" i="7" s="1"/>
  <c r="CY6" i="7" a="1"/>
  <c r="CY6" i="7" s="1"/>
  <c r="CX6" i="7" a="1"/>
  <c r="CX6" i="7" s="1"/>
  <c r="CW6" i="7" a="1"/>
  <c r="CW6" i="7" s="1"/>
  <c r="CV6" i="7" a="1"/>
  <c r="CV6" i="7" s="1"/>
  <c r="CU6" i="7" a="1"/>
  <c r="CU6" i="7" s="1"/>
  <c r="CT6" i="7"/>
  <c r="CT7" i="7" s="1"/>
  <c r="CT6" i="7" a="1"/>
  <c r="CS6" i="7" a="1"/>
  <c r="CS6" i="7" s="1"/>
  <c r="CR6" i="7" a="1"/>
  <c r="CR6" i="7" s="1"/>
  <c r="CQ6" i="7" a="1"/>
  <c r="CQ6" i="7" s="1"/>
  <c r="CP6" i="7" a="1"/>
  <c r="CP6" i="7" s="1"/>
  <c r="CO6" i="7" a="1"/>
  <c r="CO6" i="7" s="1"/>
  <c r="CN6" i="7" a="1"/>
  <c r="CN6" i="7" s="1"/>
  <c r="CM6" i="7" a="1"/>
  <c r="CM6" i="7" s="1"/>
  <c r="CM8" i="7" s="1"/>
  <c r="CL6" i="7" a="1"/>
  <c r="CL6" i="7" s="1"/>
  <c r="CK6" i="7" a="1"/>
  <c r="CK6" i="7" s="1"/>
  <c r="CJ6" i="7"/>
  <c r="CJ6" i="7" a="1"/>
  <c r="CI6" i="7"/>
  <c r="CI7" i="7" s="1"/>
  <c r="CI6" i="7" a="1"/>
  <c r="CH6" i="7" a="1"/>
  <c r="CH6" i="7" s="1"/>
  <c r="CG6" i="7" a="1"/>
  <c r="CG6" i="7" s="1"/>
  <c r="CG7" i="7" s="1"/>
  <c r="CF6" i="7" a="1"/>
  <c r="CF6" i="7" s="1"/>
  <c r="CE6" i="7" a="1"/>
  <c r="CE6" i="7" s="1"/>
  <c r="CE7" i="7" s="1"/>
  <c r="CD6" i="7" a="1"/>
  <c r="CD6" i="7" s="1"/>
  <c r="CC6" i="7" a="1"/>
  <c r="CC6" i="7" s="1"/>
  <c r="CC8" i="7" s="1"/>
  <c r="CB6" i="7"/>
  <c r="CB6" i="7" a="1"/>
  <c r="CA6" i="7"/>
  <c r="CA8" i="7" s="1"/>
  <c r="CA6" i="7" a="1"/>
  <c r="BZ6" i="7" a="1"/>
  <c r="BZ6" i="7" s="1"/>
  <c r="BZ8" i="7" s="1"/>
  <c r="BY6" i="7" a="1"/>
  <c r="BY6" i="7" s="1"/>
  <c r="BX6" i="7" a="1"/>
  <c r="BX6" i="7" s="1"/>
  <c r="BW6" i="7" a="1"/>
  <c r="BW6" i="7" s="1"/>
  <c r="BW8" i="7" s="1"/>
  <c r="BV6" i="7" a="1"/>
  <c r="BV6" i="7" s="1"/>
  <c r="BU6" i="7" a="1"/>
  <c r="BU6" i="7" s="1"/>
  <c r="BT6" i="7" a="1"/>
  <c r="BT6" i="7" s="1"/>
  <c r="BS6" i="7"/>
  <c r="BS6" i="7" a="1"/>
  <c r="BR6" i="7"/>
  <c r="BR6" i="7" a="1"/>
  <c r="BQ6" i="7" a="1"/>
  <c r="BQ6" i="7" s="1"/>
  <c r="BP6" i="7" a="1"/>
  <c r="BP6" i="7" s="1"/>
  <c r="BP8" i="7" s="1"/>
  <c r="BO6" i="7" a="1"/>
  <c r="BO6" i="7" s="1"/>
  <c r="BO8" i="7" s="1"/>
  <c r="BN6" i="7" a="1"/>
  <c r="BN6" i="7" s="1"/>
  <c r="BM6" i="7" a="1"/>
  <c r="BM6" i="7" s="1"/>
  <c r="BL6" i="7" a="1"/>
  <c r="BL6" i="7" s="1"/>
  <c r="BK6" i="7" a="1"/>
  <c r="BK6" i="7" s="1"/>
  <c r="BK8" i="7" s="1"/>
  <c r="BJ6" i="7"/>
  <c r="BJ8" i="7" s="1"/>
  <c r="BJ6" i="7" a="1"/>
  <c r="BI6" i="7"/>
  <c r="BI8" i="7" s="1"/>
  <c r="BI6" i="7" a="1"/>
  <c r="BH6" i="7" a="1"/>
  <c r="BH6" i="7" s="1"/>
  <c r="BH7" i="7" s="1"/>
  <c r="BG6" i="7" a="1"/>
  <c r="BG6" i="7" s="1"/>
  <c r="BF6" i="7" a="1"/>
  <c r="BF6" i="7" s="1"/>
  <c r="BE6" i="7" a="1"/>
  <c r="BE6" i="7" s="1"/>
  <c r="BD6" i="7" a="1"/>
  <c r="BD6" i="7" s="1"/>
  <c r="BC6" i="7"/>
  <c r="BC6" i="7" a="1"/>
  <c r="BB6" i="7" a="1"/>
  <c r="BB6" i="7" s="1"/>
  <c r="BA6" i="7"/>
  <c r="BA6" i="7" a="1"/>
  <c r="AZ6" i="7" a="1"/>
  <c r="AZ6" i="7" s="1"/>
  <c r="AZ8" i="7" s="1"/>
  <c r="AY6" i="7" a="1"/>
  <c r="AY6" i="7" s="1"/>
  <c r="AY7" i="7" s="1"/>
  <c r="AX6" i="7" a="1"/>
  <c r="AX6" i="7" s="1"/>
  <c r="AX7" i="7" s="1"/>
  <c r="AW6" i="7" a="1"/>
  <c r="AW6" i="7" s="1"/>
  <c r="AV6" i="7" a="1"/>
  <c r="AV6" i="7" s="1"/>
  <c r="AU6" i="7"/>
  <c r="AU6" i="7" a="1"/>
  <c r="AT6" i="7" a="1"/>
  <c r="AT6" i="7" s="1"/>
  <c r="AS6" i="7" a="1"/>
  <c r="AS6" i="7" s="1"/>
  <c r="AR6" i="7" a="1"/>
  <c r="AR6" i="7" s="1"/>
  <c r="AQ6" i="7" a="1"/>
  <c r="AQ6" i="7" s="1"/>
  <c r="AQ8" i="7" s="1"/>
  <c r="AP6" i="7"/>
  <c r="AP8" i="7" s="1"/>
  <c r="AP6" i="7" a="1"/>
  <c r="AO6" i="7" a="1"/>
  <c r="AO6" i="7" s="1"/>
  <c r="AO8" i="7" s="1"/>
  <c r="AN6" i="7" a="1"/>
  <c r="AN6" i="7" s="1"/>
  <c r="AM6" i="7" a="1"/>
  <c r="AM6" i="7" s="1"/>
  <c r="AL6" i="7" a="1"/>
  <c r="AL6" i="7" s="1"/>
  <c r="AK6" i="7" a="1"/>
  <c r="AK6" i="7" s="1"/>
  <c r="AJ6" i="7" a="1"/>
  <c r="AJ6" i="7" s="1"/>
  <c r="AJ8" i="7" s="1"/>
  <c r="AI6" i="7" a="1"/>
  <c r="AI6" i="7" s="1"/>
  <c r="AI8" i="7" s="1"/>
  <c r="AH6" i="7"/>
  <c r="AH8" i="7" s="1"/>
  <c r="AH6" i="7" a="1"/>
  <c r="AG6" i="7"/>
  <c r="AG8" i="7" s="1"/>
  <c r="AG6" i="7" a="1"/>
  <c r="AF6" i="7" a="1"/>
  <c r="AF6" i="7" s="1"/>
  <c r="AE6" i="7" a="1"/>
  <c r="AE6" i="7" s="1"/>
  <c r="AE8" i="7" s="1"/>
  <c r="AD6" i="7" a="1"/>
  <c r="AD6" i="7" s="1"/>
  <c r="AC6" i="7" a="1"/>
  <c r="AC6" i="7" s="1"/>
  <c r="AB6" i="7" a="1"/>
  <c r="AB6" i="7" s="1"/>
  <c r="AB7" i="7" s="1"/>
  <c r="AA6" i="7" a="1"/>
  <c r="AA6" i="7" s="1"/>
  <c r="AA7" i="7" s="1"/>
  <c r="Z6" i="7" a="1"/>
  <c r="Z6" i="7" s="1"/>
  <c r="Z7" i="7" s="1"/>
  <c r="Y6" i="7"/>
  <c r="Y6" i="7" a="1"/>
  <c r="X6" i="7"/>
  <c r="X7" i="7" s="1"/>
  <c r="X6" i="7" a="1"/>
  <c r="W6" i="7" a="1"/>
  <c r="W6" i="7" s="1"/>
  <c r="V6" i="7" a="1"/>
  <c r="V6" i="7" s="1"/>
  <c r="U6" i="7" a="1"/>
  <c r="U6" i="7" s="1"/>
  <c r="T6" i="7" a="1"/>
  <c r="T6" i="7" s="1"/>
  <c r="S6" i="7" a="1"/>
  <c r="S6" i="7" s="1"/>
  <c r="R6" i="7" a="1"/>
  <c r="R6" i="7" s="1"/>
  <c r="Q6" i="7" a="1"/>
  <c r="Q6" i="7" s="1"/>
  <c r="P6" i="7"/>
  <c r="P8" i="7" s="1"/>
  <c r="P6" i="7" a="1"/>
  <c r="O6" i="7"/>
  <c r="O8" i="7" s="1"/>
  <c r="O6" i="7" a="1"/>
  <c r="N6" i="7" a="1"/>
  <c r="N6" i="7" s="1"/>
  <c r="N8" i="7" s="1"/>
  <c r="M6" i="7" a="1"/>
  <c r="M6" i="7" s="1"/>
  <c r="M8" i="7" s="1"/>
  <c r="L6" i="7" a="1"/>
  <c r="L6" i="7" s="1"/>
  <c r="L7" i="7" s="1"/>
  <c r="K6" i="7" a="1"/>
  <c r="K6" i="7" s="1"/>
  <c r="K8" i="7" s="1"/>
  <c r="J6" i="7" a="1"/>
  <c r="J6" i="7" s="1"/>
  <c r="I6" i="7" a="1"/>
  <c r="I6" i="7" s="1"/>
  <c r="H6" i="7" a="1"/>
  <c r="H6" i="7" s="1"/>
  <c r="G6" i="7"/>
  <c r="G6" i="7" a="1"/>
  <c r="F6" i="7"/>
  <c r="F6" i="7" a="1"/>
  <c r="E6" i="7" a="1"/>
  <c r="E6" i="7" s="1"/>
  <c r="D6" i="7" a="1"/>
  <c r="D6" i="7" s="1"/>
  <c r="D8" i="7" s="1"/>
  <c r="C6" i="7" a="1"/>
  <c r="C6" i="7" s="1"/>
  <c r="C8" i="7" s="1"/>
  <c r="EG4" i="7"/>
  <c r="EG3" i="7"/>
  <c r="EG6" i="7" s="1" a="1"/>
  <c r="D25" i="5"/>
  <c r="E25" i="5" s="1"/>
  <c r="F25" i="5" s="1"/>
  <c r="G25" i="5" s="1"/>
  <c r="H25" i="5" s="1"/>
  <c r="I25" i="5" s="1"/>
  <c r="J25" i="5" s="1"/>
  <c r="K25" i="5" s="1"/>
  <c r="L25" i="5" s="1"/>
  <c r="M25" i="5" s="1"/>
  <c r="N25" i="5" s="1"/>
  <c r="O25" i="5" s="1"/>
  <c r="P25" i="5" s="1"/>
  <c r="Q25" i="5" s="1"/>
  <c r="R25" i="5" s="1"/>
  <c r="S25" i="5" s="1"/>
  <c r="T25" i="5" s="1"/>
  <c r="U25" i="5" s="1"/>
  <c r="V25" i="5" s="1"/>
  <c r="W25" i="5" s="1"/>
  <c r="X25" i="5" s="1"/>
  <c r="Y25" i="5" s="1"/>
  <c r="Z25" i="5" s="1"/>
  <c r="AA25" i="5" s="1"/>
  <c r="AB25" i="5" s="1"/>
  <c r="AC25" i="5" s="1"/>
  <c r="AD25" i="5" s="1"/>
  <c r="AE25" i="5" s="1"/>
  <c r="AF25" i="5" s="1"/>
  <c r="AG25" i="5" s="1"/>
  <c r="AH25" i="5" s="1"/>
  <c r="AI25" i="5" s="1"/>
  <c r="AJ25" i="5" s="1"/>
  <c r="AK25" i="5" s="1"/>
  <c r="AL25" i="5" s="1"/>
  <c r="AM25" i="5" s="1"/>
  <c r="AN25" i="5" s="1"/>
  <c r="AO25" i="5" s="1"/>
  <c r="AP25" i="5" s="1"/>
  <c r="AQ25" i="5" s="1"/>
  <c r="AR25" i="5" s="1"/>
  <c r="AS25" i="5" s="1"/>
  <c r="AT25" i="5" s="1"/>
  <c r="AU25" i="5" s="1"/>
  <c r="AV25" i="5" s="1"/>
  <c r="AW25" i="5" s="1"/>
  <c r="AX25" i="5" s="1"/>
  <c r="AY25" i="5" s="1"/>
  <c r="AZ25" i="5" s="1"/>
  <c r="BA25" i="5" s="1"/>
  <c r="BB25" i="5" s="1"/>
  <c r="BC25" i="5" s="1"/>
  <c r="BD25" i="5" s="1"/>
  <c r="BE25" i="5" s="1"/>
  <c r="BF25" i="5" s="1"/>
  <c r="BG25" i="5" s="1"/>
  <c r="BH25" i="5" s="1"/>
  <c r="BI25" i="5" s="1"/>
  <c r="BJ25" i="5" s="1"/>
  <c r="BK25" i="5" s="1"/>
  <c r="BL25" i="5" s="1"/>
  <c r="BM25" i="5" s="1"/>
  <c r="BN25" i="5" s="1"/>
  <c r="BO25" i="5" s="1"/>
  <c r="BP25" i="5" s="1"/>
  <c r="BQ25" i="5" s="1"/>
  <c r="BR25" i="5" s="1"/>
  <c r="BS25" i="5" s="1"/>
  <c r="BT25" i="5" s="1"/>
  <c r="BU25" i="5" s="1"/>
  <c r="BV25" i="5" s="1"/>
  <c r="BW25" i="5" s="1"/>
  <c r="BX25" i="5" s="1"/>
  <c r="BY25" i="5" s="1"/>
  <c r="BZ25" i="5" s="1"/>
  <c r="CA25" i="5" s="1"/>
  <c r="CB25" i="5" s="1"/>
  <c r="CC25" i="5" s="1"/>
  <c r="CD25" i="5" s="1"/>
  <c r="CE25" i="5" s="1"/>
  <c r="CF25" i="5" s="1"/>
  <c r="CG25" i="5" s="1"/>
  <c r="CH25" i="5" s="1"/>
  <c r="CI25" i="5" s="1"/>
  <c r="CJ25" i="5" s="1"/>
  <c r="CK25" i="5" s="1"/>
  <c r="CL25" i="5" s="1"/>
  <c r="CM25" i="5" s="1"/>
  <c r="CN25" i="5" s="1"/>
  <c r="CO25" i="5" s="1"/>
  <c r="CP25" i="5" s="1"/>
  <c r="CQ25" i="5" s="1"/>
  <c r="CR25" i="5" s="1"/>
  <c r="CS25" i="5" s="1"/>
  <c r="CT25" i="5" s="1"/>
  <c r="CU25" i="5" s="1"/>
  <c r="CV25" i="5" s="1"/>
  <c r="CW25" i="5" s="1"/>
  <c r="CX25" i="5" s="1"/>
  <c r="CY25" i="5" s="1"/>
  <c r="CZ25" i="5" s="1"/>
  <c r="DA25" i="5" s="1"/>
  <c r="DB25" i="5" s="1"/>
  <c r="DC25" i="5" s="1"/>
  <c r="DD25" i="5" s="1"/>
  <c r="DE25" i="5" s="1"/>
  <c r="DF25" i="5" s="1"/>
  <c r="DG25" i="5" s="1"/>
  <c r="DH25" i="5" s="1"/>
  <c r="DI25" i="5" s="1"/>
  <c r="DJ25" i="5" s="1"/>
  <c r="DK25" i="5" s="1"/>
  <c r="DL25" i="5" s="1"/>
  <c r="DM25" i="5" s="1"/>
  <c r="DN25" i="5" s="1"/>
  <c r="DO25" i="5" s="1"/>
  <c r="DP25" i="5" s="1"/>
  <c r="DQ25" i="5" s="1"/>
  <c r="DR25" i="5" s="1"/>
  <c r="DS25" i="5" s="1"/>
  <c r="DT25" i="5" s="1"/>
  <c r="DU25" i="5" s="1"/>
  <c r="DV25" i="5" s="1"/>
  <c r="DW25" i="5" s="1"/>
  <c r="DX25" i="5" s="1"/>
  <c r="DY25" i="5" s="1"/>
  <c r="DZ25" i="5" s="1"/>
  <c r="EA25" i="5" s="1"/>
  <c r="EB25" i="5" s="1"/>
  <c r="EC25" i="5" s="1"/>
  <c r="ED25" i="5" s="1"/>
  <c r="EE25" i="5" s="1"/>
  <c r="EF25" i="5" s="1"/>
  <c r="EG6" i="7" l="1"/>
  <c r="AA14" i="10"/>
  <c r="AB14" i="10" s="1"/>
  <c r="AC14" i="10" s="1"/>
  <c r="AD14" i="10" s="1"/>
  <c r="AE14" i="10" s="1"/>
  <c r="AF14" i="10" s="1"/>
  <c r="AG14" i="10" s="1"/>
  <c r="AH14" i="10" s="1"/>
  <c r="AI14" i="10" s="1"/>
  <c r="AJ14" i="10" s="1"/>
  <c r="AK14" i="10" s="1"/>
  <c r="AL14" i="10" s="1"/>
  <c r="AM14" i="10" s="1"/>
  <c r="AN14" i="10" s="1"/>
  <c r="AO14" i="10" s="1"/>
  <c r="AP14" i="10" s="1"/>
  <c r="AQ14" i="10" s="1"/>
  <c r="AR14" i="10" s="1"/>
  <c r="AS14" i="10" s="1"/>
  <c r="AT14" i="10" s="1"/>
  <c r="AU14" i="10" s="1"/>
  <c r="AV14" i="10" s="1"/>
  <c r="AW14" i="10" s="1"/>
  <c r="AX14" i="10" s="1"/>
  <c r="AY14" i="10" s="1"/>
  <c r="AZ14" i="10" s="1"/>
  <c r="BA14" i="10" s="1"/>
  <c r="BB14" i="10" s="1"/>
  <c r="BC14" i="10" s="1"/>
  <c r="BD14" i="10" s="1"/>
  <c r="BE14" i="10" s="1"/>
  <c r="BF14" i="10" s="1"/>
  <c r="BG14" i="10" s="1"/>
  <c r="BH14" i="10" s="1"/>
  <c r="BI14" i="10" s="1"/>
  <c r="BJ14" i="10" s="1"/>
  <c r="BK14" i="10" s="1"/>
  <c r="BL14" i="10" s="1"/>
  <c r="BM14" i="10" s="1"/>
  <c r="BN14" i="10" s="1"/>
  <c r="BO14" i="10" s="1"/>
  <c r="BP14" i="10" s="1"/>
  <c r="BQ14" i="10" s="1"/>
  <c r="BR14" i="10" s="1"/>
  <c r="BS14" i="10" s="1"/>
  <c r="BT14" i="10" s="1"/>
  <c r="BU14" i="10" s="1"/>
  <c r="BV14" i="10" s="1"/>
  <c r="BW14" i="10" s="1"/>
  <c r="BX14" i="10" s="1"/>
  <c r="BY14" i="10" s="1"/>
  <c r="BZ14" i="10" s="1"/>
  <c r="CA14" i="10" s="1"/>
  <c r="CB14" i="10" s="1"/>
  <c r="CC14" i="10" s="1"/>
  <c r="CD14" i="10" s="1"/>
  <c r="CE14" i="10" s="1"/>
  <c r="CF14" i="10" s="1"/>
  <c r="CG14" i="10" s="1"/>
  <c r="CH14" i="10" s="1"/>
  <c r="CI14" i="10" s="1"/>
  <c r="CJ14" i="10" s="1"/>
  <c r="CK14" i="10" s="1"/>
  <c r="CL14" i="10" s="1"/>
  <c r="CM14" i="10" s="1"/>
  <c r="CN14" i="10" s="1"/>
  <c r="CO14" i="10" s="1"/>
  <c r="CP14" i="10" s="1"/>
  <c r="CQ14" i="10" s="1"/>
  <c r="CR14" i="10" s="1"/>
  <c r="CS14" i="10" s="1"/>
  <c r="CT14" i="10" s="1"/>
  <c r="CU14" i="10" s="1"/>
  <c r="CV14" i="10" s="1"/>
  <c r="CW14" i="10" s="1"/>
  <c r="CX14" i="10" s="1"/>
  <c r="CY14" i="10" s="1"/>
  <c r="CZ14" i="10" s="1"/>
  <c r="DA14" i="10" s="1"/>
  <c r="DB14" i="10" s="1"/>
  <c r="DC14" i="10" s="1"/>
  <c r="DD14" i="10" s="1"/>
  <c r="DE14" i="10" s="1"/>
  <c r="DF14" i="10" s="1"/>
  <c r="DG14" i="10" s="1"/>
  <c r="DH14" i="10" s="1"/>
  <c r="DI14" i="10" s="1"/>
  <c r="DJ14" i="10" s="1"/>
  <c r="DK14" i="10" s="1"/>
  <c r="DL14" i="10" s="1"/>
  <c r="DM14" i="10" s="1"/>
  <c r="DN14" i="10" s="1"/>
  <c r="DO14" i="10" s="1"/>
  <c r="DP14" i="10" s="1"/>
  <c r="DQ14" i="10" s="1"/>
  <c r="DR14" i="10" s="1"/>
  <c r="DS14" i="10" s="1"/>
  <c r="DT14" i="10" s="1"/>
  <c r="DU14" i="10" s="1"/>
  <c r="DV14" i="10" s="1"/>
  <c r="DW14" i="10" s="1"/>
  <c r="DX14" i="10" s="1"/>
  <c r="DY14" i="10" s="1"/>
  <c r="DZ14" i="10" s="1"/>
  <c r="EA14" i="10" s="1"/>
  <c r="EB14" i="10" s="1"/>
  <c r="EC14" i="10" s="1"/>
  <c r="ED14" i="10" s="1"/>
  <c r="EE14" i="10" s="1"/>
  <c r="EF14" i="10" s="1"/>
  <c r="DC8" i="10"/>
  <c r="DC7" i="10"/>
  <c r="EA8" i="10"/>
  <c r="EA7" i="10"/>
  <c r="C8" i="10"/>
  <c r="C7" i="10"/>
  <c r="AW7" i="10"/>
  <c r="AW8" i="10"/>
  <c r="AX7" i="10"/>
  <c r="AX8" i="10"/>
  <c r="AO8" i="10"/>
  <c r="AO7" i="10"/>
  <c r="CT7" i="10"/>
  <c r="CT8" i="10"/>
  <c r="DR8" i="10"/>
  <c r="DR7" i="10"/>
  <c r="G8" i="10"/>
  <c r="G7" i="10"/>
  <c r="DS8" i="10"/>
  <c r="DS7" i="10"/>
  <c r="AE8" i="10"/>
  <c r="AE7" i="10"/>
  <c r="DH8" i="10"/>
  <c r="DH7" i="10"/>
  <c r="AF8" i="10"/>
  <c r="AF7" i="10"/>
  <c r="CK7" i="10"/>
  <c r="CK8" i="10"/>
  <c r="BO7" i="10"/>
  <c r="BO8" i="10"/>
  <c r="AN8" i="10"/>
  <c r="AN7" i="10"/>
  <c r="CY8" i="10"/>
  <c r="CY7" i="10"/>
  <c r="DJ7" i="10"/>
  <c r="DJ8" i="10"/>
  <c r="K8" i="10"/>
  <c r="K7" i="10"/>
  <c r="AH8" i="10"/>
  <c r="AH7" i="10"/>
  <c r="CB7" i="10"/>
  <c r="CB8" i="10"/>
  <c r="W8" i="10"/>
  <c r="W7" i="10"/>
  <c r="BE8" i="10"/>
  <c r="BE7" i="10"/>
  <c r="DQ7" i="10"/>
  <c r="DQ8" i="10"/>
  <c r="BF8" i="10"/>
  <c r="BF7" i="10"/>
  <c r="DA8" i="10"/>
  <c r="DA7" i="10"/>
  <c r="BG8" i="10"/>
  <c r="BG7" i="10"/>
  <c r="BS8" i="10"/>
  <c r="BS7" i="10"/>
  <c r="CQ7" i="10"/>
  <c r="CQ8" i="10"/>
  <c r="DZ7" i="10"/>
  <c r="DZ8" i="10"/>
  <c r="AP8" i="10"/>
  <c r="AP7" i="10"/>
  <c r="BT7" i="10"/>
  <c r="BT8" i="10"/>
  <c r="CO8" i="10"/>
  <c r="CO7" i="10"/>
  <c r="BR8" i="10"/>
  <c r="L7" i="10"/>
  <c r="L8" i="10"/>
  <c r="BU8" i="10"/>
  <c r="BU7" i="10"/>
  <c r="CP8" i="10"/>
  <c r="CP7" i="10"/>
  <c r="S7" i="10"/>
  <c r="EB7" i="10"/>
  <c r="CL7" i="10"/>
  <c r="CL8" i="10"/>
  <c r="J7" i="10"/>
  <c r="J8" i="10"/>
  <c r="CM8" i="10"/>
  <c r="CM7" i="10"/>
  <c r="V8" i="10"/>
  <c r="V7" i="10"/>
  <c r="DY7" i="10"/>
  <c r="AQ8" i="10"/>
  <c r="AQ7" i="10"/>
  <c r="BK8" i="10"/>
  <c r="BK7" i="10"/>
  <c r="CZ7" i="10"/>
  <c r="CZ8" i="10"/>
  <c r="AD7" i="10"/>
  <c r="CU7" i="10"/>
  <c r="X8" i="10"/>
  <c r="X7" i="10"/>
  <c r="BV8" i="10"/>
  <c r="BV7" i="10"/>
  <c r="CF8" i="10"/>
  <c r="CF7" i="10"/>
  <c r="ED8" i="10"/>
  <c r="ED7" i="10"/>
  <c r="BI7" i="10"/>
  <c r="EE7" i="10"/>
  <c r="DO8" i="10"/>
  <c r="BJ7" i="10"/>
  <c r="DP8" i="10"/>
  <c r="AM8" i="10"/>
  <c r="AM7" i="10"/>
  <c r="T8" i="10"/>
  <c r="T7" i="10"/>
  <c r="DG8" i="10"/>
  <c r="DG7" i="10"/>
  <c r="Y8" i="10"/>
  <c r="Y7" i="10"/>
  <c r="BC7" i="10"/>
  <c r="BC8" i="10"/>
  <c r="BW8" i="10"/>
  <c r="BW7" i="10"/>
  <c r="DT8" i="10"/>
  <c r="Z7" i="10"/>
  <c r="Z8" i="10"/>
  <c r="DB7" i="10"/>
  <c r="DB8" i="10"/>
  <c r="DU8" i="10"/>
  <c r="DU7" i="10"/>
  <c r="AV8" i="10"/>
  <c r="DV7" i="10"/>
  <c r="DV8" i="10"/>
  <c r="D7" i="10"/>
  <c r="BY7" i="10"/>
  <c r="P8" i="10"/>
  <c r="CR8" i="10"/>
  <c r="I7" i="10"/>
  <c r="I8" i="10"/>
  <c r="H7" i="10"/>
  <c r="AC8" i="10"/>
  <c r="BP8" i="10"/>
  <c r="BH8" i="10"/>
  <c r="BH7" i="10"/>
  <c r="CN7" i="10"/>
  <c r="CN8" i="10"/>
  <c r="AA8" i="10"/>
  <c r="AA7" i="10"/>
  <c r="BX7" i="10"/>
  <c r="BX8" i="10"/>
  <c r="CS8" i="10"/>
  <c r="DD7" i="10"/>
  <c r="DD8" i="10"/>
  <c r="DE7" i="10"/>
  <c r="DE8" i="10"/>
  <c r="EG23" i="9"/>
  <c r="EH15" i="9"/>
  <c r="EH24" i="9"/>
  <c r="EG6" i="9" a="1"/>
  <c r="EG6" i="9" s="1"/>
  <c r="EG7" i="9" s="1"/>
  <c r="EG17" i="9"/>
  <c r="EH16" i="9"/>
  <c r="EG16" i="9"/>
  <c r="EG13" i="9"/>
  <c r="EH13" i="9"/>
  <c r="EG22" i="9"/>
  <c r="EH19" i="9"/>
  <c r="EG19" i="9"/>
  <c r="EH14" i="9"/>
  <c r="EG14" i="9"/>
  <c r="EH23" i="9"/>
  <c r="EH22" i="9"/>
  <c r="EH17" i="9"/>
  <c r="EG21" i="9"/>
  <c r="EH21" i="9"/>
  <c r="EH18" i="9"/>
  <c r="EG18" i="9"/>
  <c r="EG24" i="9"/>
  <c r="EH20" i="9"/>
  <c r="EG20" i="9"/>
  <c r="EG15" i="9"/>
  <c r="EH12" i="9"/>
  <c r="EG12" i="9"/>
  <c r="S8" i="9"/>
  <c r="S7" i="9"/>
  <c r="AY8" i="9"/>
  <c r="AY7" i="9"/>
  <c r="CU8" i="9"/>
  <c r="CU7" i="9"/>
  <c r="DK8" i="9"/>
  <c r="DK7" i="9"/>
  <c r="D7" i="9"/>
  <c r="D8" i="9"/>
  <c r="AZ7" i="9"/>
  <c r="AZ8" i="9"/>
  <c r="CV7" i="9"/>
  <c r="CV8" i="9"/>
  <c r="E7" i="9"/>
  <c r="E8" i="9"/>
  <c r="BA7" i="9"/>
  <c r="BA8" i="9"/>
  <c r="CG7" i="9"/>
  <c r="CG8" i="9"/>
  <c r="DM7" i="9"/>
  <c r="DM8" i="9"/>
  <c r="EC7" i="9"/>
  <c r="EC8" i="9"/>
  <c r="V7" i="9"/>
  <c r="V8" i="9"/>
  <c r="BR7" i="9"/>
  <c r="BR8" i="9"/>
  <c r="CX7" i="9"/>
  <c r="CX8" i="9"/>
  <c r="W7" i="9"/>
  <c r="W8" i="9"/>
  <c r="BS7" i="9"/>
  <c r="BS8" i="9"/>
  <c r="EE7" i="9"/>
  <c r="EE8" i="9"/>
  <c r="CK7" i="9"/>
  <c r="CK8" i="9"/>
  <c r="J7" i="9"/>
  <c r="J8" i="9"/>
  <c r="Z7" i="9"/>
  <c r="Z8" i="9"/>
  <c r="BF7" i="9"/>
  <c r="BF8" i="9"/>
  <c r="CL7" i="9"/>
  <c r="CL8" i="9"/>
  <c r="DB7" i="9"/>
  <c r="DB8" i="9"/>
  <c r="DR7" i="9"/>
  <c r="DR8" i="9"/>
  <c r="K8" i="9"/>
  <c r="K7" i="9"/>
  <c r="CM8" i="9"/>
  <c r="CM7" i="9"/>
  <c r="C8" i="9"/>
  <c r="C7" i="9"/>
  <c r="AI8" i="9"/>
  <c r="AI7" i="9"/>
  <c r="BO8" i="9"/>
  <c r="BO7" i="9"/>
  <c r="EA8" i="9"/>
  <c r="EA7" i="9"/>
  <c r="T7" i="9"/>
  <c r="T8" i="9"/>
  <c r="BP7" i="9"/>
  <c r="BP8" i="9"/>
  <c r="DL7" i="9"/>
  <c r="DL8" i="9"/>
  <c r="DN7" i="9"/>
  <c r="DN8" i="9"/>
  <c r="G7" i="9"/>
  <c r="G8" i="9"/>
  <c r="BC7" i="9"/>
  <c r="BC8" i="9"/>
  <c r="CI7" i="9"/>
  <c r="CI8" i="9"/>
  <c r="CY7" i="9"/>
  <c r="CY8" i="9"/>
  <c r="DO7" i="9"/>
  <c r="DO8" i="9"/>
  <c r="H7" i="9"/>
  <c r="H8" i="9"/>
  <c r="AN7" i="9"/>
  <c r="AN8" i="9"/>
  <c r="CJ7" i="9"/>
  <c r="CJ8" i="9"/>
  <c r="DP7" i="9"/>
  <c r="DP8" i="9"/>
  <c r="I7" i="9"/>
  <c r="I8" i="9"/>
  <c r="AO7" i="9"/>
  <c r="AO8" i="9"/>
  <c r="BU7" i="9"/>
  <c r="BU8" i="9"/>
  <c r="DQ7" i="9"/>
  <c r="DQ8" i="9"/>
  <c r="BV7" i="9"/>
  <c r="BV8" i="9"/>
  <c r="DC8" i="9"/>
  <c r="DC7" i="9"/>
  <c r="L8" i="9"/>
  <c r="L7" i="9"/>
  <c r="AB8" i="9"/>
  <c r="AB7" i="9"/>
  <c r="AR8" i="9"/>
  <c r="AR7" i="9"/>
  <c r="BX8" i="9"/>
  <c r="BX7" i="9"/>
  <c r="CN8" i="9"/>
  <c r="CN7" i="9"/>
  <c r="DD8" i="9"/>
  <c r="DD7" i="9"/>
  <c r="DT8" i="9"/>
  <c r="DT7" i="9"/>
  <c r="BI8" i="9"/>
  <c r="BI7" i="9"/>
  <c r="AD8" i="9"/>
  <c r="AD7" i="9"/>
  <c r="AT8" i="9"/>
  <c r="AT7" i="9"/>
  <c r="BZ8" i="9"/>
  <c r="BZ7" i="9"/>
  <c r="CP8" i="9"/>
  <c r="CP7" i="9"/>
  <c r="DV8" i="9"/>
  <c r="DV7" i="9"/>
  <c r="O8" i="9"/>
  <c r="O7" i="9"/>
  <c r="AE8" i="9"/>
  <c r="AE7" i="9"/>
  <c r="BK8" i="9"/>
  <c r="BK7" i="9"/>
  <c r="CA8" i="9"/>
  <c r="CA7" i="9"/>
  <c r="CQ8" i="9"/>
  <c r="CQ7" i="9"/>
  <c r="DG8" i="9"/>
  <c r="DG7" i="9"/>
  <c r="DW8" i="9"/>
  <c r="DW7" i="9"/>
  <c r="AF8" i="9"/>
  <c r="AF7" i="9"/>
  <c r="CB8" i="9"/>
  <c r="CB7" i="9"/>
  <c r="DH8" i="9"/>
  <c r="DH7" i="9"/>
  <c r="Q8" i="9"/>
  <c r="Q7" i="9"/>
  <c r="AG8" i="9"/>
  <c r="AG7" i="9"/>
  <c r="AW8" i="9"/>
  <c r="AW7" i="9"/>
  <c r="BM8" i="9"/>
  <c r="BM7" i="9"/>
  <c r="CC8" i="9"/>
  <c r="CC7" i="9"/>
  <c r="CS8" i="9"/>
  <c r="CS7" i="9"/>
  <c r="DI8" i="9"/>
  <c r="DI7" i="9"/>
  <c r="DY8" i="9"/>
  <c r="DY7" i="9"/>
  <c r="CE8" i="9"/>
  <c r="CE7" i="9"/>
  <c r="AJ7" i="9"/>
  <c r="AJ8" i="9"/>
  <c r="CF7" i="9"/>
  <c r="CF8" i="9"/>
  <c r="EB7" i="9"/>
  <c r="EB8" i="9"/>
  <c r="U7" i="9"/>
  <c r="U8" i="9"/>
  <c r="AK7" i="9"/>
  <c r="AK8" i="9"/>
  <c r="BQ7" i="9"/>
  <c r="BQ8" i="9"/>
  <c r="CW7" i="9"/>
  <c r="CW8" i="9"/>
  <c r="F7" i="9"/>
  <c r="F8" i="9"/>
  <c r="AL7" i="9"/>
  <c r="AL8" i="9"/>
  <c r="BB7" i="9"/>
  <c r="BB8" i="9"/>
  <c r="CH7" i="9"/>
  <c r="CH8" i="9"/>
  <c r="ED7" i="9"/>
  <c r="ED8" i="9"/>
  <c r="AM7" i="9"/>
  <c r="AM8" i="9"/>
  <c r="X7" i="9"/>
  <c r="X8" i="9"/>
  <c r="BD7" i="9"/>
  <c r="BD8" i="9"/>
  <c r="BT7" i="9"/>
  <c r="BT8" i="9"/>
  <c r="CZ7" i="9"/>
  <c r="CZ8" i="9"/>
  <c r="EF7" i="9"/>
  <c r="EF8" i="9"/>
  <c r="Y7" i="9"/>
  <c r="Y8" i="9"/>
  <c r="BE7" i="9"/>
  <c r="BE8" i="9"/>
  <c r="DA7" i="9"/>
  <c r="DA8" i="9"/>
  <c r="AP7" i="9"/>
  <c r="AP8" i="9"/>
  <c r="AA8" i="9"/>
  <c r="AA7" i="9"/>
  <c r="AQ8" i="9"/>
  <c r="AQ7" i="9"/>
  <c r="BG8" i="9"/>
  <c r="BG7" i="9"/>
  <c r="BW8" i="9"/>
  <c r="BW7" i="9"/>
  <c r="DS8" i="9"/>
  <c r="DS7" i="9"/>
  <c r="BH8" i="9"/>
  <c r="BH7" i="9"/>
  <c r="M8" i="9"/>
  <c r="M7" i="9"/>
  <c r="AC8" i="9"/>
  <c r="AC7" i="9"/>
  <c r="AS8" i="9"/>
  <c r="AS7" i="9"/>
  <c r="BY8" i="9"/>
  <c r="BY7" i="9"/>
  <c r="CO8" i="9"/>
  <c r="CO7" i="9"/>
  <c r="DE8" i="9"/>
  <c r="DE7" i="9"/>
  <c r="DU8" i="9"/>
  <c r="DU7" i="9"/>
  <c r="N8" i="9"/>
  <c r="N7" i="9"/>
  <c r="BJ8" i="9"/>
  <c r="BJ7" i="9"/>
  <c r="DF8" i="9"/>
  <c r="DF7" i="9"/>
  <c r="AU8" i="9"/>
  <c r="AU7" i="9"/>
  <c r="P8" i="9"/>
  <c r="P7" i="9"/>
  <c r="AV8" i="9"/>
  <c r="AV7" i="9"/>
  <c r="BL8" i="9"/>
  <c r="BL7" i="9"/>
  <c r="CR8" i="9"/>
  <c r="CR7" i="9"/>
  <c r="DX8" i="9"/>
  <c r="DX7" i="9"/>
  <c r="R8" i="9"/>
  <c r="R7" i="9"/>
  <c r="AH8" i="9"/>
  <c r="AH7" i="9"/>
  <c r="AX8" i="9"/>
  <c r="AX7" i="9"/>
  <c r="BN8" i="9"/>
  <c r="BN7" i="9"/>
  <c r="CD8" i="9"/>
  <c r="CD7" i="9"/>
  <c r="CT8" i="9"/>
  <c r="CT7" i="9"/>
  <c r="DJ8" i="9"/>
  <c r="DJ7" i="9"/>
  <c r="DZ8" i="9"/>
  <c r="DZ7" i="9"/>
  <c r="AT8" i="7"/>
  <c r="AT7" i="7"/>
  <c r="DR7" i="7"/>
  <c r="DR8" i="7"/>
  <c r="AC7" i="7"/>
  <c r="AC8" i="7"/>
  <c r="CO8" i="7"/>
  <c r="CO7" i="7"/>
  <c r="BU8" i="7"/>
  <c r="BU7" i="7"/>
  <c r="BD8" i="7"/>
  <c r="BD7" i="7"/>
  <c r="CD8" i="7"/>
  <c r="CD7" i="7"/>
  <c r="BV8" i="7"/>
  <c r="BV7" i="7"/>
  <c r="I8" i="7"/>
  <c r="I7" i="7"/>
  <c r="J8" i="7"/>
  <c r="J7" i="7"/>
  <c r="CY7" i="7"/>
  <c r="CY8" i="7"/>
  <c r="AK8" i="7"/>
  <c r="AK7" i="7"/>
  <c r="AL8" i="7"/>
  <c r="AL7" i="7"/>
  <c r="BL8" i="7"/>
  <c r="BL7" i="7"/>
  <c r="BM7" i="7"/>
  <c r="BM8" i="7"/>
  <c r="EC8" i="7"/>
  <c r="EC7" i="7"/>
  <c r="R8" i="7"/>
  <c r="R7" i="7"/>
  <c r="DH8" i="7"/>
  <c r="DH7" i="7"/>
  <c r="BQ7" i="7"/>
  <c r="BQ8" i="7"/>
  <c r="DP8" i="7"/>
  <c r="DP7" i="7"/>
  <c r="EG7" i="7"/>
  <c r="EG8" i="7"/>
  <c r="AV7" i="7"/>
  <c r="AV8" i="7"/>
  <c r="BS7" i="7"/>
  <c r="BS8" i="7"/>
  <c r="CQ8" i="7"/>
  <c r="CQ7" i="7"/>
  <c r="AM8" i="7"/>
  <c r="AM7" i="7"/>
  <c r="DU7" i="7"/>
  <c r="DU8" i="7"/>
  <c r="BA8" i="7"/>
  <c r="BA7" i="7"/>
  <c r="CV8" i="7"/>
  <c r="CV7" i="7"/>
  <c r="M7" i="7"/>
  <c r="BK7" i="7"/>
  <c r="CB7" i="7"/>
  <c r="CB8" i="7"/>
  <c r="AW7" i="7"/>
  <c r="AW8" i="7"/>
  <c r="CR8" i="7"/>
  <c r="CR7" i="7"/>
  <c r="EA7" i="7"/>
  <c r="AN8" i="7"/>
  <c r="AN7" i="7"/>
  <c r="DW8" i="7"/>
  <c r="DW7" i="7"/>
  <c r="G7" i="7"/>
  <c r="G8" i="7"/>
  <c r="BY8" i="7"/>
  <c r="BY7" i="7"/>
  <c r="CX8" i="7"/>
  <c r="CX7" i="7"/>
  <c r="DJ8" i="7"/>
  <c r="DJ7" i="7"/>
  <c r="Z8" i="7"/>
  <c r="V8" i="7"/>
  <c r="V7" i="7"/>
  <c r="BE8" i="7"/>
  <c r="BE7" i="7"/>
  <c r="CP8" i="7"/>
  <c r="CP7" i="7"/>
  <c r="EE7" i="7"/>
  <c r="EE8" i="7"/>
  <c r="DS7" i="7"/>
  <c r="DS8" i="7"/>
  <c r="AD7" i="7"/>
  <c r="AD8" i="7"/>
  <c r="H7" i="7"/>
  <c r="H8" i="7"/>
  <c r="AF8" i="7"/>
  <c r="AF7" i="7"/>
  <c r="CK7" i="7"/>
  <c r="CK8" i="7"/>
  <c r="DO8" i="7"/>
  <c r="W7" i="7"/>
  <c r="W8" i="7"/>
  <c r="BF8" i="7"/>
  <c r="BF7" i="7"/>
  <c r="Y8" i="7"/>
  <c r="Y7" i="7"/>
  <c r="BT8" i="7"/>
  <c r="BT7" i="7"/>
  <c r="DE7" i="7"/>
  <c r="DE8" i="7"/>
  <c r="DI7" i="7"/>
  <c r="DI8" i="7"/>
  <c r="N7" i="7"/>
  <c r="CL8" i="7"/>
  <c r="CL7" i="7"/>
  <c r="AE7" i="7"/>
  <c r="AB8" i="7"/>
  <c r="DQ8" i="7"/>
  <c r="CN8" i="7"/>
  <c r="CN7" i="7"/>
  <c r="DA8" i="7"/>
  <c r="DA7" i="7"/>
  <c r="DZ8" i="7"/>
  <c r="DZ7" i="7"/>
  <c r="AU7" i="7"/>
  <c r="AU8" i="7"/>
  <c r="CS8" i="7"/>
  <c r="CS7" i="7"/>
  <c r="E7" i="7"/>
  <c r="E8" i="7"/>
  <c r="BJ7" i="7"/>
  <c r="Q8" i="7"/>
  <c r="Q7" i="7"/>
  <c r="BB8" i="7"/>
  <c r="BB7" i="7"/>
  <c r="CW7" i="7"/>
  <c r="CW8" i="7"/>
  <c r="S8" i="7"/>
  <c r="S7" i="7"/>
  <c r="BC8" i="7"/>
  <c r="BC7" i="7"/>
  <c r="BN8" i="7"/>
  <c r="BN7" i="7"/>
  <c r="P7" i="7"/>
  <c r="CC7" i="7"/>
  <c r="AA8" i="7"/>
  <c r="T8" i="7"/>
  <c r="T7" i="7"/>
  <c r="AR7" i="7"/>
  <c r="AR8" i="7"/>
  <c r="U8" i="7"/>
  <c r="U7" i="7"/>
  <c r="AS8" i="7"/>
  <c r="AS7" i="7"/>
  <c r="CZ8" i="7"/>
  <c r="CZ7" i="7"/>
  <c r="DY8" i="7"/>
  <c r="DY7" i="7"/>
  <c r="K7" i="7"/>
  <c r="DT8" i="7"/>
  <c r="DV8" i="7"/>
  <c r="DV7" i="7"/>
  <c r="BO7" i="7"/>
  <c r="DK7" i="7"/>
  <c r="CH8" i="7"/>
  <c r="CH7" i="7"/>
  <c r="EF8" i="7"/>
  <c r="EF7" i="7"/>
  <c r="CM7" i="7"/>
  <c r="BP7" i="7"/>
  <c r="L8" i="7"/>
  <c r="CJ8" i="7"/>
  <c r="CJ7" i="7"/>
  <c r="DD8" i="7"/>
  <c r="DD7" i="7"/>
  <c r="DN8" i="7"/>
  <c r="DN7" i="7"/>
  <c r="BX8" i="7"/>
  <c r="BX7" i="7"/>
  <c r="F8" i="7"/>
  <c r="F7" i="7"/>
  <c r="BR8" i="7"/>
  <c r="BR7" i="7"/>
  <c r="C7" i="7"/>
  <c r="BW7" i="7"/>
  <c r="D7" i="7"/>
  <c r="D19" i="8"/>
  <c r="E19" i="8" s="1"/>
  <c r="F19" i="8" s="1"/>
  <c r="G19" i="8" s="1"/>
  <c r="H19" i="8" s="1"/>
  <c r="I19" i="8" s="1"/>
  <c r="J19" i="8" s="1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D19" i="8" s="1"/>
  <c r="AE19" i="8" s="1"/>
  <c r="AF19" i="8" s="1"/>
  <c r="AG19" i="8" s="1"/>
  <c r="AH19" i="8" s="1"/>
  <c r="AI19" i="8" s="1"/>
  <c r="AJ19" i="8" s="1"/>
  <c r="AK19" i="8" s="1"/>
  <c r="AL19" i="8" s="1"/>
  <c r="AM19" i="8" s="1"/>
  <c r="AN19" i="8" s="1"/>
  <c r="AO19" i="8" s="1"/>
  <c r="AP19" i="8" s="1"/>
  <c r="AQ19" i="8" s="1"/>
  <c r="AR19" i="8" s="1"/>
  <c r="AS19" i="8" s="1"/>
  <c r="AT19" i="8" s="1"/>
  <c r="AU19" i="8" s="1"/>
  <c r="AV19" i="8" s="1"/>
  <c r="AW19" i="8" s="1"/>
  <c r="AX19" i="8" s="1"/>
  <c r="AY19" i="8" s="1"/>
  <c r="AZ19" i="8" s="1"/>
  <c r="BA19" i="8" s="1"/>
  <c r="BB19" i="8" s="1"/>
  <c r="BC19" i="8" s="1"/>
  <c r="BD19" i="8" s="1"/>
  <c r="BE19" i="8" s="1"/>
  <c r="BF19" i="8" s="1"/>
  <c r="BG19" i="8" s="1"/>
  <c r="BH19" i="8" s="1"/>
  <c r="BI19" i="8" s="1"/>
  <c r="BJ19" i="8" s="1"/>
  <c r="BK19" i="8" s="1"/>
  <c r="BL19" i="8" s="1"/>
  <c r="BM19" i="8" s="1"/>
  <c r="BN19" i="8" s="1"/>
  <c r="BO19" i="8" s="1"/>
  <c r="BP19" i="8" s="1"/>
  <c r="BQ19" i="8" s="1"/>
  <c r="BR19" i="8" s="1"/>
  <c r="BS19" i="8" s="1"/>
  <c r="BT19" i="8" s="1"/>
  <c r="BU19" i="8" s="1"/>
  <c r="BV19" i="8" s="1"/>
  <c r="BW19" i="8" s="1"/>
  <c r="BX19" i="8" s="1"/>
  <c r="BY19" i="8" s="1"/>
  <c r="BZ19" i="8" s="1"/>
  <c r="CA19" i="8" s="1"/>
  <c r="CB19" i="8" s="1"/>
  <c r="CC19" i="8" s="1"/>
  <c r="CD19" i="8" s="1"/>
  <c r="CE19" i="8" s="1"/>
  <c r="CF19" i="8" s="1"/>
  <c r="CG19" i="8" s="1"/>
  <c r="CH19" i="8" s="1"/>
  <c r="CI19" i="8" s="1"/>
  <c r="CJ19" i="8" s="1"/>
  <c r="CK19" i="8" s="1"/>
  <c r="CL19" i="8" s="1"/>
  <c r="CM19" i="8" s="1"/>
  <c r="CN19" i="8" s="1"/>
  <c r="CO19" i="8" s="1"/>
  <c r="CP19" i="8" s="1"/>
  <c r="CQ19" i="8" s="1"/>
  <c r="CR19" i="8" s="1"/>
  <c r="CS19" i="8" s="1"/>
  <c r="CT19" i="8" s="1"/>
  <c r="CU19" i="8" s="1"/>
  <c r="CV19" i="8" s="1"/>
  <c r="CW19" i="8" s="1"/>
  <c r="CX19" i="8" s="1"/>
  <c r="CY19" i="8" s="1"/>
  <c r="CZ19" i="8" s="1"/>
  <c r="DA19" i="8" s="1"/>
  <c r="DB19" i="8" s="1"/>
  <c r="DC19" i="8" s="1"/>
  <c r="DD19" i="8" s="1"/>
  <c r="DE19" i="8" s="1"/>
  <c r="DF19" i="8" s="1"/>
  <c r="DG19" i="8" s="1"/>
  <c r="DH19" i="8" s="1"/>
  <c r="DI19" i="8" s="1"/>
  <c r="DJ19" i="8" s="1"/>
  <c r="DK19" i="8" s="1"/>
  <c r="DL19" i="8" s="1"/>
  <c r="DM19" i="8" s="1"/>
  <c r="DN19" i="8" s="1"/>
  <c r="DO19" i="8" s="1"/>
  <c r="DP19" i="8" s="1"/>
  <c r="DQ19" i="8" s="1"/>
  <c r="DR19" i="8" s="1"/>
  <c r="DS19" i="8" s="1"/>
  <c r="DT19" i="8" s="1"/>
  <c r="DU19" i="8" s="1"/>
  <c r="DV19" i="8" s="1"/>
  <c r="DW19" i="8" s="1"/>
  <c r="DX19" i="8" s="1"/>
  <c r="DY19" i="8" s="1"/>
  <c r="DZ19" i="8" s="1"/>
  <c r="EA19" i="8" s="1"/>
  <c r="EB19" i="8" s="1"/>
  <c r="EC19" i="8" s="1"/>
  <c r="ED19" i="8" s="1"/>
  <c r="EE19" i="8" s="1"/>
  <c r="EF19" i="8" s="1"/>
  <c r="D18" i="8"/>
  <c r="E18" i="8" s="1"/>
  <c r="F18" i="8" s="1"/>
  <c r="G18" i="8" s="1"/>
  <c r="H18" i="8" s="1"/>
  <c r="I18" i="8" s="1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AH18" i="8" s="1"/>
  <c r="AI18" i="8" s="1"/>
  <c r="AJ18" i="8" s="1"/>
  <c r="AK18" i="8" s="1"/>
  <c r="AL18" i="8" s="1"/>
  <c r="AM18" i="8" s="1"/>
  <c r="AN18" i="8" s="1"/>
  <c r="AO18" i="8" s="1"/>
  <c r="AP18" i="8" s="1"/>
  <c r="AQ18" i="8" s="1"/>
  <c r="AR18" i="8" s="1"/>
  <c r="AS18" i="8" s="1"/>
  <c r="AT18" i="8" s="1"/>
  <c r="AU18" i="8" s="1"/>
  <c r="AV18" i="8" s="1"/>
  <c r="AW18" i="8" s="1"/>
  <c r="AX18" i="8" s="1"/>
  <c r="AY18" i="8" s="1"/>
  <c r="AZ18" i="8" s="1"/>
  <c r="BA18" i="8" s="1"/>
  <c r="BB18" i="8" s="1"/>
  <c r="BC18" i="8" s="1"/>
  <c r="BD18" i="8" s="1"/>
  <c r="BE18" i="8" s="1"/>
  <c r="BF18" i="8" s="1"/>
  <c r="BG18" i="8" s="1"/>
  <c r="BH18" i="8" s="1"/>
  <c r="BI18" i="8" s="1"/>
  <c r="BJ18" i="8" s="1"/>
  <c r="BK18" i="8" s="1"/>
  <c r="BL18" i="8" s="1"/>
  <c r="BM18" i="8" s="1"/>
  <c r="BN18" i="8" s="1"/>
  <c r="BO18" i="8" s="1"/>
  <c r="BP18" i="8" s="1"/>
  <c r="BQ18" i="8" s="1"/>
  <c r="BR18" i="8" s="1"/>
  <c r="BS18" i="8" s="1"/>
  <c r="BT18" i="8" s="1"/>
  <c r="BU18" i="8" s="1"/>
  <c r="BV18" i="8" s="1"/>
  <c r="BW18" i="8" s="1"/>
  <c r="BX18" i="8" s="1"/>
  <c r="BY18" i="8" s="1"/>
  <c r="BZ18" i="8" s="1"/>
  <c r="CA18" i="8" s="1"/>
  <c r="CB18" i="8" s="1"/>
  <c r="CC18" i="8" s="1"/>
  <c r="CD18" i="8" s="1"/>
  <c r="CE18" i="8" s="1"/>
  <c r="CF18" i="8" s="1"/>
  <c r="CG18" i="8" s="1"/>
  <c r="CH18" i="8" s="1"/>
  <c r="CI18" i="8" s="1"/>
  <c r="CJ18" i="8" s="1"/>
  <c r="CK18" i="8" s="1"/>
  <c r="CL18" i="8" s="1"/>
  <c r="CM18" i="8" s="1"/>
  <c r="CN18" i="8" s="1"/>
  <c r="CO18" i="8" s="1"/>
  <c r="CP18" i="8" s="1"/>
  <c r="CQ18" i="8" s="1"/>
  <c r="CR18" i="8" s="1"/>
  <c r="CS18" i="8" s="1"/>
  <c r="CT18" i="8" s="1"/>
  <c r="CU18" i="8" s="1"/>
  <c r="CV18" i="8" s="1"/>
  <c r="CW18" i="8" s="1"/>
  <c r="CX18" i="8" s="1"/>
  <c r="CY18" i="8" s="1"/>
  <c r="CZ18" i="8" s="1"/>
  <c r="DA18" i="8" s="1"/>
  <c r="DB18" i="8" s="1"/>
  <c r="DC18" i="8" s="1"/>
  <c r="DD18" i="8" s="1"/>
  <c r="DE18" i="8" s="1"/>
  <c r="DF18" i="8" s="1"/>
  <c r="DG18" i="8" s="1"/>
  <c r="DH18" i="8" s="1"/>
  <c r="DI18" i="8" s="1"/>
  <c r="DJ18" i="8" s="1"/>
  <c r="DK18" i="8" s="1"/>
  <c r="DL18" i="8" s="1"/>
  <c r="DM18" i="8" s="1"/>
  <c r="DN18" i="8" s="1"/>
  <c r="DO18" i="8" s="1"/>
  <c r="DP18" i="8" s="1"/>
  <c r="DQ18" i="8" s="1"/>
  <c r="DR18" i="8" s="1"/>
  <c r="DS18" i="8" s="1"/>
  <c r="DT18" i="8" s="1"/>
  <c r="DU18" i="8" s="1"/>
  <c r="DV18" i="8" s="1"/>
  <c r="DW18" i="8" s="1"/>
  <c r="DX18" i="8" s="1"/>
  <c r="DY18" i="8" s="1"/>
  <c r="DZ18" i="8" s="1"/>
  <c r="EA18" i="8" s="1"/>
  <c r="EB18" i="8" s="1"/>
  <c r="EC18" i="8" s="1"/>
  <c r="ED18" i="8" s="1"/>
  <c r="EE18" i="8" s="1"/>
  <c r="EF18" i="8" s="1"/>
  <c r="D17" i="8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AH17" i="8" s="1"/>
  <c r="AI17" i="8" s="1"/>
  <c r="AJ17" i="8" s="1"/>
  <c r="AK17" i="8" s="1"/>
  <c r="AL17" i="8" s="1"/>
  <c r="AM17" i="8" s="1"/>
  <c r="AN17" i="8" s="1"/>
  <c r="AO17" i="8" s="1"/>
  <c r="AP17" i="8" s="1"/>
  <c r="AQ17" i="8" s="1"/>
  <c r="AR17" i="8" s="1"/>
  <c r="AS17" i="8" s="1"/>
  <c r="AT17" i="8" s="1"/>
  <c r="AU17" i="8" s="1"/>
  <c r="AV17" i="8" s="1"/>
  <c r="AW17" i="8" s="1"/>
  <c r="AX17" i="8" s="1"/>
  <c r="AY17" i="8" s="1"/>
  <c r="AZ17" i="8" s="1"/>
  <c r="BA17" i="8" s="1"/>
  <c r="BB17" i="8" s="1"/>
  <c r="BC17" i="8" s="1"/>
  <c r="BD17" i="8" s="1"/>
  <c r="BE17" i="8" s="1"/>
  <c r="BF17" i="8" s="1"/>
  <c r="BG17" i="8" s="1"/>
  <c r="BH17" i="8" s="1"/>
  <c r="BI17" i="8" s="1"/>
  <c r="BJ17" i="8" s="1"/>
  <c r="BK17" i="8" s="1"/>
  <c r="BL17" i="8" s="1"/>
  <c r="BM17" i="8" s="1"/>
  <c r="BN17" i="8" s="1"/>
  <c r="BO17" i="8" s="1"/>
  <c r="BP17" i="8" s="1"/>
  <c r="BQ17" i="8" s="1"/>
  <c r="BR17" i="8" s="1"/>
  <c r="BS17" i="8" s="1"/>
  <c r="BT17" i="8" s="1"/>
  <c r="BU17" i="8" s="1"/>
  <c r="BV17" i="8" s="1"/>
  <c r="BW17" i="8" s="1"/>
  <c r="BX17" i="8" s="1"/>
  <c r="BY17" i="8" s="1"/>
  <c r="BZ17" i="8" s="1"/>
  <c r="CA17" i="8" s="1"/>
  <c r="CB17" i="8" s="1"/>
  <c r="CC17" i="8" s="1"/>
  <c r="CD17" i="8" s="1"/>
  <c r="CE17" i="8" s="1"/>
  <c r="CF17" i="8" s="1"/>
  <c r="CG17" i="8" s="1"/>
  <c r="CH17" i="8" s="1"/>
  <c r="CI17" i="8" s="1"/>
  <c r="CJ17" i="8" s="1"/>
  <c r="CK17" i="8" s="1"/>
  <c r="CL17" i="8" s="1"/>
  <c r="CM17" i="8" s="1"/>
  <c r="CN17" i="8" s="1"/>
  <c r="CO17" i="8" s="1"/>
  <c r="CP17" i="8" s="1"/>
  <c r="CQ17" i="8" s="1"/>
  <c r="CR17" i="8" s="1"/>
  <c r="CS17" i="8" s="1"/>
  <c r="CT17" i="8" s="1"/>
  <c r="CU17" i="8" s="1"/>
  <c r="CV17" i="8" s="1"/>
  <c r="CW17" i="8" s="1"/>
  <c r="CX17" i="8" s="1"/>
  <c r="CY17" i="8" s="1"/>
  <c r="CZ17" i="8" s="1"/>
  <c r="DA17" i="8" s="1"/>
  <c r="DB17" i="8" s="1"/>
  <c r="DC17" i="8" s="1"/>
  <c r="DD17" i="8" s="1"/>
  <c r="DE17" i="8" s="1"/>
  <c r="DF17" i="8" s="1"/>
  <c r="DG17" i="8" s="1"/>
  <c r="DH17" i="8" s="1"/>
  <c r="DI17" i="8" s="1"/>
  <c r="DJ17" i="8" s="1"/>
  <c r="DK17" i="8" s="1"/>
  <c r="DL17" i="8" s="1"/>
  <c r="DM17" i="8" s="1"/>
  <c r="DN17" i="8" s="1"/>
  <c r="DO17" i="8" s="1"/>
  <c r="DP17" i="8" s="1"/>
  <c r="DQ17" i="8" s="1"/>
  <c r="DR17" i="8" s="1"/>
  <c r="DS17" i="8" s="1"/>
  <c r="DT17" i="8" s="1"/>
  <c r="DU17" i="8" s="1"/>
  <c r="DV17" i="8" s="1"/>
  <c r="DW17" i="8" s="1"/>
  <c r="DX17" i="8" s="1"/>
  <c r="DY17" i="8" s="1"/>
  <c r="DZ17" i="8" s="1"/>
  <c r="EA17" i="8" s="1"/>
  <c r="EB17" i="8" s="1"/>
  <c r="EC17" i="8" s="1"/>
  <c r="ED17" i="8" s="1"/>
  <c r="EE17" i="8" s="1"/>
  <c r="EF17" i="8" s="1"/>
  <c r="D16" i="8"/>
  <c r="E16" i="8" s="1"/>
  <c r="F16" i="8" s="1"/>
  <c r="G16" i="8" s="1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D16" i="8" s="1"/>
  <c r="AE16" i="8" s="1"/>
  <c r="AF16" i="8" s="1"/>
  <c r="AG16" i="8" s="1"/>
  <c r="AH16" i="8" s="1"/>
  <c r="AI16" i="8" s="1"/>
  <c r="AJ16" i="8" s="1"/>
  <c r="AK16" i="8" s="1"/>
  <c r="AL16" i="8" s="1"/>
  <c r="AM16" i="8" s="1"/>
  <c r="AN16" i="8" s="1"/>
  <c r="AO16" i="8" s="1"/>
  <c r="AP16" i="8" s="1"/>
  <c r="AQ16" i="8" s="1"/>
  <c r="AR16" i="8" s="1"/>
  <c r="AS16" i="8" s="1"/>
  <c r="AT16" i="8" s="1"/>
  <c r="AU16" i="8" s="1"/>
  <c r="AV16" i="8" s="1"/>
  <c r="AW16" i="8" s="1"/>
  <c r="AX16" i="8" s="1"/>
  <c r="AY16" i="8" s="1"/>
  <c r="AZ16" i="8" s="1"/>
  <c r="BA16" i="8" s="1"/>
  <c r="BB16" i="8" s="1"/>
  <c r="BC16" i="8" s="1"/>
  <c r="BD16" i="8" s="1"/>
  <c r="BE16" i="8" s="1"/>
  <c r="BF16" i="8" s="1"/>
  <c r="BG16" i="8" s="1"/>
  <c r="BH16" i="8" s="1"/>
  <c r="BI16" i="8" s="1"/>
  <c r="BJ16" i="8" s="1"/>
  <c r="BK16" i="8" s="1"/>
  <c r="BL16" i="8" s="1"/>
  <c r="BM16" i="8" s="1"/>
  <c r="BN16" i="8" s="1"/>
  <c r="BO16" i="8" s="1"/>
  <c r="BP16" i="8" s="1"/>
  <c r="BQ16" i="8" s="1"/>
  <c r="BR16" i="8" s="1"/>
  <c r="BS16" i="8" s="1"/>
  <c r="BT16" i="8" s="1"/>
  <c r="BU16" i="8" s="1"/>
  <c r="BV16" i="8" s="1"/>
  <c r="BW16" i="8" s="1"/>
  <c r="BX16" i="8" s="1"/>
  <c r="BY16" i="8" s="1"/>
  <c r="BZ16" i="8" s="1"/>
  <c r="CA16" i="8" s="1"/>
  <c r="CB16" i="8" s="1"/>
  <c r="CC16" i="8" s="1"/>
  <c r="CD16" i="8" s="1"/>
  <c r="CE16" i="8" s="1"/>
  <c r="CF16" i="8" s="1"/>
  <c r="CG16" i="8" s="1"/>
  <c r="CH16" i="8" s="1"/>
  <c r="CI16" i="8" s="1"/>
  <c r="CJ16" i="8" s="1"/>
  <c r="CK16" i="8" s="1"/>
  <c r="CL16" i="8" s="1"/>
  <c r="CM16" i="8" s="1"/>
  <c r="CN16" i="8" s="1"/>
  <c r="CO16" i="8" s="1"/>
  <c r="CP16" i="8" s="1"/>
  <c r="CQ16" i="8" s="1"/>
  <c r="CR16" i="8" s="1"/>
  <c r="CS16" i="8" s="1"/>
  <c r="CT16" i="8" s="1"/>
  <c r="CU16" i="8" s="1"/>
  <c r="CV16" i="8" s="1"/>
  <c r="CW16" i="8" s="1"/>
  <c r="CX16" i="8" s="1"/>
  <c r="CY16" i="8" s="1"/>
  <c r="CZ16" i="8" s="1"/>
  <c r="DA16" i="8" s="1"/>
  <c r="DB16" i="8" s="1"/>
  <c r="DC16" i="8" s="1"/>
  <c r="DD16" i="8" s="1"/>
  <c r="DE16" i="8" s="1"/>
  <c r="DF16" i="8" s="1"/>
  <c r="DG16" i="8" s="1"/>
  <c r="DH16" i="8" s="1"/>
  <c r="DI16" i="8" s="1"/>
  <c r="DJ16" i="8" s="1"/>
  <c r="DK16" i="8" s="1"/>
  <c r="DL16" i="8" s="1"/>
  <c r="DM16" i="8" s="1"/>
  <c r="DN16" i="8" s="1"/>
  <c r="DO16" i="8" s="1"/>
  <c r="DP16" i="8" s="1"/>
  <c r="DQ16" i="8" s="1"/>
  <c r="DR16" i="8" s="1"/>
  <c r="DS16" i="8" s="1"/>
  <c r="DT16" i="8" s="1"/>
  <c r="DU16" i="8" s="1"/>
  <c r="DV16" i="8" s="1"/>
  <c r="DW16" i="8" s="1"/>
  <c r="DX16" i="8" s="1"/>
  <c r="DY16" i="8" s="1"/>
  <c r="DZ16" i="8" s="1"/>
  <c r="EA16" i="8" s="1"/>
  <c r="EB16" i="8" s="1"/>
  <c r="EC16" i="8" s="1"/>
  <c r="ED16" i="8" s="1"/>
  <c r="EE16" i="8" s="1"/>
  <c r="EF16" i="8" s="1"/>
  <c r="E15" i="8"/>
  <c r="F15" i="8" s="1"/>
  <c r="G15" i="8" s="1"/>
  <c r="H15" i="8" s="1"/>
  <c r="I15" i="8" s="1"/>
  <c r="J15" i="8" s="1"/>
  <c r="K15" i="8" s="1"/>
  <c r="L15" i="8" s="1"/>
  <c r="M15" i="8" s="1"/>
  <c r="N15" i="8" s="1"/>
  <c r="O15" i="8" s="1"/>
  <c r="P15" i="8" s="1"/>
  <c r="Q15" i="8" s="1"/>
  <c r="R15" i="8" s="1"/>
  <c r="S15" i="8" s="1"/>
  <c r="T15" i="8" s="1"/>
  <c r="U15" i="8" s="1"/>
  <c r="V15" i="8" s="1"/>
  <c r="W15" i="8" s="1"/>
  <c r="X15" i="8" s="1"/>
  <c r="Y15" i="8" s="1"/>
  <c r="Z15" i="8" s="1"/>
  <c r="AA15" i="8" s="1"/>
  <c r="AB15" i="8" s="1"/>
  <c r="AC15" i="8" s="1"/>
  <c r="AD15" i="8" s="1"/>
  <c r="AE15" i="8" s="1"/>
  <c r="AF15" i="8" s="1"/>
  <c r="AG15" i="8" s="1"/>
  <c r="AH15" i="8" s="1"/>
  <c r="AI15" i="8" s="1"/>
  <c r="AJ15" i="8" s="1"/>
  <c r="AK15" i="8" s="1"/>
  <c r="AL15" i="8" s="1"/>
  <c r="AM15" i="8" s="1"/>
  <c r="AN15" i="8" s="1"/>
  <c r="AO15" i="8" s="1"/>
  <c r="AP15" i="8" s="1"/>
  <c r="AQ15" i="8" s="1"/>
  <c r="AR15" i="8" s="1"/>
  <c r="AS15" i="8" s="1"/>
  <c r="AT15" i="8" s="1"/>
  <c r="AU15" i="8" s="1"/>
  <c r="AV15" i="8" s="1"/>
  <c r="AW15" i="8" s="1"/>
  <c r="AX15" i="8" s="1"/>
  <c r="AY15" i="8" s="1"/>
  <c r="AZ15" i="8" s="1"/>
  <c r="BA15" i="8" s="1"/>
  <c r="BB15" i="8" s="1"/>
  <c r="BC15" i="8" s="1"/>
  <c r="BD15" i="8" s="1"/>
  <c r="BE15" i="8" s="1"/>
  <c r="BF15" i="8" s="1"/>
  <c r="BG15" i="8" s="1"/>
  <c r="BH15" i="8" s="1"/>
  <c r="BI15" i="8" s="1"/>
  <c r="BJ15" i="8" s="1"/>
  <c r="BK15" i="8" s="1"/>
  <c r="BL15" i="8" s="1"/>
  <c r="BM15" i="8" s="1"/>
  <c r="BN15" i="8" s="1"/>
  <c r="BO15" i="8" s="1"/>
  <c r="BP15" i="8" s="1"/>
  <c r="BQ15" i="8" s="1"/>
  <c r="BR15" i="8" s="1"/>
  <c r="BS15" i="8" s="1"/>
  <c r="BT15" i="8" s="1"/>
  <c r="BU15" i="8" s="1"/>
  <c r="BV15" i="8" s="1"/>
  <c r="BW15" i="8" s="1"/>
  <c r="BX15" i="8" s="1"/>
  <c r="BY15" i="8" s="1"/>
  <c r="BZ15" i="8" s="1"/>
  <c r="CA15" i="8" s="1"/>
  <c r="CB15" i="8" s="1"/>
  <c r="CC15" i="8" s="1"/>
  <c r="CD15" i="8" s="1"/>
  <c r="CE15" i="8" s="1"/>
  <c r="CF15" i="8" s="1"/>
  <c r="CG15" i="8" s="1"/>
  <c r="CH15" i="8" s="1"/>
  <c r="CI15" i="8" s="1"/>
  <c r="CJ15" i="8" s="1"/>
  <c r="CK15" i="8" s="1"/>
  <c r="CL15" i="8" s="1"/>
  <c r="CM15" i="8" s="1"/>
  <c r="CN15" i="8" s="1"/>
  <c r="CO15" i="8" s="1"/>
  <c r="CP15" i="8" s="1"/>
  <c r="CQ15" i="8" s="1"/>
  <c r="CR15" i="8" s="1"/>
  <c r="CS15" i="8" s="1"/>
  <c r="CT15" i="8" s="1"/>
  <c r="CU15" i="8" s="1"/>
  <c r="CV15" i="8" s="1"/>
  <c r="CW15" i="8" s="1"/>
  <c r="CX15" i="8" s="1"/>
  <c r="CY15" i="8" s="1"/>
  <c r="CZ15" i="8" s="1"/>
  <c r="DA15" i="8" s="1"/>
  <c r="DB15" i="8" s="1"/>
  <c r="DC15" i="8" s="1"/>
  <c r="DD15" i="8" s="1"/>
  <c r="DE15" i="8" s="1"/>
  <c r="DF15" i="8" s="1"/>
  <c r="DG15" i="8" s="1"/>
  <c r="DH15" i="8" s="1"/>
  <c r="DI15" i="8" s="1"/>
  <c r="DJ15" i="8" s="1"/>
  <c r="DK15" i="8" s="1"/>
  <c r="DL15" i="8" s="1"/>
  <c r="DM15" i="8" s="1"/>
  <c r="DN15" i="8" s="1"/>
  <c r="DO15" i="8" s="1"/>
  <c r="DP15" i="8" s="1"/>
  <c r="DQ15" i="8" s="1"/>
  <c r="DR15" i="8" s="1"/>
  <c r="DS15" i="8" s="1"/>
  <c r="DT15" i="8" s="1"/>
  <c r="DU15" i="8" s="1"/>
  <c r="DV15" i="8" s="1"/>
  <c r="DW15" i="8" s="1"/>
  <c r="DX15" i="8" s="1"/>
  <c r="DY15" i="8" s="1"/>
  <c r="DZ15" i="8" s="1"/>
  <c r="EA15" i="8" s="1"/>
  <c r="EB15" i="8" s="1"/>
  <c r="EC15" i="8" s="1"/>
  <c r="ED15" i="8" s="1"/>
  <c r="EE15" i="8" s="1"/>
  <c r="EF15" i="8" s="1"/>
  <c r="D15" i="8"/>
  <c r="D14" i="8"/>
  <c r="E14" i="8" s="1"/>
  <c r="F14" i="8" s="1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AH14" i="8" s="1"/>
  <c r="AI14" i="8" s="1"/>
  <c r="AJ14" i="8" s="1"/>
  <c r="AK14" i="8" s="1"/>
  <c r="AL14" i="8" s="1"/>
  <c r="AM14" i="8" s="1"/>
  <c r="AN14" i="8" s="1"/>
  <c r="AO14" i="8" s="1"/>
  <c r="AP14" i="8" s="1"/>
  <c r="AQ14" i="8" s="1"/>
  <c r="AR14" i="8" s="1"/>
  <c r="AS14" i="8" s="1"/>
  <c r="AT14" i="8" s="1"/>
  <c r="AU14" i="8" s="1"/>
  <c r="AV14" i="8" s="1"/>
  <c r="AW14" i="8" s="1"/>
  <c r="AX14" i="8" s="1"/>
  <c r="AY14" i="8" s="1"/>
  <c r="AZ14" i="8" s="1"/>
  <c r="BA14" i="8" s="1"/>
  <c r="BB14" i="8" s="1"/>
  <c r="BC14" i="8" s="1"/>
  <c r="BD14" i="8" s="1"/>
  <c r="BE14" i="8" s="1"/>
  <c r="BF14" i="8" s="1"/>
  <c r="BG14" i="8" s="1"/>
  <c r="BH14" i="8" s="1"/>
  <c r="BI14" i="8" s="1"/>
  <c r="BJ14" i="8" s="1"/>
  <c r="BK14" i="8" s="1"/>
  <c r="BL14" i="8" s="1"/>
  <c r="BM14" i="8" s="1"/>
  <c r="BN14" i="8" s="1"/>
  <c r="BO14" i="8" s="1"/>
  <c r="BP14" i="8" s="1"/>
  <c r="BQ14" i="8" s="1"/>
  <c r="BR14" i="8" s="1"/>
  <c r="BS14" i="8" s="1"/>
  <c r="BT14" i="8" s="1"/>
  <c r="BU14" i="8" s="1"/>
  <c r="BV14" i="8" s="1"/>
  <c r="BW14" i="8" s="1"/>
  <c r="BX14" i="8" s="1"/>
  <c r="BY14" i="8" s="1"/>
  <c r="BZ14" i="8" s="1"/>
  <c r="CA14" i="8" s="1"/>
  <c r="CB14" i="8" s="1"/>
  <c r="CC14" i="8" s="1"/>
  <c r="CD14" i="8" s="1"/>
  <c r="CE14" i="8" s="1"/>
  <c r="CF14" i="8" s="1"/>
  <c r="CG14" i="8" s="1"/>
  <c r="CH14" i="8" s="1"/>
  <c r="CI14" i="8" s="1"/>
  <c r="CJ14" i="8" s="1"/>
  <c r="CK14" i="8" s="1"/>
  <c r="CL14" i="8" s="1"/>
  <c r="CM14" i="8" s="1"/>
  <c r="CN14" i="8" s="1"/>
  <c r="CO14" i="8" s="1"/>
  <c r="CP14" i="8" s="1"/>
  <c r="CQ14" i="8" s="1"/>
  <c r="CR14" i="8" s="1"/>
  <c r="CS14" i="8" s="1"/>
  <c r="CT14" i="8" s="1"/>
  <c r="CU14" i="8" s="1"/>
  <c r="CV14" i="8" s="1"/>
  <c r="CW14" i="8" s="1"/>
  <c r="CX14" i="8" s="1"/>
  <c r="CY14" i="8" s="1"/>
  <c r="CZ14" i="8" s="1"/>
  <c r="DA14" i="8" s="1"/>
  <c r="DB14" i="8" s="1"/>
  <c r="DC14" i="8" s="1"/>
  <c r="DD14" i="8" s="1"/>
  <c r="DE14" i="8" s="1"/>
  <c r="DF14" i="8" s="1"/>
  <c r="DG14" i="8" s="1"/>
  <c r="DH14" i="8" s="1"/>
  <c r="DI14" i="8" s="1"/>
  <c r="DJ14" i="8" s="1"/>
  <c r="DK14" i="8" s="1"/>
  <c r="DL14" i="8" s="1"/>
  <c r="DM14" i="8" s="1"/>
  <c r="DN14" i="8" s="1"/>
  <c r="DO14" i="8" s="1"/>
  <c r="DP14" i="8" s="1"/>
  <c r="DQ14" i="8" s="1"/>
  <c r="DR14" i="8" s="1"/>
  <c r="DS14" i="8" s="1"/>
  <c r="DT14" i="8" s="1"/>
  <c r="DU14" i="8" s="1"/>
  <c r="DV14" i="8" s="1"/>
  <c r="DW14" i="8" s="1"/>
  <c r="DX14" i="8" s="1"/>
  <c r="DY14" i="8" s="1"/>
  <c r="DZ14" i="8" s="1"/>
  <c r="EA14" i="8" s="1"/>
  <c r="EB14" i="8" s="1"/>
  <c r="EC14" i="8" s="1"/>
  <c r="ED14" i="8" s="1"/>
  <c r="EE14" i="8" s="1"/>
  <c r="EF14" i="8" s="1"/>
  <c r="E13" i="8"/>
  <c r="F13" i="8" s="1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AH13" i="8" s="1"/>
  <c r="AI13" i="8" s="1"/>
  <c r="AJ13" i="8" s="1"/>
  <c r="AK13" i="8" s="1"/>
  <c r="AL13" i="8" s="1"/>
  <c r="AM13" i="8" s="1"/>
  <c r="AN13" i="8" s="1"/>
  <c r="AO13" i="8" s="1"/>
  <c r="AP13" i="8" s="1"/>
  <c r="AQ13" i="8" s="1"/>
  <c r="AR13" i="8" s="1"/>
  <c r="AS13" i="8" s="1"/>
  <c r="AT13" i="8" s="1"/>
  <c r="AU13" i="8" s="1"/>
  <c r="AV13" i="8" s="1"/>
  <c r="AW13" i="8" s="1"/>
  <c r="AX13" i="8" s="1"/>
  <c r="AY13" i="8" s="1"/>
  <c r="AZ13" i="8" s="1"/>
  <c r="BA13" i="8" s="1"/>
  <c r="BB13" i="8" s="1"/>
  <c r="BC13" i="8" s="1"/>
  <c r="BD13" i="8" s="1"/>
  <c r="BE13" i="8" s="1"/>
  <c r="BF13" i="8" s="1"/>
  <c r="BG13" i="8" s="1"/>
  <c r="BH13" i="8" s="1"/>
  <c r="BI13" i="8" s="1"/>
  <c r="BJ13" i="8" s="1"/>
  <c r="BK13" i="8" s="1"/>
  <c r="BL13" i="8" s="1"/>
  <c r="BM13" i="8" s="1"/>
  <c r="BN13" i="8" s="1"/>
  <c r="BO13" i="8" s="1"/>
  <c r="BP13" i="8" s="1"/>
  <c r="BQ13" i="8" s="1"/>
  <c r="BR13" i="8" s="1"/>
  <c r="BS13" i="8" s="1"/>
  <c r="BT13" i="8" s="1"/>
  <c r="BU13" i="8" s="1"/>
  <c r="BV13" i="8" s="1"/>
  <c r="BW13" i="8" s="1"/>
  <c r="BX13" i="8" s="1"/>
  <c r="BY13" i="8" s="1"/>
  <c r="BZ13" i="8" s="1"/>
  <c r="CA13" i="8" s="1"/>
  <c r="CB13" i="8" s="1"/>
  <c r="CC13" i="8" s="1"/>
  <c r="CD13" i="8" s="1"/>
  <c r="CE13" i="8" s="1"/>
  <c r="CF13" i="8" s="1"/>
  <c r="CG13" i="8" s="1"/>
  <c r="CH13" i="8" s="1"/>
  <c r="CI13" i="8" s="1"/>
  <c r="CJ13" i="8" s="1"/>
  <c r="CK13" i="8" s="1"/>
  <c r="CL13" i="8" s="1"/>
  <c r="CM13" i="8" s="1"/>
  <c r="CN13" i="8" s="1"/>
  <c r="CO13" i="8" s="1"/>
  <c r="CP13" i="8" s="1"/>
  <c r="CQ13" i="8" s="1"/>
  <c r="CR13" i="8" s="1"/>
  <c r="CS13" i="8" s="1"/>
  <c r="CT13" i="8" s="1"/>
  <c r="CU13" i="8" s="1"/>
  <c r="CV13" i="8" s="1"/>
  <c r="CW13" i="8" s="1"/>
  <c r="CX13" i="8" s="1"/>
  <c r="CY13" i="8" s="1"/>
  <c r="CZ13" i="8" s="1"/>
  <c r="DA13" i="8" s="1"/>
  <c r="DB13" i="8" s="1"/>
  <c r="DC13" i="8" s="1"/>
  <c r="DD13" i="8" s="1"/>
  <c r="DE13" i="8" s="1"/>
  <c r="DF13" i="8" s="1"/>
  <c r="DG13" i="8" s="1"/>
  <c r="DH13" i="8" s="1"/>
  <c r="DI13" i="8" s="1"/>
  <c r="DJ13" i="8" s="1"/>
  <c r="DK13" i="8" s="1"/>
  <c r="DL13" i="8" s="1"/>
  <c r="DM13" i="8" s="1"/>
  <c r="DN13" i="8" s="1"/>
  <c r="DO13" i="8" s="1"/>
  <c r="DP13" i="8" s="1"/>
  <c r="DQ13" i="8" s="1"/>
  <c r="DR13" i="8" s="1"/>
  <c r="DS13" i="8" s="1"/>
  <c r="DT13" i="8" s="1"/>
  <c r="DU13" i="8" s="1"/>
  <c r="DV13" i="8" s="1"/>
  <c r="DW13" i="8" s="1"/>
  <c r="DX13" i="8" s="1"/>
  <c r="DY13" i="8" s="1"/>
  <c r="DZ13" i="8" s="1"/>
  <c r="EA13" i="8" s="1"/>
  <c r="EB13" i="8" s="1"/>
  <c r="EC13" i="8" s="1"/>
  <c r="ED13" i="8" s="1"/>
  <c r="EE13" i="8" s="1"/>
  <c r="EF13" i="8" s="1"/>
  <c r="D13" i="8"/>
  <c r="D12" i="8"/>
  <c r="E12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AH12" i="8" s="1"/>
  <c r="AI12" i="8" s="1"/>
  <c r="AJ12" i="8" s="1"/>
  <c r="AK12" i="8" s="1"/>
  <c r="AL12" i="8" s="1"/>
  <c r="AM12" i="8" s="1"/>
  <c r="AN12" i="8" s="1"/>
  <c r="AO12" i="8" s="1"/>
  <c r="AP12" i="8" s="1"/>
  <c r="AQ12" i="8" s="1"/>
  <c r="AR12" i="8" s="1"/>
  <c r="AS12" i="8" s="1"/>
  <c r="AT12" i="8" s="1"/>
  <c r="AU12" i="8" s="1"/>
  <c r="AV12" i="8" s="1"/>
  <c r="AW12" i="8" s="1"/>
  <c r="AX12" i="8" s="1"/>
  <c r="AY12" i="8" s="1"/>
  <c r="AZ12" i="8" s="1"/>
  <c r="BA12" i="8" s="1"/>
  <c r="BB12" i="8" s="1"/>
  <c r="BC12" i="8" s="1"/>
  <c r="BD12" i="8" s="1"/>
  <c r="BE12" i="8" s="1"/>
  <c r="BF12" i="8" s="1"/>
  <c r="BG12" i="8" s="1"/>
  <c r="BH12" i="8" s="1"/>
  <c r="BI12" i="8" s="1"/>
  <c r="BJ12" i="8" s="1"/>
  <c r="BK12" i="8" s="1"/>
  <c r="BL12" i="8" s="1"/>
  <c r="BM12" i="8" s="1"/>
  <c r="BN12" i="8" s="1"/>
  <c r="BO12" i="8" s="1"/>
  <c r="BP12" i="8" s="1"/>
  <c r="BQ12" i="8" s="1"/>
  <c r="BR12" i="8" s="1"/>
  <c r="BS12" i="8" s="1"/>
  <c r="BT12" i="8" s="1"/>
  <c r="BU12" i="8" s="1"/>
  <c r="BV12" i="8" s="1"/>
  <c r="BW12" i="8" s="1"/>
  <c r="BX12" i="8" s="1"/>
  <c r="BY12" i="8" s="1"/>
  <c r="BZ12" i="8" s="1"/>
  <c r="CA12" i="8" s="1"/>
  <c r="CB12" i="8" s="1"/>
  <c r="CC12" i="8" s="1"/>
  <c r="CD12" i="8" s="1"/>
  <c r="CE12" i="8" s="1"/>
  <c r="CF12" i="8" s="1"/>
  <c r="CG12" i="8" s="1"/>
  <c r="CH12" i="8" s="1"/>
  <c r="CI12" i="8" s="1"/>
  <c r="CJ12" i="8" s="1"/>
  <c r="CK12" i="8" s="1"/>
  <c r="CL12" i="8" s="1"/>
  <c r="CM12" i="8" s="1"/>
  <c r="CN12" i="8" s="1"/>
  <c r="CO12" i="8" s="1"/>
  <c r="CP12" i="8" s="1"/>
  <c r="CQ12" i="8" s="1"/>
  <c r="CR12" i="8" s="1"/>
  <c r="CS12" i="8" s="1"/>
  <c r="CT12" i="8" s="1"/>
  <c r="CU12" i="8" s="1"/>
  <c r="CV12" i="8" s="1"/>
  <c r="CW12" i="8" s="1"/>
  <c r="CX12" i="8" s="1"/>
  <c r="CY12" i="8" s="1"/>
  <c r="CZ12" i="8" s="1"/>
  <c r="DA12" i="8" s="1"/>
  <c r="DB12" i="8" s="1"/>
  <c r="DC12" i="8" s="1"/>
  <c r="DD12" i="8" s="1"/>
  <c r="DE12" i="8" s="1"/>
  <c r="DF12" i="8" s="1"/>
  <c r="DG12" i="8" s="1"/>
  <c r="DH12" i="8" s="1"/>
  <c r="DI12" i="8" s="1"/>
  <c r="DJ12" i="8" s="1"/>
  <c r="DK12" i="8" s="1"/>
  <c r="DL12" i="8" s="1"/>
  <c r="DM12" i="8" s="1"/>
  <c r="DN12" i="8" s="1"/>
  <c r="DO12" i="8" s="1"/>
  <c r="DP12" i="8" s="1"/>
  <c r="DQ12" i="8" s="1"/>
  <c r="DR12" i="8" s="1"/>
  <c r="DS12" i="8" s="1"/>
  <c r="DT12" i="8" s="1"/>
  <c r="DU12" i="8" s="1"/>
  <c r="DV12" i="8" s="1"/>
  <c r="DW12" i="8" s="1"/>
  <c r="DX12" i="8" s="1"/>
  <c r="DY12" i="8" s="1"/>
  <c r="DZ12" i="8" s="1"/>
  <c r="EA12" i="8" s="1"/>
  <c r="EB12" i="8" s="1"/>
  <c r="EC12" i="8" s="1"/>
  <c r="ED12" i="8" s="1"/>
  <c r="EE12" i="8" s="1"/>
  <c r="EF12" i="8" s="1"/>
  <c r="EG6" i="8" a="1"/>
  <c r="EG6" i="8" s="1"/>
  <c r="EF6" i="8" a="1"/>
  <c r="EF6" i="8" s="1"/>
  <c r="EE6" i="8" a="1"/>
  <c r="EE6" i="8" s="1"/>
  <c r="ED6" i="8" a="1"/>
  <c r="ED6" i="8" s="1"/>
  <c r="EC6" i="8" a="1"/>
  <c r="EC6" i="8" s="1"/>
  <c r="EB6" i="8" a="1"/>
  <c r="EB6" i="8" s="1"/>
  <c r="EA6" i="8" a="1"/>
  <c r="EA6" i="8" s="1"/>
  <c r="DZ6" i="8" a="1"/>
  <c r="DZ6" i="8" s="1"/>
  <c r="DY6" i="8" a="1"/>
  <c r="DY6" i="8" s="1"/>
  <c r="DX6" i="8" a="1"/>
  <c r="DX6" i="8" s="1"/>
  <c r="DW6" i="8" a="1"/>
  <c r="DW6" i="8" s="1"/>
  <c r="DV6" i="8" a="1"/>
  <c r="DV6" i="8" s="1"/>
  <c r="DU6" i="8" a="1"/>
  <c r="DU6" i="8" s="1"/>
  <c r="DT6" i="8" a="1"/>
  <c r="DT6" i="8" s="1"/>
  <c r="DS6" i="8" a="1"/>
  <c r="DS6" i="8" s="1"/>
  <c r="DR6" i="8" a="1"/>
  <c r="DR6" i="8"/>
  <c r="DQ6" i="8" a="1"/>
  <c r="DQ6" i="8" s="1"/>
  <c r="DP6" i="8" a="1"/>
  <c r="DP6" i="8" s="1"/>
  <c r="DO6" i="8" a="1"/>
  <c r="DO6" i="8" s="1"/>
  <c r="DN6" i="8" a="1"/>
  <c r="DN6" i="8" s="1"/>
  <c r="DM6" i="8" a="1"/>
  <c r="DM6" i="8" s="1"/>
  <c r="DL6" i="8" a="1"/>
  <c r="DL6" i="8" s="1"/>
  <c r="DK6" i="8" a="1"/>
  <c r="DK6" i="8"/>
  <c r="DJ6" i="8" a="1"/>
  <c r="DJ6" i="8" s="1"/>
  <c r="DI6" i="8" a="1"/>
  <c r="DI6" i="8" s="1"/>
  <c r="DH6" i="8" a="1"/>
  <c r="DH6" i="8" s="1"/>
  <c r="DG6" i="8" a="1"/>
  <c r="DG6" i="8"/>
  <c r="DF6" i="8" a="1"/>
  <c r="DF6" i="8" s="1"/>
  <c r="DE6" i="8" a="1"/>
  <c r="DE6" i="8"/>
  <c r="DD6" i="8" a="1"/>
  <c r="DD6" i="8"/>
  <c r="DC6" i="8" a="1"/>
  <c r="DC6" i="8"/>
  <c r="DB6" i="8" a="1"/>
  <c r="DB6" i="8" s="1"/>
  <c r="DA6" i="8" a="1"/>
  <c r="DA6" i="8" s="1"/>
  <c r="CZ6" i="8" a="1"/>
  <c r="CZ6" i="8"/>
  <c r="CY6" i="8" a="1"/>
  <c r="CY6" i="8" s="1"/>
  <c r="CX6" i="8" a="1"/>
  <c r="CX6" i="8" s="1"/>
  <c r="CW6" i="8" a="1"/>
  <c r="CW6" i="8"/>
  <c r="CV6" i="8" a="1"/>
  <c r="CV6" i="8" s="1"/>
  <c r="CU6" i="8" a="1"/>
  <c r="CU6" i="8"/>
  <c r="CT6" i="8" a="1"/>
  <c r="CT6" i="8" s="1"/>
  <c r="CS6" i="8" a="1"/>
  <c r="CS6" i="8" s="1"/>
  <c r="CR6" i="8" a="1"/>
  <c r="CR6" i="8" s="1"/>
  <c r="CQ6" i="8" a="1"/>
  <c r="CQ6" i="8"/>
  <c r="CP6" i="8" a="1"/>
  <c r="CP6" i="8" s="1"/>
  <c r="CO6" i="8" a="1"/>
  <c r="CO6" i="8"/>
  <c r="CN6" i="8" a="1"/>
  <c r="CN6" i="8"/>
  <c r="CM6" i="8" a="1"/>
  <c r="CM6" i="8"/>
  <c r="CL6" i="8" a="1"/>
  <c r="CL6" i="8"/>
  <c r="CK6" i="8" a="1"/>
  <c r="CK6" i="8" s="1"/>
  <c r="CJ6" i="8" a="1"/>
  <c r="CJ6" i="8"/>
  <c r="CI6" i="8" a="1"/>
  <c r="CI6" i="8" s="1"/>
  <c r="CH6" i="8" a="1"/>
  <c r="CH6" i="8" s="1"/>
  <c r="CG6" i="8" a="1"/>
  <c r="CG6" i="8"/>
  <c r="CF6" i="8" a="1"/>
  <c r="CF6" i="8"/>
  <c r="CE6" i="8" a="1"/>
  <c r="CE6" i="8"/>
  <c r="CD6" i="8" a="1"/>
  <c r="CD6" i="8" s="1"/>
  <c r="CC6" i="8" a="1"/>
  <c r="CC6" i="8" s="1"/>
  <c r="CB6" i="8" a="1"/>
  <c r="CB6" i="8" s="1"/>
  <c r="CA6" i="8" a="1"/>
  <c r="CA6" i="8"/>
  <c r="BZ6" i="8" a="1"/>
  <c r="BZ6" i="8" s="1"/>
  <c r="BY6" i="8" a="1"/>
  <c r="BY6" i="8"/>
  <c r="BX6" i="8" a="1"/>
  <c r="BX6" i="8"/>
  <c r="BW6" i="8" a="1"/>
  <c r="BW6" i="8"/>
  <c r="BV6" i="8" a="1"/>
  <c r="BV6" i="8" s="1"/>
  <c r="BU6" i="8" a="1"/>
  <c r="BU6" i="8" s="1"/>
  <c r="BT6" i="8" a="1"/>
  <c r="BT6" i="8"/>
  <c r="BS6" i="8" a="1"/>
  <c r="BS6" i="8" s="1"/>
  <c r="BR6" i="8" a="1"/>
  <c r="BR6" i="8" s="1"/>
  <c r="BQ6" i="8" a="1"/>
  <c r="BQ6" i="8"/>
  <c r="BP6" i="8" a="1"/>
  <c r="BP6" i="8" s="1"/>
  <c r="BO6" i="8" a="1"/>
  <c r="BO6" i="8"/>
  <c r="BN6" i="8" a="1"/>
  <c r="BN6" i="8"/>
  <c r="BM6" i="8" a="1"/>
  <c r="BM6" i="8" s="1"/>
  <c r="BL6" i="8" a="1"/>
  <c r="BL6" i="8" s="1"/>
  <c r="BK6" i="8" a="1"/>
  <c r="BK6" i="8"/>
  <c r="BJ6" i="8" a="1"/>
  <c r="BJ6" i="8" s="1"/>
  <c r="BI6" i="8" a="1"/>
  <c r="BI6" i="8" s="1"/>
  <c r="BH6" i="8" a="1"/>
  <c r="BH6" i="8" s="1"/>
  <c r="BG6" i="8" a="1"/>
  <c r="BG6" i="8" s="1"/>
  <c r="BF6" i="8" a="1"/>
  <c r="BF6" i="8"/>
  <c r="BE6" i="8" a="1"/>
  <c r="BE6" i="8" s="1"/>
  <c r="BD6" i="8" a="1"/>
  <c r="BD6" i="8"/>
  <c r="BC6" i="8" a="1"/>
  <c r="BC6" i="8" s="1"/>
  <c r="BB6" i="8" a="1"/>
  <c r="BB6" i="8" s="1"/>
  <c r="BA6" i="8" a="1"/>
  <c r="BA6" i="8"/>
  <c r="AZ6" i="8" a="1"/>
  <c r="AZ6" i="8" s="1"/>
  <c r="AY6" i="8" a="1"/>
  <c r="AY6" i="8" s="1"/>
  <c r="AX6" i="8" a="1"/>
  <c r="AX6" i="8" s="1"/>
  <c r="AW6" i="8" a="1"/>
  <c r="AW6" i="8" s="1"/>
  <c r="AV6" i="8" a="1"/>
  <c r="AV6" i="8"/>
  <c r="AU6" i="8" a="1"/>
  <c r="AU6" i="8" s="1"/>
  <c r="AT6" i="8" a="1"/>
  <c r="AT6" i="8" s="1"/>
  <c r="AS6" i="8" a="1"/>
  <c r="AS6" i="8" s="1"/>
  <c r="AR6" i="8" a="1"/>
  <c r="AR6" i="8" s="1"/>
  <c r="AQ6" i="8" a="1"/>
  <c r="AQ6" i="8" s="1"/>
  <c r="AP6" i="8" a="1"/>
  <c r="AP6" i="8" s="1"/>
  <c r="AO6" i="8" a="1"/>
  <c r="AO6" i="8" s="1"/>
  <c r="AN6" i="8" a="1"/>
  <c r="AN6" i="8" s="1"/>
  <c r="AM6" i="8" a="1"/>
  <c r="AM6" i="8" s="1"/>
  <c r="AL6" i="8" a="1"/>
  <c r="AL6" i="8" s="1"/>
  <c r="AK6" i="8" a="1"/>
  <c r="AK6" i="8" s="1"/>
  <c r="AJ6" i="8" a="1"/>
  <c r="AJ6" i="8"/>
  <c r="AI6" i="8" a="1"/>
  <c r="AI6" i="8" s="1"/>
  <c r="AH6" i="8" a="1"/>
  <c r="AH6" i="8" s="1"/>
  <c r="AG6" i="8" a="1"/>
  <c r="AG6" i="8" s="1"/>
  <c r="AF6" i="8" a="1"/>
  <c r="AF6" i="8" s="1"/>
  <c r="AE6" i="8" a="1"/>
  <c r="AE6" i="8"/>
  <c r="AD6" i="8" a="1"/>
  <c r="AD6" i="8" s="1"/>
  <c r="AC6" i="8" a="1"/>
  <c r="AC6" i="8" s="1"/>
  <c r="AB6" i="8" a="1"/>
  <c r="AB6" i="8" s="1"/>
  <c r="AA6" i="8" a="1"/>
  <c r="AA6" i="8" s="1"/>
  <c r="Z6" i="8" a="1"/>
  <c r="Z6" i="8" s="1"/>
  <c r="Y6" i="8" a="1"/>
  <c r="Y6" i="8" s="1"/>
  <c r="X6" i="8" a="1"/>
  <c r="X6" i="8" s="1"/>
  <c r="W6" i="8" a="1"/>
  <c r="W6" i="8"/>
  <c r="V6" i="8" a="1"/>
  <c r="V6" i="8" s="1"/>
  <c r="U6" i="8" a="1"/>
  <c r="U6" i="8"/>
  <c r="T6" i="8" a="1"/>
  <c r="T6" i="8" s="1"/>
  <c r="S6" i="8" a="1"/>
  <c r="S6" i="8" s="1"/>
  <c r="R6" i="8" a="1"/>
  <c r="R6" i="8"/>
  <c r="Q6" i="8" a="1"/>
  <c r="Q6" i="8" s="1"/>
  <c r="P6" i="8" a="1"/>
  <c r="P6" i="8"/>
  <c r="O6" i="8" a="1"/>
  <c r="O6" i="8" s="1"/>
  <c r="N6" i="8" a="1"/>
  <c r="N6" i="8" s="1"/>
  <c r="M6" i="8" a="1"/>
  <c r="M6" i="8"/>
  <c r="L6" i="8" a="1"/>
  <c r="L6" i="8" s="1"/>
  <c r="K6" i="8" a="1"/>
  <c r="K6" i="8" s="1"/>
  <c r="J6" i="8" a="1"/>
  <c r="J6" i="8" s="1"/>
  <c r="I6" i="8" a="1"/>
  <c r="I6" i="8" s="1"/>
  <c r="H6" i="8" a="1"/>
  <c r="H6" i="8" s="1"/>
  <c r="G6" i="8" a="1"/>
  <c r="G6" i="8"/>
  <c r="F6" i="8" a="1"/>
  <c r="F6" i="8" s="1"/>
  <c r="E6" i="8" a="1"/>
  <c r="E6" i="8" s="1"/>
  <c r="D6" i="8" a="1"/>
  <c r="D6" i="8"/>
  <c r="C6" i="8" a="1"/>
  <c r="C6" i="8" s="1"/>
  <c r="D25" i="6"/>
  <c r="E25" i="6" s="1"/>
  <c r="F25" i="6" s="1"/>
  <c r="G25" i="6" s="1"/>
  <c r="H25" i="6" s="1"/>
  <c r="I25" i="6" s="1"/>
  <c r="J25" i="6" s="1"/>
  <c r="K25" i="6" s="1"/>
  <c r="L25" i="6" s="1"/>
  <c r="M25" i="6" s="1"/>
  <c r="N25" i="6" s="1"/>
  <c r="O25" i="6" s="1"/>
  <c r="P25" i="6" s="1"/>
  <c r="Q25" i="6" s="1"/>
  <c r="R25" i="6" s="1"/>
  <c r="S25" i="6" s="1"/>
  <c r="T25" i="6" s="1"/>
  <c r="U25" i="6" s="1"/>
  <c r="V25" i="6" s="1"/>
  <c r="W25" i="6" s="1"/>
  <c r="X25" i="6" s="1"/>
  <c r="Y25" i="6" s="1"/>
  <c r="Z25" i="6" s="1"/>
  <c r="AA25" i="6" s="1"/>
  <c r="AB25" i="6" s="1"/>
  <c r="AC25" i="6" s="1"/>
  <c r="AD25" i="6" s="1"/>
  <c r="AE25" i="6" s="1"/>
  <c r="AF25" i="6" s="1"/>
  <c r="AG25" i="6" s="1"/>
  <c r="AH25" i="6" s="1"/>
  <c r="AI25" i="6" s="1"/>
  <c r="AJ25" i="6" s="1"/>
  <c r="AK25" i="6" s="1"/>
  <c r="AL25" i="6" s="1"/>
  <c r="AM25" i="6" s="1"/>
  <c r="AN25" i="6" s="1"/>
  <c r="AO25" i="6" s="1"/>
  <c r="AP25" i="6" s="1"/>
  <c r="AQ25" i="6" s="1"/>
  <c r="AR25" i="6" s="1"/>
  <c r="AS25" i="6" s="1"/>
  <c r="AT25" i="6" s="1"/>
  <c r="AU25" i="6" s="1"/>
  <c r="AV25" i="6" s="1"/>
  <c r="AW25" i="6" s="1"/>
  <c r="AX25" i="6" s="1"/>
  <c r="AY25" i="6" s="1"/>
  <c r="AZ25" i="6" s="1"/>
  <c r="BA25" i="6" s="1"/>
  <c r="BB25" i="6" s="1"/>
  <c r="BC25" i="6" s="1"/>
  <c r="BD25" i="6" s="1"/>
  <c r="BE25" i="6" s="1"/>
  <c r="BF25" i="6" s="1"/>
  <c r="BG25" i="6" s="1"/>
  <c r="BH25" i="6" s="1"/>
  <c r="BI25" i="6" s="1"/>
  <c r="BJ25" i="6" s="1"/>
  <c r="BK25" i="6" s="1"/>
  <c r="BL25" i="6" s="1"/>
  <c r="BM25" i="6" s="1"/>
  <c r="BN25" i="6" s="1"/>
  <c r="BO25" i="6" s="1"/>
  <c r="BP25" i="6" s="1"/>
  <c r="BQ25" i="6" s="1"/>
  <c r="BR25" i="6" s="1"/>
  <c r="BS25" i="6" s="1"/>
  <c r="BT25" i="6" s="1"/>
  <c r="BU25" i="6" s="1"/>
  <c r="BV25" i="6" s="1"/>
  <c r="BW25" i="6" s="1"/>
  <c r="BX25" i="6" s="1"/>
  <c r="BY25" i="6" s="1"/>
  <c r="BZ25" i="6" s="1"/>
  <c r="CA25" i="6" s="1"/>
  <c r="CB25" i="6" s="1"/>
  <c r="CC25" i="6" s="1"/>
  <c r="CD25" i="6" s="1"/>
  <c r="CE25" i="6" s="1"/>
  <c r="CF25" i="6" s="1"/>
  <c r="CG25" i="6" s="1"/>
  <c r="CH25" i="6" s="1"/>
  <c r="CI25" i="6" s="1"/>
  <c r="CJ25" i="6" s="1"/>
  <c r="CK25" i="6" s="1"/>
  <c r="CL25" i="6" s="1"/>
  <c r="CM25" i="6" s="1"/>
  <c r="CN25" i="6" s="1"/>
  <c r="CO25" i="6" s="1"/>
  <c r="CP25" i="6" s="1"/>
  <c r="CQ25" i="6" s="1"/>
  <c r="CR25" i="6" s="1"/>
  <c r="CS25" i="6" s="1"/>
  <c r="CT25" i="6" s="1"/>
  <c r="CU25" i="6" s="1"/>
  <c r="CV25" i="6" s="1"/>
  <c r="CW25" i="6" s="1"/>
  <c r="CX25" i="6" s="1"/>
  <c r="CY25" i="6" s="1"/>
  <c r="CZ25" i="6" s="1"/>
  <c r="DA25" i="6" s="1"/>
  <c r="DB25" i="6" s="1"/>
  <c r="DC25" i="6" s="1"/>
  <c r="DD25" i="6" s="1"/>
  <c r="DE25" i="6" s="1"/>
  <c r="DF25" i="6" s="1"/>
  <c r="DG25" i="6" s="1"/>
  <c r="DH25" i="6" s="1"/>
  <c r="DI25" i="6" s="1"/>
  <c r="DJ25" i="6" s="1"/>
  <c r="DK25" i="6" s="1"/>
  <c r="DL25" i="6" s="1"/>
  <c r="DM25" i="6" s="1"/>
  <c r="DN25" i="6" s="1"/>
  <c r="DO25" i="6" s="1"/>
  <c r="DP25" i="6" s="1"/>
  <c r="DQ25" i="6" s="1"/>
  <c r="DR25" i="6" s="1"/>
  <c r="DS25" i="6" s="1"/>
  <c r="DT25" i="6" s="1"/>
  <c r="DU25" i="6" s="1"/>
  <c r="DV25" i="6" s="1"/>
  <c r="DW25" i="6" s="1"/>
  <c r="DX25" i="6" s="1"/>
  <c r="DY25" i="6" s="1"/>
  <c r="DZ25" i="6" s="1"/>
  <c r="EA25" i="6" s="1"/>
  <c r="EB25" i="6" s="1"/>
  <c r="EC25" i="6" s="1"/>
  <c r="ED25" i="6" s="1"/>
  <c r="EE25" i="6" s="1"/>
  <c r="EF25" i="6" s="1"/>
  <c r="P24" i="6"/>
  <c r="Q24" i="6" s="1"/>
  <c r="R24" i="6" s="1"/>
  <c r="S24" i="6" s="1"/>
  <c r="T24" i="6" s="1"/>
  <c r="U24" i="6" s="1"/>
  <c r="V24" i="6" s="1"/>
  <c r="W24" i="6" s="1"/>
  <c r="X24" i="6" s="1"/>
  <c r="Y24" i="6" s="1"/>
  <c r="Z24" i="6" s="1"/>
  <c r="AA24" i="6" s="1"/>
  <c r="AB24" i="6" s="1"/>
  <c r="AC24" i="6" s="1"/>
  <c r="AD24" i="6" s="1"/>
  <c r="AE24" i="6" s="1"/>
  <c r="AF24" i="6" s="1"/>
  <c r="AG24" i="6" s="1"/>
  <c r="AH24" i="6" s="1"/>
  <c r="AI24" i="6" s="1"/>
  <c r="AJ24" i="6" s="1"/>
  <c r="AK24" i="6" s="1"/>
  <c r="AL24" i="6" s="1"/>
  <c r="AM24" i="6" s="1"/>
  <c r="AN24" i="6" s="1"/>
  <c r="AO24" i="6" s="1"/>
  <c r="AP24" i="6" s="1"/>
  <c r="AQ24" i="6" s="1"/>
  <c r="AR24" i="6" s="1"/>
  <c r="AS24" i="6" s="1"/>
  <c r="AT24" i="6" s="1"/>
  <c r="AU24" i="6" s="1"/>
  <c r="AV24" i="6" s="1"/>
  <c r="AW24" i="6" s="1"/>
  <c r="AX24" i="6" s="1"/>
  <c r="AY24" i="6" s="1"/>
  <c r="AZ24" i="6" s="1"/>
  <c r="BA24" i="6" s="1"/>
  <c r="BB24" i="6" s="1"/>
  <c r="BC24" i="6" s="1"/>
  <c r="BD24" i="6" s="1"/>
  <c r="BE24" i="6" s="1"/>
  <c r="BF24" i="6" s="1"/>
  <c r="BG24" i="6" s="1"/>
  <c r="BH24" i="6" s="1"/>
  <c r="BI24" i="6" s="1"/>
  <c r="BJ24" i="6" s="1"/>
  <c r="BK24" i="6" s="1"/>
  <c r="BL24" i="6" s="1"/>
  <c r="BM24" i="6" s="1"/>
  <c r="BN24" i="6" s="1"/>
  <c r="BO24" i="6" s="1"/>
  <c r="BP24" i="6" s="1"/>
  <c r="BQ24" i="6" s="1"/>
  <c r="BR24" i="6" s="1"/>
  <c r="BS24" i="6" s="1"/>
  <c r="BT24" i="6" s="1"/>
  <c r="BU24" i="6" s="1"/>
  <c r="BV24" i="6" s="1"/>
  <c r="BW24" i="6" s="1"/>
  <c r="BX24" i="6" s="1"/>
  <c r="BY24" i="6" s="1"/>
  <c r="BZ24" i="6" s="1"/>
  <c r="CA24" i="6" s="1"/>
  <c r="CB24" i="6" s="1"/>
  <c r="CC24" i="6" s="1"/>
  <c r="CD24" i="6" s="1"/>
  <c r="CE24" i="6" s="1"/>
  <c r="CF24" i="6" s="1"/>
  <c r="CG24" i="6" s="1"/>
  <c r="CH24" i="6" s="1"/>
  <c r="CI24" i="6" s="1"/>
  <c r="CJ24" i="6" s="1"/>
  <c r="CK24" i="6" s="1"/>
  <c r="CL24" i="6" s="1"/>
  <c r="CM24" i="6" s="1"/>
  <c r="CN24" i="6" s="1"/>
  <c r="CO24" i="6" s="1"/>
  <c r="CP24" i="6" s="1"/>
  <c r="CQ24" i="6" s="1"/>
  <c r="CR24" i="6" s="1"/>
  <c r="CS24" i="6" s="1"/>
  <c r="CT24" i="6" s="1"/>
  <c r="CU24" i="6" s="1"/>
  <c r="CV24" i="6" s="1"/>
  <c r="CW24" i="6" s="1"/>
  <c r="CX24" i="6" s="1"/>
  <c r="CY24" i="6" s="1"/>
  <c r="CZ24" i="6" s="1"/>
  <c r="DA24" i="6" s="1"/>
  <c r="DB24" i="6" s="1"/>
  <c r="DC24" i="6" s="1"/>
  <c r="DD24" i="6" s="1"/>
  <c r="DE24" i="6" s="1"/>
  <c r="DF24" i="6" s="1"/>
  <c r="DG24" i="6" s="1"/>
  <c r="DH24" i="6" s="1"/>
  <c r="DI24" i="6" s="1"/>
  <c r="DJ24" i="6" s="1"/>
  <c r="DK24" i="6" s="1"/>
  <c r="DL24" i="6" s="1"/>
  <c r="DM24" i="6" s="1"/>
  <c r="DN24" i="6" s="1"/>
  <c r="DO24" i="6" s="1"/>
  <c r="DP24" i="6" s="1"/>
  <c r="DQ24" i="6" s="1"/>
  <c r="DR24" i="6" s="1"/>
  <c r="DS24" i="6" s="1"/>
  <c r="DT24" i="6" s="1"/>
  <c r="DU24" i="6" s="1"/>
  <c r="DV24" i="6" s="1"/>
  <c r="DW24" i="6" s="1"/>
  <c r="DX24" i="6" s="1"/>
  <c r="DY24" i="6" s="1"/>
  <c r="DZ24" i="6" s="1"/>
  <c r="EA24" i="6" s="1"/>
  <c r="EB24" i="6" s="1"/>
  <c r="EC24" i="6" s="1"/>
  <c r="ED24" i="6" s="1"/>
  <c r="EE24" i="6" s="1"/>
  <c r="EF24" i="6" s="1"/>
  <c r="E24" i="6"/>
  <c r="F24" i="6" s="1"/>
  <c r="G24" i="6" s="1"/>
  <c r="H24" i="6" s="1"/>
  <c r="I24" i="6" s="1"/>
  <c r="J24" i="6" s="1"/>
  <c r="K24" i="6" s="1"/>
  <c r="L24" i="6" s="1"/>
  <c r="M24" i="6" s="1"/>
  <c r="N24" i="6" s="1"/>
  <c r="O24" i="6" s="1"/>
  <c r="D24" i="6"/>
  <c r="W23" i="6"/>
  <c r="X23" i="6" s="1"/>
  <c r="Y23" i="6" s="1"/>
  <c r="Z23" i="6" s="1"/>
  <c r="AA23" i="6" s="1"/>
  <c r="AB23" i="6" s="1"/>
  <c r="AC23" i="6" s="1"/>
  <c r="AD23" i="6" s="1"/>
  <c r="AE23" i="6" s="1"/>
  <c r="AF23" i="6" s="1"/>
  <c r="AG23" i="6" s="1"/>
  <c r="AH23" i="6" s="1"/>
  <c r="AI23" i="6" s="1"/>
  <c r="AJ23" i="6" s="1"/>
  <c r="AK23" i="6" s="1"/>
  <c r="AL23" i="6" s="1"/>
  <c r="AM23" i="6" s="1"/>
  <c r="AN23" i="6" s="1"/>
  <c r="AO23" i="6" s="1"/>
  <c r="AP23" i="6" s="1"/>
  <c r="AQ23" i="6" s="1"/>
  <c r="AR23" i="6" s="1"/>
  <c r="AS23" i="6" s="1"/>
  <c r="AT23" i="6" s="1"/>
  <c r="AU23" i="6" s="1"/>
  <c r="AV23" i="6" s="1"/>
  <c r="AW23" i="6" s="1"/>
  <c r="AX23" i="6" s="1"/>
  <c r="AY23" i="6" s="1"/>
  <c r="AZ23" i="6" s="1"/>
  <c r="BA23" i="6" s="1"/>
  <c r="BB23" i="6" s="1"/>
  <c r="BC23" i="6" s="1"/>
  <c r="BD23" i="6" s="1"/>
  <c r="BE23" i="6" s="1"/>
  <c r="BF23" i="6" s="1"/>
  <c r="BG23" i="6" s="1"/>
  <c r="BH23" i="6" s="1"/>
  <c r="BI23" i="6" s="1"/>
  <c r="BJ23" i="6" s="1"/>
  <c r="BK23" i="6" s="1"/>
  <c r="BL23" i="6" s="1"/>
  <c r="BM23" i="6" s="1"/>
  <c r="BN23" i="6" s="1"/>
  <c r="BO23" i="6" s="1"/>
  <c r="BP23" i="6" s="1"/>
  <c r="BQ23" i="6" s="1"/>
  <c r="BR23" i="6" s="1"/>
  <c r="BS23" i="6" s="1"/>
  <c r="BT23" i="6" s="1"/>
  <c r="BU23" i="6" s="1"/>
  <c r="BV23" i="6" s="1"/>
  <c r="BW23" i="6" s="1"/>
  <c r="BX23" i="6" s="1"/>
  <c r="BY23" i="6" s="1"/>
  <c r="BZ23" i="6" s="1"/>
  <c r="CA23" i="6" s="1"/>
  <c r="CB23" i="6" s="1"/>
  <c r="CC23" i="6" s="1"/>
  <c r="CD23" i="6" s="1"/>
  <c r="CE23" i="6" s="1"/>
  <c r="CF23" i="6" s="1"/>
  <c r="CG23" i="6" s="1"/>
  <c r="CH23" i="6" s="1"/>
  <c r="CI23" i="6" s="1"/>
  <c r="CJ23" i="6" s="1"/>
  <c r="CK23" i="6" s="1"/>
  <c r="CL23" i="6" s="1"/>
  <c r="CM23" i="6" s="1"/>
  <c r="CN23" i="6" s="1"/>
  <c r="CO23" i="6" s="1"/>
  <c r="CP23" i="6" s="1"/>
  <c r="CQ23" i="6" s="1"/>
  <c r="CR23" i="6" s="1"/>
  <c r="CS23" i="6" s="1"/>
  <c r="CT23" i="6" s="1"/>
  <c r="CU23" i="6" s="1"/>
  <c r="CV23" i="6" s="1"/>
  <c r="CW23" i="6" s="1"/>
  <c r="CX23" i="6" s="1"/>
  <c r="CY23" i="6" s="1"/>
  <c r="CZ23" i="6" s="1"/>
  <c r="DA23" i="6" s="1"/>
  <c r="DB23" i="6" s="1"/>
  <c r="DC23" i="6" s="1"/>
  <c r="DD23" i="6" s="1"/>
  <c r="DE23" i="6" s="1"/>
  <c r="DF23" i="6" s="1"/>
  <c r="DG23" i="6" s="1"/>
  <c r="DH23" i="6" s="1"/>
  <c r="DI23" i="6" s="1"/>
  <c r="DJ23" i="6" s="1"/>
  <c r="DK23" i="6" s="1"/>
  <c r="DL23" i="6" s="1"/>
  <c r="DM23" i="6" s="1"/>
  <c r="DN23" i="6" s="1"/>
  <c r="DO23" i="6" s="1"/>
  <c r="DP23" i="6" s="1"/>
  <c r="DQ23" i="6" s="1"/>
  <c r="DR23" i="6" s="1"/>
  <c r="DS23" i="6" s="1"/>
  <c r="DT23" i="6" s="1"/>
  <c r="DU23" i="6" s="1"/>
  <c r="DV23" i="6" s="1"/>
  <c r="DW23" i="6" s="1"/>
  <c r="DX23" i="6" s="1"/>
  <c r="DY23" i="6" s="1"/>
  <c r="DZ23" i="6" s="1"/>
  <c r="EA23" i="6" s="1"/>
  <c r="EB23" i="6" s="1"/>
  <c r="EC23" i="6" s="1"/>
  <c r="ED23" i="6" s="1"/>
  <c r="EE23" i="6" s="1"/>
  <c r="EF23" i="6" s="1"/>
  <c r="E23" i="6"/>
  <c r="F23" i="6" s="1"/>
  <c r="G23" i="6" s="1"/>
  <c r="H23" i="6" s="1"/>
  <c r="I23" i="6" s="1"/>
  <c r="J23" i="6" s="1"/>
  <c r="K23" i="6" s="1"/>
  <c r="L23" i="6" s="1"/>
  <c r="M23" i="6" s="1"/>
  <c r="N23" i="6" s="1"/>
  <c r="O23" i="6" s="1"/>
  <c r="P23" i="6" s="1"/>
  <c r="Q23" i="6" s="1"/>
  <c r="R23" i="6" s="1"/>
  <c r="S23" i="6" s="1"/>
  <c r="T23" i="6" s="1"/>
  <c r="U23" i="6" s="1"/>
  <c r="V23" i="6" s="1"/>
  <c r="D23" i="6"/>
  <c r="AR22" i="6"/>
  <c r="AS22" i="6" s="1"/>
  <c r="AT22" i="6" s="1"/>
  <c r="AU22" i="6" s="1"/>
  <c r="AV22" i="6" s="1"/>
  <c r="AW22" i="6" s="1"/>
  <c r="AX22" i="6" s="1"/>
  <c r="AY22" i="6" s="1"/>
  <c r="AZ22" i="6" s="1"/>
  <c r="BA22" i="6" s="1"/>
  <c r="BB22" i="6" s="1"/>
  <c r="BC22" i="6" s="1"/>
  <c r="BD22" i="6" s="1"/>
  <c r="BE22" i="6" s="1"/>
  <c r="BF22" i="6" s="1"/>
  <c r="BG22" i="6" s="1"/>
  <c r="BH22" i="6" s="1"/>
  <c r="BI22" i="6" s="1"/>
  <c r="BJ22" i="6" s="1"/>
  <c r="BK22" i="6" s="1"/>
  <c r="BL22" i="6" s="1"/>
  <c r="BM22" i="6" s="1"/>
  <c r="BN22" i="6" s="1"/>
  <c r="BO22" i="6" s="1"/>
  <c r="BP22" i="6" s="1"/>
  <c r="BQ22" i="6" s="1"/>
  <c r="BR22" i="6" s="1"/>
  <c r="BS22" i="6" s="1"/>
  <c r="BT22" i="6" s="1"/>
  <c r="BU22" i="6" s="1"/>
  <c r="BV22" i="6" s="1"/>
  <c r="BW22" i="6" s="1"/>
  <c r="BX22" i="6" s="1"/>
  <c r="BY22" i="6" s="1"/>
  <c r="BZ22" i="6" s="1"/>
  <c r="CA22" i="6" s="1"/>
  <c r="CB22" i="6" s="1"/>
  <c r="CC22" i="6" s="1"/>
  <c r="CD22" i="6" s="1"/>
  <c r="CE22" i="6" s="1"/>
  <c r="CF22" i="6" s="1"/>
  <c r="CG22" i="6" s="1"/>
  <c r="CH22" i="6" s="1"/>
  <c r="CI22" i="6" s="1"/>
  <c r="CJ22" i="6" s="1"/>
  <c r="CK22" i="6" s="1"/>
  <c r="CL22" i="6" s="1"/>
  <c r="CM22" i="6" s="1"/>
  <c r="CN22" i="6" s="1"/>
  <c r="CO22" i="6" s="1"/>
  <c r="CP22" i="6" s="1"/>
  <c r="CQ22" i="6" s="1"/>
  <c r="CR22" i="6" s="1"/>
  <c r="CS22" i="6" s="1"/>
  <c r="CT22" i="6" s="1"/>
  <c r="CU22" i="6" s="1"/>
  <c r="CV22" i="6" s="1"/>
  <c r="CW22" i="6" s="1"/>
  <c r="CX22" i="6" s="1"/>
  <c r="CY22" i="6" s="1"/>
  <c r="CZ22" i="6" s="1"/>
  <c r="DA22" i="6" s="1"/>
  <c r="DB22" i="6" s="1"/>
  <c r="DC22" i="6" s="1"/>
  <c r="DD22" i="6" s="1"/>
  <c r="DE22" i="6" s="1"/>
  <c r="DF22" i="6" s="1"/>
  <c r="DG22" i="6" s="1"/>
  <c r="DH22" i="6" s="1"/>
  <c r="DI22" i="6" s="1"/>
  <c r="DJ22" i="6" s="1"/>
  <c r="DK22" i="6" s="1"/>
  <c r="DL22" i="6" s="1"/>
  <c r="DM22" i="6" s="1"/>
  <c r="DN22" i="6" s="1"/>
  <c r="DO22" i="6" s="1"/>
  <c r="DP22" i="6" s="1"/>
  <c r="DQ22" i="6" s="1"/>
  <c r="DR22" i="6" s="1"/>
  <c r="DS22" i="6" s="1"/>
  <c r="DT22" i="6" s="1"/>
  <c r="DU22" i="6" s="1"/>
  <c r="DV22" i="6" s="1"/>
  <c r="DW22" i="6" s="1"/>
  <c r="DX22" i="6" s="1"/>
  <c r="DY22" i="6" s="1"/>
  <c r="DZ22" i="6" s="1"/>
  <c r="EA22" i="6" s="1"/>
  <c r="EB22" i="6" s="1"/>
  <c r="EC22" i="6" s="1"/>
  <c r="ED22" i="6" s="1"/>
  <c r="EE22" i="6" s="1"/>
  <c r="EF22" i="6" s="1"/>
  <c r="G22" i="6"/>
  <c r="H22" i="6" s="1"/>
  <c r="I22" i="6" s="1"/>
  <c r="J22" i="6" s="1"/>
  <c r="K22" i="6" s="1"/>
  <c r="L22" i="6" s="1"/>
  <c r="M22" i="6" s="1"/>
  <c r="N22" i="6" s="1"/>
  <c r="O22" i="6" s="1"/>
  <c r="P22" i="6" s="1"/>
  <c r="Q22" i="6" s="1"/>
  <c r="R22" i="6" s="1"/>
  <c r="S22" i="6" s="1"/>
  <c r="T22" i="6" s="1"/>
  <c r="U22" i="6" s="1"/>
  <c r="V22" i="6" s="1"/>
  <c r="W22" i="6" s="1"/>
  <c r="X22" i="6" s="1"/>
  <c r="Y22" i="6" s="1"/>
  <c r="Z22" i="6" s="1"/>
  <c r="AA22" i="6" s="1"/>
  <c r="AB22" i="6" s="1"/>
  <c r="AC22" i="6" s="1"/>
  <c r="AD22" i="6" s="1"/>
  <c r="AE22" i="6" s="1"/>
  <c r="AF22" i="6" s="1"/>
  <c r="AG22" i="6" s="1"/>
  <c r="AH22" i="6" s="1"/>
  <c r="AI22" i="6" s="1"/>
  <c r="AJ22" i="6" s="1"/>
  <c r="AK22" i="6" s="1"/>
  <c r="AL22" i="6" s="1"/>
  <c r="AM22" i="6" s="1"/>
  <c r="AN22" i="6" s="1"/>
  <c r="AO22" i="6" s="1"/>
  <c r="AP22" i="6" s="1"/>
  <c r="AQ22" i="6" s="1"/>
  <c r="F22" i="6"/>
  <c r="E22" i="6"/>
  <c r="D22" i="6"/>
  <c r="AR21" i="6"/>
  <c r="AS21" i="6" s="1"/>
  <c r="AT21" i="6" s="1"/>
  <c r="AU21" i="6" s="1"/>
  <c r="AV21" i="6" s="1"/>
  <c r="AW21" i="6" s="1"/>
  <c r="AX21" i="6" s="1"/>
  <c r="AY21" i="6" s="1"/>
  <c r="AZ21" i="6" s="1"/>
  <c r="BA21" i="6" s="1"/>
  <c r="BB21" i="6" s="1"/>
  <c r="BC21" i="6" s="1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N21" i="6" s="1"/>
  <c r="CO21" i="6" s="1"/>
  <c r="CP21" i="6" s="1"/>
  <c r="CQ21" i="6" s="1"/>
  <c r="CR21" i="6" s="1"/>
  <c r="CS21" i="6" s="1"/>
  <c r="CT21" i="6" s="1"/>
  <c r="CU21" i="6" s="1"/>
  <c r="CV21" i="6" s="1"/>
  <c r="CW21" i="6" s="1"/>
  <c r="CX21" i="6" s="1"/>
  <c r="CY21" i="6" s="1"/>
  <c r="CZ21" i="6" s="1"/>
  <c r="DA21" i="6" s="1"/>
  <c r="DB21" i="6" s="1"/>
  <c r="DC21" i="6" s="1"/>
  <c r="DD21" i="6" s="1"/>
  <c r="DE21" i="6" s="1"/>
  <c r="DF21" i="6" s="1"/>
  <c r="DG21" i="6" s="1"/>
  <c r="DH21" i="6" s="1"/>
  <c r="DI21" i="6" s="1"/>
  <c r="DJ21" i="6" s="1"/>
  <c r="DK21" i="6" s="1"/>
  <c r="DL21" i="6" s="1"/>
  <c r="DM21" i="6" s="1"/>
  <c r="DN21" i="6" s="1"/>
  <c r="DO21" i="6" s="1"/>
  <c r="DP21" i="6" s="1"/>
  <c r="DQ21" i="6" s="1"/>
  <c r="DR21" i="6" s="1"/>
  <c r="DS21" i="6" s="1"/>
  <c r="DT21" i="6" s="1"/>
  <c r="DU21" i="6" s="1"/>
  <c r="DV21" i="6" s="1"/>
  <c r="DW21" i="6" s="1"/>
  <c r="DX21" i="6" s="1"/>
  <c r="DY21" i="6" s="1"/>
  <c r="DZ21" i="6" s="1"/>
  <c r="EA21" i="6" s="1"/>
  <c r="EB21" i="6" s="1"/>
  <c r="EC21" i="6" s="1"/>
  <c r="ED21" i="6" s="1"/>
  <c r="EE21" i="6" s="1"/>
  <c r="EF21" i="6" s="1"/>
  <c r="D21" i="6"/>
  <c r="E21" i="6" s="1"/>
  <c r="F21" i="6" s="1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AG21" i="6" s="1"/>
  <c r="AH21" i="6" s="1"/>
  <c r="AI21" i="6" s="1"/>
  <c r="AJ21" i="6" s="1"/>
  <c r="AK21" i="6" s="1"/>
  <c r="AL21" i="6" s="1"/>
  <c r="AM21" i="6" s="1"/>
  <c r="AN21" i="6" s="1"/>
  <c r="AO21" i="6" s="1"/>
  <c r="AP21" i="6" s="1"/>
  <c r="AQ21" i="6" s="1"/>
  <c r="D20" i="6"/>
  <c r="E20" i="6" s="1"/>
  <c r="F20" i="6" s="1"/>
  <c r="G20" i="6" s="1"/>
  <c r="H20" i="6" s="1"/>
  <c r="I20" i="6" s="1"/>
  <c r="J20" i="6" s="1"/>
  <c r="K20" i="6" s="1"/>
  <c r="L20" i="6" s="1"/>
  <c r="M20" i="6" s="1"/>
  <c r="N20" i="6" s="1"/>
  <c r="O20" i="6" s="1"/>
  <c r="P20" i="6" s="1"/>
  <c r="Q20" i="6" s="1"/>
  <c r="R20" i="6" s="1"/>
  <c r="S20" i="6" s="1"/>
  <c r="T20" i="6" s="1"/>
  <c r="U20" i="6" s="1"/>
  <c r="V20" i="6" s="1"/>
  <c r="W20" i="6" s="1"/>
  <c r="X20" i="6" s="1"/>
  <c r="Y20" i="6" s="1"/>
  <c r="Z20" i="6" s="1"/>
  <c r="AA20" i="6" s="1"/>
  <c r="AB20" i="6" s="1"/>
  <c r="AC20" i="6" s="1"/>
  <c r="AD20" i="6" s="1"/>
  <c r="AE20" i="6" s="1"/>
  <c r="AF20" i="6" s="1"/>
  <c r="AG20" i="6" s="1"/>
  <c r="AH20" i="6" s="1"/>
  <c r="AI20" i="6" s="1"/>
  <c r="AJ20" i="6" s="1"/>
  <c r="AK20" i="6" s="1"/>
  <c r="AL20" i="6" s="1"/>
  <c r="AM20" i="6" s="1"/>
  <c r="AN20" i="6" s="1"/>
  <c r="AO20" i="6" s="1"/>
  <c r="AP20" i="6" s="1"/>
  <c r="AQ20" i="6" s="1"/>
  <c r="AR20" i="6" s="1"/>
  <c r="AS20" i="6" s="1"/>
  <c r="AT20" i="6" s="1"/>
  <c r="AU20" i="6" s="1"/>
  <c r="AV20" i="6" s="1"/>
  <c r="AW20" i="6" s="1"/>
  <c r="AX20" i="6" s="1"/>
  <c r="AY20" i="6" s="1"/>
  <c r="AZ20" i="6" s="1"/>
  <c r="BA20" i="6" s="1"/>
  <c r="BB20" i="6" s="1"/>
  <c r="BC20" i="6" s="1"/>
  <c r="BD20" i="6" s="1"/>
  <c r="BE20" i="6" s="1"/>
  <c r="BF20" i="6" s="1"/>
  <c r="BG20" i="6" s="1"/>
  <c r="BH20" i="6" s="1"/>
  <c r="BI20" i="6" s="1"/>
  <c r="BJ20" i="6" s="1"/>
  <c r="BK20" i="6" s="1"/>
  <c r="BL20" i="6" s="1"/>
  <c r="BM20" i="6" s="1"/>
  <c r="BN20" i="6" s="1"/>
  <c r="BO20" i="6" s="1"/>
  <c r="BP20" i="6" s="1"/>
  <c r="BQ20" i="6" s="1"/>
  <c r="BR20" i="6" s="1"/>
  <c r="BS20" i="6" s="1"/>
  <c r="BT20" i="6" s="1"/>
  <c r="BU20" i="6" s="1"/>
  <c r="BV20" i="6" s="1"/>
  <c r="BW20" i="6" s="1"/>
  <c r="BX20" i="6" s="1"/>
  <c r="BY20" i="6" s="1"/>
  <c r="BZ20" i="6" s="1"/>
  <c r="CA20" i="6" s="1"/>
  <c r="CB20" i="6" s="1"/>
  <c r="CC20" i="6" s="1"/>
  <c r="CD20" i="6" s="1"/>
  <c r="CE20" i="6" s="1"/>
  <c r="CF20" i="6" s="1"/>
  <c r="CG20" i="6" s="1"/>
  <c r="CH20" i="6" s="1"/>
  <c r="CI20" i="6" s="1"/>
  <c r="CJ20" i="6" s="1"/>
  <c r="CK20" i="6" s="1"/>
  <c r="CL20" i="6" s="1"/>
  <c r="CM20" i="6" s="1"/>
  <c r="CN20" i="6" s="1"/>
  <c r="CO20" i="6" s="1"/>
  <c r="CP20" i="6" s="1"/>
  <c r="CQ20" i="6" s="1"/>
  <c r="CR20" i="6" s="1"/>
  <c r="CS20" i="6" s="1"/>
  <c r="CT20" i="6" s="1"/>
  <c r="CU20" i="6" s="1"/>
  <c r="CV20" i="6" s="1"/>
  <c r="CW20" i="6" s="1"/>
  <c r="CX20" i="6" s="1"/>
  <c r="CY20" i="6" s="1"/>
  <c r="CZ20" i="6" s="1"/>
  <c r="DA20" i="6" s="1"/>
  <c r="DB20" i="6" s="1"/>
  <c r="DC20" i="6" s="1"/>
  <c r="DD20" i="6" s="1"/>
  <c r="DE20" i="6" s="1"/>
  <c r="DF20" i="6" s="1"/>
  <c r="DG20" i="6" s="1"/>
  <c r="DH20" i="6" s="1"/>
  <c r="DI20" i="6" s="1"/>
  <c r="DJ20" i="6" s="1"/>
  <c r="DK20" i="6" s="1"/>
  <c r="DL20" i="6" s="1"/>
  <c r="DM20" i="6" s="1"/>
  <c r="DN20" i="6" s="1"/>
  <c r="DO20" i="6" s="1"/>
  <c r="DP20" i="6" s="1"/>
  <c r="DQ20" i="6" s="1"/>
  <c r="DR20" i="6" s="1"/>
  <c r="DS20" i="6" s="1"/>
  <c r="DT20" i="6" s="1"/>
  <c r="DU20" i="6" s="1"/>
  <c r="DV20" i="6" s="1"/>
  <c r="DW20" i="6" s="1"/>
  <c r="DX20" i="6" s="1"/>
  <c r="DY20" i="6" s="1"/>
  <c r="DZ20" i="6" s="1"/>
  <c r="EA20" i="6" s="1"/>
  <c r="EB20" i="6" s="1"/>
  <c r="EC20" i="6" s="1"/>
  <c r="ED20" i="6" s="1"/>
  <c r="EE20" i="6" s="1"/>
  <c r="EF20" i="6" s="1"/>
  <c r="AH19" i="6"/>
  <c r="AI19" i="6" s="1"/>
  <c r="AJ19" i="6" s="1"/>
  <c r="AK19" i="6" s="1"/>
  <c r="AL19" i="6" s="1"/>
  <c r="AM19" i="6" s="1"/>
  <c r="AN19" i="6" s="1"/>
  <c r="AO19" i="6" s="1"/>
  <c r="AP19" i="6" s="1"/>
  <c r="AQ19" i="6" s="1"/>
  <c r="AR19" i="6" s="1"/>
  <c r="AS19" i="6" s="1"/>
  <c r="AT19" i="6" s="1"/>
  <c r="AU19" i="6" s="1"/>
  <c r="AV19" i="6" s="1"/>
  <c r="AW19" i="6" s="1"/>
  <c r="AX19" i="6" s="1"/>
  <c r="AY19" i="6" s="1"/>
  <c r="AZ19" i="6" s="1"/>
  <c r="BA19" i="6" s="1"/>
  <c r="BB19" i="6" s="1"/>
  <c r="BC19" i="6" s="1"/>
  <c r="BD19" i="6" s="1"/>
  <c r="BE19" i="6" s="1"/>
  <c r="BF19" i="6" s="1"/>
  <c r="BG19" i="6" s="1"/>
  <c r="BH19" i="6" s="1"/>
  <c r="BI19" i="6" s="1"/>
  <c r="BJ19" i="6" s="1"/>
  <c r="BK19" i="6" s="1"/>
  <c r="BL19" i="6" s="1"/>
  <c r="BM19" i="6" s="1"/>
  <c r="BN19" i="6" s="1"/>
  <c r="BO19" i="6" s="1"/>
  <c r="BP19" i="6" s="1"/>
  <c r="BQ19" i="6" s="1"/>
  <c r="BR19" i="6" s="1"/>
  <c r="BS19" i="6" s="1"/>
  <c r="BT19" i="6" s="1"/>
  <c r="BU19" i="6" s="1"/>
  <c r="BV19" i="6" s="1"/>
  <c r="BW19" i="6" s="1"/>
  <c r="BX19" i="6" s="1"/>
  <c r="BY19" i="6" s="1"/>
  <c r="BZ19" i="6" s="1"/>
  <c r="CA19" i="6" s="1"/>
  <c r="CB19" i="6" s="1"/>
  <c r="CC19" i="6" s="1"/>
  <c r="CD19" i="6" s="1"/>
  <c r="CE19" i="6" s="1"/>
  <c r="CF19" i="6" s="1"/>
  <c r="CG19" i="6" s="1"/>
  <c r="CH19" i="6" s="1"/>
  <c r="CI19" i="6" s="1"/>
  <c r="CJ19" i="6" s="1"/>
  <c r="CK19" i="6" s="1"/>
  <c r="CL19" i="6" s="1"/>
  <c r="CM19" i="6" s="1"/>
  <c r="CN19" i="6" s="1"/>
  <c r="CO19" i="6" s="1"/>
  <c r="CP19" i="6" s="1"/>
  <c r="CQ19" i="6" s="1"/>
  <c r="CR19" i="6" s="1"/>
  <c r="CS19" i="6" s="1"/>
  <c r="CT19" i="6" s="1"/>
  <c r="CU19" i="6" s="1"/>
  <c r="CV19" i="6" s="1"/>
  <c r="CW19" i="6" s="1"/>
  <c r="CX19" i="6" s="1"/>
  <c r="CY19" i="6" s="1"/>
  <c r="CZ19" i="6" s="1"/>
  <c r="DA19" i="6" s="1"/>
  <c r="DB19" i="6" s="1"/>
  <c r="DC19" i="6" s="1"/>
  <c r="DD19" i="6" s="1"/>
  <c r="DE19" i="6" s="1"/>
  <c r="DF19" i="6" s="1"/>
  <c r="DG19" i="6" s="1"/>
  <c r="DH19" i="6" s="1"/>
  <c r="DI19" i="6" s="1"/>
  <c r="DJ19" i="6" s="1"/>
  <c r="DK19" i="6" s="1"/>
  <c r="DL19" i="6" s="1"/>
  <c r="DM19" i="6" s="1"/>
  <c r="DN19" i="6" s="1"/>
  <c r="DO19" i="6" s="1"/>
  <c r="DP19" i="6" s="1"/>
  <c r="DQ19" i="6" s="1"/>
  <c r="DR19" i="6" s="1"/>
  <c r="DS19" i="6" s="1"/>
  <c r="DT19" i="6" s="1"/>
  <c r="DU19" i="6" s="1"/>
  <c r="DV19" i="6" s="1"/>
  <c r="DW19" i="6" s="1"/>
  <c r="DX19" i="6" s="1"/>
  <c r="DY19" i="6" s="1"/>
  <c r="DZ19" i="6" s="1"/>
  <c r="EA19" i="6" s="1"/>
  <c r="EB19" i="6" s="1"/>
  <c r="EC19" i="6" s="1"/>
  <c r="ED19" i="6" s="1"/>
  <c r="EE19" i="6" s="1"/>
  <c r="EF19" i="6" s="1"/>
  <c r="H19" i="6"/>
  <c r="I19" i="6" s="1"/>
  <c r="J19" i="6" s="1"/>
  <c r="K19" i="6" s="1"/>
  <c r="L19" i="6" s="1"/>
  <c r="M19" i="6" s="1"/>
  <c r="N19" i="6" s="1"/>
  <c r="O19" i="6" s="1"/>
  <c r="P19" i="6" s="1"/>
  <c r="Q19" i="6" s="1"/>
  <c r="R19" i="6" s="1"/>
  <c r="S19" i="6" s="1"/>
  <c r="T19" i="6" s="1"/>
  <c r="U19" i="6" s="1"/>
  <c r="V19" i="6" s="1"/>
  <c r="W19" i="6" s="1"/>
  <c r="X19" i="6" s="1"/>
  <c r="Y19" i="6" s="1"/>
  <c r="Z19" i="6" s="1"/>
  <c r="AA19" i="6" s="1"/>
  <c r="AB19" i="6" s="1"/>
  <c r="AC19" i="6" s="1"/>
  <c r="AD19" i="6" s="1"/>
  <c r="AE19" i="6" s="1"/>
  <c r="AF19" i="6" s="1"/>
  <c r="AG19" i="6" s="1"/>
  <c r="D19" i="6"/>
  <c r="E19" i="6" s="1"/>
  <c r="F19" i="6" s="1"/>
  <c r="G19" i="6" s="1"/>
  <c r="BG18" i="6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BB18" i="6"/>
  <c r="BC18" i="6" s="1"/>
  <c r="BD18" i="6" s="1"/>
  <c r="BE18" i="6" s="1"/>
  <c r="BF18" i="6" s="1"/>
  <c r="D18" i="6"/>
  <c r="E18" i="6" s="1"/>
  <c r="F18" i="6" s="1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D17" i="6"/>
  <c r="E17" i="6" s="1"/>
  <c r="F17" i="6" s="1"/>
  <c r="G17" i="6" s="1"/>
  <c r="H17" i="6" s="1"/>
  <c r="I17" i="6" s="1"/>
  <c r="J17" i="6" s="1"/>
  <c r="K17" i="6" s="1"/>
  <c r="L17" i="6" s="1"/>
  <c r="M17" i="6" s="1"/>
  <c r="N17" i="6" s="1"/>
  <c r="O17" i="6" s="1"/>
  <c r="P17" i="6" s="1"/>
  <c r="Q17" i="6" s="1"/>
  <c r="R17" i="6" s="1"/>
  <c r="S17" i="6" s="1"/>
  <c r="T17" i="6" s="1"/>
  <c r="U17" i="6" s="1"/>
  <c r="V17" i="6" s="1"/>
  <c r="W17" i="6" s="1"/>
  <c r="X17" i="6" s="1"/>
  <c r="Y17" i="6" s="1"/>
  <c r="Z17" i="6" s="1"/>
  <c r="AA17" i="6" s="1"/>
  <c r="AB17" i="6" s="1"/>
  <c r="AC17" i="6" s="1"/>
  <c r="AD17" i="6" s="1"/>
  <c r="AE17" i="6" s="1"/>
  <c r="AF17" i="6" s="1"/>
  <c r="AG17" i="6" s="1"/>
  <c r="AH17" i="6" s="1"/>
  <c r="AI17" i="6" s="1"/>
  <c r="AJ17" i="6" s="1"/>
  <c r="AK17" i="6" s="1"/>
  <c r="AL17" i="6" s="1"/>
  <c r="AM17" i="6" s="1"/>
  <c r="AN17" i="6" s="1"/>
  <c r="AO17" i="6" s="1"/>
  <c r="AP17" i="6" s="1"/>
  <c r="AQ17" i="6" s="1"/>
  <c r="AR17" i="6" s="1"/>
  <c r="AS17" i="6" s="1"/>
  <c r="AT17" i="6" s="1"/>
  <c r="AU17" i="6" s="1"/>
  <c r="AV17" i="6" s="1"/>
  <c r="AW17" i="6" s="1"/>
  <c r="AX17" i="6" s="1"/>
  <c r="AY17" i="6" s="1"/>
  <c r="AZ17" i="6" s="1"/>
  <c r="BA17" i="6" s="1"/>
  <c r="BB17" i="6" s="1"/>
  <c r="BC17" i="6" s="1"/>
  <c r="BD17" i="6" s="1"/>
  <c r="BE17" i="6" s="1"/>
  <c r="BF17" i="6" s="1"/>
  <c r="BG17" i="6" s="1"/>
  <c r="BH17" i="6" s="1"/>
  <c r="BI17" i="6" s="1"/>
  <c r="BJ17" i="6" s="1"/>
  <c r="BK17" i="6" s="1"/>
  <c r="BL17" i="6" s="1"/>
  <c r="BM17" i="6" s="1"/>
  <c r="BN17" i="6" s="1"/>
  <c r="BO17" i="6" s="1"/>
  <c r="BP17" i="6" s="1"/>
  <c r="BQ17" i="6" s="1"/>
  <c r="BR17" i="6" s="1"/>
  <c r="BS17" i="6" s="1"/>
  <c r="BT17" i="6" s="1"/>
  <c r="BU17" i="6" s="1"/>
  <c r="BV17" i="6" s="1"/>
  <c r="BW17" i="6" s="1"/>
  <c r="BX17" i="6" s="1"/>
  <c r="BY17" i="6" s="1"/>
  <c r="BZ17" i="6" s="1"/>
  <c r="CA17" i="6" s="1"/>
  <c r="CB17" i="6" s="1"/>
  <c r="CC17" i="6" s="1"/>
  <c r="CD17" i="6" s="1"/>
  <c r="CE17" i="6" s="1"/>
  <c r="CF17" i="6" s="1"/>
  <c r="CG17" i="6" s="1"/>
  <c r="CH17" i="6" s="1"/>
  <c r="CI17" i="6" s="1"/>
  <c r="CJ17" i="6" s="1"/>
  <c r="CK17" i="6" s="1"/>
  <c r="CL17" i="6" s="1"/>
  <c r="CM17" i="6" s="1"/>
  <c r="CN17" i="6" s="1"/>
  <c r="CO17" i="6" s="1"/>
  <c r="CP17" i="6" s="1"/>
  <c r="CQ17" i="6" s="1"/>
  <c r="CR17" i="6" s="1"/>
  <c r="CS17" i="6" s="1"/>
  <c r="CT17" i="6" s="1"/>
  <c r="CU17" i="6" s="1"/>
  <c r="CV17" i="6" s="1"/>
  <c r="CW17" i="6" s="1"/>
  <c r="CX17" i="6" s="1"/>
  <c r="CY17" i="6" s="1"/>
  <c r="CZ17" i="6" s="1"/>
  <c r="DA17" i="6" s="1"/>
  <c r="DB17" i="6" s="1"/>
  <c r="DC17" i="6" s="1"/>
  <c r="DD17" i="6" s="1"/>
  <c r="DE17" i="6" s="1"/>
  <c r="DF17" i="6" s="1"/>
  <c r="DG17" i="6" s="1"/>
  <c r="DH17" i="6" s="1"/>
  <c r="DI17" i="6" s="1"/>
  <c r="DJ17" i="6" s="1"/>
  <c r="DK17" i="6" s="1"/>
  <c r="DL17" i="6" s="1"/>
  <c r="DM17" i="6" s="1"/>
  <c r="DN17" i="6" s="1"/>
  <c r="DO17" i="6" s="1"/>
  <c r="DP17" i="6" s="1"/>
  <c r="DQ17" i="6" s="1"/>
  <c r="DR17" i="6" s="1"/>
  <c r="DS17" i="6" s="1"/>
  <c r="DT17" i="6" s="1"/>
  <c r="DU17" i="6" s="1"/>
  <c r="DV17" i="6" s="1"/>
  <c r="DW17" i="6" s="1"/>
  <c r="DX17" i="6" s="1"/>
  <c r="DY17" i="6" s="1"/>
  <c r="DZ17" i="6" s="1"/>
  <c r="EA17" i="6" s="1"/>
  <c r="EB17" i="6" s="1"/>
  <c r="EC17" i="6" s="1"/>
  <c r="ED17" i="6" s="1"/>
  <c r="EE17" i="6" s="1"/>
  <c r="EF17" i="6" s="1"/>
  <c r="AA16" i="6"/>
  <c r="AB16" i="6" s="1"/>
  <c r="AC16" i="6" s="1"/>
  <c r="AD16" i="6" s="1"/>
  <c r="AE16" i="6" s="1"/>
  <c r="AF16" i="6" s="1"/>
  <c r="AG16" i="6" s="1"/>
  <c r="AH16" i="6" s="1"/>
  <c r="AI16" i="6" s="1"/>
  <c r="AJ16" i="6" s="1"/>
  <c r="AK16" i="6" s="1"/>
  <c r="AL16" i="6" s="1"/>
  <c r="AM16" i="6" s="1"/>
  <c r="AN16" i="6" s="1"/>
  <c r="AO16" i="6" s="1"/>
  <c r="AP16" i="6" s="1"/>
  <c r="AQ16" i="6" s="1"/>
  <c r="AR16" i="6" s="1"/>
  <c r="AS16" i="6" s="1"/>
  <c r="AT16" i="6" s="1"/>
  <c r="AU16" i="6" s="1"/>
  <c r="AV16" i="6" s="1"/>
  <c r="AW16" i="6" s="1"/>
  <c r="AX16" i="6" s="1"/>
  <c r="AY16" i="6" s="1"/>
  <c r="AZ16" i="6" s="1"/>
  <c r="BA16" i="6" s="1"/>
  <c r="BB16" i="6" s="1"/>
  <c r="BC16" i="6" s="1"/>
  <c r="BD16" i="6" s="1"/>
  <c r="BE16" i="6" s="1"/>
  <c r="BF16" i="6" s="1"/>
  <c r="BG16" i="6" s="1"/>
  <c r="BH16" i="6" s="1"/>
  <c r="BI16" i="6" s="1"/>
  <c r="BJ16" i="6" s="1"/>
  <c r="BK16" i="6" s="1"/>
  <c r="BL16" i="6" s="1"/>
  <c r="BM16" i="6" s="1"/>
  <c r="BN16" i="6" s="1"/>
  <c r="BO16" i="6" s="1"/>
  <c r="BP16" i="6" s="1"/>
  <c r="BQ16" i="6" s="1"/>
  <c r="BR16" i="6" s="1"/>
  <c r="BS16" i="6" s="1"/>
  <c r="BT16" i="6" s="1"/>
  <c r="BU16" i="6" s="1"/>
  <c r="BV16" i="6" s="1"/>
  <c r="BW16" i="6" s="1"/>
  <c r="BX16" i="6" s="1"/>
  <c r="BY16" i="6" s="1"/>
  <c r="BZ16" i="6" s="1"/>
  <c r="CA16" i="6" s="1"/>
  <c r="CB16" i="6" s="1"/>
  <c r="CC16" i="6" s="1"/>
  <c r="CD16" i="6" s="1"/>
  <c r="CE16" i="6" s="1"/>
  <c r="CF16" i="6" s="1"/>
  <c r="CG16" i="6" s="1"/>
  <c r="CH16" i="6" s="1"/>
  <c r="CI16" i="6" s="1"/>
  <c r="CJ16" i="6" s="1"/>
  <c r="CK16" i="6" s="1"/>
  <c r="CL16" i="6" s="1"/>
  <c r="CM16" i="6" s="1"/>
  <c r="CN16" i="6" s="1"/>
  <c r="CO16" i="6" s="1"/>
  <c r="CP16" i="6" s="1"/>
  <c r="CQ16" i="6" s="1"/>
  <c r="CR16" i="6" s="1"/>
  <c r="CS16" i="6" s="1"/>
  <c r="CT16" i="6" s="1"/>
  <c r="CU16" i="6" s="1"/>
  <c r="CV16" i="6" s="1"/>
  <c r="CW16" i="6" s="1"/>
  <c r="CX16" i="6" s="1"/>
  <c r="CY16" i="6" s="1"/>
  <c r="CZ16" i="6" s="1"/>
  <c r="DA16" i="6" s="1"/>
  <c r="DB16" i="6" s="1"/>
  <c r="DC16" i="6" s="1"/>
  <c r="DD16" i="6" s="1"/>
  <c r="DE16" i="6" s="1"/>
  <c r="DF16" i="6" s="1"/>
  <c r="DG16" i="6" s="1"/>
  <c r="DH16" i="6" s="1"/>
  <c r="DI16" i="6" s="1"/>
  <c r="DJ16" i="6" s="1"/>
  <c r="DK16" i="6" s="1"/>
  <c r="DL16" i="6" s="1"/>
  <c r="DM16" i="6" s="1"/>
  <c r="DN16" i="6" s="1"/>
  <c r="DO16" i="6" s="1"/>
  <c r="DP16" i="6" s="1"/>
  <c r="DQ16" i="6" s="1"/>
  <c r="DR16" i="6" s="1"/>
  <c r="DS16" i="6" s="1"/>
  <c r="DT16" i="6" s="1"/>
  <c r="DU16" i="6" s="1"/>
  <c r="DV16" i="6" s="1"/>
  <c r="DW16" i="6" s="1"/>
  <c r="DX16" i="6" s="1"/>
  <c r="DY16" i="6" s="1"/>
  <c r="DZ16" i="6" s="1"/>
  <c r="EA16" i="6" s="1"/>
  <c r="EB16" i="6" s="1"/>
  <c r="EC16" i="6" s="1"/>
  <c r="ED16" i="6" s="1"/>
  <c r="EE16" i="6" s="1"/>
  <c r="EF16" i="6" s="1"/>
  <c r="Z16" i="6"/>
  <c r="M16" i="6"/>
  <c r="N16" i="6" s="1"/>
  <c r="O16" i="6" s="1"/>
  <c r="P16" i="6" s="1"/>
  <c r="Q16" i="6" s="1"/>
  <c r="R16" i="6" s="1"/>
  <c r="S16" i="6" s="1"/>
  <c r="T16" i="6" s="1"/>
  <c r="U16" i="6" s="1"/>
  <c r="V16" i="6" s="1"/>
  <c r="W16" i="6" s="1"/>
  <c r="X16" i="6" s="1"/>
  <c r="Y16" i="6" s="1"/>
  <c r="E16" i="6"/>
  <c r="F16" i="6" s="1"/>
  <c r="G16" i="6" s="1"/>
  <c r="H16" i="6" s="1"/>
  <c r="I16" i="6" s="1"/>
  <c r="J16" i="6" s="1"/>
  <c r="K16" i="6" s="1"/>
  <c r="L16" i="6" s="1"/>
  <c r="D16" i="6"/>
  <c r="H15" i="6"/>
  <c r="I15" i="6" s="1"/>
  <c r="J15" i="6" s="1"/>
  <c r="K15" i="6" s="1"/>
  <c r="L15" i="6" s="1"/>
  <c r="M15" i="6" s="1"/>
  <c r="N15" i="6" s="1"/>
  <c r="O15" i="6" s="1"/>
  <c r="P15" i="6" s="1"/>
  <c r="Q15" i="6" s="1"/>
  <c r="R15" i="6" s="1"/>
  <c r="S15" i="6" s="1"/>
  <c r="T15" i="6" s="1"/>
  <c r="U15" i="6" s="1"/>
  <c r="V15" i="6" s="1"/>
  <c r="W15" i="6" s="1"/>
  <c r="X15" i="6" s="1"/>
  <c r="Y15" i="6" s="1"/>
  <c r="Z15" i="6" s="1"/>
  <c r="AA15" i="6" s="1"/>
  <c r="AB15" i="6" s="1"/>
  <c r="AC15" i="6" s="1"/>
  <c r="AD15" i="6" s="1"/>
  <c r="AE15" i="6" s="1"/>
  <c r="AF15" i="6" s="1"/>
  <c r="AG15" i="6" s="1"/>
  <c r="AH15" i="6" s="1"/>
  <c r="AI15" i="6" s="1"/>
  <c r="AJ15" i="6" s="1"/>
  <c r="AK15" i="6" s="1"/>
  <c r="AL15" i="6" s="1"/>
  <c r="AM15" i="6" s="1"/>
  <c r="AN15" i="6" s="1"/>
  <c r="AO15" i="6" s="1"/>
  <c r="AP15" i="6" s="1"/>
  <c r="AQ15" i="6" s="1"/>
  <c r="AR15" i="6" s="1"/>
  <c r="AS15" i="6" s="1"/>
  <c r="AT15" i="6" s="1"/>
  <c r="AU15" i="6" s="1"/>
  <c r="AV15" i="6" s="1"/>
  <c r="AW15" i="6" s="1"/>
  <c r="AX15" i="6" s="1"/>
  <c r="AY15" i="6" s="1"/>
  <c r="AZ15" i="6" s="1"/>
  <c r="BA15" i="6" s="1"/>
  <c r="BB15" i="6" s="1"/>
  <c r="BC15" i="6" s="1"/>
  <c r="BD15" i="6" s="1"/>
  <c r="BE15" i="6" s="1"/>
  <c r="BF15" i="6" s="1"/>
  <c r="BG15" i="6" s="1"/>
  <c r="BH15" i="6" s="1"/>
  <c r="BI15" i="6" s="1"/>
  <c r="BJ15" i="6" s="1"/>
  <c r="BK15" i="6" s="1"/>
  <c r="BL15" i="6" s="1"/>
  <c r="BM15" i="6" s="1"/>
  <c r="BN15" i="6" s="1"/>
  <c r="BO15" i="6" s="1"/>
  <c r="BP15" i="6" s="1"/>
  <c r="BQ15" i="6" s="1"/>
  <c r="BR15" i="6" s="1"/>
  <c r="BS15" i="6" s="1"/>
  <c r="BT15" i="6" s="1"/>
  <c r="BU15" i="6" s="1"/>
  <c r="BV15" i="6" s="1"/>
  <c r="BW15" i="6" s="1"/>
  <c r="BX15" i="6" s="1"/>
  <c r="BY15" i="6" s="1"/>
  <c r="BZ15" i="6" s="1"/>
  <c r="CA15" i="6" s="1"/>
  <c r="CB15" i="6" s="1"/>
  <c r="CC15" i="6" s="1"/>
  <c r="CD15" i="6" s="1"/>
  <c r="CE15" i="6" s="1"/>
  <c r="CF15" i="6" s="1"/>
  <c r="CG15" i="6" s="1"/>
  <c r="CH15" i="6" s="1"/>
  <c r="CI15" i="6" s="1"/>
  <c r="CJ15" i="6" s="1"/>
  <c r="CK15" i="6" s="1"/>
  <c r="CL15" i="6" s="1"/>
  <c r="CM15" i="6" s="1"/>
  <c r="CN15" i="6" s="1"/>
  <c r="CO15" i="6" s="1"/>
  <c r="CP15" i="6" s="1"/>
  <c r="CQ15" i="6" s="1"/>
  <c r="CR15" i="6" s="1"/>
  <c r="CS15" i="6" s="1"/>
  <c r="CT15" i="6" s="1"/>
  <c r="CU15" i="6" s="1"/>
  <c r="CV15" i="6" s="1"/>
  <c r="CW15" i="6" s="1"/>
  <c r="CX15" i="6" s="1"/>
  <c r="CY15" i="6" s="1"/>
  <c r="CZ15" i="6" s="1"/>
  <c r="DA15" i="6" s="1"/>
  <c r="DB15" i="6" s="1"/>
  <c r="DC15" i="6" s="1"/>
  <c r="DD15" i="6" s="1"/>
  <c r="DE15" i="6" s="1"/>
  <c r="DF15" i="6" s="1"/>
  <c r="DG15" i="6" s="1"/>
  <c r="DH15" i="6" s="1"/>
  <c r="DI15" i="6" s="1"/>
  <c r="DJ15" i="6" s="1"/>
  <c r="DK15" i="6" s="1"/>
  <c r="DL15" i="6" s="1"/>
  <c r="DM15" i="6" s="1"/>
  <c r="DN15" i="6" s="1"/>
  <c r="DO15" i="6" s="1"/>
  <c r="DP15" i="6" s="1"/>
  <c r="DQ15" i="6" s="1"/>
  <c r="DR15" i="6" s="1"/>
  <c r="DS15" i="6" s="1"/>
  <c r="DT15" i="6" s="1"/>
  <c r="DU15" i="6" s="1"/>
  <c r="DV15" i="6" s="1"/>
  <c r="DW15" i="6" s="1"/>
  <c r="DX15" i="6" s="1"/>
  <c r="DY15" i="6" s="1"/>
  <c r="DZ15" i="6" s="1"/>
  <c r="EA15" i="6" s="1"/>
  <c r="EB15" i="6" s="1"/>
  <c r="EC15" i="6" s="1"/>
  <c r="ED15" i="6" s="1"/>
  <c r="EE15" i="6" s="1"/>
  <c r="EF15" i="6" s="1"/>
  <c r="F15" i="6"/>
  <c r="G15" i="6" s="1"/>
  <c r="D15" i="6"/>
  <c r="E15" i="6" s="1"/>
  <c r="D14" i="6"/>
  <c r="E14" i="6" s="1"/>
  <c r="F14" i="6" s="1"/>
  <c r="G14" i="6" s="1"/>
  <c r="H14" i="6" s="1"/>
  <c r="I14" i="6" s="1"/>
  <c r="J14" i="6" s="1"/>
  <c r="K14" i="6" s="1"/>
  <c r="L14" i="6" s="1"/>
  <c r="M14" i="6" s="1"/>
  <c r="N14" i="6" s="1"/>
  <c r="O14" i="6" s="1"/>
  <c r="P14" i="6" s="1"/>
  <c r="Q14" i="6" s="1"/>
  <c r="R14" i="6" s="1"/>
  <c r="S14" i="6" s="1"/>
  <c r="T14" i="6" s="1"/>
  <c r="U14" i="6" s="1"/>
  <c r="V14" i="6" s="1"/>
  <c r="W14" i="6" s="1"/>
  <c r="X14" i="6" s="1"/>
  <c r="Y14" i="6" s="1"/>
  <c r="Z14" i="6" s="1"/>
  <c r="AA14" i="6" s="1"/>
  <c r="AB14" i="6" s="1"/>
  <c r="AC14" i="6" s="1"/>
  <c r="AD14" i="6" s="1"/>
  <c r="AE14" i="6" s="1"/>
  <c r="AF14" i="6" s="1"/>
  <c r="AG14" i="6" s="1"/>
  <c r="AH14" i="6" s="1"/>
  <c r="AI14" i="6" s="1"/>
  <c r="AJ14" i="6" s="1"/>
  <c r="AK14" i="6" s="1"/>
  <c r="AL14" i="6" s="1"/>
  <c r="AM14" i="6" s="1"/>
  <c r="AN14" i="6" s="1"/>
  <c r="AO14" i="6" s="1"/>
  <c r="AP14" i="6" s="1"/>
  <c r="AQ14" i="6" s="1"/>
  <c r="AR14" i="6" s="1"/>
  <c r="AS14" i="6" s="1"/>
  <c r="AT14" i="6" s="1"/>
  <c r="AU14" i="6" s="1"/>
  <c r="AV14" i="6" s="1"/>
  <c r="AW14" i="6" s="1"/>
  <c r="AX14" i="6" s="1"/>
  <c r="AY14" i="6" s="1"/>
  <c r="AZ14" i="6" s="1"/>
  <c r="BA14" i="6" s="1"/>
  <c r="BB14" i="6" s="1"/>
  <c r="BC14" i="6" s="1"/>
  <c r="BD14" i="6" s="1"/>
  <c r="BE14" i="6" s="1"/>
  <c r="BF14" i="6" s="1"/>
  <c r="BG14" i="6" s="1"/>
  <c r="BH14" i="6" s="1"/>
  <c r="BI14" i="6" s="1"/>
  <c r="BJ14" i="6" s="1"/>
  <c r="BK14" i="6" s="1"/>
  <c r="BL14" i="6" s="1"/>
  <c r="BM14" i="6" s="1"/>
  <c r="BN14" i="6" s="1"/>
  <c r="BO14" i="6" s="1"/>
  <c r="BP14" i="6" s="1"/>
  <c r="BQ14" i="6" s="1"/>
  <c r="BR14" i="6" s="1"/>
  <c r="BS14" i="6" s="1"/>
  <c r="BT14" i="6" s="1"/>
  <c r="BU14" i="6" s="1"/>
  <c r="BV14" i="6" s="1"/>
  <c r="BW14" i="6" s="1"/>
  <c r="BX14" i="6" s="1"/>
  <c r="BY14" i="6" s="1"/>
  <c r="BZ14" i="6" s="1"/>
  <c r="CA14" i="6" s="1"/>
  <c r="CB14" i="6" s="1"/>
  <c r="CC14" i="6" s="1"/>
  <c r="CD14" i="6" s="1"/>
  <c r="CE14" i="6" s="1"/>
  <c r="CF14" i="6" s="1"/>
  <c r="CG14" i="6" s="1"/>
  <c r="CH14" i="6" s="1"/>
  <c r="CI14" i="6" s="1"/>
  <c r="CJ14" i="6" s="1"/>
  <c r="CK14" i="6" s="1"/>
  <c r="CL14" i="6" s="1"/>
  <c r="CM14" i="6" s="1"/>
  <c r="CN14" i="6" s="1"/>
  <c r="CO14" i="6" s="1"/>
  <c r="CP14" i="6" s="1"/>
  <c r="CQ14" i="6" s="1"/>
  <c r="CR14" i="6" s="1"/>
  <c r="CS14" i="6" s="1"/>
  <c r="CT14" i="6" s="1"/>
  <c r="CU14" i="6" s="1"/>
  <c r="CV14" i="6" s="1"/>
  <c r="CW14" i="6" s="1"/>
  <c r="CX14" i="6" s="1"/>
  <c r="CY14" i="6" s="1"/>
  <c r="CZ14" i="6" s="1"/>
  <c r="DA14" i="6" s="1"/>
  <c r="DB14" i="6" s="1"/>
  <c r="DC14" i="6" s="1"/>
  <c r="DD14" i="6" s="1"/>
  <c r="DE14" i="6" s="1"/>
  <c r="DF14" i="6" s="1"/>
  <c r="DG14" i="6" s="1"/>
  <c r="DH14" i="6" s="1"/>
  <c r="DI14" i="6" s="1"/>
  <c r="DJ14" i="6" s="1"/>
  <c r="DK14" i="6" s="1"/>
  <c r="DL14" i="6" s="1"/>
  <c r="DM14" i="6" s="1"/>
  <c r="DN14" i="6" s="1"/>
  <c r="DO14" i="6" s="1"/>
  <c r="DP14" i="6" s="1"/>
  <c r="DQ14" i="6" s="1"/>
  <c r="DR14" i="6" s="1"/>
  <c r="DS14" i="6" s="1"/>
  <c r="DT14" i="6" s="1"/>
  <c r="DU14" i="6" s="1"/>
  <c r="DV14" i="6" s="1"/>
  <c r="DW14" i="6" s="1"/>
  <c r="DX14" i="6" s="1"/>
  <c r="DY14" i="6" s="1"/>
  <c r="DZ14" i="6" s="1"/>
  <c r="EA14" i="6" s="1"/>
  <c r="EB14" i="6" s="1"/>
  <c r="EC14" i="6" s="1"/>
  <c r="ED14" i="6" s="1"/>
  <c r="EE14" i="6" s="1"/>
  <c r="EF14" i="6" s="1"/>
  <c r="H13" i="6"/>
  <c r="I13" i="6" s="1"/>
  <c r="J13" i="6" s="1"/>
  <c r="K13" i="6" s="1"/>
  <c r="L13" i="6" s="1"/>
  <c r="M13" i="6" s="1"/>
  <c r="N13" i="6" s="1"/>
  <c r="O13" i="6" s="1"/>
  <c r="P13" i="6" s="1"/>
  <c r="Q13" i="6" s="1"/>
  <c r="R13" i="6" s="1"/>
  <c r="S13" i="6" s="1"/>
  <c r="T13" i="6" s="1"/>
  <c r="U13" i="6" s="1"/>
  <c r="V13" i="6" s="1"/>
  <c r="W13" i="6" s="1"/>
  <c r="X13" i="6" s="1"/>
  <c r="Y13" i="6" s="1"/>
  <c r="Z13" i="6" s="1"/>
  <c r="AA13" i="6" s="1"/>
  <c r="AB13" i="6" s="1"/>
  <c r="AC13" i="6" s="1"/>
  <c r="AD13" i="6" s="1"/>
  <c r="AE13" i="6" s="1"/>
  <c r="AF13" i="6" s="1"/>
  <c r="AG13" i="6" s="1"/>
  <c r="AH13" i="6" s="1"/>
  <c r="AI13" i="6" s="1"/>
  <c r="AJ13" i="6" s="1"/>
  <c r="AK13" i="6" s="1"/>
  <c r="AL13" i="6" s="1"/>
  <c r="AM13" i="6" s="1"/>
  <c r="AN13" i="6" s="1"/>
  <c r="AO13" i="6" s="1"/>
  <c r="AP13" i="6" s="1"/>
  <c r="AQ13" i="6" s="1"/>
  <c r="AR13" i="6" s="1"/>
  <c r="AS13" i="6" s="1"/>
  <c r="AT13" i="6" s="1"/>
  <c r="AU13" i="6" s="1"/>
  <c r="AV13" i="6" s="1"/>
  <c r="AW13" i="6" s="1"/>
  <c r="AX13" i="6" s="1"/>
  <c r="AY13" i="6" s="1"/>
  <c r="AZ13" i="6" s="1"/>
  <c r="BA13" i="6" s="1"/>
  <c r="BB13" i="6" s="1"/>
  <c r="BC13" i="6" s="1"/>
  <c r="BD13" i="6" s="1"/>
  <c r="BE13" i="6" s="1"/>
  <c r="BF13" i="6" s="1"/>
  <c r="BG13" i="6" s="1"/>
  <c r="BH13" i="6" s="1"/>
  <c r="BI13" i="6" s="1"/>
  <c r="BJ13" i="6" s="1"/>
  <c r="BK13" i="6" s="1"/>
  <c r="BL13" i="6" s="1"/>
  <c r="BM13" i="6" s="1"/>
  <c r="BN13" i="6" s="1"/>
  <c r="BO13" i="6" s="1"/>
  <c r="BP13" i="6" s="1"/>
  <c r="BQ13" i="6" s="1"/>
  <c r="BR13" i="6" s="1"/>
  <c r="BS13" i="6" s="1"/>
  <c r="BT13" i="6" s="1"/>
  <c r="BU13" i="6" s="1"/>
  <c r="BV13" i="6" s="1"/>
  <c r="BW13" i="6" s="1"/>
  <c r="BX13" i="6" s="1"/>
  <c r="BY13" i="6" s="1"/>
  <c r="BZ13" i="6" s="1"/>
  <c r="CA13" i="6" s="1"/>
  <c r="CB13" i="6" s="1"/>
  <c r="CC13" i="6" s="1"/>
  <c r="CD13" i="6" s="1"/>
  <c r="CE13" i="6" s="1"/>
  <c r="CF13" i="6" s="1"/>
  <c r="CG13" i="6" s="1"/>
  <c r="CH13" i="6" s="1"/>
  <c r="CI13" i="6" s="1"/>
  <c r="CJ13" i="6" s="1"/>
  <c r="CK13" i="6" s="1"/>
  <c r="CL13" i="6" s="1"/>
  <c r="CM13" i="6" s="1"/>
  <c r="CN13" i="6" s="1"/>
  <c r="CO13" i="6" s="1"/>
  <c r="CP13" i="6" s="1"/>
  <c r="CQ13" i="6" s="1"/>
  <c r="CR13" i="6" s="1"/>
  <c r="CS13" i="6" s="1"/>
  <c r="CT13" i="6" s="1"/>
  <c r="CU13" i="6" s="1"/>
  <c r="CV13" i="6" s="1"/>
  <c r="CW13" i="6" s="1"/>
  <c r="CX13" i="6" s="1"/>
  <c r="CY13" i="6" s="1"/>
  <c r="CZ13" i="6" s="1"/>
  <c r="DA13" i="6" s="1"/>
  <c r="DB13" i="6" s="1"/>
  <c r="DC13" i="6" s="1"/>
  <c r="DD13" i="6" s="1"/>
  <c r="DE13" i="6" s="1"/>
  <c r="DF13" i="6" s="1"/>
  <c r="DG13" i="6" s="1"/>
  <c r="DH13" i="6" s="1"/>
  <c r="DI13" i="6" s="1"/>
  <c r="DJ13" i="6" s="1"/>
  <c r="DK13" i="6" s="1"/>
  <c r="DL13" i="6" s="1"/>
  <c r="DM13" i="6" s="1"/>
  <c r="DN13" i="6" s="1"/>
  <c r="DO13" i="6" s="1"/>
  <c r="DP13" i="6" s="1"/>
  <c r="DQ13" i="6" s="1"/>
  <c r="DR13" i="6" s="1"/>
  <c r="DS13" i="6" s="1"/>
  <c r="DT13" i="6" s="1"/>
  <c r="DU13" i="6" s="1"/>
  <c r="DV13" i="6" s="1"/>
  <c r="DW13" i="6" s="1"/>
  <c r="DX13" i="6" s="1"/>
  <c r="DY13" i="6" s="1"/>
  <c r="DZ13" i="6" s="1"/>
  <c r="EA13" i="6" s="1"/>
  <c r="EB13" i="6" s="1"/>
  <c r="EC13" i="6" s="1"/>
  <c r="ED13" i="6" s="1"/>
  <c r="EE13" i="6" s="1"/>
  <c r="EF13" i="6" s="1"/>
  <c r="D13" i="6"/>
  <c r="E13" i="6" s="1"/>
  <c r="F13" i="6" s="1"/>
  <c r="G13" i="6" s="1"/>
  <c r="E12" i="6"/>
  <c r="F12" i="6" s="1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D12" i="6"/>
  <c r="EG8" i="6"/>
  <c r="EF8" i="6"/>
  <c r="DP8" i="6"/>
  <c r="DO8" i="6"/>
  <c r="DN8" i="6"/>
  <c r="DK8" i="6"/>
  <c r="DE8" i="6"/>
  <c r="CX8" i="6"/>
  <c r="CW8" i="6"/>
  <c r="CV8" i="6"/>
  <c r="CU8" i="6"/>
  <c r="CN8" i="6"/>
  <c r="BW8" i="6"/>
  <c r="BU8" i="6"/>
  <c r="BT8" i="6"/>
  <c r="BK8" i="6"/>
  <c r="BD8" i="6"/>
  <c r="BC8" i="6"/>
  <c r="BB8" i="6"/>
  <c r="BA8" i="6"/>
  <c r="AS8" i="6"/>
  <c r="AJ8" i="6"/>
  <c r="AI8" i="6"/>
  <c r="K8" i="6"/>
  <c r="F8" i="6"/>
  <c r="E8" i="6"/>
  <c r="EF7" i="6"/>
  <c r="DP7" i="6"/>
  <c r="DO7" i="6"/>
  <c r="DN7" i="6"/>
  <c r="DE7" i="6"/>
  <c r="CX7" i="6"/>
  <c r="CV7" i="6"/>
  <c r="CU7" i="6"/>
  <c r="CQ7" i="6"/>
  <c r="CN7" i="6"/>
  <c r="BY7" i="6"/>
  <c r="BX7" i="6"/>
  <c r="BW7" i="6"/>
  <c r="BV7" i="6"/>
  <c r="BT7" i="6"/>
  <c r="BD7" i="6"/>
  <c r="BC7" i="6"/>
  <c r="BB7" i="6"/>
  <c r="AL7" i="6"/>
  <c r="AJ7" i="6"/>
  <c r="AI7" i="6"/>
  <c r="AC7" i="6"/>
  <c r="AA7" i="6"/>
  <c r="S7" i="6"/>
  <c r="P7" i="6"/>
  <c r="M7" i="6"/>
  <c r="K7" i="6"/>
  <c r="J7" i="6"/>
  <c r="EG6" i="6" a="1"/>
  <c r="EG6" i="6" s="1"/>
  <c r="EG7" i="6" s="1"/>
  <c r="EF6" i="6" a="1"/>
  <c r="EF6" i="6"/>
  <c r="EE6" i="6" a="1"/>
  <c r="EE6" i="6"/>
  <c r="ED6" i="6" a="1"/>
  <c r="ED6" i="6" s="1"/>
  <c r="EC6" i="6" a="1"/>
  <c r="EC6" i="6" s="1"/>
  <c r="EB6" i="6" a="1"/>
  <c r="EB6" i="6" s="1"/>
  <c r="EA6" i="6" a="1"/>
  <c r="EA6" i="6" s="1"/>
  <c r="DZ6" i="6" a="1"/>
  <c r="DZ6" i="6"/>
  <c r="DZ8" i="6" s="1"/>
  <c r="DY6" i="6" a="1"/>
  <c r="DY6" i="6" s="1"/>
  <c r="DY7" i="6" s="1"/>
  <c r="DX6" i="6" a="1"/>
  <c r="DX6" i="6" s="1"/>
  <c r="DW6" i="6" a="1"/>
  <c r="DW6" i="6" s="1"/>
  <c r="DV6" i="6" a="1"/>
  <c r="DV6" i="6"/>
  <c r="DV8" i="6" s="1"/>
  <c r="DU6" i="6" a="1"/>
  <c r="DU6" i="6" s="1"/>
  <c r="DT6" i="6" a="1"/>
  <c r="DT6" i="6" s="1"/>
  <c r="DS6" i="6" a="1"/>
  <c r="DS6" i="6" s="1"/>
  <c r="DR6" i="6" a="1"/>
  <c r="DR6" i="6" s="1"/>
  <c r="DR8" i="6" s="1"/>
  <c r="DQ6" i="6" a="1"/>
  <c r="DQ6" i="6" s="1"/>
  <c r="DQ7" i="6" s="1"/>
  <c r="DP6" i="6" a="1"/>
  <c r="DP6" i="6"/>
  <c r="DO6" i="6" a="1"/>
  <c r="DO6" i="6"/>
  <c r="DN6" i="6" a="1"/>
  <c r="DN6" i="6"/>
  <c r="DM6" i="6" a="1"/>
  <c r="DM6" i="6"/>
  <c r="DM7" i="6" s="1"/>
  <c r="DL6" i="6" a="1"/>
  <c r="DL6" i="6"/>
  <c r="DK6" i="6" a="1"/>
  <c r="DK6" i="6" s="1"/>
  <c r="DK7" i="6" s="1"/>
  <c r="DJ6" i="6" a="1"/>
  <c r="DJ6" i="6" s="1"/>
  <c r="DI6" i="6" a="1"/>
  <c r="DI6" i="6" s="1"/>
  <c r="DI7" i="6" s="1"/>
  <c r="DH6" i="6" a="1"/>
  <c r="DH6" i="6"/>
  <c r="DG6" i="6" a="1"/>
  <c r="DG6" i="6"/>
  <c r="DG7" i="6" s="1"/>
  <c r="DF6" i="6" a="1"/>
  <c r="DF6" i="6"/>
  <c r="DF8" i="6" s="1"/>
  <c r="DE6" i="6" a="1"/>
  <c r="DE6" i="6"/>
  <c r="DD6" i="6" a="1"/>
  <c r="DD6" i="6"/>
  <c r="DD8" i="6" s="1"/>
  <c r="DC6" i="6" a="1"/>
  <c r="DC6" i="6" s="1"/>
  <c r="DB6" i="6" a="1"/>
  <c r="DB6" i="6" s="1"/>
  <c r="DA6" i="6" a="1"/>
  <c r="DA6" i="6" s="1"/>
  <c r="CZ6" i="6" a="1"/>
  <c r="CZ6" i="6" s="1"/>
  <c r="CY6" i="6" a="1"/>
  <c r="CY6" i="6"/>
  <c r="CX6" i="6" a="1"/>
  <c r="CX6" i="6"/>
  <c r="CW6" i="6" a="1"/>
  <c r="CW6" i="6"/>
  <c r="CW7" i="6" s="1"/>
  <c r="CV6" i="6" a="1"/>
  <c r="CV6" i="6"/>
  <c r="CU6" i="6" a="1"/>
  <c r="CU6" i="6" s="1"/>
  <c r="CT6" i="6" a="1"/>
  <c r="CT6" i="6"/>
  <c r="CT8" i="6" s="1"/>
  <c r="CS6" i="6" a="1"/>
  <c r="CS6" i="6" s="1"/>
  <c r="CS7" i="6" s="1"/>
  <c r="CR6" i="6" a="1"/>
  <c r="CR6" i="6" s="1"/>
  <c r="CQ6" i="6" a="1"/>
  <c r="CQ6" i="6" s="1"/>
  <c r="CQ8" i="6" s="1"/>
  <c r="CP6" i="6" a="1"/>
  <c r="CP6" i="6"/>
  <c r="CO6" i="6" a="1"/>
  <c r="CO6" i="6"/>
  <c r="CO8" i="6" s="1"/>
  <c r="CN6" i="6" a="1"/>
  <c r="CN6" i="6"/>
  <c r="CM6" i="6" a="1"/>
  <c r="CM6" i="6" s="1"/>
  <c r="CM8" i="6" s="1"/>
  <c r="CL6" i="6" a="1"/>
  <c r="CL6" i="6" s="1"/>
  <c r="CK6" i="6" a="1"/>
  <c r="CK6" i="6" s="1"/>
  <c r="CK7" i="6" s="1"/>
  <c r="CJ6" i="6" a="1"/>
  <c r="CJ6" i="6"/>
  <c r="CI6" i="6" a="1"/>
  <c r="CI6" i="6"/>
  <c r="CH6" i="6" a="1"/>
  <c r="CH6" i="6" s="1"/>
  <c r="CG6" i="6" a="1"/>
  <c r="CG6" i="6"/>
  <c r="CF6" i="6" a="1"/>
  <c r="CF6" i="6"/>
  <c r="CF8" i="6" s="1"/>
  <c r="CE6" i="6" a="1"/>
  <c r="CE6" i="6" s="1"/>
  <c r="CE7" i="6" s="1"/>
  <c r="CD6" i="6" a="1"/>
  <c r="CD6" i="6" s="1"/>
  <c r="CC6" i="6" a="1"/>
  <c r="CC6" i="6" s="1"/>
  <c r="CC7" i="6" s="1"/>
  <c r="CB6" i="6" a="1"/>
  <c r="CB6" i="6"/>
  <c r="CB7" i="6" s="1"/>
  <c r="CA6" i="6" a="1"/>
  <c r="CA6" i="6" s="1"/>
  <c r="BZ6" i="6" a="1"/>
  <c r="BZ6" i="6"/>
  <c r="BY6" i="6" a="1"/>
  <c r="BY6" i="6" s="1"/>
  <c r="BY8" i="6" s="1"/>
  <c r="BX6" i="6" a="1"/>
  <c r="BX6" i="6"/>
  <c r="BX8" i="6" s="1"/>
  <c r="BW6" i="6" a="1"/>
  <c r="BW6" i="6" s="1"/>
  <c r="BV6" i="6" a="1"/>
  <c r="BV6" i="6"/>
  <c r="BV8" i="6" s="1"/>
  <c r="BU6" i="6" a="1"/>
  <c r="BU6" i="6" s="1"/>
  <c r="BU7" i="6" s="1"/>
  <c r="BT6" i="6" a="1"/>
  <c r="BT6" i="6"/>
  <c r="BS6" i="6" a="1"/>
  <c r="BS6" i="6"/>
  <c r="BS8" i="6" s="1"/>
  <c r="BR6" i="6" a="1"/>
  <c r="BR6" i="6"/>
  <c r="BQ6" i="6" a="1"/>
  <c r="BQ6" i="6"/>
  <c r="BP6" i="6" a="1"/>
  <c r="BP6" i="6" s="1"/>
  <c r="BO6" i="6" a="1"/>
  <c r="BO6" i="6" s="1"/>
  <c r="BO8" i="6" s="1"/>
  <c r="BN6" i="6" a="1"/>
  <c r="BN6" i="6" s="1"/>
  <c r="BM6" i="6" a="1"/>
  <c r="BM6" i="6" s="1"/>
  <c r="BM7" i="6" s="1"/>
  <c r="BL6" i="6" a="1"/>
  <c r="BL6" i="6"/>
  <c r="BL8" i="6" s="1"/>
  <c r="BK6" i="6" a="1"/>
  <c r="BK6" i="6"/>
  <c r="BK7" i="6" s="1"/>
  <c r="BJ6" i="6" a="1"/>
  <c r="BJ6" i="6"/>
  <c r="BJ8" i="6" s="1"/>
  <c r="BI6" i="6" a="1"/>
  <c r="BI6" i="6" s="1"/>
  <c r="BH6" i="6" a="1"/>
  <c r="BH6" i="6"/>
  <c r="BG6" i="6" a="1"/>
  <c r="BG6" i="6" s="1"/>
  <c r="BF6" i="6" a="1"/>
  <c r="BF6" i="6" s="1"/>
  <c r="BE6" i="6" a="1"/>
  <c r="BE6" i="6" s="1"/>
  <c r="BD6" i="6" a="1"/>
  <c r="BD6" i="6"/>
  <c r="BC6" i="6" a="1"/>
  <c r="BC6" i="6"/>
  <c r="BB6" i="6" a="1"/>
  <c r="BB6" i="6"/>
  <c r="BA6" i="6" a="1"/>
  <c r="BA6" i="6"/>
  <c r="BA7" i="6" s="1"/>
  <c r="AZ6" i="6" a="1"/>
  <c r="AZ6" i="6"/>
  <c r="AY6" i="6" a="1"/>
  <c r="AY6" i="6" s="1"/>
  <c r="AX6" i="6" a="1"/>
  <c r="AX6" i="6"/>
  <c r="AW6" i="6" a="1"/>
  <c r="AW6" i="6" s="1"/>
  <c r="AV6" i="6" a="1"/>
  <c r="AV6" i="6"/>
  <c r="AV8" i="6" s="1"/>
  <c r="AU6" i="6" a="1"/>
  <c r="AU6" i="6"/>
  <c r="AU8" i="6" s="1"/>
  <c r="AT6" i="6" a="1"/>
  <c r="AT6" i="6"/>
  <c r="AT8" i="6" s="1"/>
  <c r="AS6" i="6" a="1"/>
  <c r="AS6" i="6"/>
  <c r="AS7" i="6" s="1"/>
  <c r="AR6" i="6" a="1"/>
  <c r="AR6" i="6"/>
  <c r="AR8" i="6" s="1"/>
  <c r="AQ6" i="6" a="1"/>
  <c r="AQ6" i="6" s="1"/>
  <c r="AP6" i="6" a="1"/>
  <c r="AP6" i="6" s="1"/>
  <c r="AO6" i="6" a="1"/>
  <c r="AO6" i="6" s="1"/>
  <c r="AN6" i="6" a="1"/>
  <c r="AN6" i="6" s="1"/>
  <c r="AM6" i="6" a="1"/>
  <c r="AM6" i="6"/>
  <c r="AL6" i="6" a="1"/>
  <c r="AL6" i="6"/>
  <c r="AL8" i="6" s="1"/>
  <c r="AK6" i="6" a="1"/>
  <c r="AK6" i="6"/>
  <c r="AK7" i="6" s="1"/>
  <c r="AJ6" i="6" a="1"/>
  <c r="AJ6" i="6"/>
  <c r="AI6" i="6" a="1"/>
  <c r="AI6" i="6" s="1"/>
  <c r="AH6" i="6" a="1"/>
  <c r="AH6" i="6"/>
  <c r="AG6" i="6" a="1"/>
  <c r="AG6" i="6" s="1"/>
  <c r="AG7" i="6" s="1"/>
  <c r="AF6" i="6" a="1"/>
  <c r="AF6" i="6" s="1"/>
  <c r="AE6" i="6" a="1"/>
  <c r="AE6" i="6" s="1"/>
  <c r="AD6" i="6" a="1"/>
  <c r="AD6" i="6"/>
  <c r="AC6" i="6" a="1"/>
  <c r="AC6" i="6"/>
  <c r="AC8" i="6" s="1"/>
  <c r="AB6" i="6" a="1"/>
  <c r="AB6" i="6" s="1"/>
  <c r="AB7" i="6" s="1"/>
  <c r="AA6" i="6" a="1"/>
  <c r="AA6" i="6" s="1"/>
  <c r="AA8" i="6" s="1"/>
  <c r="Z6" i="6" a="1"/>
  <c r="Z6" i="6" s="1"/>
  <c r="Y6" i="6" a="1"/>
  <c r="Y6" i="6" s="1"/>
  <c r="X6" i="6" a="1"/>
  <c r="X6" i="6" s="1"/>
  <c r="W6" i="6" a="1"/>
  <c r="W6" i="6"/>
  <c r="V6" i="6" a="1"/>
  <c r="V6" i="6" s="1"/>
  <c r="U6" i="6" a="1"/>
  <c r="U6" i="6"/>
  <c r="T6" i="6" a="1"/>
  <c r="T6" i="6"/>
  <c r="T8" i="6" s="1"/>
  <c r="S6" i="6" a="1"/>
  <c r="S6" i="6" s="1"/>
  <c r="S8" i="6" s="1"/>
  <c r="R6" i="6" a="1"/>
  <c r="R6" i="6" s="1"/>
  <c r="Q6" i="6" a="1"/>
  <c r="Q6" i="6" s="1"/>
  <c r="Q7" i="6" s="1"/>
  <c r="P6" i="6" a="1"/>
  <c r="P6" i="6"/>
  <c r="P8" i="6" s="1"/>
  <c r="O6" i="6" a="1"/>
  <c r="O6" i="6" s="1"/>
  <c r="N6" i="6" a="1"/>
  <c r="N6" i="6" s="1"/>
  <c r="M6" i="6" a="1"/>
  <c r="M6" i="6" s="1"/>
  <c r="M8" i="6" s="1"/>
  <c r="L6" i="6" a="1"/>
  <c r="L6" i="6"/>
  <c r="K6" i="6" a="1"/>
  <c r="K6" i="6" s="1"/>
  <c r="J6" i="6" a="1"/>
  <c r="J6" i="6"/>
  <c r="J8" i="6" s="1"/>
  <c r="I6" i="6" a="1"/>
  <c r="I6" i="6" s="1"/>
  <c r="H6" i="6" a="1"/>
  <c r="H6" i="6"/>
  <c r="H7" i="6" s="1"/>
  <c r="G6" i="6" a="1"/>
  <c r="G6" i="6"/>
  <c r="F6" i="6" a="1"/>
  <c r="F6" i="6"/>
  <c r="F7" i="6" s="1"/>
  <c r="E6" i="6" a="1"/>
  <c r="E6" i="6"/>
  <c r="E7" i="6" s="1"/>
  <c r="D6" i="6" a="1"/>
  <c r="D6" i="6" s="1"/>
  <c r="C6" i="6" a="1"/>
  <c r="C6" i="6" s="1"/>
  <c r="C7" i="6" s="1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EF8" i="5"/>
  <c r="DX8" i="5"/>
  <c r="CZ8" i="5"/>
  <c r="CB8" i="5"/>
  <c r="EF6" i="5" a="1"/>
  <c r="EF6" i="5" s="1"/>
  <c r="EF7" i="5" s="1"/>
  <c r="EE6" i="5" a="1"/>
  <c r="EE6" i="5" s="1"/>
  <c r="EE8" i="5" s="1"/>
  <c r="ED6" i="5" a="1"/>
  <c r="ED6" i="5" s="1"/>
  <c r="ED7" i="5" s="1"/>
  <c r="EC6" i="5" a="1"/>
  <c r="EC6" i="5" s="1"/>
  <c r="EC8" i="5" s="1"/>
  <c r="EB6" i="5" a="1"/>
  <c r="EB6" i="5" s="1"/>
  <c r="EB8" i="5" s="1"/>
  <c r="EA6" i="5" a="1"/>
  <c r="EA6" i="5" s="1"/>
  <c r="EA7" i="5" s="1"/>
  <c r="DZ6" i="5" a="1"/>
  <c r="DZ6" i="5" s="1"/>
  <c r="DY6" i="5" a="1"/>
  <c r="DY6" i="5" s="1"/>
  <c r="DX6" i="5" a="1"/>
  <c r="DX6" i="5" s="1"/>
  <c r="DX7" i="5" s="1"/>
  <c r="DW6" i="5" a="1"/>
  <c r="DW6" i="5" s="1"/>
  <c r="DV6" i="5" a="1"/>
  <c r="DV6" i="5" s="1"/>
  <c r="DU6" i="5" a="1"/>
  <c r="DU6" i="5" s="1"/>
  <c r="DU8" i="5" s="1"/>
  <c r="DT6" i="5" a="1"/>
  <c r="DT6" i="5" s="1"/>
  <c r="DS6" i="5" a="1"/>
  <c r="DS6" i="5"/>
  <c r="DS8" i="5" s="1"/>
  <c r="DR6" i="5" a="1"/>
  <c r="DR6" i="5" s="1"/>
  <c r="DQ6" i="5" a="1"/>
  <c r="DQ6" i="5" s="1"/>
  <c r="DP6" i="5" a="1"/>
  <c r="DP6" i="5" s="1"/>
  <c r="DP8" i="5" s="1"/>
  <c r="DO6" i="5" a="1"/>
  <c r="DO6" i="5" s="1"/>
  <c r="DN6" i="5" a="1"/>
  <c r="DN6" i="5" s="1"/>
  <c r="DM6" i="5" a="1"/>
  <c r="DM6" i="5" s="1"/>
  <c r="DM8" i="5" s="1"/>
  <c r="DL6" i="5" a="1"/>
  <c r="DL6" i="5" s="1"/>
  <c r="DK6" i="5" a="1"/>
  <c r="DK6" i="5" s="1"/>
  <c r="DJ6" i="5" a="1"/>
  <c r="DJ6" i="5" s="1"/>
  <c r="DJ8" i="5" s="1"/>
  <c r="DI6" i="5" a="1"/>
  <c r="DI6" i="5"/>
  <c r="DI7" i="5" s="1"/>
  <c r="DH6" i="5" a="1"/>
  <c r="DH6" i="5" s="1"/>
  <c r="DH8" i="5" s="1"/>
  <c r="DG6" i="5" a="1"/>
  <c r="DG6" i="5" s="1"/>
  <c r="DF6" i="5" a="1"/>
  <c r="DF6" i="5" s="1"/>
  <c r="DF7" i="5" s="1"/>
  <c r="DE6" i="5" a="1"/>
  <c r="DE6" i="5" s="1"/>
  <c r="DD6" i="5" a="1"/>
  <c r="DD6" i="5" s="1"/>
  <c r="DC6" i="5" a="1"/>
  <c r="DC6" i="5" s="1"/>
  <c r="DC7" i="5" s="1"/>
  <c r="DB6" i="5" a="1"/>
  <c r="DB6" i="5" s="1"/>
  <c r="DA6" i="5" a="1"/>
  <c r="DA6" i="5" s="1"/>
  <c r="DA8" i="5" s="1"/>
  <c r="CZ6" i="5" a="1"/>
  <c r="CZ6" i="5" s="1"/>
  <c r="CZ7" i="5" s="1"/>
  <c r="CY6" i="5" a="1"/>
  <c r="CY6" i="5" s="1"/>
  <c r="CY7" i="5" s="1"/>
  <c r="CX6" i="5" a="1"/>
  <c r="CX6" i="5" s="1"/>
  <c r="CX8" i="5" s="1"/>
  <c r="CW6" i="5" a="1"/>
  <c r="CW6" i="5" s="1"/>
  <c r="CV6" i="5" a="1"/>
  <c r="CV6" i="5" s="1"/>
  <c r="CV7" i="5" s="1"/>
  <c r="CU6" i="5" a="1"/>
  <c r="CU6" i="5"/>
  <c r="CT6" i="5" a="1"/>
  <c r="CT6" i="5" s="1"/>
  <c r="CS6" i="5" a="1"/>
  <c r="CS6" i="5"/>
  <c r="CR6" i="5" a="1"/>
  <c r="CR6" i="5" s="1"/>
  <c r="CQ6" i="5" a="1"/>
  <c r="CQ6" i="5" s="1"/>
  <c r="CQ8" i="5" s="1"/>
  <c r="CP6" i="5" a="1"/>
  <c r="CP6" i="5" s="1"/>
  <c r="CP8" i="5" s="1"/>
  <c r="CO6" i="5" a="1"/>
  <c r="CO6" i="5" s="1"/>
  <c r="CO8" i="5" s="1"/>
  <c r="CN6" i="5" a="1"/>
  <c r="CN6" i="5" s="1"/>
  <c r="CN8" i="5" s="1"/>
  <c r="CM6" i="5" a="1"/>
  <c r="CM6" i="5" s="1"/>
  <c r="CM7" i="5" s="1"/>
  <c r="CL6" i="5" a="1"/>
  <c r="CL6" i="5" s="1"/>
  <c r="CL8" i="5" s="1"/>
  <c r="CK6" i="5" a="1"/>
  <c r="CK6" i="5" s="1"/>
  <c r="CJ6" i="5" a="1"/>
  <c r="CJ6" i="5" s="1"/>
  <c r="CI6" i="5" a="1"/>
  <c r="CI6" i="5" s="1"/>
  <c r="CI8" i="5" s="1"/>
  <c r="CH6" i="5" a="1"/>
  <c r="CH6" i="5" s="1"/>
  <c r="CG6" i="5" a="1"/>
  <c r="CG6" i="5" s="1"/>
  <c r="CF6" i="5" a="1"/>
  <c r="CF6" i="5" s="1"/>
  <c r="CF8" i="5" s="1"/>
  <c r="CE6" i="5" a="1"/>
  <c r="CE6" i="5" s="1"/>
  <c r="CD6" i="5" a="1"/>
  <c r="CD6" i="5" s="1"/>
  <c r="CD7" i="5" s="1"/>
  <c r="CC6" i="5" a="1"/>
  <c r="CC6" i="5" s="1"/>
  <c r="CB6" i="5" a="1"/>
  <c r="CB6" i="5" s="1"/>
  <c r="CB7" i="5" s="1"/>
  <c r="CA6" i="5" a="1"/>
  <c r="CA6" i="5" s="1"/>
  <c r="BZ6" i="5" a="1"/>
  <c r="BZ6" i="5" s="1"/>
  <c r="BY6" i="5" a="1"/>
  <c r="BY6" i="5" s="1"/>
  <c r="BY7" i="5" s="1"/>
  <c r="BX6" i="5" a="1"/>
  <c r="BX6" i="5" s="1"/>
  <c r="BW6" i="5" a="1"/>
  <c r="BW6" i="5"/>
  <c r="BV6" i="5" a="1"/>
  <c r="BV6" i="5" s="1"/>
  <c r="BV8" i="5" s="1"/>
  <c r="BU6" i="5" a="1"/>
  <c r="BU6" i="5" s="1"/>
  <c r="BT6" i="5" a="1"/>
  <c r="BT6" i="5" s="1"/>
  <c r="BT8" i="5" s="1"/>
  <c r="BS6" i="5" a="1"/>
  <c r="BS6" i="5" s="1"/>
  <c r="BR6" i="5" a="1"/>
  <c r="BR6" i="5" s="1"/>
  <c r="BR7" i="5" s="1"/>
  <c r="BQ6" i="5" a="1"/>
  <c r="BQ6" i="5" s="1"/>
  <c r="BQ7" i="5" s="1"/>
  <c r="BP6" i="5" a="1"/>
  <c r="BP6" i="5" s="1"/>
  <c r="BP7" i="5" s="1"/>
  <c r="BO6" i="5" a="1"/>
  <c r="BO6" i="5" s="1"/>
  <c r="BO7" i="5" s="1"/>
  <c r="BN6" i="5" a="1"/>
  <c r="BN6" i="5" s="1"/>
  <c r="BM6" i="5" a="1"/>
  <c r="BM6" i="5" s="1"/>
  <c r="BL6" i="5" a="1"/>
  <c r="BL6" i="5" s="1"/>
  <c r="BL8" i="5" s="1"/>
  <c r="BK6" i="5" a="1"/>
  <c r="BK6" i="5" s="1"/>
  <c r="BJ6" i="5" a="1"/>
  <c r="BJ6" i="5" s="1"/>
  <c r="BI6" i="5" a="1"/>
  <c r="BI6" i="5" s="1"/>
  <c r="BI8" i="5" s="1"/>
  <c r="BH6" i="5" a="1"/>
  <c r="BH6" i="5" s="1"/>
  <c r="BG6" i="5" a="1"/>
  <c r="BG6" i="5" s="1"/>
  <c r="BG8" i="5" s="1"/>
  <c r="BF6" i="5" a="1"/>
  <c r="BF6" i="5" s="1"/>
  <c r="BE6" i="5" a="1"/>
  <c r="BE6" i="5"/>
  <c r="BD6" i="5" a="1"/>
  <c r="BD6" i="5" s="1"/>
  <c r="BC6" i="5" a="1"/>
  <c r="BC6" i="5" s="1"/>
  <c r="BB6" i="5" a="1"/>
  <c r="BB6" i="5" s="1"/>
  <c r="BA6" i="5" a="1"/>
  <c r="BA6" i="5" s="1"/>
  <c r="BA8" i="5" s="1"/>
  <c r="AZ6" i="5" a="1"/>
  <c r="AZ6" i="5" s="1"/>
  <c r="AZ7" i="5" s="1"/>
  <c r="AY6" i="5" a="1"/>
  <c r="AY6" i="5" s="1"/>
  <c r="AY7" i="5" s="1"/>
  <c r="AX6" i="5" a="1"/>
  <c r="AX6" i="5"/>
  <c r="AX8" i="5" s="1"/>
  <c r="AW6" i="5" a="1"/>
  <c r="AW6" i="5" s="1"/>
  <c r="AV6" i="5" a="1"/>
  <c r="AV6" i="5" s="1"/>
  <c r="AU6" i="5" a="1"/>
  <c r="AU6" i="5" s="1"/>
  <c r="AT6" i="5" a="1"/>
  <c r="AT6" i="5" s="1"/>
  <c r="AS6" i="5" a="1"/>
  <c r="AS6" i="5" s="1"/>
  <c r="AR6" i="5" a="1"/>
  <c r="AR6" i="5" s="1"/>
  <c r="AQ6" i="5" a="1"/>
  <c r="AQ6" i="5" s="1"/>
  <c r="AP6" i="5" a="1"/>
  <c r="AP6" i="5" s="1"/>
  <c r="AO6" i="5" a="1"/>
  <c r="AO6" i="5" s="1"/>
  <c r="AN6" i="5" a="1"/>
  <c r="AN6" i="5" s="1"/>
  <c r="AN8" i="5" s="1"/>
  <c r="AM6" i="5" a="1"/>
  <c r="AM6" i="5" s="1"/>
  <c r="AL6" i="5" a="1"/>
  <c r="AL6" i="5" s="1"/>
  <c r="AL8" i="5" s="1"/>
  <c r="AK6" i="5" a="1"/>
  <c r="AK6" i="5" s="1"/>
  <c r="AJ6" i="5" a="1"/>
  <c r="AJ6" i="5" s="1"/>
  <c r="AJ7" i="5" s="1"/>
  <c r="AI6" i="5" a="1"/>
  <c r="AI6" i="5"/>
  <c r="AH6" i="5" a="1"/>
  <c r="AH6" i="5"/>
  <c r="AH8" i="5" s="1"/>
  <c r="AG6" i="5" a="1"/>
  <c r="AG6" i="5" s="1"/>
  <c r="AF6" i="5" a="1"/>
  <c r="AF6" i="5" s="1"/>
  <c r="AF7" i="5" s="1"/>
  <c r="AE6" i="5" a="1"/>
  <c r="AE6" i="5" s="1"/>
  <c r="AE8" i="5" s="1"/>
  <c r="AD6" i="5" a="1"/>
  <c r="AD6" i="5" s="1"/>
  <c r="AC6" i="5" a="1"/>
  <c r="AC6" i="5" s="1"/>
  <c r="AB6" i="5" a="1"/>
  <c r="AB6" i="5" s="1"/>
  <c r="AB8" i="5" s="1"/>
  <c r="AA6" i="5" a="1"/>
  <c r="AA6" i="5" s="1"/>
  <c r="AA7" i="5" s="1"/>
  <c r="Z6" i="5" a="1"/>
  <c r="Z6" i="5" s="1"/>
  <c r="Y6" i="5" a="1"/>
  <c r="Y6" i="5" s="1"/>
  <c r="Y8" i="5" s="1"/>
  <c r="X6" i="5" a="1"/>
  <c r="X6" i="5" s="1"/>
  <c r="W6" i="5" a="1"/>
  <c r="W6" i="5" s="1"/>
  <c r="W8" i="5" s="1"/>
  <c r="V6" i="5" a="1"/>
  <c r="V6" i="5" s="1"/>
  <c r="V8" i="5" s="1"/>
  <c r="U6" i="5" a="1"/>
  <c r="U6" i="5" s="1"/>
  <c r="U7" i="5" s="1"/>
  <c r="T6" i="5" a="1"/>
  <c r="T6" i="5" s="1"/>
  <c r="T8" i="5" s="1"/>
  <c r="S6" i="5" a="1"/>
  <c r="S6" i="5" s="1"/>
  <c r="R6" i="5" a="1"/>
  <c r="R6" i="5" s="1"/>
  <c r="R7" i="5" s="1"/>
  <c r="Q6" i="5" a="1"/>
  <c r="Q6" i="5" s="1"/>
  <c r="P6" i="5" a="1"/>
  <c r="P6" i="5" s="1"/>
  <c r="O6" i="5" a="1"/>
  <c r="O6" i="5" s="1"/>
  <c r="N6" i="5" a="1"/>
  <c r="N6" i="5" s="1"/>
  <c r="M6" i="5" a="1"/>
  <c r="M6" i="5" s="1"/>
  <c r="M8" i="5" s="1"/>
  <c r="L6" i="5" a="1"/>
  <c r="L6" i="5" s="1"/>
  <c r="K6" i="5" a="1"/>
  <c r="K6" i="5"/>
  <c r="J6" i="5" a="1"/>
  <c r="J6" i="5" s="1"/>
  <c r="I6" i="5" a="1"/>
  <c r="I6" i="5" s="1"/>
  <c r="H6" i="5" a="1"/>
  <c r="H6" i="5" s="1"/>
  <c r="G6" i="5" a="1"/>
  <c r="G6" i="5" s="1"/>
  <c r="F6" i="5" a="1"/>
  <c r="F6" i="5" s="1"/>
  <c r="E6" i="5" a="1"/>
  <c r="E6" i="5" s="1"/>
  <c r="E8" i="5" s="1"/>
  <c r="D6" i="5" a="1"/>
  <c r="D6" i="5" s="1"/>
  <c r="D8" i="5" s="1"/>
  <c r="C6" i="5" a="1"/>
  <c r="C6" i="5"/>
  <c r="C7" i="5" s="1"/>
  <c r="EG4" i="5"/>
  <c r="EG3" i="5"/>
  <c r="EF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S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U24" i="4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EH23" i="4"/>
  <c r="EF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S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U23" i="4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EF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S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U22" i="4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EF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S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U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EH21" i="4" s="1"/>
  <c r="M21" i="4"/>
  <c r="L21" i="4"/>
  <c r="K21" i="4"/>
  <c r="J21" i="4"/>
  <c r="I21" i="4"/>
  <c r="H21" i="4"/>
  <c r="G21" i="4"/>
  <c r="F21" i="4"/>
  <c r="E21" i="4"/>
  <c r="D21" i="4"/>
  <c r="C21" i="4"/>
  <c r="EF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S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U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EF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S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U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EH19" i="4" s="1"/>
  <c r="C19" i="4"/>
  <c r="EF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S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EF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S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EH17" i="4" s="1"/>
  <c r="EF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S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EF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S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U15" i="4"/>
  <c r="BT15" i="4"/>
  <c r="BS15" i="4"/>
  <c r="BR15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EF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S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EF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S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EH13" i="4" s="1"/>
  <c r="D13" i="4"/>
  <c r="C13" i="4"/>
  <c r="EF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S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U12" i="4"/>
  <c r="BT12" i="4"/>
  <c r="BS12" i="4"/>
  <c r="BR12" i="4"/>
  <c r="BQ12" i="4"/>
  <c r="BP12" i="4"/>
  <c r="BO12" i="4"/>
  <c r="BN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EH12" i="4" s="1"/>
  <c r="L12" i="4"/>
  <c r="K12" i="4"/>
  <c r="J12" i="4"/>
  <c r="I12" i="4"/>
  <c r="H12" i="4"/>
  <c r="G12" i="4"/>
  <c r="F12" i="4"/>
  <c r="E12" i="4"/>
  <c r="D12" i="4"/>
  <c r="C12" i="4"/>
  <c r="EB8" i="4"/>
  <c r="EA8" i="4"/>
  <c r="DZ8" i="4"/>
  <c r="DW8" i="4"/>
  <c r="DO8" i="4"/>
  <c r="DG8" i="4"/>
  <c r="DC8" i="4"/>
  <c r="CY8" i="4"/>
  <c r="CJ8" i="4"/>
  <c r="CD8" i="4"/>
  <c r="CA8" i="4"/>
  <c r="BW8" i="4"/>
  <c r="BV8" i="4"/>
  <c r="BO8" i="4"/>
  <c r="BK8" i="4"/>
  <c r="BD8" i="4"/>
  <c r="BC8" i="4"/>
  <c r="AV8" i="4"/>
  <c r="AQ8" i="4"/>
  <c r="AM8" i="4"/>
  <c r="AI8" i="4"/>
  <c r="AH8" i="4"/>
  <c r="S8" i="4"/>
  <c r="O8" i="4"/>
  <c r="M8" i="4"/>
  <c r="L8" i="4"/>
  <c r="C8" i="4"/>
  <c r="EE7" i="4"/>
  <c r="ED7" i="4"/>
  <c r="EA7" i="4"/>
  <c r="DZ7" i="4"/>
  <c r="DY7" i="4"/>
  <c r="DO7" i="4"/>
  <c r="DH7" i="4"/>
  <c r="DG7" i="4"/>
  <c r="DF7" i="4"/>
  <c r="DC7" i="4"/>
  <c r="CX7" i="4"/>
  <c r="CU7" i="4"/>
  <c r="BV7" i="4"/>
  <c r="BR7" i="4"/>
  <c r="BP7" i="4"/>
  <c r="BM7" i="4"/>
  <c r="BG7" i="4"/>
  <c r="BD7" i="4"/>
  <c r="BC7" i="4"/>
  <c r="BB7" i="4"/>
  <c r="AU7" i="4"/>
  <c r="AT7" i="4"/>
  <c r="AJ7" i="4"/>
  <c r="AI7" i="4"/>
  <c r="AG7" i="4"/>
  <c r="AF7" i="4"/>
  <c r="AE7" i="4"/>
  <c r="AD7" i="4"/>
  <c r="Q7" i="4"/>
  <c r="J7" i="4"/>
  <c r="EG6" i="4" a="1"/>
  <c r="EG6" i="4"/>
  <c r="EG7" i="4" s="1"/>
  <c r="EF6" i="4" a="1"/>
  <c r="EF6" i="4" s="1"/>
  <c r="EE6" i="4" a="1"/>
  <c r="EE6" i="4" s="1"/>
  <c r="EE8" i="4" s="1"/>
  <c r="ED6" i="4" a="1"/>
  <c r="ED6" i="4"/>
  <c r="ED8" i="4" s="1"/>
  <c r="EC6" i="4" a="1"/>
  <c r="EC6" i="4" s="1"/>
  <c r="EB6" i="4" a="1"/>
  <c r="EB6" i="4"/>
  <c r="EB7" i="4" s="1"/>
  <c r="EA6" i="4" a="1"/>
  <c r="EA6" i="4" s="1"/>
  <c r="DZ6" i="4" a="1"/>
  <c r="DZ6" i="4"/>
  <c r="DY6" i="4" a="1"/>
  <c r="DY6" i="4"/>
  <c r="DY8" i="4" s="1"/>
  <c r="DX6" i="4" a="1"/>
  <c r="DX6" i="4"/>
  <c r="DX8" i="4" s="1"/>
  <c r="DW6" i="4" a="1"/>
  <c r="DW6" i="4" s="1"/>
  <c r="DW7" i="4" s="1"/>
  <c r="DV6" i="4" a="1"/>
  <c r="DV6" i="4"/>
  <c r="DU6" i="4" a="1"/>
  <c r="DU6" i="4" s="1"/>
  <c r="DT6" i="4" a="1"/>
  <c r="DT6" i="4"/>
  <c r="DS6" i="4" a="1"/>
  <c r="DS6" i="4" s="1"/>
  <c r="DS8" i="4" s="1"/>
  <c r="DR6" i="4" a="1"/>
  <c r="DR6" i="4" s="1"/>
  <c r="DQ6" i="4" a="1"/>
  <c r="DQ6" i="4"/>
  <c r="DP6" i="4" a="1"/>
  <c r="DP6" i="4"/>
  <c r="DP7" i="4" s="1"/>
  <c r="DO6" i="4" a="1"/>
  <c r="DO6" i="4" s="1"/>
  <c r="DN6" i="4" a="1"/>
  <c r="DN6" i="4"/>
  <c r="DN8" i="4" s="1"/>
  <c r="DM6" i="4" a="1"/>
  <c r="DM6" i="4"/>
  <c r="DL6" i="4" a="1"/>
  <c r="DL6" i="4" s="1"/>
  <c r="DL7" i="4" s="1"/>
  <c r="DK6" i="4" a="1"/>
  <c r="DK6" i="4" s="1"/>
  <c r="DK8" i="4" s="1"/>
  <c r="DJ6" i="4" a="1"/>
  <c r="DJ6" i="4"/>
  <c r="DJ7" i="4" s="1"/>
  <c r="DI6" i="4" a="1"/>
  <c r="DI6" i="4" s="1"/>
  <c r="DI7" i="4" s="1"/>
  <c r="DH6" i="4" a="1"/>
  <c r="DH6" i="4"/>
  <c r="DH8" i="4" s="1"/>
  <c r="DG6" i="4" a="1"/>
  <c r="DG6" i="4" s="1"/>
  <c r="DF6" i="4" a="1"/>
  <c r="DF6" i="4"/>
  <c r="DF8" i="4" s="1"/>
  <c r="DE6" i="4" a="1"/>
  <c r="DE6" i="4" s="1"/>
  <c r="DD6" i="4" a="1"/>
  <c r="DD6" i="4"/>
  <c r="DC6" i="4" a="1"/>
  <c r="DC6" i="4" s="1"/>
  <c r="DB6" i="4" a="1"/>
  <c r="DB6" i="4"/>
  <c r="DA6" i="4" a="1"/>
  <c r="DA6" i="4"/>
  <c r="CZ6" i="4" a="1"/>
  <c r="CZ6" i="4" s="1"/>
  <c r="CZ8" i="4" s="1"/>
  <c r="CY6" i="4" a="1"/>
  <c r="CY6" i="4" s="1"/>
  <c r="CY7" i="4" s="1"/>
  <c r="CX6" i="4" a="1"/>
  <c r="CX6" i="4"/>
  <c r="CX8" i="4" s="1"/>
  <c r="CW6" i="4" a="1"/>
  <c r="CW6" i="4" s="1"/>
  <c r="CV6" i="4" a="1"/>
  <c r="CV6" i="4" s="1"/>
  <c r="CU6" i="4" a="1"/>
  <c r="CU6" i="4" s="1"/>
  <c r="CU8" i="4" s="1"/>
  <c r="CT6" i="4" a="1"/>
  <c r="CT6" i="4" s="1"/>
  <c r="CS6" i="4" a="1"/>
  <c r="CS6" i="4"/>
  <c r="CS7" i="4" s="1"/>
  <c r="CR6" i="4" a="1"/>
  <c r="CR6" i="4"/>
  <c r="CR8" i="4" s="1"/>
  <c r="CQ6" i="4" a="1"/>
  <c r="CQ6" i="4" s="1"/>
  <c r="CQ8" i="4" s="1"/>
  <c r="CP6" i="4" a="1"/>
  <c r="CP6" i="4"/>
  <c r="CP8" i="4" s="1"/>
  <c r="CO6" i="4" a="1"/>
  <c r="CO6" i="4" s="1"/>
  <c r="CO7" i="4" s="1"/>
  <c r="CN6" i="4" a="1"/>
  <c r="CN6" i="4" s="1"/>
  <c r="CN7" i="4" s="1"/>
  <c r="CM6" i="4" a="1"/>
  <c r="CM6" i="4" s="1"/>
  <c r="CM8" i="4" s="1"/>
  <c r="CL6" i="4" a="1"/>
  <c r="CL6" i="4" s="1"/>
  <c r="CL8" i="4" s="1"/>
  <c r="CK6" i="4" a="1"/>
  <c r="CK6" i="4"/>
  <c r="CK8" i="4" s="1"/>
  <c r="CJ6" i="4" a="1"/>
  <c r="CJ6" i="4"/>
  <c r="CJ7" i="4" s="1"/>
  <c r="CI6" i="4" a="1"/>
  <c r="CI6" i="4" s="1"/>
  <c r="CH6" i="4" a="1"/>
  <c r="CH6" i="4"/>
  <c r="CG6" i="4" a="1"/>
  <c r="CG6" i="4"/>
  <c r="CF6" i="4" a="1"/>
  <c r="CF6" i="4" s="1"/>
  <c r="CF8" i="4" s="1"/>
  <c r="CE6" i="4" a="1"/>
  <c r="CE6" i="4" s="1"/>
  <c r="CE7" i="4" s="1"/>
  <c r="CD6" i="4" a="1"/>
  <c r="CD6" i="4"/>
  <c r="CD7" i="4" s="1"/>
  <c r="CC6" i="4" a="1"/>
  <c r="CC6" i="4" s="1"/>
  <c r="CB6" i="4" a="1"/>
  <c r="CB6" i="4" s="1"/>
  <c r="CA6" i="4" a="1"/>
  <c r="CA6" i="4" s="1"/>
  <c r="CA7" i="4" s="1"/>
  <c r="BZ6" i="4" a="1"/>
  <c r="BZ6" i="4"/>
  <c r="BY6" i="4" a="1"/>
  <c r="BY6" i="4" s="1"/>
  <c r="BX6" i="4" a="1"/>
  <c r="BX6" i="4"/>
  <c r="BX7" i="4" s="1"/>
  <c r="BW6" i="4" a="1"/>
  <c r="BW6" i="4" s="1"/>
  <c r="BW7" i="4" s="1"/>
  <c r="BV6" i="4" a="1"/>
  <c r="BV6" i="4"/>
  <c r="BU6" i="4" a="1"/>
  <c r="BU6" i="4"/>
  <c r="BU7" i="4" s="1"/>
  <c r="BT6" i="4" a="1"/>
  <c r="BT6" i="4" s="1"/>
  <c r="BT8" i="4" s="1"/>
  <c r="BS6" i="4" a="1"/>
  <c r="BS6" i="4" s="1"/>
  <c r="BS8" i="4" s="1"/>
  <c r="BR6" i="4" a="1"/>
  <c r="BR6" i="4"/>
  <c r="BR8" i="4" s="1"/>
  <c r="BQ6" i="4" a="1"/>
  <c r="BQ6" i="4"/>
  <c r="BP6" i="4" a="1"/>
  <c r="BP6" i="4"/>
  <c r="BP8" i="4" s="1"/>
  <c r="BO6" i="4" a="1"/>
  <c r="BO6" i="4" s="1"/>
  <c r="BO7" i="4" s="1"/>
  <c r="BN6" i="4" a="1"/>
  <c r="BN6" i="4"/>
  <c r="BM6" i="4" a="1"/>
  <c r="BM6" i="4"/>
  <c r="BM8" i="4" s="1"/>
  <c r="BL6" i="4" a="1"/>
  <c r="BL6" i="4"/>
  <c r="BK6" i="4" a="1"/>
  <c r="BK6" i="4" s="1"/>
  <c r="BK7" i="4" s="1"/>
  <c r="BJ6" i="4" a="1"/>
  <c r="BJ6" i="4"/>
  <c r="BI6" i="4" a="1"/>
  <c r="BI6" i="4" s="1"/>
  <c r="BH6" i="4" a="1"/>
  <c r="BH6" i="4"/>
  <c r="BG6" i="4" a="1"/>
  <c r="BG6" i="4" s="1"/>
  <c r="BG8" i="4" s="1"/>
  <c r="BF6" i="4" a="1"/>
  <c r="BF6" i="4" s="1"/>
  <c r="BF7" i="4" s="1"/>
  <c r="BE6" i="4" a="1"/>
  <c r="BE6" i="4"/>
  <c r="BD6" i="4" a="1"/>
  <c r="BD6" i="4"/>
  <c r="BC6" i="4" a="1"/>
  <c r="BC6" i="4" s="1"/>
  <c r="BB6" i="4" a="1"/>
  <c r="BB6" i="4"/>
  <c r="BB8" i="4" s="1"/>
  <c r="BA6" i="4" a="1"/>
  <c r="BA6" i="4"/>
  <c r="AZ6" i="4" a="1"/>
  <c r="AZ6" i="4" s="1"/>
  <c r="AZ7" i="4" s="1"/>
  <c r="AY6" i="4" a="1"/>
  <c r="AY6" i="4" s="1"/>
  <c r="AY7" i="4" s="1"/>
  <c r="AX6" i="4" a="1"/>
  <c r="AX6" i="4" s="1"/>
  <c r="AW6" i="4" a="1"/>
  <c r="AW6" i="4" s="1"/>
  <c r="AW8" i="4" s="1"/>
  <c r="AV6" i="4" a="1"/>
  <c r="AV6" i="4"/>
  <c r="AV7" i="4" s="1"/>
  <c r="AU6" i="4" a="1"/>
  <c r="AU6" i="4" s="1"/>
  <c r="AU8" i="4" s="1"/>
  <c r="AT6" i="4" a="1"/>
  <c r="AT6" i="4"/>
  <c r="AT8" i="4" s="1"/>
  <c r="AS6" i="4" a="1"/>
  <c r="AS6" i="4" s="1"/>
  <c r="AR6" i="4" a="1"/>
  <c r="AR6" i="4"/>
  <c r="AQ6" i="4" a="1"/>
  <c r="AQ6" i="4" s="1"/>
  <c r="AQ7" i="4" s="1"/>
  <c r="AP6" i="4" a="1"/>
  <c r="AP6" i="4"/>
  <c r="AO6" i="4" a="1"/>
  <c r="AO6" i="4"/>
  <c r="AN6" i="4" a="1"/>
  <c r="AN6" i="4" s="1"/>
  <c r="AN7" i="4" s="1"/>
  <c r="AM6" i="4" a="1"/>
  <c r="AM6" i="4" s="1"/>
  <c r="AM7" i="4" s="1"/>
  <c r="AL6" i="4" a="1"/>
  <c r="AL6" i="4"/>
  <c r="AL8" i="4" s="1"/>
  <c r="AK6" i="4" a="1"/>
  <c r="AK6" i="4" s="1"/>
  <c r="AJ6" i="4" a="1"/>
  <c r="AJ6" i="4" s="1"/>
  <c r="AJ8" i="4" s="1"/>
  <c r="AI6" i="4" a="1"/>
  <c r="AI6" i="4" s="1"/>
  <c r="AH6" i="4" a="1"/>
  <c r="AH6" i="4"/>
  <c r="AH7" i="4" s="1"/>
  <c r="AG6" i="4" a="1"/>
  <c r="AG6" i="4"/>
  <c r="AG8" i="4" s="1"/>
  <c r="AF6" i="4" a="1"/>
  <c r="AF6" i="4"/>
  <c r="AF8" i="4" s="1"/>
  <c r="AE6" i="4" a="1"/>
  <c r="AE6" i="4" s="1"/>
  <c r="AE8" i="4" s="1"/>
  <c r="AD6" i="4" a="1"/>
  <c r="AD6" i="4"/>
  <c r="AD8" i="4" s="1"/>
  <c r="AC6" i="4" a="1"/>
  <c r="AC6" i="4" s="1"/>
  <c r="AB6" i="4" a="1"/>
  <c r="AB6" i="4" s="1"/>
  <c r="AB7" i="4" s="1"/>
  <c r="AA6" i="4" a="1"/>
  <c r="AA6" i="4" s="1"/>
  <c r="Z6" i="4" a="1"/>
  <c r="Z6" i="4" s="1"/>
  <c r="Y6" i="4" a="1"/>
  <c r="Y6" i="4"/>
  <c r="Y8" i="4" s="1"/>
  <c r="X6" i="4" a="1"/>
  <c r="X6" i="4"/>
  <c r="X7" i="4" s="1"/>
  <c r="W6" i="4" a="1"/>
  <c r="W6" i="4" s="1"/>
  <c r="V6" i="4" a="1"/>
  <c r="V6" i="4"/>
  <c r="U6" i="4" a="1"/>
  <c r="U6" i="4"/>
  <c r="T6" i="4" a="1"/>
  <c r="T6" i="4" s="1"/>
  <c r="T8" i="4" s="1"/>
  <c r="S6" i="4" a="1"/>
  <c r="S6" i="4" s="1"/>
  <c r="S7" i="4" s="1"/>
  <c r="R6" i="4" a="1"/>
  <c r="R6" i="4"/>
  <c r="R7" i="4" s="1"/>
  <c r="Q6" i="4" a="1"/>
  <c r="Q6" i="4" s="1"/>
  <c r="Q8" i="4" s="1"/>
  <c r="P6" i="4" a="1"/>
  <c r="P6" i="4"/>
  <c r="P7" i="4" s="1"/>
  <c r="O6" i="4" a="1"/>
  <c r="O6" i="4" s="1"/>
  <c r="O7" i="4" s="1"/>
  <c r="N6" i="4" a="1"/>
  <c r="N6" i="4" s="1"/>
  <c r="M6" i="4" a="1"/>
  <c r="M6" i="4"/>
  <c r="M7" i="4" s="1"/>
  <c r="L6" i="4" a="1"/>
  <c r="L6" i="4"/>
  <c r="L7" i="4" s="1"/>
  <c r="K6" i="4" a="1"/>
  <c r="K6" i="4" s="1"/>
  <c r="K8" i="4" s="1"/>
  <c r="J6" i="4" a="1"/>
  <c r="J6" i="4"/>
  <c r="J8" i="4" s="1"/>
  <c r="I6" i="4" a="1"/>
  <c r="I6" i="4"/>
  <c r="I7" i="4" s="1"/>
  <c r="H6" i="4" a="1"/>
  <c r="H6" i="4" s="1"/>
  <c r="G6" i="4" a="1"/>
  <c r="G6" i="4" s="1"/>
  <c r="F6" i="4" a="1"/>
  <c r="F6" i="4" s="1"/>
  <c r="F8" i="4" s="1"/>
  <c r="E6" i="4" a="1"/>
  <c r="E6" i="4" s="1"/>
  <c r="D6" i="4" a="1"/>
  <c r="D6" i="4" s="1"/>
  <c r="C6" i="4" a="1"/>
  <c r="C6" i="4" s="1"/>
  <c r="C7" i="4" s="1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EG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EH23" i="3" s="1"/>
  <c r="H23" i="3"/>
  <c r="G23" i="3"/>
  <c r="F23" i="3"/>
  <c r="E23" i="3"/>
  <c r="D23" i="3"/>
  <c r="C23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EH22" i="3" s="1"/>
  <c r="D22" i="3"/>
  <c r="C22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EH21" i="3" s="1"/>
  <c r="H21" i="3"/>
  <c r="G21" i="3"/>
  <c r="F21" i="3"/>
  <c r="E21" i="3"/>
  <c r="D21" i="3"/>
  <c r="C21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EH20" i="3" s="1"/>
  <c r="D20" i="3"/>
  <c r="C20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EG19" i="3" s="1"/>
  <c r="H19" i="3"/>
  <c r="G19" i="3"/>
  <c r="F19" i="3"/>
  <c r="E19" i="3"/>
  <c r="D19" i="3"/>
  <c r="C19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EH18" i="3" s="1"/>
  <c r="C18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EG17" i="3" s="1"/>
  <c r="H17" i="3"/>
  <c r="G17" i="3"/>
  <c r="F17" i="3"/>
  <c r="E17" i="3"/>
  <c r="D17" i="3"/>
  <c r="C17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EH16" i="3" s="1"/>
  <c r="C16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EG15" i="3" s="1"/>
  <c r="H15" i="3"/>
  <c r="G15" i="3"/>
  <c r="F15" i="3"/>
  <c r="E15" i="3"/>
  <c r="D15" i="3"/>
  <c r="C15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EG14" i="3" s="1"/>
  <c r="C14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EG13" i="3" s="1"/>
  <c r="H13" i="3"/>
  <c r="G13" i="3"/>
  <c r="F13" i="3"/>
  <c r="E13" i="3"/>
  <c r="D13" i="3"/>
  <c r="C13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EG12" i="3" s="1"/>
  <c r="C12" i="3"/>
  <c r="EF8" i="3"/>
  <c r="EA8" i="3"/>
  <c r="DQ8" i="3"/>
  <c r="DO8" i="3"/>
  <c r="DN8" i="3"/>
  <c r="DM8" i="3"/>
  <c r="DL8" i="3"/>
  <c r="DK8" i="3"/>
  <c r="DF8" i="3"/>
  <c r="CV8" i="3"/>
  <c r="CU8" i="3"/>
  <c r="CS8" i="3"/>
  <c r="CR8" i="3"/>
  <c r="CN8" i="3"/>
  <c r="CJ8" i="3"/>
  <c r="CC8" i="3"/>
  <c r="CB8" i="3"/>
  <c r="BU8" i="3"/>
  <c r="BT8" i="3"/>
  <c r="BQ8" i="3"/>
  <c r="BE8" i="3"/>
  <c r="BB8" i="3"/>
  <c r="AZ8" i="3"/>
  <c r="AY8" i="3"/>
  <c r="AW8" i="3"/>
  <c r="AT8" i="3"/>
  <c r="AQ8" i="3"/>
  <c r="AA8" i="3"/>
  <c r="Y8" i="3"/>
  <c r="X8" i="3"/>
  <c r="W8" i="3"/>
  <c r="Q8" i="3"/>
  <c r="F8" i="3"/>
  <c r="D8" i="3"/>
  <c r="C8" i="3"/>
  <c r="DP7" i="3"/>
  <c r="DO7" i="3"/>
  <c r="DM7" i="3"/>
  <c r="DL7" i="3"/>
  <c r="DJ7" i="3"/>
  <c r="DF7" i="3"/>
  <c r="CV7" i="3"/>
  <c r="CU7" i="3"/>
  <c r="CR7" i="3"/>
  <c r="CO7" i="3"/>
  <c r="CL7" i="3"/>
  <c r="CK7" i="3"/>
  <c r="BV7" i="3"/>
  <c r="BU7" i="3"/>
  <c r="BT7" i="3"/>
  <c r="BS7" i="3"/>
  <c r="BE7" i="3"/>
  <c r="BC7" i="3"/>
  <c r="BB7" i="3"/>
  <c r="AZ7" i="3"/>
  <c r="AP7" i="3"/>
  <c r="AK7" i="3"/>
  <c r="AJ7" i="3"/>
  <c r="AI7" i="3"/>
  <c r="AH7" i="3"/>
  <c r="AE7" i="3"/>
  <c r="AD7" i="3"/>
  <c r="Z7" i="3"/>
  <c r="Y7" i="3"/>
  <c r="W7" i="3"/>
  <c r="N7" i="3"/>
  <c r="M7" i="3"/>
  <c r="I7" i="3"/>
  <c r="F7" i="3"/>
  <c r="EF6" i="3" a="1"/>
  <c r="EF6" i="3"/>
  <c r="EF7" i="3" s="1"/>
  <c r="EE6" i="3" a="1"/>
  <c r="EE6" i="3"/>
  <c r="EE8" i="3" s="1"/>
  <c r="ED6" i="3" a="1"/>
  <c r="ED6" i="3" s="1"/>
  <c r="ED7" i="3" s="1"/>
  <c r="EC6" i="3" a="1"/>
  <c r="EC6" i="3"/>
  <c r="EC7" i="3" s="1"/>
  <c r="EB6" i="3" a="1"/>
  <c r="EB6" i="3"/>
  <c r="EB8" i="3" s="1"/>
  <c r="EA6" i="3" a="1"/>
  <c r="EA6" i="3"/>
  <c r="EA7" i="3" s="1"/>
  <c r="DZ6" i="3" a="1"/>
  <c r="DZ6" i="3"/>
  <c r="DZ8" i="3" s="1"/>
  <c r="DY6" i="3" a="1"/>
  <c r="DY6" i="3" s="1"/>
  <c r="DX6" i="3" a="1"/>
  <c r="DX6" i="3" s="1"/>
  <c r="DW6" i="3" a="1"/>
  <c r="DW6" i="3" s="1"/>
  <c r="DW7" i="3" s="1"/>
  <c r="DV6" i="3" a="1"/>
  <c r="DV6" i="3" s="1"/>
  <c r="DU6" i="3" a="1"/>
  <c r="DU6" i="3"/>
  <c r="DU8" i="3" s="1"/>
  <c r="DT6" i="3" a="1"/>
  <c r="DT6" i="3"/>
  <c r="DT8" i="3" s="1"/>
  <c r="DS6" i="3" a="1"/>
  <c r="DS6" i="3" s="1"/>
  <c r="DS8" i="3" s="1"/>
  <c r="DR6" i="3" a="1"/>
  <c r="DR6" i="3"/>
  <c r="DR8" i="3" s="1"/>
  <c r="DQ6" i="3" a="1"/>
  <c r="DQ6" i="3" s="1"/>
  <c r="DQ7" i="3" s="1"/>
  <c r="DP6" i="3" a="1"/>
  <c r="DP6" i="3"/>
  <c r="DP8" i="3" s="1"/>
  <c r="DO6" i="3" a="1"/>
  <c r="DO6" i="3"/>
  <c r="DN6" i="3" a="1"/>
  <c r="DN6" i="3"/>
  <c r="DN7" i="3" s="1"/>
  <c r="DM6" i="3" a="1"/>
  <c r="DM6" i="3" s="1"/>
  <c r="DL6" i="3" a="1"/>
  <c r="DL6" i="3"/>
  <c r="DK6" i="3" a="1"/>
  <c r="DK6" i="3"/>
  <c r="DK7" i="3" s="1"/>
  <c r="DJ6" i="3" a="1"/>
  <c r="DJ6" i="3"/>
  <c r="DJ8" i="3" s="1"/>
  <c r="DI6" i="3" a="1"/>
  <c r="DI6" i="3" s="1"/>
  <c r="DI7" i="3" s="1"/>
  <c r="DH6" i="3" a="1"/>
  <c r="DH6" i="3" s="1"/>
  <c r="DG6" i="3" a="1"/>
  <c r="DG6" i="3"/>
  <c r="DG8" i="3" s="1"/>
  <c r="DF6" i="3" a="1"/>
  <c r="DF6" i="3" s="1"/>
  <c r="DE6" i="3" a="1"/>
  <c r="DE6" i="3" s="1"/>
  <c r="DD6" i="3" a="1"/>
  <c r="DD6" i="3"/>
  <c r="DD8" i="3" s="1"/>
  <c r="DC6" i="3" a="1"/>
  <c r="DC6" i="3"/>
  <c r="DC8" i="3" s="1"/>
  <c r="DB6" i="3" a="1"/>
  <c r="DB6" i="3" s="1"/>
  <c r="DB8" i="3" s="1"/>
  <c r="DA6" i="3" a="1"/>
  <c r="DA6" i="3" s="1"/>
  <c r="DA8" i="3" s="1"/>
  <c r="CZ6" i="3" a="1"/>
  <c r="CZ6" i="3"/>
  <c r="CZ7" i="3" s="1"/>
  <c r="CY6" i="3" a="1"/>
  <c r="CY6" i="3"/>
  <c r="CY8" i="3" s="1"/>
  <c r="CX6" i="3" a="1"/>
  <c r="CX6" i="3"/>
  <c r="CX8" i="3" s="1"/>
  <c r="CW6" i="3" a="1"/>
  <c r="CW6" i="3"/>
  <c r="CW7" i="3" s="1"/>
  <c r="CV6" i="3" a="1"/>
  <c r="CV6" i="3" s="1"/>
  <c r="CU6" i="3" a="1"/>
  <c r="CU6" i="3"/>
  <c r="CT6" i="3" a="1"/>
  <c r="CT6" i="3" s="1"/>
  <c r="CS6" i="3" a="1"/>
  <c r="CS6" i="3" s="1"/>
  <c r="CS7" i="3" s="1"/>
  <c r="CR6" i="3" a="1"/>
  <c r="CR6" i="3"/>
  <c r="CQ6" i="3" a="1"/>
  <c r="CQ6" i="3"/>
  <c r="CQ7" i="3" s="1"/>
  <c r="CP6" i="3" a="1"/>
  <c r="CP6" i="3"/>
  <c r="CP7" i="3" s="1"/>
  <c r="CO6" i="3" a="1"/>
  <c r="CO6" i="3" s="1"/>
  <c r="CO8" i="3" s="1"/>
  <c r="CN6" i="3" a="1"/>
  <c r="CN6" i="3"/>
  <c r="CN7" i="3" s="1"/>
  <c r="CM6" i="3" a="1"/>
  <c r="CM6" i="3"/>
  <c r="CM8" i="3" s="1"/>
  <c r="CL6" i="3" a="1"/>
  <c r="CL6" i="3"/>
  <c r="CL8" i="3" s="1"/>
  <c r="CK6" i="3" a="1"/>
  <c r="CK6" i="3" s="1"/>
  <c r="CK8" i="3" s="1"/>
  <c r="CJ6" i="3" a="1"/>
  <c r="CJ6" i="3"/>
  <c r="CJ7" i="3" s="1"/>
  <c r="CI6" i="3" a="1"/>
  <c r="CI6" i="3"/>
  <c r="CI7" i="3" s="1"/>
  <c r="CH6" i="3" a="1"/>
  <c r="CH6" i="3"/>
  <c r="CH8" i="3" s="1"/>
  <c r="CG6" i="3" a="1"/>
  <c r="CG6" i="3"/>
  <c r="CG8" i="3" s="1"/>
  <c r="CF6" i="3" a="1"/>
  <c r="CF6" i="3"/>
  <c r="CE6" i="3" a="1"/>
  <c r="CE6" i="3" s="1"/>
  <c r="CE8" i="3" s="1"/>
  <c r="CD6" i="3" a="1"/>
  <c r="CD6" i="3"/>
  <c r="CD8" i="3" s="1"/>
  <c r="CC6" i="3" a="1"/>
  <c r="CC6" i="3" s="1"/>
  <c r="CC7" i="3" s="1"/>
  <c r="CB6" i="3" a="1"/>
  <c r="CB6" i="3" s="1"/>
  <c r="CB7" i="3" s="1"/>
  <c r="CA6" i="3" a="1"/>
  <c r="CA6" i="3" s="1"/>
  <c r="BZ6" i="3" a="1"/>
  <c r="BZ6" i="3"/>
  <c r="BZ7" i="3" s="1"/>
  <c r="BY6" i="3" a="1"/>
  <c r="BY6" i="3"/>
  <c r="BY8" i="3" s="1"/>
  <c r="BX6" i="3" a="1"/>
  <c r="BX6" i="3" s="1"/>
  <c r="BX7" i="3" s="1"/>
  <c r="BW6" i="3" a="1"/>
  <c r="BW6" i="3"/>
  <c r="BV6" i="3" a="1"/>
  <c r="BV6" i="3"/>
  <c r="BV8" i="3" s="1"/>
  <c r="BU6" i="3" a="1"/>
  <c r="BU6" i="3" s="1"/>
  <c r="BT6" i="3" a="1"/>
  <c r="BT6" i="3"/>
  <c r="BS6" i="3" a="1"/>
  <c r="BS6" i="3"/>
  <c r="BS8" i="3" s="1"/>
  <c r="BR6" i="3" a="1"/>
  <c r="BR6" i="3" s="1"/>
  <c r="BQ6" i="3" a="1"/>
  <c r="BQ6" i="3"/>
  <c r="BQ7" i="3" s="1"/>
  <c r="BP6" i="3" a="1"/>
  <c r="BP6" i="3"/>
  <c r="BP7" i="3" s="1"/>
  <c r="BO6" i="3" a="1"/>
  <c r="BO6" i="3"/>
  <c r="BO7" i="3" s="1"/>
  <c r="BN6" i="3" a="1"/>
  <c r="BN6" i="3" s="1"/>
  <c r="BN8" i="3" s="1"/>
  <c r="BM6" i="3" a="1"/>
  <c r="BM6" i="3" s="1"/>
  <c r="BL6" i="3" a="1"/>
  <c r="BL6" i="3"/>
  <c r="BL7" i="3" s="1"/>
  <c r="BK6" i="3" a="1"/>
  <c r="BK6" i="3" s="1"/>
  <c r="BK7" i="3" s="1"/>
  <c r="BJ6" i="3" a="1"/>
  <c r="BJ6" i="3" s="1"/>
  <c r="BI6" i="3" a="1"/>
  <c r="BI6" i="3"/>
  <c r="BI8" i="3" s="1"/>
  <c r="BH6" i="3" a="1"/>
  <c r="BH6" i="3"/>
  <c r="BH8" i="3" s="1"/>
  <c r="BG6" i="3" a="1"/>
  <c r="BG6" i="3" s="1"/>
  <c r="BG8" i="3" s="1"/>
  <c r="BF6" i="3" a="1"/>
  <c r="BF6" i="3"/>
  <c r="BE6" i="3" a="1"/>
  <c r="BE6" i="3" s="1"/>
  <c r="BD6" i="3" a="1"/>
  <c r="BD6" i="3"/>
  <c r="BD8" i="3" s="1"/>
  <c r="BC6" i="3" a="1"/>
  <c r="BC6" i="3"/>
  <c r="BC8" i="3" s="1"/>
  <c r="BB6" i="3" a="1"/>
  <c r="BB6" i="3"/>
  <c r="BA6" i="3" a="1"/>
  <c r="BA6" i="3" s="1"/>
  <c r="AZ6" i="3" a="1"/>
  <c r="AZ6" i="3"/>
  <c r="AY6" i="3" a="1"/>
  <c r="AY6" i="3"/>
  <c r="AY7" i="3" s="1"/>
  <c r="AX6" i="3" a="1"/>
  <c r="AX6" i="3"/>
  <c r="AW6" i="3" a="1"/>
  <c r="AW6" i="3" s="1"/>
  <c r="AW7" i="3" s="1"/>
  <c r="AV6" i="3" a="1"/>
  <c r="AV6" i="3"/>
  <c r="AV8" i="3" s="1"/>
  <c r="AU6" i="3" a="1"/>
  <c r="AU6" i="3" s="1"/>
  <c r="AT6" i="3" a="1"/>
  <c r="AT6" i="3" s="1"/>
  <c r="AT7" i="3" s="1"/>
  <c r="AS6" i="3" a="1"/>
  <c r="AS6" i="3" s="1"/>
  <c r="AR6" i="3" a="1"/>
  <c r="AR6" i="3" s="1"/>
  <c r="AQ6" i="3" a="1"/>
  <c r="AQ6" i="3"/>
  <c r="AQ7" i="3" s="1"/>
  <c r="AP6" i="3" a="1"/>
  <c r="AP6" i="3" s="1"/>
  <c r="AP8" i="3" s="1"/>
  <c r="AO6" i="3" a="1"/>
  <c r="AO6" i="3" s="1"/>
  <c r="AO7" i="3" s="1"/>
  <c r="AN6" i="3" a="1"/>
  <c r="AN6" i="3" s="1"/>
  <c r="AN8" i="3" s="1"/>
  <c r="AM6" i="3" a="1"/>
  <c r="AM6" i="3"/>
  <c r="AM8" i="3" s="1"/>
  <c r="AL6" i="3" a="1"/>
  <c r="AL6" i="3"/>
  <c r="AL8" i="3" s="1"/>
  <c r="AK6" i="3" a="1"/>
  <c r="AK6" i="3"/>
  <c r="AK8" i="3" s="1"/>
  <c r="AJ6" i="3" a="1"/>
  <c r="AJ6" i="3"/>
  <c r="AJ8" i="3" s="1"/>
  <c r="AI6" i="3" a="1"/>
  <c r="AI6" i="3"/>
  <c r="AI8" i="3" s="1"/>
  <c r="AH6" i="3" a="1"/>
  <c r="AH6" i="3"/>
  <c r="AH8" i="3" s="1"/>
  <c r="AG6" i="3" a="1"/>
  <c r="AG6" i="3" s="1"/>
  <c r="AG7" i="3" s="1"/>
  <c r="AF6" i="3" a="1"/>
  <c r="AF6" i="3"/>
  <c r="AF7" i="3" s="1"/>
  <c r="AE6" i="3" a="1"/>
  <c r="AE6" i="3"/>
  <c r="AE8" i="3" s="1"/>
  <c r="AD6" i="3" a="1"/>
  <c r="AD6" i="3"/>
  <c r="AD8" i="3" s="1"/>
  <c r="AC6" i="3" a="1"/>
  <c r="AC6" i="3" s="1"/>
  <c r="AB6" i="3" a="1"/>
  <c r="AB6" i="3" s="1"/>
  <c r="AA6" i="3" a="1"/>
  <c r="AA6" i="3"/>
  <c r="AA7" i="3" s="1"/>
  <c r="Z6" i="3" a="1"/>
  <c r="Z6" i="3"/>
  <c r="Z8" i="3" s="1"/>
  <c r="Y6" i="3" a="1"/>
  <c r="Y6" i="3" s="1"/>
  <c r="X6" i="3" a="1"/>
  <c r="X6" i="3"/>
  <c r="X7" i="3" s="1"/>
  <c r="W6" i="3" a="1"/>
  <c r="W6" i="3" s="1"/>
  <c r="V6" i="3" a="1"/>
  <c r="V6" i="3"/>
  <c r="V7" i="3" s="1"/>
  <c r="U6" i="3" a="1"/>
  <c r="U6" i="3"/>
  <c r="U7" i="3" s="1"/>
  <c r="T6" i="3" a="1"/>
  <c r="T6" i="3"/>
  <c r="T8" i="3" s="1"/>
  <c r="S6" i="3" a="1"/>
  <c r="S6" i="3" s="1"/>
  <c r="R6" i="3" a="1"/>
  <c r="R6" i="3"/>
  <c r="R8" i="3" s="1"/>
  <c r="Q6" i="3" a="1"/>
  <c r="Q6" i="3" s="1"/>
  <c r="Q7" i="3" s="1"/>
  <c r="P6" i="3" a="1"/>
  <c r="P6" i="3" s="1"/>
  <c r="O6" i="3" a="1"/>
  <c r="O6" i="3"/>
  <c r="O7" i="3" s="1"/>
  <c r="N6" i="3" a="1"/>
  <c r="N6" i="3"/>
  <c r="N8" i="3" s="1"/>
  <c r="M6" i="3" a="1"/>
  <c r="M6" i="3"/>
  <c r="M8" i="3" s="1"/>
  <c r="L6" i="3" a="1"/>
  <c r="L6" i="3" s="1"/>
  <c r="L7" i="3" s="1"/>
  <c r="K6" i="3" a="1"/>
  <c r="K6" i="3"/>
  <c r="K8" i="3" s="1"/>
  <c r="J6" i="3" a="1"/>
  <c r="J6" i="3" s="1"/>
  <c r="I6" i="3" a="1"/>
  <c r="I6" i="3" s="1"/>
  <c r="I8" i="3" s="1"/>
  <c r="H6" i="3" a="1"/>
  <c r="H6" i="3" s="1"/>
  <c r="G6" i="3" a="1"/>
  <c r="G6" i="3" s="1"/>
  <c r="F6" i="3" a="1"/>
  <c r="F6" i="3" s="1"/>
  <c r="E6" i="3" a="1"/>
  <c r="E6" i="3" s="1"/>
  <c r="D6" i="3" a="1"/>
  <c r="D6" i="3"/>
  <c r="D7" i="3" s="1"/>
  <c r="C6" i="3" a="1"/>
  <c r="C6" i="3"/>
  <c r="C7" i="3" s="1"/>
  <c r="EG4" i="3"/>
  <c r="EG3" i="3"/>
  <c r="EG6" i="3" s="1" a="1"/>
  <c r="EG8" i="2"/>
  <c r="DS8" i="2"/>
  <c r="DR8" i="2"/>
  <c r="DQ8" i="2"/>
  <c r="DM8" i="2"/>
  <c r="DK8" i="2"/>
  <c r="DJ8" i="2"/>
  <c r="DH8" i="2"/>
  <c r="DB8" i="2"/>
  <c r="DA8" i="2"/>
  <c r="CY8" i="2"/>
  <c r="CU8" i="2"/>
  <c r="CT8" i="2"/>
  <c r="CR8" i="2"/>
  <c r="CK8" i="2"/>
  <c r="CH8" i="2"/>
  <c r="CC8" i="2"/>
  <c r="CB8" i="2"/>
  <c r="BY8" i="2"/>
  <c r="BX8" i="2"/>
  <c r="BQ8" i="2"/>
  <c r="BK8" i="2"/>
  <c r="BH8" i="2"/>
  <c r="AS8" i="2"/>
  <c r="AQ8" i="2"/>
  <c r="AP8" i="2"/>
  <c r="AE8" i="2"/>
  <c r="Z8" i="2"/>
  <c r="Y8" i="2"/>
  <c r="W8" i="2"/>
  <c r="V8" i="2"/>
  <c r="T8" i="2"/>
  <c r="O8" i="2"/>
  <c r="G8" i="2"/>
  <c r="F8" i="2"/>
  <c r="C8" i="2"/>
  <c r="EG7" i="2"/>
  <c r="DS7" i="2"/>
  <c r="DQ7" i="2"/>
  <c r="DP7" i="2"/>
  <c r="DM7" i="2"/>
  <c r="DK7" i="2"/>
  <c r="DJ7" i="2"/>
  <c r="DH7" i="2"/>
  <c r="CZ7" i="2"/>
  <c r="CU7" i="2"/>
  <c r="CT7" i="2"/>
  <c r="CR7" i="2"/>
  <c r="CP7" i="2"/>
  <c r="CK7" i="2"/>
  <c r="CI7" i="2"/>
  <c r="CC7" i="2"/>
  <c r="CB7" i="2"/>
  <c r="BZ7" i="2"/>
  <c r="BT7" i="2"/>
  <c r="BI7" i="2"/>
  <c r="BH7" i="2"/>
  <c r="BF7" i="2"/>
  <c r="AS7" i="2"/>
  <c r="AR7" i="2"/>
  <c r="AQ7" i="2"/>
  <c r="AN7" i="2"/>
  <c r="AM7" i="2"/>
  <c r="AG7" i="2"/>
  <c r="AA7" i="2"/>
  <c r="Z7" i="2"/>
  <c r="X7" i="2"/>
  <c r="W7" i="2"/>
  <c r="V7" i="2"/>
  <c r="U7" i="2"/>
  <c r="P7" i="2"/>
  <c r="G7" i="2"/>
  <c r="F7" i="2"/>
  <c r="D7" i="2"/>
  <c r="EG6" i="2" a="1"/>
  <c r="EG6" i="2"/>
  <c r="EF6" i="2" a="1"/>
  <c r="EF6" i="2" s="1"/>
  <c r="EF8" i="2" s="1"/>
  <c r="EE6" i="2" a="1"/>
  <c r="EE6" i="2"/>
  <c r="EE8" i="2" s="1"/>
  <c r="ED6" i="2" a="1"/>
  <c r="ED6" i="2" s="1"/>
  <c r="EC6" i="2" a="1"/>
  <c r="EC6" i="2" s="1"/>
  <c r="EB6" i="2" a="1"/>
  <c r="EB6" i="2" s="1"/>
  <c r="EB8" i="2" s="1"/>
  <c r="EA6" i="2" a="1"/>
  <c r="EA6" i="2" s="1"/>
  <c r="DZ6" i="2" a="1"/>
  <c r="DZ6" i="2"/>
  <c r="DZ8" i="2" s="1"/>
  <c r="DY6" i="2" a="1"/>
  <c r="DY6" i="2"/>
  <c r="DY8" i="2" s="1"/>
  <c r="DX6" i="2" a="1"/>
  <c r="DX6" i="2" s="1"/>
  <c r="DX7" i="2" s="1"/>
  <c r="DW6" i="2" a="1"/>
  <c r="DW6" i="2"/>
  <c r="DW7" i="2" s="1"/>
  <c r="DV6" i="2" a="1"/>
  <c r="DV6" i="2"/>
  <c r="DV7" i="2" s="1"/>
  <c r="DU6" i="2" a="1"/>
  <c r="DU6" i="2" s="1"/>
  <c r="DT6" i="2" a="1"/>
  <c r="DT6" i="2" s="1"/>
  <c r="DS6" i="2" a="1"/>
  <c r="DS6" i="2"/>
  <c r="DR6" i="2" a="1"/>
  <c r="DR6" i="2"/>
  <c r="DR7" i="2" s="1"/>
  <c r="DQ6" i="2" a="1"/>
  <c r="DQ6" i="2" s="1"/>
  <c r="DP6" i="2" a="1"/>
  <c r="DP6" i="2" s="1"/>
  <c r="DP8" i="2" s="1"/>
  <c r="DO6" i="2" a="1"/>
  <c r="DO6" i="2"/>
  <c r="DO8" i="2" s="1"/>
  <c r="DN6" i="2" a="1"/>
  <c r="DN6" i="2"/>
  <c r="DN7" i="2" s="1"/>
  <c r="DM6" i="2" a="1"/>
  <c r="DM6" i="2"/>
  <c r="DL6" i="2" a="1"/>
  <c r="DL6" i="2" s="1"/>
  <c r="DK6" i="2" a="1"/>
  <c r="DK6" i="2" s="1"/>
  <c r="DJ6" i="2" a="1"/>
  <c r="DJ6" i="2"/>
  <c r="DI6" i="2" a="1"/>
  <c r="DI6" i="2" s="1"/>
  <c r="DH6" i="2" a="1"/>
  <c r="DH6" i="2" s="1"/>
  <c r="DG6" i="2" a="1"/>
  <c r="DG6" i="2"/>
  <c r="DG7" i="2" s="1"/>
  <c r="DF6" i="2" a="1"/>
  <c r="DF6" i="2"/>
  <c r="DF7" i="2" s="1"/>
  <c r="DE6" i="2" a="1"/>
  <c r="DE6" i="2"/>
  <c r="DE7" i="2" s="1"/>
  <c r="DD6" i="2" a="1"/>
  <c r="DD6" i="2"/>
  <c r="DD7" i="2" s="1"/>
  <c r="DC6" i="2" a="1"/>
  <c r="DC6" i="2" s="1"/>
  <c r="DB6" i="2" a="1"/>
  <c r="DB6" i="2"/>
  <c r="DB7" i="2" s="1"/>
  <c r="DA6" i="2" a="1"/>
  <c r="DA6" i="2"/>
  <c r="DA7" i="2" s="1"/>
  <c r="CZ6" i="2" a="1"/>
  <c r="CZ6" i="2" s="1"/>
  <c r="CZ8" i="2" s="1"/>
  <c r="CY6" i="2" a="1"/>
  <c r="CY6" i="2"/>
  <c r="CY7" i="2" s="1"/>
  <c r="CX6" i="2" a="1"/>
  <c r="CX6" i="2"/>
  <c r="CX7" i="2" s="1"/>
  <c r="CW6" i="2" a="1"/>
  <c r="CW6" i="2"/>
  <c r="CW8" i="2" s="1"/>
  <c r="CV6" i="2" a="1"/>
  <c r="CV6" i="2" s="1"/>
  <c r="CU6" i="2" a="1"/>
  <c r="CU6" i="2"/>
  <c r="CT6" i="2" a="1"/>
  <c r="CT6" i="2" s="1"/>
  <c r="CS6" i="2" a="1"/>
  <c r="CS6" i="2" s="1"/>
  <c r="CR6" i="2" a="1"/>
  <c r="CR6" i="2" s="1"/>
  <c r="CQ6" i="2" a="1"/>
  <c r="CQ6" i="2" s="1"/>
  <c r="CP6" i="2" a="1"/>
  <c r="CP6" i="2"/>
  <c r="CP8" i="2" s="1"/>
  <c r="CO6" i="2" a="1"/>
  <c r="CO6" i="2"/>
  <c r="CO7" i="2" s="1"/>
  <c r="CN6" i="2" a="1"/>
  <c r="CN6" i="2"/>
  <c r="CN7" i="2" s="1"/>
  <c r="CM6" i="2" a="1"/>
  <c r="CM6" i="2"/>
  <c r="CM7" i="2" s="1"/>
  <c r="CL6" i="2" a="1"/>
  <c r="CL6" i="2"/>
  <c r="CL8" i="2" s="1"/>
  <c r="CK6" i="2" a="1"/>
  <c r="CK6" i="2"/>
  <c r="CJ6" i="2" a="1"/>
  <c r="CJ6" i="2" s="1"/>
  <c r="CI6" i="2" a="1"/>
  <c r="CI6" i="2"/>
  <c r="CI8" i="2" s="1"/>
  <c r="CH6" i="2" a="1"/>
  <c r="CH6" i="2"/>
  <c r="CH7" i="2" s="1"/>
  <c r="CG6" i="2" a="1"/>
  <c r="CG6" i="2"/>
  <c r="CG7" i="2" s="1"/>
  <c r="CF6" i="2" a="1"/>
  <c r="CF6" i="2"/>
  <c r="CF7" i="2" s="1"/>
  <c r="CE6" i="2" a="1"/>
  <c r="CE6" i="2"/>
  <c r="CE8" i="2" s="1"/>
  <c r="CD6" i="2" a="1"/>
  <c r="CD6" i="2" s="1"/>
  <c r="CC6" i="2" a="1"/>
  <c r="CC6" i="2" s="1"/>
  <c r="CB6" i="2" a="1"/>
  <c r="CB6" i="2" s="1"/>
  <c r="CA6" i="2" a="1"/>
  <c r="CA6" i="2"/>
  <c r="CA7" i="2" s="1"/>
  <c r="BZ6" i="2" a="1"/>
  <c r="BZ6" i="2" s="1"/>
  <c r="BZ8" i="2" s="1"/>
  <c r="BY6" i="2" a="1"/>
  <c r="BY6" i="2"/>
  <c r="BY7" i="2" s="1"/>
  <c r="BX6" i="2" a="1"/>
  <c r="BX6" i="2"/>
  <c r="BX7" i="2" s="1"/>
  <c r="BW6" i="2" a="1"/>
  <c r="BW6" i="2"/>
  <c r="BW8" i="2" s="1"/>
  <c r="BV6" i="2" a="1"/>
  <c r="BV6" i="2"/>
  <c r="BV8" i="2" s="1"/>
  <c r="BU6" i="2" a="1"/>
  <c r="BU6" i="2"/>
  <c r="BU8" i="2" s="1"/>
  <c r="BT6" i="2" a="1"/>
  <c r="BT6" i="2" s="1"/>
  <c r="BT8" i="2" s="1"/>
  <c r="BS6" i="2" a="1"/>
  <c r="BS6" i="2"/>
  <c r="BS7" i="2" s="1"/>
  <c r="BR6" i="2" a="1"/>
  <c r="BR6" i="2"/>
  <c r="BR7" i="2" s="1"/>
  <c r="BQ6" i="2" a="1"/>
  <c r="BQ6" i="2"/>
  <c r="BQ7" i="2" s="1"/>
  <c r="BP6" i="2" a="1"/>
  <c r="BP6" i="2" s="1"/>
  <c r="BO6" i="2" a="1"/>
  <c r="BO6" i="2"/>
  <c r="BO7" i="2" s="1"/>
  <c r="BN6" i="2" a="1"/>
  <c r="BN6" i="2"/>
  <c r="BN7" i="2" s="1"/>
  <c r="BM6" i="2" a="1"/>
  <c r="BM6" i="2"/>
  <c r="BM7" i="2" s="1"/>
  <c r="BL6" i="2" a="1"/>
  <c r="BL6" i="2" s="1"/>
  <c r="BL7" i="2" s="1"/>
  <c r="BK6" i="2" a="1"/>
  <c r="BK6" i="2"/>
  <c r="BK7" i="2" s="1"/>
  <c r="BJ6" i="2" a="1"/>
  <c r="BJ6" i="2" s="1"/>
  <c r="BI6" i="2" a="1"/>
  <c r="BI6" i="2" s="1"/>
  <c r="BI8" i="2" s="1"/>
  <c r="BH6" i="2" a="1"/>
  <c r="BH6" i="2"/>
  <c r="BG6" i="2" a="1"/>
  <c r="BG6" i="2" s="1"/>
  <c r="BF6" i="2" a="1"/>
  <c r="BF6" i="2"/>
  <c r="BF8" i="2" s="1"/>
  <c r="BE6" i="2" a="1"/>
  <c r="BE6" i="2"/>
  <c r="BE7" i="2" s="1"/>
  <c r="BD6" i="2" a="1"/>
  <c r="BD6" i="2" s="1"/>
  <c r="BD8" i="2" s="1"/>
  <c r="BC6" i="2" a="1"/>
  <c r="BC6" i="2" s="1"/>
  <c r="BC8" i="2" s="1"/>
  <c r="BB6" i="2" a="1"/>
  <c r="BB6" i="2" s="1"/>
  <c r="BA6" i="2" a="1"/>
  <c r="BA6" i="2"/>
  <c r="BA7" i="2" s="1"/>
  <c r="AZ6" i="2" a="1"/>
  <c r="AZ6" i="2"/>
  <c r="AZ7" i="2" s="1"/>
  <c r="AY6" i="2" a="1"/>
  <c r="AY6" i="2"/>
  <c r="AY7" i="2" s="1"/>
  <c r="AX6" i="2" a="1"/>
  <c r="AX6" i="2" s="1"/>
  <c r="AW6" i="2" a="1"/>
  <c r="AW6" i="2"/>
  <c r="AW7" i="2" s="1"/>
  <c r="AV6" i="2" a="1"/>
  <c r="AV6" i="2" s="1"/>
  <c r="AV7" i="2" s="1"/>
  <c r="AU6" i="2" a="1"/>
  <c r="AU6" i="2"/>
  <c r="AU7" i="2" s="1"/>
  <c r="AT6" i="2" a="1"/>
  <c r="AT6" i="2"/>
  <c r="AT7" i="2" s="1"/>
  <c r="AS6" i="2" a="1"/>
  <c r="AS6" i="2"/>
  <c r="AR6" i="2" a="1"/>
  <c r="AR6" i="2" s="1"/>
  <c r="AR8" i="2" s="1"/>
  <c r="AQ6" i="2" a="1"/>
  <c r="AQ6" i="2"/>
  <c r="AP6" i="2" a="1"/>
  <c r="AP6" i="2"/>
  <c r="AP7" i="2" s="1"/>
  <c r="AO6" i="2" a="1"/>
  <c r="AO6" i="2" s="1"/>
  <c r="AN6" i="2" a="1"/>
  <c r="AN6" i="2" s="1"/>
  <c r="AN8" i="2" s="1"/>
  <c r="AM6" i="2" a="1"/>
  <c r="AM6" i="2"/>
  <c r="AM8" i="2" s="1"/>
  <c r="AL6" i="2" a="1"/>
  <c r="AL6" i="2" s="1"/>
  <c r="AL8" i="2" s="1"/>
  <c r="AK6" i="2" a="1"/>
  <c r="AK6" i="2"/>
  <c r="AK7" i="2" s="1"/>
  <c r="AJ6" i="2" a="1"/>
  <c r="AJ6" i="2" s="1"/>
  <c r="AI6" i="2" a="1"/>
  <c r="AI6" i="2"/>
  <c r="AI8" i="2" s="1"/>
  <c r="AH6" i="2" a="1"/>
  <c r="AH6" i="2"/>
  <c r="AH7" i="2" s="1"/>
  <c r="AG6" i="2" a="1"/>
  <c r="AG6" i="2"/>
  <c r="AG8" i="2" s="1"/>
  <c r="AF6" i="2" a="1"/>
  <c r="AF6" i="2" s="1"/>
  <c r="AF7" i="2" s="1"/>
  <c r="AE6" i="2" a="1"/>
  <c r="AE6" i="2"/>
  <c r="AE7" i="2" s="1"/>
  <c r="AD6" i="2" a="1"/>
  <c r="AD6" i="2"/>
  <c r="AD7" i="2" s="1"/>
  <c r="AC6" i="2" a="1"/>
  <c r="AC6" i="2"/>
  <c r="AC7" i="2" s="1"/>
  <c r="AB6" i="2" a="1"/>
  <c r="AB6" i="2"/>
  <c r="AB8" i="2" s="1"/>
  <c r="AA6" i="2" a="1"/>
  <c r="AA6" i="2" s="1"/>
  <c r="AA8" i="2" s="1"/>
  <c r="Z6" i="2" a="1"/>
  <c r="Z6" i="2"/>
  <c r="Y6" i="2" a="1"/>
  <c r="Y6" i="2"/>
  <c r="Y7" i="2" s="1"/>
  <c r="X6" i="2" a="1"/>
  <c r="X6" i="2" s="1"/>
  <c r="X8" i="2" s="1"/>
  <c r="W6" i="2" a="1"/>
  <c r="W6" i="2"/>
  <c r="V6" i="2" a="1"/>
  <c r="V6" i="2"/>
  <c r="U6" i="2" a="1"/>
  <c r="U6" i="2"/>
  <c r="U8" i="2" s="1"/>
  <c r="T6" i="2" a="1"/>
  <c r="T6" i="2"/>
  <c r="T7" i="2" s="1"/>
  <c r="S6" i="2" a="1"/>
  <c r="S6" i="2"/>
  <c r="S7" i="2" s="1"/>
  <c r="R6" i="2" a="1"/>
  <c r="R6" i="2"/>
  <c r="R7" i="2" s="1"/>
  <c r="Q6" i="2" a="1"/>
  <c r="Q6" i="2" s="1"/>
  <c r="P6" i="2" a="1"/>
  <c r="P6" i="2" s="1"/>
  <c r="P8" i="2" s="1"/>
  <c r="O6" i="2" a="1"/>
  <c r="O6" i="2"/>
  <c r="O7" i="2" s="1"/>
  <c r="N6" i="2" a="1"/>
  <c r="N6" i="2" s="1"/>
  <c r="M6" i="2" a="1"/>
  <c r="M6" i="2"/>
  <c r="M7" i="2" s="1"/>
  <c r="L6" i="2" a="1"/>
  <c r="L6" i="2"/>
  <c r="L7" i="2" s="1"/>
  <c r="K6" i="2" a="1"/>
  <c r="K6" i="2"/>
  <c r="K7" i="2" s="1"/>
  <c r="J6" i="2" a="1"/>
  <c r="J6" i="2" s="1"/>
  <c r="J8" i="2" s="1"/>
  <c r="I6" i="2" a="1"/>
  <c r="I6" i="2"/>
  <c r="I7" i="2" s="1"/>
  <c r="H6" i="2" a="1"/>
  <c r="H6" i="2" s="1"/>
  <c r="G6" i="2" a="1"/>
  <c r="G6" i="2"/>
  <c r="F6" i="2" a="1"/>
  <c r="F6" i="2"/>
  <c r="E6" i="2" a="1"/>
  <c r="E6" i="2" s="1"/>
  <c r="D6" i="2" a="1"/>
  <c r="D6" i="2"/>
  <c r="D8" i="2" s="1"/>
  <c r="C6" i="2" a="1"/>
  <c r="C6" i="2"/>
  <c r="C7" i="2" s="1"/>
  <c r="EH24" i="1"/>
  <c r="EG24" i="1"/>
  <c r="EH23" i="1"/>
  <c r="EG23" i="1"/>
  <c r="EH22" i="1"/>
  <c r="EG22" i="1"/>
  <c r="EH21" i="1"/>
  <c r="EG21" i="1"/>
  <c r="EH20" i="1"/>
  <c r="EG20" i="1"/>
  <c r="EH19" i="1"/>
  <c r="EG19" i="1"/>
  <c r="EH18" i="1"/>
  <c r="EG18" i="1"/>
  <c r="EH17" i="1"/>
  <c r="EG17" i="1"/>
  <c r="EH16" i="1"/>
  <c r="EG16" i="1"/>
  <c r="EH15" i="1"/>
  <c r="EG15" i="1"/>
  <c r="EH14" i="1"/>
  <c r="EG14" i="1"/>
  <c r="EH13" i="1"/>
  <c r="EG13" i="1"/>
  <c r="EH12" i="1"/>
  <c r="EG12" i="1"/>
  <c r="EB8" i="1"/>
  <c r="EA8" i="1"/>
  <c r="DZ8" i="1"/>
  <c r="DT8" i="1"/>
  <c r="DL8" i="1"/>
  <c r="DK8" i="1"/>
  <c r="DJ8" i="1"/>
  <c r="DI8" i="1"/>
  <c r="DG8" i="1"/>
  <c r="DE8" i="1"/>
  <c r="DB8" i="1"/>
  <c r="CT8" i="1"/>
  <c r="CS8" i="1"/>
  <c r="CN8" i="1"/>
  <c r="CM8" i="1"/>
  <c r="CK8" i="1"/>
  <c r="CC8" i="1"/>
  <c r="CA8" i="1"/>
  <c r="BX8" i="1"/>
  <c r="BW8" i="1"/>
  <c r="BV8" i="1"/>
  <c r="BU8" i="1"/>
  <c r="BP8" i="1"/>
  <c r="BM8" i="1"/>
  <c r="BG8" i="1"/>
  <c r="BF8" i="1"/>
  <c r="BE8" i="1"/>
  <c r="BC8" i="1"/>
  <c r="AZ8" i="1"/>
  <c r="AR8" i="1"/>
  <c r="AP8" i="1"/>
  <c r="AO8" i="1"/>
  <c r="AM8" i="1"/>
  <c r="AL8" i="1"/>
  <c r="AK8" i="1"/>
  <c r="AH8" i="1"/>
  <c r="AB8" i="1"/>
  <c r="Y8" i="1"/>
  <c r="W8" i="1"/>
  <c r="T8" i="1"/>
  <c r="S8" i="1"/>
  <c r="Q8" i="1"/>
  <c r="J8" i="1"/>
  <c r="D8" i="1"/>
  <c r="C8" i="1"/>
  <c r="EB7" i="1"/>
  <c r="DT7" i="1"/>
  <c r="DS7" i="1"/>
  <c r="DR7" i="1"/>
  <c r="DQ7" i="1"/>
  <c r="DO7" i="1"/>
  <c r="DN7" i="1"/>
  <c r="DJ7" i="1"/>
  <c r="DD7" i="1"/>
  <c r="DB7" i="1"/>
  <c r="DA7" i="1"/>
  <c r="CY7" i="1"/>
  <c r="CX7" i="1"/>
  <c r="CV7" i="1"/>
  <c r="CU7" i="1"/>
  <c r="CS7" i="1"/>
  <c r="CL7" i="1"/>
  <c r="CI7" i="1"/>
  <c r="CF7" i="1"/>
  <c r="CE7" i="1"/>
  <c r="CD7" i="1"/>
  <c r="CC7" i="1"/>
  <c r="BP7" i="1"/>
  <c r="BO7" i="1"/>
  <c r="BN7" i="1"/>
  <c r="BM7" i="1"/>
  <c r="BK7" i="1"/>
  <c r="BH7" i="1"/>
  <c r="BE7" i="1"/>
  <c r="AX7" i="1"/>
  <c r="AW7" i="1"/>
  <c r="AU7" i="1"/>
  <c r="AT7" i="1"/>
  <c r="AS7" i="1"/>
  <c r="AO7" i="1"/>
  <c r="AG7" i="1"/>
  <c r="AE7" i="1"/>
  <c r="AD7" i="1"/>
  <c r="AB7" i="1"/>
  <c r="AA7" i="1"/>
  <c r="T7" i="1"/>
  <c r="Q7" i="1"/>
  <c r="L7" i="1"/>
  <c r="K7" i="1"/>
  <c r="J7" i="1"/>
  <c r="I7" i="1"/>
  <c r="EF6" i="1" a="1"/>
  <c r="EF6" i="1" s="1"/>
  <c r="EE6" i="1" a="1"/>
  <c r="EE6" i="1"/>
  <c r="EE8" i="1" s="1"/>
  <c r="ED6" i="1" a="1"/>
  <c r="ED6" i="1"/>
  <c r="ED8" i="1" s="1"/>
  <c r="EC6" i="1" a="1"/>
  <c r="EC6" i="1"/>
  <c r="EC7" i="1" s="1"/>
  <c r="EB6" i="1" a="1"/>
  <c r="EB6" i="1"/>
  <c r="EA6" i="1" a="1"/>
  <c r="EA6" i="1"/>
  <c r="EA7" i="1" s="1"/>
  <c r="DZ6" i="1" a="1"/>
  <c r="DZ6" i="1"/>
  <c r="DZ7" i="1" s="1"/>
  <c r="DY6" i="1" a="1"/>
  <c r="DY6" i="1"/>
  <c r="DY8" i="1" s="1"/>
  <c r="DX6" i="1" a="1"/>
  <c r="DX6" i="1" s="1"/>
  <c r="DW6" i="1" a="1"/>
  <c r="DW6" i="1"/>
  <c r="DW7" i="1" s="1"/>
  <c r="DV6" i="1" a="1"/>
  <c r="DV6" i="1"/>
  <c r="DV8" i="1" s="1"/>
  <c r="DU6" i="1" a="1"/>
  <c r="DU6" i="1"/>
  <c r="DU7" i="1" s="1"/>
  <c r="DT6" i="1" a="1"/>
  <c r="DT6" i="1"/>
  <c r="DS6" i="1" a="1"/>
  <c r="DS6" i="1"/>
  <c r="DS8" i="1" s="1"/>
  <c r="DR6" i="1" a="1"/>
  <c r="DR6" i="1"/>
  <c r="DR8" i="1" s="1"/>
  <c r="DQ6" i="1" a="1"/>
  <c r="DQ6" i="1"/>
  <c r="DQ8" i="1" s="1"/>
  <c r="DP6" i="1" a="1"/>
  <c r="DP6" i="1" s="1"/>
  <c r="DO6" i="1" a="1"/>
  <c r="DO6" i="1"/>
  <c r="DO8" i="1" s="1"/>
  <c r="DN6" i="1" a="1"/>
  <c r="DN6" i="1"/>
  <c r="DN8" i="1" s="1"/>
  <c r="DM6" i="1" a="1"/>
  <c r="DM6" i="1"/>
  <c r="DM7" i="1" s="1"/>
  <c r="DL6" i="1" a="1"/>
  <c r="DL6" i="1"/>
  <c r="DL7" i="1" s="1"/>
  <c r="DK6" i="1" a="1"/>
  <c r="DK6" i="1"/>
  <c r="DK7" i="1" s="1"/>
  <c r="DJ6" i="1" a="1"/>
  <c r="DJ6" i="1"/>
  <c r="DI6" i="1" a="1"/>
  <c r="DI6" i="1"/>
  <c r="DI7" i="1" s="1"/>
  <c r="DH6" i="1" a="1"/>
  <c r="DH6" i="1" s="1"/>
  <c r="DG6" i="1" a="1"/>
  <c r="DG6" i="1"/>
  <c r="DG7" i="1" s="1"/>
  <c r="DF6" i="1" a="1"/>
  <c r="DF6" i="1"/>
  <c r="DE6" i="1" a="1"/>
  <c r="DE6" i="1"/>
  <c r="DE7" i="1" s="1"/>
  <c r="DD6" i="1" a="1"/>
  <c r="DD6" i="1"/>
  <c r="DD8" i="1" s="1"/>
  <c r="DC6" i="1" a="1"/>
  <c r="DC6" i="1"/>
  <c r="DC7" i="1" s="1"/>
  <c r="DB6" i="1" a="1"/>
  <c r="DB6" i="1"/>
  <c r="DA6" i="1" a="1"/>
  <c r="DA6" i="1"/>
  <c r="DA8" i="1" s="1"/>
  <c r="CZ6" i="1" a="1"/>
  <c r="CZ6" i="1" s="1"/>
  <c r="CY6" i="1" a="1"/>
  <c r="CY6" i="1"/>
  <c r="CY8" i="1" s="1"/>
  <c r="CX6" i="1" a="1"/>
  <c r="CX6" i="1"/>
  <c r="CX8" i="1" s="1"/>
  <c r="CW6" i="1" a="1"/>
  <c r="CW6" i="1"/>
  <c r="CW7" i="1" s="1"/>
  <c r="CV6" i="1" a="1"/>
  <c r="CV6" i="1"/>
  <c r="CV8" i="1" s="1"/>
  <c r="CU6" i="1" a="1"/>
  <c r="CU6" i="1"/>
  <c r="CU8" i="1" s="1"/>
  <c r="CT6" i="1" a="1"/>
  <c r="CT6" i="1"/>
  <c r="CT7" i="1" s="1"/>
  <c r="CS6" i="1" a="1"/>
  <c r="CS6" i="1"/>
  <c r="CR6" i="1" a="1"/>
  <c r="CR6" i="1" s="1"/>
  <c r="CQ6" i="1" a="1"/>
  <c r="CQ6" i="1"/>
  <c r="CQ8" i="1" s="1"/>
  <c r="CP6" i="1" a="1"/>
  <c r="CP6" i="1"/>
  <c r="CP8" i="1" s="1"/>
  <c r="CO6" i="1" a="1"/>
  <c r="CO6" i="1"/>
  <c r="CO7" i="1" s="1"/>
  <c r="CN6" i="1" a="1"/>
  <c r="CN6" i="1"/>
  <c r="CN7" i="1" s="1"/>
  <c r="CM6" i="1" a="1"/>
  <c r="CM6" i="1"/>
  <c r="CM7" i="1" s="1"/>
  <c r="CL6" i="1" a="1"/>
  <c r="CL6" i="1"/>
  <c r="CL8" i="1" s="1"/>
  <c r="CK6" i="1" a="1"/>
  <c r="CK6" i="1"/>
  <c r="CK7" i="1" s="1"/>
  <c r="CJ6" i="1" a="1"/>
  <c r="CJ6" i="1" s="1"/>
  <c r="CI6" i="1" a="1"/>
  <c r="CI6" i="1"/>
  <c r="CI8" i="1" s="1"/>
  <c r="CH6" i="1" a="1"/>
  <c r="CH6" i="1"/>
  <c r="CH8" i="1" s="1"/>
  <c r="CG6" i="1" a="1"/>
  <c r="CG6" i="1"/>
  <c r="CG7" i="1" s="1"/>
  <c r="CF6" i="1" a="1"/>
  <c r="CF6" i="1"/>
  <c r="CF8" i="1" s="1"/>
  <c r="CE6" i="1" a="1"/>
  <c r="CE6" i="1"/>
  <c r="CE8" i="1" s="1"/>
  <c r="CD6" i="1" a="1"/>
  <c r="CD6" i="1"/>
  <c r="CD8" i="1" s="1"/>
  <c r="CC6" i="1" a="1"/>
  <c r="CC6" i="1"/>
  <c r="CB6" i="1" a="1"/>
  <c r="CB6" i="1" s="1"/>
  <c r="CA6" i="1" a="1"/>
  <c r="CA6" i="1"/>
  <c r="CA7" i="1" s="1"/>
  <c r="BZ6" i="1" a="1"/>
  <c r="BZ6" i="1"/>
  <c r="BZ8" i="1" s="1"/>
  <c r="BY6" i="1" a="1"/>
  <c r="BY6" i="1"/>
  <c r="BY8" i="1" s="1"/>
  <c r="BX6" i="1" a="1"/>
  <c r="BX6" i="1"/>
  <c r="BX7" i="1" s="1"/>
  <c r="BW6" i="1" a="1"/>
  <c r="BW6" i="1"/>
  <c r="BW7" i="1" s="1"/>
  <c r="BV6" i="1" a="1"/>
  <c r="BV6" i="1"/>
  <c r="BV7" i="1" s="1"/>
  <c r="BU6" i="1" a="1"/>
  <c r="BU6" i="1"/>
  <c r="BU7" i="1" s="1"/>
  <c r="BT6" i="1" a="1"/>
  <c r="BT6" i="1" s="1"/>
  <c r="BS6" i="1" a="1"/>
  <c r="BS6" i="1"/>
  <c r="BS7" i="1" s="1"/>
  <c r="BR6" i="1" a="1"/>
  <c r="BR6" i="1"/>
  <c r="BR7" i="1" s="1"/>
  <c r="BQ6" i="1" a="1"/>
  <c r="BQ6" i="1"/>
  <c r="BQ7" i="1" s="1"/>
  <c r="BP6" i="1" a="1"/>
  <c r="BP6" i="1"/>
  <c r="BO6" i="1" a="1"/>
  <c r="BO6" i="1"/>
  <c r="BO8" i="1" s="1"/>
  <c r="BN6" i="1" a="1"/>
  <c r="BN6" i="1"/>
  <c r="BN8" i="1" s="1"/>
  <c r="BM6" i="1" a="1"/>
  <c r="BM6" i="1"/>
  <c r="BL6" i="1" a="1"/>
  <c r="BL6" i="1" s="1"/>
  <c r="BK6" i="1" a="1"/>
  <c r="BK6" i="1"/>
  <c r="BK8" i="1" s="1"/>
  <c r="BJ6" i="1" a="1"/>
  <c r="BJ6" i="1"/>
  <c r="BJ8" i="1" s="1"/>
  <c r="BI6" i="1" a="1"/>
  <c r="BI6" i="1"/>
  <c r="BI8" i="1" s="1"/>
  <c r="BH6" i="1" a="1"/>
  <c r="BH6" i="1"/>
  <c r="BH8" i="1" s="1"/>
  <c r="BG6" i="1" a="1"/>
  <c r="BG6" i="1"/>
  <c r="BG7" i="1" s="1"/>
  <c r="BF6" i="1" a="1"/>
  <c r="BF6" i="1"/>
  <c r="BF7" i="1" s="1"/>
  <c r="BE6" i="1" a="1"/>
  <c r="BE6" i="1"/>
  <c r="BD6" i="1" a="1"/>
  <c r="BD6" i="1" s="1"/>
  <c r="BC6" i="1" a="1"/>
  <c r="BC6" i="1"/>
  <c r="BC7" i="1" s="1"/>
  <c r="BB6" i="1" a="1"/>
  <c r="BB6" i="1"/>
  <c r="BB7" i="1" s="1"/>
  <c r="BA6" i="1" a="1"/>
  <c r="BA6" i="1"/>
  <c r="BA7" i="1" s="1"/>
  <c r="AZ6" i="1" a="1"/>
  <c r="AZ6" i="1"/>
  <c r="AZ7" i="1" s="1"/>
  <c r="AY6" i="1" a="1"/>
  <c r="AY6" i="1"/>
  <c r="AY8" i="1" s="1"/>
  <c r="AX6" i="1" a="1"/>
  <c r="AX6" i="1"/>
  <c r="AX8" i="1" s="1"/>
  <c r="AW6" i="1" a="1"/>
  <c r="AW6" i="1"/>
  <c r="AW8" i="1" s="1"/>
  <c r="AV6" i="1" a="1"/>
  <c r="AV6" i="1" s="1"/>
  <c r="AU6" i="1" a="1"/>
  <c r="AU6" i="1"/>
  <c r="AU8" i="1" s="1"/>
  <c r="AT6" i="1" a="1"/>
  <c r="AT6" i="1"/>
  <c r="AT8" i="1" s="1"/>
  <c r="AS6" i="1" a="1"/>
  <c r="AS6" i="1"/>
  <c r="AS8" i="1" s="1"/>
  <c r="AR6" i="1" a="1"/>
  <c r="AR6" i="1"/>
  <c r="AR7" i="1" s="1"/>
  <c r="AQ6" i="1" a="1"/>
  <c r="AQ6" i="1"/>
  <c r="AQ8" i="1" s="1"/>
  <c r="AP6" i="1" a="1"/>
  <c r="AP6" i="1"/>
  <c r="AP7" i="1" s="1"/>
  <c r="AO6" i="1" a="1"/>
  <c r="AO6" i="1"/>
  <c r="AN6" i="1" a="1"/>
  <c r="AN6" i="1" s="1"/>
  <c r="AM6" i="1" a="1"/>
  <c r="AM6" i="1"/>
  <c r="AM7" i="1" s="1"/>
  <c r="AL6" i="1" a="1"/>
  <c r="AL6" i="1"/>
  <c r="AL7" i="1" s="1"/>
  <c r="AK6" i="1" a="1"/>
  <c r="AK6" i="1"/>
  <c r="AK7" i="1" s="1"/>
  <c r="AJ6" i="1" a="1"/>
  <c r="AJ6" i="1"/>
  <c r="AJ7" i="1" s="1"/>
  <c r="AI6" i="1" a="1"/>
  <c r="AI6" i="1"/>
  <c r="AI7" i="1" s="1"/>
  <c r="AH6" i="1" a="1"/>
  <c r="AH6" i="1"/>
  <c r="AH7" i="1" s="1"/>
  <c r="AG6" i="1" a="1"/>
  <c r="AG6" i="1"/>
  <c r="AG8" i="1" s="1"/>
  <c r="AF6" i="1" a="1"/>
  <c r="AF6" i="1" s="1"/>
  <c r="AE6" i="1" a="1"/>
  <c r="AE6" i="1"/>
  <c r="AE8" i="1" s="1"/>
  <c r="AD6" i="1" a="1"/>
  <c r="AD6" i="1"/>
  <c r="AD8" i="1" s="1"/>
  <c r="AC6" i="1" a="1"/>
  <c r="AC6" i="1"/>
  <c r="AC8" i="1" s="1"/>
  <c r="AB6" i="1" a="1"/>
  <c r="AB6" i="1"/>
  <c r="AA6" i="1" a="1"/>
  <c r="AA6" i="1"/>
  <c r="AA8" i="1" s="1"/>
  <c r="Z6" i="1" a="1"/>
  <c r="Z6" i="1"/>
  <c r="Z8" i="1" s="1"/>
  <c r="Y6" i="1" a="1"/>
  <c r="Y6" i="1"/>
  <c r="Y7" i="1" s="1"/>
  <c r="X6" i="1" a="1"/>
  <c r="X6" i="1" s="1"/>
  <c r="W6" i="1" a="1"/>
  <c r="W6" i="1"/>
  <c r="W7" i="1" s="1"/>
  <c r="V6" i="1" a="1"/>
  <c r="V6" i="1"/>
  <c r="V7" i="1" s="1"/>
  <c r="U6" i="1" a="1"/>
  <c r="U6" i="1"/>
  <c r="U7" i="1" s="1"/>
  <c r="T6" i="1" a="1"/>
  <c r="T6" i="1"/>
  <c r="S6" i="1" a="1"/>
  <c r="S6" i="1"/>
  <c r="S7" i="1" s="1"/>
  <c r="R6" i="1" a="1"/>
  <c r="R6" i="1"/>
  <c r="R7" i="1" s="1"/>
  <c r="Q6" i="1" a="1"/>
  <c r="Q6" i="1"/>
  <c r="P6" i="1" a="1"/>
  <c r="P6" i="1" s="1"/>
  <c r="O6" i="1" a="1"/>
  <c r="O6" i="1"/>
  <c r="O8" i="1" s="1"/>
  <c r="N6" i="1" a="1"/>
  <c r="N6" i="1"/>
  <c r="N8" i="1" s="1"/>
  <c r="M6" i="1" a="1"/>
  <c r="M6" i="1"/>
  <c r="M8" i="1" s="1"/>
  <c r="L6" i="1" a="1"/>
  <c r="L6" i="1"/>
  <c r="L8" i="1" s="1"/>
  <c r="K6" i="1" a="1"/>
  <c r="K6" i="1"/>
  <c r="K8" i="1" s="1"/>
  <c r="J6" i="1" a="1"/>
  <c r="J6" i="1"/>
  <c r="I6" i="1" a="1"/>
  <c r="I6" i="1"/>
  <c r="I8" i="1" s="1"/>
  <c r="H6" i="1" a="1"/>
  <c r="H6" i="1" s="1"/>
  <c r="G6" i="1" a="1"/>
  <c r="G6" i="1"/>
  <c r="G8" i="1" s="1"/>
  <c r="F6" i="1" a="1"/>
  <c r="F6" i="1"/>
  <c r="F8" i="1" s="1"/>
  <c r="E6" i="1" a="1"/>
  <c r="E6" i="1"/>
  <c r="E7" i="1" s="1"/>
  <c r="D6" i="1" a="1"/>
  <c r="D6" i="1"/>
  <c r="D7" i="1" s="1"/>
  <c r="C6" i="1" a="1"/>
  <c r="C6" i="1"/>
  <c r="C7" i="1" s="1"/>
  <c r="EG4" i="1"/>
  <c r="EG3" i="1"/>
  <c r="EG6" i="1" s="1" a="1"/>
  <c r="EG6" i="3" l="1"/>
  <c r="EG8" i="9"/>
  <c r="EG6" i="1"/>
  <c r="D21" i="5"/>
  <c r="E21" i="5" s="1"/>
  <c r="F21" i="5" s="1"/>
  <c r="G21" i="5" s="1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AG21" i="5" s="1"/>
  <c r="AH21" i="5" s="1"/>
  <c r="AI21" i="5" s="1"/>
  <c r="AJ21" i="5" s="1"/>
  <c r="AK21" i="5" s="1"/>
  <c r="AL21" i="5" s="1"/>
  <c r="AM21" i="5" s="1"/>
  <c r="AN21" i="5" s="1"/>
  <c r="AO21" i="5" s="1"/>
  <c r="AP21" i="5" s="1"/>
  <c r="AQ21" i="5" s="1"/>
  <c r="AR21" i="5" s="1"/>
  <c r="AS21" i="5" s="1"/>
  <c r="AT21" i="5" s="1"/>
  <c r="AU21" i="5" s="1"/>
  <c r="AV21" i="5" s="1"/>
  <c r="AW21" i="5" s="1"/>
  <c r="AX21" i="5" s="1"/>
  <c r="AY21" i="5" s="1"/>
  <c r="AZ21" i="5" s="1"/>
  <c r="BA21" i="5" s="1"/>
  <c r="BB21" i="5" s="1"/>
  <c r="BC21" i="5" s="1"/>
  <c r="BD21" i="5" s="1"/>
  <c r="BE21" i="5" s="1"/>
  <c r="BF21" i="5" s="1"/>
  <c r="BG21" i="5" s="1"/>
  <c r="BH21" i="5" s="1"/>
  <c r="BI21" i="5" s="1"/>
  <c r="BJ21" i="5" s="1"/>
  <c r="BK21" i="5" s="1"/>
  <c r="BL21" i="5" s="1"/>
  <c r="BM21" i="5" s="1"/>
  <c r="BN21" i="5" s="1"/>
  <c r="BO21" i="5" s="1"/>
  <c r="BP21" i="5" s="1"/>
  <c r="BQ21" i="5" s="1"/>
  <c r="BR21" i="5" s="1"/>
  <c r="BS21" i="5" s="1"/>
  <c r="BT21" i="5" s="1"/>
  <c r="BU21" i="5" s="1"/>
  <c r="BV21" i="5" s="1"/>
  <c r="BW21" i="5" s="1"/>
  <c r="BX21" i="5" s="1"/>
  <c r="BY21" i="5" s="1"/>
  <c r="BZ21" i="5" s="1"/>
  <c r="CA21" i="5" s="1"/>
  <c r="CB21" i="5" s="1"/>
  <c r="CC21" i="5" s="1"/>
  <c r="CD21" i="5" s="1"/>
  <c r="CE21" i="5" s="1"/>
  <c r="CF21" i="5" s="1"/>
  <c r="CG21" i="5" s="1"/>
  <c r="CH21" i="5" s="1"/>
  <c r="CI21" i="5" s="1"/>
  <c r="CJ21" i="5" s="1"/>
  <c r="CK21" i="5" s="1"/>
  <c r="CL21" i="5" s="1"/>
  <c r="CM21" i="5" s="1"/>
  <c r="CN21" i="5" s="1"/>
  <c r="CO21" i="5" s="1"/>
  <c r="CP21" i="5" s="1"/>
  <c r="CQ21" i="5" s="1"/>
  <c r="CR21" i="5" s="1"/>
  <c r="CS21" i="5" s="1"/>
  <c r="CT21" i="5" s="1"/>
  <c r="CU21" i="5" s="1"/>
  <c r="CV21" i="5" s="1"/>
  <c r="CW21" i="5" s="1"/>
  <c r="CX21" i="5" s="1"/>
  <c r="CY21" i="5" s="1"/>
  <c r="CZ21" i="5" s="1"/>
  <c r="DA21" i="5" s="1"/>
  <c r="DB21" i="5" s="1"/>
  <c r="DC21" i="5" s="1"/>
  <c r="DD21" i="5" s="1"/>
  <c r="DE21" i="5" s="1"/>
  <c r="DF21" i="5" s="1"/>
  <c r="DG21" i="5" s="1"/>
  <c r="DH21" i="5" s="1"/>
  <c r="DI21" i="5" s="1"/>
  <c r="DJ21" i="5" s="1"/>
  <c r="DK21" i="5" s="1"/>
  <c r="DL21" i="5" s="1"/>
  <c r="DM21" i="5" s="1"/>
  <c r="DN21" i="5" s="1"/>
  <c r="DO21" i="5" s="1"/>
  <c r="DP21" i="5" s="1"/>
  <c r="DQ21" i="5" s="1"/>
  <c r="DR21" i="5" s="1"/>
  <c r="DS21" i="5" s="1"/>
  <c r="DT21" i="5" s="1"/>
  <c r="DU21" i="5" s="1"/>
  <c r="DV21" i="5" s="1"/>
  <c r="DW21" i="5" s="1"/>
  <c r="DX21" i="5" s="1"/>
  <c r="DY21" i="5" s="1"/>
  <c r="DZ21" i="5" s="1"/>
  <c r="EA21" i="5" s="1"/>
  <c r="EB21" i="5" s="1"/>
  <c r="EC21" i="5" s="1"/>
  <c r="ED21" i="5" s="1"/>
  <c r="EE21" i="5" s="1"/>
  <c r="EF21" i="5" s="1"/>
  <c r="D22" i="5"/>
  <c r="E22" i="5" s="1"/>
  <c r="F22" i="5" s="1"/>
  <c r="G22" i="5" s="1"/>
  <c r="H22" i="5" s="1"/>
  <c r="I22" i="5" s="1"/>
  <c r="J22" i="5" s="1"/>
  <c r="K22" i="5" s="1"/>
  <c r="L22" i="5" s="1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AG22" i="5" s="1"/>
  <c r="AH22" i="5" s="1"/>
  <c r="AI22" i="5" s="1"/>
  <c r="AJ22" i="5" s="1"/>
  <c r="AK22" i="5" s="1"/>
  <c r="AL22" i="5" s="1"/>
  <c r="AM22" i="5" s="1"/>
  <c r="AN22" i="5" s="1"/>
  <c r="AO22" i="5" s="1"/>
  <c r="AP22" i="5" s="1"/>
  <c r="AQ22" i="5" s="1"/>
  <c r="AR22" i="5" s="1"/>
  <c r="AS22" i="5" s="1"/>
  <c r="AT22" i="5" s="1"/>
  <c r="AU22" i="5" s="1"/>
  <c r="AV22" i="5" s="1"/>
  <c r="AW22" i="5" s="1"/>
  <c r="AX22" i="5" s="1"/>
  <c r="AY22" i="5" s="1"/>
  <c r="AZ22" i="5" s="1"/>
  <c r="BA22" i="5" s="1"/>
  <c r="BB22" i="5" s="1"/>
  <c r="BC22" i="5" s="1"/>
  <c r="BD22" i="5" s="1"/>
  <c r="BE22" i="5" s="1"/>
  <c r="BF22" i="5" s="1"/>
  <c r="BG22" i="5" s="1"/>
  <c r="BH22" i="5" s="1"/>
  <c r="BI22" i="5" s="1"/>
  <c r="BJ22" i="5" s="1"/>
  <c r="BK22" i="5" s="1"/>
  <c r="BL22" i="5" s="1"/>
  <c r="BM22" i="5" s="1"/>
  <c r="BN22" i="5" s="1"/>
  <c r="BO22" i="5" s="1"/>
  <c r="BP22" i="5" s="1"/>
  <c r="BQ22" i="5" s="1"/>
  <c r="BR22" i="5" s="1"/>
  <c r="BS22" i="5" s="1"/>
  <c r="BT22" i="5" s="1"/>
  <c r="BU22" i="5" s="1"/>
  <c r="BV22" i="5" s="1"/>
  <c r="BW22" i="5" s="1"/>
  <c r="BX22" i="5" s="1"/>
  <c r="BY22" i="5" s="1"/>
  <c r="BZ22" i="5" s="1"/>
  <c r="CA22" i="5" s="1"/>
  <c r="CB22" i="5" s="1"/>
  <c r="CC22" i="5" s="1"/>
  <c r="CD22" i="5" s="1"/>
  <c r="CE22" i="5" s="1"/>
  <c r="CF22" i="5" s="1"/>
  <c r="CG22" i="5" s="1"/>
  <c r="CH22" i="5" s="1"/>
  <c r="CI22" i="5" s="1"/>
  <c r="CJ22" i="5" s="1"/>
  <c r="CK22" i="5" s="1"/>
  <c r="CL22" i="5" s="1"/>
  <c r="CM22" i="5" s="1"/>
  <c r="CN22" i="5" s="1"/>
  <c r="CO22" i="5" s="1"/>
  <c r="CP22" i="5" s="1"/>
  <c r="CQ22" i="5" s="1"/>
  <c r="CR22" i="5" s="1"/>
  <c r="CS22" i="5" s="1"/>
  <c r="CT22" i="5" s="1"/>
  <c r="CU22" i="5" s="1"/>
  <c r="CV22" i="5" s="1"/>
  <c r="CW22" i="5" s="1"/>
  <c r="CX22" i="5" s="1"/>
  <c r="CY22" i="5" s="1"/>
  <c r="CZ22" i="5" s="1"/>
  <c r="DA22" i="5" s="1"/>
  <c r="DB22" i="5" s="1"/>
  <c r="DC22" i="5" s="1"/>
  <c r="DD22" i="5" s="1"/>
  <c r="DE22" i="5" s="1"/>
  <c r="DF22" i="5" s="1"/>
  <c r="DG22" i="5" s="1"/>
  <c r="DH22" i="5" s="1"/>
  <c r="DI22" i="5" s="1"/>
  <c r="DJ22" i="5" s="1"/>
  <c r="DK22" i="5" s="1"/>
  <c r="DL22" i="5" s="1"/>
  <c r="DM22" i="5" s="1"/>
  <c r="DN22" i="5" s="1"/>
  <c r="DO22" i="5" s="1"/>
  <c r="DP22" i="5" s="1"/>
  <c r="DQ22" i="5" s="1"/>
  <c r="DR22" i="5" s="1"/>
  <c r="DS22" i="5" s="1"/>
  <c r="DT22" i="5" s="1"/>
  <c r="DU22" i="5" s="1"/>
  <c r="DV22" i="5" s="1"/>
  <c r="DW22" i="5" s="1"/>
  <c r="DX22" i="5" s="1"/>
  <c r="DY22" i="5" s="1"/>
  <c r="DZ22" i="5" s="1"/>
  <c r="EA22" i="5" s="1"/>
  <c r="EB22" i="5" s="1"/>
  <c r="EC22" i="5" s="1"/>
  <c r="ED22" i="5" s="1"/>
  <c r="EE22" i="5" s="1"/>
  <c r="EF22" i="5" s="1"/>
  <c r="D23" i="5"/>
  <c r="E23" i="5" s="1"/>
  <c r="F23" i="5" s="1"/>
  <c r="G23" i="5" s="1"/>
  <c r="H23" i="5" s="1"/>
  <c r="I23" i="5" s="1"/>
  <c r="J23" i="5" s="1"/>
  <c r="K23" i="5" s="1"/>
  <c r="L23" i="5" s="1"/>
  <c r="M23" i="5" s="1"/>
  <c r="N23" i="5" s="1"/>
  <c r="O23" i="5" s="1"/>
  <c r="P23" i="5" s="1"/>
  <c r="Q23" i="5" s="1"/>
  <c r="R23" i="5" s="1"/>
  <c r="S23" i="5" s="1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AG23" i="5" s="1"/>
  <c r="AH23" i="5" s="1"/>
  <c r="AI23" i="5" s="1"/>
  <c r="AJ23" i="5" s="1"/>
  <c r="AK23" i="5" s="1"/>
  <c r="AL23" i="5" s="1"/>
  <c r="AM23" i="5" s="1"/>
  <c r="AN23" i="5" s="1"/>
  <c r="AO23" i="5" s="1"/>
  <c r="AP23" i="5" s="1"/>
  <c r="AQ23" i="5" s="1"/>
  <c r="AR23" i="5" s="1"/>
  <c r="AS23" i="5" s="1"/>
  <c r="AT23" i="5" s="1"/>
  <c r="AU23" i="5" s="1"/>
  <c r="AV23" i="5" s="1"/>
  <c r="AW23" i="5" s="1"/>
  <c r="AX23" i="5" s="1"/>
  <c r="AY23" i="5" s="1"/>
  <c r="AZ23" i="5" s="1"/>
  <c r="BA23" i="5" s="1"/>
  <c r="BB23" i="5" s="1"/>
  <c r="BC23" i="5" s="1"/>
  <c r="BD23" i="5" s="1"/>
  <c r="BE23" i="5" s="1"/>
  <c r="BF23" i="5" s="1"/>
  <c r="BG23" i="5" s="1"/>
  <c r="BH23" i="5" s="1"/>
  <c r="BI23" i="5" s="1"/>
  <c r="BJ23" i="5" s="1"/>
  <c r="BK23" i="5" s="1"/>
  <c r="BL23" i="5" s="1"/>
  <c r="BM23" i="5" s="1"/>
  <c r="BN23" i="5" s="1"/>
  <c r="BO23" i="5" s="1"/>
  <c r="BP23" i="5" s="1"/>
  <c r="BQ23" i="5" s="1"/>
  <c r="BR23" i="5" s="1"/>
  <c r="BS23" i="5" s="1"/>
  <c r="BT23" i="5" s="1"/>
  <c r="BU23" i="5" s="1"/>
  <c r="BV23" i="5" s="1"/>
  <c r="BW23" i="5" s="1"/>
  <c r="BX23" i="5" s="1"/>
  <c r="BY23" i="5" s="1"/>
  <c r="BZ23" i="5" s="1"/>
  <c r="CA23" i="5" s="1"/>
  <c r="CB23" i="5" s="1"/>
  <c r="CC23" i="5" s="1"/>
  <c r="CD23" i="5" s="1"/>
  <c r="CE23" i="5" s="1"/>
  <c r="CF23" i="5" s="1"/>
  <c r="CG23" i="5" s="1"/>
  <c r="CH23" i="5" s="1"/>
  <c r="CI23" i="5" s="1"/>
  <c r="CJ23" i="5" s="1"/>
  <c r="CK23" i="5" s="1"/>
  <c r="CL23" i="5" s="1"/>
  <c r="CM23" i="5" s="1"/>
  <c r="CN23" i="5" s="1"/>
  <c r="CO23" i="5" s="1"/>
  <c r="CP23" i="5" s="1"/>
  <c r="CQ23" i="5" s="1"/>
  <c r="CR23" i="5" s="1"/>
  <c r="CS23" i="5" s="1"/>
  <c r="CT23" i="5" s="1"/>
  <c r="CU23" i="5" s="1"/>
  <c r="CV23" i="5" s="1"/>
  <c r="CW23" i="5" s="1"/>
  <c r="CX23" i="5" s="1"/>
  <c r="CY23" i="5" s="1"/>
  <c r="CZ23" i="5" s="1"/>
  <c r="DA23" i="5" s="1"/>
  <c r="DB23" i="5" s="1"/>
  <c r="DC23" i="5" s="1"/>
  <c r="DD23" i="5" s="1"/>
  <c r="DE23" i="5" s="1"/>
  <c r="DF23" i="5" s="1"/>
  <c r="DG23" i="5" s="1"/>
  <c r="DH23" i="5" s="1"/>
  <c r="DI23" i="5" s="1"/>
  <c r="DJ23" i="5" s="1"/>
  <c r="DK23" i="5" s="1"/>
  <c r="DL23" i="5" s="1"/>
  <c r="DM23" i="5" s="1"/>
  <c r="DN23" i="5" s="1"/>
  <c r="DO23" i="5" s="1"/>
  <c r="DP23" i="5" s="1"/>
  <c r="DQ23" i="5" s="1"/>
  <c r="DR23" i="5" s="1"/>
  <c r="DS23" i="5" s="1"/>
  <c r="DT23" i="5" s="1"/>
  <c r="DU23" i="5" s="1"/>
  <c r="DV23" i="5" s="1"/>
  <c r="DW23" i="5" s="1"/>
  <c r="DX23" i="5" s="1"/>
  <c r="DY23" i="5" s="1"/>
  <c r="DZ23" i="5" s="1"/>
  <c r="EA23" i="5" s="1"/>
  <c r="EB23" i="5" s="1"/>
  <c r="EC23" i="5" s="1"/>
  <c r="ED23" i="5" s="1"/>
  <c r="EE23" i="5" s="1"/>
  <c r="EF23" i="5" s="1"/>
  <c r="D12" i="5"/>
  <c r="E12" i="5" s="1"/>
  <c r="F12" i="5" s="1"/>
  <c r="G12" i="5" s="1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AK12" i="5" s="1"/>
  <c r="AL12" i="5" s="1"/>
  <c r="AM12" i="5" s="1"/>
  <c r="AN12" i="5" s="1"/>
  <c r="AO12" i="5" s="1"/>
  <c r="AP12" i="5" s="1"/>
  <c r="AQ12" i="5" s="1"/>
  <c r="AR12" i="5" s="1"/>
  <c r="AS12" i="5" s="1"/>
  <c r="AT12" i="5" s="1"/>
  <c r="AU12" i="5" s="1"/>
  <c r="AV12" i="5" s="1"/>
  <c r="AW12" i="5" s="1"/>
  <c r="AX12" i="5" s="1"/>
  <c r="AY12" i="5" s="1"/>
  <c r="AZ12" i="5" s="1"/>
  <c r="BA12" i="5" s="1"/>
  <c r="BB12" i="5" s="1"/>
  <c r="BC12" i="5" s="1"/>
  <c r="BD12" i="5" s="1"/>
  <c r="BE12" i="5" s="1"/>
  <c r="BF12" i="5" s="1"/>
  <c r="BG12" i="5" s="1"/>
  <c r="BH12" i="5" s="1"/>
  <c r="BI12" i="5" s="1"/>
  <c r="BJ12" i="5" s="1"/>
  <c r="BK12" i="5" s="1"/>
  <c r="BL12" i="5" s="1"/>
  <c r="BM12" i="5" s="1"/>
  <c r="BN12" i="5" s="1"/>
  <c r="BO12" i="5" s="1"/>
  <c r="BP12" i="5" s="1"/>
  <c r="BQ12" i="5" s="1"/>
  <c r="BR12" i="5" s="1"/>
  <c r="BS12" i="5" s="1"/>
  <c r="BT12" i="5" s="1"/>
  <c r="BU12" i="5" s="1"/>
  <c r="BV12" i="5" s="1"/>
  <c r="BW12" i="5" s="1"/>
  <c r="BX12" i="5" s="1"/>
  <c r="BY12" i="5" s="1"/>
  <c r="BZ12" i="5" s="1"/>
  <c r="CA12" i="5" s="1"/>
  <c r="CB12" i="5" s="1"/>
  <c r="CC12" i="5" s="1"/>
  <c r="CD12" i="5" s="1"/>
  <c r="CE12" i="5" s="1"/>
  <c r="CF12" i="5" s="1"/>
  <c r="CG12" i="5" s="1"/>
  <c r="CH12" i="5" s="1"/>
  <c r="CI12" i="5" s="1"/>
  <c r="CJ12" i="5" s="1"/>
  <c r="CK12" i="5" s="1"/>
  <c r="CL12" i="5" s="1"/>
  <c r="CM12" i="5" s="1"/>
  <c r="CN12" i="5" s="1"/>
  <c r="CO12" i="5" s="1"/>
  <c r="CP12" i="5" s="1"/>
  <c r="CQ12" i="5" s="1"/>
  <c r="CR12" i="5" s="1"/>
  <c r="CS12" i="5" s="1"/>
  <c r="CT12" i="5" s="1"/>
  <c r="CU12" i="5" s="1"/>
  <c r="CV12" i="5" s="1"/>
  <c r="CW12" i="5" s="1"/>
  <c r="CX12" i="5" s="1"/>
  <c r="CY12" i="5" s="1"/>
  <c r="CZ12" i="5" s="1"/>
  <c r="DA12" i="5" s="1"/>
  <c r="DB12" i="5" s="1"/>
  <c r="DC12" i="5" s="1"/>
  <c r="DD12" i="5" s="1"/>
  <c r="DE12" i="5" s="1"/>
  <c r="DF12" i="5" s="1"/>
  <c r="DG12" i="5" s="1"/>
  <c r="DH12" i="5" s="1"/>
  <c r="DI12" i="5" s="1"/>
  <c r="DJ12" i="5" s="1"/>
  <c r="DK12" i="5" s="1"/>
  <c r="DL12" i="5" s="1"/>
  <c r="DM12" i="5" s="1"/>
  <c r="DN12" i="5" s="1"/>
  <c r="DO12" i="5" s="1"/>
  <c r="DP12" i="5" s="1"/>
  <c r="DQ12" i="5" s="1"/>
  <c r="DR12" i="5" s="1"/>
  <c r="DS12" i="5" s="1"/>
  <c r="DT12" i="5" s="1"/>
  <c r="DU12" i="5" s="1"/>
  <c r="DV12" i="5" s="1"/>
  <c r="DW12" i="5" s="1"/>
  <c r="DX12" i="5" s="1"/>
  <c r="DY12" i="5" s="1"/>
  <c r="DZ12" i="5" s="1"/>
  <c r="EA12" i="5" s="1"/>
  <c r="EB12" i="5" s="1"/>
  <c r="EC12" i="5" s="1"/>
  <c r="ED12" i="5" s="1"/>
  <c r="EE12" i="5" s="1"/>
  <c r="EF12" i="5" s="1"/>
  <c r="D15" i="5"/>
  <c r="E15" i="5" s="1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AG15" i="5" s="1"/>
  <c r="AH15" i="5" s="1"/>
  <c r="AI15" i="5" s="1"/>
  <c r="AJ15" i="5" s="1"/>
  <c r="AK15" i="5" s="1"/>
  <c r="AL15" i="5" s="1"/>
  <c r="AM15" i="5" s="1"/>
  <c r="AN15" i="5" s="1"/>
  <c r="AO15" i="5" s="1"/>
  <c r="AP15" i="5" s="1"/>
  <c r="AQ15" i="5" s="1"/>
  <c r="AR15" i="5" s="1"/>
  <c r="AS15" i="5" s="1"/>
  <c r="AT15" i="5" s="1"/>
  <c r="AU15" i="5" s="1"/>
  <c r="AV15" i="5" s="1"/>
  <c r="AW15" i="5" s="1"/>
  <c r="AX15" i="5" s="1"/>
  <c r="AY15" i="5" s="1"/>
  <c r="AZ15" i="5" s="1"/>
  <c r="BA15" i="5" s="1"/>
  <c r="BB15" i="5" s="1"/>
  <c r="BC15" i="5" s="1"/>
  <c r="BD15" i="5" s="1"/>
  <c r="BE15" i="5" s="1"/>
  <c r="BF15" i="5" s="1"/>
  <c r="BG15" i="5" s="1"/>
  <c r="BH15" i="5" s="1"/>
  <c r="BI15" i="5" s="1"/>
  <c r="BJ15" i="5" s="1"/>
  <c r="BK15" i="5" s="1"/>
  <c r="BL15" i="5" s="1"/>
  <c r="BM15" i="5" s="1"/>
  <c r="BN15" i="5" s="1"/>
  <c r="BO15" i="5" s="1"/>
  <c r="BP15" i="5" s="1"/>
  <c r="BQ15" i="5" s="1"/>
  <c r="BR15" i="5" s="1"/>
  <c r="BS15" i="5" s="1"/>
  <c r="BT15" i="5" s="1"/>
  <c r="BU15" i="5" s="1"/>
  <c r="BV15" i="5" s="1"/>
  <c r="BW15" i="5" s="1"/>
  <c r="BX15" i="5" s="1"/>
  <c r="BY15" i="5" s="1"/>
  <c r="BZ15" i="5" s="1"/>
  <c r="CA15" i="5" s="1"/>
  <c r="CB15" i="5" s="1"/>
  <c r="CC15" i="5" s="1"/>
  <c r="CD15" i="5" s="1"/>
  <c r="CE15" i="5" s="1"/>
  <c r="CF15" i="5" s="1"/>
  <c r="CG15" i="5" s="1"/>
  <c r="CH15" i="5" s="1"/>
  <c r="CI15" i="5" s="1"/>
  <c r="CJ15" i="5" s="1"/>
  <c r="CK15" i="5" s="1"/>
  <c r="CL15" i="5" s="1"/>
  <c r="CM15" i="5" s="1"/>
  <c r="CN15" i="5" s="1"/>
  <c r="CO15" i="5" s="1"/>
  <c r="CP15" i="5" s="1"/>
  <c r="CQ15" i="5" s="1"/>
  <c r="CR15" i="5" s="1"/>
  <c r="CS15" i="5" s="1"/>
  <c r="CT15" i="5" s="1"/>
  <c r="CU15" i="5" s="1"/>
  <c r="CV15" i="5" s="1"/>
  <c r="CW15" i="5" s="1"/>
  <c r="CX15" i="5" s="1"/>
  <c r="CY15" i="5" s="1"/>
  <c r="CZ15" i="5" s="1"/>
  <c r="DA15" i="5" s="1"/>
  <c r="DB15" i="5" s="1"/>
  <c r="DC15" i="5" s="1"/>
  <c r="DD15" i="5" s="1"/>
  <c r="DE15" i="5" s="1"/>
  <c r="DF15" i="5" s="1"/>
  <c r="DG15" i="5" s="1"/>
  <c r="DH15" i="5" s="1"/>
  <c r="DI15" i="5" s="1"/>
  <c r="DJ15" i="5" s="1"/>
  <c r="DK15" i="5" s="1"/>
  <c r="DL15" i="5" s="1"/>
  <c r="DM15" i="5" s="1"/>
  <c r="DN15" i="5" s="1"/>
  <c r="DO15" i="5" s="1"/>
  <c r="DP15" i="5" s="1"/>
  <c r="DQ15" i="5" s="1"/>
  <c r="DR15" i="5" s="1"/>
  <c r="DS15" i="5" s="1"/>
  <c r="DT15" i="5" s="1"/>
  <c r="DU15" i="5" s="1"/>
  <c r="DV15" i="5" s="1"/>
  <c r="DW15" i="5" s="1"/>
  <c r="DX15" i="5" s="1"/>
  <c r="DY15" i="5" s="1"/>
  <c r="DZ15" i="5" s="1"/>
  <c r="EA15" i="5" s="1"/>
  <c r="EB15" i="5" s="1"/>
  <c r="EC15" i="5" s="1"/>
  <c r="ED15" i="5" s="1"/>
  <c r="EE15" i="5" s="1"/>
  <c r="EF15" i="5" s="1"/>
  <c r="D16" i="5"/>
  <c r="E16" i="5" s="1"/>
  <c r="F16" i="5" s="1"/>
  <c r="G16" i="5" s="1"/>
  <c r="H16" i="5" s="1"/>
  <c r="I16" i="5" s="1"/>
  <c r="J16" i="5" s="1"/>
  <c r="K16" i="5" s="1"/>
  <c r="L16" i="5" s="1"/>
  <c r="M16" i="5" s="1"/>
  <c r="N16" i="5" s="1"/>
  <c r="O16" i="5" s="1"/>
  <c r="P16" i="5" s="1"/>
  <c r="Q16" i="5" s="1"/>
  <c r="R16" i="5" s="1"/>
  <c r="S16" i="5" s="1"/>
  <c r="T16" i="5" s="1"/>
  <c r="U16" i="5" s="1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AU16" i="5" s="1"/>
  <c r="AV16" i="5" s="1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BO16" i="5" s="1"/>
  <c r="BP16" i="5" s="1"/>
  <c r="BQ16" i="5" s="1"/>
  <c r="BR16" i="5" s="1"/>
  <c r="BS16" i="5" s="1"/>
  <c r="BT16" i="5" s="1"/>
  <c r="BU16" i="5" s="1"/>
  <c r="BV16" i="5" s="1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CS16" i="5" s="1"/>
  <c r="CT16" i="5" s="1"/>
  <c r="CU16" i="5" s="1"/>
  <c r="CV16" i="5" s="1"/>
  <c r="CW16" i="5" s="1"/>
  <c r="CX16" i="5" s="1"/>
  <c r="CY16" i="5" s="1"/>
  <c r="CZ16" i="5" s="1"/>
  <c r="DA16" i="5" s="1"/>
  <c r="DB16" i="5" s="1"/>
  <c r="DC16" i="5" s="1"/>
  <c r="DD16" i="5" s="1"/>
  <c r="DE16" i="5" s="1"/>
  <c r="DF16" i="5" s="1"/>
  <c r="DG16" i="5" s="1"/>
  <c r="DH16" i="5" s="1"/>
  <c r="DI16" i="5" s="1"/>
  <c r="DJ16" i="5" s="1"/>
  <c r="DK16" i="5" s="1"/>
  <c r="DL16" i="5" s="1"/>
  <c r="DM16" i="5" s="1"/>
  <c r="DN16" i="5" s="1"/>
  <c r="DO16" i="5" s="1"/>
  <c r="DP16" i="5" s="1"/>
  <c r="DQ16" i="5" s="1"/>
  <c r="DR16" i="5" s="1"/>
  <c r="DS16" i="5" s="1"/>
  <c r="DT16" i="5" s="1"/>
  <c r="DU16" i="5" s="1"/>
  <c r="DV16" i="5" s="1"/>
  <c r="DW16" i="5" s="1"/>
  <c r="DX16" i="5" s="1"/>
  <c r="DY16" i="5" s="1"/>
  <c r="DZ16" i="5" s="1"/>
  <c r="EA16" i="5" s="1"/>
  <c r="EB16" i="5" s="1"/>
  <c r="EC16" i="5" s="1"/>
  <c r="ED16" i="5" s="1"/>
  <c r="EE16" i="5" s="1"/>
  <c r="EF16" i="5" s="1"/>
  <c r="E24" i="5"/>
  <c r="F24" i="5" s="1"/>
  <c r="G24" i="5" s="1"/>
  <c r="H24" i="5" s="1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AG24" i="5" s="1"/>
  <c r="AH24" i="5" s="1"/>
  <c r="AI24" i="5" s="1"/>
  <c r="AJ24" i="5" s="1"/>
  <c r="AK24" i="5" s="1"/>
  <c r="AL24" i="5" s="1"/>
  <c r="AM24" i="5" s="1"/>
  <c r="AN24" i="5" s="1"/>
  <c r="AO24" i="5" s="1"/>
  <c r="AP24" i="5" s="1"/>
  <c r="AQ24" i="5" s="1"/>
  <c r="AR24" i="5" s="1"/>
  <c r="AS24" i="5" s="1"/>
  <c r="AT24" i="5" s="1"/>
  <c r="AU24" i="5" s="1"/>
  <c r="AV24" i="5" s="1"/>
  <c r="AW24" i="5" s="1"/>
  <c r="AX24" i="5" s="1"/>
  <c r="AY24" i="5" s="1"/>
  <c r="AZ24" i="5" s="1"/>
  <c r="BA24" i="5" s="1"/>
  <c r="BB24" i="5" s="1"/>
  <c r="BC24" i="5" s="1"/>
  <c r="BD24" i="5" s="1"/>
  <c r="BE24" i="5" s="1"/>
  <c r="BF24" i="5" s="1"/>
  <c r="BG24" i="5" s="1"/>
  <c r="BH24" i="5" s="1"/>
  <c r="BI24" i="5" s="1"/>
  <c r="BJ24" i="5" s="1"/>
  <c r="BK24" i="5" s="1"/>
  <c r="BL24" i="5" s="1"/>
  <c r="BM24" i="5" s="1"/>
  <c r="BN24" i="5" s="1"/>
  <c r="BO24" i="5" s="1"/>
  <c r="BP24" i="5" s="1"/>
  <c r="BQ24" i="5" s="1"/>
  <c r="BR24" i="5" s="1"/>
  <c r="BS24" i="5" s="1"/>
  <c r="BT24" i="5" s="1"/>
  <c r="BU24" i="5" s="1"/>
  <c r="BV24" i="5" s="1"/>
  <c r="BW24" i="5" s="1"/>
  <c r="BX24" i="5" s="1"/>
  <c r="BY24" i="5" s="1"/>
  <c r="BZ24" i="5" s="1"/>
  <c r="CA24" i="5" s="1"/>
  <c r="CB24" i="5" s="1"/>
  <c r="CC24" i="5" s="1"/>
  <c r="CD24" i="5" s="1"/>
  <c r="CE24" i="5" s="1"/>
  <c r="CF24" i="5" s="1"/>
  <c r="CG24" i="5" s="1"/>
  <c r="CH24" i="5" s="1"/>
  <c r="CI24" i="5" s="1"/>
  <c r="CJ24" i="5" s="1"/>
  <c r="CK24" i="5" s="1"/>
  <c r="CL24" i="5" s="1"/>
  <c r="CM24" i="5" s="1"/>
  <c r="CN24" i="5" s="1"/>
  <c r="CO24" i="5" s="1"/>
  <c r="CP24" i="5" s="1"/>
  <c r="CQ24" i="5" s="1"/>
  <c r="CR24" i="5" s="1"/>
  <c r="CS24" i="5" s="1"/>
  <c r="CT24" i="5" s="1"/>
  <c r="CU24" i="5" s="1"/>
  <c r="CV24" i="5" s="1"/>
  <c r="CW24" i="5" s="1"/>
  <c r="CX24" i="5" s="1"/>
  <c r="CY24" i="5" s="1"/>
  <c r="CZ24" i="5" s="1"/>
  <c r="DA24" i="5" s="1"/>
  <c r="DB24" i="5" s="1"/>
  <c r="DC24" i="5" s="1"/>
  <c r="DD24" i="5" s="1"/>
  <c r="DE24" i="5" s="1"/>
  <c r="DF24" i="5" s="1"/>
  <c r="DG24" i="5" s="1"/>
  <c r="DH24" i="5" s="1"/>
  <c r="DI24" i="5" s="1"/>
  <c r="DJ24" i="5" s="1"/>
  <c r="DK24" i="5" s="1"/>
  <c r="DL24" i="5" s="1"/>
  <c r="DM24" i="5" s="1"/>
  <c r="DN24" i="5" s="1"/>
  <c r="DO24" i="5" s="1"/>
  <c r="DP24" i="5" s="1"/>
  <c r="DQ24" i="5" s="1"/>
  <c r="DR24" i="5" s="1"/>
  <c r="DS24" i="5" s="1"/>
  <c r="DT24" i="5" s="1"/>
  <c r="DU24" i="5" s="1"/>
  <c r="DV24" i="5" s="1"/>
  <c r="DW24" i="5" s="1"/>
  <c r="DX24" i="5" s="1"/>
  <c r="DY24" i="5" s="1"/>
  <c r="DZ24" i="5" s="1"/>
  <c r="EA24" i="5" s="1"/>
  <c r="EB24" i="5" s="1"/>
  <c r="EC24" i="5" s="1"/>
  <c r="ED24" i="5" s="1"/>
  <c r="EE24" i="5" s="1"/>
  <c r="EF24" i="5" s="1"/>
  <c r="D24" i="5"/>
  <c r="D13" i="5"/>
  <c r="E13" i="5" s="1"/>
  <c r="F13" i="5" s="1"/>
  <c r="G13" i="5" s="1"/>
  <c r="H13" i="5" s="1"/>
  <c r="I13" i="5" s="1"/>
  <c r="J13" i="5" s="1"/>
  <c r="K13" i="5" s="1"/>
  <c r="L13" i="5" s="1"/>
  <c r="M13" i="5" s="1"/>
  <c r="N13" i="5" s="1"/>
  <c r="O13" i="5" s="1"/>
  <c r="P13" i="5" s="1"/>
  <c r="Q13" i="5" s="1"/>
  <c r="R13" i="5" s="1"/>
  <c r="S13" i="5" s="1"/>
  <c r="T13" i="5" s="1"/>
  <c r="U13" i="5" s="1"/>
  <c r="V13" i="5" s="1"/>
  <c r="W13" i="5" s="1"/>
  <c r="X13" i="5" s="1"/>
  <c r="Y13" i="5" s="1"/>
  <c r="Z13" i="5" s="1"/>
  <c r="AA13" i="5" s="1"/>
  <c r="AB13" i="5" s="1"/>
  <c r="AC13" i="5" s="1"/>
  <c r="AD13" i="5" s="1"/>
  <c r="AE13" i="5" s="1"/>
  <c r="AF13" i="5" s="1"/>
  <c r="AG13" i="5" s="1"/>
  <c r="AH13" i="5" s="1"/>
  <c r="AI13" i="5" s="1"/>
  <c r="AJ13" i="5" s="1"/>
  <c r="AK13" i="5" s="1"/>
  <c r="AL13" i="5" s="1"/>
  <c r="AM13" i="5" s="1"/>
  <c r="AN13" i="5" s="1"/>
  <c r="AO13" i="5" s="1"/>
  <c r="AP13" i="5" s="1"/>
  <c r="AQ13" i="5" s="1"/>
  <c r="AR13" i="5" s="1"/>
  <c r="AS13" i="5" s="1"/>
  <c r="AT13" i="5" s="1"/>
  <c r="AU13" i="5" s="1"/>
  <c r="AV13" i="5" s="1"/>
  <c r="AW13" i="5" s="1"/>
  <c r="AX13" i="5" s="1"/>
  <c r="AY13" i="5" s="1"/>
  <c r="AZ13" i="5" s="1"/>
  <c r="BA13" i="5" s="1"/>
  <c r="BB13" i="5" s="1"/>
  <c r="BC13" i="5" s="1"/>
  <c r="BD13" i="5" s="1"/>
  <c r="BE13" i="5" s="1"/>
  <c r="BF13" i="5" s="1"/>
  <c r="BG13" i="5" s="1"/>
  <c r="BH13" i="5" s="1"/>
  <c r="BI13" i="5" s="1"/>
  <c r="BJ13" i="5" s="1"/>
  <c r="BK13" i="5" s="1"/>
  <c r="BL13" i="5" s="1"/>
  <c r="BM13" i="5" s="1"/>
  <c r="BN13" i="5" s="1"/>
  <c r="BO13" i="5" s="1"/>
  <c r="BP13" i="5" s="1"/>
  <c r="BQ13" i="5" s="1"/>
  <c r="BR13" i="5" s="1"/>
  <c r="BS13" i="5" s="1"/>
  <c r="BT13" i="5" s="1"/>
  <c r="BU13" i="5" s="1"/>
  <c r="BV13" i="5" s="1"/>
  <c r="BW13" i="5" s="1"/>
  <c r="BX13" i="5" s="1"/>
  <c r="BY13" i="5" s="1"/>
  <c r="BZ13" i="5" s="1"/>
  <c r="CA13" i="5" s="1"/>
  <c r="CB13" i="5" s="1"/>
  <c r="CC13" i="5" s="1"/>
  <c r="CD13" i="5" s="1"/>
  <c r="CE13" i="5" s="1"/>
  <c r="CF13" i="5" s="1"/>
  <c r="CG13" i="5" s="1"/>
  <c r="CH13" i="5" s="1"/>
  <c r="CI13" i="5" s="1"/>
  <c r="CJ13" i="5" s="1"/>
  <c r="CK13" i="5" s="1"/>
  <c r="CL13" i="5" s="1"/>
  <c r="CM13" i="5" s="1"/>
  <c r="CN13" i="5" s="1"/>
  <c r="CO13" i="5" s="1"/>
  <c r="CP13" i="5" s="1"/>
  <c r="CQ13" i="5" s="1"/>
  <c r="CR13" i="5" s="1"/>
  <c r="CS13" i="5" s="1"/>
  <c r="CT13" i="5" s="1"/>
  <c r="CU13" i="5" s="1"/>
  <c r="CV13" i="5" s="1"/>
  <c r="CW13" i="5" s="1"/>
  <c r="CX13" i="5" s="1"/>
  <c r="CY13" i="5" s="1"/>
  <c r="CZ13" i="5" s="1"/>
  <c r="DA13" i="5" s="1"/>
  <c r="DB13" i="5" s="1"/>
  <c r="DC13" i="5" s="1"/>
  <c r="DD13" i="5" s="1"/>
  <c r="DE13" i="5" s="1"/>
  <c r="DF13" i="5" s="1"/>
  <c r="DG13" i="5" s="1"/>
  <c r="DH13" i="5" s="1"/>
  <c r="DI13" i="5" s="1"/>
  <c r="DJ13" i="5" s="1"/>
  <c r="DK13" i="5" s="1"/>
  <c r="DL13" i="5" s="1"/>
  <c r="DM13" i="5" s="1"/>
  <c r="DN13" i="5" s="1"/>
  <c r="DO13" i="5" s="1"/>
  <c r="DP13" i="5" s="1"/>
  <c r="DQ13" i="5" s="1"/>
  <c r="DR13" i="5" s="1"/>
  <c r="DS13" i="5" s="1"/>
  <c r="DT13" i="5" s="1"/>
  <c r="DU13" i="5" s="1"/>
  <c r="DV13" i="5" s="1"/>
  <c r="DW13" i="5" s="1"/>
  <c r="DX13" i="5" s="1"/>
  <c r="DY13" i="5" s="1"/>
  <c r="DZ13" i="5" s="1"/>
  <c r="EA13" i="5" s="1"/>
  <c r="EB13" i="5" s="1"/>
  <c r="EC13" i="5" s="1"/>
  <c r="ED13" i="5" s="1"/>
  <c r="EE13" i="5" s="1"/>
  <c r="EF13" i="5" s="1"/>
  <c r="D14" i="5"/>
  <c r="E14" i="5" s="1"/>
  <c r="F14" i="5" s="1"/>
  <c r="G14" i="5" s="1"/>
  <c r="H14" i="5" s="1"/>
  <c r="I14" i="5" s="1"/>
  <c r="J14" i="5" s="1"/>
  <c r="K14" i="5" s="1"/>
  <c r="L14" i="5" s="1"/>
  <c r="M14" i="5" s="1"/>
  <c r="N14" i="5" s="1"/>
  <c r="O14" i="5" s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Z14" i="5" s="1"/>
  <c r="AA14" i="5" s="1"/>
  <c r="AB14" i="5" s="1"/>
  <c r="AC14" i="5" s="1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 s="1"/>
  <c r="AQ14" i="5" s="1"/>
  <c r="AR14" i="5" s="1"/>
  <c r="AS14" i="5" s="1"/>
  <c r="AT14" i="5" s="1"/>
  <c r="AU14" i="5" s="1"/>
  <c r="AV14" i="5" s="1"/>
  <c r="AW14" i="5" s="1"/>
  <c r="AX14" i="5" s="1"/>
  <c r="AY14" i="5" s="1"/>
  <c r="AZ14" i="5" s="1"/>
  <c r="BA14" i="5" s="1"/>
  <c r="BB14" i="5" s="1"/>
  <c r="BC14" i="5" s="1"/>
  <c r="BD14" i="5" s="1"/>
  <c r="BE14" i="5" s="1"/>
  <c r="BF14" i="5" s="1"/>
  <c r="BG14" i="5" s="1"/>
  <c r="BH14" i="5" s="1"/>
  <c r="BI14" i="5" s="1"/>
  <c r="BJ14" i="5" s="1"/>
  <c r="BK14" i="5" s="1"/>
  <c r="BL14" i="5" s="1"/>
  <c r="BM14" i="5" s="1"/>
  <c r="BN14" i="5" s="1"/>
  <c r="BO14" i="5" s="1"/>
  <c r="BP14" i="5" s="1"/>
  <c r="BQ14" i="5" s="1"/>
  <c r="BR14" i="5" s="1"/>
  <c r="BS14" i="5" s="1"/>
  <c r="BT14" i="5" s="1"/>
  <c r="BU14" i="5" s="1"/>
  <c r="BV14" i="5" s="1"/>
  <c r="BW14" i="5" s="1"/>
  <c r="BX14" i="5" s="1"/>
  <c r="BY14" i="5" s="1"/>
  <c r="BZ14" i="5" s="1"/>
  <c r="CA14" i="5" s="1"/>
  <c r="CB14" i="5" s="1"/>
  <c r="CC14" i="5" s="1"/>
  <c r="CD14" i="5" s="1"/>
  <c r="CE14" i="5" s="1"/>
  <c r="CF14" i="5" s="1"/>
  <c r="CG14" i="5" s="1"/>
  <c r="CH14" i="5" s="1"/>
  <c r="CI14" i="5" s="1"/>
  <c r="CJ14" i="5" s="1"/>
  <c r="CK14" i="5" s="1"/>
  <c r="CL14" i="5" s="1"/>
  <c r="CM14" i="5" s="1"/>
  <c r="CN14" i="5" s="1"/>
  <c r="CO14" i="5" s="1"/>
  <c r="CP14" i="5" s="1"/>
  <c r="CQ14" i="5" s="1"/>
  <c r="CR14" i="5" s="1"/>
  <c r="CS14" i="5" s="1"/>
  <c r="CT14" i="5" s="1"/>
  <c r="CU14" i="5" s="1"/>
  <c r="CV14" i="5" s="1"/>
  <c r="CW14" i="5" s="1"/>
  <c r="CX14" i="5" s="1"/>
  <c r="CY14" i="5" s="1"/>
  <c r="CZ14" i="5" s="1"/>
  <c r="DA14" i="5" s="1"/>
  <c r="DB14" i="5" s="1"/>
  <c r="DC14" i="5" s="1"/>
  <c r="DD14" i="5" s="1"/>
  <c r="DE14" i="5" s="1"/>
  <c r="DF14" i="5" s="1"/>
  <c r="DG14" i="5" s="1"/>
  <c r="DH14" i="5" s="1"/>
  <c r="DI14" i="5" s="1"/>
  <c r="DJ14" i="5" s="1"/>
  <c r="DK14" i="5" s="1"/>
  <c r="DL14" i="5" s="1"/>
  <c r="DM14" i="5" s="1"/>
  <c r="DN14" i="5" s="1"/>
  <c r="DO14" i="5" s="1"/>
  <c r="DP14" i="5" s="1"/>
  <c r="DQ14" i="5" s="1"/>
  <c r="DR14" i="5" s="1"/>
  <c r="DS14" i="5" s="1"/>
  <c r="DT14" i="5" s="1"/>
  <c r="DU14" i="5" s="1"/>
  <c r="DV14" i="5" s="1"/>
  <c r="DW14" i="5" s="1"/>
  <c r="DX14" i="5" s="1"/>
  <c r="DY14" i="5" s="1"/>
  <c r="DZ14" i="5" s="1"/>
  <c r="EA14" i="5" s="1"/>
  <c r="EB14" i="5" s="1"/>
  <c r="EC14" i="5" s="1"/>
  <c r="ED14" i="5" s="1"/>
  <c r="EE14" i="5" s="1"/>
  <c r="EF14" i="5" s="1"/>
  <c r="D17" i="5"/>
  <c r="E17" i="5" s="1"/>
  <c r="F17" i="5" s="1"/>
  <c r="G17" i="5" s="1"/>
  <c r="H17" i="5" s="1"/>
  <c r="I17" i="5" s="1"/>
  <c r="J17" i="5" s="1"/>
  <c r="K17" i="5" s="1"/>
  <c r="L17" i="5" s="1"/>
  <c r="M17" i="5" s="1"/>
  <c r="N17" i="5" s="1"/>
  <c r="O17" i="5" s="1"/>
  <c r="P17" i="5" s="1"/>
  <c r="Q17" i="5" s="1"/>
  <c r="R17" i="5" s="1"/>
  <c r="S17" i="5" s="1"/>
  <c r="T17" i="5" s="1"/>
  <c r="U17" i="5" s="1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AG17" i="5" s="1"/>
  <c r="AH17" i="5" s="1"/>
  <c r="AI17" i="5" s="1"/>
  <c r="AJ17" i="5" s="1"/>
  <c r="AK17" i="5" s="1"/>
  <c r="AL17" i="5" s="1"/>
  <c r="AM17" i="5" s="1"/>
  <c r="AN17" i="5" s="1"/>
  <c r="AO17" i="5" s="1"/>
  <c r="AP17" i="5" s="1"/>
  <c r="AQ17" i="5" s="1"/>
  <c r="AR17" i="5" s="1"/>
  <c r="AS17" i="5" s="1"/>
  <c r="AT17" i="5" s="1"/>
  <c r="AU17" i="5" s="1"/>
  <c r="AV17" i="5" s="1"/>
  <c r="AW17" i="5" s="1"/>
  <c r="AX17" i="5" s="1"/>
  <c r="AY17" i="5" s="1"/>
  <c r="AZ17" i="5" s="1"/>
  <c r="BA17" i="5" s="1"/>
  <c r="BB17" i="5" s="1"/>
  <c r="BC17" i="5" s="1"/>
  <c r="BD17" i="5" s="1"/>
  <c r="BE17" i="5" s="1"/>
  <c r="BF17" i="5" s="1"/>
  <c r="BG17" i="5" s="1"/>
  <c r="BH17" i="5" s="1"/>
  <c r="BI17" i="5" s="1"/>
  <c r="BJ17" i="5" s="1"/>
  <c r="BK17" i="5" s="1"/>
  <c r="BL17" i="5" s="1"/>
  <c r="BM17" i="5" s="1"/>
  <c r="BN17" i="5" s="1"/>
  <c r="BO17" i="5" s="1"/>
  <c r="BP17" i="5" s="1"/>
  <c r="BQ17" i="5" s="1"/>
  <c r="BR17" i="5" s="1"/>
  <c r="BS17" i="5" s="1"/>
  <c r="BT17" i="5" s="1"/>
  <c r="BU17" i="5" s="1"/>
  <c r="BV17" i="5" s="1"/>
  <c r="BW17" i="5" s="1"/>
  <c r="BX17" i="5" s="1"/>
  <c r="BY17" i="5" s="1"/>
  <c r="BZ17" i="5" s="1"/>
  <c r="CA17" i="5" s="1"/>
  <c r="CB17" i="5" s="1"/>
  <c r="CC17" i="5" s="1"/>
  <c r="CD17" i="5" s="1"/>
  <c r="CE17" i="5" s="1"/>
  <c r="CF17" i="5" s="1"/>
  <c r="CG17" i="5" s="1"/>
  <c r="CH17" i="5" s="1"/>
  <c r="CI17" i="5" s="1"/>
  <c r="CJ17" i="5" s="1"/>
  <c r="CK17" i="5" s="1"/>
  <c r="CL17" i="5" s="1"/>
  <c r="CM17" i="5" s="1"/>
  <c r="CN17" i="5" s="1"/>
  <c r="CO17" i="5" s="1"/>
  <c r="CP17" i="5" s="1"/>
  <c r="CQ17" i="5" s="1"/>
  <c r="CR17" i="5" s="1"/>
  <c r="CS17" i="5" s="1"/>
  <c r="CT17" i="5" s="1"/>
  <c r="CU17" i="5" s="1"/>
  <c r="CV17" i="5" s="1"/>
  <c r="CW17" i="5" s="1"/>
  <c r="CX17" i="5" s="1"/>
  <c r="CY17" i="5" s="1"/>
  <c r="CZ17" i="5" s="1"/>
  <c r="DA17" i="5" s="1"/>
  <c r="DB17" i="5" s="1"/>
  <c r="DC17" i="5" s="1"/>
  <c r="DD17" i="5" s="1"/>
  <c r="DE17" i="5" s="1"/>
  <c r="DF17" i="5" s="1"/>
  <c r="DG17" i="5" s="1"/>
  <c r="DH17" i="5" s="1"/>
  <c r="DI17" i="5" s="1"/>
  <c r="DJ17" i="5" s="1"/>
  <c r="DK17" i="5" s="1"/>
  <c r="DL17" i="5" s="1"/>
  <c r="DM17" i="5" s="1"/>
  <c r="DN17" i="5" s="1"/>
  <c r="DO17" i="5" s="1"/>
  <c r="DP17" i="5" s="1"/>
  <c r="DQ17" i="5" s="1"/>
  <c r="DR17" i="5" s="1"/>
  <c r="DS17" i="5" s="1"/>
  <c r="DT17" i="5" s="1"/>
  <c r="DU17" i="5" s="1"/>
  <c r="DV17" i="5" s="1"/>
  <c r="DW17" i="5" s="1"/>
  <c r="DX17" i="5" s="1"/>
  <c r="DY17" i="5" s="1"/>
  <c r="DZ17" i="5" s="1"/>
  <c r="EA17" i="5" s="1"/>
  <c r="EB17" i="5" s="1"/>
  <c r="EC17" i="5" s="1"/>
  <c r="ED17" i="5" s="1"/>
  <c r="EE17" i="5" s="1"/>
  <c r="EF17" i="5" s="1"/>
  <c r="D18" i="5"/>
  <c r="E18" i="5" s="1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AR18" i="5" s="1"/>
  <c r="AS18" i="5" s="1"/>
  <c r="AT18" i="5" s="1"/>
  <c r="AU18" i="5" s="1"/>
  <c r="AV18" i="5" s="1"/>
  <c r="AW18" i="5" s="1"/>
  <c r="AX18" i="5" s="1"/>
  <c r="AY18" i="5" s="1"/>
  <c r="AZ18" i="5" s="1"/>
  <c r="BA18" i="5" s="1"/>
  <c r="BB18" i="5" s="1"/>
  <c r="BC18" i="5" s="1"/>
  <c r="BD18" i="5" s="1"/>
  <c r="BE18" i="5" s="1"/>
  <c r="BF18" i="5" s="1"/>
  <c r="BG18" i="5" s="1"/>
  <c r="BH18" i="5" s="1"/>
  <c r="BI18" i="5" s="1"/>
  <c r="BJ18" i="5" s="1"/>
  <c r="BK18" i="5" s="1"/>
  <c r="BL18" i="5" s="1"/>
  <c r="BM18" i="5" s="1"/>
  <c r="BN18" i="5" s="1"/>
  <c r="BO18" i="5" s="1"/>
  <c r="BP18" i="5" s="1"/>
  <c r="BQ18" i="5" s="1"/>
  <c r="BR18" i="5" s="1"/>
  <c r="BS18" i="5" s="1"/>
  <c r="BT18" i="5" s="1"/>
  <c r="BU18" i="5" s="1"/>
  <c r="BV18" i="5" s="1"/>
  <c r="BW18" i="5" s="1"/>
  <c r="BX18" i="5" s="1"/>
  <c r="BY18" i="5" s="1"/>
  <c r="BZ18" i="5" s="1"/>
  <c r="CA18" i="5" s="1"/>
  <c r="CB18" i="5" s="1"/>
  <c r="CC18" i="5" s="1"/>
  <c r="CD18" i="5" s="1"/>
  <c r="CE18" i="5" s="1"/>
  <c r="CF18" i="5" s="1"/>
  <c r="CG18" i="5" s="1"/>
  <c r="CH18" i="5" s="1"/>
  <c r="CI18" i="5" s="1"/>
  <c r="CJ18" i="5" s="1"/>
  <c r="CK18" i="5" s="1"/>
  <c r="CL18" i="5" s="1"/>
  <c r="CM18" i="5" s="1"/>
  <c r="CN18" i="5" s="1"/>
  <c r="CO18" i="5" s="1"/>
  <c r="CP18" i="5" s="1"/>
  <c r="CQ18" i="5" s="1"/>
  <c r="CR18" i="5" s="1"/>
  <c r="CS18" i="5" s="1"/>
  <c r="CT18" i="5" s="1"/>
  <c r="CU18" i="5" s="1"/>
  <c r="CV18" i="5" s="1"/>
  <c r="CW18" i="5" s="1"/>
  <c r="CX18" i="5" s="1"/>
  <c r="CY18" i="5" s="1"/>
  <c r="CZ18" i="5" s="1"/>
  <c r="DA18" i="5" s="1"/>
  <c r="DB18" i="5" s="1"/>
  <c r="DC18" i="5" s="1"/>
  <c r="DD18" i="5" s="1"/>
  <c r="DE18" i="5" s="1"/>
  <c r="DF18" i="5" s="1"/>
  <c r="DG18" i="5" s="1"/>
  <c r="DH18" i="5" s="1"/>
  <c r="DI18" i="5" s="1"/>
  <c r="DJ18" i="5" s="1"/>
  <c r="DK18" i="5" s="1"/>
  <c r="DL18" i="5" s="1"/>
  <c r="DM18" i="5" s="1"/>
  <c r="DN18" i="5" s="1"/>
  <c r="DO18" i="5" s="1"/>
  <c r="DP18" i="5" s="1"/>
  <c r="DQ18" i="5" s="1"/>
  <c r="DR18" i="5" s="1"/>
  <c r="DS18" i="5" s="1"/>
  <c r="DT18" i="5" s="1"/>
  <c r="DU18" i="5" s="1"/>
  <c r="DV18" i="5" s="1"/>
  <c r="DW18" i="5" s="1"/>
  <c r="DX18" i="5" s="1"/>
  <c r="DY18" i="5" s="1"/>
  <c r="DZ18" i="5" s="1"/>
  <c r="EA18" i="5" s="1"/>
  <c r="EB18" i="5" s="1"/>
  <c r="EC18" i="5" s="1"/>
  <c r="ED18" i="5" s="1"/>
  <c r="EE18" i="5" s="1"/>
  <c r="EF18" i="5" s="1"/>
  <c r="D19" i="5"/>
  <c r="E19" i="5" s="1"/>
  <c r="F19" i="5" s="1"/>
  <c r="G19" i="5" s="1"/>
  <c r="H19" i="5" s="1"/>
  <c r="I19" i="5" s="1"/>
  <c r="J19" i="5" s="1"/>
  <c r="K19" i="5" s="1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AK19" i="5" s="1"/>
  <c r="AL19" i="5" s="1"/>
  <c r="AM19" i="5" s="1"/>
  <c r="AN19" i="5" s="1"/>
  <c r="AO19" i="5" s="1"/>
  <c r="AP19" i="5" s="1"/>
  <c r="AQ19" i="5" s="1"/>
  <c r="AR19" i="5" s="1"/>
  <c r="AS19" i="5" s="1"/>
  <c r="AT19" i="5" s="1"/>
  <c r="AU19" i="5" s="1"/>
  <c r="AV19" i="5" s="1"/>
  <c r="AW19" i="5" s="1"/>
  <c r="AX19" i="5" s="1"/>
  <c r="AY19" i="5" s="1"/>
  <c r="AZ19" i="5" s="1"/>
  <c r="BA19" i="5" s="1"/>
  <c r="BB19" i="5" s="1"/>
  <c r="BC19" i="5" s="1"/>
  <c r="BD19" i="5" s="1"/>
  <c r="BE19" i="5" s="1"/>
  <c r="BF19" i="5" s="1"/>
  <c r="BG19" i="5" s="1"/>
  <c r="BH19" i="5" s="1"/>
  <c r="BI19" i="5" s="1"/>
  <c r="BJ19" i="5" s="1"/>
  <c r="BK19" i="5" s="1"/>
  <c r="BL19" i="5" s="1"/>
  <c r="BM19" i="5" s="1"/>
  <c r="BN19" i="5" s="1"/>
  <c r="BO19" i="5" s="1"/>
  <c r="BP19" i="5" s="1"/>
  <c r="BQ19" i="5" s="1"/>
  <c r="BR19" i="5" s="1"/>
  <c r="BS19" i="5" s="1"/>
  <c r="BT19" i="5" s="1"/>
  <c r="BU19" i="5" s="1"/>
  <c r="BV19" i="5" s="1"/>
  <c r="BW19" i="5" s="1"/>
  <c r="BX19" i="5" s="1"/>
  <c r="BY19" i="5" s="1"/>
  <c r="BZ19" i="5" s="1"/>
  <c r="CA19" i="5" s="1"/>
  <c r="CB19" i="5" s="1"/>
  <c r="CC19" i="5" s="1"/>
  <c r="CD19" i="5" s="1"/>
  <c r="CE19" i="5" s="1"/>
  <c r="CF19" i="5" s="1"/>
  <c r="CG19" i="5" s="1"/>
  <c r="CH19" i="5" s="1"/>
  <c r="CI19" i="5" s="1"/>
  <c r="CJ19" i="5" s="1"/>
  <c r="CK19" i="5" s="1"/>
  <c r="CL19" i="5" s="1"/>
  <c r="CM19" i="5" s="1"/>
  <c r="CN19" i="5" s="1"/>
  <c r="CO19" i="5" s="1"/>
  <c r="CP19" i="5" s="1"/>
  <c r="CQ19" i="5" s="1"/>
  <c r="CR19" i="5" s="1"/>
  <c r="CS19" i="5" s="1"/>
  <c r="CT19" i="5" s="1"/>
  <c r="CU19" i="5" s="1"/>
  <c r="CV19" i="5" s="1"/>
  <c r="CW19" i="5" s="1"/>
  <c r="CX19" i="5" s="1"/>
  <c r="CY19" i="5" s="1"/>
  <c r="CZ19" i="5" s="1"/>
  <c r="DA19" i="5" s="1"/>
  <c r="DB19" i="5" s="1"/>
  <c r="DC19" i="5" s="1"/>
  <c r="DD19" i="5" s="1"/>
  <c r="DE19" i="5" s="1"/>
  <c r="DF19" i="5" s="1"/>
  <c r="DG19" i="5" s="1"/>
  <c r="DH19" i="5" s="1"/>
  <c r="DI19" i="5" s="1"/>
  <c r="DJ19" i="5" s="1"/>
  <c r="DK19" i="5" s="1"/>
  <c r="DL19" i="5" s="1"/>
  <c r="DM19" i="5" s="1"/>
  <c r="DN19" i="5" s="1"/>
  <c r="DO19" i="5" s="1"/>
  <c r="DP19" i="5" s="1"/>
  <c r="DQ19" i="5" s="1"/>
  <c r="DR19" i="5" s="1"/>
  <c r="DS19" i="5" s="1"/>
  <c r="DT19" i="5" s="1"/>
  <c r="DU19" i="5" s="1"/>
  <c r="DV19" i="5" s="1"/>
  <c r="DW19" i="5" s="1"/>
  <c r="DX19" i="5" s="1"/>
  <c r="DY19" i="5" s="1"/>
  <c r="DZ19" i="5" s="1"/>
  <c r="EA19" i="5" s="1"/>
  <c r="EB19" i="5" s="1"/>
  <c r="EC19" i="5" s="1"/>
  <c r="ED19" i="5" s="1"/>
  <c r="EE19" i="5" s="1"/>
  <c r="EF19" i="5" s="1"/>
  <c r="D20" i="5"/>
  <c r="E20" i="5" s="1"/>
  <c r="F20" i="5" s="1"/>
  <c r="G20" i="5" s="1"/>
  <c r="H20" i="5" s="1"/>
  <c r="I20" i="5" s="1"/>
  <c r="J20" i="5" s="1"/>
  <c r="K20" i="5" s="1"/>
  <c r="L20" i="5" s="1"/>
  <c r="M20" i="5" s="1"/>
  <c r="N20" i="5" s="1"/>
  <c r="O20" i="5" s="1"/>
  <c r="P20" i="5" s="1"/>
  <c r="Q20" i="5" s="1"/>
  <c r="R20" i="5" s="1"/>
  <c r="S20" i="5" s="1"/>
  <c r="T20" i="5" s="1"/>
  <c r="U20" i="5" s="1"/>
  <c r="V20" i="5" s="1"/>
  <c r="W20" i="5" s="1"/>
  <c r="X20" i="5" s="1"/>
  <c r="Y20" i="5" s="1"/>
  <c r="Z20" i="5" s="1"/>
  <c r="AA20" i="5" s="1"/>
  <c r="AB20" i="5" s="1"/>
  <c r="AC20" i="5" s="1"/>
  <c r="AD20" i="5" s="1"/>
  <c r="AE20" i="5" s="1"/>
  <c r="AF20" i="5" s="1"/>
  <c r="AG20" i="5" s="1"/>
  <c r="AH20" i="5" s="1"/>
  <c r="AI20" i="5" s="1"/>
  <c r="AJ20" i="5" s="1"/>
  <c r="AK20" i="5" s="1"/>
  <c r="AL20" i="5" s="1"/>
  <c r="AM20" i="5" s="1"/>
  <c r="AN20" i="5" s="1"/>
  <c r="AO20" i="5" s="1"/>
  <c r="AP20" i="5" s="1"/>
  <c r="AQ20" i="5" s="1"/>
  <c r="AR20" i="5" s="1"/>
  <c r="AS20" i="5" s="1"/>
  <c r="AT20" i="5" s="1"/>
  <c r="AU20" i="5" s="1"/>
  <c r="AV20" i="5" s="1"/>
  <c r="AW20" i="5" s="1"/>
  <c r="AX20" i="5" s="1"/>
  <c r="AY20" i="5" s="1"/>
  <c r="AZ20" i="5" s="1"/>
  <c r="BA20" i="5" s="1"/>
  <c r="BB20" i="5" s="1"/>
  <c r="BC20" i="5" s="1"/>
  <c r="BD20" i="5" s="1"/>
  <c r="BE20" i="5" s="1"/>
  <c r="BF20" i="5" s="1"/>
  <c r="BG20" i="5" s="1"/>
  <c r="BH20" i="5" s="1"/>
  <c r="BI20" i="5" s="1"/>
  <c r="BJ20" i="5" s="1"/>
  <c r="BK20" i="5" s="1"/>
  <c r="BL20" i="5" s="1"/>
  <c r="BM20" i="5" s="1"/>
  <c r="BN20" i="5" s="1"/>
  <c r="BO20" i="5" s="1"/>
  <c r="BP20" i="5" s="1"/>
  <c r="BQ20" i="5" s="1"/>
  <c r="BR20" i="5" s="1"/>
  <c r="BS20" i="5" s="1"/>
  <c r="BT20" i="5" s="1"/>
  <c r="BU20" i="5" s="1"/>
  <c r="BV20" i="5" s="1"/>
  <c r="BW20" i="5" s="1"/>
  <c r="BX20" i="5" s="1"/>
  <c r="BY20" i="5" s="1"/>
  <c r="BZ20" i="5" s="1"/>
  <c r="CA20" i="5" s="1"/>
  <c r="CB20" i="5" s="1"/>
  <c r="CC20" i="5" s="1"/>
  <c r="CD20" i="5" s="1"/>
  <c r="CE20" i="5" s="1"/>
  <c r="CF20" i="5" s="1"/>
  <c r="CG20" i="5" s="1"/>
  <c r="CH20" i="5" s="1"/>
  <c r="CI20" i="5" s="1"/>
  <c r="CJ20" i="5" s="1"/>
  <c r="CK20" i="5" s="1"/>
  <c r="CL20" i="5" s="1"/>
  <c r="CM20" i="5" s="1"/>
  <c r="CN20" i="5" s="1"/>
  <c r="CO20" i="5" s="1"/>
  <c r="CP20" i="5" s="1"/>
  <c r="CQ20" i="5" s="1"/>
  <c r="CR20" i="5" s="1"/>
  <c r="CS20" i="5" s="1"/>
  <c r="CT20" i="5" s="1"/>
  <c r="CU20" i="5" s="1"/>
  <c r="CV20" i="5" s="1"/>
  <c r="CW20" i="5" s="1"/>
  <c r="CX20" i="5" s="1"/>
  <c r="CY20" i="5" s="1"/>
  <c r="CZ20" i="5" s="1"/>
  <c r="DA20" i="5" s="1"/>
  <c r="DB20" i="5" s="1"/>
  <c r="DC20" i="5" s="1"/>
  <c r="DD20" i="5" s="1"/>
  <c r="DE20" i="5" s="1"/>
  <c r="DF20" i="5" s="1"/>
  <c r="DG20" i="5" s="1"/>
  <c r="DH20" i="5" s="1"/>
  <c r="DI20" i="5" s="1"/>
  <c r="DJ20" i="5" s="1"/>
  <c r="DK20" i="5" s="1"/>
  <c r="DL20" i="5" s="1"/>
  <c r="DM20" i="5" s="1"/>
  <c r="DN20" i="5" s="1"/>
  <c r="DO20" i="5" s="1"/>
  <c r="DP20" i="5" s="1"/>
  <c r="DQ20" i="5" s="1"/>
  <c r="DR20" i="5" s="1"/>
  <c r="DS20" i="5" s="1"/>
  <c r="DT20" i="5" s="1"/>
  <c r="DU20" i="5" s="1"/>
  <c r="DV20" i="5" s="1"/>
  <c r="DW20" i="5" s="1"/>
  <c r="DX20" i="5" s="1"/>
  <c r="DY20" i="5" s="1"/>
  <c r="DZ20" i="5" s="1"/>
  <c r="EA20" i="5" s="1"/>
  <c r="EB20" i="5" s="1"/>
  <c r="EC20" i="5" s="1"/>
  <c r="ED20" i="5" s="1"/>
  <c r="EE20" i="5" s="1"/>
  <c r="EF20" i="5" s="1"/>
  <c r="BF8" i="5"/>
  <c r="BF7" i="5"/>
  <c r="AM7" i="5"/>
  <c r="AM8" i="5"/>
  <c r="AF8" i="5"/>
  <c r="U8" i="5"/>
  <c r="AX7" i="5"/>
  <c r="EG6" i="5" a="1"/>
  <c r="EG6" i="5" s="1"/>
  <c r="EG7" i="5" s="1"/>
  <c r="BI7" i="5"/>
  <c r="BL7" i="5"/>
  <c r="BT7" i="5"/>
  <c r="EC7" i="5"/>
  <c r="C8" i="5"/>
  <c r="AQ8" i="5"/>
  <c r="AQ7" i="5"/>
  <c r="AG7" i="5"/>
  <c r="AG8" i="5"/>
  <c r="BS8" i="5"/>
  <c r="BS7" i="5"/>
  <c r="BB8" i="5"/>
  <c r="BB7" i="5"/>
  <c r="DZ8" i="5"/>
  <c r="DZ7" i="5"/>
  <c r="AH7" i="5"/>
  <c r="CM8" i="5"/>
  <c r="EB7" i="5"/>
  <c r="CV8" i="5"/>
  <c r="CN7" i="5"/>
  <c r="CX7" i="5"/>
  <c r="BO8" i="5"/>
  <c r="DH7" i="5"/>
  <c r="BQ8" i="5"/>
  <c r="E7" i="5"/>
  <c r="DM7" i="5"/>
  <c r="BR8" i="5"/>
  <c r="DS7" i="5"/>
  <c r="CL7" i="5"/>
  <c r="AB7" i="5"/>
  <c r="DU7" i="5"/>
  <c r="BY8" i="5"/>
  <c r="Q7" i="2"/>
  <c r="Q8" i="2"/>
  <c r="AR7" i="3"/>
  <c r="AR8" i="3"/>
  <c r="CH7" i="5"/>
  <c r="CH8" i="5"/>
  <c r="X8" i="1"/>
  <c r="X7" i="1"/>
  <c r="DU7" i="2"/>
  <c r="DU8" i="2"/>
  <c r="AS7" i="3"/>
  <c r="AS8" i="3"/>
  <c r="P7" i="1"/>
  <c r="P8" i="1"/>
  <c r="AJ7" i="2"/>
  <c r="AJ8" i="2"/>
  <c r="AF7" i="1"/>
  <c r="AF8" i="1"/>
  <c r="DT8" i="2"/>
  <c r="DT7" i="2"/>
  <c r="EF8" i="1"/>
  <c r="EF7" i="1"/>
  <c r="DL8" i="2"/>
  <c r="DL7" i="2"/>
  <c r="P8" i="3"/>
  <c r="P7" i="3"/>
  <c r="AU8" i="3"/>
  <c r="AU7" i="3"/>
  <c r="DV8" i="3"/>
  <c r="DV7" i="3"/>
  <c r="CT7" i="4"/>
  <c r="CT8" i="4"/>
  <c r="DX7" i="1"/>
  <c r="DX8" i="1"/>
  <c r="BP7" i="2"/>
  <c r="BP8" i="2"/>
  <c r="E8" i="3"/>
  <c r="E7" i="3"/>
  <c r="DP8" i="1"/>
  <c r="DP7" i="1"/>
  <c r="CS7" i="2"/>
  <c r="CS8" i="2"/>
  <c r="DC8" i="2"/>
  <c r="DC7" i="2"/>
  <c r="DX8" i="3"/>
  <c r="DX7" i="3"/>
  <c r="BY7" i="4"/>
  <c r="BY8" i="4"/>
  <c r="DH8" i="1"/>
  <c r="DH7" i="1"/>
  <c r="BG7" i="2"/>
  <c r="BG8" i="2"/>
  <c r="G7" i="3"/>
  <c r="G8" i="3"/>
  <c r="AB8" i="3"/>
  <c r="AB7" i="3"/>
  <c r="CT8" i="3"/>
  <c r="CT7" i="3"/>
  <c r="AT7" i="5"/>
  <c r="AT8" i="5"/>
  <c r="BC7" i="8"/>
  <c r="BC8" i="8"/>
  <c r="H7" i="1"/>
  <c r="H8" i="1"/>
  <c r="AB8" i="8"/>
  <c r="AB7" i="8"/>
  <c r="CR8" i="1"/>
  <c r="CR7" i="1"/>
  <c r="AX7" i="2"/>
  <c r="AX8" i="2"/>
  <c r="BR8" i="3"/>
  <c r="BR7" i="3"/>
  <c r="DE7" i="3"/>
  <c r="DE8" i="3"/>
  <c r="J8" i="3"/>
  <c r="J7" i="3"/>
  <c r="D7" i="4"/>
  <c r="D8" i="4"/>
  <c r="CB8" i="4"/>
  <c r="CB7" i="4"/>
  <c r="CJ7" i="1"/>
  <c r="CJ8" i="1"/>
  <c r="CB7" i="1"/>
  <c r="CB8" i="1"/>
  <c r="E8" i="4"/>
  <c r="E7" i="4"/>
  <c r="CZ7" i="1"/>
  <c r="CZ8" i="1"/>
  <c r="S8" i="3"/>
  <c r="S7" i="3"/>
  <c r="CV7" i="2"/>
  <c r="CV8" i="2"/>
  <c r="BT7" i="1"/>
  <c r="BT8" i="1"/>
  <c r="CD7" i="2"/>
  <c r="CD8" i="2"/>
  <c r="EA8" i="2"/>
  <c r="EA7" i="2"/>
  <c r="AX8" i="4"/>
  <c r="AX7" i="4"/>
  <c r="EG8" i="1"/>
  <c r="EG7" i="1"/>
  <c r="CA8" i="3"/>
  <c r="CA7" i="3"/>
  <c r="EC8" i="4"/>
  <c r="EC7" i="4"/>
  <c r="BJ7" i="2"/>
  <c r="BJ8" i="2"/>
  <c r="BL7" i="1"/>
  <c r="BL8" i="1"/>
  <c r="N7" i="2"/>
  <c r="N8" i="2"/>
  <c r="BJ8" i="3"/>
  <c r="BJ7" i="3"/>
  <c r="DH7" i="3"/>
  <c r="DH8" i="3"/>
  <c r="H8" i="3"/>
  <c r="H7" i="3"/>
  <c r="AO7" i="2"/>
  <c r="AO8" i="2"/>
  <c r="BD7" i="1"/>
  <c r="BD8" i="1"/>
  <c r="E7" i="2"/>
  <c r="E8" i="2"/>
  <c r="EC8" i="2"/>
  <c r="EC7" i="2"/>
  <c r="BA8" i="3"/>
  <c r="BA7" i="3"/>
  <c r="N8" i="4"/>
  <c r="N7" i="4"/>
  <c r="AV8" i="1"/>
  <c r="AV7" i="1"/>
  <c r="ED7" i="2"/>
  <c r="ED8" i="2"/>
  <c r="EG7" i="3"/>
  <c r="EG8" i="3"/>
  <c r="AN7" i="1"/>
  <c r="AN8" i="1"/>
  <c r="BB7" i="2"/>
  <c r="BB8" i="2"/>
  <c r="DI8" i="2"/>
  <c r="DI7" i="2"/>
  <c r="AX8" i="3"/>
  <c r="AX7" i="3"/>
  <c r="EF7" i="4"/>
  <c r="EF8" i="4"/>
  <c r="AR8" i="8"/>
  <c r="AR7" i="8"/>
  <c r="BZ7" i="1"/>
  <c r="BR8" i="1"/>
  <c r="AI7" i="2"/>
  <c r="BC7" i="2"/>
  <c r="BV7" i="2"/>
  <c r="BE8" i="2"/>
  <c r="EB7" i="3"/>
  <c r="U8" i="3"/>
  <c r="BL8" i="3"/>
  <c r="CI8" i="3"/>
  <c r="EC8" i="3"/>
  <c r="Z8" i="4"/>
  <c r="Z7" i="4"/>
  <c r="BQ8" i="4"/>
  <c r="BQ7" i="4"/>
  <c r="CV7" i="4"/>
  <c r="CV8" i="4"/>
  <c r="CM7" i="4"/>
  <c r="DI8" i="4"/>
  <c r="N7" i="5"/>
  <c r="N8" i="5"/>
  <c r="BE7" i="5"/>
  <c r="BE8" i="5"/>
  <c r="DQ7" i="5"/>
  <c r="DQ8" i="5"/>
  <c r="U7" i="6"/>
  <c r="U8" i="6"/>
  <c r="Q7" i="5"/>
  <c r="Q8" i="5"/>
  <c r="CR8" i="8"/>
  <c r="CR7" i="8"/>
  <c r="AC7" i="3"/>
  <c r="AC8" i="3"/>
  <c r="EH15" i="3"/>
  <c r="CW7" i="2"/>
  <c r="AC7" i="5"/>
  <c r="AC8" i="5"/>
  <c r="CE7" i="5"/>
  <c r="CE8" i="5"/>
  <c r="CH7" i="1"/>
  <c r="CE7" i="2"/>
  <c r="BX8" i="3"/>
  <c r="EH24" i="3"/>
  <c r="BL7" i="4"/>
  <c r="BL8" i="4"/>
  <c r="BS7" i="4"/>
  <c r="CN8" i="4"/>
  <c r="N7" i="1"/>
  <c r="BT7" i="4"/>
  <c r="R7" i="8"/>
  <c r="R8" i="8"/>
  <c r="H8" i="2"/>
  <c r="H7" i="2"/>
  <c r="F7" i="1"/>
  <c r="AQ7" i="1"/>
  <c r="BW7" i="2"/>
  <c r="R8" i="2"/>
  <c r="CF8" i="3"/>
  <c r="CF7" i="3"/>
  <c r="ED8" i="3"/>
  <c r="AA8" i="4"/>
  <c r="AA7" i="4"/>
  <c r="BH7" i="4"/>
  <c r="BH8" i="4"/>
  <c r="CW8" i="4"/>
  <c r="CW7" i="4"/>
  <c r="DR7" i="4"/>
  <c r="DR8" i="4"/>
  <c r="T7" i="4"/>
  <c r="CQ7" i="4"/>
  <c r="DJ8" i="4"/>
  <c r="EG13" i="4"/>
  <c r="EH15" i="4"/>
  <c r="O8" i="5"/>
  <c r="O7" i="5"/>
  <c r="Z8" i="5"/>
  <c r="Z7" i="5"/>
  <c r="AU7" i="5"/>
  <c r="AU8" i="5"/>
  <c r="DG8" i="5"/>
  <c r="DG7" i="5"/>
  <c r="DA7" i="5"/>
  <c r="AH8" i="6"/>
  <c r="AH7" i="6"/>
  <c r="EH13" i="3"/>
  <c r="EH19" i="3"/>
  <c r="CC7" i="4"/>
  <c r="CC8" i="4"/>
  <c r="AW7" i="5"/>
  <c r="AW8" i="5"/>
  <c r="DQ8" i="8"/>
  <c r="DQ7" i="8"/>
  <c r="AC7" i="1"/>
  <c r="CT7" i="8"/>
  <c r="CT8" i="8"/>
  <c r="BL8" i="2"/>
  <c r="BA8" i="4"/>
  <c r="BA7" i="4"/>
  <c r="E8" i="1"/>
  <c r="CF8" i="2"/>
  <c r="BN8" i="2"/>
  <c r="BI7" i="1"/>
  <c r="ED7" i="1"/>
  <c r="AI8" i="1"/>
  <c r="BA8" i="1"/>
  <c r="BS8" i="1"/>
  <c r="DC8" i="1"/>
  <c r="DU8" i="1"/>
  <c r="BD7" i="2"/>
  <c r="AK8" i="2"/>
  <c r="AV7" i="3"/>
  <c r="DG7" i="3"/>
  <c r="V8" i="3"/>
  <c r="BO8" i="3"/>
  <c r="G7" i="1"/>
  <c r="Z7" i="1"/>
  <c r="BJ7" i="1"/>
  <c r="EE7" i="1"/>
  <c r="R8" i="1"/>
  <c r="AJ8" i="1"/>
  <c r="BB8" i="1"/>
  <c r="DW8" i="1"/>
  <c r="AL7" i="2"/>
  <c r="EE7" i="2"/>
  <c r="S8" i="2"/>
  <c r="CA8" i="2"/>
  <c r="BM7" i="3"/>
  <c r="BM8" i="3"/>
  <c r="CM7" i="3"/>
  <c r="EE7" i="3"/>
  <c r="BP8" i="3"/>
  <c r="DI8" i="3"/>
  <c r="G8" i="4"/>
  <c r="G7" i="4"/>
  <c r="Y7" i="4"/>
  <c r="CR7" i="4"/>
  <c r="DL8" i="4"/>
  <c r="EH18" i="4"/>
  <c r="P8" i="5"/>
  <c r="P7" i="5"/>
  <c r="AK8" i="5"/>
  <c r="AK7" i="5"/>
  <c r="AJ8" i="5"/>
  <c r="DF8" i="5"/>
  <c r="CR8" i="6"/>
  <c r="CR7" i="6"/>
  <c r="BM8" i="8"/>
  <c r="BM7" i="8"/>
  <c r="BX8" i="8"/>
  <c r="BX7" i="8"/>
  <c r="DT7" i="4"/>
  <c r="DT8" i="4"/>
  <c r="DI8" i="5"/>
  <c r="W7" i="6"/>
  <c r="W8" i="6"/>
  <c r="AC7" i="4"/>
  <c r="AC8" i="4"/>
  <c r="DP7" i="8"/>
  <c r="DP8" i="8"/>
  <c r="S7" i="5"/>
  <c r="S8" i="5"/>
  <c r="AD7" i="5"/>
  <c r="AD8" i="5"/>
  <c r="BU8" i="5"/>
  <c r="BU7" i="5"/>
  <c r="DK7" i="5"/>
  <c r="DK8" i="5"/>
  <c r="DV7" i="5"/>
  <c r="DV8" i="5"/>
  <c r="BP8" i="5"/>
  <c r="EG21" i="3"/>
  <c r="AN8" i="4"/>
  <c r="CP8" i="3"/>
  <c r="EH17" i="3"/>
  <c r="EH16" i="4"/>
  <c r="EG16" i="4"/>
  <c r="BF8" i="3"/>
  <c r="BF7" i="3"/>
  <c r="BM8" i="2"/>
  <c r="AY7" i="1"/>
  <c r="I8" i="2"/>
  <c r="AC8" i="2"/>
  <c r="AV8" i="2"/>
  <c r="BO8" i="2"/>
  <c r="R7" i="3"/>
  <c r="CX7" i="3"/>
  <c r="V8" i="4"/>
  <c r="V7" i="4"/>
  <c r="EG8" i="4"/>
  <c r="EH24" i="4"/>
  <c r="EG24" i="4"/>
  <c r="I7" i="5"/>
  <c r="I8" i="5"/>
  <c r="BK8" i="5"/>
  <c r="BK7" i="5"/>
  <c r="CG7" i="5"/>
  <c r="CG8" i="5"/>
  <c r="DL7" i="5"/>
  <c r="DL8" i="5"/>
  <c r="DW8" i="5"/>
  <c r="DW7" i="5"/>
  <c r="AO7" i="4"/>
  <c r="AO8" i="4"/>
  <c r="BJ8" i="4"/>
  <c r="BJ7" i="4"/>
  <c r="BB7" i="8"/>
  <c r="BB8" i="8"/>
  <c r="BN7" i="8"/>
  <c r="BN8" i="8"/>
  <c r="EF7" i="8"/>
  <c r="EF8" i="8"/>
  <c r="U8" i="1"/>
  <c r="DO7" i="2"/>
  <c r="K7" i="3"/>
  <c r="CQ8" i="3"/>
  <c r="DU7" i="4"/>
  <c r="DU8" i="4"/>
  <c r="I8" i="4"/>
  <c r="DT8" i="5"/>
  <c r="DT7" i="5"/>
  <c r="BG7" i="5"/>
  <c r="X7" i="6"/>
  <c r="X8" i="6"/>
  <c r="P8" i="8"/>
  <c r="P7" i="8"/>
  <c r="EG8" i="8"/>
  <c r="EG7" i="8"/>
  <c r="CX8" i="2"/>
  <c r="AP7" i="4"/>
  <c r="AP8" i="4"/>
  <c r="DV8" i="4"/>
  <c r="DV7" i="4"/>
  <c r="AY8" i="4"/>
  <c r="AP8" i="8"/>
  <c r="AP7" i="8"/>
  <c r="AT8" i="2"/>
  <c r="AU8" i="2"/>
  <c r="CG8" i="2"/>
  <c r="DR7" i="3"/>
  <c r="EG14" i="4"/>
  <c r="O7" i="1"/>
  <c r="DM8" i="1"/>
  <c r="AL7" i="3"/>
  <c r="BG7" i="3"/>
  <c r="DS7" i="3"/>
  <c r="AF8" i="3"/>
  <c r="BZ8" i="3"/>
  <c r="AR7" i="4"/>
  <c r="AR8" i="4"/>
  <c r="P8" i="4"/>
  <c r="AB7" i="2"/>
  <c r="K8" i="2"/>
  <c r="AD8" i="2"/>
  <c r="AW8" i="2"/>
  <c r="DD8" i="2"/>
  <c r="DV8" i="2"/>
  <c r="AM7" i="3"/>
  <c r="BH7" i="3"/>
  <c r="CD7" i="3"/>
  <c r="CY7" i="3"/>
  <c r="DT7" i="3"/>
  <c r="L8" i="3"/>
  <c r="AG8" i="3"/>
  <c r="CW8" i="3"/>
  <c r="F7" i="4"/>
  <c r="R8" i="4"/>
  <c r="BF8" i="4"/>
  <c r="CS8" i="4"/>
  <c r="EG12" i="4"/>
  <c r="J8" i="5"/>
  <c r="J7" i="5"/>
  <c r="BW8" i="5"/>
  <c r="BW7" i="5"/>
  <c r="CR8" i="5"/>
  <c r="CR7" i="5"/>
  <c r="DB8" i="5"/>
  <c r="DB7" i="5"/>
  <c r="CI7" i="5"/>
  <c r="EE7" i="5"/>
  <c r="BR8" i="6"/>
  <c r="BR7" i="6"/>
  <c r="BW7" i="3"/>
  <c r="BW8" i="3"/>
  <c r="BI7" i="4"/>
  <c r="BI8" i="4"/>
  <c r="DV7" i="1"/>
  <c r="AN7" i="3"/>
  <c r="DU7" i="3"/>
  <c r="EG16" i="3"/>
  <c r="EG18" i="3"/>
  <c r="EG20" i="3"/>
  <c r="EG22" i="3"/>
  <c r="EG24" i="3"/>
  <c r="W7" i="4"/>
  <c r="W8" i="4"/>
  <c r="AS7" i="4"/>
  <c r="AS8" i="4"/>
  <c r="BN8" i="4"/>
  <c r="BN7" i="4"/>
  <c r="CH8" i="4"/>
  <c r="CH7" i="4"/>
  <c r="DD7" i="4"/>
  <c r="DD8" i="4"/>
  <c r="DK7" i="4"/>
  <c r="EG17" i="4"/>
  <c r="BM7" i="5"/>
  <c r="BM8" i="5"/>
  <c r="CS7" i="5"/>
  <c r="CS8" i="5"/>
  <c r="DN7" i="5"/>
  <c r="DN8" i="5"/>
  <c r="Y7" i="5"/>
  <c r="AX8" i="6"/>
  <c r="AX7" i="6"/>
  <c r="BH8" i="6"/>
  <c r="BH7" i="6"/>
  <c r="EE7" i="8"/>
  <c r="EE8" i="8"/>
  <c r="BD7" i="3"/>
  <c r="L8" i="2"/>
  <c r="DE8" i="2"/>
  <c r="CE7" i="3"/>
  <c r="DY7" i="2"/>
  <c r="M8" i="2"/>
  <c r="AF8" i="2"/>
  <c r="AY8" i="2"/>
  <c r="BR8" i="2"/>
  <c r="CM8" i="2"/>
  <c r="DF8" i="2"/>
  <c r="DX8" i="2"/>
  <c r="CG7" i="3"/>
  <c r="DA7" i="3"/>
  <c r="CZ8" i="3"/>
  <c r="DW8" i="3"/>
  <c r="EH12" i="3"/>
  <c r="EH14" i="3"/>
  <c r="AW7" i="4"/>
  <c r="CF7" i="4"/>
  <c r="X8" i="4"/>
  <c r="EH22" i="4"/>
  <c r="EG22" i="4"/>
  <c r="BN7" i="5"/>
  <c r="BN8" i="5"/>
  <c r="BX8" i="5"/>
  <c r="BX7" i="5"/>
  <c r="R8" i="5"/>
  <c r="AN8" i="6"/>
  <c r="AN7" i="6"/>
  <c r="CO8" i="1"/>
  <c r="DR8" i="8"/>
  <c r="DR7" i="8"/>
  <c r="DF8" i="1"/>
  <c r="DF7" i="1"/>
  <c r="M7" i="1"/>
  <c r="H7" i="5"/>
  <c r="H8" i="5"/>
  <c r="E7" i="8"/>
  <c r="E8" i="8"/>
  <c r="J7" i="2"/>
  <c r="DW8" i="2"/>
  <c r="T7" i="3"/>
  <c r="BI7" i="3"/>
  <c r="DY7" i="1"/>
  <c r="CG8" i="1"/>
  <c r="CL7" i="2"/>
  <c r="DZ7" i="2"/>
  <c r="AZ8" i="2"/>
  <c r="BS8" i="2"/>
  <c r="CN8" i="2"/>
  <c r="DG8" i="2"/>
  <c r="CH7" i="3"/>
  <c r="DB7" i="3"/>
  <c r="O8" i="3"/>
  <c r="BE7" i="4"/>
  <c r="BE8" i="4"/>
  <c r="CI8" i="4"/>
  <c r="CI7" i="4"/>
  <c r="DE7" i="4"/>
  <c r="DE8" i="4"/>
  <c r="K7" i="4"/>
  <c r="DS7" i="4"/>
  <c r="AB8" i="4"/>
  <c r="CT7" i="5"/>
  <c r="CT8" i="5"/>
  <c r="AE7" i="5"/>
  <c r="CO7" i="5"/>
  <c r="BI8" i="6"/>
  <c r="BI7" i="6"/>
  <c r="CY7" i="6"/>
  <c r="CY8" i="6"/>
  <c r="DT8" i="6"/>
  <c r="DT7" i="6"/>
  <c r="DN8" i="2"/>
  <c r="CI7" i="8"/>
  <c r="CI8" i="8"/>
  <c r="CZ7" i="4"/>
  <c r="G8" i="5"/>
  <c r="G7" i="5"/>
  <c r="BY7" i="3"/>
  <c r="AZ8" i="4"/>
  <c r="CO8" i="4"/>
  <c r="AO8" i="5"/>
  <c r="AO7" i="5"/>
  <c r="BJ7" i="5"/>
  <c r="BJ8" i="5"/>
  <c r="D7" i="5"/>
  <c r="CP7" i="1"/>
  <c r="CJ8" i="2"/>
  <c r="CJ7" i="2"/>
  <c r="AH8" i="2"/>
  <c r="BA8" i="2"/>
  <c r="CO8" i="2"/>
  <c r="BN7" i="3"/>
  <c r="DC7" i="3"/>
  <c r="DZ7" i="3"/>
  <c r="CK7" i="4"/>
  <c r="DX7" i="4"/>
  <c r="EH14" i="4"/>
  <c r="BC8" i="5"/>
  <c r="BC7" i="5"/>
  <c r="BZ8" i="5"/>
  <c r="BZ7" i="5"/>
  <c r="CJ7" i="5"/>
  <c r="CJ8" i="5"/>
  <c r="DD8" i="5"/>
  <c r="DD7" i="5"/>
  <c r="CP7" i="5"/>
  <c r="AA8" i="5"/>
  <c r="AP8" i="6"/>
  <c r="AP7" i="6"/>
  <c r="AZ7" i="6"/>
  <c r="AZ8" i="6"/>
  <c r="DJ8" i="6"/>
  <c r="DJ7" i="6"/>
  <c r="EF7" i="2"/>
  <c r="H8" i="4"/>
  <c r="H7" i="4"/>
  <c r="F7" i="5"/>
  <c r="F8" i="5"/>
  <c r="V8" i="1"/>
  <c r="DA8" i="4"/>
  <c r="DA7" i="4"/>
  <c r="EC8" i="1"/>
  <c r="DB8" i="4"/>
  <c r="DB7" i="4"/>
  <c r="DM8" i="4"/>
  <c r="DM7" i="4"/>
  <c r="CW8" i="1"/>
  <c r="CQ7" i="2"/>
  <c r="CQ8" i="2"/>
  <c r="BY7" i="1"/>
  <c r="CQ7" i="1"/>
  <c r="BQ8" i="1"/>
  <c r="BU7" i="2"/>
  <c r="EB7" i="2"/>
  <c r="DY7" i="3"/>
  <c r="DY8" i="3"/>
  <c r="DD7" i="3"/>
  <c r="AO8" i="3"/>
  <c r="BK8" i="3"/>
  <c r="AK8" i="4"/>
  <c r="AK7" i="4"/>
  <c r="BZ8" i="4"/>
  <c r="BZ7" i="4"/>
  <c r="DQ7" i="4"/>
  <c r="DQ8" i="4"/>
  <c r="CL7" i="4"/>
  <c r="BU8" i="4"/>
  <c r="EH20" i="4"/>
  <c r="EG20" i="4"/>
  <c r="X7" i="5"/>
  <c r="X8" i="5"/>
  <c r="BD8" i="5"/>
  <c r="BD7" i="5"/>
  <c r="CA8" i="5"/>
  <c r="CA7" i="5"/>
  <c r="CK8" i="5"/>
  <c r="CK7" i="5"/>
  <c r="AL7" i="5"/>
  <c r="CQ7" i="5"/>
  <c r="CY8" i="5"/>
  <c r="AF8" i="6"/>
  <c r="AF7" i="6"/>
  <c r="U8" i="4"/>
  <c r="U7" i="4"/>
  <c r="CG8" i="4"/>
  <c r="CG7" i="4"/>
  <c r="EG15" i="4"/>
  <c r="AR8" i="5"/>
  <c r="AR7" i="5"/>
  <c r="V7" i="5"/>
  <c r="DP7" i="5"/>
  <c r="EA8" i="5"/>
  <c r="AE7" i="6"/>
  <c r="AE8" i="6"/>
  <c r="AO7" i="6"/>
  <c r="AO8" i="6"/>
  <c r="DR7" i="6"/>
  <c r="AI7" i="5"/>
  <c r="AI8" i="5"/>
  <c r="AS8" i="5"/>
  <c r="AS7" i="5"/>
  <c r="W7" i="5"/>
  <c r="ED8" i="5"/>
  <c r="AY8" i="6"/>
  <c r="AY7" i="6"/>
  <c r="CP7" i="4"/>
  <c r="BX8" i="4"/>
  <c r="AV7" i="5"/>
  <c r="AV8" i="5"/>
  <c r="DC8" i="5"/>
  <c r="DB8" i="6"/>
  <c r="DB7" i="6"/>
  <c r="AL7" i="4"/>
  <c r="DP8" i="4"/>
  <c r="CU7" i="5"/>
  <c r="CU8" i="5"/>
  <c r="DE8" i="5"/>
  <c r="DE7" i="5"/>
  <c r="DO7" i="5"/>
  <c r="DO8" i="5"/>
  <c r="DY7" i="5"/>
  <c r="DY8" i="5"/>
  <c r="AN7" i="5"/>
  <c r="BV7" i="5"/>
  <c r="N8" i="6"/>
  <c r="N7" i="6"/>
  <c r="DN7" i="4"/>
  <c r="K7" i="5"/>
  <c r="K8" i="5"/>
  <c r="BH8" i="5"/>
  <c r="BH7" i="5"/>
  <c r="CD8" i="5"/>
  <c r="O8" i="6"/>
  <c r="O7" i="6"/>
  <c r="CC7" i="5"/>
  <c r="CC8" i="5"/>
  <c r="M7" i="5"/>
  <c r="EA7" i="6"/>
  <c r="EA8" i="6"/>
  <c r="CE8" i="4"/>
  <c r="EG18" i="4"/>
  <c r="EG23" i="4"/>
  <c r="L8" i="5"/>
  <c r="L7" i="5"/>
  <c r="AP8" i="5"/>
  <c r="AP7" i="5"/>
  <c r="CW7" i="5"/>
  <c r="CW8" i="5"/>
  <c r="EB7" i="6"/>
  <c r="EB8" i="6"/>
  <c r="EG21" i="4"/>
  <c r="AY8" i="5"/>
  <c r="EC7" i="6"/>
  <c r="EC8" i="6"/>
  <c r="EG19" i="4"/>
  <c r="DR8" i="5"/>
  <c r="DR7" i="5"/>
  <c r="T7" i="5"/>
  <c r="BA7" i="5"/>
  <c r="CF7" i="5"/>
  <c r="DJ7" i="5"/>
  <c r="AZ8" i="5"/>
  <c r="CA7" i="6"/>
  <c r="CA8" i="6"/>
  <c r="CL8" i="6"/>
  <c r="CL7" i="6"/>
  <c r="ED8" i="6"/>
  <c r="ED7" i="6"/>
  <c r="BE7" i="6"/>
  <c r="BE8" i="6"/>
  <c r="BP8" i="6"/>
  <c r="BP7" i="6"/>
  <c r="BZ8" i="6"/>
  <c r="BZ7" i="6"/>
  <c r="CJ8" i="6"/>
  <c r="CJ7" i="6"/>
  <c r="DX8" i="6"/>
  <c r="DX7" i="6"/>
  <c r="BV8" i="8"/>
  <c r="BV7" i="8"/>
  <c r="R8" i="6"/>
  <c r="R7" i="6"/>
  <c r="AM8" i="6"/>
  <c r="AM7" i="6"/>
  <c r="BF8" i="6"/>
  <c r="BF7" i="6"/>
  <c r="BQ7" i="6"/>
  <c r="BQ8" i="6"/>
  <c r="AD8" i="6"/>
  <c r="AD7" i="6"/>
  <c r="BG8" i="6"/>
  <c r="BG7" i="6"/>
  <c r="BL8" i="8"/>
  <c r="BL7" i="8"/>
  <c r="L8" i="6"/>
  <c r="L7" i="6"/>
  <c r="V8" i="6"/>
  <c r="V7" i="6"/>
  <c r="AQ8" i="6"/>
  <c r="AQ7" i="6"/>
  <c r="CD8" i="6"/>
  <c r="CD7" i="6"/>
  <c r="DH7" i="6"/>
  <c r="DH8" i="6"/>
  <c r="H8" i="6"/>
  <c r="AC8" i="8"/>
  <c r="AC7" i="8"/>
  <c r="BD7" i="8"/>
  <c r="BD8" i="8"/>
  <c r="CP8" i="6"/>
  <c r="CP7" i="6"/>
  <c r="DS7" i="6"/>
  <c r="DS8" i="6"/>
  <c r="EE8" i="6"/>
  <c r="EE7" i="6"/>
  <c r="DQ8" i="6"/>
  <c r="F7" i="8"/>
  <c r="F8" i="8"/>
  <c r="AS8" i="8"/>
  <c r="AS7" i="8"/>
  <c r="D7" i="6"/>
  <c r="D8" i="6"/>
  <c r="CZ8" i="6"/>
  <c r="CZ7" i="6"/>
  <c r="CT7" i="6"/>
  <c r="AB8" i="6"/>
  <c r="CG7" i="6"/>
  <c r="CG8" i="6"/>
  <c r="DA7" i="6"/>
  <c r="DA8" i="6"/>
  <c r="Y7" i="6"/>
  <c r="Y8" i="6"/>
  <c r="DU7" i="6"/>
  <c r="DU8" i="6"/>
  <c r="AV7" i="6"/>
  <c r="H7" i="8"/>
  <c r="H8" i="8"/>
  <c r="Z8" i="6"/>
  <c r="Z7" i="6"/>
  <c r="CH7" i="6"/>
  <c r="CH8" i="6"/>
  <c r="DL7" i="6"/>
  <c r="DL8" i="6"/>
  <c r="AG8" i="6"/>
  <c r="BN8" i="6"/>
  <c r="BN7" i="6"/>
  <c r="CI8" i="6"/>
  <c r="CI7" i="6"/>
  <c r="DC8" i="6"/>
  <c r="DC7" i="6"/>
  <c r="G8" i="6"/>
  <c r="G7" i="6"/>
  <c r="DW8" i="6"/>
  <c r="DW7" i="6"/>
  <c r="CS8" i="6"/>
  <c r="CP8" i="8"/>
  <c r="CP7" i="8"/>
  <c r="DB8" i="8"/>
  <c r="DB7" i="8"/>
  <c r="DM7" i="8"/>
  <c r="DM8" i="8"/>
  <c r="BS7" i="6"/>
  <c r="CO7" i="6"/>
  <c r="C8" i="6"/>
  <c r="Z8" i="8"/>
  <c r="Z7" i="8"/>
  <c r="AM7" i="8"/>
  <c r="AM8" i="8"/>
  <c r="CG7" i="8"/>
  <c r="CG8" i="8"/>
  <c r="AW7" i="6"/>
  <c r="AW8" i="6"/>
  <c r="DM8" i="6"/>
  <c r="O8" i="8"/>
  <c r="O7" i="8"/>
  <c r="AN7" i="8"/>
  <c r="AN8" i="8"/>
  <c r="G7" i="8"/>
  <c r="G8" i="8"/>
  <c r="DF8" i="8"/>
  <c r="DF7" i="8"/>
  <c r="DV7" i="6"/>
  <c r="CB8" i="6"/>
  <c r="BE8" i="8"/>
  <c r="BE7" i="8"/>
  <c r="BP7" i="8"/>
  <c r="BP8" i="8"/>
  <c r="CV7" i="8"/>
  <c r="CV8" i="8"/>
  <c r="DG8" i="8"/>
  <c r="DG7" i="8"/>
  <c r="DT8" i="8"/>
  <c r="DT7" i="8"/>
  <c r="T7" i="6"/>
  <c r="AK8" i="6"/>
  <c r="CC8" i="6"/>
  <c r="T7" i="8"/>
  <c r="T8" i="8"/>
  <c r="AF8" i="8"/>
  <c r="AF7" i="8"/>
  <c r="AT8" i="8"/>
  <c r="AT7" i="8"/>
  <c r="BF8" i="8"/>
  <c r="BF7" i="8"/>
  <c r="CE8" i="6"/>
  <c r="DY8" i="6"/>
  <c r="BJ7" i="6"/>
  <c r="CF7" i="6"/>
  <c r="DD7" i="6"/>
  <c r="DZ7" i="6"/>
  <c r="Q8" i="6"/>
  <c r="I7" i="6"/>
  <c r="I8" i="6"/>
  <c r="AR7" i="6"/>
  <c r="BL7" i="6"/>
  <c r="DF7" i="6"/>
  <c r="DG8" i="6"/>
  <c r="AT7" i="6"/>
  <c r="BO7" i="6"/>
  <c r="BM8" i="6"/>
  <c r="CK8" i="6"/>
  <c r="AU7" i="6"/>
  <c r="CM7" i="6"/>
  <c r="DI8" i="6"/>
  <c r="J8" i="8"/>
  <c r="J7" i="8"/>
  <c r="AU8" i="8"/>
  <c r="AU7" i="8"/>
  <c r="CW7" i="8"/>
  <c r="CW8" i="8"/>
  <c r="AH7" i="8"/>
  <c r="AH8" i="8"/>
  <c r="AV8" i="8"/>
  <c r="AV7" i="8"/>
  <c r="CB8" i="8"/>
  <c r="CB7" i="8"/>
  <c r="DH8" i="8"/>
  <c r="DH7" i="8"/>
  <c r="L8" i="8"/>
  <c r="L7" i="8"/>
  <c r="W7" i="8"/>
  <c r="W8" i="8"/>
  <c r="AI7" i="8"/>
  <c r="AI8" i="8"/>
  <c r="BH8" i="8"/>
  <c r="BH7" i="8"/>
  <c r="BS7" i="8"/>
  <c r="BS8" i="8"/>
  <c r="CX7" i="8"/>
  <c r="CX8" i="8"/>
  <c r="M8" i="8"/>
  <c r="M7" i="8"/>
  <c r="AJ7" i="8"/>
  <c r="AJ8" i="8"/>
  <c r="BI8" i="8"/>
  <c r="BI7" i="8"/>
  <c r="CD7" i="8"/>
  <c r="CD8" i="8"/>
  <c r="CN8" i="8"/>
  <c r="CN7" i="8"/>
  <c r="CY7" i="8"/>
  <c r="CY8" i="8"/>
  <c r="DJ7" i="8"/>
  <c r="DJ8" i="8"/>
  <c r="X7" i="8"/>
  <c r="X8" i="8"/>
  <c r="AX7" i="8"/>
  <c r="AX8" i="8"/>
  <c r="BJ8" i="8"/>
  <c r="BJ7" i="8"/>
  <c r="C7" i="8"/>
  <c r="C8" i="8"/>
  <c r="Y8" i="8"/>
  <c r="Y7" i="8"/>
  <c r="AK7" i="8"/>
  <c r="AK8" i="8"/>
  <c r="BU8" i="8"/>
  <c r="BU7" i="8"/>
  <c r="CO8" i="8"/>
  <c r="CO7" i="8"/>
  <c r="AL7" i="8"/>
  <c r="AL8" i="8"/>
  <c r="AZ7" i="8"/>
  <c r="AZ8" i="8"/>
  <c r="CF7" i="8"/>
  <c r="CF8" i="8"/>
  <c r="CL8" i="8"/>
  <c r="CL7" i="8"/>
  <c r="DD8" i="8"/>
  <c r="DD7" i="8"/>
  <c r="D7" i="8"/>
  <c r="D8" i="8"/>
  <c r="AG8" i="8"/>
  <c r="AG7" i="8"/>
  <c r="AQ8" i="8"/>
  <c r="AQ7" i="8"/>
  <c r="BA7" i="8"/>
  <c r="BA8" i="8"/>
  <c r="BK8" i="8"/>
  <c r="BK7" i="8"/>
  <c r="BT7" i="8"/>
  <c r="BT8" i="8"/>
  <c r="CC8" i="8"/>
  <c r="CC7" i="8"/>
  <c r="N8" i="8"/>
  <c r="N7" i="8"/>
  <c r="DE8" i="8"/>
  <c r="DE7" i="8"/>
  <c r="DO7" i="8"/>
  <c r="DO8" i="8"/>
  <c r="Q8" i="8"/>
  <c r="Q7" i="8"/>
  <c r="AA8" i="8"/>
  <c r="AA7" i="8"/>
  <c r="CQ8" i="8"/>
  <c r="CQ7" i="8"/>
  <c r="CZ7" i="8"/>
  <c r="CZ8" i="8"/>
  <c r="DU8" i="8"/>
  <c r="DU7" i="8"/>
  <c r="I8" i="8"/>
  <c r="I7" i="8"/>
  <c r="S7" i="8"/>
  <c r="S8" i="8"/>
  <c r="BY8" i="8"/>
  <c r="BY7" i="8"/>
  <c r="CH7" i="8"/>
  <c r="CH8" i="8"/>
  <c r="DV8" i="8"/>
  <c r="DV7" i="8"/>
  <c r="AW8" i="8"/>
  <c r="AW7" i="8"/>
  <c r="BG8" i="8"/>
  <c r="BG7" i="8"/>
  <c r="DA8" i="8"/>
  <c r="DA7" i="8"/>
  <c r="AD8" i="8"/>
  <c r="AD7" i="8"/>
  <c r="BQ7" i="8"/>
  <c r="BQ8" i="8"/>
  <c r="BZ8" i="8"/>
  <c r="BZ7" i="8"/>
  <c r="DK7" i="8"/>
  <c r="DK8" i="8"/>
  <c r="K8" i="8"/>
  <c r="K7" i="8"/>
  <c r="U7" i="8"/>
  <c r="U8" i="8"/>
  <c r="AE8" i="8"/>
  <c r="AE7" i="8"/>
  <c r="CA8" i="8"/>
  <c r="CA7" i="8"/>
  <c r="CJ7" i="8"/>
  <c r="CJ8" i="8"/>
  <c r="CS8" i="8"/>
  <c r="CS7" i="8"/>
  <c r="DY8" i="8"/>
  <c r="DY7" i="8"/>
  <c r="AO8" i="8"/>
  <c r="AO7" i="8"/>
  <c r="AY7" i="8"/>
  <c r="AY8" i="8"/>
  <c r="BR7" i="8"/>
  <c r="BR8" i="8"/>
  <c r="DL7" i="8"/>
  <c r="DL8" i="8"/>
  <c r="DZ7" i="8"/>
  <c r="DZ8" i="8"/>
  <c r="V7" i="8"/>
  <c r="V8" i="8"/>
  <c r="CK8" i="8"/>
  <c r="CK7" i="8"/>
  <c r="EA7" i="8"/>
  <c r="EA8" i="8"/>
  <c r="DN7" i="8"/>
  <c r="DN8" i="8"/>
  <c r="EB7" i="8"/>
  <c r="EB8" i="8"/>
  <c r="EC7" i="8"/>
  <c r="EC8" i="8"/>
  <c r="ED7" i="8"/>
  <c r="ED8" i="8"/>
  <c r="DI8" i="8"/>
  <c r="DI7" i="8"/>
  <c r="DS8" i="8"/>
  <c r="DS7" i="8"/>
  <c r="BO7" i="8"/>
  <c r="BO8" i="8"/>
  <c r="BW8" i="8"/>
  <c r="BW7" i="8"/>
  <c r="CE7" i="8"/>
  <c r="CE8" i="8"/>
  <c r="CM8" i="8"/>
  <c r="CM7" i="8"/>
  <c r="CU7" i="8"/>
  <c r="CU8" i="8"/>
  <c r="DC8" i="8"/>
  <c r="DC7" i="8"/>
  <c r="DW8" i="8"/>
  <c r="DW7" i="8"/>
  <c r="DX8" i="8"/>
  <c r="DX7" i="8"/>
  <c r="EG8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<sst xmlns="http://schemas.openxmlformats.org/spreadsheetml/2006/main" count="3425" uniqueCount="175">
  <si>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</si>
  <si>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</si>
  <si>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</si>
  <si>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</si>
  <si>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</si>
  <si>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</si>
  <si>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</si>
  <si>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</si>
  <si>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</si>
  <si>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</si>
  <si>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</si>
  <si>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</si>
  <si>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</si>
  <si>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</si>
  <si>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</si>
  <si>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</si>
  <si>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</si>
  <si>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</si>
  <si>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</si>
  <si>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</si>
  <si>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</si>
  <si>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</si>
  <si>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</si>
  <si>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</si>
  <si>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</si>
  <si>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</si>
  <si>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</si>
  <si>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</si>
  <si>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</si>
  <si>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</si>
  <si>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</si>
  <si>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</si>
  <si>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</si>
  <si>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</si>
  <si>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</si>
  <si>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</si>
  <si>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</si>
  <si>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</si>
  <si>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</si>
  <si>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</si>
  <si>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</si>
  <si>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</si>
  <si>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</si>
  <si>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</si>
  <si>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</si>
  <si>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</si>
  <si>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</si>
  <si>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</si>
  <si>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</si>
  <si>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</si>
  <si>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</si>
  <si>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</si>
  <si>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</si>
  <si>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</si>
  <si>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</si>
  <si>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</si>
  <si>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</si>
  <si>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</si>
  <si>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</si>
  <si>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</si>
  <si>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</si>
  <si>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</si>
  <si>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</si>
  <si>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</si>
  <si>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</si>
  <si>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</si>
  <si>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</si>
  <si>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</si>
  <si>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</si>
  <si>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</si>
  <si>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</si>
  <si>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</si>
  <si>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</si>
  <si>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</si>
  <si>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</si>
  <si>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</si>
  <si>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</si>
  <si>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</si>
  <si>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</si>
  <si>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</si>
  <si>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</si>
  <si>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</si>
  <si>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</si>
  <si>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</si>
  <si>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</si>
  <si>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</si>
  <si>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</si>
  <si>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</si>
  <si>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</si>
  <si>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</si>
  <si>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</si>
  <si>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</si>
  <si>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</si>
  <si>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</si>
  <si>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</si>
  <si>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</si>
  <si>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</si>
  <si>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</si>
  <si>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</si>
  <si>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</si>
  <si>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</si>
  <si>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</si>
  <si>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</si>
  <si>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</si>
  <si>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</si>
  <si>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</si>
  <si>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</si>
  <si>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</si>
  <si>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</si>
  <si>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</si>
  <si>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</si>
  <si>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</si>
  <si>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</si>
  <si>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</si>
  <si>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</si>
  <si>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</si>
  <si>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</si>
  <si>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</si>
  <si>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</si>
  <si>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</si>
  <si>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</si>
  <si>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</si>
  <si>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</si>
  <si>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</si>
  <si>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</si>
  <si>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</si>
  <si>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</si>
  <si>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</si>
  <si>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</si>
  <si>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</si>
  <si>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</si>
  <si>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</si>
  <si>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</si>
  <si>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</si>
  <si>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</si>
  <si>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</si>
  <si>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bm</t>
  </si>
  <si>
    <t>size</t>
  </si>
  <si>
    <t>mom</t>
  </si>
  <si>
    <t>選絕對值最大</t>
  </si>
  <si>
    <t>投資組合</t>
  </si>
  <si>
    <t>公司數</t>
  </si>
  <si>
    <t>等第</t>
  </si>
  <si>
    <t>分數</t>
  </si>
  <si>
    <t>2025/02</t>
  </si>
  <si>
    <t>SUM</t>
  </si>
  <si>
    <t>勝率</t>
  </si>
  <si>
    <t>大盤</t>
  </si>
  <si>
    <t>TWII</t>
  </si>
  <si>
    <t>OLS</t>
  </si>
  <si>
    <t>100等第</t>
  </si>
  <si>
    <t>107等第</t>
  </si>
  <si>
    <t>137等第</t>
  </si>
  <si>
    <t>160等第</t>
  </si>
  <si>
    <t>192等第</t>
  </si>
  <si>
    <t>241等第</t>
  </si>
  <si>
    <t>321等第</t>
  </si>
  <si>
    <t>投資組合</t>
    <phoneticPr fontId="1" type="noConversion"/>
  </si>
  <si>
    <t>家數</t>
    <phoneticPr fontId="1" type="noConversion"/>
  </si>
  <si>
    <t>10等分</t>
    <phoneticPr fontId="1" type="noConversion"/>
  </si>
  <si>
    <t>20等分</t>
    <phoneticPr fontId="1" type="noConversion"/>
  </si>
  <si>
    <t>50等分</t>
    <phoneticPr fontId="1" type="noConversion"/>
  </si>
  <si>
    <t>100等分</t>
    <phoneticPr fontId="1" type="noConversion"/>
  </si>
  <si>
    <t>107等分</t>
    <phoneticPr fontId="1" type="noConversion"/>
  </si>
  <si>
    <t>120等分</t>
    <phoneticPr fontId="1" type="noConversion"/>
  </si>
  <si>
    <t>137等分</t>
    <phoneticPr fontId="1" type="noConversion"/>
  </si>
  <si>
    <t>160等分</t>
    <phoneticPr fontId="1" type="noConversion"/>
  </si>
  <si>
    <t>192等分</t>
    <phoneticPr fontId="1" type="noConversion"/>
  </si>
  <si>
    <t>241等分</t>
    <phoneticPr fontId="1" type="noConversion"/>
  </si>
  <si>
    <t>321等分</t>
    <phoneticPr fontId="1" type="noConversion"/>
  </si>
  <si>
    <t>482等分</t>
    <phoneticPr fontId="1" type="noConversion"/>
  </si>
  <si>
    <t>964等分</t>
    <phoneticPr fontId="1" type="noConversion"/>
  </si>
  <si>
    <t>平均值</t>
    <phoneticPr fontId="1" type="noConversion"/>
  </si>
  <si>
    <t>標準差</t>
    <phoneticPr fontId="1" type="noConversion"/>
  </si>
  <si>
    <t>夏普比率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</si>
</sst>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"/>
    <numFmt numFmtId="177" formatCode="0.000"/>
    <numFmt numFmtId="178" formatCode="0.0000"/>
    <numFmt numFmtId="179" formatCode="0.000000"/>
  </numFmts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  <scheme val="minor"/>
    </font>
    <font>
      <sz val="11"/>
      <color rgb="FF000000"/>
      <name val="新細明體"/>
      <family val="1"/>
      <charset val="136"/>
      <scheme val="minor"/>
    </font>
    <font>
      <sz val="11"/>
      <name val="新細明體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176" fontId="2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vertical="center"/>
    </xf>
    <xf numFmtId="0" fontId="2" fillId="2" borderId="0" xfId="0" applyFont="1" applyFill="1"/>
    <xf numFmtId="0" fontId="2" fillId="3" borderId="1" xfId="0" applyFont="1" applyFill="1" applyBorder="1"/>
    <xf numFmtId="0" fontId="0" fillId="4" borderId="1" xfId="0" applyFill="1" applyBorder="1"/>
    <xf numFmtId="0" fontId="0" fillId="4" borderId="0" xfId="0" applyFill="1"/>
    <xf numFmtId="0" fontId="3" fillId="5" borderId="0" xfId="0" applyFont="1" applyFill="1"/>
    <xf numFmtId="0" fontId="0" fillId="5" borderId="0" xfId="0" applyFill="1"/>
    <xf numFmtId="0" fontId="0" fillId="5" borderId="1" xfId="0" applyFill="1" applyBorder="1"/>
    <xf numFmtId="177" fontId="0" fillId="6" borderId="0" xfId="0" applyNumberFormat="1" applyFill="1"/>
    <xf numFmtId="0" fontId="2" fillId="3" borderId="0" xfId="0" applyFont="1" applyFill="1"/>
    <xf numFmtId="177" fontId="0" fillId="3" borderId="0" xfId="0" applyNumberFormat="1" applyFill="1"/>
    <xf numFmtId="178" fontId="0" fillId="4" borderId="1" xfId="0" applyNumberFormat="1" applyFill="1" applyBorder="1"/>
    <xf numFmtId="0" fontId="2" fillId="7" borderId="1" xfId="0" applyFont="1" applyFill="1" applyBorder="1"/>
    <xf numFmtId="176" fontId="2" fillId="7" borderId="0" xfId="0" applyNumberFormat="1" applyFont="1" applyFill="1" applyAlignment="1">
      <alignment horizontal="center" vertical="center"/>
    </xf>
    <xf numFmtId="178" fontId="0" fillId="7" borderId="1" xfId="0" applyNumberFormat="1" applyFill="1" applyBorder="1"/>
    <xf numFmtId="0" fontId="0" fillId="2" borderId="0" xfId="0" applyFill="1"/>
    <xf numFmtId="0" fontId="0" fillId="0" borderId="4" xfId="0" applyBorder="1"/>
    <xf numFmtId="179" fontId="0" fillId="0" borderId="0" xfId="0" applyNumberFormat="1"/>
    <xf numFmtId="0" fontId="0" fillId="0" borderId="1" xfId="0" applyBorder="1" applyAlignment="1">
      <alignment horizontal="center"/>
    </xf>
    <xf numFmtId="0" fontId="0" fillId="0" borderId="3" xfId="0" applyBorder="1"/>
    <xf numFmtId="177" fontId="4" fillId="6" borderId="0" xfId="0" applyNumberFormat="1" applyFont="1" applyFill="1"/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OLS</a:t>
            </a:r>
            <a:r>
              <a:rPr lang="zh-TW" altLang="en-US"/>
              <a:t>預測累積報酬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'預測(OLS)累積報酬'!$B$12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'預測(OLS)累積報酬'!$C$11:$EF$11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'預測(OLS)累積報酬'!$C$12:$EF$12</c:f>
              <c:numCache>
                <c:formatCode>0.0000</c:formatCode>
                <c:ptCount val="134"/>
                <c:pt idx="0">
                  <c:v>1.44992469840961E-2</c:v>
                </c:pt>
                <c:pt idx="1">
                  <c:v>0.12918787602931961</c:v>
                </c:pt>
                <c:pt idx="2">
                  <c:v>0.12779415148845316</c:v>
                </c:pt>
                <c:pt idx="3">
                  <c:v>7.183476670399444E-2</c:v>
                </c:pt>
                <c:pt idx="4">
                  <c:v>3.9887318185363979E-2</c:v>
                </c:pt>
                <c:pt idx="5">
                  <c:v>4.9486576541963562E-2</c:v>
                </c:pt>
                <c:pt idx="6">
                  <c:v>1.3182639692911551E-2</c:v>
                </c:pt>
                <c:pt idx="7">
                  <c:v>5.6967218437783074E-2</c:v>
                </c:pt>
                <c:pt idx="8">
                  <c:v>8.6155216571482257E-2</c:v>
                </c:pt>
                <c:pt idx="9">
                  <c:v>7.7396660607316023E-2</c:v>
                </c:pt>
                <c:pt idx="10">
                  <c:v>0.10428583444052297</c:v>
                </c:pt>
                <c:pt idx="11">
                  <c:v>0.1389891886839858</c:v>
                </c:pt>
                <c:pt idx="12">
                  <c:v>0.15761907732996477</c:v>
                </c:pt>
                <c:pt idx="13">
                  <c:v>0.15736474922180765</c:v>
                </c:pt>
                <c:pt idx="14">
                  <c:v>0.19115753334271537</c:v>
                </c:pt>
                <c:pt idx="15">
                  <c:v>0.17776002710277963</c:v>
                </c:pt>
                <c:pt idx="16">
                  <c:v>0.18881505687611885</c:v>
                </c:pt>
                <c:pt idx="17">
                  <c:v>0.23205854569563203</c:v>
                </c:pt>
                <c:pt idx="18">
                  <c:v>0.25242576624876301</c:v>
                </c:pt>
                <c:pt idx="19">
                  <c:v>0.24291481259511477</c:v>
                </c:pt>
                <c:pt idx="20">
                  <c:v>0.27133247545327788</c:v>
                </c:pt>
                <c:pt idx="21">
                  <c:v>0.29840636587782499</c:v>
                </c:pt>
                <c:pt idx="22">
                  <c:v>0.27780797235013371</c:v>
                </c:pt>
                <c:pt idx="23">
                  <c:v>0.34143165566570766</c:v>
                </c:pt>
                <c:pt idx="24">
                  <c:v>0.30202799426459587</c:v>
                </c:pt>
                <c:pt idx="25">
                  <c:v>0.2673388837131177</c:v>
                </c:pt>
                <c:pt idx="26">
                  <c:v>0.31411182933942894</c:v>
                </c:pt>
                <c:pt idx="27">
                  <c:v>0.3115813995082054</c:v>
                </c:pt>
                <c:pt idx="28">
                  <c:v>0.35801911617518944</c:v>
                </c:pt>
                <c:pt idx="29">
                  <c:v>0.30600701339842173</c:v>
                </c:pt>
                <c:pt idx="30">
                  <c:v>0.30982194381923156</c:v>
                </c:pt>
                <c:pt idx="31">
                  <c:v>0.32553497758851241</c:v>
                </c:pt>
                <c:pt idx="32">
                  <c:v>0.334328770080774</c:v>
                </c:pt>
                <c:pt idx="33">
                  <c:v>0.35305206641370818</c:v>
                </c:pt>
                <c:pt idx="34">
                  <c:v>0.33657669818957248</c:v>
                </c:pt>
                <c:pt idx="35">
                  <c:v>0.35443570121149454</c:v>
                </c:pt>
                <c:pt idx="36">
                  <c:v>0.38452181682409248</c:v>
                </c:pt>
                <c:pt idx="37">
                  <c:v>0.45375505113752101</c:v>
                </c:pt>
                <c:pt idx="38">
                  <c:v>0.46875052198064832</c:v>
                </c:pt>
                <c:pt idx="39">
                  <c:v>0.47338445850847743</c:v>
                </c:pt>
                <c:pt idx="40">
                  <c:v>0.48100639489706126</c:v>
                </c:pt>
                <c:pt idx="41">
                  <c:v>0.48851082298582132</c:v>
                </c:pt>
                <c:pt idx="42">
                  <c:v>0.50761054144052198</c:v>
                </c:pt>
                <c:pt idx="43">
                  <c:v>0.57980592379295703</c:v>
                </c:pt>
                <c:pt idx="44">
                  <c:v>0.57609238735291246</c:v>
                </c:pt>
                <c:pt idx="45">
                  <c:v>0.55430249212848592</c:v>
                </c:pt>
                <c:pt idx="46">
                  <c:v>0.55368101511046985</c:v>
                </c:pt>
                <c:pt idx="47">
                  <c:v>0.508985003137572</c:v>
                </c:pt>
                <c:pt idx="48">
                  <c:v>0.49149368147856448</c:v>
                </c:pt>
                <c:pt idx="49">
                  <c:v>0.46787912831326384</c:v>
                </c:pt>
                <c:pt idx="50">
                  <c:v>0.47281701649650565</c:v>
                </c:pt>
                <c:pt idx="51">
                  <c:v>0.47860241141078086</c:v>
                </c:pt>
                <c:pt idx="52">
                  <c:v>0.49087520044925737</c:v>
                </c:pt>
                <c:pt idx="53">
                  <c:v>0.50450575739090997</c:v>
                </c:pt>
                <c:pt idx="54">
                  <c:v>0.48589694755152468</c:v>
                </c:pt>
                <c:pt idx="55">
                  <c:v>0.55351389679922003</c:v>
                </c:pt>
                <c:pt idx="56">
                  <c:v>0.58718475924048286</c:v>
                </c:pt>
                <c:pt idx="57">
                  <c:v>0.60140811925180482</c:v>
                </c:pt>
                <c:pt idx="58">
                  <c:v>0.55765205487196023</c:v>
                </c:pt>
                <c:pt idx="59">
                  <c:v>0.58231518104707958</c:v>
                </c:pt>
                <c:pt idx="60">
                  <c:v>0.58165779755204505</c:v>
                </c:pt>
                <c:pt idx="61">
                  <c:v>0.6137868958525392</c:v>
                </c:pt>
                <c:pt idx="62">
                  <c:v>0.66409258037586372</c:v>
                </c:pt>
                <c:pt idx="63">
                  <c:v>0.67566854754880434</c:v>
                </c:pt>
                <c:pt idx="64">
                  <c:v>0.65142223729256743</c:v>
                </c:pt>
                <c:pt idx="65">
                  <c:v>0.67784419462673473</c:v>
                </c:pt>
                <c:pt idx="66">
                  <c:v>0.69655970353148899</c:v>
                </c:pt>
                <c:pt idx="67">
                  <c:v>0.69429869507809017</c:v>
                </c:pt>
                <c:pt idx="68">
                  <c:v>0.66165584018969748</c:v>
                </c:pt>
                <c:pt idx="69">
                  <c:v>0.67802062350412284</c:v>
                </c:pt>
                <c:pt idx="70">
                  <c:v>0.68680214064421929</c:v>
                </c:pt>
                <c:pt idx="71">
                  <c:v>0.65474891447382477</c:v>
                </c:pt>
                <c:pt idx="72">
                  <c:v>0.69922591836547499</c:v>
                </c:pt>
                <c:pt idx="73">
                  <c:v>0.70621107222361423</c:v>
                </c:pt>
                <c:pt idx="74">
                  <c:v>0.66039508599078389</c:v>
                </c:pt>
                <c:pt idx="75">
                  <c:v>0.61503814029951087</c:v>
                </c:pt>
                <c:pt idx="76">
                  <c:v>0.58063785285916836</c:v>
                </c:pt>
                <c:pt idx="77">
                  <c:v>0.50816197678698904</c:v>
                </c:pt>
                <c:pt idx="78">
                  <c:v>0.57372858941467897</c:v>
                </c:pt>
                <c:pt idx="79">
                  <c:v>0.52937332605799436</c:v>
                </c:pt>
                <c:pt idx="80">
                  <c:v>0.54099273450022356</c:v>
                </c:pt>
                <c:pt idx="81">
                  <c:v>0.53297145998629358</c:v>
                </c:pt>
                <c:pt idx="82">
                  <c:v>0.48369350002321299</c:v>
                </c:pt>
                <c:pt idx="83">
                  <c:v>0.50015661240199882</c:v>
                </c:pt>
                <c:pt idx="84">
                  <c:v>0.53575464330310463</c:v>
                </c:pt>
                <c:pt idx="85">
                  <c:v>0.52030946282441581</c:v>
                </c:pt>
                <c:pt idx="86">
                  <c:v>0.57641090347220603</c:v>
                </c:pt>
                <c:pt idx="87">
                  <c:v>0.49797062318618512</c:v>
                </c:pt>
                <c:pt idx="88">
                  <c:v>0.48275089701884433</c:v>
                </c:pt>
                <c:pt idx="89">
                  <c:v>0.50983459823340371</c:v>
                </c:pt>
                <c:pt idx="90">
                  <c:v>0.4850148129781911</c:v>
                </c:pt>
                <c:pt idx="91">
                  <c:v>0.43971579151069734</c:v>
                </c:pt>
                <c:pt idx="92">
                  <c:v>0.50240013851427212</c:v>
                </c:pt>
                <c:pt idx="93">
                  <c:v>0.44524015199275857</c:v>
                </c:pt>
                <c:pt idx="94">
                  <c:v>0.43073050155428905</c:v>
                </c:pt>
                <c:pt idx="95">
                  <c:v>0.42140143832431215</c:v>
                </c:pt>
                <c:pt idx="96">
                  <c:v>0.49618096760566888</c:v>
                </c:pt>
                <c:pt idx="97">
                  <c:v>0.49177760949049076</c:v>
                </c:pt>
                <c:pt idx="98">
                  <c:v>0.50481427886906838</c:v>
                </c:pt>
                <c:pt idx="99">
                  <c:v>0.47406164060160538</c:v>
                </c:pt>
                <c:pt idx="100">
                  <c:v>0.45764104435379976</c:v>
                </c:pt>
                <c:pt idx="101">
                  <c:v>0.44531678229388316</c:v>
                </c:pt>
                <c:pt idx="102">
                  <c:v>0.45092056636424371</c:v>
                </c:pt>
                <c:pt idx="103">
                  <c:v>0.47390244231837075</c:v>
                </c:pt>
                <c:pt idx="104">
                  <c:v>0.43992923944359608</c:v>
                </c:pt>
                <c:pt idx="105">
                  <c:v>0.50988978517793937</c:v>
                </c:pt>
                <c:pt idx="106">
                  <c:v>0.53462742959303444</c:v>
                </c:pt>
                <c:pt idx="107">
                  <c:v>0.52300310990516541</c:v>
                </c:pt>
                <c:pt idx="108">
                  <c:v>0.57039753153498973</c:v>
                </c:pt>
                <c:pt idx="109">
                  <c:v>0.50920237674667279</c:v>
                </c:pt>
                <c:pt idx="110">
                  <c:v>0.53918163130417252</c:v>
                </c:pt>
                <c:pt idx="111">
                  <c:v>0.49780358836850097</c:v>
                </c:pt>
                <c:pt idx="112">
                  <c:v>0.49887478699708165</c:v>
                </c:pt>
                <c:pt idx="113">
                  <c:v>0.48020495366327859</c:v>
                </c:pt>
                <c:pt idx="114">
                  <c:v>0.47106146032974944</c:v>
                </c:pt>
                <c:pt idx="115">
                  <c:v>0.45252001687113702</c:v>
                </c:pt>
                <c:pt idx="116">
                  <c:v>0.47155074513903483</c:v>
                </c:pt>
                <c:pt idx="117">
                  <c:v>0.50413519473933199</c:v>
                </c:pt>
                <c:pt idx="118">
                  <c:v>0.42959454725885926</c:v>
                </c:pt>
                <c:pt idx="119">
                  <c:v>0.44665952670897741</c:v>
                </c:pt>
                <c:pt idx="120">
                  <c:v>0.40063524770385261</c:v>
                </c:pt>
                <c:pt idx="121">
                  <c:v>0.42544908926643932</c:v>
                </c:pt>
                <c:pt idx="122">
                  <c:v>0.37966194729197233</c:v>
                </c:pt>
                <c:pt idx="123">
                  <c:v>0.36291050577815176</c:v>
                </c:pt>
                <c:pt idx="124">
                  <c:v>0.40663606999818919</c:v>
                </c:pt>
                <c:pt idx="125">
                  <c:v>0.38853693321985577</c:v>
                </c:pt>
                <c:pt idx="126">
                  <c:v>0.45126515531462569</c:v>
                </c:pt>
                <c:pt idx="127">
                  <c:v>0.4713040454382148</c:v>
                </c:pt>
                <c:pt idx="128">
                  <c:v>0.5224016779757461</c:v>
                </c:pt>
                <c:pt idx="129">
                  <c:v>0.55292745479358774</c:v>
                </c:pt>
                <c:pt idx="130">
                  <c:v>0.53804353666406857</c:v>
                </c:pt>
                <c:pt idx="131">
                  <c:v>0.51459896142112738</c:v>
                </c:pt>
                <c:pt idx="132">
                  <c:v>0.486382681153324</c:v>
                </c:pt>
                <c:pt idx="133">
                  <c:v>0.4571489153980926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CE-4A8D-9C3E-C3F2939835FB}"/>
            </c:ext>
          </c:extLst>
        </c:ser>
        <c:ser>
          <c:idx val="1"/>
          <c:order val="1"/>
          <c:tx>
            <c:strRef>
              <c:f>'預測(OLS)累積報酬'!$B$13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'預測(OLS)累積報酬'!$C$11:$EF$11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'預測(OLS)累積報酬'!$C$13:$EF$13</c:f>
              <c:numCache>
                <c:formatCode>0.0000</c:formatCode>
                <c:ptCount val="134"/>
                <c:pt idx="0">
                  <c:v>-7.4773642018864783E-3</c:v>
                </c:pt>
                <c:pt idx="1">
                  <c:v>0.11626766459088582</c:v>
                </c:pt>
                <c:pt idx="2">
                  <c:v>0.11074403788759948</c:v>
                </c:pt>
                <c:pt idx="3">
                  <c:v>5.0757511194676516E-2</c:v>
                </c:pt>
                <c:pt idx="4">
                  <c:v>3.8710106894570585E-2</c:v>
                </c:pt>
                <c:pt idx="5">
                  <c:v>5.6098493922069573E-2</c:v>
                </c:pt>
                <c:pt idx="6">
                  <c:v>2.3415630937347234E-2</c:v>
                </c:pt>
                <c:pt idx="7">
                  <c:v>5.7965522906991931E-2</c:v>
                </c:pt>
                <c:pt idx="8">
                  <c:v>0.11829166213456208</c:v>
                </c:pt>
                <c:pt idx="9">
                  <c:v>9.6311191755839298E-2</c:v>
                </c:pt>
                <c:pt idx="10">
                  <c:v>9.9590949981844021E-2</c:v>
                </c:pt>
                <c:pt idx="11">
                  <c:v>0.14298336744754081</c:v>
                </c:pt>
                <c:pt idx="12">
                  <c:v>0.17925664316746329</c:v>
                </c:pt>
                <c:pt idx="13">
                  <c:v>0.17297899550673035</c:v>
                </c:pt>
                <c:pt idx="14">
                  <c:v>0.21719725973470039</c:v>
                </c:pt>
                <c:pt idx="15">
                  <c:v>0.21070734955862599</c:v>
                </c:pt>
                <c:pt idx="16">
                  <c:v>0.20469354655158373</c:v>
                </c:pt>
                <c:pt idx="17">
                  <c:v>0.25759334946027707</c:v>
                </c:pt>
                <c:pt idx="18">
                  <c:v>0.31175442450197122</c:v>
                </c:pt>
                <c:pt idx="19">
                  <c:v>0.30953778459891729</c:v>
                </c:pt>
                <c:pt idx="20">
                  <c:v>0.34050668867040018</c:v>
                </c:pt>
                <c:pt idx="21">
                  <c:v>0.39378358339634378</c:v>
                </c:pt>
                <c:pt idx="22">
                  <c:v>0.40046694212288925</c:v>
                </c:pt>
                <c:pt idx="23">
                  <c:v>0.47889137692807282</c:v>
                </c:pt>
                <c:pt idx="24">
                  <c:v>0.44677186658960155</c:v>
                </c:pt>
                <c:pt idx="25">
                  <c:v>0.40009364646822426</c:v>
                </c:pt>
                <c:pt idx="26">
                  <c:v>0.46686534685015413</c:v>
                </c:pt>
                <c:pt idx="27">
                  <c:v>0.44642511847636168</c:v>
                </c:pt>
                <c:pt idx="28">
                  <c:v>0.52349653520316242</c:v>
                </c:pt>
                <c:pt idx="29">
                  <c:v>0.45021537437485126</c:v>
                </c:pt>
                <c:pt idx="30">
                  <c:v>0.44031016664777717</c:v>
                </c:pt>
                <c:pt idx="31">
                  <c:v>0.46526537319764405</c:v>
                </c:pt>
                <c:pt idx="32">
                  <c:v>0.48391141957761008</c:v>
                </c:pt>
                <c:pt idx="33">
                  <c:v>0.48561887041622903</c:v>
                </c:pt>
                <c:pt idx="34">
                  <c:v>0.44725948013335692</c:v>
                </c:pt>
                <c:pt idx="35">
                  <c:v>0.47041090872852798</c:v>
                </c:pt>
                <c:pt idx="36">
                  <c:v>0.51669335226535695</c:v>
                </c:pt>
                <c:pt idx="37">
                  <c:v>0.6220235904013911</c:v>
                </c:pt>
                <c:pt idx="38">
                  <c:v>0.62031474371275575</c:v>
                </c:pt>
                <c:pt idx="39">
                  <c:v>0.6269027336203985</c:v>
                </c:pt>
                <c:pt idx="40">
                  <c:v>0.63295202238929815</c:v>
                </c:pt>
                <c:pt idx="41">
                  <c:v>0.62370128990602192</c:v>
                </c:pt>
                <c:pt idx="42">
                  <c:v>0.66501440839025605</c:v>
                </c:pt>
                <c:pt idx="43">
                  <c:v>0.75143732311785549</c:v>
                </c:pt>
                <c:pt idx="44">
                  <c:v>0.76713274154432798</c:v>
                </c:pt>
                <c:pt idx="45">
                  <c:v>0.75617383131402749</c:v>
                </c:pt>
                <c:pt idx="46">
                  <c:v>0.75209381773096406</c:v>
                </c:pt>
                <c:pt idx="47">
                  <c:v>0.71929398559510827</c:v>
                </c:pt>
                <c:pt idx="48">
                  <c:v>0.70503178168796954</c:v>
                </c:pt>
                <c:pt idx="49">
                  <c:v>0.67381124559419947</c:v>
                </c:pt>
                <c:pt idx="50">
                  <c:v>0.68035218320126045</c:v>
                </c:pt>
                <c:pt idx="51">
                  <c:v>0.70639852873415654</c:v>
                </c:pt>
                <c:pt idx="52">
                  <c:v>0.71768229584581422</c:v>
                </c:pt>
                <c:pt idx="53">
                  <c:v>0.72102672422949554</c:v>
                </c:pt>
                <c:pt idx="54">
                  <c:v>0.69363491792385401</c:v>
                </c:pt>
                <c:pt idx="55">
                  <c:v>0.81529206118980968</c:v>
                </c:pt>
                <c:pt idx="56">
                  <c:v>0.86185852352852133</c:v>
                </c:pt>
                <c:pt idx="57">
                  <c:v>0.87033425334014036</c:v>
                </c:pt>
                <c:pt idx="58">
                  <c:v>0.84873269423720743</c:v>
                </c:pt>
                <c:pt idx="59">
                  <c:v>0.87299878185031632</c:v>
                </c:pt>
                <c:pt idx="60">
                  <c:v>0.86412038593422491</c:v>
                </c:pt>
                <c:pt idx="61">
                  <c:v>0.89858042638267577</c:v>
                </c:pt>
                <c:pt idx="62">
                  <c:v>0.95195219507786644</c:v>
                </c:pt>
                <c:pt idx="63">
                  <c:v>0.98750490849027373</c:v>
                </c:pt>
                <c:pt idx="64">
                  <c:v>0.95662619225679957</c:v>
                </c:pt>
                <c:pt idx="65">
                  <c:v>0.96457733867457418</c:v>
                </c:pt>
                <c:pt idx="66">
                  <c:v>0.96342651944917213</c:v>
                </c:pt>
                <c:pt idx="67">
                  <c:v>0.95674510196561469</c:v>
                </c:pt>
                <c:pt idx="68">
                  <c:v>0.91656458760419779</c:v>
                </c:pt>
                <c:pt idx="69">
                  <c:v>0.91708565928000074</c:v>
                </c:pt>
                <c:pt idx="70">
                  <c:v>0.93479221431655446</c:v>
                </c:pt>
                <c:pt idx="71">
                  <c:v>0.90335147588094178</c:v>
                </c:pt>
                <c:pt idx="72">
                  <c:v>0.97906548151762129</c:v>
                </c:pt>
                <c:pt idx="73">
                  <c:v>0.97981112032363138</c:v>
                </c:pt>
                <c:pt idx="74">
                  <c:v>0.94898336065925815</c:v>
                </c:pt>
                <c:pt idx="75">
                  <c:v>0.87284523760020793</c:v>
                </c:pt>
                <c:pt idx="76">
                  <c:v>0.83931367199981111</c:v>
                </c:pt>
                <c:pt idx="77">
                  <c:v>0.7188867002677759</c:v>
                </c:pt>
                <c:pt idx="78">
                  <c:v>0.83900487400600909</c:v>
                </c:pt>
                <c:pt idx="79">
                  <c:v>0.81780073012540255</c:v>
                </c:pt>
                <c:pt idx="80">
                  <c:v>0.82702171445081629</c:v>
                </c:pt>
                <c:pt idx="81">
                  <c:v>0.83906538146587561</c:v>
                </c:pt>
                <c:pt idx="82">
                  <c:v>0.78105041365863626</c:v>
                </c:pt>
                <c:pt idx="83">
                  <c:v>0.78507991971684654</c:v>
                </c:pt>
                <c:pt idx="84">
                  <c:v>0.79961322295012638</c:v>
                </c:pt>
                <c:pt idx="85">
                  <c:v>0.8027193109220776</c:v>
                </c:pt>
                <c:pt idx="86">
                  <c:v>0.868406437188875</c:v>
                </c:pt>
                <c:pt idx="87">
                  <c:v>0.79568226203565651</c:v>
                </c:pt>
                <c:pt idx="88">
                  <c:v>0.78538545827926154</c:v>
                </c:pt>
                <c:pt idx="89">
                  <c:v>0.81227302427811388</c:v>
                </c:pt>
                <c:pt idx="90">
                  <c:v>0.77693868019745649</c:v>
                </c:pt>
                <c:pt idx="91">
                  <c:v>0.7072121399197222</c:v>
                </c:pt>
                <c:pt idx="92">
                  <c:v>0.77839100488812607</c:v>
                </c:pt>
                <c:pt idx="93">
                  <c:v>0.66674611850765131</c:v>
                </c:pt>
                <c:pt idx="94">
                  <c:v>0.67069376917061185</c:v>
                </c:pt>
                <c:pt idx="95">
                  <c:v>0.67110230928622816</c:v>
                </c:pt>
                <c:pt idx="96">
                  <c:v>0.77819327099986546</c:v>
                </c:pt>
                <c:pt idx="97">
                  <c:v>0.75387428798116884</c:v>
                </c:pt>
                <c:pt idx="98">
                  <c:v>0.79018340773760221</c:v>
                </c:pt>
                <c:pt idx="99">
                  <c:v>0.75960056625791239</c:v>
                </c:pt>
                <c:pt idx="100">
                  <c:v>0.71839881437381559</c:v>
                </c:pt>
                <c:pt idx="101">
                  <c:v>0.71350059821375034</c:v>
                </c:pt>
                <c:pt idx="102">
                  <c:v>0.70791692128792894</c:v>
                </c:pt>
                <c:pt idx="103">
                  <c:v>0.74967849100471351</c:v>
                </c:pt>
                <c:pt idx="104">
                  <c:v>0.71990292512642062</c:v>
                </c:pt>
                <c:pt idx="105">
                  <c:v>0.78887998405080406</c:v>
                </c:pt>
                <c:pt idx="106">
                  <c:v>0.81132198048004012</c:v>
                </c:pt>
                <c:pt idx="107">
                  <c:v>0.79405034845185773</c:v>
                </c:pt>
                <c:pt idx="108">
                  <c:v>0.86538610866677734</c:v>
                </c:pt>
                <c:pt idx="109">
                  <c:v>0.77666550772047027</c:v>
                </c:pt>
                <c:pt idx="110">
                  <c:v>0.80623592735489846</c:v>
                </c:pt>
                <c:pt idx="111">
                  <c:v>0.79921480373934051</c:v>
                </c:pt>
                <c:pt idx="112">
                  <c:v>0.77581391184375026</c:v>
                </c:pt>
                <c:pt idx="113">
                  <c:v>0.75376322116566208</c:v>
                </c:pt>
                <c:pt idx="114">
                  <c:v>0.76541911558118225</c:v>
                </c:pt>
                <c:pt idx="115">
                  <c:v>0.75264322609497902</c:v>
                </c:pt>
                <c:pt idx="116">
                  <c:v>0.79696836551718186</c:v>
                </c:pt>
                <c:pt idx="117">
                  <c:v>0.84575500137345139</c:v>
                </c:pt>
                <c:pt idx="118">
                  <c:v>0.75862598998088093</c:v>
                </c:pt>
                <c:pt idx="119">
                  <c:v>0.77379454012684201</c:v>
                </c:pt>
                <c:pt idx="120">
                  <c:v>0.74387934623551488</c:v>
                </c:pt>
                <c:pt idx="121">
                  <c:v>0.7737251553965182</c:v>
                </c:pt>
                <c:pt idx="122">
                  <c:v>0.75002630161531669</c:v>
                </c:pt>
                <c:pt idx="123">
                  <c:v>0.74017349685306866</c:v>
                </c:pt>
                <c:pt idx="124">
                  <c:v>0.78459128647741894</c:v>
                </c:pt>
                <c:pt idx="125">
                  <c:v>0.7613616769284528</c:v>
                </c:pt>
                <c:pt idx="126">
                  <c:v>0.77086630173233028</c:v>
                </c:pt>
                <c:pt idx="127">
                  <c:v>0.80115155320727161</c:v>
                </c:pt>
                <c:pt idx="128">
                  <c:v>0.86327023038330153</c:v>
                </c:pt>
                <c:pt idx="129">
                  <c:v>0.92047552313169057</c:v>
                </c:pt>
                <c:pt idx="130">
                  <c:v>0.89849067060016619</c:v>
                </c:pt>
                <c:pt idx="131">
                  <c:v>0.84451265097091088</c:v>
                </c:pt>
                <c:pt idx="132">
                  <c:v>0.80864517107009082</c:v>
                </c:pt>
                <c:pt idx="133">
                  <c:v>0.76413156151737083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CE-4A8D-9C3E-C3F2939835FB}"/>
            </c:ext>
          </c:extLst>
        </c:ser>
        <c:ser>
          <c:idx val="2"/>
          <c:order val="2"/>
          <c:tx>
            <c:strRef>
              <c:f>'預測(OLS)累積報酬'!$B$14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'預測(OLS)累積報酬'!$C$11:$EF$11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'預測(OLS)累積報酬'!$C$14:$EF$14</c:f>
              <c:numCache>
                <c:formatCode>0.0000</c:formatCode>
                <c:ptCount val="134"/>
                <c:pt idx="0">
                  <c:v>-3.3228977675766179E-2</c:v>
                </c:pt>
                <c:pt idx="1">
                  <c:v>0.18907947086485982</c:v>
                </c:pt>
                <c:pt idx="2">
                  <c:v>0.14115872485159059</c:v>
                </c:pt>
                <c:pt idx="3">
                  <c:v>8.0816819945558033E-2</c:v>
                </c:pt>
                <c:pt idx="4">
                  <c:v>2.7160189502777356E-2</c:v>
                </c:pt>
                <c:pt idx="5">
                  <c:v>1.5651928640653765E-2</c:v>
                </c:pt>
                <c:pt idx="6">
                  <c:v>-2.8135431182488537E-2</c:v>
                </c:pt>
                <c:pt idx="7">
                  <c:v>-4.8254592175776476E-3</c:v>
                </c:pt>
                <c:pt idx="8">
                  <c:v>4.6002007043270315E-2</c:v>
                </c:pt>
                <c:pt idx="9">
                  <c:v>-1.0269077932965207E-2</c:v>
                </c:pt>
                <c:pt idx="10">
                  <c:v>-2.9290792397949187E-2</c:v>
                </c:pt>
                <c:pt idx="11">
                  <c:v>2.8078634259072862E-2</c:v>
                </c:pt>
                <c:pt idx="12">
                  <c:v>6.5554421272079361E-2</c:v>
                </c:pt>
                <c:pt idx="13">
                  <c:v>7.2095842230229759E-2</c:v>
                </c:pt>
                <c:pt idx="14">
                  <c:v>0.19619971340167847</c:v>
                </c:pt>
                <c:pt idx="15">
                  <c:v>0.21214090069878028</c:v>
                </c:pt>
                <c:pt idx="16">
                  <c:v>0.18733415460601249</c:v>
                </c:pt>
                <c:pt idx="17">
                  <c:v>0.25717563412690836</c:v>
                </c:pt>
                <c:pt idx="18">
                  <c:v>0.36144229876255596</c:v>
                </c:pt>
                <c:pt idx="19">
                  <c:v>0.41386359892144103</c:v>
                </c:pt>
                <c:pt idx="20">
                  <c:v>0.46165860165496109</c:v>
                </c:pt>
                <c:pt idx="21">
                  <c:v>0.51524031016914429</c:v>
                </c:pt>
                <c:pt idx="22">
                  <c:v>0.57043130158136601</c:v>
                </c:pt>
                <c:pt idx="23">
                  <c:v>0.60894322786167365</c:v>
                </c:pt>
                <c:pt idx="24">
                  <c:v>0.56949304755959151</c:v>
                </c:pt>
                <c:pt idx="25">
                  <c:v>0.4987236702123613</c:v>
                </c:pt>
                <c:pt idx="26">
                  <c:v>0.49563710787357201</c:v>
                </c:pt>
                <c:pt idx="27">
                  <c:v>0.42576251613842991</c:v>
                </c:pt>
                <c:pt idx="28">
                  <c:v>0.54259943597799598</c:v>
                </c:pt>
                <c:pt idx="29">
                  <c:v>0.44651934052136233</c:v>
                </c:pt>
                <c:pt idx="30">
                  <c:v>0.42119004551040928</c:v>
                </c:pt>
                <c:pt idx="31">
                  <c:v>0.50214222993421087</c:v>
                </c:pt>
                <c:pt idx="32">
                  <c:v>0.46667958603559895</c:v>
                </c:pt>
                <c:pt idx="33">
                  <c:v>0.44217401093451403</c:v>
                </c:pt>
                <c:pt idx="34">
                  <c:v>0.36469867191206001</c:v>
                </c:pt>
                <c:pt idx="35">
                  <c:v>0.40266786163452073</c:v>
                </c:pt>
                <c:pt idx="36">
                  <c:v>0.46391002801314596</c:v>
                </c:pt>
                <c:pt idx="37">
                  <c:v>0.56250469478268972</c:v>
                </c:pt>
                <c:pt idx="38">
                  <c:v>0.52446034224062843</c:v>
                </c:pt>
                <c:pt idx="39">
                  <c:v>0.51740551370386356</c:v>
                </c:pt>
                <c:pt idx="40">
                  <c:v>0.5177734814416235</c:v>
                </c:pt>
                <c:pt idx="41">
                  <c:v>0.49960265842273827</c:v>
                </c:pt>
                <c:pt idx="42">
                  <c:v>0.58497964437578509</c:v>
                </c:pt>
                <c:pt idx="43">
                  <c:v>0.66438312408642308</c:v>
                </c:pt>
                <c:pt idx="44">
                  <c:v>0.72180473720055693</c:v>
                </c:pt>
                <c:pt idx="45">
                  <c:v>0.73023119050553031</c:v>
                </c:pt>
                <c:pt idx="46">
                  <c:v>0.74859412201148778</c:v>
                </c:pt>
                <c:pt idx="47">
                  <c:v>0.72922390863599718</c:v>
                </c:pt>
                <c:pt idx="48">
                  <c:v>0.72753333681099008</c:v>
                </c:pt>
                <c:pt idx="49">
                  <c:v>0.66646275632975083</c:v>
                </c:pt>
                <c:pt idx="50">
                  <c:v>0.684084401873994</c:v>
                </c:pt>
                <c:pt idx="51">
                  <c:v>0.78598274213245201</c:v>
                </c:pt>
                <c:pt idx="52">
                  <c:v>0.77616174317717457</c:v>
                </c:pt>
                <c:pt idx="53">
                  <c:v>0.81948952484457993</c:v>
                </c:pt>
                <c:pt idx="54">
                  <c:v>0.7757024623090929</c:v>
                </c:pt>
                <c:pt idx="55">
                  <c:v>0.92953172388310124</c:v>
                </c:pt>
                <c:pt idx="56">
                  <c:v>0.97090598795703398</c:v>
                </c:pt>
                <c:pt idx="57">
                  <c:v>0.97624874352563462</c:v>
                </c:pt>
                <c:pt idx="58">
                  <c:v>1.0172798114588666</c:v>
                </c:pt>
                <c:pt idx="59">
                  <c:v>1.0858840070611693</c:v>
                </c:pt>
                <c:pt idx="60">
                  <c:v>1.0521925871904008</c:v>
                </c:pt>
                <c:pt idx="61">
                  <c:v>1.1121894827178411</c:v>
                </c:pt>
                <c:pt idx="62">
                  <c:v>1.1584678077208415</c:v>
                </c:pt>
                <c:pt idx="63">
                  <c:v>1.1845557679964211</c:v>
                </c:pt>
                <c:pt idx="64">
                  <c:v>1.1509467223191567</c:v>
                </c:pt>
                <c:pt idx="65">
                  <c:v>1.1006144389914114</c:v>
                </c:pt>
                <c:pt idx="66">
                  <c:v>1.0497299567973308</c:v>
                </c:pt>
                <c:pt idx="67">
                  <c:v>1.0218005272647128</c:v>
                </c:pt>
                <c:pt idx="68">
                  <c:v>0.99146780327794215</c:v>
                </c:pt>
                <c:pt idx="69">
                  <c:v>0.96074132715217775</c:v>
                </c:pt>
                <c:pt idx="70">
                  <c:v>0.95188649179414686</c:v>
                </c:pt>
                <c:pt idx="71">
                  <c:v>0.91060400293624844</c:v>
                </c:pt>
                <c:pt idx="72">
                  <c:v>1.0415015114934336</c:v>
                </c:pt>
                <c:pt idx="73">
                  <c:v>1.027166216216133</c:v>
                </c:pt>
                <c:pt idx="74">
                  <c:v>0.94676644763237183</c:v>
                </c:pt>
                <c:pt idx="75">
                  <c:v>0.88673239080358957</c:v>
                </c:pt>
                <c:pt idx="76">
                  <c:v>0.86226712468865252</c:v>
                </c:pt>
                <c:pt idx="77">
                  <c:v>0.69780162336674567</c:v>
                </c:pt>
                <c:pt idx="78">
                  <c:v>0.81839778195592816</c:v>
                </c:pt>
                <c:pt idx="79">
                  <c:v>0.8513241693087118</c:v>
                </c:pt>
                <c:pt idx="80">
                  <c:v>0.77916745009701383</c:v>
                </c:pt>
                <c:pt idx="81">
                  <c:v>0.82204486017233069</c:v>
                </c:pt>
                <c:pt idx="82">
                  <c:v>0.76472419650451007</c:v>
                </c:pt>
                <c:pt idx="83">
                  <c:v>0.81360386696057585</c:v>
                </c:pt>
                <c:pt idx="84">
                  <c:v>0.82830547897201856</c:v>
                </c:pt>
                <c:pt idx="85">
                  <c:v>0.85697333391619313</c:v>
                </c:pt>
                <c:pt idx="86">
                  <c:v>0.91076542043018605</c:v>
                </c:pt>
                <c:pt idx="87">
                  <c:v>0.7734218499767116</c:v>
                </c:pt>
                <c:pt idx="88">
                  <c:v>0.80546186034502876</c:v>
                </c:pt>
                <c:pt idx="89">
                  <c:v>0.82848854901595481</c:v>
                </c:pt>
                <c:pt idx="90">
                  <c:v>0.74972479029763073</c:v>
                </c:pt>
                <c:pt idx="91">
                  <c:v>0.64991545881587787</c:v>
                </c:pt>
                <c:pt idx="92">
                  <c:v>0.68214335870326559</c:v>
                </c:pt>
                <c:pt idx="93">
                  <c:v>0.47442364611261756</c:v>
                </c:pt>
                <c:pt idx="94">
                  <c:v>0.47060753276909761</c:v>
                </c:pt>
                <c:pt idx="95">
                  <c:v>0.46094564648704239</c:v>
                </c:pt>
                <c:pt idx="96">
                  <c:v>0.5624906464437569</c:v>
                </c:pt>
                <c:pt idx="97">
                  <c:v>0.5230912125425371</c:v>
                </c:pt>
                <c:pt idx="98">
                  <c:v>0.56785509698579717</c:v>
                </c:pt>
                <c:pt idx="99">
                  <c:v>0.47721586963587348</c:v>
                </c:pt>
                <c:pt idx="100">
                  <c:v>0.38085473950858956</c:v>
                </c:pt>
                <c:pt idx="101">
                  <c:v>0.3705533398501662</c:v>
                </c:pt>
                <c:pt idx="102">
                  <c:v>0.34624905067958173</c:v>
                </c:pt>
                <c:pt idx="103">
                  <c:v>0.36981012386777257</c:v>
                </c:pt>
                <c:pt idx="104">
                  <c:v>0.34617751466292507</c:v>
                </c:pt>
                <c:pt idx="105">
                  <c:v>0.42538286651110957</c:v>
                </c:pt>
                <c:pt idx="106">
                  <c:v>0.48790979051756855</c:v>
                </c:pt>
                <c:pt idx="107">
                  <c:v>0.423729382646514</c:v>
                </c:pt>
                <c:pt idx="108">
                  <c:v>0.51105418840504702</c:v>
                </c:pt>
                <c:pt idx="109">
                  <c:v>0.45231299423867333</c:v>
                </c:pt>
                <c:pt idx="110">
                  <c:v>0.49297212887424496</c:v>
                </c:pt>
                <c:pt idx="111">
                  <c:v>0.4841780994869242</c:v>
                </c:pt>
                <c:pt idx="112">
                  <c:v>0.40676481519678798</c:v>
                </c:pt>
                <c:pt idx="113">
                  <c:v>0.36600994336488896</c:v>
                </c:pt>
                <c:pt idx="114">
                  <c:v>0.39843186010666792</c:v>
                </c:pt>
                <c:pt idx="115">
                  <c:v>0.44336760071516357</c:v>
                </c:pt>
                <c:pt idx="116">
                  <c:v>0.51365614965969519</c:v>
                </c:pt>
                <c:pt idx="117">
                  <c:v>0.55719586601734716</c:v>
                </c:pt>
                <c:pt idx="118">
                  <c:v>0.48602330143621419</c:v>
                </c:pt>
                <c:pt idx="119">
                  <c:v>0.49381772324529949</c:v>
                </c:pt>
                <c:pt idx="120">
                  <c:v>0.40437996885633232</c:v>
                </c:pt>
                <c:pt idx="121">
                  <c:v>0.41213425919541519</c:v>
                </c:pt>
                <c:pt idx="122">
                  <c:v>0.29321667262784207</c:v>
                </c:pt>
                <c:pt idx="123">
                  <c:v>0.24806344872335906</c:v>
                </c:pt>
                <c:pt idx="124">
                  <c:v>0.34640781574113677</c:v>
                </c:pt>
                <c:pt idx="125">
                  <c:v>0.31871811838073816</c:v>
                </c:pt>
                <c:pt idx="126">
                  <c:v>0.36637910498307935</c:v>
                </c:pt>
                <c:pt idx="127">
                  <c:v>0.38807669423919616</c:v>
                </c:pt>
                <c:pt idx="128">
                  <c:v>0.49560217743671997</c:v>
                </c:pt>
                <c:pt idx="129">
                  <c:v>0.5737820081369831</c:v>
                </c:pt>
                <c:pt idx="130">
                  <c:v>0.53052199060767546</c:v>
                </c:pt>
                <c:pt idx="131">
                  <c:v>0.45212272646261198</c:v>
                </c:pt>
                <c:pt idx="132">
                  <c:v>0.40961698716125372</c:v>
                </c:pt>
                <c:pt idx="133">
                  <c:v>0.38409163195937246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CE-4A8D-9C3E-C3F2939835FB}"/>
            </c:ext>
          </c:extLst>
        </c:ser>
        <c:ser>
          <c:idx val="3"/>
          <c:order val="3"/>
          <c:tx>
            <c:strRef>
              <c:f>'預測(OLS)累積報酬'!$B$15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'預測(OLS)累積報酬'!$C$11:$EF$11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'預測(OLS)累積報酬'!$C$15:$EF$15</c:f>
              <c:numCache>
                <c:formatCode>0.0000</c:formatCode>
                <c:ptCount val="134"/>
                <c:pt idx="0">
                  <c:v>-3.6350225217569622E-2</c:v>
                </c:pt>
                <c:pt idx="1">
                  <c:v>0.33635899039235595</c:v>
                </c:pt>
                <c:pt idx="2">
                  <c:v>0.24101438492138549</c:v>
                </c:pt>
                <c:pt idx="3">
                  <c:v>0.27593582147808288</c:v>
                </c:pt>
                <c:pt idx="4">
                  <c:v>0.24153190051104637</c:v>
                </c:pt>
                <c:pt idx="5">
                  <c:v>0.24028817445294126</c:v>
                </c:pt>
                <c:pt idx="6">
                  <c:v>0.18185673017307571</c:v>
                </c:pt>
                <c:pt idx="7">
                  <c:v>0.23181819542046536</c:v>
                </c:pt>
                <c:pt idx="8">
                  <c:v>0.32633299301239627</c:v>
                </c:pt>
                <c:pt idx="9">
                  <c:v>0.24516193244375001</c:v>
                </c:pt>
                <c:pt idx="10">
                  <c:v>0.24302891600746232</c:v>
                </c:pt>
                <c:pt idx="11">
                  <c:v>0.35282511043259601</c:v>
                </c:pt>
                <c:pt idx="12">
                  <c:v>0.42658245467891065</c:v>
                </c:pt>
                <c:pt idx="13">
                  <c:v>0.44847902452413468</c:v>
                </c:pt>
                <c:pt idx="14">
                  <c:v>0.60401586663194717</c:v>
                </c:pt>
                <c:pt idx="15">
                  <c:v>0.65614555673706465</c:v>
                </c:pt>
                <c:pt idx="16">
                  <c:v>0.74163344694300548</c:v>
                </c:pt>
                <c:pt idx="17">
                  <c:v>0.80843357188611753</c:v>
                </c:pt>
                <c:pt idx="18">
                  <c:v>0.94540163355338636</c:v>
                </c:pt>
                <c:pt idx="19">
                  <c:v>1.0555286398842223</c:v>
                </c:pt>
                <c:pt idx="20">
                  <c:v>1.1062000641292129</c:v>
                </c:pt>
                <c:pt idx="21">
                  <c:v>1.1846364765748003</c:v>
                </c:pt>
                <c:pt idx="22">
                  <c:v>1.2366652746319424</c:v>
                </c:pt>
                <c:pt idx="23">
                  <c:v>1.2833852466853011</c:v>
                </c:pt>
                <c:pt idx="24">
                  <c:v>1.2293040996572675</c:v>
                </c:pt>
                <c:pt idx="25">
                  <c:v>1.1456039271414369</c:v>
                </c:pt>
                <c:pt idx="26">
                  <c:v>1.149921595989492</c:v>
                </c:pt>
                <c:pt idx="27">
                  <c:v>1.0682082211013095</c:v>
                </c:pt>
                <c:pt idx="28">
                  <c:v>1.2800008641485816</c:v>
                </c:pt>
                <c:pt idx="29">
                  <c:v>1.1422745769709273</c:v>
                </c:pt>
                <c:pt idx="30">
                  <c:v>1.0979500327558513</c:v>
                </c:pt>
                <c:pt idx="31">
                  <c:v>1.2309173977655741</c:v>
                </c:pt>
                <c:pt idx="32">
                  <c:v>1.2060681406330431</c:v>
                </c:pt>
                <c:pt idx="33">
                  <c:v>1.1723502185138699</c:v>
                </c:pt>
                <c:pt idx="34">
                  <c:v>1.1029887673219534</c:v>
                </c:pt>
                <c:pt idx="35">
                  <c:v>1.1474204298177679</c:v>
                </c:pt>
                <c:pt idx="36">
                  <c:v>1.202543051952395</c:v>
                </c:pt>
                <c:pt idx="37">
                  <c:v>1.3042317578647784</c:v>
                </c:pt>
                <c:pt idx="38">
                  <c:v>1.252847237624811</c:v>
                </c:pt>
                <c:pt idx="39">
                  <c:v>1.2402652926691653</c:v>
                </c:pt>
                <c:pt idx="40">
                  <c:v>1.2776324194652871</c:v>
                </c:pt>
                <c:pt idx="41">
                  <c:v>1.2530815997670084</c:v>
                </c:pt>
                <c:pt idx="42">
                  <c:v>1.3069027788041223</c:v>
                </c:pt>
                <c:pt idx="43">
                  <c:v>1.3778925914078273</c:v>
                </c:pt>
                <c:pt idx="44">
                  <c:v>1.4550666686577891</c:v>
                </c:pt>
                <c:pt idx="45">
                  <c:v>1.4882919708761677</c:v>
                </c:pt>
                <c:pt idx="46">
                  <c:v>1.4726320316215868</c:v>
                </c:pt>
                <c:pt idx="47">
                  <c:v>1.3912714656668188</c:v>
                </c:pt>
                <c:pt idx="48">
                  <c:v>1.3622658063663271</c:v>
                </c:pt>
                <c:pt idx="49">
                  <c:v>1.2944194772476767</c:v>
                </c:pt>
                <c:pt idx="50">
                  <c:v>1.3050329920553296</c:v>
                </c:pt>
                <c:pt idx="51">
                  <c:v>1.4138220918714524</c:v>
                </c:pt>
                <c:pt idx="52">
                  <c:v>1.4759772355392826</c:v>
                </c:pt>
                <c:pt idx="53">
                  <c:v>1.5290205094440787</c:v>
                </c:pt>
                <c:pt idx="54">
                  <c:v>1.4805777884264155</c:v>
                </c:pt>
                <c:pt idx="55">
                  <c:v>1.6914498759164029</c:v>
                </c:pt>
                <c:pt idx="56">
                  <c:v>1.6939394146509681</c:v>
                </c:pt>
                <c:pt idx="57">
                  <c:v>1.7283812601326576</c:v>
                </c:pt>
                <c:pt idx="58">
                  <c:v>1.7495403745393971</c:v>
                </c:pt>
                <c:pt idx="59">
                  <c:v>1.8796506295755666</c:v>
                </c:pt>
                <c:pt idx="60">
                  <c:v>1.9252555618759801</c:v>
                </c:pt>
                <c:pt idx="61">
                  <c:v>1.9850109828503011</c:v>
                </c:pt>
                <c:pt idx="62">
                  <c:v>2.0332299873380451</c:v>
                </c:pt>
                <c:pt idx="63">
                  <c:v>2.0969507147490569</c:v>
                </c:pt>
                <c:pt idx="64">
                  <c:v>2.0692162387941258</c:v>
                </c:pt>
                <c:pt idx="65">
                  <c:v>2.017599384322061</c:v>
                </c:pt>
                <c:pt idx="66">
                  <c:v>1.9741681308291652</c:v>
                </c:pt>
                <c:pt idx="67">
                  <c:v>1.9240107017071055</c:v>
                </c:pt>
                <c:pt idx="68">
                  <c:v>1.9121447907984939</c:v>
                </c:pt>
                <c:pt idx="69">
                  <c:v>1.8522938547066432</c:v>
                </c:pt>
                <c:pt idx="70">
                  <c:v>1.8717702745024367</c:v>
                </c:pt>
                <c:pt idx="71">
                  <c:v>1.7855901377865167</c:v>
                </c:pt>
                <c:pt idx="72">
                  <c:v>2.0844691273624445</c:v>
                </c:pt>
                <c:pt idx="73">
                  <c:v>2.0306175584179806</c:v>
                </c:pt>
                <c:pt idx="74">
                  <c:v>1.9372791659541437</c:v>
                </c:pt>
                <c:pt idx="75">
                  <c:v>1.8343726969767964</c:v>
                </c:pt>
                <c:pt idx="76">
                  <c:v>1.8157806761803541</c:v>
                </c:pt>
                <c:pt idx="77">
                  <c:v>1.6846892733962928</c:v>
                </c:pt>
                <c:pt idx="78">
                  <c:v>1.8583409791184127</c:v>
                </c:pt>
                <c:pt idx="79">
                  <c:v>1.811226510989739</c:v>
                </c:pt>
                <c:pt idx="80">
                  <c:v>1.6947099419196183</c:v>
                </c:pt>
                <c:pt idx="81">
                  <c:v>1.7360593717875858</c:v>
                </c:pt>
                <c:pt idx="82">
                  <c:v>1.6501733502574221</c:v>
                </c:pt>
                <c:pt idx="83">
                  <c:v>1.7315159582407502</c:v>
                </c:pt>
                <c:pt idx="84">
                  <c:v>1.7290050194604178</c:v>
                </c:pt>
                <c:pt idx="85">
                  <c:v>1.8160493755331359</c:v>
                </c:pt>
                <c:pt idx="86">
                  <c:v>1.9116901237058412</c:v>
                </c:pt>
                <c:pt idx="87">
                  <c:v>1.7500356506626646</c:v>
                </c:pt>
                <c:pt idx="88">
                  <c:v>1.8246667667911185</c:v>
                </c:pt>
                <c:pt idx="89">
                  <c:v>1.8673008825902788</c:v>
                </c:pt>
                <c:pt idx="90">
                  <c:v>1.7603216383907108</c:v>
                </c:pt>
                <c:pt idx="91">
                  <c:v>1.6327858029577611</c:v>
                </c:pt>
                <c:pt idx="92">
                  <c:v>1.6078224425013223</c:v>
                </c:pt>
                <c:pt idx="93">
                  <c:v>1.4263335102655872</c:v>
                </c:pt>
                <c:pt idx="94">
                  <c:v>1.4432444969698428</c:v>
                </c:pt>
                <c:pt idx="95">
                  <c:v>1.4481861673354548</c:v>
                </c:pt>
                <c:pt idx="96">
                  <c:v>1.5722360987493229</c:v>
                </c:pt>
                <c:pt idx="97">
                  <c:v>1.511791603059933</c:v>
                </c:pt>
                <c:pt idx="98">
                  <c:v>1.5378636939630597</c:v>
                </c:pt>
                <c:pt idx="99">
                  <c:v>1.3854759150714917</c:v>
                </c:pt>
                <c:pt idx="100">
                  <c:v>1.2925280107361337</c:v>
                </c:pt>
                <c:pt idx="101">
                  <c:v>1.2687646755956516</c:v>
                </c:pt>
                <c:pt idx="102">
                  <c:v>1.242388840153775</c:v>
                </c:pt>
                <c:pt idx="103">
                  <c:v>1.2726154583678988</c:v>
                </c:pt>
                <c:pt idx="104">
                  <c:v>1.2375403083933167</c:v>
                </c:pt>
                <c:pt idx="105">
                  <c:v>1.252047034524763</c:v>
                </c:pt>
                <c:pt idx="106">
                  <c:v>1.3092106692560155</c:v>
                </c:pt>
                <c:pt idx="107">
                  <c:v>1.3152651955286196</c:v>
                </c:pt>
                <c:pt idx="108">
                  <c:v>1.4283567583689794</c:v>
                </c:pt>
                <c:pt idx="109">
                  <c:v>1.2987348227011224</c:v>
                </c:pt>
                <c:pt idx="110">
                  <c:v>1.3528431413582527</c:v>
                </c:pt>
                <c:pt idx="111">
                  <c:v>1.2928193646671955</c:v>
                </c:pt>
                <c:pt idx="112">
                  <c:v>1.220630766861398</c:v>
                </c:pt>
                <c:pt idx="113">
                  <c:v>1.220934760064226</c:v>
                </c:pt>
                <c:pt idx="114">
                  <c:v>1.2599868767578917</c:v>
                </c:pt>
                <c:pt idx="115">
                  <c:v>1.3417175890090207</c:v>
                </c:pt>
                <c:pt idx="116">
                  <c:v>1.3758220047581178</c:v>
                </c:pt>
                <c:pt idx="117">
                  <c:v>1.3995576067650104</c:v>
                </c:pt>
                <c:pt idx="118">
                  <c:v>1.362518917812813</c:v>
                </c:pt>
                <c:pt idx="119">
                  <c:v>1.3404836528179389</c:v>
                </c:pt>
                <c:pt idx="120">
                  <c:v>1.3309121103591743</c:v>
                </c:pt>
                <c:pt idx="121">
                  <c:v>1.3836309003482439</c:v>
                </c:pt>
                <c:pt idx="122">
                  <c:v>1.194990255445856</c:v>
                </c:pt>
                <c:pt idx="123">
                  <c:v>1.1482625260926163</c:v>
                </c:pt>
                <c:pt idx="124">
                  <c:v>1.1738011532394488</c:v>
                </c:pt>
                <c:pt idx="125">
                  <c:v>1.1522554829189688</c:v>
                </c:pt>
                <c:pt idx="126">
                  <c:v>1.06858184822643</c:v>
                </c:pt>
                <c:pt idx="127">
                  <c:v>1.105178345990234</c:v>
                </c:pt>
                <c:pt idx="128">
                  <c:v>1.2143552789001126</c:v>
                </c:pt>
                <c:pt idx="129">
                  <c:v>1.3024427284273674</c:v>
                </c:pt>
                <c:pt idx="130">
                  <c:v>1.2262856516307477</c:v>
                </c:pt>
                <c:pt idx="131">
                  <c:v>1.1156256171425274</c:v>
                </c:pt>
                <c:pt idx="132">
                  <c:v>1.0662814372023679</c:v>
                </c:pt>
                <c:pt idx="133">
                  <c:v>1.0366353821303618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CE-4A8D-9C3E-C3F2939835FB}"/>
            </c:ext>
          </c:extLst>
        </c:ser>
        <c:ser>
          <c:idx val="4"/>
          <c:order val="4"/>
          <c:tx>
            <c:strRef>
              <c:f>'預測(OLS)累積報酬'!$B$16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'預測(OLS)累積報酬'!$C$11:$EF$11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'預測(OLS)累積報酬'!$C$16:$EF$16</c:f>
              <c:numCache>
                <c:formatCode>0.0000</c:formatCode>
                <c:ptCount val="134"/>
                <c:pt idx="0">
                  <c:v>-3.9435389831589431E-2</c:v>
                </c:pt>
                <c:pt idx="1">
                  <c:v>0.36875958890099114</c:v>
                </c:pt>
                <c:pt idx="2">
                  <c:v>0.28205541747243784</c:v>
                </c:pt>
                <c:pt idx="3">
                  <c:v>0.36077088937676882</c:v>
                </c:pt>
                <c:pt idx="4">
                  <c:v>0.35262433871781956</c:v>
                </c:pt>
                <c:pt idx="5">
                  <c:v>0.35197498926099652</c:v>
                </c:pt>
                <c:pt idx="6">
                  <c:v>0.29444437059537509</c:v>
                </c:pt>
                <c:pt idx="7">
                  <c:v>0.34115429663804125</c:v>
                </c:pt>
                <c:pt idx="8">
                  <c:v>0.42757518822043183</c:v>
                </c:pt>
                <c:pt idx="9">
                  <c:v>0.34241358410622041</c:v>
                </c:pt>
                <c:pt idx="10">
                  <c:v>0.32842614824430333</c:v>
                </c:pt>
                <c:pt idx="11">
                  <c:v>0.44866864652350003</c:v>
                </c:pt>
                <c:pt idx="12">
                  <c:v>0.52849550709461712</c:v>
                </c:pt>
                <c:pt idx="13">
                  <c:v>0.53668368660894905</c:v>
                </c:pt>
                <c:pt idx="14">
                  <c:v>0.69458675703328709</c:v>
                </c:pt>
                <c:pt idx="15">
                  <c:v>0.74357773531621363</c:v>
                </c:pt>
                <c:pt idx="16">
                  <c:v>0.85343677965102027</c:v>
                </c:pt>
                <c:pt idx="17">
                  <c:v>0.92065583980862153</c:v>
                </c:pt>
                <c:pt idx="18">
                  <c:v>1.050718311238366</c:v>
                </c:pt>
                <c:pt idx="19">
                  <c:v>1.126289797347273</c:v>
                </c:pt>
                <c:pt idx="20">
                  <c:v>1.2279211544784483</c:v>
                </c:pt>
                <c:pt idx="21">
                  <c:v>1.3015994321359154</c:v>
                </c:pt>
                <c:pt idx="22">
                  <c:v>1.351878266596978</c:v>
                </c:pt>
                <c:pt idx="23">
                  <c:v>1.3949361974811896</c:v>
                </c:pt>
                <c:pt idx="24">
                  <c:v>1.3514485616451974</c:v>
                </c:pt>
                <c:pt idx="25">
                  <c:v>1.276463520007217</c:v>
                </c:pt>
                <c:pt idx="26">
                  <c:v>1.2636980719718003</c:v>
                </c:pt>
                <c:pt idx="27">
                  <c:v>1.2105620164239435</c:v>
                </c:pt>
                <c:pt idx="28">
                  <c:v>1.420190257600854</c:v>
                </c:pt>
                <c:pt idx="29">
                  <c:v>1.2722746473364275</c:v>
                </c:pt>
                <c:pt idx="30">
                  <c:v>1.2284984876006551</c:v>
                </c:pt>
                <c:pt idx="31">
                  <c:v>1.3769001127678075</c:v>
                </c:pt>
                <c:pt idx="32">
                  <c:v>1.3435168570961602</c:v>
                </c:pt>
                <c:pt idx="33">
                  <c:v>1.2953963785598299</c:v>
                </c:pt>
                <c:pt idx="34">
                  <c:v>1.257962925578342</c:v>
                </c:pt>
                <c:pt idx="35">
                  <c:v>1.3066518586828653</c:v>
                </c:pt>
                <c:pt idx="36">
                  <c:v>1.3727285892846632</c:v>
                </c:pt>
                <c:pt idx="37">
                  <c:v>1.4791847893743388</c:v>
                </c:pt>
                <c:pt idx="38">
                  <c:v>1.4380946360125977</c:v>
                </c:pt>
                <c:pt idx="39">
                  <c:v>1.4328547464492527</c:v>
                </c:pt>
                <c:pt idx="40">
                  <c:v>1.4713209465953212</c:v>
                </c:pt>
                <c:pt idx="41">
                  <c:v>1.4388281868752575</c:v>
                </c:pt>
                <c:pt idx="42">
                  <c:v>1.5038964123492269</c:v>
                </c:pt>
                <c:pt idx="43">
                  <c:v>1.6264604556995117</c:v>
                </c:pt>
                <c:pt idx="44">
                  <c:v>1.7085507275425136</c:v>
                </c:pt>
                <c:pt idx="45">
                  <c:v>1.7321596038905724</c:v>
                </c:pt>
                <c:pt idx="46">
                  <c:v>1.6929066738159217</c:v>
                </c:pt>
                <c:pt idx="47">
                  <c:v>1.5922853447145189</c:v>
                </c:pt>
                <c:pt idx="48">
                  <c:v>1.5726834911153798</c:v>
                </c:pt>
                <c:pt idx="49">
                  <c:v>1.484533309594807</c:v>
                </c:pt>
                <c:pt idx="50">
                  <c:v>1.499456414652393</c:v>
                </c:pt>
                <c:pt idx="51">
                  <c:v>1.6319311522489648</c:v>
                </c:pt>
                <c:pt idx="52">
                  <c:v>1.6990526183566566</c:v>
                </c:pt>
                <c:pt idx="53">
                  <c:v>1.7349893299025605</c:v>
                </c:pt>
                <c:pt idx="54">
                  <c:v>1.6835783355080856</c:v>
                </c:pt>
                <c:pt idx="55">
                  <c:v>1.9313651946085457</c:v>
                </c:pt>
                <c:pt idx="56">
                  <c:v>1.9448384766565023</c:v>
                </c:pt>
                <c:pt idx="57">
                  <c:v>1.9310628621725405</c:v>
                </c:pt>
                <c:pt idx="58">
                  <c:v>1.9800528026054516</c:v>
                </c:pt>
                <c:pt idx="59">
                  <c:v>2.0766196061309898</c:v>
                </c:pt>
                <c:pt idx="60">
                  <c:v>2.1279912306570012</c:v>
                </c:pt>
                <c:pt idx="61">
                  <c:v>2.1891648301414715</c:v>
                </c:pt>
                <c:pt idx="62">
                  <c:v>2.2286628156325774</c:v>
                </c:pt>
                <c:pt idx="63">
                  <c:v>2.2899675655424621</c:v>
                </c:pt>
                <c:pt idx="64">
                  <c:v>2.2680772055888045</c:v>
                </c:pt>
                <c:pt idx="65">
                  <c:v>2.2103271449083488</c:v>
                </c:pt>
                <c:pt idx="66">
                  <c:v>2.1866364262411015</c:v>
                </c:pt>
                <c:pt idx="67">
                  <c:v>2.1603395782196571</c:v>
                </c:pt>
                <c:pt idx="68">
                  <c:v>2.1283325910267741</c:v>
                </c:pt>
                <c:pt idx="69">
                  <c:v>2.0816717085332557</c:v>
                </c:pt>
                <c:pt idx="70">
                  <c:v>2.1394368187180559</c:v>
                </c:pt>
                <c:pt idx="71">
                  <c:v>2.0449263502511306</c:v>
                </c:pt>
                <c:pt idx="72">
                  <c:v>2.3628971847894977</c:v>
                </c:pt>
                <c:pt idx="73">
                  <c:v>2.2963376656714147</c:v>
                </c:pt>
                <c:pt idx="74">
                  <c:v>2.1773429576181362</c:v>
                </c:pt>
                <c:pt idx="75">
                  <c:v>2.065817109116487</c:v>
                </c:pt>
                <c:pt idx="76">
                  <c:v>2.0361027193609238</c:v>
                </c:pt>
                <c:pt idx="77">
                  <c:v>1.8967939834275898</c:v>
                </c:pt>
                <c:pt idx="78">
                  <c:v>1.9411821365977955</c:v>
                </c:pt>
                <c:pt idx="79">
                  <c:v>1.8801936107240655</c:v>
                </c:pt>
                <c:pt idx="80">
                  <c:v>1.7475985499305542</c:v>
                </c:pt>
                <c:pt idx="81">
                  <c:v>1.8003986342658351</c:v>
                </c:pt>
                <c:pt idx="82">
                  <c:v>1.7386707561191685</c:v>
                </c:pt>
                <c:pt idx="83">
                  <c:v>1.7891194808231647</c:v>
                </c:pt>
                <c:pt idx="84">
                  <c:v>1.784878812711014</c:v>
                </c:pt>
                <c:pt idx="85">
                  <c:v>1.8304023634986806</c:v>
                </c:pt>
                <c:pt idx="86">
                  <c:v>1.9188250532802882</c:v>
                </c:pt>
                <c:pt idx="87">
                  <c:v>1.7220846151210745</c:v>
                </c:pt>
                <c:pt idx="88">
                  <c:v>1.8110732432705861</c:v>
                </c:pt>
                <c:pt idx="89">
                  <c:v>1.8441307584115361</c:v>
                </c:pt>
                <c:pt idx="90">
                  <c:v>1.7094905496176307</c:v>
                </c:pt>
                <c:pt idx="91">
                  <c:v>1.5728588601355393</c:v>
                </c:pt>
                <c:pt idx="92">
                  <c:v>1.5525250803151784</c:v>
                </c:pt>
                <c:pt idx="93">
                  <c:v>1.3632385468477801</c:v>
                </c:pt>
                <c:pt idx="94">
                  <c:v>1.3850455557574022</c:v>
                </c:pt>
                <c:pt idx="95">
                  <c:v>1.4106029337182369</c:v>
                </c:pt>
                <c:pt idx="96">
                  <c:v>1.546074634582443</c:v>
                </c:pt>
                <c:pt idx="97">
                  <c:v>1.486620641796607</c:v>
                </c:pt>
                <c:pt idx="98">
                  <c:v>1.5339623009708869</c:v>
                </c:pt>
                <c:pt idx="99">
                  <c:v>1.3716963256682708</c:v>
                </c:pt>
                <c:pt idx="100">
                  <c:v>1.2904156877940567</c:v>
                </c:pt>
                <c:pt idx="101">
                  <c:v>1.2576908655519126</c:v>
                </c:pt>
                <c:pt idx="102">
                  <c:v>1.2278860715846771</c:v>
                </c:pt>
                <c:pt idx="103">
                  <c:v>1.2705982413649031</c:v>
                </c:pt>
                <c:pt idx="104">
                  <c:v>1.2276558790444028</c:v>
                </c:pt>
                <c:pt idx="105">
                  <c:v>1.2593995895316827</c:v>
                </c:pt>
                <c:pt idx="106">
                  <c:v>1.2939519898904728</c:v>
                </c:pt>
                <c:pt idx="107">
                  <c:v>1.2966500034427988</c:v>
                </c:pt>
                <c:pt idx="108">
                  <c:v>1.4230219232932715</c:v>
                </c:pt>
                <c:pt idx="109">
                  <c:v>1.2858741628807633</c:v>
                </c:pt>
                <c:pt idx="110">
                  <c:v>1.3312736607820246</c:v>
                </c:pt>
                <c:pt idx="111">
                  <c:v>1.260318608345139</c:v>
                </c:pt>
                <c:pt idx="112">
                  <c:v>1.2026328389978795</c:v>
                </c:pt>
                <c:pt idx="113">
                  <c:v>1.2245057132476538</c:v>
                </c:pt>
                <c:pt idx="114">
                  <c:v>1.243416087416197</c:v>
                </c:pt>
                <c:pt idx="115">
                  <c:v>1.3593028191611887</c:v>
                </c:pt>
                <c:pt idx="116">
                  <c:v>1.4058666856409667</c:v>
                </c:pt>
                <c:pt idx="117">
                  <c:v>1.4257086342201928</c:v>
                </c:pt>
                <c:pt idx="118">
                  <c:v>1.3786384782156611</c:v>
                </c:pt>
                <c:pt idx="119">
                  <c:v>1.3674603105665597</c:v>
                </c:pt>
                <c:pt idx="120">
                  <c:v>1.3778833349430746</c:v>
                </c:pt>
                <c:pt idx="121">
                  <c:v>1.4369963100212606</c:v>
                </c:pt>
                <c:pt idx="122">
                  <c:v>1.2468880675753422</c:v>
                </c:pt>
                <c:pt idx="123">
                  <c:v>1.2011597504028553</c:v>
                </c:pt>
                <c:pt idx="124">
                  <c:v>1.242077480102546</c:v>
                </c:pt>
                <c:pt idx="125">
                  <c:v>1.2201297523265051</c:v>
                </c:pt>
                <c:pt idx="126">
                  <c:v>1.1251448881052681</c:v>
                </c:pt>
                <c:pt idx="127">
                  <c:v>1.1377940596910574</c:v>
                </c:pt>
                <c:pt idx="128">
                  <c:v>1.2775930784344471</c:v>
                </c:pt>
                <c:pt idx="129">
                  <c:v>1.3782721791116488</c:v>
                </c:pt>
                <c:pt idx="130">
                  <c:v>1.3097706985438098</c:v>
                </c:pt>
                <c:pt idx="131">
                  <c:v>1.1950714709028929</c:v>
                </c:pt>
                <c:pt idx="132">
                  <c:v>1.135830474247707</c:v>
                </c:pt>
                <c:pt idx="133">
                  <c:v>1.1012798382677274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CE-4A8D-9C3E-C3F2939835FB}"/>
            </c:ext>
          </c:extLst>
        </c:ser>
        <c:ser>
          <c:idx val="5"/>
          <c:order val="5"/>
          <c:tx>
            <c:strRef>
              <c:f>'預測(OLS)累積報酬'!$B$17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'預測(OLS)累積報酬'!$C$11:$EF$11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'預測(OLS)累積報酬'!$C$17:$EF$17</c:f>
              <c:numCache>
                <c:formatCode>0.0000</c:formatCode>
                <c:ptCount val="134"/>
                <c:pt idx="0">
                  <c:v>-3.8913468982799751E-2</c:v>
                </c:pt>
                <c:pt idx="1">
                  <c:v>0.40067501964182167</c:v>
                </c:pt>
                <c:pt idx="2">
                  <c:v>0.30400391044921082</c:v>
                </c:pt>
                <c:pt idx="3">
                  <c:v>0.38475607460152994</c:v>
                </c:pt>
                <c:pt idx="4">
                  <c:v>0.27936899993779923</c:v>
                </c:pt>
                <c:pt idx="5">
                  <c:v>0.2873118567858009</c:v>
                </c:pt>
                <c:pt idx="6">
                  <c:v>0.17358682898361338</c:v>
                </c:pt>
                <c:pt idx="7">
                  <c:v>0.21544522410184258</c:v>
                </c:pt>
                <c:pt idx="8">
                  <c:v>0.31700530382415248</c:v>
                </c:pt>
                <c:pt idx="9">
                  <c:v>0.27477051267881036</c:v>
                </c:pt>
                <c:pt idx="10">
                  <c:v>0.28942965476909877</c:v>
                </c:pt>
                <c:pt idx="11">
                  <c:v>0.39870748159890457</c:v>
                </c:pt>
                <c:pt idx="12">
                  <c:v>0.49993425087124027</c:v>
                </c:pt>
                <c:pt idx="13">
                  <c:v>0.51331719761460859</c:v>
                </c:pt>
                <c:pt idx="14">
                  <c:v>0.67511849222973552</c:v>
                </c:pt>
                <c:pt idx="15">
                  <c:v>0.72717610113426279</c:v>
                </c:pt>
                <c:pt idx="16">
                  <c:v>0.84623049045959353</c:v>
                </c:pt>
                <c:pt idx="17">
                  <c:v>0.91743250499240059</c:v>
                </c:pt>
                <c:pt idx="18">
                  <c:v>1.0587036475309575</c:v>
                </c:pt>
                <c:pt idx="19">
                  <c:v>1.1559633033835606</c:v>
                </c:pt>
                <c:pt idx="20">
                  <c:v>1.2846305577412291</c:v>
                </c:pt>
                <c:pt idx="21">
                  <c:v>1.3848165247452173</c:v>
                </c:pt>
                <c:pt idx="22">
                  <c:v>1.458439656235625</c:v>
                </c:pt>
                <c:pt idx="23">
                  <c:v>1.5123081455264908</c:v>
                </c:pt>
                <c:pt idx="24">
                  <c:v>1.4770983559442918</c:v>
                </c:pt>
                <c:pt idx="25">
                  <c:v>1.3922462930661195</c:v>
                </c:pt>
                <c:pt idx="26">
                  <c:v>1.3721600383280979</c:v>
                </c:pt>
                <c:pt idx="27">
                  <c:v>1.3223826628673438</c:v>
                </c:pt>
                <c:pt idx="28">
                  <c:v>1.5445053672957947</c:v>
                </c:pt>
                <c:pt idx="29">
                  <c:v>1.4242190426399481</c:v>
                </c:pt>
                <c:pt idx="30">
                  <c:v>1.3615789010688095</c:v>
                </c:pt>
                <c:pt idx="31">
                  <c:v>1.5086037903246141</c:v>
                </c:pt>
                <c:pt idx="32">
                  <c:v>1.4515658146691275</c:v>
                </c:pt>
                <c:pt idx="33">
                  <c:v>1.3899531960603853</c:v>
                </c:pt>
                <c:pt idx="34">
                  <c:v>1.36057730645081</c:v>
                </c:pt>
                <c:pt idx="35">
                  <c:v>1.4113017121993665</c:v>
                </c:pt>
                <c:pt idx="36">
                  <c:v>1.4866710797870235</c:v>
                </c:pt>
                <c:pt idx="37">
                  <c:v>1.5999582001329413</c:v>
                </c:pt>
                <c:pt idx="38">
                  <c:v>1.5232636725103184</c:v>
                </c:pt>
                <c:pt idx="39">
                  <c:v>1.5195056009214678</c:v>
                </c:pt>
                <c:pt idx="40">
                  <c:v>1.5800327383229669</c:v>
                </c:pt>
                <c:pt idx="41">
                  <c:v>1.5450354572879095</c:v>
                </c:pt>
                <c:pt idx="42">
                  <c:v>1.6013590193223852</c:v>
                </c:pt>
                <c:pt idx="43">
                  <c:v>1.7284308124296368</c:v>
                </c:pt>
                <c:pt idx="44">
                  <c:v>1.8441304219637418</c:v>
                </c:pt>
                <c:pt idx="45">
                  <c:v>1.8716934760390191</c:v>
                </c:pt>
                <c:pt idx="46">
                  <c:v>1.8632715879971824</c:v>
                </c:pt>
                <c:pt idx="47">
                  <c:v>1.7656524828795745</c:v>
                </c:pt>
                <c:pt idx="48">
                  <c:v>1.7501744371743282</c:v>
                </c:pt>
                <c:pt idx="49">
                  <c:v>1.6796802062578937</c:v>
                </c:pt>
                <c:pt idx="50">
                  <c:v>1.6895053853650066</c:v>
                </c:pt>
                <c:pt idx="51">
                  <c:v>1.8427766696433914</c:v>
                </c:pt>
                <c:pt idx="52">
                  <c:v>1.9266398648212051</c:v>
                </c:pt>
                <c:pt idx="53">
                  <c:v>1.9489963470674099</c:v>
                </c:pt>
                <c:pt idx="54">
                  <c:v>1.8716461048293496</c:v>
                </c:pt>
                <c:pt idx="55">
                  <c:v>2.0194229351095077</c:v>
                </c:pt>
                <c:pt idx="56">
                  <c:v>1.9840286990214704</c:v>
                </c:pt>
                <c:pt idx="57">
                  <c:v>1.9975481598732234</c:v>
                </c:pt>
                <c:pt idx="58">
                  <c:v>2.0782865594315751</c:v>
                </c:pt>
                <c:pt idx="59">
                  <c:v>2.1761548037999989</c:v>
                </c:pt>
                <c:pt idx="60">
                  <c:v>2.1929061305503796</c:v>
                </c:pt>
                <c:pt idx="61">
                  <c:v>2.2270585778746739</c:v>
                </c:pt>
                <c:pt idx="62">
                  <c:v>2.2561175890270282</c:v>
                </c:pt>
                <c:pt idx="63">
                  <c:v>2.3095877699741805</c:v>
                </c:pt>
                <c:pt idx="64">
                  <c:v>2.2744081545574568</c:v>
                </c:pt>
                <c:pt idx="65">
                  <c:v>2.2137700076475397</c:v>
                </c:pt>
                <c:pt idx="66">
                  <c:v>2.1881682921320915</c:v>
                </c:pt>
                <c:pt idx="67">
                  <c:v>2.1785219170073415</c:v>
                </c:pt>
                <c:pt idx="68">
                  <c:v>2.157615898793646</c:v>
                </c:pt>
                <c:pt idx="69">
                  <c:v>2.1049657385316682</c:v>
                </c:pt>
                <c:pt idx="70">
                  <c:v>2.1760935572824205</c:v>
                </c:pt>
                <c:pt idx="71">
                  <c:v>2.0694496396490285</c:v>
                </c:pt>
                <c:pt idx="72">
                  <c:v>2.2777864651664168</c:v>
                </c:pt>
                <c:pt idx="73">
                  <c:v>2.1951454756287685</c:v>
                </c:pt>
                <c:pt idx="74">
                  <c:v>2.0992846037087776</c:v>
                </c:pt>
                <c:pt idx="75">
                  <c:v>1.9787064478276923</c:v>
                </c:pt>
                <c:pt idx="76">
                  <c:v>1.9507716154692027</c:v>
                </c:pt>
                <c:pt idx="77">
                  <c:v>1.8011384577763132</c:v>
                </c:pt>
                <c:pt idx="78">
                  <c:v>1.8428987102505487</c:v>
                </c:pt>
                <c:pt idx="79">
                  <c:v>1.7665135949710746</c:v>
                </c:pt>
                <c:pt idx="80">
                  <c:v>1.5913973494650231</c:v>
                </c:pt>
                <c:pt idx="81">
                  <c:v>1.6496361460597195</c:v>
                </c:pt>
                <c:pt idx="82">
                  <c:v>1.5749211574309885</c:v>
                </c:pt>
                <c:pt idx="83">
                  <c:v>1.6078902296014415</c:v>
                </c:pt>
                <c:pt idx="84">
                  <c:v>1.604188446226557</c:v>
                </c:pt>
                <c:pt idx="85">
                  <c:v>1.654930767710999</c:v>
                </c:pt>
                <c:pt idx="86">
                  <c:v>1.7388866159706298</c:v>
                </c:pt>
                <c:pt idx="87">
                  <c:v>1.602047517005893</c:v>
                </c:pt>
                <c:pt idx="88">
                  <c:v>1.7366168614374673</c:v>
                </c:pt>
                <c:pt idx="89">
                  <c:v>1.7633349225884543</c:v>
                </c:pt>
                <c:pt idx="90">
                  <c:v>1.6259220472589291</c:v>
                </c:pt>
                <c:pt idx="91">
                  <c:v>1.4777627780615854</c:v>
                </c:pt>
                <c:pt idx="92">
                  <c:v>1.5296698814033118</c:v>
                </c:pt>
                <c:pt idx="93">
                  <c:v>1.3332672496410225</c:v>
                </c:pt>
                <c:pt idx="94">
                  <c:v>1.3448127653580277</c:v>
                </c:pt>
                <c:pt idx="95">
                  <c:v>1.3621520457631184</c:v>
                </c:pt>
                <c:pt idx="96">
                  <c:v>1.5175039385628779</c:v>
                </c:pt>
                <c:pt idx="97">
                  <c:v>1.4496129214915985</c:v>
                </c:pt>
                <c:pt idx="98">
                  <c:v>1.5130061402960864</c:v>
                </c:pt>
                <c:pt idx="99">
                  <c:v>1.3879962848963689</c:v>
                </c:pt>
                <c:pt idx="100">
                  <c:v>1.3123873714865633</c:v>
                </c:pt>
                <c:pt idx="101">
                  <c:v>1.2807946871062226</c:v>
                </c:pt>
                <c:pt idx="102">
                  <c:v>1.2368988279610884</c:v>
                </c:pt>
                <c:pt idx="103">
                  <c:v>1.2717818387535562</c:v>
                </c:pt>
                <c:pt idx="104">
                  <c:v>1.2284183697760569</c:v>
                </c:pt>
                <c:pt idx="105">
                  <c:v>1.2575737906589377</c:v>
                </c:pt>
                <c:pt idx="106">
                  <c:v>1.2816986540056596</c:v>
                </c:pt>
                <c:pt idx="107">
                  <c:v>1.2973730989421894</c:v>
                </c:pt>
                <c:pt idx="108">
                  <c:v>1.4205855650728287</c:v>
                </c:pt>
                <c:pt idx="109">
                  <c:v>1.2571537638608397</c:v>
                </c:pt>
                <c:pt idx="110">
                  <c:v>1.2921982999267847</c:v>
                </c:pt>
                <c:pt idx="111">
                  <c:v>1.1632732401407753</c:v>
                </c:pt>
                <c:pt idx="112">
                  <c:v>1.0951551286518901</c:v>
                </c:pt>
                <c:pt idx="113">
                  <c:v>1.0990848603430188</c:v>
                </c:pt>
                <c:pt idx="114">
                  <c:v>1.136312335859011</c:v>
                </c:pt>
                <c:pt idx="115">
                  <c:v>1.2427922984662974</c:v>
                </c:pt>
                <c:pt idx="116">
                  <c:v>1.3080428428177511</c:v>
                </c:pt>
                <c:pt idx="117">
                  <c:v>1.2915243345611276</c:v>
                </c:pt>
                <c:pt idx="118">
                  <c:v>1.2188703294551027</c:v>
                </c:pt>
                <c:pt idx="119">
                  <c:v>1.1931438899888291</c:v>
                </c:pt>
                <c:pt idx="120">
                  <c:v>1.1996494262203015</c:v>
                </c:pt>
                <c:pt idx="121">
                  <c:v>1.2594613614552777</c:v>
                </c:pt>
                <c:pt idx="122">
                  <c:v>1.0999062619768338</c:v>
                </c:pt>
                <c:pt idx="123">
                  <c:v>1.054757425827775</c:v>
                </c:pt>
                <c:pt idx="124">
                  <c:v>1.1034389092419252</c:v>
                </c:pt>
                <c:pt idx="125">
                  <c:v>1.1264740894111138</c:v>
                </c:pt>
                <c:pt idx="126">
                  <c:v>1.0004635515100591</c:v>
                </c:pt>
                <c:pt idx="127">
                  <c:v>0.99567249826407045</c:v>
                </c:pt>
                <c:pt idx="128">
                  <c:v>1.1602440214961853</c:v>
                </c:pt>
                <c:pt idx="129">
                  <c:v>1.2675293482499428</c:v>
                </c:pt>
                <c:pt idx="130">
                  <c:v>1.1460173309819197</c:v>
                </c:pt>
                <c:pt idx="131">
                  <c:v>1.0427266570448905</c:v>
                </c:pt>
                <c:pt idx="132">
                  <c:v>0.97844795707600152</c:v>
                </c:pt>
                <c:pt idx="133">
                  <c:v>0.93746075165210041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CE-4A8D-9C3E-C3F2939835FB}"/>
            </c:ext>
          </c:extLst>
        </c:ser>
        <c:ser>
          <c:idx val="6"/>
          <c:order val="6"/>
          <c:tx>
            <c:strRef>
              <c:f>'預測(OLS)累積報酬'!$B$18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'預測(OLS)累積報酬'!$C$11:$EF$11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'預測(OLS)累積報酬'!$C$18:$EF$18</c:f>
              <c:numCache>
                <c:formatCode>0.0000</c:formatCode>
                <c:ptCount val="134"/>
                <c:pt idx="0">
                  <c:v>-5.9146797802220617E-2</c:v>
                </c:pt>
                <c:pt idx="1">
                  <c:v>0.34273688361984739</c:v>
                </c:pt>
                <c:pt idx="2">
                  <c:v>0.24226126061675518</c:v>
                </c:pt>
                <c:pt idx="3">
                  <c:v>0.36164422071894498</c:v>
                </c:pt>
                <c:pt idx="4">
                  <c:v>0.25332784743386499</c:v>
                </c:pt>
                <c:pt idx="5">
                  <c:v>0.26195007518830932</c:v>
                </c:pt>
                <c:pt idx="6">
                  <c:v>0.12644989496506823</c:v>
                </c:pt>
                <c:pt idx="7">
                  <c:v>0.16986141071670985</c:v>
                </c:pt>
                <c:pt idx="8">
                  <c:v>0.30550929949434213</c:v>
                </c:pt>
                <c:pt idx="9">
                  <c:v>0.25475109238762311</c:v>
                </c:pt>
                <c:pt idx="10">
                  <c:v>0.28380255676408045</c:v>
                </c:pt>
                <c:pt idx="11">
                  <c:v>0.42501004526037656</c:v>
                </c:pt>
                <c:pt idx="12">
                  <c:v>0.52868053488999578</c:v>
                </c:pt>
                <c:pt idx="13">
                  <c:v>0.53700862074390476</c:v>
                </c:pt>
                <c:pt idx="14">
                  <c:v>0.72598403943339462</c:v>
                </c:pt>
                <c:pt idx="15">
                  <c:v>0.78747627730536962</c:v>
                </c:pt>
                <c:pt idx="16">
                  <c:v>0.93128150460426884</c:v>
                </c:pt>
                <c:pt idx="17">
                  <c:v>0.9855259446358775</c:v>
                </c:pt>
                <c:pt idx="18">
                  <c:v>1.1180209690656966</c:v>
                </c:pt>
                <c:pt idx="19">
                  <c:v>1.2394124304916223</c:v>
                </c:pt>
                <c:pt idx="20">
                  <c:v>1.4055472597609213</c:v>
                </c:pt>
                <c:pt idx="21">
                  <c:v>1.5326700683864116</c:v>
                </c:pt>
                <c:pt idx="22">
                  <c:v>1.6365493122952228</c:v>
                </c:pt>
                <c:pt idx="23">
                  <c:v>1.7257836757357456</c:v>
                </c:pt>
                <c:pt idx="24">
                  <c:v>1.6840784305530216</c:v>
                </c:pt>
                <c:pt idx="25">
                  <c:v>1.5993801308225375</c:v>
                </c:pt>
                <c:pt idx="26">
                  <c:v>1.6007455512993698</c:v>
                </c:pt>
                <c:pt idx="27">
                  <c:v>1.5283017622108384</c:v>
                </c:pt>
                <c:pt idx="28">
                  <c:v>1.7866931111260469</c:v>
                </c:pt>
                <c:pt idx="29">
                  <c:v>1.6361494713019735</c:v>
                </c:pt>
                <c:pt idx="30">
                  <c:v>1.5544294914092198</c:v>
                </c:pt>
                <c:pt idx="31">
                  <c:v>1.7174979962340695</c:v>
                </c:pt>
                <c:pt idx="32">
                  <c:v>1.6360742461828999</c:v>
                </c:pt>
                <c:pt idx="33">
                  <c:v>1.5652070285212973</c:v>
                </c:pt>
                <c:pt idx="34">
                  <c:v>1.542374143159301</c:v>
                </c:pt>
                <c:pt idx="35">
                  <c:v>1.5899019067915587</c:v>
                </c:pt>
                <c:pt idx="36">
                  <c:v>1.6565453122163301</c:v>
                </c:pt>
                <c:pt idx="37">
                  <c:v>1.7358399521715318</c:v>
                </c:pt>
                <c:pt idx="38">
                  <c:v>1.7604242326163386</c:v>
                </c:pt>
                <c:pt idx="39">
                  <c:v>1.7584098011684304</c:v>
                </c:pt>
                <c:pt idx="40">
                  <c:v>1.8346406464948803</c:v>
                </c:pt>
                <c:pt idx="41">
                  <c:v>1.7729461228940988</c:v>
                </c:pt>
                <c:pt idx="42">
                  <c:v>1.8587726744480679</c:v>
                </c:pt>
                <c:pt idx="43">
                  <c:v>2.0251584838721266</c:v>
                </c:pt>
                <c:pt idx="44">
                  <c:v>2.1640566985183463</c:v>
                </c:pt>
                <c:pt idx="45">
                  <c:v>2.1991143860942226</c:v>
                </c:pt>
                <c:pt idx="46">
                  <c:v>2.1745763518531152</c:v>
                </c:pt>
                <c:pt idx="47">
                  <c:v>2.0485120144269877</c:v>
                </c:pt>
                <c:pt idx="48">
                  <c:v>2.0183226556984977</c:v>
                </c:pt>
                <c:pt idx="49">
                  <c:v>1.9666763283049893</c:v>
                </c:pt>
                <c:pt idx="50">
                  <c:v>1.9673086392296748</c:v>
                </c:pt>
                <c:pt idx="51">
                  <c:v>2.1345666577104674</c:v>
                </c:pt>
                <c:pt idx="52">
                  <c:v>2.217768230303788</c:v>
                </c:pt>
                <c:pt idx="53">
                  <c:v>2.1937519586164878</c:v>
                </c:pt>
                <c:pt idx="54">
                  <c:v>2.1253907453783247</c:v>
                </c:pt>
                <c:pt idx="55">
                  <c:v>2.2903772400743323</c:v>
                </c:pt>
                <c:pt idx="56">
                  <c:v>2.2735709988481281</c:v>
                </c:pt>
                <c:pt idx="57">
                  <c:v>2.2940748519119336</c:v>
                </c:pt>
                <c:pt idx="58">
                  <c:v>2.3700659456523923</c:v>
                </c:pt>
                <c:pt idx="59">
                  <c:v>2.4685998023378142</c:v>
                </c:pt>
                <c:pt idx="60">
                  <c:v>2.469580886240931</c:v>
                </c:pt>
                <c:pt idx="61">
                  <c:v>2.525368767102711</c:v>
                </c:pt>
                <c:pt idx="62">
                  <c:v>2.5534501234758062</c:v>
                </c:pt>
                <c:pt idx="63">
                  <c:v>2.5956417122806097</c:v>
                </c:pt>
                <c:pt idx="64">
                  <c:v>2.5754142161742353</c:v>
                </c:pt>
                <c:pt idx="65">
                  <c:v>2.5129507841377836</c:v>
                </c:pt>
                <c:pt idx="66">
                  <c:v>2.4264910932255543</c:v>
                </c:pt>
                <c:pt idx="67">
                  <c:v>2.4207428996415996</c:v>
                </c:pt>
                <c:pt idx="68">
                  <c:v>2.3878696430655677</c:v>
                </c:pt>
                <c:pt idx="69">
                  <c:v>2.3263243201728629</c:v>
                </c:pt>
                <c:pt idx="70">
                  <c:v>2.4070017642129038</c:v>
                </c:pt>
                <c:pt idx="71">
                  <c:v>2.2914962455002597</c:v>
                </c:pt>
                <c:pt idx="72">
                  <c:v>2.5098717446312482</c:v>
                </c:pt>
                <c:pt idx="73">
                  <c:v>2.43529088121665</c:v>
                </c:pt>
                <c:pt idx="74">
                  <c:v>2.3726041367665651</c:v>
                </c:pt>
                <c:pt idx="75">
                  <c:v>2.219284148963967</c:v>
                </c:pt>
                <c:pt idx="76">
                  <c:v>2.203207605071106</c:v>
                </c:pt>
                <c:pt idx="77">
                  <c:v>2.0963615446010326</c:v>
                </c:pt>
                <c:pt idx="78">
                  <c:v>2.2010221684426776</c:v>
                </c:pt>
                <c:pt idx="79">
                  <c:v>2.0794269452739136</c:v>
                </c:pt>
                <c:pt idx="80">
                  <c:v>1.9015005889650363</c:v>
                </c:pt>
                <c:pt idx="81">
                  <c:v>1.8575428455784275</c:v>
                </c:pt>
                <c:pt idx="82">
                  <c:v>1.7659335900145081</c:v>
                </c:pt>
                <c:pt idx="83">
                  <c:v>1.8112992389736668</c:v>
                </c:pt>
                <c:pt idx="84">
                  <c:v>1.9263585497828453</c:v>
                </c:pt>
                <c:pt idx="85">
                  <c:v>1.9886722276077549</c:v>
                </c:pt>
                <c:pt idx="86">
                  <c:v>2.0847302592732779</c:v>
                </c:pt>
                <c:pt idx="87">
                  <c:v>1.9318163154637928</c:v>
                </c:pt>
                <c:pt idx="88">
                  <c:v>2.0754648586281865</c:v>
                </c:pt>
                <c:pt idx="89">
                  <c:v>2.110551112606363</c:v>
                </c:pt>
                <c:pt idx="90">
                  <c:v>1.9599536029841156</c:v>
                </c:pt>
                <c:pt idx="91">
                  <c:v>1.7971144940361048</c:v>
                </c:pt>
                <c:pt idx="92">
                  <c:v>1.8353571696310476</c:v>
                </c:pt>
                <c:pt idx="93">
                  <c:v>1.6416347619788383</c:v>
                </c:pt>
                <c:pt idx="94">
                  <c:v>1.6697633223929269</c:v>
                </c:pt>
                <c:pt idx="95">
                  <c:v>1.6534908281929181</c:v>
                </c:pt>
                <c:pt idx="96">
                  <c:v>1.7980556493690529</c:v>
                </c:pt>
                <c:pt idx="97">
                  <c:v>1.73511102732459</c:v>
                </c:pt>
                <c:pt idx="98">
                  <c:v>1.8016696018229061</c:v>
                </c:pt>
                <c:pt idx="99">
                  <c:v>1.648593912213753</c:v>
                </c:pt>
                <c:pt idx="100">
                  <c:v>1.5554155283058455</c:v>
                </c:pt>
                <c:pt idx="101">
                  <c:v>1.4639563148931429</c:v>
                </c:pt>
                <c:pt idx="102">
                  <c:v>1.4165753753744494</c:v>
                </c:pt>
                <c:pt idx="103">
                  <c:v>1.4623105840532089</c:v>
                </c:pt>
                <c:pt idx="104">
                  <c:v>1.4259018025577026</c:v>
                </c:pt>
                <c:pt idx="105">
                  <c:v>1.4669159898770365</c:v>
                </c:pt>
                <c:pt idx="106">
                  <c:v>1.5053365773634875</c:v>
                </c:pt>
                <c:pt idx="107">
                  <c:v>1.5334085524414489</c:v>
                </c:pt>
                <c:pt idx="108">
                  <c:v>1.6516256457150442</c:v>
                </c:pt>
                <c:pt idx="109">
                  <c:v>1.459224263755903</c:v>
                </c:pt>
                <c:pt idx="110">
                  <c:v>1.4778375117863212</c:v>
                </c:pt>
                <c:pt idx="111">
                  <c:v>1.3316414356869088</c:v>
                </c:pt>
                <c:pt idx="112">
                  <c:v>1.2743908457002828</c:v>
                </c:pt>
                <c:pt idx="113">
                  <c:v>1.278221119767875</c:v>
                </c:pt>
                <c:pt idx="114">
                  <c:v>1.2834717985101389</c:v>
                </c:pt>
                <c:pt idx="115">
                  <c:v>1.4085804817796697</c:v>
                </c:pt>
                <c:pt idx="116">
                  <c:v>1.4387794992412595</c:v>
                </c:pt>
                <c:pt idx="117">
                  <c:v>1.4181748127743938</c:v>
                </c:pt>
                <c:pt idx="118">
                  <c:v>1.352425354590495</c:v>
                </c:pt>
                <c:pt idx="119">
                  <c:v>1.3419741057709784</c:v>
                </c:pt>
                <c:pt idx="120">
                  <c:v>1.3673597570281166</c:v>
                </c:pt>
                <c:pt idx="121">
                  <c:v>1.3899607918692241</c:v>
                </c:pt>
                <c:pt idx="122">
                  <c:v>1.2273720074449739</c:v>
                </c:pt>
                <c:pt idx="123">
                  <c:v>1.1568443149388963</c:v>
                </c:pt>
                <c:pt idx="124">
                  <c:v>1.2387530072232695</c:v>
                </c:pt>
                <c:pt idx="125">
                  <c:v>1.3069303007450048</c:v>
                </c:pt>
                <c:pt idx="126">
                  <c:v>1.1411671960830017</c:v>
                </c:pt>
                <c:pt idx="127">
                  <c:v>1.0979393412135598</c:v>
                </c:pt>
                <c:pt idx="128">
                  <c:v>1.2968850893778971</c:v>
                </c:pt>
                <c:pt idx="129">
                  <c:v>1.4068494438280925</c:v>
                </c:pt>
                <c:pt idx="130">
                  <c:v>1.2638092132353069</c:v>
                </c:pt>
                <c:pt idx="131">
                  <c:v>1.1810501118467402</c:v>
                </c:pt>
                <c:pt idx="132">
                  <c:v>1.1280350715313761</c:v>
                </c:pt>
                <c:pt idx="133">
                  <c:v>1.0640807378422317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CE-4A8D-9C3E-C3F2939835FB}"/>
            </c:ext>
          </c:extLst>
        </c:ser>
        <c:ser>
          <c:idx val="7"/>
          <c:order val="7"/>
          <c:tx>
            <c:strRef>
              <c:f>'預測(OLS)累積報酬'!$B$19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'預測(OLS)累積報酬'!$C$11:$EF$11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'預測(OLS)累積報酬'!$C$19:$EF$19</c:f>
              <c:numCache>
                <c:formatCode>0.0000</c:formatCode>
                <c:ptCount val="134"/>
                <c:pt idx="0">
                  <c:v>-7.386192988077088E-2</c:v>
                </c:pt>
                <c:pt idx="1">
                  <c:v>0.33365878020869838</c:v>
                </c:pt>
                <c:pt idx="2">
                  <c:v>0.19307510361736718</c:v>
                </c:pt>
                <c:pt idx="3">
                  <c:v>0.37076376542292766</c:v>
                </c:pt>
                <c:pt idx="4">
                  <c:v>0.27469779356575025</c:v>
                </c:pt>
                <c:pt idx="5">
                  <c:v>0.26262900510326531</c:v>
                </c:pt>
                <c:pt idx="6">
                  <c:v>0.12797467221179881</c:v>
                </c:pt>
                <c:pt idx="7">
                  <c:v>0.16340425673198983</c:v>
                </c:pt>
                <c:pt idx="8">
                  <c:v>0.40219367145590657</c:v>
                </c:pt>
                <c:pt idx="9">
                  <c:v>0.38186702181556148</c:v>
                </c:pt>
                <c:pt idx="10">
                  <c:v>0.33817678565925419</c:v>
                </c:pt>
                <c:pt idx="11">
                  <c:v>0.49002036680723426</c:v>
                </c:pt>
                <c:pt idx="12">
                  <c:v>0.58224174982669152</c:v>
                </c:pt>
                <c:pt idx="13">
                  <c:v>0.60575491065121156</c:v>
                </c:pt>
                <c:pt idx="14">
                  <c:v>0.80291799891573146</c:v>
                </c:pt>
                <c:pt idx="15">
                  <c:v>0.89321708954658774</c:v>
                </c:pt>
                <c:pt idx="16">
                  <c:v>1.0159089658823293</c:v>
                </c:pt>
                <c:pt idx="17">
                  <c:v>1.0430632438686285</c:v>
                </c:pt>
                <c:pt idx="18">
                  <c:v>1.1787615825005517</c:v>
                </c:pt>
                <c:pt idx="19">
                  <c:v>1.271449902225865</c:v>
                </c:pt>
                <c:pt idx="20">
                  <c:v>1.4461846655280965</c:v>
                </c:pt>
                <c:pt idx="21">
                  <c:v>1.5691078117738135</c:v>
                </c:pt>
                <c:pt idx="22">
                  <c:v>1.6722380507042518</c:v>
                </c:pt>
                <c:pt idx="23">
                  <c:v>1.7638571612802754</c:v>
                </c:pt>
                <c:pt idx="24">
                  <c:v>1.7222869767421196</c:v>
                </c:pt>
                <c:pt idx="25">
                  <c:v>1.6200333708581769</c:v>
                </c:pt>
                <c:pt idx="26">
                  <c:v>1.6341749135667867</c:v>
                </c:pt>
                <c:pt idx="27">
                  <c:v>1.6101774563057261</c:v>
                </c:pt>
                <c:pt idx="28">
                  <c:v>1.9186703142310948</c:v>
                </c:pt>
                <c:pt idx="29">
                  <c:v>1.7498397335230518</c:v>
                </c:pt>
                <c:pt idx="30">
                  <c:v>1.7083526300787402</c:v>
                </c:pt>
                <c:pt idx="31">
                  <c:v>1.9125089172439498</c:v>
                </c:pt>
                <c:pt idx="32">
                  <c:v>1.8647425644841533</c:v>
                </c:pt>
                <c:pt idx="33">
                  <c:v>1.7875398548395818</c:v>
                </c:pt>
                <c:pt idx="34">
                  <c:v>1.7469583317264188</c:v>
                </c:pt>
                <c:pt idx="35">
                  <c:v>1.8172292773972243</c:v>
                </c:pt>
                <c:pt idx="36">
                  <c:v>1.8603352892086291</c:v>
                </c:pt>
                <c:pt idx="37">
                  <c:v>1.9439035835743113</c:v>
                </c:pt>
                <c:pt idx="38">
                  <c:v>1.999793709703426</c:v>
                </c:pt>
                <c:pt idx="39">
                  <c:v>1.9900815887618259</c:v>
                </c:pt>
                <c:pt idx="40">
                  <c:v>2.0783343458224768</c:v>
                </c:pt>
                <c:pt idx="41">
                  <c:v>2.0037174481878179</c:v>
                </c:pt>
                <c:pt idx="42">
                  <c:v>2.1015144034561324</c:v>
                </c:pt>
                <c:pt idx="43">
                  <c:v>2.2861080672661904</c:v>
                </c:pt>
                <c:pt idx="44">
                  <c:v>2.4391226937404511</c:v>
                </c:pt>
                <c:pt idx="45">
                  <c:v>2.4817999894647884</c:v>
                </c:pt>
                <c:pt idx="46">
                  <c:v>2.4594438213106518</c:v>
                </c:pt>
                <c:pt idx="47">
                  <c:v>2.2353200260097958</c:v>
                </c:pt>
                <c:pt idx="48">
                  <c:v>2.1690467832973237</c:v>
                </c:pt>
                <c:pt idx="49">
                  <c:v>2.0534352549279</c:v>
                </c:pt>
                <c:pt idx="50">
                  <c:v>2.0190713709738271</c:v>
                </c:pt>
                <c:pt idx="51">
                  <c:v>2.2208732816370347</c:v>
                </c:pt>
                <c:pt idx="52">
                  <c:v>2.2849287679832204</c:v>
                </c:pt>
                <c:pt idx="53">
                  <c:v>2.2816943753531524</c:v>
                </c:pt>
                <c:pt idx="54">
                  <c:v>2.2305625013894859</c:v>
                </c:pt>
                <c:pt idx="55">
                  <c:v>2.3723719363532276</c:v>
                </c:pt>
                <c:pt idx="56">
                  <c:v>2.3560282780203856</c:v>
                </c:pt>
                <c:pt idx="57">
                  <c:v>2.3580464797218168</c:v>
                </c:pt>
                <c:pt idx="58">
                  <c:v>2.4593307096810331</c:v>
                </c:pt>
                <c:pt idx="59">
                  <c:v>2.5182429268534889</c:v>
                </c:pt>
                <c:pt idx="60">
                  <c:v>2.4487238902240471</c:v>
                </c:pt>
                <c:pt idx="61">
                  <c:v>2.5118884239710666</c:v>
                </c:pt>
                <c:pt idx="62">
                  <c:v>2.5436746888402118</c:v>
                </c:pt>
                <c:pt idx="63">
                  <c:v>2.6158597885627128</c:v>
                </c:pt>
                <c:pt idx="64">
                  <c:v>2.5901308272975974</c:v>
                </c:pt>
                <c:pt idx="65">
                  <c:v>2.5777204860199965</c:v>
                </c:pt>
                <c:pt idx="66">
                  <c:v>2.4680673510869395</c:v>
                </c:pt>
                <c:pt idx="67">
                  <c:v>2.4747425971104597</c:v>
                </c:pt>
                <c:pt idx="68">
                  <c:v>2.4782425290500987</c:v>
                </c:pt>
                <c:pt idx="69">
                  <c:v>2.3959191253727874</c:v>
                </c:pt>
                <c:pt idx="70">
                  <c:v>2.4718553766070253</c:v>
                </c:pt>
                <c:pt idx="71">
                  <c:v>2.3717701110254099</c:v>
                </c:pt>
                <c:pt idx="72">
                  <c:v>2.6792231178351433</c:v>
                </c:pt>
                <c:pt idx="73">
                  <c:v>2.6243928362748266</c:v>
                </c:pt>
                <c:pt idx="74">
                  <c:v>2.5967173438631659</c:v>
                </c:pt>
                <c:pt idx="75">
                  <c:v>2.5280152190411118</c:v>
                </c:pt>
                <c:pt idx="76">
                  <c:v>2.4986864638173372</c:v>
                </c:pt>
                <c:pt idx="77">
                  <c:v>2.37084825471644</c:v>
                </c:pt>
                <c:pt idx="78">
                  <c:v>2.3933544876149573</c:v>
                </c:pt>
                <c:pt idx="79">
                  <c:v>2.24462257432655</c:v>
                </c:pt>
                <c:pt idx="80">
                  <c:v>2.0463567451495908</c:v>
                </c:pt>
                <c:pt idx="81">
                  <c:v>1.9673052201787764</c:v>
                </c:pt>
                <c:pt idx="82">
                  <c:v>1.9101875953118193</c:v>
                </c:pt>
                <c:pt idx="83">
                  <c:v>1.9529026390545534</c:v>
                </c:pt>
                <c:pt idx="84">
                  <c:v>2.063636846808258</c:v>
                </c:pt>
                <c:pt idx="85">
                  <c:v>2.125577346774294</c:v>
                </c:pt>
                <c:pt idx="86">
                  <c:v>2.2443746097316284</c:v>
                </c:pt>
                <c:pt idx="87">
                  <c:v>2.1290268280928908</c:v>
                </c:pt>
                <c:pt idx="88">
                  <c:v>2.304374469674606</c:v>
                </c:pt>
                <c:pt idx="89">
                  <c:v>2.3813071243419093</c:v>
                </c:pt>
                <c:pt idx="90">
                  <c:v>2.2151605665666287</c:v>
                </c:pt>
                <c:pt idx="91">
                  <c:v>2.0561279675842958</c:v>
                </c:pt>
                <c:pt idx="92">
                  <c:v>2.0885225751007144</c:v>
                </c:pt>
                <c:pt idx="93">
                  <c:v>1.9122158508545224</c:v>
                </c:pt>
                <c:pt idx="94">
                  <c:v>1.9559908378328266</c:v>
                </c:pt>
                <c:pt idx="95">
                  <c:v>1.9280502006478297</c:v>
                </c:pt>
                <c:pt idx="96">
                  <c:v>2.0746577439087686</c:v>
                </c:pt>
                <c:pt idx="97">
                  <c:v>1.9985152494296716</c:v>
                </c:pt>
                <c:pt idx="98">
                  <c:v>2.0590311280027089</c:v>
                </c:pt>
                <c:pt idx="99">
                  <c:v>1.910880837198204</c:v>
                </c:pt>
                <c:pt idx="100">
                  <c:v>1.8029887177410131</c:v>
                </c:pt>
                <c:pt idx="101">
                  <c:v>1.745489454652501</c:v>
                </c:pt>
                <c:pt idx="102">
                  <c:v>1.6872655779492642</c:v>
                </c:pt>
                <c:pt idx="103">
                  <c:v>1.7229864769744798</c:v>
                </c:pt>
                <c:pt idx="104">
                  <c:v>1.758165876876574</c:v>
                </c:pt>
                <c:pt idx="105">
                  <c:v>1.7643670021314029</c:v>
                </c:pt>
                <c:pt idx="106">
                  <c:v>1.7973854167871948</c:v>
                </c:pt>
                <c:pt idx="107">
                  <c:v>1.8186817592143618</c:v>
                </c:pt>
                <c:pt idx="108">
                  <c:v>1.9451725570518832</c:v>
                </c:pt>
                <c:pt idx="109">
                  <c:v>1.7205827763323951</c:v>
                </c:pt>
                <c:pt idx="110">
                  <c:v>1.7792298093436636</c:v>
                </c:pt>
                <c:pt idx="111">
                  <c:v>1.6139793403845917</c:v>
                </c:pt>
                <c:pt idx="112">
                  <c:v>1.5979950508099277</c:v>
                </c:pt>
                <c:pt idx="113">
                  <c:v>1.6099778367189015</c:v>
                </c:pt>
                <c:pt idx="114">
                  <c:v>1.5638799342332739</c:v>
                </c:pt>
                <c:pt idx="115">
                  <c:v>1.7378082359618221</c:v>
                </c:pt>
                <c:pt idx="116">
                  <c:v>1.786513755822416</c:v>
                </c:pt>
                <c:pt idx="117">
                  <c:v>1.8143517703054097</c:v>
                </c:pt>
                <c:pt idx="118">
                  <c:v>1.7339775984673347</c:v>
                </c:pt>
                <c:pt idx="119">
                  <c:v>1.7164327991915265</c:v>
                </c:pt>
                <c:pt idx="120">
                  <c:v>1.7613517623434065</c:v>
                </c:pt>
                <c:pt idx="121">
                  <c:v>1.7663850088635116</c:v>
                </c:pt>
                <c:pt idx="122">
                  <c:v>1.5718655694005323</c:v>
                </c:pt>
                <c:pt idx="123">
                  <c:v>1.5002721828031302</c:v>
                </c:pt>
                <c:pt idx="124">
                  <c:v>1.5608813221438145</c:v>
                </c:pt>
                <c:pt idx="125">
                  <c:v>1.6554955155013522</c:v>
                </c:pt>
                <c:pt idx="126">
                  <c:v>1.5033761058968653</c:v>
                </c:pt>
                <c:pt idx="127">
                  <c:v>1.4237325377584302</c:v>
                </c:pt>
                <c:pt idx="128">
                  <c:v>1.6567783680637107</c:v>
                </c:pt>
                <c:pt idx="129">
                  <c:v>1.7655318777019633</c:v>
                </c:pt>
                <c:pt idx="130">
                  <c:v>1.6217576748769542</c:v>
                </c:pt>
                <c:pt idx="131">
                  <c:v>1.5414724166005791</c:v>
                </c:pt>
                <c:pt idx="132">
                  <c:v>1.5186565307566662</c:v>
                </c:pt>
                <c:pt idx="133">
                  <c:v>1.4446336113591611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CE-4A8D-9C3E-C3F2939835FB}"/>
            </c:ext>
          </c:extLst>
        </c:ser>
        <c:ser>
          <c:idx val="8"/>
          <c:order val="8"/>
          <c:tx>
            <c:strRef>
              <c:f>'預測(OLS)累積報酬'!$B$20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'預測(OLS)累積報酬'!$C$11:$EF$11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'預測(OLS)累積報酬'!$C$20:$EF$20</c:f>
              <c:numCache>
                <c:formatCode>0.0000</c:formatCode>
                <c:ptCount val="134"/>
                <c:pt idx="0">
                  <c:v>1.1241331728202891E-2</c:v>
                </c:pt>
                <c:pt idx="1">
                  <c:v>0.3932663517755528</c:v>
                </c:pt>
                <c:pt idx="2">
                  <c:v>0.2471414465113069</c:v>
                </c:pt>
                <c:pt idx="3">
                  <c:v>0.45267271084448113</c:v>
                </c:pt>
                <c:pt idx="4">
                  <c:v>0.33548956955554204</c:v>
                </c:pt>
                <c:pt idx="5">
                  <c:v>0.34707259563411974</c:v>
                </c:pt>
                <c:pt idx="6">
                  <c:v>0.18892303303301805</c:v>
                </c:pt>
                <c:pt idx="7">
                  <c:v>0.2233942917598743</c:v>
                </c:pt>
                <c:pt idx="8">
                  <c:v>0.43811879552095612</c:v>
                </c:pt>
                <c:pt idx="9">
                  <c:v>0.42911902417976777</c:v>
                </c:pt>
                <c:pt idx="10">
                  <c:v>0.35140079588849427</c:v>
                </c:pt>
                <c:pt idx="11">
                  <c:v>0.51954438407803816</c:v>
                </c:pt>
                <c:pt idx="12">
                  <c:v>0.61864586822251189</c:v>
                </c:pt>
                <c:pt idx="13">
                  <c:v>0.6617845471110394</c:v>
                </c:pt>
                <c:pt idx="14">
                  <c:v>0.87851028611401794</c:v>
                </c:pt>
                <c:pt idx="15">
                  <c:v>0.98776334175148672</c:v>
                </c:pt>
                <c:pt idx="16">
                  <c:v>1.0703259524587747</c:v>
                </c:pt>
                <c:pt idx="17">
                  <c:v>1.0546630419395153</c:v>
                </c:pt>
                <c:pt idx="18">
                  <c:v>1.2033127220572903</c:v>
                </c:pt>
                <c:pt idx="19">
                  <c:v>1.3068303252619078</c:v>
                </c:pt>
                <c:pt idx="20">
                  <c:v>1.5332739873450092</c:v>
                </c:pt>
                <c:pt idx="21">
                  <c:v>1.6833162989725479</c:v>
                </c:pt>
                <c:pt idx="22">
                  <c:v>1.8122813378549216</c:v>
                </c:pt>
                <c:pt idx="23">
                  <c:v>1.9178982983385808</c:v>
                </c:pt>
                <c:pt idx="24">
                  <c:v>1.8963037449512836</c:v>
                </c:pt>
                <c:pt idx="25">
                  <c:v>1.8115439042251105</c:v>
                </c:pt>
                <c:pt idx="26">
                  <c:v>1.858792166953078</c:v>
                </c:pt>
                <c:pt idx="27">
                  <c:v>1.8318048633824</c:v>
                </c:pt>
                <c:pt idx="28">
                  <c:v>1.9930260705375109</c:v>
                </c:pt>
                <c:pt idx="29">
                  <c:v>1.7695282509011383</c:v>
                </c:pt>
                <c:pt idx="30">
                  <c:v>1.7373650020194618</c:v>
                </c:pt>
                <c:pt idx="31">
                  <c:v>1.9540074546678226</c:v>
                </c:pt>
                <c:pt idx="32">
                  <c:v>1.8707281009170991</c:v>
                </c:pt>
                <c:pt idx="33">
                  <c:v>1.8100024162563149</c:v>
                </c:pt>
                <c:pt idx="34">
                  <c:v>1.8017539011937018</c:v>
                </c:pt>
                <c:pt idx="35">
                  <c:v>1.8746473532306789</c:v>
                </c:pt>
                <c:pt idx="36">
                  <c:v>1.9077433339794816</c:v>
                </c:pt>
                <c:pt idx="37">
                  <c:v>1.9832135274984799</c:v>
                </c:pt>
                <c:pt idx="38">
                  <c:v>2.0323218221378796</c:v>
                </c:pt>
                <c:pt idx="39">
                  <c:v>2.0197173061747131</c:v>
                </c:pt>
                <c:pt idx="40">
                  <c:v>1.9922648208417622</c:v>
                </c:pt>
                <c:pt idx="41">
                  <c:v>1.978975547751928</c:v>
                </c:pt>
                <c:pt idx="42">
                  <c:v>2.0910713574347448</c:v>
                </c:pt>
                <c:pt idx="43">
                  <c:v>2.3301951048798153</c:v>
                </c:pt>
                <c:pt idx="44">
                  <c:v>2.4732677458069809</c:v>
                </c:pt>
                <c:pt idx="45">
                  <c:v>2.5447409314609142</c:v>
                </c:pt>
                <c:pt idx="46">
                  <c:v>2.5378756632817634</c:v>
                </c:pt>
                <c:pt idx="47">
                  <c:v>2.3335364433212167</c:v>
                </c:pt>
                <c:pt idx="48">
                  <c:v>2.4155940793387831</c:v>
                </c:pt>
                <c:pt idx="49">
                  <c:v>2.2593200716321191</c:v>
                </c:pt>
                <c:pt idx="50">
                  <c:v>2.2225212067715785</c:v>
                </c:pt>
                <c:pt idx="51">
                  <c:v>2.4537348329596553</c:v>
                </c:pt>
                <c:pt idx="52">
                  <c:v>2.5243404006373957</c:v>
                </c:pt>
                <c:pt idx="53">
                  <c:v>2.4709105874157986</c:v>
                </c:pt>
                <c:pt idx="54">
                  <c:v>2.4768573845550588</c:v>
                </c:pt>
                <c:pt idx="55">
                  <c:v>2.6148286476240341</c:v>
                </c:pt>
                <c:pt idx="56">
                  <c:v>2.6079025049153408</c:v>
                </c:pt>
                <c:pt idx="57">
                  <c:v>2.5362960578012297</c:v>
                </c:pt>
                <c:pt idx="58">
                  <c:v>2.6505517235357532</c:v>
                </c:pt>
                <c:pt idx="59">
                  <c:v>2.6996915073470271</c:v>
                </c:pt>
                <c:pt idx="60">
                  <c:v>2.5970932231925818</c:v>
                </c:pt>
                <c:pt idx="61">
                  <c:v>2.6669526651298026</c:v>
                </c:pt>
                <c:pt idx="62">
                  <c:v>2.7144212165939914</c:v>
                </c:pt>
                <c:pt idx="63">
                  <c:v>2.800085848035172</c:v>
                </c:pt>
                <c:pt idx="64">
                  <c:v>2.8385475655511514</c:v>
                </c:pt>
                <c:pt idx="65">
                  <c:v>2.8458298130574762</c:v>
                </c:pt>
                <c:pt idx="66">
                  <c:v>2.7372295454982241</c:v>
                </c:pt>
                <c:pt idx="67">
                  <c:v>2.7493031772286964</c:v>
                </c:pt>
                <c:pt idx="68">
                  <c:v>2.7818393749535524</c:v>
                </c:pt>
                <c:pt idx="69">
                  <c:v>2.6853088737390967</c:v>
                </c:pt>
                <c:pt idx="70">
                  <c:v>2.7840638231068033</c:v>
                </c:pt>
                <c:pt idx="71">
                  <c:v>2.6503538986297968</c:v>
                </c:pt>
                <c:pt idx="72">
                  <c:v>3.0021834486782013</c:v>
                </c:pt>
                <c:pt idx="73">
                  <c:v>2.9441954304021705</c:v>
                </c:pt>
                <c:pt idx="74">
                  <c:v>2.9010119477149341</c:v>
                </c:pt>
                <c:pt idx="75">
                  <c:v>2.8107405434546506</c:v>
                </c:pt>
                <c:pt idx="76">
                  <c:v>2.7706378154028979</c:v>
                </c:pt>
                <c:pt idx="77">
                  <c:v>2.6441427696328788</c:v>
                </c:pt>
                <c:pt idx="78">
                  <c:v>2.6570579171109592</c:v>
                </c:pt>
                <c:pt idx="79">
                  <c:v>2.4681984045675636</c:v>
                </c:pt>
                <c:pt idx="80">
                  <c:v>2.2242346090978304</c:v>
                </c:pt>
                <c:pt idx="81">
                  <c:v>2.1184497198217387</c:v>
                </c:pt>
                <c:pt idx="82">
                  <c:v>2.0424794790786307</c:v>
                </c:pt>
                <c:pt idx="83">
                  <c:v>2.0646747081027637</c:v>
                </c:pt>
                <c:pt idx="84">
                  <c:v>2.1498829105378392</c:v>
                </c:pt>
                <c:pt idx="85">
                  <c:v>2.27332323042519</c:v>
                </c:pt>
                <c:pt idx="86">
                  <c:v>2.3539128543658117</c:v>
                </c:pt>
                <c:pt idx="87">
                  <c:v>2.20459970373556</c:v>
                </c:pt>
                <c:pt idx="88">
                  <c:v>2.3936508689061808</c:v>
                </c:pt>
                <c:pt idx="89">
                  <c:v>2.3714914575356962</c:v>
                </c:pt>
                <c:pt idx="90">
                  <c:v>2.1429732543541551</c:v>
                </c:pt>
                <c:pt idx="91">
                  <c:v>1.9509420492451277</c:v>
                </c:pt>
                <c:pt idx="92">
                  <c:v>1.9740600945454108</c:v>
                </c:pt>
                <c:pt idx="93">
                  <c:v>1.7785739840604686</c:v>
                </c:pt>
                <c:pt idx="94">
                  <c:v>1.8008670222198282</c:v>
                </c:pt>
                <c:pt idx="95">
                  <c:v>1.7827903114399932</c:v>
                </c:pt>
                <c:pt idx="96">
                  <c:v>1.92951832051162</c:v>
                </c:pt>
                <c:pt idx="97">
                  <c:v>1.8325143661898999</c:v>
                </c:pt>
                <c:pt idx="98">
                  <c:v>1.9004180743647454</c:v>
                </c:pt>
                <c:pt idx="99">
                  <c:v>1.7552638863648786</c:v>
                </c:pt>
                <c:pt idx="100">
                  <c:v>1.6542972292530551</c:v>
                </c:pt>
                <c:pt idx="101">
                  <c:v>1.6412345953907246</c:v>
                </c:pt>
                <c:pt idx="102">
                  <c:v>1.5937627022355469</c:v>
                </c:pt>
                <c:pt idx="103">
                  <c:v>1.6506654119926811</c:v>
                </c:pt>
                <c:pt idx="104">
                  <c:v>1.700278481228237</c:v>
                </c:pt>
                <c:pt idx="105">
                  <c:v>1.7038756659851872</c:v>
                </c:pt>
                <c:pt idx="106">
                  <c:v>1.71429438759204</c:v>
                </c:pt>
                <c:pt idx="107">
                  <c:v>1.7597943460828385</c:v>
                </c:pt>
                <c:pt idx="108">
                  <c:v>1.8838676540669597</c:v>
                </c:pt>
                <c:pt idx="109">
                  <c:v>1.6055688008980173</c:v>
                </c:pt>
                <c:pt idx="110">
                  <c:v>1.6798171364901107</c:v>
                </c:pt>
                <c:pt idx="111">
                  <c:v>1.5432590440574132</c:v>
                </c:pt>
                <c:pt idx="112">
                  <c:v>1.5224933855694185</c:v>
                </c:pt>
                <c:pt idx="113">
                  <c:v>1.5419587589030384</c:v>
                </c:pt>
                <c:pt idx="114">
                  <c:v>1.5848235330113842</c:v>
                </c:pt>
                <c:pt idx="115">
                  <c:v>1.7680582666325531</c:v>
                </c:pt>
                <c:pt idx="116">
                  <c:v>1.817879121309449</c:v>
                </c:pt>
                <c:pt idx="117">
                  <c:v>1.8277096527003363</c:v>
                </c:pt>
                <c:pt idx="118">
                  <c:v>1.7702494710756362</c:v>
                </c:pt>
                <c:pt idx="119">
                  <c:v>1.7146914788489049</c:v>
                </c:pt>
                <c:pt idx="120">
                  <c:v>1.6448987209506225</c:v>
                </c:pt>
                <c:pt idx="121">
                  <c:v>1.61521338215178</c:v>
                </c:pt>
                <c:pt idx="122">
                  <c:v>1.3425690543098345</c:v>
                </c:pt>
                <c:pt idx="123">
                  <c:v>1.2405268731273593</c:v>
                </c:pt>
                <c:pt idx="124">
                  <c:v>1.309587077085399</c:v>
                </c:pt>
                <c:pt idx="125">
                  <c:v>1.4074382952901243</c:v>
                </c:pt>
                <c:pt idx="126">
                  <c:v>1.220036465250931</c:v>
                </c:pt>
                <c:pt idx="127">
                  <c:v>1.2381515917633137</c:v>
                </c:pt>
                <c:pt idx="128">
                  <c:v>1.531841575727485</c:v>
                </c:pt>
                <c:pt idx="129">
                  <c:v>1.6142487181719047</c:v>
                </c:pt>
                <c:pt idx="130">
                  <c:v>1.4832425724098373</c:v>
                </c:pt>
                <c:pt idx="131">
                  <c:v>1.4254150082096386</c:v>
                </c:pt>
                <c:pt idx="132">
                  <c:v>1.4053974209126199</c:v>
                </c:pt>
                <c:pt idx="133">
                  <c:v>1.3195943600703703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BCE-4A8D-9C3E-C3F2939835FB}"/>
            </c:ext>
          </c:extLst>
        </c:ser>
        <c:ser>
          <c:idx val="9"/>
          <c:order val="9"/>
          <c:tx>
            <c:strRef>
              <c:f>'預測(OLS)累積報酬'!$B$21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'預測(OLS)累積報酬'!$C$11:$EF$11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'預測(OLS)累積報酬'!$C$21:$EF$21</c:f>
              <c:numCache>
                <c:formatCode>0.0000</c:formatCode>
                <c:ptCount val="134"/>
                <c:pt idx="0">
                  <c:v>1.038483447742689E-2</c:v>
                </c:pt>
                <c:pt idx="1">
                  <c:v>0.13677275124425048</c:v>
                </c:pt>
                <c:pt idx="2">
                  <c:v>9.3055196364529469E-2</c:v>
                </c:pt>
                <c:pt idx="3">
                  <c:v>0.27709377797065948</c:v>
                </c:pt>
                <c:pt idx="4">
                  <c:v>0.133251626858095</c:v>
                </c:pt>
                <c:pt idx="5">
                  <c:v>9.5407549829802596E-2</c:v>
                </c:pt>
                <c:pt idx="6">
                  <c:v>-5.1848058297670391E-2</c:v>
                </c:pt>
                <c:pt idx="7">
                  <c:v>8.5872673939719271E-3</c:v>
                </c:pt>
                <c:pt idx="8">
                  <c:v>0.21546729339736742</c:v>
                </c:pt>
                <c:pt idx="9">
                  <c:v>0.158241126532423</c:v>
                </c:pt>
                <c:pt idx="10">
                  <c:v>5.8556533124211746E-2</c:v>
                </c:pt>
                <c:pt idx="11">
                  <c:v>0.19760720898501155</c:v>
                </c:pt>
                <c:pt idx="12">
                  <c:v>0.32738966751536502</c:v>
                </c:pt>
                <c:pt idx="13">
                  <c:v>0.36728139037546775</c:v>
                </c:pt>
                <c:pt idx="14">
                  <c:v>0.62459146446972003</c:v>
                </c:pt>
                <c:pt idx="15">
                  <c:v>0.72016677557635023</c:v>
                </c:pt>
                <c:pt idx="16">
                  <c:v>0.92932625105131472</c:v>
                </c:pt>
                <c:pt idx="17">
                  <c:v>0.94336661539151967</c:v>
                </c:pt>
                <c:pt idx="18">
                  <c:v>1.0296450330032776</c:v>
                </c:pt>
                <c:pt idx="19">
                  <c:v>1.1350158033926321</c:v>
                </c:pt>
                <c:pt idx="20">
                  <c:v>1.4579363520808191</c:v>
                </c:pt>
                <c:pt idx="21">
                  <c:v>1.6657376194341569</c:v>
                </c:pt>
                <c:pt idx="22">
                  <c:v>1.7584668433803614</c:v>
                </c:pt>
                <c:pt idx="23">
                  <c:v>1.8726708306030859</c:v>
                </c:pt>
                <c:pt idx="24">
                  <c:v>1.8921618741431798</c:v>
                </c:pt>
                <c:pt idx="25">
                  <c:v>1.7623222917461101</c:v>
                </c:pt>
                <c:pt idx="26">
                  <c:v>1.7811500284529103</c:v>
                </c:pt>
                <c:pt idx="27">
                  <c:v>1.8070833044503452</c:v>
                </c:pt>
                <c:pt idx="28">
                  <c:v>1.935188283246591</c:v>
                </c:pt>
                <c:pt idx="29">
                  <c:v>1.6400440251632276</c:v>
                </c:pt>
                <c:pt idx="30">
                  <c:v>1.6289974530567837</c:v>
                </c:pt>
                <c:pt idx="31">
                  <c:v>1.8693487087155505</c:v>
                </c:pt>
                <c:pt idx="32">
                  <c:v>1.8016190281203994</c:v>
                </c:pt>
                <c:pt idx="33">
                  <c:v>1.7226778641087002</c:v>
                </c:pt>
                <c:pt idx="34">
                  <c:v>1.7409962330180129</c:v>
                </c:pt>
                <c:pt idx="35">
                  <c:v>1.8063760557511235</c:v>
                </c:pt>
                <c:pt idx="36">
                  <c:v>1.874911863198754</c:v>
                </c:pt>
                <c:pt idx="37">
                  <c:v>1.9868679192618484</c:v>
                </c:pt>
                <c:pt idx="38">
                  <c:v>2.0724356941757356</c:v>
                </c:pt>
                <c:pt idx="39">
                  <c:v>2.0534933152595625</c:v>
                </c:pt>
                <c:pt idx="40">
                  <c:v>1.9766278082490147</c:v>
                </c:pt>
                <c:pt idx="41">
                  <c:v>2.0246159496523251</c:v>
                </c:pt>
                <c:pt idx="42">
                  <c:v>2.0890718182989545</c:v>
                </c:pt>
                <c:pt idx="43">
                  <c:v>2.3539100758469518</c:v>
                </c:pt>
                <c:pt idx="44">
                  <c:v>2.4173654054602318</c:v>
                </c:pt>
                <c:pt idx="45">
                  <c:v>2.4682629734316741</c:v>
                </c:pt>
                <c:pt idx="46">
                  <c:v>2.4584719434775768</c:v>
                </c:pt>
                <c:pt idx="47">
                  <c:v>2.2407536409605395</c:v>
                </c:pt>
                <c:pt idx="48">
                  <c:v>2.3064759356930464</c:v>
                </c:pt>
                <c:pt idx="49">
                  <c:v>2.2134165415644533</c:v>
                </c:pt>
                <c:pt idx="50">
                  <c:v>2.1423843599163677</c:v>
                </c:pt>
                <c:pt idx="51">
                  <c:v>2.4368969968936893</c:v>
                </c:pt>
                <c:pt idx="52">
                  <c:v>2.475218144618883</c:v>
                </c:pt>
                <c:pt idx="53">
                  <c:v>2.4534672812482552</c:v>
                </c:pt>
                <c:pt idx="54">
                  <c:v>2.4471167478508535</c:v>
                </c:pt>
                <c:pt idx="55">
                  <c:v>2.646233964281457</c:v>
                </c:pt>
                <c:pt idx="56">
                  <c:v>2.6828691534982694</c:v>
                </c:pt>
                <c:pt idx="57">
                  <c:v>2.6065477903595142</c:v>
                </c:pt>
                <c:pt idx="58">
                  <c:v>2.7604224364517709</c:v>
                </c:pt>
                <c:pt idx="59">
                  <c:v>2.7924049508627631</c:v>
                </c:pt>
                <c:pt idx="60">
                  <c:v>2.7094317889726973</c:v>
                </c:pt>
                <c:pt idx="61">
                  <c:v>2.7967725794403955</c:v>
                </c:pt>
                <c:pt idx="62">
                  <c:v>2.8375678654691163</c:v>
                </c:pt>
                <c:pt idx="63">
                  <c:v>3.0258153680615045</c:v>
                </c:pt>
                <c:pt idx="64">
                  <c:v>3.0896726044751848</c:v>
                </c:pt>
                <c:pt idx="65">
                  <c:v>3.0854918021435918</c:v>
                </c:pt>
                <c:pt idx="66">
                  <c:v>3.0126010591092487</c:v>
                </c:pt>
                <c:pt idx="67">
                  <c:v>3.0249249212931133</c:v>
                </c:pt>
                <c:pt idx="68">
                  <c:v>3.0906667422534606</c:v>
                </c:pt>
                <c:pt idx="69">
                  <c:v>2.9977145389052033</c:v>
                </c:pt>
                <c:pt idx="70">
                  <c:v>3.1332110011037724</c:v>
                </c:pt>
                <c:pt idx="71">
                  <c:v>3.1139705129515329</c:v>
                </c:pt>
                <c:pt idx="72">
                  <c:v>3.298431183671942</c:v>
                </c:pt>
                <c:pt idx="73">
                  <c:v>3.2100518488843033</c:v>
                </c:pt>
                <c:pt idx="74">
                  <c:v>3.1951354699674663</c:v>
                </c:pt>
                <c:pt idx="75">
                  <c:v>3.1474725412467506</c:v>
                </c:pt>
                <c:pt idx="76">
                  <c:v>3.0869549379443519</c:v>
                </c:pt>
                <c:pt idx="77">
                  <c:v>2.8790850900427643</c:v>
                </c:pt>
                <c:pt idx="78">
                  <c:v>2.8710661357717981</c:v>
                </c:pt>
                <c:pt idx="79">
                  <c:v>2.7202777455695175</c:v>
                </c:pt>
                <c:pt idx="80">
                  <c:v>2.3252018031044721</c:v>
                </c:pt>
                <c:pt idx="81">
                  <c:v>2.2106756454933039</c:v>
                </c:pt>
                <c:pt idx="82">
                  <c:v>2.1255903100191729</c:v>
                </c:pt>
                <c:pt idx="83">
                  <c:v>2.2822167506461413</c:v>
                </c:pt>
                <c:pt idx="84">
                  <c:v>2.3553994777211402</c:v>
                </c:pt>
                <c:pt idx="85">
                  <c:v>2.4410272347376427</c:v>
                </c:pt>
                <c:pt idx="86">
                  <c:v>2.5081868650344985</c:v>
                </c:pt>
                <c:pt idx="87">
                  <c:v>2.3207537434937717</c:v>
                </c:pt>
                <c:pt idx="88">
                  <c:v>2.546256731897143</c:v>
                </c:pt>
                <c:pt idx="89">
                  <c:v>2.5157178416933674</c:v>
                </c:pt>
                <c:pt idx="90">
                  <c:v>2.2779258605539749</c:v>
                </c:pt>
                <c:pt idx="91">
                  <c:v>2.0552257996760623</c:v>
                </c:pt>
                <c:pt idx="92">
                  <c:v>2.0781379938455586</c:v>
                </c:pt>
                <c:pt idx="93">
                  <c:v>1.8390780274842908</c:v>
                </c:pt>
                <c:pt idx="94">
                  <c:v>1.8699857731667886</c:v>
                </c:pt>
                <c:pt idx="95">
                  <c:v>1.7839132162953926</c:v>
                </c:pt>
                <c:pt idx="96">
                  <c:v>1.9428298386128426</c:v>
                </c:pt>
                <c:pt idx="97">
                  <c:v>1.8112023074508861</c:v>
                </c:pt>
                <c:pt idx="98">
                  <c:v>1.8495478243225687</c:v>
                </c:pt>
                <c:pt idx="99">
                  <c:v>1.6925789774109572</c:v>
                </c:pt>
                <c:pt idx="100">
                  <c:v>1.5401266711656381</c:v>
                </c:pt>
                <c:pt idx="101">
                  <c:v>1.5262794647539375</c:v>
                </c:pt>
                <c:pt idx="102">
                  <c:v>1.5274717212106692</c:v>
                </c:pt>
                <c:pt idx="103">
                  <c:v>1.5790961548868239</c:v>
                </c:pt>
                <c:pt idx="104">
                  <c:v>1.6241437141101145</c:v>
                </c:pt>
                <c:pt idx="105">
                  <c:v>1.6269625085011852</c:v>
                </c:pt>
                <c:pt idx="106">
                  <c:v>1.6559402455615118</c:v>
                </c:pt>
                <c:pt idx="107">
                  <c:v>1.804749148051255</c:v>
                </c:pt>
                <c:pt idx="108">
                  <c:v>1.9529340791829846</c:v>
                </c:pt>
                <c:pt idx="109">
                  <c:v>1.8714978909029572</c:v>
                </c:pt>
                <c:pt idx="110">
                  <c:v>1.9616470936207777</c:v>
                </c:pt>
                <c:pt idx="111">
                  <c:v>1.8050413751571361</c:v>
                </c:pt>
                <c:pt idx="112">
                  <c:v>1.7840753130051177</c:v>
                </c:pt>
                <c:pt idx="113">
                  <c:v>1.7968123045061308</c:v>
                </c:pt>
                <c:pt idx="114">
                  <c:v>1.7925577404852453</c:v>
                </c:pt>
                <c:pt idx="115">
                  <c:v>2.0128533813497729</c:v>
                </c:pt>
                <c:pt idx="116">
                  <c:v>1.9942945722919854</c:v>
                </c:pt>
                <c:pt idx="117">
                  <c:v>2.0185607273855513</c:v>
                </c:pt>
                <c:pt idx="118">
                  <c:v>1.948138028577368</c:v>
                </c:pt>
                <c:pt idx="119">
                  <c:v>1.8945810387706736</c:v>
                </c:pt>
                <c:pt idx="120">
                  <c:v>1.8099756051651377</c:v>
                </c:pt>
                <c:pt idx="121">
                  <c:v>1.8047604148184584</c:v>
                </c:pt>
                <c:pt idx="122">
                  <c:v>1.4649537759608906</c:v>
                </c:pt>
                <c:pt idx="123">
                  <c:v>1.310055524830986</c:v>
                </c:pt>
                <c:pt idx="124">
                  <c:v>1.4383033934951071</c:v>
                </c:pt>
                <c:pt idx="125">
                  <c:v>1.5551322833698895</c:v>
                </c:pt>
                <c:pt idx="126">
                  <c:v>1.3294704021819004</c:v>
                </c:pt>
                <c:pt idx="127">
                  <c:v>1.5093614239068007</c:v>
                </c:pt>
                <c:pt idx="128">
                  <c:v>1.7754182561861467</c:v>
                </c:pt>
                <c:pt idx="129">
                  <c:v>1.8017204501846806</c:v>
                </c:pt>
                <c:pt idx="130">
                  <c:v>1.6616264322324548</c:v>
                </c:pt>
                <c:pt idx="131">
                  <c:v>1.7907816355696411</c:v>
                </c:pt>
                <c:pt idx="132">
                  <c:v>1.8017375809765155</c:v>
                </c:pt>
                <c:pt idx="133">
                  <c:v>1.7729403545568445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BCE-4A8D-9C3E-C3F2939835FB}"/>
            </c:ext>
          </c:extLst>
        </c:ser>
        <c:ser>
          <c:idx val="10"/>
          <c:order val="10"/>
          <c:tx>
            <c:strRef>
              <c:f>'預測(OLS)累積報酬'!$B$22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'預測(OLS)累積報酬'!$C$11:$EF$11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'預測(OLS)累積報酬'!$C$22:$EF$22</c:f>
              <c:numCache>
                <c:formatCode>0.0000</c:formatCode>
                <c:ptCount val="134"/>
                <c:pt idx="0">
                  <c:v>2.5922326608526759E-2</c:v>
                </c:pt>
                <c:pt idx="1">
                  <c:v>0.16835017868592525</c:v>
                </c:pt>
                <c:pt idx="2">
                  <c:v>0.14611976642668711</c:v>
                </c:pt>
                <c:pt idx="3">
                  <c:v>0.21395082734796467</c:v>
                </c:pt>
                <c:pt idx="4">
                  <c:v>0.11006646405763057</c:v>
                </c:pt>
                <c:pt idx="5">
                  <c:v>-0.11973908043377002</c:v>
                </c:pt>
                <c:pt idx="6">
                  <c:v>-0.24323224977183983</c:v>
                </c:pt>
                <c:pt idx="7">
                  <c:v>-0.19063366050649691</c:v>
                </c:pt>
                <c:pt idx="8">
                  <c:v>5.4732252176258794E-2</c:v>
                </c:pt>
                <c:pt idx="9">
                  <c:v>-5.275491647498301E-2</c:v>
                </c:pt>
                <c:pt idx="10">
                  <c:v>-0.12685497524555556</c:v>
                </c:pt>
                <c:pt idx="11">
                  <c:v>-2.8824114437922793E-2</c:v>
                </c:pt>
                <c:pt idx="12">
                  <c:v>0.1146562315663496</c:v>
                </c:pt>
                <c:pt idx="13">
                  <c:v>0.15751472008533951</c:v>
                </c:pt>
                <c:pt idx="14">
                  <c:v>0.43429161391839133</c:v>
                </c:pt>
                <c:pt idx="15">
                  <c:v>0.4709200481899794</c:v>
                </c:pt>
                <c:pt idx="16">
                  <c:v>0.71797667771970897</c:v>
                </c:pt>
                <c:pt idx="17">
                  <c:v>0.73821529019654297</c:v>
                </c:pt>
                <c:pt idx="18">
                  <c:v>0.84880531359904721</c:v>
                </c:pt>
                <c:pt idx="19">
                  <c:v>0.90582944823333689</c:v>
                </c:pt>
                <c:pt idx="20">
                  <c:v>1.2520229335325854</c:v>
                </c:pt>
                <c:pt idx="21">
                  <c:v>1.5092252847460825</c:v>
                </c:pt>
                <c:pt idx="22">
                  <c:v>1.5571636169258509</c:v>
                </c:pt>
                <c:pt idx="23">
                  <c:v>1.6327118860716969</c:v>
                </c:pt>
                <c:pt idx="24">
                  <c:v>1.6397599029585537</c:v>
                </c:pt>
                <c:pt idx="25">
                  <c:v>1.5053236902452283</c:v>
                </c:pt>
                <c:pt idx="26">
                  <c:v>1.5911001509606608</c:v>
                </c:pt>
                <c:pt idx="27">
                  <c:v>1.6096939001753221</c:v>
                </c:pt>
                <c:pt idx="28">
                  <c:v>1.7405177429916563</c:v>
                </c:pt>
                <c:pt idx="29">
                  <c:v>1.3106009749430443</c:v>
                </c:pt>
                <c:pt idx="30">
                  <c:v>1.2997888743762021</c:v>
                </c:pt>
                <c:pt idx="31">
                  <c:v>1.5474111205396033</c:v>
                </c:pt>
                <c:pt idx="32">
                  <c:v>1.4800182195284173</c:v>
                </c:pt>
                <c:pt idx="33">
                  <c:v>1.4341520900302627</c:v>
                </c:pt>
                <c:pt idx="34">
                  <c:v>1.5127278587351769</c:v>
                </c:pt>
                <c:pt idx="35">
                  <c:v>1.5530688255420773</c:v>
                </c:pt>
                <c:pt idx="36">
                  <c:v>1.6371577290097807</c:v>
                </c:pt>
                <c:pt idx="37">
                  <c:v>1.7482905386733401</c:v>
                </c:pt>
                <c:pt idx="38">
                  <c:v>1.906443413967067</c:v>
                </c:pt>
                <c:pt idx="39">
                  <c:v>1.8859506854490884</c:v>
                </c:pt>
                <c:pt idx="40">
                  <c:v>1.8065245679704953</c:v>
                </c:pt>
                <c:pt idx="41">
                  <c:v>1.8744490556740987</c:v>
                </c:pt>
                <c:pt idx="42">
                  <c:v>1.9572594945726487</c:v>
                </c:pt>
                <c:pt idx="43">
                  <c:v>1.9749878655670854</c:v>
                </c:pt>
                <c:pt idx="44">
                  <c:v>2.0849024628852697</c:v>
                </c:pt>
                <c:pt idx="45">
                  <c:v>2.1445486030589351</c:v>
                </c:pt>
                <c:pt idx="46">
                  <c:v>2.1746979922659442</c:v>
                </c:pt>
                <c:pt idx="47">
                  <c:v>2.1845731782716382</c:v>
                </c:pt>
                <c:pt idx="48">
                  <c:v>2.2830294544010017</c:v>
                </c:pt>
                <c:pt idx="49">
                  <c:v>2.0555439581675481</c:v>
                </c:pt>
                <c:pt idx="50">
                  <c:v>2.0099455330000859</c:v>
                </c:pt>
                <c:pt idx="51">
                  <c:v>2.3794961162965738</c:v>
                </c:pt>
                <c:pt idx="52">
                  <c:v>2.2486591781736185</c:v>
                </c:pt>
                <c:pt idx="53">
                  <c:v>2.2264849967077902</c:v>
                </c:pt>
                <c:pt idx="54">
                  <c:v>2.2042688133133099</c:v>
                </c:pt>
                <c:pt idx="55">
                  <c:v>2.4033712618617482</c:v>
                </c:pt>
                <c:pt idx="56">
                  <c:v>2.4496507740301343</c:v>
                </c:pt>
                <c:pt idx="57">
                  <c:v>2.3216902316920023</c:v>
                </c:pt>
                <c:pt idx="58">
                  <c:v>2.4090082908691781</c:v>
                </c:pt>
                <c:pt idx="59">
                  <c:v>2.3987743154200745</c:v>
                </c:pt>
                <c:pt idx="60">
                  <c:v>2.3779195600903078</c:v>
                </c:pt>
                <c:pt idx="61">
                  <c:v>2.5173909504911713</c:v>
                </c:pt>
                <c:pt idx="62">
                  <c:v>2.5198214337367046</c:v>
                </c:pt>
                <c:pt idx="63">
                  <c:v>2.4913026272727294</c:v>
                </c:pt>
                <c:pt idx="64">
                  <c:v>2.5417870563854796</c:v>
                </c:pt>
                <c:pt idx="65">
                  <c:v>2.541246056260948</c:v>
                </c:pt>
                <c:pt idx="66">
                  <c:v>2.4500178650665387</c:v>
                </c:pt>
                <c:pt idx="67">
                  <c:v>2.4708314745329916</c:v>
                </c:pt>
                <c:pt idx="68">
                  <c:v>2.5678790642375366</c:v>
                </c:pt>
                <c:pt idx="69">
                  <c:v>2.6350222796552618</c:v>
                </c:pt>
                <c:pt idx="70">
                  <c:v>2.8479710457932721</c:v>
                </c:pt>
                <c:pt idx="71">
                  <c:v>2.8472892856257146</c:v>
                </c:pt>
                <c:pt idx="72">
                  <c:v>2.979461077161496</c:v>
                </c:pt>
                <c:pt idx="73">
                  <c:v>2.8265237069115039</c:v>
                </c:pt>
                <c:pt idx="74">
                  <c:v>2.8588765824320035</c:v>
                </c:pt>
                <c:pt idx="75">
                  <c:v>2.8116188465691114</c:v>
                </c:pt>
                <c:pt idx="76">
                  <c:v>2.7841287680887881</c:v>
                </c:pt>
                <c:pt idx="77">
                  <c:v>2.529389512373927</c:v>
                </c:pt>
                <c:pt idx="78">
                  <c:v>2.4042855170538942</c:v>
                </c:pt>
                <c:pt idx="79">
                  <c:v>2.0885138568510451</c:v>
                </c:pt>
                <c:pt idx="80">
                  <c:v>1.6951265177467669</c:v>
                </c:pt>
                <c:pt idx="81">
                  <c:v>1.5943561607127021</c:v>
                </c:pt>
                <c:pt idx="82">
                  <c:v>1.3872708280791892</c:v>
                </c:pt>
                <c:pt idx="83">
                  <c:v>1.5408771128887326</c:v>
                </c:pt>
                <c:pt idx="84">
                  <c:v>1.6054944356991068</c:v>
                </c:pt>
                <c:pt idx="85">
                  <c:v>1.7088739407886695</c:v>
                </c:pt>
                <c:pt idx="86">
                  <c:v>1.8197974810754518</c:v>
                </c:pt>
                <c:pt idx="87">
                  <c:v>1.7248004690519063</c:v>
                </c:pt>
                <c:pt idx="88">
                  <c:v>2.0452324727097317</c:v>
                </c:pt>
                <c:pt idx="89">
                  <c:v>2.0537792445306393</c:v>
                </c:pt>
                <c:pt idx="90">
                  <c:v>1.8684934866254126</c:v>
                </c:pt>
                <c:pt idx="91">
                  <c:v>1.6090849296560101</c:v>
                </c:pt>
                <c:pt idx="92">
                  <c:v>1.6262445451751339</c:v>
                </c:pt>
                <c:pt idx="93">
                  <c:v>1.3794717751832473</c:v>
                </c:pt>
                <c:pt idx="94">
                  <c:v>1.4039113620152799</c:v>
                </c:pt>
                <c:pt idx="95">
                  <c:v>1.2778199838265083</c:v>
                </c:pt>
                <c:pt idx="96">
                  <c:v>1.4451738950128765</c:v>
                </c:pt>
                <c:pt idx="97">
                  <c:v>1.2621273482681783</c:v>
                </c:pt>
                <c:pt idx="98">
                  <c:v>1.285011390600163</c:v>
                </c:pt>
                <c:pt idx="99">
                  <c:v>1.2307180951263592</c:v>
                </c:pt>
                <c:pt idx="100">
                  <c:v>1.0682782264129125</c:v>
                </c:pt>
                <c:pt idx="101">
                  <c:v>1.0606909799717734</c:v>
                </c:pt>
                <c:pt idx="102">
                  <c:v>1.0566992260898493</c:v>
                </c:pt>
                <c:pt idx="103">
                  <c:v>1.1150827329183415</c:v>
                </c:pt>
                <c:pt idx="104">
                  <c:v>1.1358075173624991</c:v>
                </c:pt>
                <c:pt idx="105">
                  <c:v>1.1675176864883245</c:v>
                </c:pt>
                <c:pt idx="106">
                  <c:v>1.1497611829863916</c:v>
                </c:pt>
                <c:pt idx="107">
                  <c:v>1.2468328886226185</c:v>
                </c:pt>
                <c:pt idx="108">
                  <c:v>1.3349542991256822</c:v>
                </c:pt>
                <c:pt idx="109">
                  <c:v>1.2534999175097736</c:v>
                </c:pt>
                <c:pt idx="110">
                  <c:v>1.3346054613500438</c:v>
                </c:pt>
                <c:pt idx="111">
                  <c:v>1.1809056985197142</c:v>
                </c:pt>
                <c:pt idx="112">
                  <c:v>1.1575595218867527</c:v>
                </c:pt>
                <c:pt idx="113">
                  <c:v>1.1607728526298915</c:v>
                </c:pt>
                <c:pt idx="114">
                  <c:v>1.1180963035138507</c:v>
                </c:pt>
                <c:pt idx="115">
                  <c:v>1.4234713317860539</c:v>
                </c:pt>
                <c:pt idx="116">
                  <c:v>1.4472400000735028</c:v>
                </c:pt>
                <c:pt idx="117">
                  <c:v>1.4574672579264067</c:v>
                </c:pt>
                <c:pt idx="118">
                  <c:v>1.2920630913817668</c:v>
                </c:pt>
                <c:pt idx="119">
                  <c:v>1.2208267917086311</c:v>
                </c:pt>
                <c:pt idx="120">
                  <c:v>1.091302952339426</c:v>
                </c:pt>
                <c:pt idx="121">
                  <c:v>1.1184317063175961</c:v>
                </c:pt>
                <c:pt idx="122">
                  <c:v>0.74316283397562399</c:v>
                </c:pt>
                <c:pt idx="123">
                  <c:v>0.58610046442587316</c:v>
                </c:pt>
                <c:pt idx="124">
                  <c:v>0.66449018813287031</c:v>
                </c:pt>
                <c:pt idx="125">
                  <c:v>0.82884231217440951</c:v>
                </c:pt>
                <c:pt idx="126">
                  <c:v>0.51108793980992706</c:v>
                </c:pt>
                <c:pt idx="127">
                  <c:v>0.67671418603568267</c:v>
                </c:pt>
                <c:pt idx="128">
                  <c:v>0.81707034803637624</c:v>
                </c:pt>
                <c:pt idx="129">
                  <c:v>0.94683629834244531</c:v>
                </c:pt>
                <c:pt idx="130">
                  <c:v>0.97526511012049621</c:v>
                </c:pt>
                <c:pt idx="131">
                  <c:v>1.158947096624652</c:v>
                </c:pt>
                <c:pt idx="132">
                  <c:v>1.1948464538207209</c:v>
                </c:pt>
                <c:pt idx="133">
                  <c:v>1.1582509846889426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BCE-4A8D-9C3E-C3F2939835FB}"/>
            </c:ext>
          </c:extLst>
        </c:ser>
        <c:ser>
          <c:idx val="11"/>
          <c:order val="11"/>
          <c:tx>
            <c:strRef>
              <c:f>'預測(OLS)累積報酬'!$B$23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'預測(OLS)累積報酬'!$C$11:$EF$11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'預測(OLS)累積報酬'!$C$23:$EF$23</c:f>
              <c:numCache>
                <c:formatCode>0.0000</c:formatCode>
                <c:ptCount val="134"/>
                <c:pt idx="0">
                  <c:v>3.1325684581971477E-2</c:v>
                </c:pt>
                <c:pt idx="1">
                  <c:v>0.28541831203343276</c:v>
                </c:pt>
                <c:pt idx="2">
                  <c:v>0.27035672434646735</c:v>
                </c:pt>
                <c:pt idx="3">
                  <c:v>0.45275279966734605</c:v>
                </c:pt>
                <c:pt idx="4">
                  <c:v>0.47972436819171405</c:v>
                </c:pt>
                <c:pt idx="5">
                  <c:v>0.21691412699026125</c:v>
                </c:pt>
                <c:pt idx="6">
                  <c:v>6.8762098389967247E-2</c:v>
                </c:pt>
                <c:pt idx="7">
                  <c:v>-2.940019275648513E-2</c:v>
                </c:pt>
                <c:pt idx="8">
                  <c:v>0.11320738236816978</c:v>
                </c:pt>
                <c:pt idx="9">
                  <c:v>-0.11923697867429241</c:v>
                </c:pt>
                <c:pt idx="10">
                  <c:v>-0.37768689503293479</c:v>
                </c:pt>
                <c:pt idx="11">
                  <c:v>-0.25088688134060633</c:v>
                </c:pt>
                <c:pt idx="12">
                  <c:v>-4.632250336760424E-2</c:v>
                </c:pt>
                <c:pt idx="13">
                  <c:v>-3.5638998607857492E-2</c:v>
                </c:pt>
                <c:pt idx="14">
                  <c:v>-9.5207015508377985E-2</c:v>
                </c:pt>
                <c:pt idx="15">
                  <c:v>-3.8995872195122933E-2</c:v>
                </c:pt>
                <c:pt idx="16">
                  <c:v>0.13029912771812108</c:v>
                </c:pt>
                <c:pt idx="17">
                  <c:v>0.13067249692659982</c:v>
                </c:pt>
                <c:pt idx="18">
                  <c:v>0.2244299193673942</c:v>
                </c:pt>
                <c:pt idx="19">
                  <c:v>0.16107290838832816</c:v>
                </c:pt>
                <c:pt idx="20">
                  <c:v>0.66499223957363895</c:v>
                </c:pt>
                <c:pt idx="21">
                  <c:v>0.85954870103128322</c:v>
                </c:pt>
                <c:pt idx="22">
                  <c:v>0.86713746445996143</c:v>
                </c:pt>
                <c:pt idx="23">
                  <c:v>0.90016997990383674</c:v>
                </c:pt>
                <c:pt idx="24">
                  <c:v>0.906776271873307</c:v>
                </c:pt>
                <c:pt idx="25">
                  <c:v>0.84273649199652345</c:v>
                </c:pt>
                <c:pt idx="26">
                  <c:v>1.0114912916334362</c:v>
                </c:pt>
                <c:pt idx="27">
                  <c:v>1.0144865832039205</c:v>
                </c:pt>
                <c:pt idx="28">
                  <c:v>1.1516985719615804</c:v>
                </c:pt>
                <c:pt idx="29">
                  <c:v>0.82703924632136916</c:v>
                </c:pt>
                <c:pt idx="30">
                  <c:v>0.97293313926104119</c:v>
                </c:pt>
                <c:pt idx="31">
                  <c:v>0.83728421891037397</c:v>
                </c:pt>
                <c:pt idx="32">
                  <c:v>0.76183404917091169</c:v>
                </c:pt>
                <c:pt idx="33">
                  <c:v>0.7787965045560612</c:v>
                </c:pt>
                <c:pt idx="34">
                  <c:v>0.86999572883132092</c:v>
                </c:pt>
                <c:pt idx="35">
                  <c:v>1.0014274420238565</c:v>
                </c:pt>
                <c:pt idx="36">
                  <c:v>1.0091969310287217</c:v>
                </c:pt>
                <c:pt idx="37">
                  <c:v>1.2515116303860223</c:v>
                </c:pt>
                <c:pt idx="38">
                  <c:v>1.3422941099156398</c:v>
                </c:pt>
                <c:pt idx="39">
                  <c:v>1.507560482249132</c:v>
                </c:pt>
                <c:pt idx="40">
                  <c:v>1.4181354899895213</c:v>
                </c:pt>
                <c:pt idx="41">
                  <c:v>1.5642716543288884</c:v>
                </c:pt>
                <c:pt idx="42">
                  <c:v>1.5495647663315109</c:v>
                </c:pt>
                <c:pt idx="43">
                  <c:v>1.659070669296411</c:v>
                </c:pt>
                <c:pt idx="44">
                  <c:v>1.8626665604779968</c:v>
                </c:pt>
                <c:pt idx="45">
                  <c:v>1.7659093100778633</c:v>
                </c:pt>
                <c:pt idx="46">
                  <c:v>1.8179362199162661</c:v>
                </c:pt>
                <c:pt idx="47">
                  <c:v>1.8327489989248069</c:v>
                </c:pt>
                <c:pt idx="48">
                  <c:v>1.8908885990315969</c:v>
                </c:pt>
                <c:pt idx="49">
                  <c:v>1.5749040777757957</c:v>
                </c:pt>
                <c:pt idx="50">
                  <c:v>1.5845508578558964</c:v>
                </c:pt>
                <c:pt idx="51">
                  <c:v>2.1513773839033368</c:v>
                </c:pt>
                <c:pt idx="52">
                  <c:v>1.8505491347302709</c:v>
                </c:pt>
                <c:pt idx="53">
                  <c:v>1.9453800160767212</c:v>
                </c:pt>
                <c:pt idx="54">
                  <c:v>2.0168107784740177</c:v>
                </c:pt>
                <c:pt idx="55">
                  <c:v>2.2268198913344688</c:v>
                </c:pt>
                <c:pt idx="56">
                  <c:v>2.3015813625312211</c:v>
                </c:pt>
                <c:pt idx="57">
                  <c:v>2.098097381175934</c:v>
                </c:pt>
                <c:pt idx="58">
                  <c:v>2.2363169364023809</c:v>
                </c:pt>
                <c:pt idx="59">
                  <c:v>2.2943371499470233</c:v>
                </c:pt>
                <c:pt idx="60">
                  <c:v>2.2893272864724881</c:v>
                </c:pt>
                <c:pt idx="61">
                  <c:v>2.4036935766141569</c:v>
                </c:pt>
                <c:pt idx="62">
                  <c:v>2.3341981145897064</c:v>
                </c:pt>
                <c:pt idx="63">
                  <c:v>2.3075946445677289</c:v>
                </c:pt>
                <c:pt idx="64">
                  <c:v>2.2710697028217299</c:v>
                </c:pt>
                <c:pt idx="65">
                  <c:v>2.2485939814290479</c:v>
                </c:pt>
                <c:pt idx="66">
                  <c:v>2.1892375565686302</c:v>
                </c:pt>
                <c:pt idx="67">
                  <c:v>2.2070818780325929</c:v>
                </c:pt>
                <c:pt idx="68">
                  <c:v>2.4276489724349837</c:v>
                </c:pt>
                <c:pt idx="69">
                  <c:v>2.4978382365996206</c:v>
                </c:pt>
                <c:pt idx="70">
                  <c:v>2.7035259724455667</c:v>
                </c:pt>
                <c:pt idx="71">
                  <c:v>2.7205449233214947</c:v>
                </c:pt>
                <c:pt idx="72">
                  <c:v>2.7359074383645852</c:v>
                </c:pt>
                <c:pt idx="73">
                  <c:v>2.6116879148199499</c:v>
                </c:pt>
                <c:pt idx="74">
                  <c:v>2.6516273636960803</c:v>
                </c:pt>
                <c:pt idx="75">
                  <c:v>2.6439576012642356</c:v>
                </c:pt>
                <c:pt idx="76">
                  <c:v>2.5683044015176066</c:v>
                </c:pt>
                <c:pt idx="77">
                  <c:v>2.2521376397588568</c:v>
                </c:pt>
                <c:pt idx="78">
                  <c:v>2.1675930250430815</c:v>
                </c:pt>
                <c:pt idx="79">
                  <c:v>1.5268464475265289</c:v>
                </c:pt>
                <c:pt idx="80">
                  <c:v>1.4102218407300675</c:v>
                </c:pt>
                <c:pt idx="81">
                  <c:v>1.3940610052999858</c:v>
                </c:pt>
                <c:pt idx="82">
                  <c:v>1.1774237636727829</c:v>
                </c:pt>
                <c:pt idx="83">
                  <c:v>1.3395463379898536</c:v>
                </c:pt>
                <c:pt idx="84">
                  <c:v>1.4747685346413328</c:v>
                </c:pt>
                <c:pt idx="85">
                  <c:v>1.4946439021917435</c:v>
                </c:pt>
                <c:pt idx="86">
                  <c:v>1.5665002927282881</c:v>
                </c:pt>
                <c:pt idx="87">
                  <c:v>1.4024508335493739</c:v>
                </c:pt>
                <c:pt idx="88">
                  <c:v>1.7891837800722834</c:v>
                </c:pt>
                <c:pt idx="89">
                  <c:v>1.8421889584420867</c:v>
                </c:pt>
                <c:pt idx="90">
                  <c:v>1.5737379815389376</c:v>
                </c:pt>
                <c:pt idx="91">
                  <c:v>1.2623772383761809</c:v>
                </c:pt>
                <c:pt idx="92">
                  <c:v>1.2376749682968</c:v>
                </c:pt>
                <c:pt idx="93">
                  <c:v>1.0866767978228524</c:v>
                </c:pt>
                <c:pt idx="94">
                  <c:v>1.1556921686797577</c:v>
                </c:pt>
                <c:pt idx="95">
                  <c:v>1.1228419446736129</c:v>
                </c:pt>
                <c:pt idx="96">
                  <c:v>1.3249458296607697</c:v>
                </c:pt>
                <c:pt idx="97">
                  <c:v>1.1230943667738913</c:v>
                </c:pt>
                <c:pt idx="98">
                  <c:v>1.09890807898489</c:v>
                </c:pt>
                <c:pt idx="99">
                  <c:v>1.0370480858376092</c:v>
                </c:pt>
                <c:pt idx="100">
                  <c:v>0.75533725836358934</c:v>
                </c:pt>
                <c:pt idx="101">
                  <c:v>0.8166183588782302</c:v>
                </c:pt>
                <c:pt idx="102">
                  <c:v>0.7856362226523198</c:v>
                </c:pt>
                <c:pt idx="103">
                  <c:v>0.80159137951931625</c:v>
                </c:pt>
                <c:pt idx="104">
                  <c:v>0.68240089344890209</c:v>
                </c:pt>
                <c:pt idx="105">
                  <c:v>0.77519956812605517</c:v>
                </c:pt>
                <c:pt idx="106">
                  <c:v>0.71511362061588357</c:v>
                </c:pt>
                <c:pt idx="107">
                  <c:v>0.90648749442833487</c:v>
                </c:pt>
                <c:pt idx="108">
                  <c:v>1.0594641487233876</c:v>
                </c:pt>
                <c:pt idx="109">
                  <c:v>0.92023725521127919</c:v>
                </c:pt>
                <c:pt idx="110">
                  <c:v>1.1051499687593844</c:v>
                </c:pt>
                <c:pt idx="111">
                  <c:v>0.98511738693546569</c:v>
                </c:pt>
                <c:pt idx="112">
                  <c:v>0.93736758988688673</c:v>
                </c:pt>
                <c:pt idx="113">
                  <c:v>0.91112493778226222</c:v>
                </c:pt>
                <c:pt idx="114">
                  <c:v>0.92183527208908722</c:v>
                </c:pt>
                <c:pt idx="115">
                  <c:v>1.1868101285730785</c:v>
                </c:pt>
                <c:pt idx="116">
                  <c:v>1.1021393007658964</c:v>
                </c:pt>
                <c:pt idx="117">
                  <c:v>1.1492275334216193</c:v>
                </c:pt>
                <c:pt idx="118">
                  <c:v>0.903281425862833</c:v>
                </c:pt>
                <c:pt idx="119">
                  <c:v>0.80085563062783183</c:v>
                </c:pt>
                <c:pt idx="120">
                  <c:v>0.55366107918536334</c:v>
                </c:pt>
                <c:pt idx="121">
                  <c:v>0.53136462211560609</c:v>
                </c:pt>
                <c:pt idx="122">
                  <c:v>6.1229154625062066E-3</c:v>
                </c:pt>
                <c:pt idx="123">
                  <c:v>-0.18661848575539081</c:v>
                </c:pt>
                <c:pt idx="124">
                  <c:v>-4.5390253172552214E-2</c:v>
                </c:pt>
                <c:pt idx="125">
                  <c:v>0.12561253379590229</c:v>
                </c:pt>
                <c:pt idx="126">
                  <c:v>-0.14260939557622163</c:v>
                </c:pt>
                <c:pt idx="127">
                  <c:v>-1.3276380024502821E-2</c:v>
                </c:pt>
                <c:pt idx="128">
                  <c:v>-4.2035159800907801E-2</c:v>
                </c:pt>
                <c:pt idx="129">
                  <c:v>0.20224949832301439</c:v>
                </c:pt>
                <c:pt idx="130">
                  <c:v>0.32545444127867906</c:v>
                </c:pt>
                <c:pt idx="131">
                  <c:v>0.51977771980059806</c:v>
                </c:pt>
                <c:pt idx="132">
                  <c:v>0.58932327789558459</c:v>
                </c:pt>
                <c:pt idx="133">
                  <c:v>0.49590741998189669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BCE-4A8D-9C3E-C3F2939835FB}"/>
            </c:ext>
          </c:extLst>
        </c:ser>
        <c:ser>
          <c:idx val="12"/>
          <c:order val="12"/>
          <c:tx>
            <c:strRef>
              <c:f>'預測(OLS)累積報酬'!$B$24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'預測(OLS)累積報酬'!$C$11:$EF$11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'預測(OLS)累積報酬'!$C$24:$EF$24</c:f>
              <c:numCache>
                <c:formatCode>0.0000</c:formatCode>
                <c:ptCount val="134"/>
                <c:pt idx="0">
                  <c:v>2.776696731044102E-2</c:v>
                </c:pt>
                <c:pt idx="1">
                  <c:v>0.12837688020966961</c:v>
                </c:pt>
                <c:pt idx="2">
                  <c:v>0.2102572148200671</c:v>
                </c:pt>
                <c:pt idx="3">
                  <c:v>0.41180293369171328</c:v>
                </c:pt>
                <c:pt idx="4">
                  <c:v>0.43442532225433095</c:v>
                </c:pt>
                <c:pt idx="5">
                  <c:v>8.3603130923292135E-2</c:v>
                </c:pt>
                <c:pt idx="6">
                  <c:v>8.5715064126435633E-2</c:v>
                </c:pt>
                <c:pt idx="7">
                  <c:v>-1.4257128783700501E-2</c:v>
                </c:pt>
                <c:pt idx="8">
                  <c:v>3.6187207209788207E-2</c:v>
                </c:pt>
                <c:pt idx="9">
                  <c:v>-0.29757223726585841</c:v>
                </c:pt>
                <c:pt idx="10">
                  <c:v>-0.4443915761653669</c:v>
                </c:pt>
                <c:pt idx="11">
                  <c:v>-0.33919986536952151</c:v>
                </c:pt>
                <c:pt idx="12">
                  <c:v>-0.10389067196409851</c:v>
                </c:pt>
                <c:pt idx="13">
                  <c:v>-2.6154186110041278E-2</c:v>
                </c:pt>
                <c:pt idx="14">
                  <c:v>-8.7119147756747548E-2</c:v>
                </c:pt>
                <c:pt idx="15">
                  <c:v>0.15857822302251218</c:v>
                </c:pt>
                <c:pt idx="16">
                  <c:v>0.29846202258951277</c:v>
                </c:pt>
                <c:pt idx="17">
                  <c:v>0.17477097849772355</c:v>
                </c:pt>
                <c:pt idx="18">
                  <c:v>0.32328965272164156</c:v>
                </c:pt>
                <c:pt idx="19">
                  <c:v>0.20674933600479076</c:v>
                </c:pt>
                <c:pt idx="20">
                  <c:v>0.84968286461045017</c:v>
                </c:pt>
                <c:pt idx="21">
                  <c:v>0.84878398814543299</c:v>
                </c:pt>
                <c:pt idx="22">
                  <c:v>0.87818282772586564</c:v>
                </c:pt>
                <c:pt idx="23">
                  <c:v>0.98402515500467269</c:v>
                </c:pt>
                <c:pt idx="24">
                  <c:v>0.99757292324225</c:v>
                </c:pt>
                <c:pt idx="25">
                  <c:v>0.80223330056700615</c:v>
                </c:pt>
                <c:pt idx="26">
                  <c:v>1.2039806344139607</c:v>
                </c:pt>
                <c:pt idx="27">
                  <c:v>1.2639027812247798</c:v>
                </c:pt>
                <c:pt idx="28">
                  <c:v>1.4570445709365378</c:v>
                </c:pt>
                <c:pt idx="29">
                  <c:v>0.96165515813237601</c:v>
                </c:pt>
                <c:pt idx="30">
                  <c:v>1.3417105507151721</c:v>
                </c:pt>
                <c:pt idx="31">
                  <c:v>1.0395877941085967</c:v>
                </c:pt>
                <c:pt idx="32">
                  <c:v>0.88767611932519941</c:v>
                </c:pt>
                <c:pt idx="33">
                  <c:v>0.90778848469839835</c:v>
                </c:pt>
                <c:pt idx="34">
                  <c:v>1.0209676484740224</c:v>
                </c:pt>
                <c:pt idx="35">
                  <c:v>0.96629071298338709</c:v>
                </c:pt>
                <c:pt idx="36">
                  <c:v>0.94737143156286041</c:v>
                </c:pt>
                <c:pt idx="37">
                  <c:v>1.1685608967082917</c:v>
                </c:pt>
                <c:pt idx="38">
                  <c:v>1.2714665992860812</c:v>
                </c:pt>
                <c:pt idx="39">
                  <c:v>1.4359532884440016</c:v>
                </c:pt>
                <c:pt idx="40">
                  <c:v>1.3888763156097559</c:v>
                </c:pt>
                <c:pt idx="41">
                  <c:v>1.5597097217805815</c:v>
                </c:pt>
                <c:pt idx="42">
                  <c:v>1.5317536445139914</c:v>
                </c:pt>
                <c:pt idx="43">
                  <c:v>1.6825226244396723</c:v>
                </c:pt>
                <c:pt idx="44">
                  <c:v>1.9123636401190922</c:v>
                </c:pt>
                <c:pt idx="45">
                  <c:v>1.8928414256965682</c:v>
                </c:pt>
                <c:pt idx="46">
                  <c:v>1.887853884185529</c:v>
                </c:pt>
                <c:pt idx="47">
                  <c:v>1.7763625472693134</c:v>
                </c:pt>
                <c:pt idx="48">
                  <c:v>2.0437982919557833</c:v>
                </c:pt>
                <c:pt idx="49">
                  <c:v>1.4338987317710066</c:v>
                </c:pt>
                <c:pt idx="50">
                  <c:v>1.3801039996863733</c:v>
                </c:pt>
                <c:pt idx="51">
                  <c:v>2.0708805310670453</c:v>
                </c:pt>
                <c:pt idx="52">
                  <c:v>1.2676645180226678</c:v>
                </c:pt>
                <c:pt idx="53">
                  <c:v>1.453259737269103</c:v>
                </c:pt>
                <c:pt idx="54">
                  <c:v>1.4993240913007899</c:v>
                </c:pt>
                <c:pt idx="55">
                  <c:v>1.4349536703513264</c:v>
                </c:pt>
                <c:pt idx="56">
                  <c:v>1.4617896362176372</c:v>
                </c:pt>
                <c:pt idx="57">
                  <c:v>1.0755342993041022</c:v>
                </c:pt>
                <c:pt idx="58">
                  <c:v>1.0473826671559239</c:v>
                </c:pt>
                <c:pt idx="59">
                  <c:v>0.98681541283346452</c:v>
                </c:pt>
                <c:pt idx="60">
                  <c:v>0.97679568588439447</c:v>
                </c:pt>
                <c:pt idx="61">
                  <c:v>1.0829026060355611</c:v>
                </c:pt>
                <c:pt idx="62">
                  <c:v>1.1676855458745494</c:v>
                </c:pt>
                <c:pt idx="63">
                  <c:v>1.1477953873953297</c:v>
                </c:pt>
                <c:pt idx="64">
                  <c:v>1.3089050784909717</c:v>
                </c:pt>
                <c:pt idx="65">
                  <c:v>1.3406991828208614</c:v>
                </c:pt>
                <c:pt idx="66">
                  <c:v>1.3545566492449976</c:v>
                </c:pt>
                <c:pt idx="67">
                  <c:v>1.3969128725484155</c:v>
                </c:pt>
                <c:pt idx="68">
                  <c:v>1.5185339090780221</c:v>
                </c:pt>
                <c:pt idx="69">
                  <c:v>1.5743331653862787</c:v>
                </c:pt>
                <c:pt idx="70">
                  <c:v>1.8026597969462195</c:v>
                </c:pt>
                <c:pt idx="71">
                  <c:v>2.0059639487766701</c:v>
                </c:pt>
                <c:pt idx="72">
                  <c:v>2.1569913941990895</c:v>
                </c:pt>
                <c:pt idx="73">
                  <c:v>2.0989480245491743</c:v>
                </c:pt>
                <c:pt idx="74">
                  <c:v>1.8086111496037574</c:v>
                </c:pt>
                <c:pt idx="75">
                  <c:v>1.5497182507537604</c:v>
                </c:pt>
                <c:pt idx="76">
                  <c:v>1.4344965699803456</c:v>
                </c:pt>
                <c:pt idx="77">
                  <c:v>0.79479843634583058</c:v>
                </c:pt>
                <c:pt idx="78">
                  <c:v>0.612328556458269</c:v>
                </c:pt>
                <c:pt idx="79">
                  <c:v>-7.9003412131113948E-2</c:v>
                </c:pt>
                <c:pt idx="80">
                  <c:v>-0.28912484736720234</c:v>
                </c:pt>
                <c:pt idx="81">
                  <c:v>-0.24516021337047078</c:v>
                </c:pt>
                <c:pt idx="82">
                  <c:v>-0.76512917944439285</c:v>
                </c:pt>
                <c:pt idx="83">
                  <c:v>-0.55215629541507449</c:v>
                </c:pt>
                <c:pt idx="84">
                  <c:v>-0.25855665176539061</c:v>
                </c:pt>
                <c:pt idx="85">
                  <c:v>-0.2716661371848102</c:v>
                </c:pt>
                <c:pt idx="86">
                  <c:v>5.1393128143573885E-2</c:v>
                </c:pt>
                <c:pt idx="87">
                  <c:v>3.5709380254207362E-2</c:v>
                </c:pt>
                <c:pt idx="88">
                  <c:v>0.58529649021330754</c:v>
                </c:pt>
                <c:pt idx="89">
                  <c:v>0.69303525667052068</c:v>
                </c:pt>
                <c:pt idx="90">
                  <c:v>0.12062564693584565</c:v>
                </c:pt>
                <c:pt idx="91">
                  <c:v>-3.9718557878996447E-2</c:v>
                </c:pt>
                <c:pt idx="92">
                  <c:v>-0.19990820450649704</c:v>
                </c:pt>
                <c:pt idx="93">
                  <c:v>-0.33769566055520017</c:v>
                </c:pt>
                <c:pt idx="94">
                  <c:v>-0.36455058307630872</c:v>
                </c:pt>
                <c:pt idx="95">
                  <c:v>-0.18165399578419222</c:v>
                </c:pt>
                <c:pt idx="96">
                  <c:v>-0.12892495097053741</c:v>
                </c:pt>
                <c:pt idx="97">
                  <c:v>-0.49040524632194749</c:v>
                </c:pt>
                <c:pt idx="98">
                  <c:v>-0.72539846159479349</c:v>
                </c:pt>
                <c:pt idx="99">
                  <c:v>-0.87209308726508095</c:v>
                </c:pt>
                <c:pt idx="100">
                  <c:v>-1.2323211340338187</c:v>
                </c:pt>
                <c:pt idx="101">
                  <c:v>-1.0702142241556585</c:v>
                </c:pt>
                <c:pt idx="102">
                  <c:v>-1.0457030199929036</c:v>
                </c:pt>
                <c:pt idx="103">
                  <c:v>-0.85024234748024929</c:v>
                </c:pt>
                <c:pt idx="104">
                  <c:v>-1.0414181056507841</c:v>
                </c:pt>
                <c:pt idx="105">
                  <c:v>-1.2372628278332254</c:v>
                </c:pt>
                <c:pt idx="106">
                  <c:v>-1.1056772365376926</c:v>
                </c:pt>
                <c:pt idx="107">
                  <c:v>-0.91103917278176205</c:v>
                </c:pt>
                <c:pt idx="108">
                  <c:v>-0.66245019004853201</c:v>
                </c:pt>
                <c:pt idx="109">
                  <c:v>-0.92825286604104429</c:v>
                </c:pt>
                <c:pt idx="110">
                  <c:v>-0.50515406631270521</c:v>
                </c:pt>
                <c:pt idx="111">
                  <c:v>-0.73452394084379458</c:v>
                </c:pt>
                <c:pt idx="112">
                  <c:v>-0.90054566919804457</c:v>
                </c:pt>
                <c:pt idx="113">
                  <c:v>-0.96190618241346149</c:v>
                </c:pt>
                <c:pt idx="114">
                  <c:v>-0.85359008728727648</c:v>
                </c:pt>
                <c:pt idx="115">
                  <c:v>-0.33674214828974425</c:v>
                </c:pt>
                <c:pt idx="116">
                  <c:v>-0.41985643787974997</c:v>
                </c:pt>
                <c:pt idx="117">
                  <c:v>-0.3054830123937361</c:v>
                </c:pt>
                <c:pt idx="118">
                  <c:v>-0.66455431449038449</c:v>
                </c:pt>
                <c:pt idx="119">
                  <c:v>-0.68794604576391349</c:v>
                </c:pt>
                <c:pt idx="120">
                  <c:v>-0.8319530206027278</c:v>
                </c:pt>
                <c:pt idx="121">
                  <c:v>-0.86138874699159118</c:v>
                </c:pt>
                <c:pt idx="122">
                  <c:v>-1.63193205474755</c:v>
                </c:pt>
                <c:pt idx="123">
                  <c:v>-2.3823886039367714</c:v>
                </c:pt>
                <c:pt idx="124">
                  <c:v>-2.2735315140454411</c:v>
                </c:pt>
                <c:pt idx="125">
                  <c:v>-2.0997941835973619</c:v>
                </c:pt>
                <c:pt idx="126">
                  <c:v>-2.1318607193273134</c:v>
                </c:pt>
                <c:pt idx="127">
                  <c:v>-2.1807653835861132</c:v>
                </c:pt>
                <c:pt idx="128">
                  <c:v>-2.2356855674276157</c:v>
                </c:pt>
                <c:pt idx="129">
                  <c:v>-1.6459876504285251</c:v>
                </c:pt>
                <c:pt idx="130">
                  <c:v>-1.3893362704649987</c:v>
                </c:pt>
                <c:pt idx="131">
                  <c:v>-1.3047961778977339</c:v>
                </c:pt>
                <c:pt idx="132">
                  <c:v>-1.3404601607686988</c:v>
                </c:pt>
                <c:pt idx="133">
                  <c:v>-1.4745472371189134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BCE-4A8D-9C3E-C3F2939835FB}"/>
            </c:ext>
          </c:extLst>
        </c:ser>
        <c:ser>
          <c:idx val="13"/>
          <c:order val="13"/>
          <c:tx>
            <c:strRef>
              <c:f>'預測(OLS)累積報酬'!$B$25</c:f>
              <c:strCache>
                <c:ptCount val="1"/>
                <c:pt idx="0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'預測(OLS)累積報酬'!$C$11:$EF$11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'預測(OLS)累積報酬'!$C$25:$EF$25</c:f>
              <c:numCache>
                <c:formatCode>0.0000</c:formatCode>
                <c:ptCount val="134"/>
                <c:pt idx="0" formatCode="#,##0.000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BCE-4A8D-9C3E-C3F293983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2382543"/>
        <c:axId val="2082371023"/>
      </c:lineChart>
      <c:catAx>
        <c:axId val="208238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82371023"/>
        <c:crosses val="autoZero"/>
        <c:auto val="1"/>
        <c:lblAlgn val="ctr"/>
        <c:lblOffset val="100"/>
        <c:noMultiLvlLbl val="0"/>
      </c:catAx>
      <c:valAx>
        <c:axId val="208237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8238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baseline="0"/>
              <a:t>真實累積報酬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'畫圖(真實)'!$A$12:$B$12</c:f>
              <c:strCache>
                <c:ptCount val="2"/>
                <c:pt idx="0">
                  <c:v>10</c:v>
                </c:pt>
                <c:pt idx="1">
                  <c:v>96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'畫圖(真實)'!$C$12:$EF$12</c:f>
              <c:numCache>
                <c:formatCode>General</c:formatCode>
                <c:ptCount val="134"/>
                <c:pt idx="0">
                  <c:v>1</c:v>
                </c:pt>
                <c:pt idx="1">
                  <c:v>1.1146886290452236</c:v>
                </c:pt>
                <c:pt idx="2">
                  <c:v>1.1627154524324261</c:v>
                </c:pt>
                <c:pt idx="3">
                  <c:v>1.218674837216885</c:v>
                </c:pt>
                <c:pt idx="4">
                  <c:v>1.2506222857355154</c:v>
                </c:pt>
                <c:pt idx="5">
                  <c:v>1.2891527979854034</c:v>
                </c:pt>
                <c:pt idx="6">
                  <c:v>1.3254567348344555</c:v>
                </c:pt>
                <c:pt idx="7">
                  <c:v>1.3692413135793271</c:v>
                </c:pt>
                <c:pt idx="8">
                  <c:v>1.3984293117130262</c:v>
                </c:pt>
                <c:pt idx="9">
                  <c:v>1.4403202527629999</c:v>
                </c:pt>
                <c:pt idx="10">
                  <c:v>1.4672094265962068</c:v>
                </c:pt>
                <c:pt idx="11">
                  <c:v>1.5365364133745596</c:v>
                </c:pt>
                <c:pt idx="12">
                  <c:v>1.5644511724418</c:v>
                </c:pt>
                <c:pt idx="13">
                  <c:v>1.5858715936462624</c:v>
                </c:pt>
                <c:pt idx="14">
                  <c:v>1.6196643777671702</c:v>
                </c:pt>
                <c:pt idx="15">
                  <c:v>1.6330618840071058</c:v>
                </c:pt>
                <c:pt idx="16">
                  <c:v>1.7041157811017129</c:v>
                </c:pt>
                <c:pt idx="17">
                  <c:v>1.7519834974472377</c:v>
                </c:pt>
                <c:pt idx="18">
                  <c:v>1.7723507180003686</c:v>
                </c:pt>
                <c:pt idx="19">
                  <c:v>1.8173807088032172</c:v>
                </c:pt>
                <c:pt idx="20">
                  <c:v>1.8814201237885981</c:v>
                </c:pt>
                <c:pt idx="21">
                  <c:v>1.9910608751359335</c:v>
                </c:pt>
                <c:pt idx="22">
                  <c:v>2.0078492523877496</c:v>
                </c:pt>
                <c:pt idx="23">
                  <c:v>2.0714729357033237</c:v>
                </c:pt>
                <c:pt idx="24">
                  <c:v>2.0983914151241354</c:v>
                </c:pt>
                <c:pt idx="25">
                  <c:v>2.1330805256756133</c:v>
                </c:pt>
                <c:pt idx="26">
                  <c:v>2.1798534713019246</c:v>
                </c:pt>
                <c:pt idx="27">
                  <c:v>2.1892457146336044</c:v>
                </c:pt>
                <c:pt idx="28">
                  <c:v>2.2356834313005884</c:v>
                </c:pt>
                <c:pt idx="29">
                  <c:v>2.2876955340773559</c:v>
                </c:pt>
                <c:pt idx="30">
                  <c:v>2.3176776790100804</c:v>
                </c:pt>
                <c:pt idx="31">
                  <c:v>2.3310834836597136</c:v>
                </c:pt>
                <c:pt idx="32">
                  <c:v>2.3543299428385782</c:v>
                </c:pt>
                <c:pt idx="33">
                  <c:v>2.3673136903846328</c:v>
                </c:pt>
                <c:pt idx="34">
                  <c:v>2.4154373945367671</c:v>
                </c:pt>
                <c:pt idx="35">
                  <c:v>2.4495430157803435</c:v>
                </c:pt>
                <c:pt idx="36">
                  <c:v>2.4796291313929415</c:v>
                </c:pt>
                <c:pt idx="37">
                  <c:v>2.5488623657063698</c:v>
                </c:pt>
                <c:pt idx="38">
                  <c:v>2.5638578365494973</c:v>
                </c:pt>
                <c:pt idx="39">
                  <c:v>2.5975761813313465</c:v>
                </c:pt>
                <c:pt idx="40">
                  <c:v>2.6042585241171445</c:v>
                </c:pt>
                <c:pt idx="41">
                  <c:v>2.6117629522059045</c:v>
                </c:pt>
                <c:pt idx="42">
                  <c:v>2.6317392251162759</c:v>
                </c:pt>
                <c:pt idx="43">
                  <c:v>2.7039346074687112</c:v>
                </c:pt>
                <c:pt idx="44">
                  <c:v>2.7673448695230825</c:v>
                </c:pt>
                <c:pt idx="45">
                  <c:v>2.8210605001798021</c:v>
                </c:pt>
                <c:pt idx="46">
                  <c:v>2.8382302049432053</c:v>
                </c:pt>
                <c:pt idx="47">
                  <c:v>2.8829262169161032</c:v>
                </c:pt>
                <c:pt idx="48">
                  <c:v>2.9078815099837763</c:v>
                </c:pt>
                <c:pt idx="49">
                  <c:v>2.9744453131630681</c:v>
                </c:pt>
                <c:pt idx="50">
                  <c:v>3.0457214694440031</c:v>
                </c:pt>
                <c:pt idx="51">
                  <c:v>3.0747581240136448</c:v>
                </c:pt>
                <c:pt idx="52">
                  <c:v>3.1014490903059824</c:v>
                </c:pt>
                <c:pt idx="53">
                  <c:v>3.1506827119269532</c:v>
                </c:pt>
                <c:pt idx="54">
                  <c:v>3.1860512570694719</c:v>
                </c:pt>
                <c:pt idx="55">
                  <c:v>3.2536682063171671</c:v>
                </c:pt>
                <c:pt idx="56">
                  <c:v>3.3004259601984507</c:v>
                </c:pt>
                <c:pt idx="57">
                  <c:v>3.3355055492283676</c:v>
                </c:pt>
                <c:pt idx="58">
                  <c:v>3.3855268022593585</c:v>
                </c:pt>
                <c:pt idx="59">
                  <c:v>3.4289493013670307</c:v>
                </c:pt>
                <c:pt idx="60">
                  <c:v>3.4490249533703086</c:v>
                </c:pt>
                <c:pt idx="61">
                  <c:v>3.4811540516708028</c:v>
                </c:pt>
                <c:pt idx="62">
                  <c:v>3.5314597361941273</c:v>
                </c:pt>
                <c:pt idx="63">
                  <c:v>3.5509622744042471</c:v>
                </c:pt>
                <c:pt idx="64">
                  <c:v>3.575208584660484</c:v>
                </c:pt>
                <c:pt idx="65">
                  <c:v>3.601630541994651</c:v>
                </c:pt>
                <c:pt idx="66">
                  <c:v>3.6155272916133976</c:v>
                </c:pt>
                <c:pt idx="67">
                  <c:v>3.6842209067605109</c:v>
                </c:pt>
                <c:pt idx="68">
                  <c:v>3.7168637616489035</c:v>
                </c:pt>
                <c:pt idx="69">
                  <c:v>3.7381518588810021</c:v>
                </c:pt>
                <c:pt idx="70">
                  <c:v>3.7862352284571776</c:v>
                </c:pt>
                <c:pt idx="71">
                  <c:v>3.8285176175431075</c:v>
                </c:pt>
                <c:pt idx="72">
                  <c:v>3.8729946214347577</c:v>
                </c:pt>
                <c:pt idx="73">
                  <c:v>3.8889787730754874</c:v>
                </c:pt>
                <c:pt idx="74">
                  <c:v>3.9479086894330515</c:v>
                </c:pt>
                <c:pt idx="75">
                  <c:v>3.9932656351243243</c:v>
                </c:pt>
                <c:pt idx="76">
                  <c:v>4.0276659225646672</c:v>
                </c:pt>
                <c:pt idx="77">
                  <c:v>4.1001417986368462</c:v>
                </c:pt>
                <c:pt idx="78">
                  <c:v>4.1657084112645357</c:v>
                </c:pt>
                <c:pt idx="79">
                  <c:v>4.2766420448489884</c:v>
                </c:pt>
                <c:pt idx="80">
                  <c:v>4.4306490577387301</c:v>
                </c:pt>
                <c:pt idx="81">
                  <c:v>4.4584166411525024</c:v>
                </c:pt>
                <c:pt idx="82">
                  <c:v>4.507694601115583</c:v>
                </c:pt>
                <c:pt idx="83">
                  <c:v>4.5709919734935429</c:v>
                </c:pt>
                <c:pt idx="84">
                  <c:v>4.605647885905749</c:v>
                </c:pt>
                <c:pt idx="85">
                  <c:v>4.6597679528199443</c:v>
                </c:pt>
                <c:pt idx="86">
                  <c:v>4.7158693934677345</c:v>
                </c:pt>
                <c:pt idx="87">
                  <c:v>4.8338850011373449</c:v>
                </c:pt>
                <c:pt idx="88">
                  <c:v>4.9055933891545571</c:v>
                </c:pt>
                <c:pt idx="89">
                  <c:v>4.9840585931653631</c:v>
                </c:pt>
                <c:pt idx="90">
                  <c:v>5.0553508360389552</c:v>
                </c:pt>
                <c:pt idx="91">
                  <c:v>5.1006498575064487</c:v>
                </c:pt>
                <c:pt idx="92">
                  <c:v>5.1633342045100239</c:v>
                </c:pt>
                <c:pt idx="93">
                  <c:v>5.2204941910315377</c:v>
                </c:pt>
                <c:pt idx="94">
                  <c:v>5.2214727646263901</c:v>
                </c:pt>
                <c:pt idx="95">
                  <c:v>5.2535867752344396</c:v>
                </c:pt>
                <c:pt idx="96">
                  <c:v>5.3283663045157965</c:v>
                </c:pt>
                <c:pt idx="97">
                  <c:v>5.3933996110114855</c:v>
                </c:pt>
                <c:pt idx="98">
                  <c:v>5.4064362803900634</c:v>
                </c:pt>
                <c:pt idx="99">
                  <c:v>5.4674261629270555</c:v>
                </c:pt>
                <c:pt idx="100">
                  <c:v>5.5134991405925105</c:v>
                </c:pt>
                <c:pt idx="101">
                  <c:v>5.5912914679320114</c:v>
                </c:pt>
                <c:pt idx="102">
                  <c:v>5.6282701292912067</c:v>
                </c:pt>
                <c:pt idx="103">
                  <c:v>5.7172519457892514</c:v>
                </c:pt>
                <c:pt idx="104">
                  <c:v>5.7512251486640258</c:v>
                </c:pt>
                <c:pt idx="105">
                  <c:v>5.8211856943983689</c:v>
                </c:pt>
                <c:pt idx="106">
                  <c:v>5.8459233388134635</c:v>
                </c:pt>
                <c:pt idx="107">
                  <c:v>5.9014090728955368</c:v>
                </c:pt>
                <c:pt idx="108">
                  <c:v>5.9478188906750615</c:v>
                </c:pt>
                <c:pt idx="109">
                  <c:v>6.0090140454633785</c:v>
                </c:pt>
                <c:pt idx="110">
                  <c:v>6.0687631132431274</c:v>
                </c:pt>
                <c:pt idx="111">
                  <c:v>6.1101411561787993</c:v>
                </c:pt>
                <c:pt idx="112">
                  <c:v>6.1420693555113948</c:v>
                </c:pt>
                <c:pt idx="113">
                  <c:v>6.1607391888451977</c:v>
                </c:pt>
                <c:pt idx="114">
                  <c:v>6.1799768824257582</c:v>
                </c:pt>
                <c:pt idx="115">
                  <c:v>6.222387247811823</c:v>
                </c:pt>
                <c:pt idx="116">
                  <c:v>6.2529441899133138</c:v>
                </c:pt>
                <c:pt idx="117">
                  <c:v>6.3123528844699743</c:v>
                </c:pt>
                <c:pt idx="118">
                  <c:v>6.386893531950447</c:v>
                </c:pt>
                <c:pt idx="119">
                  <c:v>6.4056724752298342</c:v>
                </c:pt>
                <c:pt idx="120">
                  <c:v>6.4753230272995337</c:v>
                </c:pt>
                <c:pt idx="121">
                  <c:v>6.5001368688621204</c:v>
                </c:pt>
                <c:pt idx="122">
                  <c:v>6.5573671520064289</c:v>
                </c:pt>
                <c:pt idx="123">
                  <c:v>6.6059179764839593</c:v>
                </c:pt>
                <c:pt idx="124">
                  <c:v>6.6508858106964848</c:v>
                </c:pt>
                <c:pt idx="125">
                  <c:v>6.7010378912388466</c:v>
                </c:pt>
                <c:pt idx="126">
                  <c:v>6.7541832021264563</c:v>
                </c:pt>
                <c:pt idx="127">
                  <c:v>6.7604103514749445</c:v>
                </c:pt>
                <c:pt idx="128">
                  <c:v>6.8735373932240815</c:v>
                </c:pt>
                <c:pt idx="129">
                  <c:v>6.9040631700419235</c:v>
                </c:pt>
                <c:pt idx="130">
                  <c:v>6.9307146796215884</c:v>
                </c:pt>
                <c:pt idx="131">
                  <c:v>6.9912228324300729</c:v>
                </c:pt>
                <c:pt idx="132">
                  <c:v>7.0177297245912209</c:v>
                </c:pt>
                <c:pt idx="133">
                  <c:v>7.0469634903464522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EB-4AEE-933E-F6C3E96DDA1C}"/>
            </c:ext>
          </c:extLst>
        </c:ser>
        <c:ser>
          <c:idx val="1"/>
          <c:order val="1"/>
          <c:tx>
            <c:strRef>
              <c:f>'畫圖(真實)'!$A$13:$B$13</c:f>
              <c:strCache>
                <c:ptCount val="2"/>
                <c:pt idx="0">
                  <c:v>20</c:v>
                </c:pt>
                <c:pt idx="1">
                  <c:v>48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'畫圖(真實)'!$C$13:$EF$13</c:f>
              <c:numCache>
                <c:formatCode>General</c:formatCode>
                <c:ptCount val="134"/>
                <c:pt idx="0">
                  <c:v>0</c:v>
                </c:pt>
                <c:pt idx="1">
                  <c:v>0.1237450287927723</c:v>
                </c:pt>
                <c:pt idx="2">
                  <c:v>0.19360658514557877</c:v>
                </c:pt>
                <c:pt idx="3">
                  <c:v>0.25359311183850175</c:v>
                </c:pt>
                <c:pt idx="4">
                  <c:v>0.26564051613860767</c:v>
                </c:pt>
                <c:pt idx="5">
                  <c:v>0.29563014786432895</c:v>
                </c:pt>
                <c:pt idx="6">
                  <c:v>0.32831301084905129</c:v>
                </c:pt>
                <c:pt idx="7">
                  <c:v>0.36286290281869599</c:v>
                </c:pt>
                <c:pt idx="8">
                  <c:v>0.42318904204626612</c:v>
                </c:pt>
                <c:pt idx="9">
                  <c:v>0.42921420333991978</c:v>
                </c:pt>
                <c:pt idx="10">
                  <c:v>0.43249396156592451</c:v>
                </c:pt>
                <c:pt idx="11">
                  <c:v>0.53230087852259511</c:v>
                </c:pt>
                <c:pt idx="12">
                  <c:v>0.54972357733354504</c:v>
                </c:pt>
                <c:pt idx="13">
                  <c:v>0.57058049039495062</c:v>
                </c:pt>
                <c:pt idx="14">
                  <c:v>0.61479875462292066</c:v>
                </c:pt>
                <c:pt idx="15">
                  <c:v>0.62128866479899503</c:v>
                </c:pt>
                <c:pt idx="16">
                  <c:v>0.74420396280254564</c:v>
                </c:pt>
                <c:pt idx="17">
                  <c:v>0.81843804431426825</c:v>
                </c:pt>
                <c:pt idx="18">
                  <c:v>0.87259911935596246</c:v>
                </c:pt>
                <c:pt idx="19">
                  <c:v>0.92537885825619615</c:v>
                </c:pt>
                <c:pt idx="20">
                  <c:v>1.0008554201163464</c:v>
                </c:pt>
                <c:pt idx="21">
                  <c:v>1.1219831909690845</c:v>
                </c:pt>
                <c:pt idx="22">
                  <c:v>1.148455074186427</c:v>
                </c:pt>
                <c:pt idx="23">
                  <c:v>1.2268795089916105</c:v>
                </c:pt>
                <c:pt idx="24">
                  <c:v>1.2745921574418686</c:v>
                </c:pt>
                <c:pt idx="25">
                  <c:v>1.3212703775632459</c:v>
                </c:pt>
                <c:pt idx="26">
                  <c:v>1.3880420779451759</c:v>
                </c:pt>
                <c:pt idx="27">
                  <c:v>1.4095857677304513</c:v>
                </c:pt>
                <c:pt idx="28">
                  <c:v>1.486657184457252</c:v>
                </c:pt>
                <c:pt idx="29">
                  <c:v>1.5599383452855633</c:v>
                </c:pt>
                <c:pt idx="30">
                  <c:v>1.5916201283405662</c:v>
                </c:pt>
                <c:pt idx="31">
                  <c:v>1.6012614675800827</c:v>
                </c:pt>
                <c:pt idx="32">
                  <c:v>1.6211713778004961</c:v>
                </c:pt>
                <c:pt idx="33">
                  <c:v>1.6048909078122204</c:v>
                </c:pt>
                <c:pt idx="34">
                  <c:v>1.6708788206228764</c:v>
                </c:pt>
                <c:pt idx="35">
                  <c:v>1.6934291782094133</c:v>
                </c:pt>
                <c:pt idx="36">
                  <c:v>1.7397116217462423</c:v>
                </c:pt>
                <c:pt idx="37">
                  <c:v>1.8450418598822764</c:v>
                </c:pt>
                <c:pt idx="38">
                  <c:v>1.843333013193641</c:v>
                </c:pt>
                <c:pt idx="39">
                  <c:v>1.9028838535556387</c:v>
                </c:pt>
                <c:pt idx="40">
                  <c:v>1.9139668480187615</c:v>
                </c:pt>
                <c:pt idx="41">
                  <c:v>1.9047161155354853</c:v>
                </c:pt>
                <c:pt idx="42">
                  <c:v>1.9281210790770826</c:v>
                </c:pt>
                <c:pt idx="43">
                  <c:v>2.0145439938046823</c:v>
                </c:pt>
                <c:pt idx="44">
                  <c:v>2.0913283274330565</c:v>
                </c:pt>
                <c:pt idx="45">
                  <c:v>2.1709943030815269</c:v>
                </c:pt>
                <c:pt idx="46">
                  <c:v>2.197815541051908</c:v>
                </c:pt>
                <c:pt idx="47">
                  <c:v>2.2306153731877636</c:v>
                </c:pt>
                <c:pt idx="48">
                  <c:v>2.2481797195363886</c:v>
                </c:pt>
                <c:pt idx="49">
                  <c:v>2.3036294954919536</c:v>
                </c:pt>
                <c:pt idx="50">
                  <c:v>2.383458615835742</c:v>
                </c:pt>
                <c:pt idx="51">
                  <c:v>2.4060060168105211</c:v>
                </c:pt>
                <c:pt idx="52">
                  <c:v>2.4251168840853632</c:v>
                </c:pt>
                <c:pt idx="53">
                  <c:v>2.466793197832033</c:v>
                </c:pt>
                <c:pt idx="54">
                  <c:v>2.5105669872178162</c:v>
                </c:pt>
                <c:pt idx="55">
                  <c:v>2.6322241304837721</c:v>
                </c:pt>
                <c:pt idx="56">
                  <c:v>2.7206216763400928</c:v>
                </c:pt>
                <c:pt idx="57">
                  <c:v>2.7616453325322849</c:v>
                </c:pt>
                <c:pt idx="58">
                  <c:v>2.8140544649889865</c:v>
                </c:pt>
                <c:pt idx="59">
                  <c:v>2.8655063839489086</c:v>
                </c:pt>
                <c:pt idx="60">
                  <c:v>2.8906321573121008</c:v>
                </c:pt>
                <c:pt idx="61">
                  <c:v>2.9250921977605517</c:v>
                </c:pt>
                <c:pt idx="62">
                  <c:v>2.9784639664557426</c:v>
                </c:pt>
                <c:pt idx="63">
                  <c:v>2.9736063633973293</c:v>
                </c:pt>
                <c:pt idx="64">
                  <c:v>3.0044850796308036</c:v>
                </c:pt>
                <c:pt idx="65">
                  <c:v>3.0124362260485782</c:v>
                </c:pt>
                <c:pt idx="66">
                  <c:v>3.0540892898380041</c:v>
                </c:pt>
                <c:pt idx="67">
                  <c:v>3.133920746661337</c:v>
                </c:pt>
                <c:pt idx="68">
                  <c:v>3.1741012610227539</c:v>
                </c:pt>
                <c:pt idx="69">
                  <c:v>3.207769030780673</c:v>
                </c:pt>
                <c:pt idx="70">
                  <c:v>3.282427198790447</c:v>
                </c:pt>
                <c:pt idx="71">
                  <c:v>3.3623580328915046</c:v>
                </c:pt>
                <c:pt idx="72">
                  <c:v>3.4380720385281842</c:v>
                </c:pt>
                <c:pt idx="73">
                  <c:v>3.4395494733044263</c:v>
                </c:pt>
                <c:pt idx="74">
                  <c:v>3.4787514298795679</c:v>
                </c:pt>
                <c:pt idx="75">
                  <c:v>3.5548895529386182</c:v>
                </c:pt>
                <c:pt idx="76">
                  <c:v>3.5884211185390149</c:v>
                </c:pt>
                <c:pt idx="77">
                  <c:v>3.7088480902710499</c:v>
                </c:pt>
                <c:pt idx="78">
                  <c:v>3.8289662640092832</c:v>
                </c:pt>
                <c:pt idx="79">
                  <c:v>3.9340520969016106</c:v>
                </c:pt>
                <c:pt idx="80">
                  <c:v>4.1178799333572194</c:v>
                </c:pt>
                <c:pt idx="81">
                  <c:v>4.1623942000822884</c:v>
                </c:pt>
                <c:pt idx="82">
                  <c:v>4.2204091678895281</c:v>
                </c:pt>
                <c:pt idx="83">
                  <c:v>4.2787437797167351</c:v>
                </c:pt>
                <c:pt idx="84">
                  <c:v>4.3305972888509983</c:v>
                </c:pt>
                <c:pt idx="85">
                  <c:v>4.385407469529838</c:v>
                </c:pt>
                <c:pt idx="86">
                  <c:v>4.4510945957966355</c:v>
                </c:pt>
                <c:pt idx="87">
                  <c:v>4.5325479618988167</c:v>
                </c:pt>
                <c:pt idx="88">
                  <c:v>4.6340001806128353</c:v>
                </c:pt>
                <c:pt idx="89">
                  <c:v>4.7349943472610292</c:v>
                </c:pt>
                <c:pt idx="90">
                  <c:v>4.8205605865691057</c:v>
                </c:pt>
                <c:pt idx="91">
                  <c:v>4.8902871268468404</c:v>
                </c:pt>
                <c:pt idx="92">
                  <c:v>4.9614659918152446</c:v>
                </c:pt>
                <c:pt idx="93">
                  <c:v>5.0731108781957195</c:v>
                </c:pt>
                <c:pt idx="94">
                  <c:v>5.0826785318608545</c:v>
                </c:pt>
                <c:pt idx="95">
                  <c:v>5.1261407998299067</c:v>
                </c:pt>
                <c:pt idx="96">
                  <c:v>5.2332317615435437</c:v>
                </c:pt>
                <c:pt idx="97">
                  <c:v>5.3108878128005168</c:v>
                </c:pt>
                <c:pt idx="98">
                  <c:v>5.3471969325569502</c:v>
                </c:pt>
                <c:pt idx="99">
                  <c:v>5.407230187797003</c:v>
                </c:pt>
                <c:pt idx="100">
                  <c:v>5.469527134802366</c:v>
                </c:pt>
                <c:pt idx="101">
                  <c:v>5.5267513551558514</c:v>
                </c:pt>
                <c:pt idx="102">
                  <c:v>5.5761973888407308</c:v>
                </c:pt>
                <c:pt idx="103">
                  <c:v>5.6824327101436847</c:v>
                </c:pt>
                <c:pt idx="104">
                  <c:v>5.7122082760219772</c:v>
                </c:pt>
                <c:pt idx="105">
                  <c:v>5.7811853349463611</c:v>
                </c:pt>
                <c:pt idx="106">
                  <c:v>5.8036273313755968</c:v>
                </c:pt>
                <c:pt idx="107">
                  <c:v>5.8867495184436276</c:v>
                </c:pt>
                <c:pt idx="108">
                  <c:v>5.9344786020500875</c:v>
                </c:pt>
                <c:pt idx="109">
                  <c:v>6.0231992029963948</c:v>
                </c:pt>
                <c:pt idx="110">
                  <c:v>6.1129477665438889</c:v>
                </c:pt>
                <c:pt idx="111">
                  <c:v>6.1199688901594467</c:v>
                </c:pt>
                <c:pt idx="112">
                  <c:v>6.1393555240233058</c:v>
                </c:pt>
                <c:pt idx="113">
                  <c:v>6.1614062147013939</c:v>
                </c:pt>
                <c:pt idx="114">
                  <c:v>6.1608745920909209</c:v>
                </c:pt>
                <c:pt idx="115">
                  <c:v>6.172374170013434</c:v>
                </c:pt>
                <c:pt idx="116">
                  <c:v>6.2102376350982267</c:v>
                </c:pt>
                <c:pt idx="117">
                  <c:v>6.268269943988928</c:v>
                </c:pt>
                <c:pt idx="118">
                  <c:v>6.3553989553814985</c:v>
                </c:pt>
                <c:pt idx="119">
                  <c:v>6.3691701646538101</c:v>
                </c:pt>
                <c:pt idx="120">
                  <c:v>6.4377670172942008</c:v>
                </c:pt>
                <c:pt idx="121">
                  <c:v>6.4676128264552037</c:v>
                </c:pt>
                <c:pt idx="122">
                  <c:v>6.5006189858978223</c:v>
                </c:pt>
                <c:pt idx="123">
                  <c:v>6.5802391299220107</c:v>
                </c:pt>
                <c:pt idx="124">
                  <c:v>6.6222678156342107</c:v>
                </c:pt>
                <c:pt idx="125">
                  <c:v>6.6867911952127068</c:v>
                </c:pt>
                <c:pt idx="126">
                  <c:v>6.7437725342602661</c:v>
                </c:pt>
                <c:pt idx="127">
                  <c:v>6.7620746584065676</c:v>
                </c:pt>
                <c:pt idx="128">
                  <c:v>6.8865436165556382</c:v>
                </c:pt>
                <c:pt idx="129">
                  <c:v>6.943748909304027</c:v>
                </c:pt>
                <c:pt idx="130">
                  <c:v>6.985408662739256</c:v>
                </c:pt>
                <c:pt idx="131">
                  <c:v>7.0510907563984908</c:v>
                </c:pt>
                <c:pt idx="132">
                  <c:v>7.0923251403944025</c:v>
                </c:pt>
                <c:pt idx="133">
                  <c:v>7.1368387499471222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EB-4AEE-933E-F6C3E96DDA1C}"/>
            </c:ext>
          </c:extLst>
        </c:ser>
        <c:ser>
          <c:idx val="2"/>
          <c:order val="2"/>
          <c:tx>
            <c:strRef>
              <c:f>'畫圖(真實)'!$A$14:$B$14</c:f>
              <c:strCache>
                <c:ptCount val="2"/>
                <c:pt idx="0">
                  <c:v>50</c:v>
                </c:pt>
                <c:pt idx="1">
                  <c:v>19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'畫圖(真實)'!$C$14:$EF$14</c:f>
              <c:numCache>
                <c:formatCode>General</c:formatCode>
                <c:ptCount val="134"/>
                <c:pt idx="0">
                  <c:v>0</c:v>
                </c:pt>
                <c:pt idx="1">
                  <c:v>0.22230844854062601</c:v>
                </c:pt>
                <c:pt idx="2">
                  <c:v>0.32107669668284811</c:v>
                </c:pt>
                <c:pt idx="3">
                  <c:v>0.38141860158888069</c:v>
                </c:pt>
                <c:pt idx="4">
                  <c:v>0.43507523203166137</c:v>
                </c:pt>
                <c:pt idx="5">
                  <c:v>0.49466303846710147</c:v>
                </c:pt>
                <c:pt idx="6">
                  <c:v>0.53845039829024377</c:v>
                </c:pt>
                <c:pt idx="7">
                  <c:v>0.56176037025515468</c:v>
                </c:pt>
                <c:pt idx="8">
                  <c:v>0.61258783651600268</c:v>
                </c:pt>
                <c:pt idx="9">
                  <c:v>0.62106828408155124</c:v>
                </c:pt>
                <c:pt idx="10">
                  <c:v>0.60204656961656722</c:v>
                </c:pt>
                <c:pt idx="11">
                  <c:v>0.8068791447577931</c:v>
                </c:pt>
                <c:pt idx="12">
                  <c:v>0.80837355269634159</c:v>
                </c:pt>
                <c:pt idx="13">
                  <c:v>0.86671947459458287</c:v>
                </c:pt>
                <c:pt idx="14">
                  <c:v>0.99082334576603159</c:v>
                </c:pt>
                <c:pt idx="15">
                  <c:v>0.97488215846892978</c:v>
                </c:pt>
                <c:pt idx="16">
                  <c:v>1.1407753856536385</c:v>
                </c:pt>
                <c:pt idx="17">
                  <c:v>1.1757949404880386</c:v>
                </c:pt>
                <c:pt idx="18">
                  <c:v>1.2800616051236862</c:v>
                </c:pt>
                <c:pt idx="19">
                  <c:v>1.3001507323090646</c:v>
                </c:pt>
                <c:pt idx="20">
                  <c:v>1.4163165228409613</c:v>
                </c:pt>
                <c:pt idx="21">
                  <c:v>1.6030022184513082</c:v>
                </c:pt>
                <c:pt idx="22">
                  <c:v>1.6082220930468401</c:v>
                </c:pt>
                <c:pt idx="23">
                  <c:v>1.6467340193271478</c:v>
                </c:pt>
                <c:pt idx="24">
                  <c:v>1.7466398988244725</c:v>
                </c:pt>
                <c:pt idx="25">
                  <c:v>1.8174092761717027</c:v>
                </c:pt>
                <c:pt idx="26">
                  <c:v>1.8143227138329134</c:v>
                </c:pt>
                <c:pt idx="27">
                  <c:v>1.8536506060229434</c:v>
                </c:pt>
                <c:pt idx="28">
                  <c:v>1.9704875258625094</c:v>
                </c:pt>
                <c:pt idx="29">
                  <c:v>2.0665676213191428</c:v>
                </c:pt>
                <c:pt idx="30">
                  <c:v>2.0870885159657053</c:v>
                </c:pt>
                <c:pt idx="31">
                  <c:v>2.0923387938962112</c:v>
                </c:pt>
                <c:pt idx="32">
                  <c:v>2.1033033645787853</c:v>
                </c:pt>
                <c:pt idx="33">
                  <c:v>2.1183624006619364</c:v>
                </c:pt>
                <c:pt idx="34">
                  <c:v>2.1952738315202383</c:v>
                </c:pt>
                <c:pt idx="35">
                  <c:v>2.2138333737784452</c:v>
                </c:pt>
                <c:pt idx="36">
                  <c:v>2.2750755401570704</c:v>
                </c:pt>
                <c:pt idx="37">
                  <c:v>2.3736702069266142</c:v>
                </c:pt>
                <c:pt idx="38">
                  <c:v>2.3356258543845527</c:v>
                </c:pt>
                <c:pt idx="39">
                  <c:v>2.4056023795366368</c:v>
                </c:pt>
                <c:pt idx="40">
                  <c:v>2.4137307962444656</c:v>
                </c:pt>
                <c:pt idx="41">
                  <c:v>2.3955599732255806</c:v>
                </c:pt>
                <c:pt idx="42">
                  <c:v>2.3888906348358909</c:v>
                </c:pt>
                <c:pt idx="43">
                  <c:v>2.4682941145465289</c:v>
                </c:pt>
                <c:pt idx="44">
                  <c:v>2.6061465905992645</c:v>
                </c:pt>
                <c:pt idx="45">
                  <c:v>2.6724053398155232</c:v>
                </c:pt>
                <c:pt idx="46">
                  <c:v>2.7263340210449507</c:v>
                </c:pt>
                <c:pt idx="47">
                  <c:v>2.7457042344204412</c:v>
                </c:pt>
                <c:pt idx="48">
                  <c:v>2.7607723531922028</c:v>
                </c:pt>
                <c:pt idx="49">
                  <c:v>2.7864012807016674</c:v>
                </c:pt>
                <c:pt idx="50">
                  <c:v>2.8827386060576412</c:v>
                </c:pt>
                <c:pt idx="51">
                  <c:v>2.9930498549587616</c:v>
                </c:pt>
                <c:pt idx="52">
                  <c:v>2.9645441714594556</c:v>
                </c:pt>
                <c:pt idx="53">
                  <c:v>2.9809616812704012</c:v>
                </c:pt>
                <c:pt idx="54">
                  <c:v>3.05104345141973</c:v>
                </c:pt>
                <c:pt idx="55">
                  <c:v>3.2048727129937382</c:v>
                </c:pt>
                <c:pt idx="56">
                  <c:v>3.3301780194333279</c:v>
                </c:pt>
                <c:pt idx="57">
                  <c:v>3.4035914836120531</c:v>
                </c:pt>
                <c:pt idx="58">
                  <c:v>3.4537766965029069</c:v>
                </c:pt>
                <c:pt idx="59">
                  <c:v>3.4777936301885428</c:v>
                </c:pt>
                <c:pt idx="60">
                  <c:v>3.4445562482102119</c:v>
                </c:pt>
                <c:pt idx="61">
                  <c:v>3.504553143737652</c:v>
                </c:pt>
                <c:pt idx="62">
                  <c:v>3.5508314687406526</c:v>
                </c:pt>
                <c:pt idx="63">
                  <c:v>3.5042548245442369</c:v>
                </c:pt>
                <c:pt idx="64">
                  <c:v>3.5378638702215013</c:v>
                </c:pt>
                <c:pt idx="65">
                  <c:v>3.487531586893756</c:v>
                </c:pt>
                <c:pt idx="66">
                  <c:v>3.5033751107637068</c:v>
                </c:pt>
                <c:pt idx="67">
                  <c:v>3.6034275338390933</c:v>
                </c:pt>
                <c:pt idx="68">
                  <c:v>3.6337602578258639</c:v>
                </c:pt>
                <c:pt idx="69">
                  <c:v>3.6184723299224912</c:v>
                </c:pt>
                <c:pt idx="70">
                  <c:v>3.7296317842362359</c:v>
                </c:pt>
                <c:pt idx="71">
                  <c:v>3.8376134174362306</c:v>
                </c:pt>
                <c:pt idx="72">
                  <c:v>3.9685109259934159</c:v>
                </c:pt>
                <c:pt idx="73">
                  <c:v>3.9682037917687496</c:v>
                </c:pt>
                <c:pt idx="74">
                  <c:v>3.9255993021154003</c:v>
                </c:pt>
                <c:pt idx="75">
                  <c:v>3.9856333589441828</c:v>
                </c:pt>
                <c:pt idx="76">
                  <c:v>4.0100986250591202</c:v>
                </c:pt>
                <c:pt idx="77">
                  <c:v>4.1745641263810267</c:v>
                </c:pt>
                <c:pt idx="78">
                  <c:v>4.2951602849702093</c:v>
                </c:pt>
                <c:pt idx="79">
                  <c:v>4.3931769949024071</c:v>
                </c:pt>
                <c:pt idx="80">
                  <c:v>4.563732297390958</c:v>
                </c:pt>
                <c:pt idx="81">
                  <c:v>4.6560629806730196</c:v>
                </c:pt>
                <c:pt idx="82">
                  <c:v>4.7133836443408406</c:v>
                </c:pt>
                <c:pt idx="83">
                  <c:v>4.7780450366190577</c:v>
                </c:pt>
                <c:pt idx="84">
                  <c:v>4.8839298139824168</c:v>
                </c:pt>
                <c:pt idx="85">
                  <c:v>4.9017259303315583</c:v>
                </c:pt>
                <c:pt idx="86">
                  <c:v>4.9555180168455513</c:v>
                </c:pt>
                <c:pt idx="87">
                  <c:v>5.0177879717243874</c:v>
                </c:pt>
                <c:pt idx="88">
                  <c:v>5.127856944697097</c:v>
                </c:pt>
                <c:pt idx="89">
                  <c:v>5.3024526193821542</c:v>
                </c:pt>
                <c:pt idx="90">
                  <c:v>5.4757017733361089</c:v>
                </c:pt>
                <c:pt idx="91">
                  <c:v>5.5755111048178616</c:v>
                </c:pt>
                <c:pt idx="92">
                  <c:v>5.6077390047052491</c:v>
                </c:pt>
                <c:pt idx="93">
                  <c:v>5.8154587172958969</c:v>
                </c:pt>
                <c:pt idx="94">
                  <c:v>5.8110460837626476</c:v>
                </c:pt>
                <c:pt idx="95">
                  <c:v>5.872918436154249</c:v>
                </c:pt>
                <c:pt idx="96">
                  <c:v>5.9744634361109634</c:v>
                </c:pt>
                <c:pt idx="97">
                  <c:v>6.1258602772685968</c:v>
                </c:pt>
                <c:pt idx="98">
                  <c:v>6.1706241617118565</c:v>
                </c:pt>
                <c:pt idx="99">
                  <c:v>6.2069235706000958</c:v>
                </c:pt>
                <c:pt idx="100">
                  <c:v>6.2570613140740452</c:v>
                </c:pt>
                <c:pt idx="101">
                  <c:v>6.3211248774244284</c:v>
                </c:pt>
                <c:pt idx="102">
                  <c:v>6.3865182048489686</c:v>
                </c:pt>
                <c:pt idx="103">
                  <c:v>6.4911256459491984</c:v>
                </c:pt>
                <c:pt idx="104">
                  <c:v>6.5147582551540459</c:v>
                </c:pt>
                <c:pt idx="105">
                  <c:v>6.5939636070022303</c:v>
                </c:pt>
                <c:pt idx="106">
                  <c:v>6.6564905310086893</c:v>
                </c:pt>
                <c:pt idx="107">
                  <c:v>6.8580533704758011</c:v>
                </c:pt>
                <c:pt idx="108">
                  <c:v>6.9036367662026992</c:v>
                </c:pt>
                <c:pt idx="109">
                  <c:v>6.9623779603690732</c:v>
                </c:pt>
                <c:pt idx="110">
                  <c:v>7.0490244086675586</c:v>
                </c:pt>
                <c:pt idx="111">
                  <c:v>7.0578184380548796</c:v>
                </c:pt>
                <c:pt idx="112">
                  <c:v>7.1394399875587382</c:v>
                </c:pt>
                <c:pt idx="113">
                  <c:v>7.1801948593906371</c:v>
                </c:pt>
                <c:pt idx="114">
                  <c:v>7.1813160091283974</c:v>
                </c:pt>
                <c:pt idx="115">
                  <c:v>7.2239785050216616</c:v>
                </c:pt>
                <c:pt idx="116">
                  <c:v>7.3265706943848956</c:v>
                </c:pt>
                <c:pt idx="117">
                  <c:v>7.3894855024551962</c:v>
                </c:pt>
                <c:pt idx="118">
                  <c:v>7.4606580670363289</c:v>
                </c:pt>
                <c:pt idx="119">
                  <c:v>7.5132805864953287</c:v>
                </c:pt>
                <c:pt idx="120">
                  <c:v>7.569332406423892</c:v>
                </c:pt>
                <c:pt idx="121">
                  <c:v>7.5770866967629749</c:v>
                </c:pt>
                <c:pt idx="122">
                  <c:v>7.6458819699551395</c:v>
                </c:pt>
                <c:pt idx="123">
                  <c:v>7.7541443244852468</c:v>
                </c:pt>
                <c:pt idx="124">
                  <c:v>7.7559536339937631</c:v>
                </c:pt>
                <c:pt idx="125">
                  <c:v>7.857885139546184</c:v>
                </c:pt>
                <c:pt idx="126">
                  <c:v>7.9321438396249349</c:v>
                </c:pt>
                <c:pt idx="127">
                  <c:v>7.967174839488715</c:v>
                </c:pt>
                <c:pt idx="128">
                  <c:v>8.0300875240614573</c:v>
                </c:pt>
                <c:pt idx="129">
                  <c:v>8.1082673547617201</c:v>
                </c:pt>
                <c:pt idx="130">
                  <c:v>8.1143467369098534</c:v>
                </c:pt>
                <c:pt idx="131">
                  <c:v>8.2169764460960408</c:v>
                </c:pt>
                <c:pt idx="132">
                  <c:v>8.2135771925779686</c:v>
                </c:pt>
                <c:pt idx="133">
                  <c:v>8.239102547779849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EB-4AEE-933E-F6C3E96DDA1C}"/>
            </c:ext>
          </c:extLst>
        </c:ser>
        <c:ser>
          <c:idx val="3"/>
          <c:order val="3"/>
          <c:tx>
            <c:strRef>
              <c:f>'畫圖(真實)'!$A$15:$B$15</c:f>
              <c:strCache>
                <c:ptCount val="2"/>
                <c:pt idx="0">
                  <c:v>100</c:v>
                </c:pt>
                <c:pt idx="1">
                  <c:v>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'畫圖(真實)'!$C$15:$EF$15</c:f>
              <c:numCache>
                <c:formatCode>General</c:formatCode>
                <c:ptCount val="134"/>
                <c:pt idx="0">
                  <c:v>0</c:v>
                </c:pt>
                <c:pt idx="1">
                  <c:v>0.37270921560992559</c:v>
                </c:pt>
                <c:pt idx="2">
                  <c:v>0.43475489572688336</c:v>
                </c:pt>
                <c:pt idx="3">
                  <c:v>0.39983345917018598</c:v>
                </c:pt>
                <c:pt idx="4">
                  <c:v>0.43423738013722246</c:v>
                </c:pt>
                <c:pt idx="5">
                  <c:v>0.55308108384458177</c:v>
                </c:pt>
                <c:pt idx="6">
                  <c:v>0.61151252812444734</c:v>
                </c:pt>
                <c:pt idx="7">
                  <c:v>0.66147399337183699</c:v>
                </c:pt>
                <c:pt idx="8">
                  <c:v>0.75598879096376792</c:v>
                </c:pt>
                <c:pt idx="9">
                  <c:v>0.74302170600272754</c:v>
                </c:pt>
                <c:pt idx="10">
                  <c:v>0.74088868956643983</c:v>
                </c:pt>
                <c:pt idx="11">
                  <c:v>1.0711980264312468</c:v>
                </c:pt>
                <c:pt idx="12">
                  <c:v>1.058927230672094</c:v>
                </c:pt>
                <c:pt idx="13">
                  <c:v>1.1230434136937557</c:v>
                </c:pt>
                <c:pt idx="14">
                  <c:v>1.2785802558015682</c:v>
                </c:pt>
                <c:pt idx="15">
                  <c:v>1.2264505656964508</c:v>
                </c:pt>
                <c:pt idx="16">
                  <c:v>1.4964584607786047</c:v>
                </c:pt>
                <c:pt idx="17">
                  <c:v>1.542349537895789</c:v>
                </c:pt>
                <c:pt idx="18">
                  <c:v>1.6793175995630578</c:v>
                </c:pt>
                <c:pt idx="19">
                  <c:v>1.662185746214945</c:v>
                </c:pt>
                <c:pt idx="20">
                  <c:v>1.7691203013728782</c:v>
                </c:pt>
                <c:pt idx="21">
                  <c:v>1.98030662870326</c:v>
                </c:pt>
                <c:pt idx="22">
                  <c:v>1.9596766543374402</c:v>
                </c:pt>
                <c:pt idx="23">
                  <c:v>2.0063966263907989</c:v>
                </c:pt>
                <c:pt idx="24">
                  <c:v>2.1672470106038633</c:v>
                </c:pt>
                <c:pt idx="25">
                  <c:v>2.2509471831196937</c:v>
                </c:pt>
                <c:pt idx="26">
                  <c:v>2.2552648519677487</c:v>
                </c:pt>
                <c:pt idx="27">
                  <c:v>2.2949553330954569</c:v>
                </c:pt>
                <c:pt idx="28">
                  <c:v>2.5067479761427287</c:v>
                </c:pt>
                <c:pt idx="29">
                  <c:v>2.644474263320383</c:v>
                </c:pt>
                <c:pt idx="30">
                  <c:v>2.6545977415820388</c:v>
                </c:pt>
                <c:pt idx="31">
                  <c:v>2.6209933682243625</c:v>
                </c:pt>
                <c:pt idx="32">
                  <c:v>2.6952703284344444</c:v>
                </c:pt>
                <c:pt idx="33">
                  <c:v>2.7047351884019202</c:v>
                </c:pt>
                <c:pt idx="34">
                  <c:v>2.7664948080603651</c:v>
                </c:pt>
                <c:pt idx="35">
                  <c:v>2.7596130489489288</c:v>
                </c:pt>
                <c:pt idx="36">
                  <c:v>2.814735671083556</c:v>
                </c:pt>
                <c:pt idx="37">
                  <c:v>2.9164243769959395</c:v>
                </c:pt>
                <c:pt idx="38">
                  <c:v>2.8650398567559723</c:v>
                </c:pt>
                <c:pt idx="39">
                  <c:v>2.9433255506487264</c:v>
                </c:pt>
                <c:pt idx="40">
                  <c:v>2.963076537877086</c:v>
                </c:pt>
                <c:pt idx="41">
                  <c:v>2.9385257181788074</c:v>
                </c:pt>
                <c:pt idx="42">
                  <c:v>2.8897924968247057</c:v>
                </c:pt>
                <c:pt idx="43">
                  <c:v>2.9607823094284109</c:v>
                </c:pt>
                <c:pt idx="44">
                  <c:v>3.1278907404978415</c:v>
                </c:pt>
                <c:pt idx="45">
                  <c:v>3.1651886691969522</c:v>
                </c:pt>
                <c:pt idx="46">
                  <c:v>3.256916141990303</c:v>
                </c:pt>
                <c:pt idx="47">
                  <c:v>3.338276707945071</c:v>
                </c:pt>
                <c:pt idx="48">
                  <c:v>3.366293772055104</c:v>
                </c:pt>
                <c:pt idx="49">
                  <c:v>3.4031411238077065</c:v>
                </c:pt>
                <c:pt idx="50">
                  <c:v>3.5608290722160452</c:v>
                </c:pt>
                <c:pt idx="51">
                  <c:v>3.7585422217203859</c:v>
                </c:pt>
                <c:pt idx="52">
                  <c:v>3.7276055300980357</c:v>
                </c:pt>
                <c:pt idx="53">
                  <c:v>3.7349684460607415</c:v>
                </c:pt>
                <c:pt idx="54">
                  <c:v>3.7763664167576496</c:v>
                </c:pt>
                <c:pt idx="55">
                  <c:v>3.987238504247637</c:v>
                </c:pt>
                <c:pt idx="56">
                  <c:v>4.1532897197122338</c:v>
                </c:pt>
                <c:pt idx="57">
                  <c:v>4.2519387661186547</c:v>
                </c:pt>
                <c:pt idx="58">
                  <c:v>4.3205254252336243</c:v>
                </c:pt>
                <c:pt idx="59">
                  <c:v>4.3956793233472995</c:v>
                </c:pt>
                <c:pt idx="60">
                  <c:v>4.3228099044647106</c:v>
                </c:pt>
                <c:pt idx="61">
                  <c:v>4.3825653254390318</c:v>
                </c:pt>
                <c:pt idx="62">
                  <c:v>4.4307843299267757</c:v>
                </c:pt>
                <c:pt idx="63">
                  <c:v>4.3647302947011939</c:v>
                </c:pt>
                <c:pt idx="64">
                  <c:v>4.3924647706561251</c:v>
                </c:pt>
                <c:pt idx="65">
                  <c:v>4.3408479161840603</c:v>
                </c:pt>
                <c:pt idx="66">
                  <c:v>4.3536508474743885</c:v>
                </c:pt>
                <c:pt idx="67">
                  <c:v>4.4774129839108436</c:v>
                </c:pt>
                <c:pt idx="68">
                  <c:v>4.4892788948194555</c:v>
                </c:pt>
                <c:pt idx="69">
                  <c:v>4.5259125610150157</c:v>
                </c:pt>
                <c:pt idx="70">
                  <c:v>4.6114582947364555</c:v>
                </c:pt>
                <c:pt idx="71">
                  <c:v>4.7160983390301459</c:v>
                </c:pt>
                <c:pt idx="72">
                  <c:v>5.0149773286060739</c:v>
                </c:pt>
                <c:pt idx="73">
                  <c:v>5.0389267600434158</c:v>
                </c:pt>
                <c:pt idx="74">
                  <c:v>4.9129031864663286</c:v>
                </c:pt>
                <c:pt idx="75">
                  <c:v>5.0158096554436762</c:v>
                </c:pt>
                <c:pt idx="76">
                  <c:v>5.034401676240118</c:v>
                </c:pt>
                <c:pt idx="77">
                  <c:v>5.1654930790241798</c:v>
                </c:pt>
                <c:pt idx="78">
                  <c:v>5.3391447847463001</c:v>
                </c:pt>
                <c:pt idx="79">
                  <c:v>5.4592968687093846</c:v>
                </c:pt>
                <c:pt idx="80">
                  <c:v>5.5326649887578352</c:v>
                </c:pt>
                <c:pt idx="81">
                  <c:v>5.6270216391512555</c:v>
                </c:pt>
                <c:pt idx="82">
                  <c:v>5.7129076606814193</c:v>
                </c:pt>
                <c:pt idx="83">
                  <c:v>5.7757936189651202</c:v>
                </c:pt>
                <c:pt idx="84">
                  <c:v>5.8145920338601007</c:v>
                </c:pt>
                <c:pt idx="85">
                  <c:v>5.8552637508071621</c:v>
                </c:pt>
                <c:pt idx="86">
                  <c:v>5.9509044989798676</c:v>
                </c:pt>
                <c:pt idx="87">
                  <c:v>5.9823264739731163</c:v>
                </c:pt>
                <c:pt idx="88">
                  <c:v>6.0904462296860391</c:v>
                </c:pt>
                <c:pt idx="89">
                  <c:v>6.2335960466572793</c:v>
                </c:pt>
                <c:pt idx="90">
                  <c:v>6.4069560358963287</c:v>
                </c:pt>
                <c:pt idx="91">
                  <c:v>6.5344918713292781</c:v>
                </c:pt>
                <c:pt idx="92">
                  <c:v>6.5095285108728396</c:v>
                </c:pt>
                <c:pt idx="93">
                  <c:v>6.6910174431085743</c:v>
                </c:pt>
                <c:pt idx="94">
                  <c:v>6.6975004942076195</c:v>
                </c:pt>
                <c:pt idx="95">
                  <c:v>6.7297170506526713</c:v>
                </c:pt>
                <c:pt idx="96">
                  <c:v>6.8537669820665394</c:v>
                </c:pt>
                <c:pt idx="97">
                  <c:v>7.0363785297834553</c:v>
                </c:pt>
                <c:pt idx="98">
                  <c:v>7.0624506206865822</c:v>
                </c:pt>
                <c:pt idx="99">
                  <c:v>7.0864902277399135</c:v>
                </c:pt>
                <c:pt idx="100">
                  <c:v>7.1422229385647418</c:v>
                </c:pt>
                <c:pt idx="101">
                  <c:v>7.2221098865090845</c:v>
                </c:pt>
                <c:pt idx="102">
                  <c:v>7.3109720987064399</c:v>
                </c:pt>
                <c:pt idx="103">
                  <c:v>7.4080203402319054</c:v>
                </c:pt>
                <c:pt idx="104">
                  <c:v>7.4430954902064874</c:v>
                </c:pt>
                <c:pt idx="105">
                  <c:v>7.4576022163379339</c:v>
                </c:pt>
                <c:pt idx="106">
                  <c:v>7.5147658510691864</c:v>
                </c:pt>
                <c:pt idx="107">
                  <c:v>7.8174863007119688</c:v>
                </c:pt>
                <c:pt idx="108">
                  <c:v>7.8654037856863113</c:v>
                </c:pt>
                <c:pt idx="109">
                  <c:v>7.9950257213541684</c:v>
                </c:pt>
                <c:pt idx="110">
                  <c:v>8.0378374885672823</c:v>
                </c:pt>
                <c:pt idx="111">
                  <c:v>8.0978612652583397</c:v>
                </c:pt>
                <c:pt idx="112">
                  <c:v>8.1981901921264217</c:v>
                </c:pt>
                <c:pt idx="113">
                  <c:v>8.1978861989235945</c:v>
                </c:pt>
                <c:pt idx="114">
                  <c:v>8.1961129341863863</c:v>
                </c:pt>
                <c:pt idx="115">
                  <c:v>8.2401094316100068</c:v>
                </c:pt>
                <c:pt idx="116">
                  <c:v>8.3996548429692783</c:v>
                </c:pt>
                <c:pt idx="117">
                  <c:v>8.5339597903346451</c:v>
                </c:pt>
                <c:pt idx="118">
                  <c:v>8.5709984792868426</c:v>
                </c:pt>
                <c:pt idx="119">
                  <c:v>8.6410090459047808</c:v>
                </c:pt>
                <c:pt idx="120">
                  <c:v>8.6785391896827484</c:v>
                </c:pt>
                <c:pt idx="121">
                  <c:v>8.7312579796718186</c:v>
                </c:pt>
                <c:pt idx="122">
                  <c:v>8.8483856331824668</c:v>
                </c:pt>
                <c:pt idx="123">
                  <c:v>8.9881539901233385</c:v>
                </c:pt>
                <c:pt idx="124">
                  <c:v>8.9273276637859578</c:v>
                </c:pt>
                <c:pt idx="125">
                  <c:v>9.045943914435945</c:v>
                </c:pt>
                <c:pt idx="126">
                  <c:v>9.1895534888167276</c:v>
                </c:pt>
                <c:pt idx="127">
                  <c:v>9.2300091421207373</c:v>
                </c:pt>
                <c:pt idx="128">
                  <c:v>9.2734603624010621</c:v>
                </c:pt>
                <c:pt idx="129">
                  <c:v>9.3615478119283164</c:v>
                </c:pt>
                <c:pt idx="130">
                  <c:v>9.4276296679762623</c:v>
                </c:pt>
                <c:pt idx="131">
                  <c:v>9.5409867239115744</c:v>
                </c:pt>
                <c:pt idx="132">
                  <c:v>9.5441774444131013</c:v>
                </c:pt>
                <c:pt idx="133">
                  <c:v>9.5738234994851066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EB-4AEE-933E-F6C3E96DDA1C}"/>
            </c:ext>
          </c:extLst>
        </c:ser>
        <c:ser>
          <c:idx val="4"/>
          <c:order val="4"/>
          <c:tx>
            <c:strRef>
              <c:f>'畫圖(真實)'!$A$16:$B$16</c:f>
              <c:strCache>
                <c:ptCount val="2"/>
                <c:pt idx="0">
                  <c:v>107</c:v>
                </c:pt>
                <c:pt idx="1">
                  <c:v>9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'畫圖(真實)'!$C$16:$EF$16</c:f>
              <c:numCache>
                <c:formatCode>General</c:formatCode>
                <c:ptCount val="134"/>
                <c:pt idx="0">
                  <c:v>0</c:v>
                </c:pt>
                <c:pt idx="1">
                  <c:v>0.40819497873258059</c:v>
                </c:pt>
                <c:pt idx="2">
                  <c:v>0.47320155584390883</c:v>
                </c:pt>
                <c:pt idx="3">
                  <c:v>0.39448608393957785</c:v>
                </c:pt>
                <c:pt idx="4">
                  <c:v>0.40263263459852711</c:v>
                </c:pt>
                <c:pt idx="5">
                  <c:v>0.47548069088617462</c:v>
                </c:pt>
                <c:pt idx="6">
                  <c:v>0.5330113095517961</c:v>
                </c:pt>
                <c:pt idx="7">
                  <c:v>0.57972123559446231</c:v>
                </c:pt>
                <c:pt idx="8">
                  <c:v>0.66614212717685284</c:v>
                </c:pt>
                <c:pt idx="9">
                  <c:v>0.6351149762113798</c:v>
                </c:pt>
                <c:pt idx="10">
                  <c:v>0.62112754034946271</c:v>
                </c:pt>
                <c:pt idx="11">
                  <c:v>0.98811514947204904</c:v>
                </c:pt>
                <c:pt idx="12">
                  <c:v>0.95952807259306983</c:v>
                </c:pt>
                <c:pt idx="13">
                  <c:v>1.0205733043844922</c:v>
                </c:pt>
                <c:pt idx="14">
                  <c:v>1.1784763748088303</c:v>
                </c:pt>
                <c:pt idx="15">
                  <c:v>1.1294853965259037</c:v>
                </c:pt>
                <c:pt idx="16">
                  <c:v>1.4165484169246985</c:v>
                </c:pt>
                <c:pt idx="17">
                  <c:v>1.4549550902183104</c:v>
                </c:pt>
                <c:pt idx="18">
                  <c:v>1.5850175616480549</c:v>
                </c:pt>
                <c:pt idx="19">
                  <c:v>1.5789954163150892</c:v>
                </c:pt>
                <c:pt idx="20">
                  <c:v>1.6573689043427271</c:v>
                </c:pt>
                <c:pt idx="21">
                  <c:v>1.8979008659698933</c:v>
                </c:pt>
                <c:pt idx="22">
                  <c:v>1.8777202775502577</c:v>
                </c:pt>
                <c:pt idx="23">
                  <c:v>1.9207782084344693</c:v>
                </c:pt>
                <c:pt idx="24">
                  <c:v>2.0869370997317862</c:v>
                </c:pt>
                <c:pt idx="25">
                  <c:v>2.1619221413697667</c:v>
                </c:pt>
                <c:pt idx="26">
                  <c:v>2.14915669333435</c:v>
                </c:pt>
                <c:pt idx="27">
                  <c:v>2.1839678651916015</c:v>
                </c:pt>
                <c:pt idx="28">
                  <c:v>2.3935961063685118</c:v>
                </c:pt>
                <c:pt idx="29">
                  <c:v>2.5415117166329382</c:v>
                </c:pt>
                <c:pt idx="30">
                  <c:v>2.5548024696694736</c:v>
                </c:pt>
                <c:pt idx="31">
                  <c:v>2.5230370692200328</c:v>
                </c:pt>
                <c:pt idx="32">
                  <c:v>2.6135597184371875</c:v>
                </c:pt>
                <c:pt idx="33">
                  <c:v>2.6065337523653116</c:v>
                </c:pt>
                <c:pt idx="34">
                  <c:v>2.6709551531976836</c:v>
                </c:pt>
                <c:pt idx="35">
                  <c:v>2.656482641680225</c:v>
                </c:pt>
                <c:pt idx="36">
                  <c:v>2.7225593722820229</c:v>
                </c:pt>
                <c:pt idx="37">
                  <c:v>2.8290155723716985</c:v>
                </c:pt>
                <c:pt idx="38">
                  <c:v>2.7879254190099574</c:v>
                </c:pt>
                <c:pt idx="39">
                  <c:v>2.8657237871555461</c:v>
                </c:pt>
                <c:pt idx="40">
                  <c:v>2.8897598410100986</c:v>
                </c:pt>
                <c:pt idx="41">
                  <c:v>2.8572670812900349</c:v>
                </c:pt>
                <c:pt idx="42">
                  <c:v>2.8046243630518011</c:v>
                </c:pt>
                <c:pt idx="43">
                  <c:v>2.9271884064020859</c:v>
                </c:pt>
                <c:pt idx="44">
                  <c:v>3.0974242952192257</c:v>
                </c:pt>
                <c:pt idx="45">
                  <c:v>3.1495051306559634</c:v>
                </c:pt>
                <c:pt idx="46">
                  <c:v>3.2584900692974923</c:v>
                </c:pt>
                <c:pt idx="47">
                  <c:v>3.3591113983988952</c:v>
                </c:pt>
                <c:pt idx="48">
                  <c:v>3.3929239882432412</c:v>
                </c:pt>
                <c:pt idx="49">
                  <c:v>3.4397508642466179</c:v>
                </c:pt>
                <c:pt idx="50">
                  <c:v>3.5997415644212389</c:v>
                </c:pt>
                <c:pt idx="51">
                  <c:v>3.8252151274969783</c:v>
                </c:pt>
                <c:pt idx="52">
                  <c:v>3.7862157355747468</c:v>
                </c:pt>
                <c:pt idx="53">
                  <c:v>3.7924979199996303</c:v>
                </c:pt>
                <c:pt idx="54">
                  <c:v>3.8536955639260895</c:v>
                </c:pt>
                <c:pt idx="55">
                  <c:v>4.1014824230265496</c:v>
                </c:pt>
                <c:pt idx="56">
                  <c:v>4.2627119926109005</c:v>
                </c:pt>
                <c:pt idx="57">
                  <c:v>4.3588740271186346</c:v>
                </c:pt>
                <c:pt idx="58">
                  <c:v>4.4003178348818963</c:v>
                </c:pt>
                <c:pt idx="59">
                  <c:v>4.4817459536578701</c:v>
                </c:pt>
                <c:pt idx="60">
                  <c:v>4.3769727507373011</c:v>
                </c:pt>
                <c:pt idx="61">
                  <c:v>4.4381463502217713</c:v>
                </c:pt>
                <c:pt idx="62">
                  <c:v>4.4776443357128777</c:v>
                </c:pt>
                <c:pt idx="63">
                  <c:v>4.4104463653081885</c:v>
                </c:pt>
                <c:pt idx="64">
                  <c:v>4.4323367252618464</c:v>
                </c:pt>
                <c:pt idx="65">
                  <c:v>4.3745866645813907</c:v>
                </c:pt>
                <c:pt idx="66">
                  <c:v>4.391064680836319</c:v>
                </c:pt>
                <c:pt idx="67">
                  <c:v>4.5216476490613404</c:v>
                </c:pt>
                <c:pt idx="68">
                  <c:v>4.5536546362542234</c:v>
                </c:pt>
                <c:pt idx="69">
                  <c:v>4.5917207144664687</c:v>
                </c:pt>
                <c:pt idx="70">
                  <c:v>4.6932572886947739</c:v>
                </c:pt>
                <c:pt idx="71">
                  <c:v>4.7298429266185202</c:v>
                </c:pt>
                <c:pt idx="72">
                  <c:v>5.0478137611568874</c:v>
                </c:pt>
                <c:pt idx="73">
                  <c:v>5.0718920329862343</c:v>
                </c:pt>
                <c:pt idx="74">
                  <c:v>4.9393336237288548</c:v>
                </c:pt>
                <c:pt idx="75">
                  <c:v>5.0508594722305036</c:v>
                </c:pt>
                <c:pt idx="76">
                  <c:v>5.0805738619860668</c:v>
                </c:pt>
                <c:pt idx="77">
                  <c:v>5.2198825979194003</c:v>
                </c:pt>
                <c:pt idx="78">
                  <c:v>5.2642707510896063</c:v>
                </c:pt>
                <c:pt idx="79">
                  <c:v>5.4193420227159681</c:v>
                </c:pt>
                <c:pt idx="80">
                  <c:v>5.5129562531838836</c:v>
                </c:pt>
                <c:pt idx="81">
                  <c:v>5.6181575171936347</c:v>
                </c:pt>
                <c:pt idx="82">
                  <c:v>5.6798853953403015</c:v>
                </c:pt>
                <c:pt idx="83">
                  <c:v>5.7215828100433281</c:v>
                </c:pt>
                <c:pt idx="84">
                  <c:v>5.7602926918718458</c:v>
                </c:pt>
                <c:pt idx="85">
                  <c:v>5.7899960773656094</c:v>
                </c:pt>
                <c:pt idx="86">
                  <c:v>5.8784187671472168</c:v>
                </c:pt>
                <c:pt idx="87">
                  <c:v>5.8942974494819262</c:v>
                </c:pt>
                <c:pt idx="88">
                  <c:v>6.0073532878733005</c:v>
                </c:pt>
                <c:pt idx="89">
                  <c:v>6.1677132041898277</c:v>
                </c:pt>
                <c:pt idx="90">
                  <c:v>6.3772607226495799</c:v>
                </c:pt>
                <c:pt idx="91">
                  <c:v>6.5138924121316713</c:v>
                </c:pt>
                <c:pt idx="92">
                  <c:v>6.4935586323113101</c:v>
                </c:pt>
                <c:pt idx="93">
                  <c:v>6.6828451657787085</c:v>
                </c:pt>
                <c:pt idx="94">
                  <c:v>6.7236973533734519</c:v>
                </c:pt>
                <c:pt idx="95">
                  <c:v>6.7726008792048811</c:v>
                </c:pt>
                <c:pt idx="96">
                  <c:v>6.9080725800690868</c:v>
                </c:pt>
                <c:pt idx="97">
                  <c:v>7.0803241027075732</c:v>
                </c:pt>
                <c:pt idx="98">
                  <c:v>7.1276657618818531</c:v>
                </c:pt>
                <c:pt idx="99">
                  <c:v>7.1399060466361028</c:v>
                </c:pt>
                <c:pt idx="100">
                  <c:v>7.1984603528073556</c:v>
                </c:pt>
                <c:pt idx="101">
                  <c:v>7.3010936119854879</c:v>
                </c:pt>
                <c:pt idx="102">
                  <c:v>7.4192749423479372</c:v>
                </c:pt>
                <c:pt idx="103">
                  <c:v>7.5172922252337342</c:v>
                </c:pt>
                <c:pt idx="104">
                  <c:v>7.5602345875542341</c:v>
                </c:pt>
                <c:pt idx="105">
                  <c:v>7.5919782980415143</c:v>
                </c:pt>
                <c:pt idx="106">
                  <c:v>7.6265306984003045</c:v>
                </c:pt>
                <c:pt idx="107">
                  <c:v>7.9521102493174567</c:v>
                </c:pt>
                <c:pt idx="108">
                  <c:v>7.9977871643463487</c:v>
                </c:pt>
                <c:pt idx="109">
                  <c:v>8.1349349247588574</c:v>
                </c:pt>
                <c:pt idx="110">
                  <c:v>8.1827645324758453</c:v>
                </c:pt>
                <c:pt idx="111">
                  <c:v>8.2537195849127301</c:v>
                </c:pt>
                <c:pt idx="112">
                  <c:v>8.3499742097119274</c:v>
                </c:pt>
                <c:pt idx="113">
                  <c:v>8.3281013354621525</c:v>
                </c:pt>
                <c:pt idx="114">
                  <c:v>8.2899663399015999</c:v>
                </c:pt>
                <c:pt idx="115">
                  <c:v>8.3324041932610076</c:v>
                </c:pt>
                <c:pt idx="116">
                  <c:v>8.5019951396490825</c:v>
                </c:pt>
                <c:pt idx="117">
                  <c:v>8.6623291341248958</c:v>
                </c:pt>
                <c:pt idx="118">
                  <c:v>8.7093992901294275</c:v>
                </c:pt>
                <c:pt idx="119">
                  <c:v>8.7645905417789418</c:v>
                </c:pt>
                <c:pt idx="120">
                  <c:v>8.7860312144914356</c:v>
                </c:pt>
                <c:pt idx="121">
                  <c:v>8.8451441895696217</c:v>
                </c:pt>
                <c:pt idx="122">
                  <c:v>8.9679162360925861</c:v>
                </c:pt>
                <c:pt idx="123">
                  <c:v>9.1048699681103802</c:v>
                </c:pt>
                <c:pt idx="124">
                  <c:v>9.033567393987024</c:v>
                </c:pt>
                <c:pt idx="125">
                  <c:v>9.1588521003110017</c:v>
                </c:pt>
                <c:pt idx="126">
                  <c:v>9.3164242330463747</c:v>
                </c:pt>
                <c:pt idx="127">
                  <c:v>9.3752349812374209</c:v>
                </c:pt>
                <c:pt idx="128">
                  <c:v>9.3756554964776644</c:v>
                </c:pt>
                <c:pt idx="129">
                  <c:v>9.4763345971548656</c:v>
                </c:pt>
                <c:pt idx="130">
                  <c:v>9.5398666637894358</c:v>
                </c:pt>
                <c:pt idx="131">
                  <c:v>9.655283411288357</c:v>
                </c:pt>
                <c:pt idx="132">
                  <c:v>9.6596800865951167</c:v>
                </c:pt>
                <c:pt idx="133">
                  <c:v>9.6942307225750959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EB-4AEE-933E-F6C3E96DDA1C}"/>
            </c:ext>
          </c:extLst>
        </c:ser>
        <c:ser>
          <c:idx val="5"/>
          <c:order val="5"/>
          <c:tx>
            <c:strRef>
              <c:f>'畫圖(真實)'!$A$17:$B$17</c:f>
              <c:strCache>
                <c:ptCount val="2"/>
                <c:pt idx="0">
                  <c:v>120</c:v>
                </c:pt>
                <c:pt idx="1">
                  <c:v>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'畫圖(真實)'!$C$17:$EF$17</c:f>
              <c:numCache>
                <c:formatCode>General</c:formatCode>
                <c:ptCount val="134"/>
                <c:pt idx="0">
                  <c:v>0</c:v>
                </c:pt>
                <c:pt idx="1">
                  <c:v>0.43958848862462141</c:v>
                </c:pt>
                <c:pt idx="2">
                  <c:v>0.51917833801537439</c:v>
                </c:pt>
                <c:pt idx="3">
                  <c:v>0.43842617386305527</c:v>
                </c:pt>
                <c:pt idx="4">
                  <c:v>0.54381324852678592</c:v>
                </c:pt>
                <c:pt idx="5">
                  <c:v>0.64880730215452687</c:v>
                </c:pt>
                <c:pt idx="6">
                  <c:v>0.76253232995671438</c:v>
                </c:pt>
                <c:pt idx="7">
                  <c:v>0.80439072507494358</c:v>
                </c:pt>
                <c:pt idx="8">
                  <c:v>0.90595080479725354</c:v>
                </c:pt>
                <c:pt idx="9">
                  <c:v>0.87217487525861537</c:v>
                </c:pt>
                <c:pt idx="10">
                  <c:v>0.88683401734890377</c:v>
                </c:pt>
                <c:pt idx="11">
                  <c:v>1.2919420262883659</c:v>
                </c:pt>
                <c:pt idx="12">
                  <c:v>1.2806353502242336</c:v>
                </c:pt>
                <c:pt idx="13">
                  <c:v>1.3469747193630646</c:v>
                </c:pt>
                <c:pt idx="14">
                  <c:v>1.5087760139781914</c:v>
                </c:pt>
                <c:pt idx="15">
                  <c:v>1.4567184050736641</c:v>
                </c:pt>
                <c:pt idx="16">
                  <c:v>1.7673718377289624</c:v>
                </c:pt>
                <c:pt idx="17">
                  <c:v>1.7907144232399033</c:v>
                </c:pt>
                <c:pt idx="18">
                  <c:v>1.9319855657784601</c:v>
                </c:pt>
                <c:pt idx="19">
                  <c:v>1.9359967556081585</c:v>
                </c:pt>
                <c:pt idx="20">
                  <c:v>2.0151387444101756</c:v>
                </c:pt>
                <c:pt idx="21">
                  <c:v>2.2531281757304904</c:v>
                </c:pt>
                <c:pt idx="22">
                  <c:v>2.2302001646678353</c:v>
                </c:pt>
                <c:pt idx="23">
                  <c:v>2.284068653958701</c:v>
                </c:pt>
                <c:pt idx="24">
                  <c:v>2.4753520908741105</c:v>
                </c:pt>
                <c:pt idx="25">
                  <c:v>2.5602041537522826</c:v>
                </c:pt>
                <c:pt idx="26">
                  <c:v>2.5401178990142612</c:v>
                </c:pt>
                <c:pt idx="27">
                  <c:v>2.6087377222511079</c:v>
                </c:pt>
                <c:pt idx="28">
                  <c:v>2.8308604266795587</c:v>
                </c:pt>
                <c:pt idx="29">
                  <c:v>2.951146751335405</c:v>
                </c:pt>
                <c:pt idx="30">
                  <c:v>2.9738877321231953</c:v>
                </c:pt>
                <c:pt idx="31">
                  <c:v>2.9384151129503064</c:v>
                </c:pt>
                <c:pt idx="32">
                  <c:v>3.053279558348593</c:v>
                </c:pt>
                <c:pt idx="33">
                  <c:v>3.0106769278296359</c:v>
                </c:pt>
                <c:pt idx="34">
                  <c:v>3.0843932025686724</c:v>
                </c:pt>
                <c:pt idx="35">
                  <c:v>3.0744094692336739</c:v>
                </c:pt>
                <c:pt idx="36">
                  <c:v>3.1497788368213309</c:v>
                </c:pt>
                <c:pt idx="37">
                  <c:v>3.2630659571672487</c:v>
                </c:pt>
                <c:pt idx="38">
                  <c:v>3.1863714295446255</c:v>
                </c:pt>
                <c:pt idx="39">
                  <c:v>3.2636142439642111</c:v>
                </c:pt>
                <c:pt idx="40">
                  <c:v>3.2728482374400003</c:v>
                </c:pt>
                <c:pt idx="41">
                  <c:v>3.2378509564049427</c:v>
                </c:pt>
                <c:pt idx="42">
                  <c:v>3.1790479994607082</c:v>
                </c:pt>
                <c:pt idx="43">
                  <c:v>3.30611979256796</c:v>
                </c:pt>
                <c:pt idx="44">
                  <c:v>3.4836818183161316</c:v>
                </c:pt>
                <c:pt idx="45">
                  <c:v>3.5422112676507629</c:v>
                </c:pt>
                <c:pt idx="46">
                  <c:v>3.6184008778805796</c:v>
                </c:pt>
                <c:pt idx="47">
                  <c:v>3.7160199829981875</c:v>
                </c:pt>
                <c:pt idx="48">
                  <c:v>3.7434436796887884</c:v>
                </c:pt>
                <c:pt idx="49">
                  <c:v>3.7914241134979614</c:v>
                </c:pt>
                <c:pt idx="50">
                  <c:v>3.9542305233077242</c:v>
                </c:pt>
                <c:pt idx="51">
                  <c:v>4.1846725682555945</c:v>
                </c:pt>
                <c:pt idx="52">
                  <c:v>4.1573797438751043</c:v>
                </c:pt>
                <c:pt idx="53">
                  <c:v>4.1767916157679812</c:v>
                </c:pt>
                <c:pt idx="54">
                  <c:v>4.2209018691128195</c:v>
                </c:pt>
                <c:pt idx="55">
                  <c:v>4.3686786993929783</c:v>
                </c:pt>
                <c:pt idx="56">
                  <c:v>4.554430277523859</c:v>
                </c:pt>
                <c:pt idx="57">
                  <c:v>4.6876213908491877</c:v>
                </c:pt>
                <c:pt idx="58">
                  <c:v>4.7747333362891347</c:v>
                </c:pt>
                <c:pt idx="59">
                  <c:v>4.8639248138457942</c:v>
                </c:pt>
                <c:pt idx="60">
                  <c:v>4.7491090218462766</c:v>
                </c:pt>
                <c:pt idx="61">
                  <c:v>4.7832614691705713</c:v>
                </c:pt>
                <c:pt idx="62">
                  <c:v>4.8123204803229251</c:v>
                </c:pt>
                <c:pt idx="63">
                  <c:v>4.7386637123865594</c:v>
                </c:pt>
                <c:pt idx="64">
                  <c:v>4.7738433278032826</c:v>
                </c:pt>
                <c:pt idx="65">
                  <c:v>4.7132051808933655</c:v>
                </c:pt>
                <c:pt idx="66">
                  <c:v>4.7245816913398171</c:v>
                </c:pt>
                <c:pt idx="67">
                  <c:v>4.8396040443655686</c:v>
                </c:pt>
                <c:pt idx="68">
                  <c:v>4.8605100625792641</c:v>
                </c:pt>
                <c:pt idx="69">
                  <c:v>4.8941576358256222</c:v>
                </c:pt>
                <c:pt idx="70">
                  <c:v>4.9986819353584826</c:v>
                </c:pt>
                <c:pt idx="71">
                  <c:v>5.0369228918606765</c:v>
                </c:pt>
                <c:pt idx="72">
                  <c:v>5.2452597173780653</c:v>
                </c:pt>
                <c:pt idx="73">
                  <c:v>5.2523555072195318</c:v>
                </c:pt>
                <c:pt idx="74">
                  <c:v>5.1098781320930646</c:v>
                </c:pt>
                <c:pt idx="75">
                  <c:v>5.2304562879741496</c:v>
                </c:pt>
                <c:pt idx="76">
                  <c:v>5.2583911203326394</c:v>
                </c:pt>
                <c:pt idx="77">
                  <c:v>5.408024278025529</c:v>
                </c:pt>
                <c:pt idx="78">
                  <c:v>5.4497845304997643</c:v>
                </c:pt>
                <c:pt idx="79">
                  <c:v>5.6227442717189131</c:v>
                </c:pt>
                <c:pt idx="80">
                  <c:v>5.7184523453804079</c:v>
                </c:pt>
                <c:pt idx="81">
                  <c:v>5.8171985428066062</c:v>
                </c:pt>
                <c:pt idx="82">
                  <c:v>5.8919135314353372</c:v>
                </c:pt>
                <c:pt idx="83">
                  <c:v>5.9505499780423872</c:v>
                </c:pt>
                <c:pt idx="84">
                  <c:v>5.965081163031976</c:v>
                </c:pt>
                <c:pt idx="85">
                  <c:v>5.9860319905133244</c:v>
                </c:pt>
                <c:pt idx="86">
                  <c:v>6.0699878387729553</c:v>
                </c:pt>
                <c:pt idx="87">
                  <c:v>6.0605614940039239</c:v>
                </c:pt>
                <c:pt idx="88">
                  <c:v>6.1560553648204772</c:v>
                </c:pt>
                <c:pt idx="89">
                  <c:v>6.3325866434018643</c:v>
                </c:pt>
                <c:pt idx="90">
                  <c:v>6.530667063291653</c:v>
                </c:pt>
                <c:pt idx="91">
                  <c:v>6.6788263324889963</c:v>
                </c:pt>
                <c:pt idx="92">
                  <c:v>6.7307334358307225</c:v>
                </c:pt>
                <c:pt idx="93">
                  <c:v>6.927136067593012</c:v>
                </c:pt>
                <c:pt idx="94">
                  <c:v>6.9584818859887303</c:v>
                </c:pt>
                <c:pt idx="95">
                  <c:v>7.017135682591344</c:v>
                </c:pt>
                <c:pt idx="96">
                  <c:v>7.172487575391103</c:v>
                </c:pt>
                <c:pt idx="97">
                  <c:v>7.3239589602524573</c:v>
                </c:pt>
                <c:pt idx="98">
                  <c:v>7.3873521790569452</c:v>
                </c:pt>
                <c:pt idx="99">
                  <c:v>7.3981245735808931</c:v>
                </c:pt>
                <c:pt idx="100">
                  <c:v>7.4576225254407156</c:v>
                </c:pt>
                <c:pt idx="101">
                  <c:v>7.5818713632883359</c:v>
                </c:pt>
                <c:pt idx="102">
                  <c:v>7.6763677625078266</c:v>
                </c:pt>
                <c:pt idx="103">
                  <c:v>7.7806393884109095</c:v>
                </c:pt>
                <c:pt idx="104">
                  <c:v>7.8240028573884084</c:v>
                </c:pt>
                <c:pt idx="105">
                  <c:v>7.8531582782712892</c:v>
                </c:pt>
                <c:pt idx="106">
                  <c:v>7.8772831416180109</c:v>
                </c:pt>
                <c:pt idx="107">
                  <c:v>8.2295086958894839</c:v>
                </c:pt>
                <c:pt idx="108">
                  <c:v>8.2767196843180084</c:v>
                </c:pt>
                <c:pt idx="109">
                  <c:v>8.4401514855299968</c:v>
                </c:pt>
                <c:pt idx="110">
                  <c:v>8.5103338756007254</c:v>
                </c:pt>
                <c:pt idx="111">
                  <c:v>8.6392589353867351</c:v>
                </c:pt>
                <c:pt idx="112">
                  <c:v>8.7420402041350407</c:v>
                </c:pt>
                <c:pt idx="113">
                  <c:v>8.7381104724439123</c:v>
                </c:pt>
                <c:pt idx="114">
                  <c:v>8.6955468637321598</c:v>
                </c:pt>
                <c:pt idx="115">
                  <c:v>8.7310358964464996</c:v>
                </c:pt>
                <c:pt idx="116">
                  <c:v>8.9107988225452281</c:v>
                </c:pt>
                <c:pt idx="117">
                  <c:v>9.0528329807958627</c:v>
                </c:pt>
                <c:pt idx="118">
                  <c:v>9.1254869859018868</c:v>
                </c:pt>
                <c:pt idx="119">
                  <c:v>9.1813718007782157</c:v>
                </c:pt>
                <c:pt idx="120">
                  <c:v>9.2187258895333173</c:v>
                </c:pt>
                <c:pt idx="121">
                  <c:v>9.2785378247682928</c:v>
                </c:pt>
                <c:pt idx="122">
                  <c:v>9.4080307810882822</c:v>
                </c:pt>
                <c:pt idx="123">
                  <c:v>9.5257961791992365</c:v>
                </c:pt>
                <c:pt idx="124">
                  <c:v>9.4491972661632406</c:v>
                </c:pt>
                <c:pt idx="125">
                  <c:v>9.5787362487597143</c:v>
                </c:pt>
                <c:pt idx="126">
                  <c:v>9.6860191443615662</c:v>
                </c:pt>
                <c:pt idx="127">
                  <c:v>9.7352317735313747</c:v>
                </c:pt>
                <c:pt idx="128">
                  <c:v>9.7305992493146505</c:v>
                </c:pt>
                <c:pt idx="129">
                  <c:v>9.8378845760684079</c:v>
                </c:pt>
                <c:pt idx="130">
                  <c:v>9.8543097932844681</c:v>
                </c:pt>
                <c:pt idx="131">
                  <c:v>9.9826342372133805</c:v>
                </c:pt>
                <c:pt idx="132">
                  <c:v>9.9824407160673019</c:v>
                </c:pt>
                <c:pt idx="133">
                  <c:v>10.023427921491203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EB-4AEE-933E-F6C3E96DDA1C}"/>
            </c:ext>
          </c:extLst>
        </c:ser>
        <c:ser>
          <c:idx val="6"/>
          <c:order val="6"/>
          <c:tx>
            <c:strRef>
              <c:f>'畫圖(真實)'!$A$18:$B$18</c:f>
              <c:strCache>
                <c:ptCount val="2"/>
                <c:pt idx="0">
                  <c:v>137</c:v>
                </c:pt>
                <c:pt idx="1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'畫圖(真實)'!$C$18:$EF$18</c:f>
              <c:numCache>
                <c:formatCode>General</c:formatCode>
                <c:ptCount val="134"/>
                <c:pt idx="0">
                  <c:v>0</c:v>
                </c:pt>
                <c:pt idx="1">
                  <c:v>0.40188368142206798</c:v>
                </c:pt>
                <c:pt idx="2">
                  <c:v>0.45532303168979199</c:v>
                </c:pt>
                <c:pt idx="3">
                  <c:v>0.3359400715876022</c:v>
                </c:pt>
                <c:pt idx="4">
                  <c:v>0.44425644487268218</c:v>
                </c:pt>
                <c:pt idx="5">
                  <c:v>0.5727960066472535</c:v>
                </c:pt>
                <c:pt idx="6">
                  <c:v>0.70829618687049456</c:v>
                </c:pt>
                <c:pt idx="7">
                  <c:v>0.75170770262213615</c:v>
                </c:pt>
                <c:pt idx="8">
                  <c:v>0.88735559139976838</c:v>
                </c:pt>
                <c:pt idx="9">
                  <c:v>0.84068287105909523</c:v>
                </c:pt>
                <c:pt idx="10">
                  <c:v>0.86973433543555256</c:v>
                </c:pt>
                <c:pt idx="11">
                  <c:v>1.3315543535061658</c:v>
                </c:pt>
                <c:pt idx="12">
                  <c:v>1.3632922946036641</c:v>
                </c:pt>
                <c:pt idx="13">
                  <c:v>1.4458449061736118</c:v>
                </c:pt>
                <c:pt idx="14">
                  <c:v>1.6348203248631017</c:v>
                </c:pt>
                <c:pt idx="15">
                  <c:v>1.5733280869911268</c:v>
                </c:pt>
                <c:pt idx="16">
                  <c:v>1.9570607159230211</c:v>
                </c:pt>
                <c:pt idx="17">
                  <c:v>2.0093704134737518</c:v>
                </c:pt>
                <c:pt idx="18">
                  <c:v>2.1418654379035709</c:v>
                </c:pt>
                <c:pt idx="19">
                  <c:v>2.1547605729734216</c:v>
                </c:pt>
                <c:pt idx="20">
                  <c:v>2.2320568530331601</c:v>
                </c:pt>
                <c:pt idx="21">
                  <c:v>2.4471779104331119</c:v>
                </c:pt>
                <c:pt idx="22">
                  <c:v>2.4279455760756763</c:v>
                </c:pt>
                <c:pt idx="23">
                  <c:v>2.5171799395161991</c:v>
                </c:pt>
                <c:pt idx="24">
                  <c:v>2.6897505970507276</c:v>
                </c:pt>
                <c:pt idx="25">
                  <c:v>2.774448896781212</c:v>
                </c:pt>
                <c:pt idx="26">
                  <c:v>2.7758143172580443</c:v>
                </c:pt>
                <c:pt idx="27">
                  <c:v>2.8721001624434637</c:v>
                </c:pt>
                <c:pt idx="28">
                  <c:v>3.130491511358672</c:v>
                </c:pt>
                <c:pt idx="29">
                  <c:v>3.2810351511827456</c:v>
                </c:pt>
                <c:pt idx="30">
                  <c:v>3.3135282672806214</c:v>
                </c:pt>
                <c:pt idx="31">
                  <c:v>3.2733308063121069</c:v>
                </c:pt>
                <c:pt idx="32">
                  <c:v>3.3914165408701074</c:v>
                </c:pt>
                <c:pt idx="33">
                  <c:v>3.3440227847036583</c:v>
                </c:pt>
                <c:pt idx="34">
                  <c:v>3.3741752653012842</c:v>
                </c:pt>
                <c:pt idx="35">
                  <c:v>3.3733197102469119</c:v>
                </c:pt>
                <c:pt idx="36">
                  <c:v>3.439963115671683</c:v>
                </c:pt>
                <c:pt idx="37">
                  <c:v>3.5192577556268847</c:v>
                </c:pt>
                <c:pt idx="38">
                  <c:v>3.5438420360716916</c:v>
                </c:pt>
                <c:pt idx="39">
                  <c:v>3.6221206280054985</c:v>
                </c:pt>
                <c:pt idx="40">
                  <c:v>3.6053354864363829</c:v>
                </c:pt>
                <c:pt idx="41">
                  <c:v>3.5436409628356014</c:v>
                </c:pt>
                <c:pt idx="42">
                  <c:v>3.4603878349464154</c:v>
                </c:pt>
                <c:pt idx="43">
                  <c:v>3.6267736443704743</c:v>
                </c:pt>
                <c:pt idx="44">
                  <c:v>3.8234333755091527</c:v>
                </c:pt>
                <c:pt idx="45">
                  <c:v>3.8836690402156226</c:v>
                </c:pt>
                <c:pt idx="46">
                  <c:v>3.9814359020368579</c:v>
                </c:pt>
                <c:pt idx="47">
                  <c:v>4.1075002394629854</c:v>
                </c:pt>
                <c:pt idx="48">
                  <c:v>4.1422835181041338</c:v>
                </c:pt>
                <c:pt idx="49">
                  <c:v>4.2086247938415555</c:v>
                </c:pt>
                <c:pt idx="50">
                  <c:v>4.3891045585111019</c:v>
                </c:pt>
                <c:pt idx="51">
                  <c:v>4.7065619841752149</c:v>
                </c:pt>
                <c:pt idx="52">
                  <c:v>4.734504034877185</c:v>
                </c:pt>
                <c:pt idx="53">
                  <c:v>4.7547791745342121</c:v>
                </c:pt>
                <c:pt idx="54">
                  <c:v>4.8459520273901342</c:v>
                </c:pt>
                <c:pt idx="55">
                  <c:v>5.0109385220861418</c:v>
                </c:pt>
                <c:pt idx="56">
                  <c:v>5.1576524969144302</c:v>
                </c:pt>
                <c:pt idx="57">
                  <c:v>5.2955507620645728</c:v>
                </c:pt>
                <c:pt idx="58">
                  <c:v>5.4045507689832384</c:v>
                </c:pt>
                <c:pt idx="59">
                  <c:v>5.5040822882563853</c:v>
                </c:pt>
                <c:pt idx="60">
                  <c:v>5.4306266614323802</c:v>
                </c:pt>
                <c:pt idx="61">
                  <c:v>5.4864145422941597</c:v>
                </c:pt>
                <c:pt idx="62">
                  <c:v>5.5144958986672554</c:v>
                </c:pt>
                <c:pt idx="63">
                  <c:v>5.4362871991848802</c:v>
                </c:pt>
                <c:pt idx="64">
                  <c:v>5.4565146952912551</c:v>
                </c:pt>
                <c:pt idx="65">
                  <c:v>5.394051263254803</c:v>
                </c:pt>
                <c:pt idx="66">
                  <c:v>5.3959680473646516</c:v>
                </c:pt>
                <c:pt idx="67">
                  <c:v>5.5169298652471275</c:v>
                </c:pt>
                <c:pt idx="68">
                  <c:v>5.5498031218231594</c:v>
                </c:pt>
                <c:pt idx="69">
                  <c:v>5.5631022726008368</c:v>
                </c:pt>
                <c:pt idx="70">
                  <c:v>5.6745638181299398</c:v>
                </c:pt>
                <c:pt idx="71">
                  <c:v>5.7141882442540872</c:v>
                </c:pt>
                <c:pt idx="72">
                  <c:v>5.9325637433850762</c:v>
                </c:pt>
                <c:pt idx="73">
                  <c:v>5.9167518194392841</c:v>
                </c:pt>
                <c:pt idx="74">
                  <c:v>5.8292865511671828</c:v>
                </c:pt>
                <c:pt idx="75">
                  <c:v>5.9826065389697805</c:v>
                </c:pt>
                <c:pt idx="76">
                  <c:v>5.998683082862641</c:v>
                </c:pt>
                <c:pt idx="77">
                  <c:v>6.1055291433327143</c:v>
                </c:pt>
                <c:pt idx="78">
                  <c:v>6.2101897671743593</c:v>
                </c:pt>
                <c:pt idx="79">
                  <c:v>6.4039065858211899</c:v>
                </c:pt>
                <c:pt idx="80">
                  <c:v>6.4811669806994123</c:v>
                </c:pt>
                <c:pt idx="81">
                  <c:v>6.5529845723997866</c:v>
                </c:pt>
                <c:pt idx="82">
                  <c:v>6.644593827963706</c:v>
                </c:pt>
                <c:pt idx="83">
                  <c:v>6.807250874650939</c:v>
                </c:pt>
                <c:pt idx="84">
                  <c:v>6.8461200145286289</c:v>
                </c:pt>
                <c:pt idx="85">
                  <c:v>6.8423476480282313</c:v>
                </c:pt>
                <c:pt idx="86">
                  <c:v>6.9384056796937541</c:v>
                </c:pt>
                <c:pt idx="87">
                  <c:v>6.9074161346355609</c:v>
                </c:pt>
                <c:pt idx="88">
                  <c:v>7.0101857462635122</c:v>
                </c:pt>
                <c:pt idx="89">
                  <c:v>7.1311288798050869</c:v>
                </c:pt>
                <c:pt idx="90">
                  <c:v>7.3594109656805484</c:v>
                </c:pt>
                <c:pt idx="91">
                  <c:v>7.522250074628559</c:v>
                </c:pt>
                <c:pt idx="92">
                  <c:v>7.560492750223502</c:v>
                </c:pt>
                <c:pt idx="93">
                  <c:v>7.754215157875711</c:v>
                </c:pt>
                <c:pt idx="94">
                  <c:v>7.8119058065271263</c:v>
                </c:pt>
                <c:pt idx="95">
                  <c:v>7.8887760332993491</c:v>
                </c:pt>
                <c:pt idx="96">
                  <c:v>8.0333408544754832</c:v>
                </c:pt>
                <c:pt idx="97">
                  <c:v>8.1603631226084907</c:v>
                </c:pt>
                <c:pt idx="98">
                  <c:v>8.2269216971068069</c:v>
                </c:pt>
                <c:pt idx="99">
                  <c:v>8.2884818829405855</c:v>
                </c:pt>
                <c:pt idx="100">
                  <c:v>8.35991434185296</c:v>
                </c:pt>
                <c:pt idx="101">
                  <c:v>8.4927572051547315</c:v>
                </c:pt>
                <c:pt idx="102">
                  <c:v>8.5711158360621642</c:v>
                </c:pt>
                <c:pt idx="103">
                  <c:v>8.6892305543473753</c:v>
                </c:pt>
                <c:pt idx="104">
                  <c:v>8.7256393358428816</c:v>
                </c:pt>
                <c:pt idx="105">
                  <c:v>8.7666535231622156</c:v>
                </c:pt>
                <c:pt idx="106">
                  <c:v>8.8050741106486665</c:v>
                </c:pt>
                <c:pt idx="107">
                  <c:v>9.1717661202626815</c:v>
                </c:pt>
                <c:pt idx="108">
                  <c:v>9.2265366043895547</c:v>
                </c:pt>
                <c:pt idx="109">
                  <c:v>9.4189379863486966</c:v>
                </c:pt>
                <c:pt idx="110">
                  <c:v>9.516901113827652</c:v>
                </c:pt>
                <c:pt idx="111">
                  <c:v>9.6630971899270648</c:v>
                </c:pt>
                <c:pt idx="112">
                  <c:v>9.7696244519294986</c:v>
                </c:pt>
                <c:pt idx="113">
                  <c:v>9.7657941778619062</c:v>
                </c:pt>
                <c:pt idx="114">
                  <c:v>9.7073370135717312</c:v>
                </c:pt>
                <c:pt idx="115">
                  <c:v>9.6906149494937104</c:v>
                </c:pt>
                <c:pt idx="116">
                  <c:v>9.9109351612850087</c:v>
                </c:pt>
                <c:pt idx="117">
                  <c:v>10.04442163356209</c:v>
                </c:pt>
                <c:pt idx="118">
                  <c:v>10.110171091745988</c:v>
                </c:pt>
                <c:pt idx="119">
                  <c:v>10.18701174651795</c:v>
                </c:pt>
                <c:pt idx="120">
                  <c:v>10.198289728773632</c:v>
                </c:pt>
                <c:pt idx="121">
                  <c:v>10.22089076361474</c:v>
                </c:pt>
                <c:pt idx="122">
                  <c:v>10.379605586331417</c:v>
                </c:pt>
                <c:pt idx="123">
                  <c:v>10.485246195131479</c:v>
                </c:pt>
                <c:pt idx="124">
                  <c:v>10.416609245179362</c:v>
                </c:pt>
                <c:pt idx="125">
                  <c:v>10.570212222641844</c:v>
                </c:pt>
                <c:pt idx="126">
                  <c:v>10.707045337580096</c:v>
                </c:pt>
                <c:pt idx="127">
                  <c:v>10.761675711736679</c:v>
                </c:pt>
                <c:pt idx="128">
                  <c:v>10.756937414498434</c:v>
                </c:pt>
                <c:pt idx="129">
                  <c:v>10.86690176894863</c:v>
                </c:pt>
                <c:pt idx="130">
                  <c:v>10.869665884374001</c:v>
                </c:pt>
                <c:pt idx="131">
                  <c:v>10.980143906239766</c:v>
                </c:pt>
                <c:pt idx="132">
                  <c:v>10.981255193912123</c:v>
                </c:pt>
                <c:pt idx="133">
                  <c:v>11.045209527601267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EB-4AEE-933E-F6C3E96DDA1C}"/>
            </c:ext>
          </c:extLst>
        </c:ser>
        <c:ser>
          <c:idx val="7"/>
          <c:order val="7"/>
          <c:tx>
            <c:strRef>
              <c:f>'畫圖(真實)'!$A$19:$B$19</c:f>
              <c:strCache>
                <c:ptCount val="2"/>
                <c:pt idx="0">
                  <c:v>160</c:v>
                </c:pt>
                <c:pt idx="1">
                  <c:v>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'畫圖(真實)'!$C$19:$EF$19</c:f>
              <c:numCache>
                <c:formatCode>General</c:formatCode>
                <c:ptCount val="134"/>
                <c:pt idx="0">
                  <c:v>0</c:v>
                </c:pt>
                <c:pt idx="1">
                  <c:v>0.40752071008946927</c:v>
                </c:pt>
                <c:pt idx="2">
                  <c:v>0.47333491741948708</c:v>
                </c:pt>
                <c:pt idx="3">
                  <c:v>0.29564625561392655</c:v>
                </c:pt>
                <c:pt idx="4">
                  <c:v>0.39171222747110396</c:v>
                </c:pt>
                <c:pt idx="5">
                  <c:v>0.56932254629375589</c:v>
                </c:pt>
                <c:pt idx="6">
                  <c:v>0.70397687918522234</c:v>
                </c:pt>
                <c:pt idx="7">
                  <c:v>0.73940646370541341</c:v>
                </c:pt>
                <c:pt idx="8">
                  <c:v>0.97819587842933009</c:v>
                </c:pt>
                <c:pt idx="9">
                  <c:v>0.94783304537330093</c:v>
                </c:pt>
                <c:pt idx="10">
                  <c:v>0.90414280921699364</c:v>
                </c:pt>
                <c:pt idx="11">
                  <c:v>1.436516846905235</c:v>
                </c:pt>
                <c:pt idx="12">
                  <c:v>1.4680787213941509</c:v>
                </c:pt>
                <c:pt idx="13">
                  <c:v>1.5606129075808479</c:v>
                </c:pt>
                <c:pt idx="14">
                  <c:v>1.7577759958453678</c:v>
                </c:pt>
                <c:pt idx="15">
                  <c:v>1.6674769052145115</c:v>
                </c:pt>
                <c:pt idx="16">
                  <c:v>1.8516370219121194</c:v>
                </c:pt>
                <c:pt idx="17">
                  <c:v>1.903101739157429</c:v>
                </c:pt>
                <c:pt idx="18">
                  <c:v>2.038800077789352</c:v>
                </c:pt>
                <c:pt idx="19">
                  <c:v>2.0754187655748035</c:v>
                </c:pt>
                <c:pt idx="20">
                  <c:v>2.1478343348943025</c:v>
                </c:pt>
                <c:pt idx="21">
                  <c:v>2.2972342082470298</c:v>
                </c:pt>
                <c:pt idx="22">
                  <c:v>2.2716055707188731</c:v>
                </c:pt>
                <c:pt idx="23">
                  <c:v>2.3632246812948967</c:v>
                </c:pt>
                <c:pt idx="24">
                  <c:v>2.4950575807759878</c:v>
                </c:pt>
                <c:pt idx="25">
                  <c:v>2.5973111866599305</c:v>
                </c:pt>
                <c:pt idx="26">
                  <c:v>2.6114527293685406</c:v>
                </c:pt>
                <c:pt idx="27">
                  <c:v>2.7074461071666089</c:v>
                </c:pt>
                <c:pt idx="28">
                  <c:v>3.0159389650919777</c:v>
                </c:pt>
                <c:pt idx="29">
                  <c:v>3.1847695458000209</c:v>
                </c:pt>
                <c:pt idx="30">
                  <c:v>3.2069057648725687</c:v>
                </c:pt>
                <c:pt idx="31">
                  <c:v>3.1503480496508653</c:v>
                </c:pt>
                <c:pt idx="32">
                  <c:v>3.24189671257554</c:v>
                </c:pt>
                <c:pt idx="33">
                  <c:v>3.1903514222482778</c:v>
                </c:pt>
                <c:pt idx="34">
                  <c:v>3.1979034647542304</c:v>
                </c:pt>
                <c:pt idx="35">
                  <c:v>3.1967672025728779</c:v>
                </c:pt>
                <c:pt idx="36">
                  <c:v>3.239873214384283</c:v>
                </c:pt>
                <c:pt idx="37">
                  <c:v>3.3234415087499651</c:v>
                </c:pt>
                <c:pt idx="38">
                  <c:v>3.3793316348790796</c:v>
                </c:pt>
                <c:pt idx="39">
                  <c:v>3.4669057551519318</c:v>
                </c:pt>
                <c:pt idx="40">
                  <c:v>3.4119802627783185</c:v>
                </c:pt>
                <c:pt idx="41">
                  <c:v>3.3373633651436596</c:v>
                </c:pt>
                <c:pt idx="42">
                  <c:v>3.2281644890905934</c:v>
                </c:pt>
                <c:pt idx="43">
                  <c:v>3.4127581529006514</c:v>
                </c:pt>
                <c:pt idx="44">
                  <c:v>3.6516023912996656</c:v>
                </c:pt>
                <c:pt idx="45">
                  <c:v>3.6485697816970575</c:v>
                </c:pt>
                <c:pt idx="46">
                  <c:v>3.7852631788259701</c:v>
                </c:pt>
                <c:pt idx="47">
                  <c:v>4.0093869741268264</c:v>
                </c:pt>
                <c:pt idx="48">
                  <c:v>4.0389159445202063</c:v>
                </c:pt>
                <c:pt idx="49">
                  <c:v>4.1229484167938457</c:v>
                </c:pt>
                <c:pt idx="50">
                  <c:v>4.309945194348626</c:v>
                </c:pt>
                <c:pt idx="51">
                  <c:v>4.6741061261418455</c:v>
                </c:pt>
                <c:pt idx="52">
                  <c:v>4.8586779155482729</c:v>
                </c:pt>
                <c:pt idx="53">
                  <c:v>4.8586042085803856</c:v>
                </c:pt>
                <c:pt idx="54">
                  <c:v>4.948084930340757</c:v>
                </c:pt>
                <c:pt idx="55">
                  <c:v>5.0898943653044988</c:v>
                </c:pt>
                <c:pt idx="56">
                  <c:v>5.2432031164742874</c:v>
                </c:pt>
                <c:pt idx="57">
                  <c:v>5.3837000224278606</c:v>
                </c:pt>
                <c:pt idx="58">
                  <c:v>5.5114986512470789</c:v>
                </c:pt>
                <c:pt idx="59">
                  <c:v>5.5633179596757483</c:v>
                </c:pt>
                <c:pt idx="60">
                  <c:v>5.4662795367303625</c:v>
                </c:pt>
                <c:pt idx="61">
                  <c:v>5.529444070477382</c:v>
                </c:pt>
                <c:pt idx="62">
                  <c:v>5.5612303353465276</c:v>
                </c:pt>
                <c:pt idx="63">
                  <c:v>5.47981707514636</c:v>
                </c:pt>
                <c:pt idx="64">
                  <c:v>5.5055460364114754</c:v>
                </c:pt>
                <c:pt idx="65">
                  <c:v>5.4931356951338746</c:v>
                </c:pt>
                <c:pt idx="66">
                  <c:v>5.5030697395881978</c:v>
                </c:pt>
                <c:pt idx="67">
                  <c:v>5.6399089751313429</c:v>
                </c:pt>
                <c:pt idx="68">
                  <c:v>5.636409043191704</c:v>
                </c:pt>
                <c:pt idx="69">
                  <c:v>5.6232153739885664</c:v>
                </c:pt>
                <c:pt idx="70">
                  <c:v>5.7538860088799542</c:v>
                </c:pt>
                <c:pt idx="71">
                  <c:v>5.7842368008458518</c:v>
                </c:pt>
                <c:pt idx="72">
                  <c:v>6.0916898076555857</c:v>
                </c:pt>
                <c:pt idx="73">
                  <c:v>6.0552909180967918</c:v>
                </c:pt>
                <c:pt idx="74">
                  <c:v>5.9754239910278457</c:v>
                </c:pt>
                <c:pt idx="75">
                  <c:v>6.0441261158498998</c:v>
                </c:pt>
                <c:pt idx="76">
                  <c:v>6.0734548710736744</c:v>
                </c:pt>
                <c:pt idx="77">
                  <c:v>6.2012930801745716</c:v>
                </c:pt>
                <c:pt idx="78">
                  <c:v>6.2237993130730889</c:v>
                </c:pt>
                <c:pt idx="79">
                  <c:v>6.4394185111668065</c:v>
                </c:pt>
                <c:pt idx="80">
                  <c:v>6.5278933701044748</c:v>
                </c:pt>
                <c:pt idx="81">
                  <c:v>6.6077977673105242</c:v>
                </c:pt>
                <c:pt idx="82">
                  <c:v>6.6649153921774813</c:v>
                </c:pt>
                <c:pt idx="83">
                  <c:v>6.8178052592274074</c:v>
                </c:pt>
                <c:pt idx="84">
                  <c:v>6.8548722053876023</c:v>
                </c:pt>
                <c:pt idx="85">
                  <c:v>6.8430602826256077</c:v>
                </c:pt>
                <c:pt idx="86">
                  <c:v>6.9618575455829426</c:v>
                </c:pt>
                <c:pt idx="87">
                  <c:v>6.9186172656081526</c:v>
                </c:pt>
                <c:pt idx="88">
                  <c:v>7.0288531443455202</c:v>
                </c:pt>
                <c:pt idx="89">
                  <c:v>7.1720463548150546</c:v>
                </c:pt>
                <c:pt idx="90">
                  <c:v>7.4232819860353692</c:v>
                </c:pt>
                <c:pt idx="91">
                  <c:v>7.5823145850177021</c:v>
                </c:pt>
                <c:pt idx="92">
                  <c:v>7.6147091925341206</c:v>
                </c:pt>
                <c:pt idx="93">
                  <c:v>7.7910159167803128</c:v>
                </c:pt>
                <c:pt idx="94">
                  <c:v>7.8452663663286462</c:v>
                </c:pt>
                <c:pt idx="95">
                  <c:v>7.8716875676169051</c:v>
                </c:pt>
                <c:pt idx="96">
                  <c:v>8.018295110877844</c:v>
                </c:pt>
                <c:pt idx="97">
                  <c:v>8.1128481188492234</c:v>
                </c:pt>
                <c:pt idx="98">
                  <c:v>8.1733639974222605</c:v>
                </c:pt>
                <c:pt idx="99">
                  <c:v>8.2309987237904458</c:v>
                </c:pt>
                <c:pt idx="100">
                  <c:v>8.304150061098408</c:v>
                </c:pt>
                <c:pt idx="101">
                  <c:v>8.417001889739872</c:v>
                </c:pt>
                <c:pt idx="102">
                  <c:v>8.4921843668435528</c:v>
                </c:pt>
                <c:pt idx="103">
                  <c:v>8.6401462136131695</c:v>
                </c:pt>
                <c:pt idx="104">
                  <c:v>8.6049668137110746</c:v>
                </c:pt>
                <c:pt idx="105">
                  <c:v>8.6111679389659042</c:v>
                </c:pt>
                <c:pt idx="106">
                  <c:v>8.6441863536216967</c:v>
                </c:pt>
                <c:pt idx="107">
                  <c:v>8.8496880992159923</c:v>
                </c:pt>
                <c:pt idx="108">
                  <c:v>8.9160623642104291</c:v>
                </c:pt>
                <c:pt idx="109">
                  <c:v>9.1406521449299163</c:v>
                </c:pt>
                <c:pt idx="110">
                  <c:v>9.249113583764677</c:v>
                </c:pt>
                <c:pt idx="111">
                  <c:v>9.414364052723748</c:v>
                </c:pt>
                <c:pt idx="112">
                  <c:v>9.5358063622341991</c:v>
                </c:pt>
                <c:pt idx="113">
                  <c:v>9.5238235763252259</c:v>
                </c:pt>
                <c:pt idx="114">
                  <c:v>9.4665231450868959</c:v>
                </c:pt>
                <c:pt idx="115">
                  <c:v>9.468998268184535</c:v>
                </c:pt>
                <c:pt idx="116">
                  <c:v>9.7182602198942796</c:v>
                </c:pt>
                <c:pt idx="117">
                  <c:v>9.8885283505742407</c:v>
                </c:pt>
                <c:pt idx="118">
                  <c:v>9.968902522412316</c:v>
                </c:pt>
                <c:pt idx="119">
                  <c:v>10.044864875737364</c:v>
                </c:pt>
                <c:pt idx="120">
                  <c:v>10.039187562218373</c:v>
                </c:pt>
                <c:pt idx="121">
                  <c:v>10.044220808738478</c:v>
                </c:pt>
                <c:pt idx="122">
                  <c:v>10.194802730694791</c:v>
                </c:pt>
                <c:pt idx="123">
                  <c:v>10.306327437135396</c:v>
                </c:pt>
                <c:pt idx="124">
                  <c:v>10.20503146818673</c:v>
                </c:pt>
                <c:pt idx="125">
                  <c:v>10.343396602424908</c:v>
                </c:pt>
                <c:pt idx="126">
                  <c:v>10.482645281110507</c:v>
                </c:pt>
                <c:pt idx="127">
                  <c:v>10.561183228733039</c:v>
                </c:pt>
                <c:pt idx="128">
                  <c:v>10.594102955928054</c:v>
                </c:pt>
                <c:pt idx="129">
                  <c:v>10.702856465566306</c:v>
                </c:pt>
                <c:pt idx="130">
                  <c:v>10.690666422342604</c:v>
                </c:pt>
                <c:pt idx="131">
                  <c:v>10.841601739332761</c:v>
                </c:pt>
                <c:pt idx="132">
                  <c:v>10.834295212655633</c:v>
                </c:pt>
                <c:pt idx="133">
                  <c:v>10.908318132053138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BEB-4AEE-933E-F6C3E96DDA1C}"/>
            </c:ext>
          </c:extLst>
        </c:ser>
        <c:ser>
          <c:idx val="8"/>
          <c:order val="8"/>
          <c:tx>
            <c:strRef>
              <c:f>'畫圖(真實)'!$A$20:$B$20</c:f>
              <c:strCache>
                <c:ptCount val="2"/>
                <c:pt idx="0">
                  <c:v>192</c:v>
                </c:pt>
                <c:pt idx="1">
                  <c:v>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'畫圖(真實)'!$C$20:$EF$20</c:f>
              <c:numCache>
                <c:formatCode>General</c:formatCode>
                <c:ptCount val="134"/>
                <c:pt idx="0">
                  <c:v>1</c:v>
                </c:pt>
                <c:pt idx="1">
                  <c:v>1.3820250200473498</c:v>
                </c:pt>
                <c:pt idx="2">
                  <c:v>1.4393613703741304</c:v>
                </c:pt>
                <c:pt idx="3">
                  <c:v>1.2338301060409562</c:v>
                </c:pt>
                <c:pt idx="4">
                  <c:v>1.3510132473298953</c:v>
                </c:pt>
                <c:pt idx="5">
                  <c:v>1.4949455295855707</c:v>
                </c:pt>
                <c:pt idx="6">
                  <c:v>1.6530950921866725</c:v>
                </c:pt>
                <c:pt idx="7">
                  <c:v>1.6875663509135288</c:v>
                </c:pt>
                <c:pt idx="8">
                  <c:v>1.9022908546746107</c:v>
                </c:pt>
                <c:pt idx="9">
                  <c:v>1.8715953716735152</c:v>
                </c:pt>
                <c:pt idx="10">
                  <c:v>1.7938771433822418</c:v>
                </c:pt>
                <c:pt idx="11">
                  <c:v>2.2938886213917158</c:v>
                </c:pt>
                <c:pt idx="12">
                  <c:v>2.3437535074609901</c:v>
                </c:pt>
                <c:pt idx="13">
                  <c:v>2.4349234351295155</c:v>
                </c:pt>
                <c:pt idx="14">
                  <c:v>2.6516491741324941</c:v>
                </c:pt>
                <c:pt idx="15">
                  <c:v>2.5423961184950254</c:v>
                </c:pt>
                <c:pt idx="16">
                  <c:v>2.6975787368227682</c:v>
                </c:pt>
                <c:pt idx="17">
                  <c:v>2.7830441925605838</c:v>
                </c:pt>
                <c:pt idx="18">
                  <c:v>2.9316938726783586</c:v>
                </c:pt>
                <c:pt idx="19">
                  <c:v>2.9443379757955475</c:v>
                </c:pt>
                <c:pt idx="20">
                  <c:v>3.0354228452280925</c:v>
                </c:pt>
                <c:pt idx="21">
                  <c:v>3.2458092581508775</c:v>
                </c:pt>
                <c:pt idx="22">
                  <c:v>3.2037417686122804</c:v>
                </c:pt>
                <c:pt idx="23">
                  <c:v>3.3093587290959396</c:v>
                </c:pt>
                <c:pt idx="24">
                  <c:v>3.4398420975765855</c:v>
                </c:pt>
                <c:pt idx="25">
                  <c:v>3.5246019383027587</c:v>
                </c:pt>
                <c:pt idx="26">
                  <c:v>3.5718502010307263</c:v>
                </c:pt>
                <c:pt idx="27">
                  <c:v>3.7016936197443906</c:v>
                </c:pt>
                <c:pt idx="28">
                  <c:v>3.8629148268995017</c:v>
                </c:pt>
                <c:pt idx="29">
                  <c:v>4.0864126465358748</c:v>
                </c:pt>
                <c:pt idx="30">
                  <c:v>4.1140718650757666</c:v>
                </c:pt>
                <c:pt idx="31">
                  <c:v>4.0238936643609842</c:v>
                </c:pt>
                <c:pt idx="32">
                  <c:v>4.1402304194163078</c:v>
                </c:pt>
                <c:pt idx="33">
                  <c:v>4.0782403848687601</c:v>
                </c:pt>
                <c:pt idx="34">
                  <c:v>4.0646452693727575</c:v>
                </c:pt>
                <c:pt idx="35">
                  <c:v>4.0590286430110165</c:v>
                </c:pt>
                <c:pt idx="36">
                  <c:v>4.092124623759819</c:v>
                </c:pt>
                <c:pt idx="37">
                  <c:v>4.1675948172788173</c:v>
                </c:pt>
                <c:pt idx="38">
                  <c:v>4.2167031119182168</c:v>
                </c:pt>
                <c:pt idx="39">
                  <c:v>4.3484335731736046</c:v>
                </c:pt>
                <c:pt idx="40">
                  <c:v>4.4213343193138259</c:v>
                </c:pt>
                <c:pt idx="41">
                  <c:v>4.4080450462239922</c:v>
                </c:pt>
                <c:pt idx="42">
                  <c:v>4.365753329775016</c:v>
                </c:pt>
                <c:pt idx="43">
                  <c:v>4.6048770772200864</c:v>
                </c:pt>
                <c:pt idx="44">
                  <c:v>4.886574949803288</c:v>
                </c:pt>
                <c:pt idx="45">
                  <c:v>4.8543283370165247</c:v>
                </c:pt>
                <c:pt idx="46">
                  <c:v>5.0793261777948695</c:v>
                </c:pt>
                <c:pt idx="47">
                  <c:v>5.2836653977554162</c:v>
                </c:pt>
                <c:pt idx="48">
                  <c:v>5.3223400961983254</c:v>
                </c:pt>
                <c:pt idx="49">
                  <c:v>5.4221443994706489</c:v>
                </c:pt>
                <c:pt idx="50">
                  <c:v>5.5734821249765618</c:v>
                </c:pt>
                <c:pt idx="51">
                  <c:v>5.9519289102859059</c:v>
                </c:pt>
                <c:pt idx="52">
                  <c:v>6.1920695852763199</c:v>
                </c:pt>
                <c:pt idx="53">
                  <c:v>6.2004297586428399</c:v>
                </c:pt>
                <c:pt idx="54">
                  <c:v>6.2987081333771959</c:v>
                </c:pt>
                <c:pt idx="55">
                  <c:v>6.4366793964461708</c:v>
                </c:pt>
                <c:pt idx="56">
                  <c:v>6.5307414520545111</c:v>
                </c:pt>
                <c:pt idx="57">
                  <c:v>6.6807987526179655</c:v>
                </c:pt>
                <c:pt idx="58">
                  <c:v>6.8125440197031404</c:v>
                </c:pt>
                <c:pt idx="59">
                  <c:v>6.8676999403219972</c:v>
                </c:pt>
                <c:pt idx="60">
                  <c:v>6.7500495679169754</c:v>
                </c:pt>
                <c:pt idx="61">
                  <c:v>6.8199090098541957</c:v>
                </c:pt>
                <c:pt idx="62">
                  <c:v>6.8673775613183849</c:v>
                </c:pt>
                <c:pt idx="63">
                  <c:v>6.886015588571551</c:v>
                </c:pt>
                <c:pt idx="64">
                  <c:v>6.8475538710555721</c:v>
                </c:pt>
                <c:pt idx="65">
                  <c:v>6.8548361185618969</c:v>
                </c:pt>
                <c:pt idx="66">
                  <c:v>6.8702878255227402</c:v>
                </c:pt>
                <c:pt idx="67">
                  <c:v>7.0514149069944017</c:v>
                </c:pt>
                <c:pt idx="68">
                  <c:v>7.0188787092695453</c:v>
                </c:pt>
                <c:pt idx="69">
                  <c:v>6.9664110859876391</c:v>
                </c:pt>
                <c:pt idx="70">
                  <c:v>7.1158520900329609</c:v>
                </c:pt>
                <c:pt idx="71">
                  <c:v>7.0343086482723622</c:v>
                </c:pt>
                <c:pt idx="72">
                  <c:v>7.3861381983207668</c:v>
                </c:pt>
                <c:pt idx="73">
                  <c:v>7.3332767765902416</c:v>
                </c:pt>
                <c:pt idx="74">
                  <c:v>7.3286374174405733</c:v>
                </c:pt>
                <c:pt idx="75">
                  <c:v>7.4189088217008567</c:v>
                </c:pt>
                <c:pt idx="76">
                  <c:v>7.4590115497526099</c:v>
                </c:pt>
                <c:pt idx="77">
                  <c:v>7.5855065955226291</c:v>
                </c:pt>
                <c:pt idx="78">
                  <c:v>7.5984217430007099</c:v>
                </c:pt>
                <c:pt idx="79">
                  <c:v>7.7794492404913074</c:v>
                </c:pt>
                <c:pt idx="80">
                  <c:v>7.8652274130937476</c:v>
                </c:pt>
                <c:pt idx="81">
                  <c:v>7.9461853502924242</c:v>
                </c:pt>
                <c:pt idx="82">
                  <c:v>8.0221555910355331</c:v>
                </c:pt>
                <c:pt idx="83">
                  <c:v>8.0940196166326714</c:v>
                </c:pt>
                <c:pt idx="84">
                  <c:v>8.124414290401754</c:v>
                </c:pt>
                <c:pt idx="85">
                  <c:v>8.0829043056178254</c:v>
                </c:pt>
                <c:pt idx="86">
                  <c:v>8.163493929558447</c:v>
                </c:pt>
                <c:pt idx="87">
                  <c:v>8.0713089953693178</c:v>
                </c:pt>
                <c:pt idx="88">
                  <c:v>8.168084801218555</c:v>
                </c:pt>
                <c:pt idx="89">
                  <c:v>8.3729766348596577</c:v>
                </c:pt>
                <c:pt idx="90">
                  <c:v>8.6695499399646874</c:v>
                </c:pt>
                <c:pt idx="91">
                  <c:v>8.8615811450737141</c:v>
                </c:pt>
                <c:pt idx="92">
                  <c:v>8.8846991903739969</c:v>
                </c:pt>
                <c:pt idx="93">
                  <c:v>9.0801853008589397</c:v>
                </c:pt>
                <c:pt idx="94">
                  <c:v>9.1773223995932618</c:v>
                </c:pt>
                <c:pt idx="95">
                  <c:v>9.2057368069898491</c:v>
                </c:pt>
                <c:pt idx="96">
                  <c:v>9.3524648160614756</c:v>
                </c:pt>
                <c:pt idx="97">
                  <c:v>9.47167894427416</c:v>
                </c:pt>
                <c:pt idx="98">
                  <c:v>9.5395826524490062</c:v>
                </c:pt>
                <c:pt idx="99">
                  <c:v>9.6298812033167707</c:v>
                </c:pt>
                <c:pt idx="100">
                  <c:v>9.7386140417188418</c:v>
                </c:pt>
                <c:pt idx="101">
                  <c:v>9.8937756868680395</c:v>
                </c:pt>
                <c:pt idx="102">
                  <c:v>9.9708573835215883</c:v>
                </c:pt>
                <c:pt idx="103">
                  <c:v>10.047825453292372</c:v>
                </c:pt>
                <c:pt idx="104">
                  <c:v>9.9982123840568171</c:v>
                </c:pt>
                <c:pt idx="105">
                  <c:v>10.001809568813767</c:v>
                </c:pt>
                <c:pt idx="106">
                  <c:v>10.012228290420619</c:v>
                </c:pt>
                <c:pt idx="107">
                  <c:v>10.257802495698204</c:v>
                </c:pt>
                <c:pt idx="108">
                  <c:v>10.310147308998022</c:v>
                </c:pt>
                <c:pt idx="109">
                  <c:v>10.588446162166965</c:v>
                </c:pt>
                <c:pt idx="110">
                  <c:v>10.72604192147964</c:v>
                </c:pt>
                <c:pt idx="111">
                  <c:v>10.862600013912337</c:v>
                </c:pt>
                <c:pt idx="112">
                  <c:v>10.947787553932841</c:v>
                </c:pt>
                <c:pt idx="113">
                  <c:v>10.928322180599221</c:v>
                </c:pt>
                <c:pt idx="114">
                  <c:v>10.858986073924104</c:v>
                </c:pt>
                <c:pt idx="115">
                  <c:v>10.917005280578303</c:v>
                </c:pt>
                <c:pt idx="116">
                  <c:v>11.175006644037314</c:v>
                </c:pt>
                <c:pt idx="117">
                  <c:v>11.375162078791703</c:v>
                </c:pt>
                <c:pt idx="118">
                  <c:v>11.432622260416403</c:v>
                </c:pt>
                <c:pt idx="119">
                  <c:v>11.511134920444693</c:v>
                </c:pt>
                <c:pt idx="120">
                  <c:v>11.503644224690934</c:v>
                </c:pt>
                <c:pt idx="121">
                  <c:v>11.473958885892092</c:v>
                </c:pt>
                <c:pt idx="122">
                  <c:v>11.650334054822489</c:v>
                </c:pt>
                <c:pt idx="123">
                  <c:v>11.779679526661347</c:v>
                </c:pt>
                <c:pt idx="124">
                  <c:v>11.676133358521541</c:v>
                </c:pt>
                <c:pt idx="125">
                  <c:v>11.829999688127856</c:v>
                </c:pt>
                <c:pt idx="126">
                  <c:v>11.951591145903258</c:v>
                </c:pt>
                <c:pt idx="127">
                  <c:v>12.041790792062233</c:v>
                </c:pt>
                <c:pt idx="128">
                  <c:v>12.035865192788899</c:v>
                </c:pt>
                <c:pt idx="129">
                  <c:v>12.118272335233318</c:v>
                </c:pt>
                <c:pt idx="130">
                  <c:v>12.15232191664726</c:v>
                </c:pt>
                <c:pt idx="131">
                  <c:v>12.32924077771427</c:v>
                </c:pt>
                <c:pt idx="132">
                  <c:v>12.327499797962416</c:v>
                </c:pt>
                <c:pt idx="133">
                  <c:v>12.413302858804665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BEB-4AEE-933E-F6C3E96DDA1C}"/>
            </c:ext>
          </c:extLst>
        </c:ser>
        <c:ser>
          <c:idx val="9"/>
          <c:order val="9"/>
          <c:tx>
            <c:strRef>
              <c:f>'畫圖(真實)'!$A$21:$B$21</c:f>
              <c:strCache>
                <c:ptCount val="2"/>
                <c:pt idx="0">
                  <c:v>241</c:v>
                </c:pt>
                <c:pt idx="1">
                  <c:v>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'畫圖(真實)'!$C$21:$EF$21</c:f>
              <c:numCache>
                <c:formatCode>General</c:formatCode>
                <c:ptCount val="134"/>
                <c:pt idx="0">
                  <c:v>1</c:v>
                </c:pt>
                <c:pt idx="1">
                  <c:v>1.1263879167668236</c:v>
                </c:pt>
                <c:pt idx="2">
                  <c:v>1.112697746481033</c:v>
                </c:pt>
                <c:pt idx="3">
                  <c:v>0.92865916487490308</c:v>
                </c:pt>
                <c:pt idx="4">
                  <c:v>1.0725013159874677</c:v>
                </c:pt>
                <c:pt idx="5">
                  <c:v>1.2346654037813056</c:v>
                </c:pt>
                <c:pt idx="6">
                  <c:v>1.3819210119087786</c:v>
                </c:pt>
                <c:pt idx="7">
                  <c:v>1.4423563376004209</c:v>
                </c:pt>
                <c:pt idx="8">
                  <c:v>1.6492363636038165</c:v>
                </c:pt>
                <c:pt idx="9">
                  <c:v>1.6542655169098772</c:v>
                </c:pt>
                <c:pt idx="10">
                  <c:v>1.5545809235016659</c:v>
                </c:pt>
                <c:pt idx="11">
                  <c:v>2.139472188122391</c:v>
                </c:pt>
                <c:pt idx="12">
                  <c:v>2.1738241775830818</c:v>
                </c:pt>
                <c:pt idx="13">
                  <c:v>2.3185967784727666</c:v>
                </c:pt>
                <c:pt idx="14">
                  <c:v>2.575906852567019</c:v>
                </c:pt>
                <c:pt idx="15">
                  <c:v>2.4803315414603886</c:v>
                </c:pt>
                <c:pt idx="16">
                  <c:v>2.6089218269103456</c:v>
                </c:pt>
                <c:pt idx="17">
                  <c:v>2.7073834996671429</c:v>
                </c:pt>
                <c:pt idx="18">
                  <c:v>2.793661917278901</c:v>
                </c:pt>
                <c:pt idx="19">
                  <c:v>2.8472195366449324</c:v>
                </c:pt>
                <c:pt idx="20">
                  <c:v>2.9717181554734404</c:v>
                </c:pt>
                <c:pt idx="21">
                  <c:v>3.1853490976785568</c:v>
                </c:pt>
                <c:pt idx="22">
                  <c:v>3.164516014786122</c:v>
                </c:pt>
                <c:pt idx="23">
                  <c:v>3.2787200020088463</c:v>
                </c:pt>
                <c:pt idx="24">
                  <c:v>3.389355909011325</c:v>
                </c:pt>
                <c:pt idx="25">
                  <c:v>3.5191954914083947</c:v>
                </c:pt>
                <c:pt idx="26">
                  <c:v>3.5380232281151947</c:v>
                </c:pt>
                <c:pt idx="27">
                  <c:v>3.6668478937627524</c:v>
                </c:pt>
                <c:pt idx="28">
                  <c:v>3.7949528725589983</c:v>
                </c:pt>
                <c:pt idx="29">
                  <c:v>4.0900971306423619</c:v>
                </c:pt>
                <c:pt idx="30">
                  <c:v>4.1343999084321563</c:v>
                </c:pt>
                <c:pt idx="31">
                  <c:v>4.026818545867358</c:v>
                </c:pt>
                <c:pt idx="32">
                  <c:v>4.1289422213788418</c:v>
                </c:pt>
                <c:pt idx="33">
                  <c:v>4.0585368794323733</c:v>
                </c:pt>
                <c:pt idx="34">
                  <c:v>4.0227337118142632</c:v>
                </c:pt>
                <c:pt idx="35">
                  <c:v>4.0425145253741146</c:v>
                </c:pt>
                <c:pt idx="36">
                  <c:v>4.1110503328217449</c:v>
                </c:pt>
                <c:pt idx="37">
                  <c:v>4.2230063888848388</c:v>
                </c:pt>
                <c:pt idx="38">
                  <c:v>4.3085741637987258</c:v>
                </c:pt>
                <c:pt idx="39">
                  <c:v>4.381109307368745</c:v>
                </c:pt>
                <c:pt idx="40">
                  <c:v>4.5143357675777143</c:v>
                </c:pt>
                <c:pt idx="41">
                  <c:v>4.5623239089810248</c:v>
                </c:pt>
                <c:pt idx="42">
                  <c:v>4.5169172269210165</c:v>
                </c:pt>
                <c:pt idx="43">
                  <c:v>4.7817554844690138</c:v>
                </c:pt>
                <c:pt idx="44">
                  <c:v>5.1282367484324407</c:v>
                </c:pt>
                <c:pt idx="45">
                  <c:v>5.0595228357359607</c:v>
                </c:pt>
                <c:pt idx="46">
                  <c:v>5.3227777521097757</c:v>
                </c:pt>
                <c:pt idx="47">
                  <c:v>5.5404960546268134</c:v>
                </c:pt>
                <c:pt idx="48">
                  <c:v>5.5875173456048515</c:v>
                </c:pt>
                <c:pt idx="49">
                  <c:v>5.6960197040194576</c:v>
                </c:pt>
                <c:pt idx="50">
                  <c:v>5.8356123861807845</c:v>
                </c:pt>
                <c:pt idx="51">
                  <c:v>6.2400438143139336</c:v>
                </c:pt>
                <c:pt idx="52">
                  <c:v>6.40450434624276</c:v>
                </c:pt>
                <c:pt idx="53">
                  <c:v>6.4427234935106741</c:v>
                </c:pt>
                <c:pt idx="54">
                  <c:v>6.5794688494186389</c:v>
                </c:pt>
                <c:pt idx="55">
                  <c:v>6.7785860658492423</c:v>
                </c:pt>
                <c:pt idx="56">
                  <c:v>6.8708716373564958</c:v>
                </c:pt>
                <c:pt idx="57">
                  <c:v>6.9777137469939259</c:v>
                </c:pt>
                <c:pt idx="58">
                  <c:v>7.1436833431723175</c:v>
                </c:pt>
                <c:pt idx="59">
                  <c:v>7.1660774055364271</c:v>
                </c:pt>
                <c:pt idx="60">
                  <c:v>7.0933542907877127</c:v>
                </c:pt>
                <c:pt idx="61">
                  <c:v>7.1806950812554113</c:v>
                </c:pt>
                <c:pt idx="62">
                  <c:v>7.2214903672841322</c:v>
                </c:pt>
                <c:pt idx="63">
                  <c:v>7.2472811337325789</c:v>
                </c:pt>
                <c:pt idx="64">
                  <c:v>7.1834238973188986</c:v>
                </c:pt>
                <c:pt idx="65">
                  <c:v>7.1792430949873056</c:v>
                </c:pt>
                <c:pt idx="66">
                  <c:v>7.2337853258218106</c:v>
                </c:pt>
                <c:pt idx="67">
                  <c:v>7.375846781731906</c:v>
                </c:pt>
                <c:pt idx="68">
                  <c:v>7.3101049607715582</c:v>
                </c:pt>
                <c:pt idx="69">
                  <c:v>7.2492842182290333</c:v>
                </c:pt>
                <c:pt idx="70">
                  <c:v>7.4200227287794513</c:v>
                </c:pt>
                <c:pt idx="71">
                  <c:v>7.3756827487381775</c:v>
                </c:pt>
                <c:pt idx="72">
                  <c:v>7.560143419458587</c:v>
                </c:pt>
                <c:pt idx="73">
                  <c:v>7.48297841693799</c:v>
                </c:pt>
                <c:pt idx="74">
                  <c:v>7.427312124695753</c:v>
                </c:pt>
                <c:pt idx="75">
                  <c:v>7.4749750534164683</c:v>
                </c:pt>
                <c:pt idx="76">
                  <c:v>7.5354926567188665</c:v>
                </c:pt>
                <c:pt idx="77">
                  <c:v>7.7433625046204542</c:v>
                </c:pt>
                <c:pt idx="78">
                  <c:v>7.7353435503494881</c:v>
                </c:pt>
                <c:pt idx="79">
                  <c:v>8.0233996147119608</c:v>
                </c:pt>
                <c:pt idx="80">
                  <c:v>8.0849144970661158</c:v>
                </c:pt>
                <c:pt idx="81">
                  <c:v>8.2161801738671887</c:v>
                </c:pt>
                <c:pt idx="82">
                  <c:v>8.3012655093413201</c:v>
                </c:pt>
                <c:pt idx="83">
                  <c:v>8.3813658304175327</c:v>
                </c:pt>
                <c:pt idx="84">
                  <c:v>8.461865446808515</c:v>
                </c:pt>
                <c:pt idx="85">
                  <c:v>8.406724598247358</c:v>
                </c:pt>
                <c:pt idx="86">
                  <c:v>8.4738842285442129</c:v>
                </c:pt>
                <c:pt idx="87">
                  <c:v>8.3399938039212476</c:v>
                </c:pt>
                <c:pt idx="88">
                  <c:v>8.4562256231018065</c:v>
                </c:pt>
                <c:pt idx="89">
                  <c:v>8.5370771319312393</c:v>
                </c:pt>
                <c:pt idx="90">
                  <c:v>8.8725608901261186</c:v>
                </c:pt>
                <c:pt idx="91">
                  <c:v>9.0952609510040308</c:v>
                </c:pt>
                <c:pt idx="92">
                  <c:v>9.1181731451735271</c:v>
                </c:pt>
                <c:pt idx="93">
                  <c:v>9.3572331115347946</c:v>
                </c:pt>
                <c:pt idx="94">
                  <c:v>9.4185021477541255</c:v>
                </c:pt>
                <c:pt idx="95">
                  <c:v>9.4664952518271299</c:v>
                </c:pt>
                <c:pt idx="96">
                  <c:v>9.6254118741445804</c:v>
                </c:pt>
                <c:pt idx="97">
                  <c:v>9.7797437189191534</c:v>
                </c:pt>
                <c:pt idx="98">
                  <c:v>9.8180892357908363</c:v>
                </c:pt>
                <c:pt idx="99">
                  <c:v>9.9202114114482427</c:v>
                </c:pt>
                <c:pt idx="100">
                  <c:v>10.022716572529806</c:v>
                </c:pt>
                <c:pt idx="101">
                  <c:v>10.260167943355636</c:v>
                </c:pt>
                <c:pt idx="102">
                  <c:v>10.301877007419563</c:v>
                </c:pt>
                <c:pt idx="103">
                  <c:v>10.373338221193562</c:v>
                </c:pt>
                <c:pt idx="104">
                  <c:v>10.328290661970271</c:v>
                </c:pt>
                <c:pt idx="105">
                  <c:v>10.331109456361343</c:v>
                </c:pt>
                <c:pt idx="106">
                  <c:v>10.36008719342167</c:v>
                </c:pt>
                <c:pt idx="107">
                  <c:v>10.661237405103714</c:v>
                </c:pt>
                <c:pt idx="108">
                  <c:v>10.720646923948628</c:v>
                </c:pt>
                <c:pt idx="109">
                  <c:v>10.802083112228656</c:v>
                </c:pt>
                <c:pt idx="110">
                  <c:v>10.98192293739606</c:v>
                </c:pt>
                <c:pt idx="111">
                  <c:v>11.138528655859702</c:v>
                </c:pt>
                <c:pt idx="112">
                  <c:v>11.229424246766648</c:v>
                </c:pt>
                <c:pt idx="113">
                  <c:v>11.216687255265635</c:v>
                </c:pt>
                <c:pt idx="114">
                  <c:v>11.19169845282349</c:v>
                </c:pt>
                <c:pt idx="115">
                  <c:v>11.262896065317483</c:v>
                </c:pt>
                <c:pt idx="116">
                  <c:v>11.594522870196128</c:v>
                </c:pt>
                <c:pt idx="117">
                  <c:v>11.823542759876362</c:v>
                </c:pt>
                <c:pt idx="118">
                  <c:v>11.893965458684546</c:v>
                </c:pt>
                <c:pt idx="119">
                  <c:v>11.944136317721627</c:v>
                </c:pt>
                <c:pt idx="120">
                  <c:v>11.942464223042306</c:v>
                </c:pt>
                <c:pt idx="121">
                  <c:v>11.937249032695627</c:v>
                </c:pt>
                <c:pt idx="122">
                  <c:v>12.08586374933404</c:v>
                </c:pt>
                <c:pt idx="123">
                  <c:v>12.226139726203918</c:v>
                </c:pt>
                <c:pt idx="124">
                  <c:v>12.122605233607615</c:v>
                </c:pt>
                <c:pt idx="125">
                  <c:v>12.308571447638798</c:v>
                </c:pt>
                <c:pt idx="126">
                  <c:v>12.47530241872739</c:v>
                </c:pt>
                <c:pt idx="127">
                  <c:v>12.574232992387294</c:v>
                </c:pt>
                <c:pt idx="128">
                  <c:v>12.539166535202058</c:v>
                </c:pt>
                <c:pt idx="129">
                  <c:v>12.565468729200592</c:v>
                </c:pt>
                <c:pt idx="130">
                  <c:v>12.579505784298634</c:v>
                </c:pt>
                <c:pt idx="131">
                  <c:v>12.634004640646815</c:v>
                </c:pt>
                <c:pt idx="132">
                  <c:v>12.655315232954683</c:v>
                </c:pt>
                <c:pt idx="133">
                  <c:v>12.684112459374354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BEB-4AEE-933E-F6C3E96DDA1C}"/>
            </c:ext>
          </c:extLst>
        </c:ser>
        <c:ser>
          <c:idx val="10"/>
          <c:order val="10"/>
          <c:tx>
            <c:strRef>
              <c:f>'畫圖(真實)'!$A$22:$B$22</c:f>
              <c:strCache>
                <c:ptCount val="2"/>
                <c:pt idx="0">
                  <c:v>321</c:v>
                </c:pt>
                <c:pt idx="1">
                  <c:v>3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'畫圖(真實)'!$C$22:$EF$22</c:f>
              <c:numCache>
                <c:formatCode>General</c:formatCode>
                <c:ptCount val="134"/>
                <c:pt idx="0">
                  <c:v>1</c:v>
                </c:pt>
                <c:pt idx="1">
                  <c:v>1.1424278520773985</c:v>
                </c:pt>
                <c:pt idx="2">
                  <c:v>1.1250727531609395</c:v>
                </c:pt>
                <c:pt idx="3">
                  <c:v>1.0572416922396619</c:v>
                </c:pt>
                <c:pt idx="4">
                  <c:v>1.161126055529996</c:v>
                </c:pt>
                <c:pt idx="5">
                  <c:v>1.2853041184906424</c:v>
                </c:pt>
                <c:pt idx="6">
                  <c:v>1.4087972878287123</c:v>
                </c:pt>
                <c:pt idx="7">
                  <c:v>1.4613958770940552</c:v>
                </c:pt>
                <c:pt idx="8">
                  <c:v>1.7067617897768108</c:v>
                </c:pt>
                <c:pt idx="9">
                  <c:v>1.6924885810918286</c:v>
                </c:pt>
                <c:pt idx="10">
                  <c:v>1.6183885223212562</c:v>
                </c:pt>
                <c:pt idx="11">
                  <c:v>2.374531965438595</c:v>
                </c:pt>
                <c:pt idx="12">
                  <c:v>2.3678160871272276</c:v>
                </c:pt>
                <c:pt idx="13">
                  <c:v>2.4405989712560445</c:v>
                </c:pt>
                <c:pt idx="14">
                  <c:v>2.7173758650890965</c:v>
                </c:pt>
                <c:pt idx="15">
                  <c:v>2.6807474308175085</c:v>
                </c:pt>
                <c:pt idx="16">
                  <c:v>2.8503939863754493</c:v>
                </c:pt>
                <c:pt idx="17">
                  <c:v>2.9792064083585723</c:v>
                </c:pt>
                <c:pt idx="18">
                  <c:v>3.0897964317610764</c:v>
                </c:pt>
                <c:pt idx="19">
                  <c:v>3.1280832082809318</c:v>
                </c:pt>
                <c:pt idx="20">
                  <c:v>3.2861309614448824</c:v>
                </c:pt>
                <c:pt idx="21">
                  <c:v>3.5079177204787526</c:v>
                </c:pt>
                <c:pt idx="22">
                  <c:v>3.4921855120652316</c:v>
                </c:pt>
                <c:pt idx="23">
                  <c:v>3.5677337812110776</c:v>
                </c:pt>
                <c:pt idx="24">
                  <c:v>3.6502582067891907</c:v>
                </c:pt>
                <c:pt idx="25">
                  <c:v>3.7846944195025163</c:v>
                </c:pt>
                <c:pt idx="26">
                  <c:v>3.8704708802179488</c:v>
                </c:pt>
                <c:pt idx="27">
                  <c:v>3.8840436689903099</c:v>
                </c:pt>
                <c:pt idx="28">
                  <c:v>4.0148675118066439</c:v>
                </c:pt>
                <c:pt idx="29">
                  <c:v>4.4447842798552557</c:v>
                </c:pt>
                <c:pt idx="30">
                  <c:v>4.49762582003099</c:v>
                </c:pt>
                <c:pt idx="31">
                  <c:v>4.3917598606105175</c:v>
                </c:pt>
                <c:pt idx="32">
                  <c:v>4.5027635718374661</c:v>
                </c:pt>
                <c:pt idx="33">
                  <c:v>4.4710637225110581</c:v>
                </c:pt>
                <c:pt idx="34">
                  <c:v>4.5723522832514538</c:v>
                </c:pt>
                <c:pt idx="35">
                  <c:v>4.5629125447777437</c:v>
                </c:pt>
                <c:pt idx="36">
                  <c:v>4.6470014482454474</c:v>
                </c:pt>
                <c:pt idx="37">
                  <c:v>4.7581342579090062</c:v>
                </c:pt>
                <c:pt idx="38">
                  <c:v>4.9162871332027329</c:v>
                </c:pt>
                <c:pt idx="39">
                  <c:v>4.9788234870907253</c:v>
                </c:pt>
                <c:pt idx="40">
                  <c:v>5.0889551993820037</c:v>
                </c:pt>
                <c:pt idx="41">
                  <c:v>5.1568796870856071</c:v>
                </c:pt>
                <c:pt idx="42">
                  <c:v>5.2307233897714402</c:v>
                </c:pt>
                <c:pt idx="43">
                  <c:v>5.2484517607658772</c:v>
                </c:pt>
                <c:pt idx="44">
                  <c:v>5.6778055454442233</c:v>
                </c:pt>
                <c:pt idx="45">
                  <c:v>5.5880515635725905</c:v>
                </c:pt>
                <c:pt idx="46">
                  <c:v>5.9588508422637636</c:v>
                </c:pt>
                <c:pt idx="47">
                  <c:v>5.94897565625807</c:v>
                </c:pt>
                <c:pt idx="48">
                  <c:v>6.0207090415923004</c:v>
                </c:pt>
                <c:pt idx="49">
                  <c:v>6.175897445635834</c:v>
                </c:pt>
                <c:pt idx="50">
                  <c:v>6.2256724032200212</c:v>
                </c:pt>
                <c:pt idx="51">
                  <c:v>6.7439364526700585</c:v>
                </c:pt>
                <c:pt idx="52">
                  <c:v>6.9395624880205764</c:v>
                </c:pt>
                <c:pt idx="53">
                  <c:v>7.0188220329400126</c:v>
                </c:pt>
                <c:pt idx="54">
                  <c:v>7.146889916905673</c:v>
                </c:pt>
                <c:pt idx="55">
                  <c:v>7.3459923654541113</c:v>
                </c:pt>
                <c:pt idx="56">
                  <c:v>7.3047608963013309</c:v>
                </c:pt>
                <c:pt idx="57">
                  <c:v>7.432467905697747</c:v>
                </c:pt>
                <c:pt idx="58">
                  <c:v>7.5435566251076542</c:v>
                </c:pt>
                <c:pt idx="59">
                  <c:v>7.5844469567871782</c:v>
                </c:pt>
                <c:pt idx="60">
                  <c:v>7.5361317157355137</c:v>
                </c:pt>
                <c:pt idx="61">
                  <c:v>7.6756031061363776</c:v>
                </c:pt>
                <c:pt idx="62">
                  <c:v>7.6780335893819105</c:v>
                </c:pt>
                <c:pt idx="63">
                  <c:v>7.760971488582233</c:v>
                </c:pt>
                <c:pt idx="64">
                  <c:v>7.7104870594694823</c:v>
                </c:pt>
                <c:pt idx="65">
                  <c:v>7.7099460593449507</c:v>
                </c:pt>
                <c:pt idx="66">
                  <c:v>7.737776156743263</c:v>
                </c:pt>
                <c:pt idx="67">
                  <c:v>7.8443429387109536</c:v>
                </c:pt>
                <c:pt idx="68">
                  <c:v>7.7472953490064089</c:v>
                </c:pt>
                <c:pt idx="69">
                  <c:v>7.836021543339192</c:v>
                </c:pt>
                <c:pt idx="70">
                  <c:v>7.9403721264215568</c:v>
                </c:pt>
                <c:pt idx="71">
                  <c:v>7.8917685918324789</c:v>
                </c:pt>
                <c:pt idx="72">
                  <c:v>8.0239403833682594</c:v>
                </c:pt>
                <c:pt idx="73">
                  <c:v>7.9109114844638944</c:v>
                </c:pt>
                <c:pt idx="74">
                  <c:v>7.8553144344935237</c:v>
                </c:pt>
                <c:pt idx="75">
                  <c:v>7.9025721703564162</c:v>
                </c:pt>
                <c:pt idx="76">
                  <c:v>7.93006224883674</c:v>
                </c:pt>
                <c:pt idx="77">
                  <c:v>8.1848015045516007</c:v>
                </c:pt>
                <c:pt idx="78">
                  <c:v>8.059697509231567</c:v>
                </c:pt>
                <c:pt idx="79">
                  <c:v>8.3935755459442891</c:v>
                </c:pt>
                <c:pt idx="80">
                  <c:v>8.4604156915811064</c:v>
                </c:pt>
                <c:pt idx="81">
                  <c:v>8.6492154773413841</c:v>
                </c:pt>
                <c:pt idx="82">
                  <c:v>8.856300809974897</c:v>
                </c:pt>
                <c:pt idx="83">
                  <c:v>8.972219581254345</c:v>
                </c:pt>
                <c:pt idx="84">
                  <c:v>9.0899993275327038</c:v>
                </c:pt>
                <c:pt idx="85">
                  <c:v>8.9636739682541169</c:v>
                </c:pt>
                <c:pt idx="86">
                  <c:v>9.074597508540899</c:v>
                </c:pt>
                <c:pt idx="87">
                  <c:v>8.8339457099158576</c:v>
                </c:pt>
                <c:pt idx="88">
                  <c:v>9.0537781951133205</c:v>
                </c:pt>
                <c:pt idx="89">
                  <c:v>9.2065821119235274</c:v>
                </c:pt>
                <c:pt idx="90">
                  <c:v>9.4786416100704027</c:v>
                </c:pt>
                <c:pt idx="91">
                  <c:v>9.7380501670398054</c:v>
                </c:pt>
                <c:pt idx="92">
                  <c:v>9.7552097825589286</c:v>
                </c:pt>
                <c:pt idx="93">
                  <c:v>10.001982552550816</c:v>
                </c:pt>
                <c:pt idx="94">
                  <c:v>10.086764488435181</c:v>
                </c:pt>
                <c:pt idx="95">
                  <c:v>10.125027103010456</c:v>
                </c:pt>
                <c:pt idx="96">
                  <c:v>10.292381014196824</c:v>
                </c:pt>
                <c:pt idx="97">
                  <c:v>10.458603692886378</c:v>
                </c:pt>
                <c:pt idx="98">
                  <c:v>10.481487735218362</c:v>
                </c:pt>
                <c:pt idx="99">
                  <c:v>10.48523732848621</c:v>
                </c:pt>
                <c:pt idx="100">
                  <c:v>10.589748154554272</c:v>
                </c:pt>
                <c:pt idx="101">
                  <c:v>10.85266863915351</c:v>
                </c:pt>
                <c:pt idx="102">
                  <c:v>10.885122633963649</c:v>
                </c:pt>
                <c:pt idx="103">
                  <c:v>10.939164255674171</c:v>
                </c:pt>
                <c:pt idx="104">
                  <c:v>10.918439471230014</c:v>
                </c:pt>
                <c:pt idx="105">
                  <c:v>10.950149640355839</c:v>
                </c:pt>
                <c:pt idx="106">
                  <c:v>10.932393136853907</c:v>
                </c:pt>
                <c:pt idx="107">
                  <c:v>11.322060770548031</c:v>
                </c:pt>
                <c:pt idx="108">
                  <c:v>11.393950269965034</c:v>
                </c:pt>
                <c:pt idx="109">
                  <c:v>11.475404651580941</c:v>
                </c:pt>
                <c:pt idx="110">
                  <c:v>11.53552676285153</c:v>
                </c:pt>
                <c:pt idx="111">
                  <c:v>11.68922652568186</c:v>
                </c:pt>
                <c:pt idx="112">
                  <c:v>11.780654930741372</c:v>
                </c:pt>
                <c:pt idx="113">
                  <c:v>11.777441599998234</c:v>
                </c:pt>
                <c:pt idx="114">
                  <c:v>11.745556890708503</c:v>
                </c:pt>
                <c:pt idx="115">
                  <c:v>11.792320218912511</c:v>
                </c:pt>
                <c:pt idx="116">
                  <c:v>11.868036034967417</c:v>
                </c:pt>
                <c:pt idx="117">
                  <c:v>12.037598467108149</c:v>
                </c:pt>
                <c:pt idx="118">
                  <c:v>12.203002633652789</c:v>
                </c:pt>
                <c:pt idx="119">
                  <c:v>12.196910081037471</c:v>
                </c:pt>
                <c:pt idx="120">
                  <c:v>12.160563818787935</c:v>
                </c:pt>
                <c:pt idx="121">
                  <c:v>12.187692572766105</c:v>
                </c:pt>
                <c:pt idx="122">
                  <c:v>12.349239483648836</c:v>
                </c:pt>
                <c:pt idx="123">
                  <c:v>12.474944601327014</c:v>
                </c:pt>
                <c:pt idx="124">
                  <c:v>12.39352918794709</c:v>
                </c:pt>
                <c:pt idx="125">
                  <c:v>12.615971796395385</c:v>
                </c:pt>
                <c:pt idx="126">
                  <c:v>12.735927821114046</c:v>
                </c:pt>
                <c:pt idx="127">
                  <c:v>12.846762325901757</c:v>
                </c:pt>
                <c:pt idx="128">
                  <c:v>12.812571083491884</c:v>
                </c:pt>
                <c:pt idx="129">
                  <c:v>12.942337033797953</c:v>
                </c:pt>
                <c:pt idx="130">
                  <c:v>12.963832135373591</c:v>
                </c:pt>
                <c:pt idx="131">
                  <c:v>13.041245702431199</c:v>
                </c:pt>
                <c:pt idx="132">
                  <c:v>13.088882361815898</c:v>
                </c:pt>
                <c:pt idx="133">
                  <c:v>13.125477830947677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BEB-4AEE-933E-F6C3E96DDA1C}"/>
            </c:ext>
          </c:extLst>
        </c:ser>
        <c:ser>
          <c:idx val="11"/>
          <c:order val="11"/>
          <c:tx>
            <c:strRef>
              <c:f>'畫圖(真實)'!$A$23:$B$23</c:f>
              <c:strCache>
                <c:ptCount val="2"/>
                <c:pt idx="0">
                  <c:v>482</c:v>
                </c:pt>
                <c:pt idx="1">
                  <c:v>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'畫圖(真實)'!$C$23:$EF$23</c:f>
              <c:numCache>
                <c:formatCode>General</c:formatCode>
                <c:ptCount val="134"/>
                <c:pt idx="0">
                  <c:v>1</c:v>
                </c:pt>
                <c:pt idx="1">
                  <c:v>1.2540926274514612</c:v>
                </c:pt>
                <c:pt idx="2">
                  <c:v>1.3870978215076322</c:v>
                </c:pt>
                <c:pt idx="3">
                  <c:v>1.2047017461867535</c:v>
                </c:pt>
                <c:pt idx="4">
                  <c:v>1.1777301776623854</c:v>
                </c:pt>
                <c:pt idx="5">
                  <c:v>1.1595417068209009</c:v>
                </c:pt>
                <c:pt idx="6">
                  <c:v>1.3076937354211948</c:v>
                </c:pt>
                <c:pt idx="7">
                  <c:v>1.2095314442747425</c:v>
                </c:pt>
                <c:pt idx="8">
                  <c:v>1.3521390193993974</c:v>
                </c:pt>
                <c:pt idx="9">
                  <c:v>1.3013681856942145</c:v>
                </c:pt>
                <c:pt idx="10">
                  <c:v>1.0429182693355721</c:v>
                </c:pt>
                <c:pt idx="11">
                  <c:v>2.0188197126068523</c:v>
                </c:pt>
                <c:pt idx="12">
                  <c:v>1.9994120013400831</c:v>
                </c:pt>
                <c:pt idx="13">
                  <c:v>2.0898137125222087</c:v>
                </c:pt>
                <c:pt idx="14">
                  <c:v>2.0302456956216881</c:v>
                </c:pt>
                <c:pt idx="15">
                  <c:v>1.9740345523084331</c:v>
                </c:pt>
                <c:pt idx="16">
                  <c:v>2.0877590851356951</c:v>
                </c:pt>
                <c:pt idx="17">
                  <c:v>2.2423617784631236</c:v>
                </c:pt>
                <c:pt idx="18">
                  <c:v>2.336119200903918</c:v>
                </c:pt>
                <c:pt idx="19">
                  <c:v>2.3130897437941269</c:v>
                </c:pt>
                <c:pt idx="20">
                  <c:v>2.5726370674711863</c:v>
                </c:pt>
                <c:pt idx="21">
                  <c:v>2.7544182532690091</c:v>
                </c:pt>
                <c:pt idx="22">
                  <c:v>2.7397584517385187</c:v>
                </c:pt>
                <c:pt idx="23">
                  <c:v>2.7727909671823938</c:v>
                </c:pt>
                <c:pt idx="24">
                  <c:v>2.7160425212222834</c:v>
                </c:pt>
                <c:pt idx="25">
                  <c:v>2.7800823010990667</c:v>
                </c:pt>
                <c:pt idx="26">
                  <c:v>2.9488371007359793</c:v>
                </c:pt>
                <c:pt idx="27">
                  <c:v>3.0204659688216533</c:v>
                </c:pt>
                <c:pt idx="28">
                  <c:v>3.1576779575793132</c:v>
                </c:pt>
                <c:pt idx="29">
                  <c:v>3.4823372832195245</c:v>
                </c:pt>
                <c:pt idx="30">
                  <c:v>3.5742109408658846</c:v>
                </c:pt>
                <c:pt idx="31">
                  <c:v>3.4900393563427015</c:v>
                </c:pt>
                <c:pt idx="32">
                  <c:v>3.6991909549629653</c:v>
                </c:pt>
                <c:pt idx="33">
                  <c:v>3.7048340928111196</c:v>
                </c:pt>
                <c:pt idx="34">
                  <c:v>3.8189451921583109</c:v>
                </c:pt>
                <c:pt idx="35">
                  <c:v>3.8048785990513063</c:v>
                </c:pt>
                <c:pt idx="36">
                  <c:v>3.8126480880561715</c:v>
                </c:pt>
                <c:pt idx="37">
                  <c:v>4.0549627874134719</c:v>
                </c:pt>
                <c:pt idx="38">
                  <c:v>4.1457452669430896</c:v>
                </c:pt>
                <c:pt idx="39">
                  <c:v>4.1426241675907836</c:v>
                </c:pt>
                <c:pt idx="40">
                  <c:v>4.2420048066035356</c:v>
                </c:pt>
                <c:pt idx="41">
                  <c:v>4.3881409709429029</c:v>
                </c:pt>
                <c:pt idx="42">
                  <c:v>4.4698045917234728</c:v>
                </c:pt>
                <c:pt idx="43">
                  <c:v>4.5793104946883734</c:v>
                </c:pt>
                <c:pt idx="44">
                  <c:v>5.1876425389378502</c:v>
                </c:pt>
                <c:pt idx="45">
                  <c:v>5.1384924723085579</c:v>
                </c:pt>
                <c:pt idx="46">
                  <c:v>5.7207524464827726</c:v>
                </c:pt>
                <c:pt idx="47">
                  <c:v>5.7059396674742322</c:v>
                </c:pt>
                <c:pt idx="48">
                  <c:v>5.8761736483148139</c:v>
                </c:pt>
                <c:pt idx="49">
                  <c:v>5.9542452248360211</c:v>
                </c:pt>
                <c:pt idx="50">
                  <c:v>6.0082435634658786</c:v>
                </c:pt>
                <c:pt idx="51">
                  <c:v>6.6942668931456124</c:v>
                </c:pt>
                <c:pt idx="52">
                  <c:v>6.9471360750455515</c:v>
                </c:pt>
                <c:pt idx="53">
                  <c:v>7.0731088595200475</c:v>
                </c:pt>
                <c:pt idx="54">
                  <c:v>7.1974010025459467</c:v>
                </c:pt>
                <c:pt idx="55">
                  <c:v>7.4074101154063978</c:v>
                </c:pt>
                <c:pt idx="56">
                  <c:v>7.4457329428255434</c:v>
                </c:pt>
                <c:pt idx="57">
                  <c:v>7.5090981385287821</c:v>
                </c:pt>
                <c:pt idx="58">
                  <c:v>7.7002102178519811</c:v>
                </c:pt>
                <c:pt idx="59">
                  <c:v>7.757704078657472</c:v>
                </c:pt>
                <c:pt idx="60">
                  <c:v>7.7098547553562842</c:v>
                </c:pt>
                <c:pt idx="61">
                  <c:v>7.8242210454979535</c:v>
                </c:pt>
                <c:pt idx="62">
                  <c:v>7.7547255834735029</c:v>
                </c:pt>
                <c:pt idx="63">
                  <c:v>7.7931788207137762</c:v>
                </c:pt>
                <c:pt idx="64">
                  <c:v>7.8297037624597756</c:v>
                </c:pt>
                <c:pt idx="65">
                  <c:v>7.807228041067094</c:v>
                </c:pt>
                <c:pt idx="66">
                  <c:v>7.8792759425023604</c:v>
                </c:pt>
                <c:pt idx="67">
                  <c:v>7.982098532682711</c:v>
                </c:pt>
                <c:pt idx="68">
                  <c:v>7.7615314382803202</c:v>
                </c:pt>
                <c:pt idx="69">
                  <c:v>7.9797181144132239</c:v>
                </c:pt>
                <c:pt idx="70">
                  <c:v>8.0854033882066272</c:v>
                </c:pt>
                <c:pt idx="71">
                  <c:v>8.0321343376487384</c:v>
                </c:pt>
                <c:pt idx="72">
                  <c:v>8.0474968526918289</c:v>
                </c:pt>
                <c:pt idx="73">
                  <c:v>7.9787617633610308</c:v>
                </c:pt>
                <c:pt idx="74">
                  <c:v>8.0970109972879865</c:v>
                </c:pt>
                <c:pt idx="75">
                  <c:v>8.104680759719832</c:v>
                </c:pt>
                <c:pt idx="76">
                  <c:v>8.180333959466461</c:v>
                </c:pt>
                <c:pt idx="77">
                  <c:v>8.4965007212252104</c:v>
                </c:pt>
                <c:pt idx="78">
                  <c:v>8.4119561065094359</c:v>
                </c:pt>
                <c:pt idx="79">
                  <c:v>8.6036325615242202</c:v>
                </c:pt>
                <c:pt idx="80">
                  <c:v>8.6632348633619376</c:v>
                </c:pt>
                <c:pt idx="81">
                  <c:v>8.8203697731531019</c:v>
                </c:pt>
                <c:pt idx="82">
                  <c:v>9.0370070147803041</c:v>
                </c:pt>
                <c:pt idx="83">
                  <c:v>9.2172034637017326</c:v>
                </c:pt>
                <c:pt idx="84">
                  <c:v>9.5271028808298297</c:v>
                </c:pt>
                <c:pt idx="85">
                  <c:v>9.3705869844119292</c:v>
                </c:pt>
                <c:pt idx="86">
                  <c:v>9.4424433749484731</c:v>
                </c:pt>
                <c:pt idx="87">
                  <c:v>9.0337823622810554</c:v>
                </c:pt>
                <c:pt idx="88">
                  <c:v>9.2684873348971539</c:v>
                </c:pt>
                <c:pt idx="89">
                  <c:v>9.5455915968532228</c:v>
                </c:pt>
                <c:pt idx="90">
                  <c:v>9.8117501345803237</c:v>
                </c:pt>
                <c:pt idx="91">
                  <c:v>10.12311087774308</c:v>
                </c:pt>
                <c:pt idx="92">
                  <c:v>10.0984086076637</c:v>
                </c:pt>
                <c:pt idx="93">
                  <c:v>10.249406778137647</c:v>
                </c:pt>
                <c:pt idx="94">
                  <c:v>10.31456666243086</c:v>
                </c:pt>
                <c:pt idx="95">
                  <c:v>10.379956877810809</c:v>
                </c:pt>
                <c:pt idx="96">
                  <c:v>10.582060762797965</c:v>
                </c:pt>
                <c:pt idx="97">
                  <c:v>10.735391731069541</c:v>
                </c:pt>
                <c:pt idx="98">
                  <c:v>10.711205443280539</c:v>
                </c:pt>
                <c:pt idx="99">
                  <c:v>10.622488449184013</c:v>
                </c:pt>
                <c:pt idx="100">
                  <c:v>10.776238782855552</c:v>
                </c:pt>
                <c:pt idx="101">
                  <c:v>10.958237576712904</c:v>
                </c:pt>
                <c:pt idx="102">
                  <c:v>11.022882459161293</c:v>
                </c:pt>
                <c:pt idx="103">
                  <c:v>11.041629525604513</c:v>
                </c:pt>
                <c:pt idx="104">
                  <c:v>11.160820011674927</c:v>
                </c:pt>
                <c:pt idx="105">
                  <c:v>11.25361868635208</c:v>
                </c:pt>
                <c:pt idx="106">
                  <c:v>11.19353273884191</c:v>
                </c:pt>
                <c:pt idx="107">
                  <c:v>11.60232765940283</c:v>
                </c:pt>
                <c:pt idx="108">
                  <c:v>11.669948086809239</c:v>
                </c:pt>
                <c:pt idx="109">
                  <c:v>11.809174980321346</c:v>
                </c:pt>
                <c:pt idx="110">
                  <c:v>11.905215531192242</c:v>
                </c:pt>
                <c:pt idx="111">
                  <c:v>12.025248113016161</c:v>
                </c:pt>
                <c:pt idx="112">
                  <c:v>12.116493101756989</c:v>
                </c:pt>
                <c:pt idx="113">
                  <c:v>12.142735753861613</c:v>
                </c:pt>
                <c:pt idx="114">
                  <c:v>12.096258437872372</c:v>
                </c:pt>
                <c:pt idx="115">
                  <c:v>12.102755633916342</c:v>
                </c:pt>
                <c:pt idx="116">
                  <c:v>12.226824075904071</c:v>
                </c:pt>
                <c:pt idx="117">
                  <c:v>12.403663694388978</c:v>
                </c:pt>
                <c:pt idx="118">
                  <c:v>12.649609801947765</c:v>
                </c:pt>
                <c:pt idx="119">
                  <c:v>12.559723799216458</c:v>
                </c:pt>
                <c:pt idx="120">
                  <c:v>12.443147807549519</c:v>
                </c:pt>
                <c:pt idx="121">
                  <c:v>12.420851350479762</c:v>
                </c:pt>
                <c:pt idx="122">
                  <c:v>12.476490829188045</c:v>
                </c:pt>
                <c:pt idx="123">
                  <c:v>12.752762437517484</c:v>
                </c:pt>
                <c:pt idx="124">
                  <c:v>12.775814258272547</c:v>
                </c:pt>
                <c:pt idx="125">
                  <c:v>13.089307464651514</c:v>
                </c:pt>
                <c:pt idx="126">
                  <c:v>13.035381240113923</c:v>
                </c:pt>
                <c:pt idx="127">
                  <c:v>12.81820725236148</c:v>
                </c:pt>
                <c:pt idx="128">
                  <c:v>12.724845172892511</c:v>
                </c:pt>
                <c:pt idx="129">
                  <c:v>12.969129831016433</c:v>
                </c:pt>
                <c:pt idx="130">
                  <c:v>12.93254551469062</c:v>
                </c:pt>
                <c:pt idx="131">
                  <c:v>13.023971419310401</c:v>
                </c:pt>
                <c:pt idx="132">
                  <c:v>13.093183495295394</c:v>
                </c:pt>
                <c:pt idx="133">
                  <c:v>13.186599353209083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BEB-4AEE-933E-F6C3E96DDA1C}"/>
            </c:ext>
          </c:extLst>
        </c:ser>
        <c:ser>
          <c:idx val="12"/>
          <c:order val="12"/>
          <c:tx>
            <c:strRef>
              <c:f>'畫圖(真實)'!$A$24:$B$24</c:f>
              <c:strCache>
                <c:ptCount val="2"/>
                <c:pt idx="0">
                  <c:v>964</c:v>
                </c:pt>
                <c:pt idx="1">
                  <c:v>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'畫圖(真實)'!$C$24:$EF$24</c:f>
              <c:numCache>
                <c:formatCode>General</c:formatCode>
                <c:ptCount val="134"/>
                <c:pt idx="0">
                  <c:v>1</c:v>
                </c:pt>
                <c:pt idx="1">
                  <c:v>1.1006099128992286</c:v>
                </c:pt>
                <c:pt idx="2">
                  <c:v>1.3851224105897306</c:v>
                </c:pt>
                <c:pt idx="3">
                  <c:v>1.1835766917180843</c:v>
                </c:pt>
                <c:pt idx="4">
                  <c:v>1.1609543031554668</c:v>
                </c:pt>
                <c:pt idx="5">
                  <c:v>1.1968100998104234</c:v>
                </c:pt>
                <c:pt idx="6">
                  <c:v>1.19469816660728</c:v>
                </c:pt>
                <c:pt idx="7">
                  <c:v>1.094725973697144</c:v>
                </c:pt>
                <c:pt idx="8">
                  <c:v>1.1451703096906327</c:v>
                </c:pt>
                <c:pt idx="9">
                  <c:v>1.0513706164338823</c:v>
                </c:pt>
                <c:pt idx="10">
                  <c:v>0.90455127753437381</c:v>
                </c:pt>
                <c:pt idx="11">
                  <c:v>2.6735826466469428</c:v>
                </c:pt>
                <c:pt idx="12">
                  <c:v>2.7102314373864864</c:v>
                </c:pt>
                <c:pt idx="13">
                  <c:v>2.8144798517954861</c:v>
                </c:pt>
                <c:pt idx="14">
                  <c:v>2.75351489014878</c:v>
                </c:pt>
                <c:pt idx="15">
                  <c:v>2.5078175193695205</c:v>
                </c:pt>
                <c:pt idx="16">
                  <c:v>2.860331980429685</c:v>
                </c:pt>
                <c:pt idx="17">
                  <c:v>2.5898452657556676</c:v>
                </c:pt>
                <c:pt idx="18">
                  <c:v>2.7383639399795858</c:v>
                </c:pt>
                <c:pt idx="19">
                  <c:v>2.6712246371419575</c:v>
                </c:pt>
                <c:pt idx="20">
                  <c:v>2.5066601195550775</c:v>
                </c:pt>
                <c:pt idx="21">
                  <c:v>2.4705022231938254</c:v>
                </c:pt>
                <c:pt idx="22">
                  <c:v>2.4610252082674084</c:v>
                </c:pt>
                <c:pt idx="23">
                  <c:v>2.5668675355462156</c:v>
                </c:pt>
                <c:pt idx="24">
                  <c:v>2.7854121152373703</c:v>
                </c:pt>
                <c:pt idx="25">
                  <c:v>2.9807517379126143</c:v>
                </c:pt>
                <c:pt idx="26">
                  <c:v>3.3824990717595691</c:v>
                </c:pt>
                <c:pt idx="27">
                  <c:v>3.4836743710162921</c:v>
                </c:pt>
                <c:pt idx="28">
                  <c:v>3.6768161607280501</c:v>
                </c:pt>
                <c:pt idx="29">
                  <c:v>4.1722055735322119</c:v>
                </c:pt>
                <c:pt idx="30">
                  <c:v>4.3109412911588496</c:v>
                </c:pt>
                <c:pt idx="31">
                  <c:v>4.25424393109106</c:v>
                </c:pt>
                <c:pt idx="32">
                  <c:v>4.5646581663204024</c:v>
                </c:pt>
                <c:pt idx="33">
                  <c:v>4.4837669223210268</c:v>
                </c:pt>
                <c:pt idx="34">
                  <c:v>4.5686508753892188</c:v>
                </c:pt>
                <c:pt idx="35">
                  <c:v>4.6558245768658537</c:v>
                </c:pt>
                <c:pt idx="36">
                  <c:v>4.6369052954453274</c:v>
                </c:pt>
                <c:pt idx="37">
                  <c:v>4.8580947605907587</c:v>
                </c:pt>
                <c:pt idx="38">
                  <c:v>4.9610004631685483</c:v>
                </c:pt>
                <c:pt idx="39">
                  <c:v>4.9838521786576448</c:v>
                </c:pt>
                <c:pt idx="40">
                  <c:v>5.2009793817857091</c:v>
                </c:pt>
                <c:pt idx="41">
                  <c:v>5.3718127879565349</c:v>
                </c:pt>
                <c:pt idx="42">
                  <c:v>5.3750995616631574</c:v>
                </c:pt>
                <c:pt idx="43">
                  <c:v>5.5258685415888378</c:v>
                </c:pt>
                <c:pt idx="44">
                  <c:v>6.0029227288312397</c:v>
                </c:pt>
                <c:pt idx="45">
                  <c:v>6.2506073890615674</c:v>
                </c:pt>
                <c:pt idx="46">
                  <c:v>6.1018964325301273</c:v>
                </c:pt>
                <c:pt idx="47">
                  <c:v>6.2133877694463431</c:v>
                </c:pt>
                <c:pt idx="48">
                  <c:v>6.3815150633312321</c:v>
                </c:pt>
                <c:pt idx="49">
                  <c:v>6.5001387884024089</c:v>
                </c:pt>
                <c:pt idx="50">
                  <c:v>6.5506300938144211</c:v>
                </c:pt>
                <c:pt idx="51">
                  <c:v>7.4233332429209113</c:v>
                </c:pt>
                <c:pt idx="52">
                  <c:v>7.4189663733065281</c:v>
                </c:pt>
                <c:pt idx="53">
                  <c:v>7.4375974073933921</c:v>
                </c:pt>
                <c:pt idx="54">
                  <c:v>7.3802168694083123</c:v>
                </c:pt>
                <c:pt idx="55">
                  <c:v>7.3158464484588492</c:v>
                </c:pt>
                <c:pt idx="56">
                  <c:v>7.2248622207514135</c:v>
                </c:pt>
                <c:pt idx="57">
                  <c:v>7.3725357860031329</c:v>
                </c:pt>
                <c:pt idx="58">
                  <c:v>7.5961648920731797</c:v>
                </c:pt>
                <c:pt idx="59">
                  <c:v>7.7958049252436306</c:v>
                </c:pt>
                <c:pt idx="60">
                  <c:v>7.7609772780708566</c:v>
                </c:pt>
                <c:pt idx="61">
                  <c:v>7.867084198222023</c:v>
                </c:pt>
                <c:pt idx="62">
                  <c:v>7.9518671380610115</c:v>
                </c:pt>
                <c:pt idx="63">
                  <c:v>8.0607803983775597</c:v>
                </c:pt>
                <c:pt idx="64">
                  <c:v>7.8996707072819179</c:v>
                </c:pt>
                <c:pt idx="65">
                  <c:v>7.9314648116118081</c:v>
                </c:pt>
                <c:pt idx="66">
                  <c:v>7.8672951782816929</c:v>
                </c:pt>
                <c:pt idx="67">
                  <c:v>7.9662160674669344</c:v>
                </c:pt>
                <c:pt idx="68">
                  <c:v>7.8445950309373282</c:v>
                </c:pt>
                <c:pt idx="69">
                  <c:v>8.1213140470775365</c:v>
                </c:pt>
                <c:pt idx="70">
                  <c:v>8.130062539392382</c:v>
                </c:pt>
                <c:pt idx="71">
                  <c:v>8.0838038336517197</c:v>
                </c:pt>
                <c:pt idx="72">
                  <c:v>8.2348312790741396</c:v>
                </c:pt>
                <c:pt idx="73">
                  <c:v>8.130876245025048</c:v>
                </c:pt>
                <c:pt idx="74">
                  <c:v>8.2492844760753492</c:v>
                </c:pt>
                <c:pt idx="75">
                  <c:v>8.5081773749253458</c:v>
                </c:pt>
                <c:pt idx="76">
                  <c:v>8.6233990556987603</c:v>
                </c:pt>
                <c:pt idx="77">
                  <c:v>9.2630971893332745</c:v>
                </c:pt>
                <c:pt idx="78">
                  <c:v>9.0806273094457133</c:v>
                </c:pt>
                <c:pt idx="79">
                  <c:v>9.2249336201879082</c:v>
                </c:pt>
                <c:pt idx="80">
                  <c:v>9.3904984941790222</c:v>
                </c:pt>
                <c:pt idx="81">
                  <c:v>9.6122198564244101</c:v>
                </c:pt>
                <c:pt idx="82">
                  <c:v>10.132188822498332</c:v>
                </c:pt>
                <c:pt idx="83">
                  <c:v>10.486466119340834</c:v>
                </c:pt>
                <c:pt idx="84">
                  <c:v>10.158014298631569</c:v>
                </c:pt>
                <c:pt idx="85">
                  <c:v>9.8578274050413128</c:v>
                </c:pt>
                <c:pt idx="86">
                  <c:v>10.180886670369697</c:v>
                </c:pt>
                <c:pt idx="87">
                  <c:v>10.322642003742237</c:v>
                </c:pt>
                <c:pt idx="88">
                  <c:v>10.959075268101747</c:v>
                </c:pt>
                <c:pt idx="89">
                  <c:v>11.568752465368821</c:v>
                </c:pt>
                <c:pt idx="90">
                  <c:v>12.021229907159274</c:v>
                </c:pt>
                <c:pt idx="91">
                  <c:v>12.181574111974117</c:v>
                </c:pt>
                <c:pt idx="92">
                  <c:v>12.021384465346616</c:v>
                </c:pt>
                <c:pt idx="93">
                  <c:v>12.159171921395318</c:v>
                </c:pt>
                <c:pt idx="94">
                  <c:v>12.267146157334345</c:v>
                </c:pt>
                <c:pt idx="95">
                  <c:v>12.147601768998506</c:v>
                </c:pt>
                <c:pt idx="96">
                  <c:v>12.20033081381216</c:v>
                </c:pt>
                <c:pt idx="97">
                  <c:v>12.383194908719384</c:v>
                </c:pt>
                <c:pt idx="98">
                  <c:v>12.148201693446538</c:v>
                </c:pt>
                <c:pt idx="99">
                  <c:v>12.203408887155225</c:v>
                </c:pt>
                <c:pt idx="100">
                  <c:v>12.524556639361967</c:v>
                </c:pt>
                <c:pt idx="101">
                  <c:v>12.636763267806534</c:v>
                </c:pt>
                <c:pt idx="102">
                  <c:v>12.670742852898988</c:v>
                </c:pt>
                <c:pt idx="103">
                  <c:v>12.654240987049992</c:v>
                </c:pt>
                <c:pt idx="104">
                  <c:v>12.845416745220527</c:v>
                </c:pt>
                <c:pt idx="105">
                  <c:v>12.649572023038086</c:v>
                </c:pt>
                <c:pt idx="106">
                  <c:v>12.781157614333619</c:v>
                </c:pt>
                <c:pt idx="107">
                  <c:v>13.306742620478117</c:v>
                </c:pt>
                <c:pt idx="108">
                  <c:v>13.426287906878249</c:v>
                </c:pt>
                <c:pt idx="109">
                  <c:v>13.692090582870762</c:v>
                </c:pt>
                <c:pt idx="110">
                  <c:v>13.729275491145142</c:v>
                </c:pt>
                <c:pt idx="111">
                  <c:v>13.958645365676231</c:v>
                </c:pt>
                <c:pt idx="112">
                  <c:v>14.078325546884422</c:v>
                </c:pt>
                <c:pt idx="113">
                  <c:v>14.139686060099839</c:v>
                </c:pt>
                <c:pt idx="114">
                  <c:v>14.139272614854772</c:v>
                </c:pt>
                <c:pt idx="115">
                  <c:v>14.372607185629468</c:v>
                </c:pt>
                <c:pt idx="116">
                  <c:v>14.488219140652948</c:v>
                </c:pt>
                <c:pt idx="117">
                  <c:v>14.711790964136645</c:v>
                </c:pt>
                <c:pt idx="118">
                  <c:v>15.070862266233293</c:v>
                </c:pt>
                <c:pt idx="119">
                  <c:v>15.050346636021263</c:v>
                </c:pt>
                <c:pt idx="120">
                  <c:v>14.982984090307319</c:v>
                </c:pt>
                <c:pt idx="121">
                  <c:v>14.953548363918456</c:v>
                </c:pt>
                <c:pt idx="122">
                  <c:v>14.931766968557225</c:v>
                </c:pt>
                <c:pt idx="123">
                  <c:v>15.089991667201039</c:v>
                </c:pt>
                <c:pt idx="124">
                  <c:v>15.191174163856283</c:v>
                </c:pt>
                <c:pt idx="125">
                  <c:v>15.502767291648787</c:v>
                </c:pt>
                <c:pt idx="126">
                  <c:v>15.499527415040244</c:v>
                </c:pt>
                <c:pt idx="127">
                  <c:v>15.066020836303553</c:v>
                </c:pt>
                <c:pt idx="128">
                  <c:v>15.042849334456879</c:v>
                </c:pt>
                <c:pt idx="129">
                  <c:v>15.63254725145597</c:v>
                </c:pt>
                <c:pt idx="130">
                  <c:v>15.618237332685291</c:v>
                </c:pt>
                <c:pt idx="131">
                  <c:v>15.674410177983654</c:v>
                </c:pt>
                <c:pt idx="132">
                  <c:v>15.781890835218073</c:v>
                </c:pt>
                <c:pt idx="133">
                  <c:v>15.915977911568287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BEB-4AEE-933E-F6C3E96DDA1C}"/>
            </c:ext>
          </c:extLst>
        </c:ser>
        <c:ser>
          <c:idx val="13"/>
          <c:order val="13"/>
          <c:tx>
            <c:strRef>
              <c:f>'畫圖(真實)'!$A$25:$B$25</c:f>
              <c:strCache>
                <c:ptCount val="2"/>
                <c:pt idx="0">
                  <c:v>大盤</c:v>
                </c:pt>
                <c:pt idx="1">
                  <c:v>TWII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'畫圖(真實)'!$C$10:$EF$11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'畫圖(真實)'!$C$25:$EF$25</c:f>
              <c:numCache>
                <c:formatCode>0.0000</c:formatCode>
                <c:ptCount val="134"/>
                <c:pt idx="0" formatCode="#,##0.000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BEB-4AEE-933E-F6C3E96DD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5048559"/>
        <c:axId val="1635049519"/>
      </c:lineChart>
      <c:catAx>
        <c:axId val="1635048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35049519"/>
        <c:crosses val="autoZero"/>
        <c:auto val="1"/>
        <c:lblAlgn val="ctr"/>
        <c:lblOffset val="100"/>
        <c:noMultiLvlLbl val="0"/>
      </c:catAx>
      <c:valAx>
        <c:axId val="163504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35048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r>
              <a:rPr lang="pt-PT" altLang="zh-TW"/>
              <a:t>OLS</a:t>
            </a:r>
            <a:r>
              <a:rPr lang="zh-TW" altLang="en-US"/>
              <a:t>累積報酬</a:t>
            </a:r>
            <a:endParaRPr lang="pt-PT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'畫圖(預測)'!$A$12:$B$12</c:f>
              <c:strCache>
                <c:ptCount val="2"/>
                <c:pt idx="0">
                  <c:v>投資組合</c:v>
                </c:pt>
                <c:pt idx="1">
                  <c:v>100等第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'畫圖(預測)'!$C$10:$EF$11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'畫圖(預測)'!$C$12:$EF$12</c:f>
              <c:numCache>
                <c:formatCode>0.0000</c:formatCode>
                <c:ptCount val="134"/>
                <c:pt idx="0">
                  <c:v>-3.6350225217569622E-2</c:v>
                </c:pt>
                <c:pt idx="1">
                  <c:v>0.33635899039235595</c:v>
                </c:pt>
                <c:pt idx="2">
                  <c:v>0.24101438492138549</c:v>
                </c:pt>
                <c:pt idx="3">
                  <c:v>0.27593582147808288</c:v>
                </c:pt>
                <c:pt idx="4">
                  <c:v>0.24153190051104637</c:v>
                </c:pt>
                <c:pt idx="5">
                  <c:v>0.24028817445294126</c:v>
                </c:pt>
                <c:pt idx="6">
                  <c:v>0.18185673017307571</c:v>
                </c:pt>
                <c:pt idx="7">
                  <c:v>0.23181819542046536</c:v>
                </c:pt>
                <c:pt idx="8">
                  <c:v>0.32633299301239627</c:v>
                </c:pt>
                <c:pt idx="9">
                  <c:v>0.24516193244375001</c:v>
                </c:pt>
                <c:pt idx="10">
                  <c:v>0.24302891600746232</c:v>
                </c:pt>
                <c:pt idx="11">
                  <c:v>0.35282511043259601</c:v>
                </c:pt>
                <c:pt idx="12">
                  <c:v>0.42658245467891065</c:v>
                </c:pt>
                <c:pt idx="13">
                  <c:v>0.44847902452413468</c:v>
                </c:pt>
                <c:pt idx="14">
                  <c:v>0.60401586663194717</c:v>
                </c:pt>
                <c:pt idx="15">
                  <c:v>0.65614555673706465</c:v>
                </c:pt>
                <c:pt idx="16">
                  <c:v>0.74163344694300548</c:v>
                </c:pt>
                <c:pt idx="17">
                  <c:v>0.80843357188611753</c:v>
                </c:pt>
                <c:pt idx="18">
                  <c:v>0.94540163355338636</c:v>
                </c:pt>
                <c:pt idx="19">
                  <c:v>1.0555286398842223</c:v>
                </c:pt>
                <c:pt idx="20">
                  <c:v>1.1062000641292129</c:v>
                </c:pt>
                <c:pt idx="21">
                  <c:v>1.1846364765748003</c:v>
                </c:pt>
                <c:pt idx="22">
                  <c:v>1.2366652746319424</c:v>
                </c:pt>
                <c:pt idx="23">
                  <c:v>1.2833852466853011</c:v>
                </c:pt>
                <c:pt idx="24">
                  <c:v>1.2293040996572675</c:v>
                </c:pt>
                <c:pt idx="25">
                  <c:v>1.1456039271414369</c:v>
                </c:pt>
                <c:pt idx="26">
                  <c:v>1.149921595989492</c:v>
                </c:pt>
                <c:pt idx="27">
                  <c:v>1.0682082211013095</c:v>
                </c:pt>
                <c:pt idx="28">
                  <c:v>1.2800008641485816</c:v>
                </c:pt>
                <c:pt idx="29">
                  <c:v>1.1422745769709273</c:v>
                </c:pt>
                <c:pt idx="30">
                  <c:v>1.0979500327558513</c:v>
                </c:pt>
                <c:pt idx="31">
                  <c:v>1.2309173977655741</c:v>
                </c:pt>
                <c:pt idx="32">
                  <c:v>1.2060681406330431</c:v>
                </c:pt>
                <c:pt idx="33">
                  <c:v>1.1723502185138699</c:v>
                </c:pt>
                <c:pt idx="34">
                  <c:v>1.1029887673219534</c:v>
                </c:pt>
                <c:pt idx="35">
                  <c:v>1.1474204298177679</c:v>
                </c:pt>
                <c:pt idx="36">
                  <c:v>1.202543051952395</c:v>
                </c:pt>
                <c:pt idx="37">
                  <c:v>1.3042317578647784</c:v>
                </c:pt>
                <c:pt idx="38">
                  <c:v>1.252847237624811</c:v>
                </c:pt>
                <c:pt idx="39">
                  <c:v>1.2402652926691653</c:v>
                </c:pt>
                <c:pt idx="40">
                  <c:v>1.2776324194652871</c:v>
                </c:pt>
                <c:pt idx="41">
                  <c:v>1.2530815997670084</c:v>
                </c:pt>
                <c:pt idx="42">
                  <c:v>1.3069027788041223</c:v>
                </c:pt>
                <c:pt idx="43">
                  <c:v>1.3778925914078273</c:v>
                </c:pt>
                <c:pt idx="44">
                  <c:v>1.4550666686577891</c:v>
                </c:pt>
                <c:pt idx="45">
                  <c:v>1.4882919708761677</c:v>
                </c:pt>
                <c:pt idx="46">
                  <c:v>1.4726320316215868</c:v>
                </c:pt>
                <c:pt idx="47">
                  <c:v>1.3912714656668188</c:v>
                </c:pt>
                <c:pt idx="48">
                  <c:v>1.3622658063663271</c:v>
                </c:pt>
                <c:pt idx="49">
                  <c:v>1.2944194772476767</c:v>
                </c:pt>
                <c:pt idx="50">
                  <c:v>1.3050329920553296</c:v>
                </c:pt>
                <c:pt idx="51">
                  <c:v>1.4138220918714524</c:v>
                </c:pt>
                <c:pt idx="52">
                  <c:v>1.4759772355392826</c:v>
                </c:pt>
                <c:pt idx="53">
                  <c:v>1.5290205094440787</c:v>
                </c:pt>
                <c:pt idx="54">
                  <c:v>1.4805777884264155</c:v>
                </c:pt>
                <c:pt idx="55">
                  <c:v>1.6914498759164029</c:v>
                </c:pt>
                <c:pt idx="56">
                  <c:v>1.6939394146509681</c:v>
                </c:pt>
                <c:pt idx="57">
                  <c:v>1.7283812601326576</c:v>
                </c:pt>
                <c:pt idx="58">
                  <c:v>1.7495403745393971</c:v>
                </c:pt>
                <c:pt idx="59">
                  <c:v>1.8796506295755666</c:v>
                </c:pt>
                <c:pt idx="60">
                  <c:v>1.9252555618759801</c:v>
                </c:pt>
                <c:pt idx="61">
                  <c:v>1.9850109828503011</c:v>
                </c:pt>
                <c:pt idx="62">
                  <c:v>2.0332299873380451</c:v>
                </c:pt>
                <c:pt idx="63">
                  <c:v>2.0969507147490569</c:v>
                </c:pt>
                <c:pt idx="64">
                  <c:v>2.0692162387941258</c:v>
                </c:pt>
                <c:pt idx="65">
                  <c:v>2.017599384322061</c:v>
                </c:pt>
                <c:pt idx="66">
                  <c:v>1.9741681308291652</c:v>
                </c:pt>
                <c:pt idx="67">
                  <c:v>1.9240107017071055</c:v>
                </c:pt>
                <c:pt idx="68">
                  <c:v>1.9121447907984939</c:v>
                </c:pt>
                <c:pt idx="69">
                  <c:v>1.8522938547066432</c:v>
                </c:pt>
                <c:pt idx="70">
                  <c:v>1.8717702745024367</c:v>
                </c:pt>
                <c:pt idx="71">
                  <c:v>1.7855901377865167</c:v>
                </c:pt>
                <c:pt idx="72">
                  <c:v>2.0844691273624445</c:v>
                </c:pt>
                <c:pt idx="73">
                  <c:v>2.0306175584179806</c:v>
                </c:pt>
                <c:pt idx="74">
                  <c:v>1.9372791659541437</c:v>
                </c:pt>
                <c:pt idx="75">
                  <c:v>1.8343726969767964</c:v>
                </c:pt>
                <c:pt idx="76">
                  <c:v>1.8157806761803541</c:v>
                </c:pt>
                <c:pt idx="77">
                  <c:v>1.6846892733962928</c:v>
                </c:pt>
                <c:pt idx="78">
                  <c:v>1.8583409791184127</c:v>
                </c:pt>
                <c:pt idx="79">
                  <c:v>1.811226510989739</c:v>
                </c:pt>
                <c:pt idx="80">
                  <c:v>1.6947099419196183</c:v>
                </c:pt>
                <c:pt idx="81">
                  <c:v>1.7360593717875858</c:v>
                </c:pt>
                <c:pt idx="82">
                  <c:v>1.6501733502574221</c:v>
                </c:pt>
                <c:pt idx="83">
                  <c:v>1.7315159582407502</c:v>
                </c:pt>
                <c:pt idx="84">
                  <c:v>1.7290050194604178</c:v>
                </c:pt>
                <c:pt idx="85">
                  <c:v>1.8160493755331359</c:v>
                </c:pt>
                <c:pt idx="86">
                  <c:v>1.9116901237058412</c:v>
                </c:pt>
                <c:pt idx="87">
                  <c:v>1.7500356506626646</c:v>
                </c:pt>
                <c:pt idx="88">
                  <c:v>1.8246667667911185</c:v>
                </c:pt>
                <c:pt idx="89">
                  <c:v>1.8673008825902788</c:v>
                </c:pt>
                <c:pt idx="90">
                  <c:v>1.7603216383907108</c:v>
                </c:pt>
                <c:pt idx="91">
                  <c:v>1.6327858029577611</c:v>
                </c:pt>
                <c:pt idx="92">
                  <c:v>1.6078224425013223</c:v>
                </c:pt>
                <c:pt idx="93">
                  <c:v>1.4263335102655872</c:v>
                </c:pt>
                <c:pt idx="94">
                  <c:v>1.4432444969698428</c:v>
                </c:pt>
                <c:pt idx="95">
                  <c:v>1.4481861673354548</c:v>
                </c:pt>
                <c:pt idx="96">
                  <c:v>1.5722360987493229</c:v>
                </c:pt>
                <c:pt idx="97">
                  <c:v>1.511791603059933</c:v>
                </c:pt>
                <c:pt idx="98">
                  <c:v>1.5378636939630597</c:v>
                </c:pt>
                <c:pt idx="99">
                  <c:v>1.3854759150714917</c:v>
                </c:pt>
                <c:pt idx="100">
                  <c:v>1.2925280107361337</c:v>
                </c:pt>
                <c:pt idx="101">
                  <c:v>1.2687646755956516</c:v>
                </c:pt>
                <c:pt idx="102">
                  <c:v>1.242388840153775</c:v>
                </c:pt>
                <c:pt idx="103">
                  <c:v>1.2726154583678988</c:v>
                </c:pt>
                <c:pt idx="104">
                  <c:v>1.2375403083933167</c:v>
                </c:pt>
                <c:pt idx="105">
                  <c:v>1.252047034524763</c:v>
                </c:pt>
                <c:pt idx="106">
                  <c:v>1.3092106692560155</c:v>
                </c:pt>
                <c:pt idx="107">
                  <c:v>1.3152651955286196</c:v>
                </c:pt>
                <c:pt idx="108">
                  <c:v>1.4283567583689794</c:v>
                </c:pt>
                <c:pt idx="109">
                  <c:v>1.2987348227011224</c:v>
                </c:pt>
                <c:pt idx="110">
                  <c:v>1.3528431413582527</c:v>
                </c:pt>
                <c:pt idx="111">
                  <c:v>1.2928193646671955</c:v>
                </c:pt>
                <c:pt idx="112">
                  <c:v>1.220630766861398</c:v>
                </c:pt>
                <c:pt idx="113">
                  <c:v>1.220934760064226</c:v>
                </c:pt>
                <c:pt idx="114">
                  <c:v>1.2599868767578917</c:v>
                </c:pt>
                <c:pt idx="115">
                  <c:v>1.3417175890090207</c:v>
                </c:pt>
                <c:pt idx="116">
                  <c:v>1.3758220047581178</c:v>
                </c:pt>
                <c:pt idx="117">
                  <c:v>1.3995576067650104</c:v>
                </c:pt>
                <c:pt idx="118">
                  <c:v>1.362518917812813</c:v>
                </c:pt>
                <c:pt idx="119">
                  <c:v>1.3404836528179389</c:v>
                </c:pt>
                <c:pt idx="120">
                  <c:v>1.3309121103591743</c:v>
                </c:pt>
                <c:pt idx="121">
                  <c:v>1.3836309003482439</c:v>
                </c:pt>
                <c:pt idx="122">
                  <c:v>1.194990255445856</c:v>
                </c:pt>
                <c:pt idx="123">
                  <c:v>1.1482625260926163</c:v>
                </c:pt>
                <c:pt idx="124">
                  <c:v>1.1738011532394488</c:v>
                </c:pt>
                <c:pt idx="125">
                  <c:v>1.1522554829189688</c:v>
                </c:pt>
                <c:pt idx="126">
                  <c:v>1.06858184822643</c:v>
                </c:pt>
                <c:pt idx="127">
                  <c:v>1.105178345990234</c:v>
                </c:pt>
                <c:pt idx="128">
                  <c:v>1.2143552789001126</c:v>
                </c:pt>
                <c:pt idx="129">
                  <c:v>1.3024427284273674</c:v>
                </c:pt>
                <c:pt idx="130">
                  <c:v>1.2262856516307477</c:v>
                </c:pt>
                <c:pt idx="131">
                  <c:v>1.1156256171425274</c:v>
                </c:pt>
                <c:pt idx="132">
                  <c:v>1.0662814372023679</c:v>
                </c:pt>
                <c:pt idx="133">
                  <c:v>1.0366353821303618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99-4669-A514-6D06150E9160}"/>
            </c:ext>
          </c:extLst>
        </c:ser>
        <c:ser>
          <c:idx val="1"/>
          <c:order val="1"/>
          <c:tx>
            <c:strRef>
              <c:f>'畫圖(預測)'!$A$13:$B$13</c:f>
              <c:strCache>
                <c:ptCount val="2"/>
                <c:pt idx="0">
                  <c:v>投資組合</c:v>
                </c:pt>
                <c:pt idx="1">
                  <c:v>107等第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'畫圖(預測)'!$C$10:$EF$11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'畫圖(預測)'!$C$13:$EF$13</c:f>
              <c:numCache>
                <c:formatCode>0.0000</c:formatCode>
                <c:ptCount val="134"/>
                <c:pt idx="0">
                  <c:v>-3.9435389831589431E-2</c:v>
                </c:pt>
                <c:pt idx="1">
                  <c:v>0.36875958890099114</c:v>
                </c:pt>
                <c:pt idx="2">
                  <c:v>0.28205541747243784</c:v>
                </c:pt>
                <c:pt idx="3">
                  <c:v>0.36077088937676882</c:v>
                </c:pt>
                <c:pt idx="4">
                  <c:v>0.35262433871781956</c:v>
                </c:pt>
                <c:pt idx="5">
                  <c:v>0.35197498926099652</c:v>
                </c:pt>
                <c:pt idx="6">
                  <c:v>0.29444437059537509</c:v>
                </c:pt>
                <c:pt idx="7">
                  <c:v>0.34115429663804125</c:v>
                </c:pt>
                <c:pt idx="8">
                  <c:v>0.42757518822043183</c:v>
                </c:pt>
                <c:pt idx="9">
                  <c:v>0.34241358410622041</c:v>
                </c:pt>
                <c:pt idx="10">
                  <c:v>0.32842614824430333</c:v>
                </c:pt>
                <c:pt idx="11">
                  <c:v>0.44866864652350003</c:v>
                </c:pt>
                <c:pt idx="12">
                  <c:v>0.52849550709461712</c:v>
                </c:pt>
                <c:pt idx="13">
                  <c:v>0.53668368660894905</c:v>
                </c:pt>
                <c:pt idx="14">
                  <c:v>0.69458675703328709</c:v>
                </c:pt>
                <c:pt idx="15">
                  <c:v>0.74357773531621363</c:v>
                </c:pt>
                <c:pt idx="16">
                  <c:v>0.85343677965102027</c:v>
                </c:pt>
                <c:pt idx="17">
                  <c:v>0.92065583980862153</c:v>
                </c:pt>
                <c:pt idx="18">
                  <c:v>1.050718311238366</c:v>
                </c:pt>
                <c:pt idx="19">
                  <c:v>1.126289797347273</c:v>
                </c:pt>
                <c:pt idx="20">
                  <c:v>1.2279211544784483</c:v>
                </c:pt>
                <c:pt idx="21">
                  <c:v>1.3015994321359154</c:v>
                </c:pt>
                <c:pt idx="22">
                  <c:v>1.351878266596978</c:v>
                </c:pt>
                <c:pt idx="23">
                  <c:v>1.3949361974811896</c:v>
                </c:pt>
                <c:pt idx="24">
                  <c:v>1.3514485616451974</c:v>
                </c:pt>
                <c:pt idx="25">
                  <c:v>1.276463520007217</c:v>
                </c:pt>
                <c:pt idx="26">
                  <c:v>1.2636980719718003</c:v>
                </c:pt>
                <c:pt idx="27">
                  <c:v>1.2105620164239435</c:v>
                </c:pt>
                <c:pt idx="28">
                  <c:v>1.420190257600854</c:v>
                </c:pt>
                <c:pt idx="29">
                  <c:v>1.2722746473364275</c:v>
                </c:pt>
                <c:pt idx="30">
                  <c:v>1.2284984876006551</c:v>
                </c:pt>
                <c:pt idx="31">
                  <c:v>1.3769001127678075</c:v>
                </c:pt>
                <c:pt idx="32">
                  <c:v>1.3435168570961602</c:v>
                </c:pt>
                <c:pt idx="33">
                  <c:v>1.2953963785598299</c:v>
                </c:pt>
                <c:pt idx="34">
                  <c:v>1.257962925578342</c:v>
                </c:pt>
                <c:pt idx="35">
                  <c:v>1.3066518586828653</c:v>
                </c:pt>
                <c:pt idx="36">
                  <c:v>1.3727285892846632</c:v>
                </c:pt>
                <c:pt idx="37">
                  <c:v>1.4791847893743388</c:v>
                </c:pt>
                <c:pt idx="38">
                  <c:v>1.4380946360125977</c:v>
                </c:pt>
                <c:pt idx="39">
                  <c:v>1.4328547464492527</c:v>
                </c:pt>
                <c:pt idx="40">
                  <c:v>1.4713209465953212</c:v>
                </c:pt>
                <c:pt idx="41">
                  <c:v>1.4388281868752575</c:v>
                </c:pt>
                <c:pt idx="42">
                  <c:v>1.5038964123492269</c:v>
                </c:pt>
                <c:pt idx="43">
                  <c:v>1.6264604556995117</c:v>
                </c:pt>
                <c:pt idx="44">
                  <c:v>1.7085507275425136</c:v>
                </c:pt>
                <c:pt idx="45">
                  <c:v>1.7321596038905724</c:v>
                </c:pt>
                <c:pt idx="46">
                  <c:v>1.6929066738159217</c:v>
                </c:pt>
                <c:pt idx="47">
                  <c:v>1.5922853447145189</c:v>
                </c:pt>
                <c:pt idx="48">
                  <c:v>1.5726834911153798</c:v>
                </c:pt>
                <c:pt idx="49">
                  <c:v>1.484533309594807</c:v>
                </c:pt>
                <c:pt idx="50">
                  <c:v>1.499456414652393</c:v>
                </c:pt>
                <c:pt idx="51">
                  <c:v>1.6319311522489648</c:v>
                </c:pt>
                <c:pt idx="52">
                  <c:v>1.6990526183566566</c:v>
                </c:pt>
                <c:pt idx="53">
                  <c:v>1.7349893299025605</c:v>
                </c:pt>
                <c:pt idx="54">
                  <c:v>1.6835783355080856</c:v>
                </c:pt>
                <c:pt idx="55">
                  <c:v>1.9313651946085457</c:v>
                </c:pt>
                <c:pt idx="56">
                  <c:v>1.9448384766565023</c:v>
                </c:pt>
                <c:pt idx="57">
                  <c:v>1.9310628621725405</c:v>
                </c:pt>
                <c:pt idx="58">
                  <c:v>1.9800528026054516</c:v>
                </c:pt>
                <c:pt idx="59">
                  <c:v>2.0766196061309898</c:v>
                </c:pt>
                <c:pt idx="60">
                  <c:v>2.1279912306570012</c:v>
                </c:pt>
                <c:pt idx="61">
                  <c:v>2.1891648301414715</c:v>
                </c:pt>
                <c:pt idx="62">
                  <c:v>2.2286628156325774</c:v>
                </c:pt>
                <c:pt idx="63">
                  <c:v>2.2899675655424621</c:v>
                </c:pt>
                <c:pt idx="64">
                  <c:v>2.2680772055888045</c:v>
                </c:pt>
                <c:pt idx="65">
                  <c:v>2.2103271449083488</c:v>
                </c:pt>
                <c:pt idx="66">
                  <c:v>2.1866364262411015</c:v>
                </c:pt>
                <c:pt idx="67">
                  <c:v>2.1603395782196571</c:v>
                </c:pt>
                <c:pt idx="68">
                  <c:v>2.1283325910267741</c:v>
                </c:pt>
                <c:pt idx="69">
                  <c:v>2.0816717085332557</c:v>
                </c:pt>
                <c:pt idx="70">
                  <c:v>2.1394368187180559</c:v>
                </c:pt>
                <c:pt idx="71">
                  <c:v>2.0449263502511306</c:v>
                </c:pt>
                <c:pt idx="72">
                  <c:v>2.3628971847894977</c:v>
                </c:pt>
                <c:pt idx="73">
                  <c:v>2.2963376656714147</c:v>
                </c:pt>
                <c:pt idx="74">
                  <c:v>2.1773429576181362</c:v>
                </c:pt>
                <c:pt idx="75">
                  <c:v>2.065817109116487</c:v>
                </c:pt>
                <c:pt idx="76">
                  <c:v>2.0361027193609238</c:v>
                </c:pt>
                <c:pt idx="77">
                  <c:v>1.8967939834275898</c:v>
                </c:pt>
                <c:pt idx="78">
                  <c:v>1.9411821365977955</c:v>
                </c:pt>
                <c:pt idx="79">
                  <c:v>1.8801936107240655</c:v>
                </c:pt>
                <c:pt idx="80">
                  <c:v>1.7475985499305542</c:v>
                </c:pt>
                <c:pt idx="81">
                  <c:v>1.8003986342658351</c:v>
                </c:pt>
                <c:pt idx="82">
                  <c:v>1.7386707561191685</c:v>
                </c:pt>
                <c:pt idx="83">
                  <c:v>1.7891194808231647</c:v>
                </c:pt>
                <c:pt idx="84">
                  <c:v>1.784878812711014</c:v>
                </c:pt>
                <c:pt idx="85">
                  <c:v>1.8304023634986806</c:v>
                </c:pt>
                <c:pt idx="86">
                  <c:v>1.9188250532802882</c:v>
                </c:pt>
                <c:pt idx="87">
                  <c:v>1.7220846151210745</c:v>
                </c:pt>
                <c:pt idx="88">
                  <c:v>1.8110732432705861</c:v>
                </c:pt>
                <c:pt idx="89">
                  <c:v>1.8441307584115361</c:v>
                </c:pt>
                <c:pt idx="90">
                  <c:v>1.7094905496176307</c:v>
                </c:pt>
                <c:pt idx="91">
                  <c:v>1.5728588601355393</c:v>
                </c:pt>
                <c:pt idx="92">
                  <c:v>1.5525250803151784</c:v>
                </c:pt>
                <c:pt idx="93">
                  <c:v>1.3632385468477801</c:v>
                </c:pt>
                <c:pt idx="94">
                  <c:v>1.3850455557574022</c:v>
                </c:pt>
                <c:pt idx="95">
                  <c:v>1.4106029337182369</c:v>
                </c:pt>
                <c:pt idx="96">
                  <c:v>1.546074634582443</c:v>
                </c:pt>
                <c:pt idx="97">
                  <c:v>1.486620641796607</c:v>
                </c:pt>
                <c:pt idx="98">
                  <c:v>1.5339623009708869</c:v>
                </c:pt>
                <c:pt idx="99">
                  <c:v>1.3716963256682708</c:v>
                </c:pt>
                <c:pt idx="100">
                  <c:v>1.2904156877940567</c:v>
                </c:pt>
                <c:pt idx="101">
                  <c:v>1.2576908655519126</c:v>
                </c:pt>
                <c:pt idx="102">
                  <c:v>1.2278860715846771</c:v>
                </c:pt>
                <c:pt idx="103">
                  <c:v>1.2705982413649031</c:v>
                </c:pt>
                <c:pt idx="104">
                  <c:v>1.2276558790444028</c:v>
                </c:pt>
                <c:pt idx="105">
                  <c:v>1.2593995895316827</c:v>
                </c:pt>
                <c:pt idx="106">
                  <c:v>1.2939519898904728</c:v>
                </c:pt>
                <c:pt idx="107">
                  <c:v>1.2966500034427988</c:v>
                </c:pt>
                <c:pt idx="108">
                  <c:v>1.4230219232932715</c:v>
                </c:pt>
                <c:pt idx="109">
                  <c:v>1.2858741628807633</c:v>
                </c:pt>
                <c:pt idx="110">
                  <c:v>1.3312736607820246</c:v>
                </c:pt>
                <c:pt idx="111">
                  <c:v>1.260318608345139</c:v>
                </c:pt>
                <c:pt idx="112">
                  <c:v>1.2026328389978795</c:v>
                </c:pt>
                <c:pt idx="113">
                  <c:v>1.2245057132476538</c:v>
                </c:pt>
                <c:pt idx="114">
                  <c:v>1.243416087416197</c:v>
                </c:pt>
                <c:pt idx="115">
                  <c:v>1.3593028191611887</c:v>
                </c:pt>
                <c:pt idx="116">
                  <c:v>1.4058666856409667</c:v>
                </c:pt>
                <c:pt idx="117">
                  <c:v>1.4257086342201928</c:v>
                </c:pt>
                <c:pt idx="118">
                  <c:v>1.3786384782156611</c:v>
                </c:pt>
                <c:pt idx="119">
                  <c:v>1.3674603105665597</c:v>
                </c:pt>
                <c:pt idx="120">
                  <c:v>1.3778833349430746</c:v>
                </c:pt>
                <c:pt idx="121">
                  <c:v>1.4369963100212606</c:v>
                </c:pt>
                <c:pt idx="122">
                  <c:v>1.2468880675753422</c:v>
                </c:pt>
                <c:pt idx="123">
                  <c:v>1.2011597504028553</c:v>
                </c:pt>
                <c:pt idx="124">
                  <c:v>1.242077480102546</c:v>
                </c:pt>
                <c:pt idx="125">
                  <c:v>1.2201297523265051</c:v>
                </c:pt>
                <c:pt idx="126">
                  <c:v>1.1251448881052681</c:v>
                </c:pt>
                <c:pt idx="127">
                  <c:v>1.1377940596910574</c:v>
                </c:pt>
                <c:pt idx="128">
                  <c:v>1.2775930784344471</c:v>
                </c:pt>
                <c:pt idx="129">
                  <c:v>1.3782721791116488</c:v>
                </c:pt>
                <c:pt idx="130">
                  <c:v>1.3097706985438098</c:v>
                </c:pt>
                <c:pt idx="131">
                  <c:v>1.1950714709028929</c:v>
                </c:pt>
                <c:pt idx="132">
                  <c:v>1.135830474247707</c:v>
                </c:pt>
                <c:pt idx="133">
                  <c:v>1.1012798382677274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99-4669-A514-6D06150E9160}"/>
            </c:ext>
          </c:extLst>
        </c:ser>
        <c:ser>
          <c:idx val="2"/>
          <c:order val="2"/>
          <c:tx>
            <c:strRef>
              <c:f>'畫圖(預測)'!$A$14:$B$14</c:f>
              <c:strCache>
                <c:ptCount val="2"/>
                <c:pt idx="0">
                  <c:v>投資組合</c:v>
                </c:pt>
                <c:pt idx="1">
                  <c:v>137等第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'畫圖(預測)'!$C$10:$EF$11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'畫圖(預測)'!$C$14:$EF$14</c:f>
              <c:numCache>
                <c:formatCode>0.0000</c:formatCode>
                <c:ptCount val="134"/>
                <c:pt idx="0">
                  <c:v>-5.9146797802220617E-2</c:v>
                </c:pt>
                <c:pt idx="1">
                  <c:v>0.34273688361984739</c:v>
                </c:pt>
                <c:pt idx="2">
                  <c:v>0.24226126061675518</c:v>
                </c:pt>
                <c:pt idx="3">
                  <c:v>0.36164422071894498</c:v>
                </c:pt>
                <c:pt idx="4">
                  <c:v>0.25332784743386499</c:v>
                </c:pt>
                <c:pt idx="5">
                  <c:v>0.26195007518830932</c:v>
                </c:pt>
                <c:pt idx="6">
                  <c:v>0.12644989496506823</c:v>
                </c:pt>
                <c:pt idx="7">
                  <c:v>0.16986141071670985</c:v>
                </c:pt>
                <c:pt idx="8">
                  <c:v>0.30550929949434213</c:v>
                </c:pt>
                <c:pt idx="9">
                  <c:v>0.25475109238762311</c:v>
                </c:pt>
                <c:pt idx="10">
                  <c:v>0.28380255676408045</c:v>
                </c:pt>
                <c:pt idx="11">
                  <c:v>0.42501004526037656</c:v>
                </c:pt>
                <c:pt idx="12">
                  <c:v>0.52868053488999578</c:v>
                </c:pt>
                <c:pt idx="13">
                  <c:v>0.53700862074390476</c:v>
                </c:pt>
                <c:pt idx="14">
                  <c:v>0.72598403943339462</c:v>
                </c:pt>
                <c:pt idx="15">
                  <c:v>0.78747627730536962</c:v>
                </c:pt>
                <c:pt idx="16">
                  <c:v>0.93128150460426884</c:v>
                </c:pt>
                <c:pt idx="17">
                  <c:v>0.9855259446358775</c:v>
                </c:pt>
                <c:pt idx="18">
                  <c:v>1.1180209690656966</c:v>
                </c:pt>
                <c:pt idx="19">
                  <c:v>1.2394124304916223</c:v>
                </c:pt>
                <c:pt idx="20">
                  <c:v>1.4055472597609213</c:v>
                </c:pt>
                <c:pt idx="21">
                  <c:v>1.5326700683864116</c:v>
                </c:pt>
                <c:pt idx="22">
                  <c:v>1.6365493122952228</c:v>
                </c:pt>
                <c:pt idx="23">
                  <c:v>1.7257836757357456</c:v>
                </c:pt>
                <c:pt idx="24">
                  <c:v>1.6840784305530216</c:v>
                </c:pt>
                <c:pt idx="25">
                  <c:v>1.5993801308225375</c:v>
                </c:pt>
                <c:pt idx="26">
                  <c:v>1.6007455512993698</c:v>
                </c:pt>
                <c:pt idx="27">
                  <c:v>1.5283017622108384</c:v>
                </c:pt>
                <c:pt idx="28">
                  <c:v>1.7866931111260469</c:v>
                </c:pt>
                <c:pt idx="29">
                  <c:v>1.6361494713019735</c:v>
                </c:pt>
                <c:pt idx="30">
                  <c:v>1.5544294914092198</c:v>
                </c:pt>
                <c:pt idx="31">
                  <c:v>1.7174979962340695</c:v>
                </c:pt>
                <c:pt idx="32">
                  <c:v>1.6360742461828999</c:v>
                </c:pt>
                <c:pt idx="33">
                  <c:v>1.5652070285212973</c:v>
                </c:pt>
                <c:pt idx="34">
                  <c:v>1.542374143159301</c:v>
                </c:pt>
                <c:pt idx="35">
                  <c:v>1.5899019067915587</c:v>
                </c:pt>
                <c:pt idx="36">
                  <c:v>1.6565453122163301</c:v>
                </c:pt>
                <c:pt idx="37">
                  <c:v>1.7358399521715318</c:v>
                </c:pt>
                <c:pt idx="38">
                  <c:v>1.7604242326163386</c:v>
                </c:pt>
                <c:pt idx="39">
                  <c:v>1.7584098011684304</c:v>
                </c:pt>
                <c:pt idx="40">
                  <c:v>1.8346406464948803</c:v>
                </c:pt>
                <c:pt idx="41">
                  <c:v>1.7729461228940988</c:v>
                </c:pt>
                <c:pt idx="42">
                  <c:v>1.8587726744480679</c:v>
                </c:pt>
                <c:pt idx="43">
                  <c:v>2.0251584838721266</c:v>
                </c:pt>
                <c:pt idx="44">
                  <c:v>2.1640566985183463</c:v>
                </c:pt>
                <c:pt idx="45">
                  <c:v>2.1991143860942226</c:v>
                </c:pt>
                <c:pt idx="46">
                  <c:v>2.1745763518531152</c:v>
                </c:pt>
                <c:pt idx="47">
                  <c:v>2.0485120144269877</c:v>
                </c:pt>
                <c:pt idx="48">
                  <c:v>2.0183226556984977</c:v>
                </c:pt>
                <c:pt idx="49">
                  <c:v>1.9666763283049893</c:v>
                </c:pt>
                <c:pt idx="50">
                  <c:v>1.9673086392296748</c:v>
                </c:pt>
                <c:pt idx="51">
                  <c:v>2.1345666577104674</c:v>
                </c:pt>
                <c:pt idx="52">
                  <c:v>2.217768230303788</c:v>
                </c:pt>
                <c:pt idx="53">
                  <c:v>2.1937519586164878</c:v>
                </c:pt>
                <c:pt idx="54">
                  <c:v>2.1253907453783247</c:v>
                </c:pt>
                <c:pt idx="55">
                  <c:v>2.2903772400743323</c:v>
                </c:pt>
                <c:pt idx="56">
                  <c:v>2.2735709988481281</c:v>
                </c:pt>
                <c:pt idx="57">
                  <c:v>2.2940748519119336</c:v>
                </c:pt>
                <c:pt idx="58">
                  <c:v>2.3700659456523923</c:v>
                </c:pt>
                <c:pt idx="59">
                  <c:v>2.4685998023378142</c:v>
                </c:pt>
                <c:pt idx="60">
                  <c:v>2.469580886240931</c:v>
                </c:pt>
                <c:pt idx="61">
                  <c:v>2.525368767102711</c:v>
                </c:pt>
                <c:pt idx="62">
                  <c:v>2.5534501234758062</c:v>
                </c:pt>
                <c:pt idx="63">
                  <c:v>2.5956417122806097</c:v>
                </c:pt>
                <c:pt idx="64">
                  <c:v>2.5754142161742353</c:v>
                </c:pt>
                <c:pt idx="65">
                  <c:v>2.5129507841377836</c:v>
                </c:pt>
                <c:pt idx="66">
                  <c:v>2.4264910932255543</c:v>
                </c:pt>
                <c:pt idx="67">
                  <c:v>2.4207428996415996</c:v>
                </c:pt>
                <c:pt idx="68">
                  <c:v>2.3878696430655677</c:v>
                </c:pt>
                <c:pt idx="69">
                  <c:v>2.3263243201728629</c:v>
                </c:pt>
                <c:pt idx="70">
                  <c:v>2.4070017642129038</c:v>
                </c:pt>
                <c:pt idx="71">
                  <c:v>2.2914962455002597</c:v>
                </c:pt>
                <c:pt idx="72">
                  <c:v>2.5098717446312482</c:v>
                </c:pt>
                <c:pt idx="73">
                  <c:v>2.43529088121665</c:v>
                </c:pt>
                <c:pt idx="74">
                  <c:v>2.3726041367665651</c:v>
                </c:pt>
                <c:pt idx="75">
                  <c:v>2.219284148963967</c:v>
                </c:pt>
                <c:pt idx="76">
                  <c:v>2.203207605071106</c:v>
                </c:pt>
                <c:pt idx="77">
                  <c:v>2.0963615446010326</c:v>
                </c:pt>
                <c:pt idx="78">
                  <c:v>2.2010221684426776</c:v>
                </c:pt>
                <c:pt idx="79">
                  <c:v>2.0794269452739136</c:v>
                </c:pt>
                <c:pt idx="80">
                  <c:v>1.9015005889650363</c:v>
                </c:pt>
                <c:pt idx="81">
                  <c:v>1.8575428455784275</c:v>
                </c:pt>
                <c:pt idx="82">
                  <c:v>1.7659335900145081</c:v>
                </c:pt>
                <c:pt idx="83">
                  <c:v>1.8112992389736668</c:v>
                </c:pt>
                <c:pt idx="84">
                  <c:v>1.9263585497828453</c:v>
                </c:pt>
                <c:pt idx="85">
                  <c:v>1.9886722276077549</c:v>
                </c:pt>
                <c:pt idx="86">
                  <c:v>2.0847302592732779</c:v>
                </c:pt>
                <c:pt idx="87">
                  <c:v>1.9318163154637928</c:v>
                </c:pt>
                <c:pt idx="88">
                  <c:v>2.0754648586281865</c:v>
                </c:pt>
                <c:pt idx="89">
                  <c:v>2.110551112606363</c:v>
                </c:pt>
                <c:pt idx="90">
                  <c:v>1.9599536029841156</c:v>
                </c:pt>
                <c:pt idx="91">
                  <c:v>1.7971144940361048</c:v>
                </c:pt>
                <c:pt idx="92">
                  <c:v>1.8353571696310476</c:v>
                </c:pt>
                <c:pt idx="93">
                  <c:v>1.6416347619788383</c:v>
                </c:pt>
                <c:pt idx="94">
                  <c:v>1.6697633223929269</c:v>
                </c:pt>
                <c:pt idx="95">
                  <c:v>1.6534908281929181</c:v>
                </c:pt>
                <c:pt idx="96">
                  <c:v>1.7980556493690529</c:v>
                </c:pt>
                <c:pt idx="97">
                  <c:v>1.73511102732459</c:v>
                </c:pt>
                <c:pt idx="98">
                  <c:v>1.8016696018229061</c:v>
                </c:pt>
                <c:pt idx="99">
                  <c:v>1.648593912213753</c:v>
                </c:pt>
                <c:pt idx="100">
                  <c:v>1.5554155283058455</c:v>
                </c:pt>
                <c:pt idx="101">
                  <c:v>1.4639563148931429</c:v>
                </c:pt>
                <c:pt idx="102">
                  <c:v>1.4165753753744494</c:v>
                </c:pt>
                <c:pt idx="103">
                  <c:v>1.4623105840532089</c:v>
                </c:pt>
                <c:pt idx="104">
                  <c:v>1.4259018025577026</c:v>
                </c:pt>
                <c:pt idx="105">
                  <c:v>1.4669159898770365</c:v>
                </c:pt>
                <c:pt idx="106">
                  <c:v>1.5053365773634875</c:v>
                </c:pt>
                <c:pt idx="107">
                  <c:v>1.5334085524414489</c:v>
                </c:pt>
                <c:pt idx="108">
                  <c:v>1.6516256457150442</c:v>
                </c:pt>
                <c:pt idx="109">
                  <c:v>1.459224263755903</c:v>
                </c:pt>
                <c:pt idx="110">
                  <c:v>1.4778375117863212</c:v>
                </c:pt>
                <c:pt idx="111">
                  <c:v>1.3316414356869088</c:v>
                </c:pt>
                <c:pt idx="112">
                  <c:v>1.2743908457002828</c:v>
                </c:pt>
                <c:pt idx="113">
                  <c:v>1.278221119767875</c:v>
                </c:pt>
                <c:pt idx="114">
                  <c:v>1.2834717985101389</c:v>
                </c:pt>
                <c:pt idx="115">
                  <c:v>1.4085804817796697</c:v>
                </c:pt>
                <c:pt idx="116">
                  <c:v>1.4387794992412595</c:v>
                </c:pt>
                <c:pt idx="117">
                  <c:v>1.4181748127743938</c:v>
                </c:pt>
                <c:pt idx="118">
                  <c:v>1.352425354590495</c:v>
                </c:pt>
                <c:pt idx="119">
                  <c:v>1.3419741057709784</c:v>
                </c:pt>
                <c:pt idx="120">
                  <c:v>1.3673597570281166</c:v>
                </c:pt>
                <c:pt idx="121">
                  <c:v>1.3899607918692241</c:v>
                </c:pt>
                <c:pt idx="122">
                  <c:v>1.2273720074449739</c:v>
                </c:pt>
                <c:pt idx="123">
                  <c:v>1.1568443149388963</c:v>
                </c:pt>
                <c:pt idx="124">
                  <c:v>1.2387530072232695</c:v>
                </c:pt>
                <c:pt idx="125">
                  <c:v>1.3069303007450048</c:v>
                </c:pt>
                <c:pt idx="126">
                  <c:v>1.1411671960830017</c:v>
                </c:pt>
                <c:pt idx="127">
                  <c:v>1.0979393412135598</c:v>
                </c:pt>
                <c:pt idx="128">
                  <c:v>1.2968850893778971</c:v>
                </c:pt>
                <c:pt idx="129">
                  <c:v>1.4068494438280925</c:v>
                </c:pt>
                <c:pt idx="130">
                  <c:v>1.2638092132353069</c:v>
                </c:pt>
                <c:pt idx="131">
                  <c:v>1.1810501118467402</c:v>
                </c:pt>
                <c:pt idx="132">
                  <c:v>1.1280350715313761</c:v>
                </c:pt>
                <c:pt idx="133">
                  <c:v>1.0640807378422317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99-4669-A514-6D06150E9160}"/>
            </c:ext>
          </c:extLst>
        </c:ser>
        <c:ser>
          <c:idx val="3"/>
          <c:order val="3"/>
          <c:tx>
            <c:strRef>
              <c:f>'畫圖(預測)'!$A$15:$B$15</c:f>
              <c:strCache>
                <c:ptCount val="2"/>
                <c:pt idx="0">
                  <c:v>投資組合</c:v>
                </c:pt>
                <c:pt idx="1">
                  <c:v>160等第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'畫圖(預測)'!$C$10:$EF$11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'畫圖(預測)'!$C$15:$EF$15</c:f>
              <c:numCache>
                <c:formatCode>0.0000</c:formatCode>
                <c:ptCount val="134"/>
                <c:pt idx="0">
                  <c:v>-7.386192988077088E-2</c:v>
                </c:pt>
                <c:pt idx="1">
                  <c:v>0.33365878020869838</c:v>
                </c:pt>
                <c:pt idx="2">
                  <c:v>0.19307510361736718</c:v>
                </c:pt>
                <c:pt idx="3">
                  <c:v>0.37076376542292766</c:v>
                </c:pt>
                <c:pt idx="4">
                  <c:v>0.27469779356575025</c:v>
                </c:pt>
                <c:pt idx="5">
                  <c:v>0.26262900510326531</c:v>
                </c:pt>
                <c:pt idx="6">
                  <c:v>0.12797467221179881</c:v>
                </c:pt>
                <c:pt idx="7">
                  <c:v>0.16340425673198983</c:v>
                </c:pt>
                <c:pt idx="8">
                  <c:v>0.40219367145590657</c:v>
                </c:pt>
                <c:pt idx="9">
                  <c:v>0.38186702181556148</c:v>
                </c:pt>
                <c:pt idx="10">
                  <c:v>0.33817678565925419</c:v>
                </c:pt>
                <c:pt idx="11">
                  <c:v>0.49002036680723426</c:v>
                </c:pt>
                <c:pt idx="12">
                  <c:v>0.58224174982669152</c:v>
                </c:pt>
                <c:pt idx="13">
                  <c:v>0.60575491065121156</c:v>
                </c:pt>
                <c:pt idx="14">
                  <c:v>0.80291799891573146</c:v>
                </c:pt>
                <c:pt idx="15">
                  <c:v>0.89321708954658774</c:v>
                </c:pt>
                <c:pt idx="16">
                  <c:v>1.0159089658823293</c:v>
                </c:pt>
                <c:pt idx="17">
                  <c:v>1.0430632438686285</c:v>
                </c:pt>
                <c:pt idx="18">
                  <c:v>1.1787615825005517</c:v>
                </c:pt>
                <c:pt idx="19">
                  <c:v>1.271449902225865</c:v>
                </c:pt>
                <c:pt idx="20">
                  <c:v>1.4461846655280965</c:v>
                </c:pt>
                <c:pt idx="21">
                  <c:v>1.5691078117738135</c:v>
                </c:pt>
                <c:pt idx="22">
                  <c:v>1.6722380507042518</c:v>
                </c:pt>
                <c:pt idx="23">
                  <c:v>1.7638571612802754</c:v>
                </c:pt>
                <c:pt idx="24">
                  <c:v>1.7222869767421196</c:v>
                </c:pt>
                <c:pt idx="25">
                  <c:v>1.6200333708581769</c:v>
                </c:pt>
                <c:pt idx="26">
                  <c:v>1.6341749135667867</c:v>
                </c:pt>
                <c:pt idx="27">
                  <c:v>1.6101774563057261</c:v>
                </c:pt>
                <c:pt idx="28">
                  <c:v>1.9186703142310948</c:v>
                </c:pt>
                <c:pt idx="29">
                  <c:v>1.7498397335230518</c:v>
                </c:pt>
                <c:pt idx="30">
                  <c:v>1.7083526300787402</c:v>
                </c:pt>
                <c:pt idx="31">
                  <c:v>1.9125089172439498</c:v>
                </c:pt>
                <c:pt idx="32">
                  <c:v>1.8647425644841533</c:v>
                </c:pt>
                <c:pt idx="33">
                  <c:v>1.7875398548395818</c:v>
                </c:pt>
                <c:pt idx="34">
                  <c:v>1.7469583317264188</c:v>
                </c:pt>
                <c:pt idx="35">
                  <c:v>1.8172292773972243</c:v>
                </c:pt>
                <c:pt idx="36">
                  <c:v>1.8603352892086291</c:v>
                </c:pt>
                <c:pt idx="37">
                  <c:v>1.9439035835743113</c:v>
                </c:pt>
                <c:pt idx="38">
                  <c:v>1.999793709703426</c:v>
                </c:pt>
                <c:pt idx="39">
                  <c:v>1.9900815887618259</c:v>
                </c:pt>
                <c:pt idx="40">
                  <c:v>2.0783343458224768</c:v>
                </c:pt>
                <c:pt idx="41">
                  <c:v>2.0037174481878179</c:v>
                </c:pt>
                <c:pt idx="42">
                  <c:v>2.1015144034561324</c:v>
                </c:pt>
                <c:pt idx="43">
                  <c:v>2.2861080672661904</c:v>
                </c:pt>
                <c:pt idx="44">
                  <c:v>2.4391226937404511</c:v>
                </c:pt>
                <c:pt idx="45">
                  <c:v>2.4817999894647884</c:v>
                </c:pt>
                <c:pt idx="46">
                  <c:v>2.4594438213106518</c:v>
                </c:pt>
                <c:pt idx="47">
                  <c:v>2.2353200260097958</c:v>
                </c:pt>
                <c:pt idx="48">
                  <c:v>2.1690467832973237</c:v>
                </c:pt>
                <c:pt idx="49">
                  <c:v>2.0534352549279</c:v>
                </c:pt>
                <c:pt idx="50">
                  <c:v>2.0190713709738271</c:v>
                </c:pt>
                <c:pt idx="51">
                  <c:v>2.2208732816370347</c:v>
                </c:pt>
                <c:pt idx="52">
                  <c:v>2.2849287679832204</c:v>
                </c:pt>
                <c:pt idx="53">
                  <c:v>2.2816943753531524</c:v>
                </c:pt>
                <c:pt idx="54">
                  <c:v>2.2305625013894859</c:v>
                </c:pt>
                <c:pt idx="55">
                  <c:v>2.3723719363532276</c:v>
                </c:pt>
                <c:pt idx="56">
                  <c:v>2.3560282780203856</c:v>
                </c:pt>
                <c:pt idx="57">
                  <c:v>2.3580464797218168</c:v>
                </c:pt>
                <c:pt idx="58">
                  <c:v>2.4593307096810331</c:v>
                </c:pt>
                <c:pt idx="59">
                  <c:v>2.5182429268534889</c:v>
                </c:pt>
                <c:pt idx="60">
                  <c:v>2.4487238902240471</c:v>
                </c:pt>
                <c:pt idx="61">
                  <c:v>2.5118884239710666</c:v>
                </c:pt>
                <c:pt idx="62">
                  <c:v>2.5436746888402118</c:v>
                </c:pt>
                <c:pt idx="63">
                  <c:v>2.6158597885627128</c:v>
                </c:pt>
                <c:pt idx="64">
                  <c:v>2.5901308272975974</c:v>
                </c:pt>
                <c:pt idx="65">
                  <c:v>2.5777204860199965</c:v>
                </c:pt>
                <c:pt idx="66">
                  <c:v>2.4680673510869395</c:v>
                </c:pt>
                <c:pt idx="67">
                  <c:v>2.4747425971104597</c:v>
                </c:pt>
                <c:pt idx="68">
                  <c:v>2.4782425290500987</c:v>
                </c:pt>
                <c:pt idx="69">
                  <c:v>2.3959191253727874</c:v>
                </c:pt>
                <c:pt idx="70">
                  <c:v>2.4718553766070253</c:v>
                </c:pt>
                <c:pt idx="71">
                  <c:v>2.3717701110254099</c:v>
                </c:pt>
                <c:pt idx="72">
                  <c:v>2.6792231178351433</c:v>
                </c:pt>
                <c:pt idx="73">
                  <c:v>2.6243928362748266</c:v>
                </c:pt>
                <c:pt idx="74">
                  <c:v>2.5967173438631659</c:v>
                </c:pt>
                <c:pt idx="75">
                  <c:v>2.5280152190411118</c:v>
                </c:pt>
                <c:pt idx="76">
                  <c:v>2.4986864638173372</c:v>
                </c:pt>
                <c:pt idx="77">
                  <c:v>2.37084825471644</c:v>
                </c:pt>
                <c:pt idx="78">
                  <c:v>2.3933544876149573</c:v>
                </c:pt>
                <c:pt idx="79">
                  <c:v>2.24462257432655</c:v>
                </c:pt>
                <c:pt idx="80">
                  <c:v>2.0463567451495908</c:v>
                </c:pt>
                <c:pt idx="81">
                  <c:v>1.9673052201787764</c:v>
                </c:pt>
                <c:pt idx="82">
                  <c:v>1.9101875953118193</c:v>
                </c:pt>
                <c:pt idx="83">
                  <c:v>1.9529026390545534</c:v>
                </c:pt>
                <c:pt idx="84">
                  <c:v>2.063636846808258</c:v>
                </c:pt>
                <c:pt idx="85">
                  <c:v>2.125577346774294</c:v>
                </c:pt>
                <c:pt idx="86">
                  <c:v>2.2443746097316284</c:v>
                </c:pt>
                <c:pt idx="87">
                  <c:v>2.1290268280928908</c:v>
                </c:pt>
                <c:pt idx="88">
                  <c:v>2.304374469674606</c:v>
                </c:pt>
                <c:pt idx="89">
                  <c:v>2.3813071243419093</c:v>
                </c:pt>
                <c:pt idx="90">
                  <c:v>2.2151605665666287</c:v>
                </c:pt>
                <c:pt idx="91">
                  <c:v>2.0561279675842958</c:v>
                </c:pt>
                <c:pt idx="92">
                  <c:v>2.0885225751007144</c:v>
                </c:pt>
                <c:pt idx="93">
                  <c:v>1.9122158508545224</c:v>
                </c:pt>
                <c:pt idx="94">
                  <c:v>1.9559908378328266</c:v>
                </c:pt>
                <c:pt idx="95">
                  <c:v>1.9280502006478297</c:v>
                </c:pt>
                <c:pt idx="96">
                  <c:v>2.0746577439087686</c:v>
                </c:pt>
                <c:pt idx="97">
                  <c:v>1.9985152494296716</c:v>
                </c:pt>
                <c:pt idx="98">
                  <c:v>2.0590311280027089</c:v>
                </c:pt>
                <c:pt idx="99">
                  <c:v>1.910880837198204</c:v>
                </c:pt>
                <c:pt idx="100">
                  <c:v>1.8029887177410131</c:v>
                </c:pt>
                <c:pt idx="101">
                  <c:v>1.745489454652501</c:v>
                </c:pt>
                <c:pt idx="102">
                  <c:v>1.6872655779492642</c:v>
                </c:pt>
                <c:pt idx="103">
                  <c:v>1.7229864769744798</c:v>
                </c:pt>
                <c:pt idx="104">
                  <c:v>1.758165876876574</c:v>
                </c:pt>
                <c:pt idx="105">
                  <c:v>1.7643670021314029</c:v>
                </c:pt>
                <c:pt idx="106">
                  <c:v>1.7973854167871948</c:v>
                </c:pt>
                <c:pt idx="107">
                  <c:v>1.8186817592143618</c:v>
                </c:pt>
                <c:pt idx="108">
                  <c:v>1.9451725570518832</c:v>
                </c:pt>
                <c:pt idx="109">
                  <c:v>1.7205827763323951</c:v>
                </c:pt>
                <c:pt idx="110">
                  <c:v>1.7792298093436636</c:v>
                </c:pt>
                <c:pt idx="111">
                  <c:v>1.6139793403845917</c:v>
                </c:pt>
                <c:pt idx="112">
                  <c:v>1.5979950508099277</c:v>
                </c:pt>
                <c:pt idx="113">
                  <c:v>1.6099778367189015</c:v>
                </c:pt>
                <c:pt idx="114">
                  <c:v>1.5638799342332739</c:v>
                </c:pt>
                <c:pt idx="115">
                  <c:v>1.7378082359618221</c:v>
                </c:pt>
                <c:pt idx="116">
                  <c:v>1.786513755822416</c:v>
                </c:pt>
                <c:pt idx="117">
                  <c:v>1.8143517703054097</c:v>
                </c:pt>
                <c:pt idx="118">
                  <c:v>1.7339775984673347</c:v>
                </c:pt>
                <c:pt idx="119">
                  <c:v>1.7164327991915265</c:v>
                </c:pt>
                <c:pt idx="120">
                  <c:v>1.7613517623434065</c:v>
                </c:pt>
                <c:pt idx="121">
                  <c:v>1.7663850088635116</c:v>
                </c:pt>
                <c:pt idx="122">
                  <c:v>1.5718655694005323</c:v>
                </c:pt>
                <c:pt idx="123">
                  <c:v>1.5002721828031302</c:v>
                </c:pt>
                <c:pt idx="124">
                  <c:v>1.5608813221438145</c:v>
                </c:pt>
                <c:pt idx="125">
                  <c:v>1.6554955155013522</c:v>
                </c:pt>
                <c:pt idx="126">
                  <c:v>1.5033761058968653</c:v>
                </c:pt>
                <c:pt idx="127">
                  <c:v>1.4237325377584302</c:v>
                </c:pt>
                <c:pt idx="128">
                  <c:v>1.6567783680637107</c:v>
                </c:pt>
                <c:pt idx="129">
                  <c:v>1.7655318777019633</c:v>
                </c:pt>
                <c:pt idx="130">
                  <c:v>1.6217576748769542</c:v>
                </c:pt>
                <c:pt idx="131">
                  <c:v>1.5414724166005791</c:v>
                </c:pt>
                <c:pt idx="132">
                  <c:v>1.5186565307566662</c:v>
                </c:pt>
                <c:pt idx="133">
                  <c:v>1.4446336113591611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99-4669-A514-6D06150E9160}"/>
            </c:ext>
          </c:extLst>
        </c:ser>
        <c:ser>
          <c:idx val="4"/>
          <c:order val="4"/>
          <c:tx>
            <c:strRef>
              <c:f>'畫圖(預測)'!$A$16:$B$16</c:f>
              <c:strCache>
                <c:ptCount val="2"/>
                <c:pt idx="0">
                  <c:v>投資組合</c:v>
                </c:pt>
                <c:pt idx="1">
                  <c:v>192等第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'畫圖(預測)'!$C$10:$EF$11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'畫圖(預測)'!$C$16:$EF$16</c:f>
              <c:numCache>
                <c:formatCode>0.0000</c:formatCode>
                <c:ptCount val="134"/>
                <c:pt idx="0">
                  <c:v>1.1241331728202891E-2</c:v>
                </c:pt>
                <c:pt idx="1">
                  <c:v>0.3932663517755528</c:v>
                </c:pt>
                <c:pt idx="2">
                  <c:v>0.2471414465113069</c:v>
                </c:pt>
                <c:pt idx="3">
                  <c:v>0.45267271084448113</c:v>
                </c:pt>
                <c:pt idx="4">
                  <c:v>0.33548956955554204</c:v>
                </c:pt>
                <c:pt idx="5">
                  <c:v>0.34707259563411974</c:v>
                </c:pt>
                <c:pt idx="6">
                  <c:v>0.18892303303301805</c:v>
                </c:pt>
                <c:pt idx="7">
                  <c:v>0.2233942917598743</c:v>
                </c:pt>
                <c:pt idx="8">
                  <c:v>0.43811879552095612</c:v>
                </c:pt>
                <c:pt idx="9">
                  <c:v>0.42911902417976777</c:v>
                </c:pt>
                <c:pt idx="10">
                  <c:v>0.35140079588849427</c:v>
                </c:pt>
                <c:pt idx="11">
                  <c:v>0.51954438407803816</c:v>
                </c:pt>
                <c:pt idx="12">
                  <c:v>0.61864586822251189</c:v>
                </c:pt>
                <c:pt idx="13">
                  <c:v>0.6617845471110394</c:v>
                </c:pt>
                <c:pt idx="14">
                  <c:v>0.87851028611401794</c:v>
                </c:pt>
                <c:pt idx="15">
                  <c:v>0.98776334175148672</c:v>
                </c:pt>
                <c:pt idx="16">
                  <c:v>1.0703259524587747</c:v>
                </c:pt>
                <c:pt idx="17">
                  <c:v>1.0546630419395153</c:v>
                </c:pt>
                <c:pt idx="18">
                  <c:v>1.2033127220572903</c:v>
                </c:pt>
                <c:pt idx="19">
                  <c:v>1.3068303252619078</c:v>
                </c:pt>
                <c:pt idx="20">
                  <c:v>1.5332739873450092</c:v>
                </c:pt>
                <c:pt idx="21">
                  <c:v>1.6833162989725479</c:v>
                </c:pt>
                <c:pt idx="22">
                  <c:v>1.8122813378549216</c:v>
                </c:pt>
                <c:pt idx="23">
                  <c:v>1.9178982983385808</c:v>
                </c:pt>
                <c:pt idx="24">
                  <c:v>1.8963037449512836</c:v>
                </c:pt>
                <c:pt idx="25">
                  <c:v>1.8115439042251105</c:v>
                </c:pt>
                <c:pt idx="26">
                  <c:v>1.858792166953078</c:v>
                </c:pt>
                <c:pt idx="27">
                  <c:v>1.8318048633824</c:v>
                </c:pt>
                <c:pt idx="28">
                  <c:v>1.9930260705375109</c:v>
                </c:pt>
                <c:pt idx="29">
                  <c:v>1.7695282509011383</c:v>
                </c:pt>
                <c:pt idx="30">
                  <c:v>1.7373650020194618</c:v>
                </c:pt>
                <c:pt idx="31">
                  <c:v>1.9540074546678226</c:v>
                </c:pt>
                <c:pt idx="32">
                  <c:v>1.8707281009170991</c:v>
                </c:pt>
                <c:pt idx="33">
                  <c:v>1.8100024162563149</c:v>
                </c:pt>
                <c:pt idx="34">
                  <c:v>1.8017539011937018</c:v>
                </c:pt>
                <c:pt idx="35">
                  <c:v>1.8746473532306789</c:v>
                </c:pt>
                <c:pt idx="36">
                  <c:v>1.9077433339794816</c:v>
                </c:pt>
                <c:pt idx="37">
                  <c:v>1.9832135274984799</c:v>
                </c:pt>
                <c:pt idx="38">
                  <c:v>2.0323218221378796</c:v>
                </c:pt>
                <c:pt idx="39">
                  <c:v>2.0197173061747131</c:v>
                </c:pt>
                <c:pt idx="40">
                  <c:v>1.9922648208417622</c:v>
                </c:pt>
                <c:pt idx="41">
                  <c:v>1.978975547751928</c:v>
                </c:pt>
                <c:pt idx="42">
                  <c:v>2.0910713574347448</c:v>
                </c:pt>
                <c:pt idx="43">
                  <c:v>2.3301951048798153</c:v>
                </c:pt>
                <c:pt idx="44">
                  <c:v>2.4732677458069809</c:v>
                </c:pt>
                <c:pt idx="45">
                  <c:v>2.5447409314609142</c:v>
                </c:pt>
                <c:pt idx="46">
                  <c:v>2.5378756632817634</c:v>
                </c:pt>
                <c:pt idx="47">
                  <c:v>2.3335364433212167</c:v>
                </c:pt>
                <c:pt idx="48">
                  <c:v>2.4155940793387831</c:v>
                </c:pt>
                <c:pt idx="49">
                  <c:v>2.2593200716321191</c:v>
                </c:pt>
                <c:pt idx="50">
                  <c:v>2.2225212067715785</c:v>
                </c:pt>
                <c:pt idx="51">
                  <c:v>2.4537348329596553</c:v>
                </c:pt>
                <c:pt idx="52">
                  <c:v>2.5243404006373957</c:v>
                </c:pt>
                <c:pt idx="53">
                  <c:v>2.4709105874157986</c:v>
                </c:pt>
                <c:pt idx="54">
                  <c:v>2.4768573845550588</c:v>
                </c:pt>
                <c:pt idx="55">
                  <c:v>2.6148286476240341</c:v>
                </c:pt>
                <c:pt idx="56">
                  <c:v>2.6079025049153408</c:v>
                </c:pt>
                <c:pt idx="57">
                  <c:v>2.5362960578012297</c:v>
                </c:pt>
                <c:pt idx="58">
                  <c:v>2.6505517235357532</c:v>
                </c:pt>
                <c:pt idx="59">
                  <c:v>2.6996915073470271</c:v>
                </c:pt>
                <c:pt idx="60">
                  <c:v>2.5970932231925818</c:v>
                </c:pt>
                <c:pt idx="61">
                  <c:v>2.6669526651298026</c:v>
                </c:pt>
                <c:pt idx="62">
                  <c:v>2.7144212165939914</c:v>
                </c:pt>
                <c:pt idx="63">
                  <c:v>2.800085848035172</c:v>
                </c:pt>
                <c:pt idx="64">
                  <c:v>2.8385475655511514</c:v>
                </c:pt>
                <c:pt idx="65">
                  <c:v>2.8458298130574762</c:v>
                </c:pt>
                <c:pt idx="66">
                  <c:v>2.7372295454982241</c:v>
                </c:pt>
                <c:pt idx="67">
                  <c:v>2.7493031772286964</c:v>
                </c:pt>
                <c:pt idx="68">
                  <c:v>2.7818393749535524</c:v>
                </c:pt>
                <c:pt idx="69">
                  <c:v>2.6853088737390967</c:v>
                </c:pt>
                <c:pt idx="70">
                  <c:v>2.7840638231068033</c:v>
                </c:pt>
                <c:pt idx="71">
                  <c:v>2.6503538986297968</c:v>
                </c:pt>
                <c:pt idx="72">
                  <c:v>3.0021834486782013</c:v>
                </c:pt>
                <c:pt idx="73">
                  <c:v>2.9441954304021705</c:v>
                </c:pt>
                <c:pt idx="74">
                  <c:v>2.9010119477149341</c:v>
                </c:pt>
                <c:pt idx="75">
                  <c:v>2.8107405434546506</c:v>
                </c:pt>
                <c:pt idx="76">
                  <c:v>2.7706378154028979</c:v>
                </c:pt>
                <c:pt idx="77">
                  <c:v>2.6441427696328788</c:v>
                </c:pt>
                <c:pt idx="78">
                  <c:v>2.6570579171109592</c:v>
                </c:pt>
                <c:pt idx="79">
                  <c:v>2.4681984045675636</c:v>
                </c:pt>
                <c:pt idx="80">
                  <c:v>2.2242346090978304</c:v>
                </c:pt>
                <c:pt idx="81">
                  <c:v>2.1184497198217387</c:v>
                </c:pt>
                <c:pt idx="82">
                  <c:v>2.0424794790786307</c:v>
                </c:pt>
                <c:pt idx="83">
                  <c:v>2.0646747081027637</c:v>
                </c:pt>
                <c:pt idx="84">
                  <c:v>2.1498829105378392</c:v>
                </c:pt>
                <c:pt idx="85">
                  <c:v>2.27332323042519</c:v>
                </c:pt>
                <c:pt idx="86">
                  <c:v>2.3539128543658117</c:v>
                </c:pt>
                <c:pt idx="87">
                  <c:v>2.20459970373556</c:v>
                </c:pt>
                <c:pt idx="88">
                  <c:v>2.3936508689061808</c:v>
                </c:pt>
                <c:pt idx="89">
                  <c:v>2.3714914575356962</c:v>
                </c:pt>
                <c:pt idx="90">
                  <c:v>2.1429732543541551</c:v>
                </c:pt>
                <c:pt idx="91">
                  <c:v>1.9509420492451277</c:v>
                </c:pt>
                <c:pt idx="92">
                  <c:v>1.9740600945454108</c:v>
                </c:pt>
                <c:pt idx="93">
                  <c:v>1.7785739840604686</c:v>
                </c:pt>
                <c:pt idx="94">
                  <c:v>1.8008670222198282</c:v>
                </c:pt>
                <c:pt idx="95">
                  <c:v>1.7827903114399932</c:v>
                </c:pt>
                <c:pt idx="96">
                  <c:v>1.92951832051162</c:v>
                </c:pt>
                <c:pt idx="97">
                  <c:v>1.8325143661898999</c:v>
                </c:pt>
                <c:pt idx="98">
                  <c:v>1.9004180743647454</c:v>
                </c:pt>
                <c:pt idx="99">
                  <c:v>1.7552638863648786</c:v>
                </c:pt>
                <c:pt idx="100">
                  <c:v>1.6542972292530551</c:v>
                </c:pt>
                <c:pt idx="101">
                  <c:v>1.6412345953907246</c:v>
                </c:pt>
                <c:pt idx="102">
                  <c:v>1.5937627022355469</c:v>
                </c:pt>
                <c:pt idx="103">
                  <c:v>1.6506654119926811</c:v>
                </c:pt>
                <c:pt idx="104">
                  <c:v>1.700278481228237</c:v>
                </c:pt>
                <c:pt idx="105">
                  <c:v>1.7038756659851872</c:v>
                </c:pt>
                <c:pt idx="106">
                  <c:v>1.71429438759204</c:v>
                </c:pt>
                <c:pt idx="107">
                  <c:v>1.7597943460828385</c:v>
                </c:pt>
                <c:pt idx="108">
                  <c:v>1.8838676540669597</c:v>
                </c:pt>
                <c:pt idx="109">
                  <c:v>1.6055688008980173</c:v>
                </c:pt>
                <c:pt idx="110">
                  <c:v>1.6798171364901107</c:v>
                </c:pt>
                <c:pt idx="111">
                  <c:v>1.5432590440574132</c:v>
                </c:pt>
                <c:pt idx="112">
                  <c:v>1.5224933855694185</c:v>
                </c:pt>
                <c:pt idx="113">
                  <c:v>1.5419587589030384</c:v>
                </c:pt>
                <c:pt idx="114">
                  <c:v>1.5848235330113842</c:v>
                </c:pt>
                <c:pt idx="115">
                  <c:v>1.7680582666325531</c:v>
                </c:pt>
                <c:pt idx="116">
                  <c:v>1.817879121309449</c:v>
                </c:pt>
                <c:pt idx="117">
                  <c:v>1.8277096527003363</c:v>
                </c:pt>
                <c:pt idx="118">
                  <c:v>1.7702494710756362</c:v>
                </c:pt>
                <c:pt idx="119">
                  <c:v>1.7146914788489049</c:v>
                </c:pt>
                <c:pt idx="120">
                  <c:v>1.6448987209506225</c:v>
                </c:pt>
                <c:pt idx="121">
                  <c:v>1.61521338215178</c:v>
                </c:pt>
                <c:pt idx="122">
                  <c:v>1.3425690543098345</c:v>
                </c:pt>
                <c:pt idx="123">
                  <c:v>1.2405268731273593</c:v>
                </c:pt>
                <c:pt idx="124">
                  <c:v>1.309587077085399</c:v>
                </c:pt>
                <c:pt idx="125">
                  <c:v>1.4074382952901243</c:v>
                </c:pt>
                <c:pt idx="126">
                  <c:v>1.220036465250931</c:v>
                </c:pt>
                <c:pt idx="127">
                  <c:v>1.2381515917633137</c:v>
                </c:pt>
                <c:pt idx="128">
                  <c:v>1.531841575727485</c:v>
                </c:pt>
                <c:pt idx="129">
                  <c:v>1.6142487181719047</c:v>
                </c:pt>
                <c:pt idx="130">
                  <c:v>1.4832425724098373</c:v>
                </c:pt>
                <c:pt idx="131">
                  <c:v>1.4254150082096386</c:v>
                </c:pt>
                <c:pt idx="132">
                  <c:v>1.4053974209126199</c:v>
                </c:pt>
                <c:pt idx="133">
                  <c:v>1.3195943600703703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99-4669-A514-6D06150E9160}"/>
            </c:ext>
          </c:extLst>
        </c:ser>
        <c:ser>
          <c:idx val="5"/>
          <c:order val="5"/>
          <c:tx>
            <c:strRef>
              <c:f>'畫圖(預測)'!$A$17:$B$17</c:f>
              <c:strCache>
                <c:ptCount val="2"/>
                <c:pt idx="0">
                  <c:v>投資組合</c:v>
                </c:pt>
                <c:pt idx="1">
                  <c:v>241等第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'畫圖(預測)'!$C$10:$EF$11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'畫圖(預測)'!$C$17:$EF$17</c:f>
              <c:numCache>
                <c:formatCode>0.0000</c:formatCode>
                <c:ptCount val="134"/>
                <c:pt idx="0">
                  <c:v>1.038483447742689E-2</c:v>
                </c:pt>
                <c:pt idx="1">
                  <c:v>0.13677275124425048</c:v>
                </c:pt>
                <c:pt idx="2">
                  <c:v>9.3055196364529469E-2</c:v>
                </c:pt>
                <c:pt idx="3">
                  <c:v>0.27709377797065948</c:v>
                </c:pt>
                <c:pt idx="4">
                  <c:v>0.133251626858095</c:v>
                </c:pt>
                <c:pt idx="5">
                  <c:v>9.5407549829802596E-2</c:v>
                </c:pt>
                <c:pt idx="6">
                  <c:v>-5.1848058297670391E-2</c:v>
                </c:pt>
                <c:pt idx="7">
                  <c:v>8.5872673939719271E-3</c:v>
                </c:pt>
                <c:pt idx="8">
                  <c:v>0.21546729339736742</c:v>
                </c:pt>
                <c:pt idx="9">
                  <c:v>0.158241126532423</c:v>
                </c:pt>
                <c:pt idx="10">
                  <c:v>5.8556533124211746E-2</c:v>
                </c:pt>
                <c:pt idx="11">
                  <c:v>0.19760720898501155</c:v>
                </c:pt>
                <c:pt idx="12">
                  <c:v>0.32738966751536502</c:v>
                </c:pt>
                <c:pt idx="13">
                  <c:v>0.36728139037546775</c:v>
                </c:pt>
                <c:pt idx="14">
                  <c:v>0.62459146446972003</c:v>
                </c:pt>
                <c:pt idx="15">
                  <c:v>0.72016677557635023</c:v>
                </c:pt>
                <c:pt idx="16">
                  <c:v>0.92932625105131472</c:v>
                </c:pt>
                <c:pt idx="17">
                  <c:v>0.94336661539151967</c:v>
                </c:pt>
                <c:pt idx="18">
                  <c:v>1.0296450330032776</c:v>
                </c:pt>
                <c:pt idx="19">
                  <c:v>1.1350158033926321</c:v>
                </c:pt>
                <c:pt idx="20">
                  <c:v>1.4579363520808191</c:v>
                </c:pt>
                <c:pt idx="21">
                  <c:v>1.6657376194341569</c:v>
                </c:pt>
                <c:pt idx="22">
                  <c:v>1.7584668433803614</c:v>
                </c:pt>
                <c:pt idx="23">
                  <c:v>1.8726708306030859</c:v>
                </c:pt>
                <c:pt idx="24">
                  <c:v>1.8921618741431798</c:v>
                </c:pt>
                <c:pt idx="25">
                  <c:v>1.7623222917461101</c:v>
                </c:pt>
                <c:pt idx="26">
                  <c:v>1.7811500284529103</c:v>
                </c:pt>
                <c:pt idx="27">
                  <c:v>1.8070833044503452</c:v>
                </c:pt>
                <c:pt idx="28">
                  <c:v>1.935188283246591</c:v>
                </c:pt>
                <c:pt idx="29">
                  <c:v>1.6400440251632276</c:v>
                </c:pt>
                <c:pt idx="30">
                  <c:v>1.6289974530567837</c:v>
                </c:pt>
                <c:pt idx="31">
                  <c:v>1.8693487087155505</c:v>
                </c:pt>
                <c:pt idx="32">
                  <c:v>1.8016190281203994</c:v>
                </c:pt>
                <c:pt idx="33">
                  <c:v>1.7226778641087002</c:v>
                </c:pt>
                <c:pt idx="34">
                  <c:v>1.7409962330180129</c:v>
                </c:pt>
                <c:pt idx="35">
                  <c:v>1.8063760557511235</c:v>
                </c:pt>
                <c:pt idx="36">
                  <c:v>1.874911863198754</c:v>
                </c:pt>
                <c:pt idx="37">
                  <c:v>1.9868679192618484</c:v>
                </c:pt>
                <c:pt idx="38">
                  <c:v>2.0724356941757356</c:v>
                </c:pt>
                <c:pt idx="39">
                  <c:v>2.0534933152595625</c:v>
                </c:pt>
                <c:pt idx="40">
                  <c:v>1.9766278082490147</c:v>
                </c:pt>
                <c:pt idx="41">
                  <c:v>2.0246159496523251</c:v>
                </c:pt>
                <c:pt idx="42">
                  <c:v>2.0890718182989545</c:v>
                </c:pt>
                <c:pt idx="43">
                  <c:v>2.3539100758469518</c:v>
                </c:pt>
                <c:pt idx="44">
                  <c:v>2.4173654054602318</c:v>
                </c:pt>
                <c:pt idx="45">
                  <c:v>2.4682629734316741</c:v>
                </c:pt>
                <c:pt idx="46">
                  <c:v>2.4584719434775768</c:v>
                </c:pt>
                <c:pt idx="47">
                  <c:v>2.2407536409605395</c:v>
                </c:pt>
                <c:pt idx="48">
                  <c:v>2.3064759356930464</c:v>
                </c:pt>
                <c:pt idx="49">
                  <c:v>2.2134165415644533</c:v>
                </c:pt>
                <c:pt idx="50">
                  <c:v>2.1423843599163677</c:v>
                </c:pt>
                <c:pt idx="51">
                  <c:v>2.4368969968936893</c:v>
                </c:pt>
                <c:pt idx="52">
                  <c:v>2.475218144618883</c:v>
                </c:pt>
                <c:pt idx="53">
                  <c:v>2.4534672812482552</c:v>
                </c:pt>
                <c:pt idx="54">
                  <c:v>2.4471167478508535</c:v>
                </c:pt>
                <c:pt idx="55">
                  <c:v>2.646233964281457</c:v>
                </c:pt>
                <c:pt idx="56">
                  <c:v>2.6828691534982694</c:v>
                </c:pt>
                <c:pt idx="57">
                  <c:v>2.6065477903595142</c:v>
                </c:pt>
                <c:pt idx="58">
                  <c:v>2.7604224364517709</c:v>
                </c:pt>
                <c:pt idx="59">
                  <c:v>2.7924049508627631</c:v>
                </c:pt>
                <c:pt idx="60">
                  <c:v>2.7094317889726973</c:v>
                </c:pt>
                <c:pt idx="61">
                  <c:v>2.7967725794403955</c:v>
                </c:pt>
                <c:pt idx="62">
                  <c:v>2.8375678654691163</c:v>
                </c:pt>
                <c:pt idx="63">
                  <c:v>3.0258153680615045</c:v>
                </c:pt>
                <c:pt idx="64">
                  <c:v>3.0896726044751848</c:v>
                </c:pt>
                <c:pt idx="65">
                  <c:v>3.0854918021435918</c:v>
                </c:pt>
                <c:pt idx="66">
                  <c:v>3.0126010591092487</c:v>
                </c:pt>
                <c:pt idx="67">
                  <c:v>3.0249249212931133</c:v>
                </c:pt>
                <c:pt idx="68">
                  <c:v>3.0906667422534606</c:v>
                </c:pt>
                <c:pt idx="69">
                  <c:v>2.9977145389052033</c:v>
                </c:pt>
                <c:pt idx="70">
                  <c:v>3.1332110011037724</c:v>
                </c:pt>
                <c:pt idx="71">
                  <c:v>3.1139705129515329</c:v>
                </c:pt>
                <c:pt idx="72">
                  <c:v>3.298431183671942</c:v>
                </c:pt>
                <c:pt idx="73">
                  <c:v>3.2100518488843033</c:v>
                </c:pt>
                <c:pt idx="74">
                  <c:v>3.1951354699674663</c:v>
                </c:pt>
                <c:pt idx="75">
                  <c:v>3.1474725412467506</c:v>
                </c:pt>
                <c:pt idx="76">
                  <c:v>3.0869549379443519</c:v>
                </c:pt>
                <c:pt idx="77">
                  <c:v>2.8790850900427643</c:v>
                </c:pt>
                <c:pt idx="78">
                  <c:v>2.8710661357717981</c:v>
                </c:pt>
                <c:pt idx="79">
                  <c:v>2.7202777455695175</c:v>
                </c:pt>
                <c:pt idx="80">
                  <c:v>2.3252018031044721</c:v>
                </c:pt>
                <c:pt idx="81">
                  <c:v>2.2106756454933039</c:v>
                </c:pt>
                <c:pt idx="82">
                  <c:v>2.1255903100191729</c:v>
                </c:pt>
                <c:pt idx="83">
                  <c:v>2.2822167506461413</c:v>
                </c:pt>
                <c:pt idx="84">
                  <c:v>2.3553994777211402</c:v>
                </c:pt>
                <c:pt idx="85">
                  <c:v>2.4410272347376427</c:v>
                </c:pt>
                <c:pt idx="86">
                  <c:v>2.5081868650344985</c:v>
                </c:pt>
                <c:pt idx="87">
                  <c:v>2.3207537434937717</c:v>
                </c:pt>
                <c:pt idx="88">
                  <c:v>2.546256731897143</c:v>
                </c:pt>
                <c:pt idx="89">
                  <c:v>2.5157178416933674</c:v>
                </c:pt>
                <c:pt idx="90">
                  <c:v>2.2779258605539749</c:v>
                </c:pt>
                <c:pt idx="91">
                  <c:v>2.0552257996760623</c:v>
                </c:pt>
                <c:pt idx="92">
                  <c:v>2.0781379938455586</c:v>
                </c:pt>
                <c:pt idx="93">
                  <c:v>1.8390780274842908</c:v>
                </c:pt>
                <c:pt idx="94">
                  <c:v>1.8699857731667886</c:v>
                </c:pt>
                <c:pt idx="95">
                  <c:v>1.7839132162953926</c:v>
                </c:pt>
                <c:pt idx="96">
                  <c:v>1.9428298386128426</c:v>
                </c:pt>
                <c:pt idx="97">
                  <c:v>1.8112023074508861</c:v>
                </c:pt>
                <c:pt idx="98">
                  <c:v>1.8495478243225687</c:v>
                </c:pt>
                <c:pt idx="99">
                  <c:v>1.6925789774109572</c:v>
                </c:pt>
                <c:pt idx="100">
                  <c:v>1.5401266711656381</c:v>
                </c:pt>
                <c:pt idx="101">
                  <c:v>1.5262794647539375</c:v>
                </c:pt>
                <c:pt idx="102">
                  <c:v>1.5274717212106692</c:v>
                </c:pt>
                <c:pt idx="103">
                  <c:v>1.5790961548868239</c:v>
                </c:pt>
                <c:pt idx="104">
                  <c:v>1.6241437141101145</c:v>
                </c:pt>
                <c:pt idx="105">
                  <c:v>1.6269625085011852</c:v>
                </c:pt>
                <c:pt idx="106">
                  <c:v>1.6559402455615118</c:v>
                </c:pt>
                <c:pt idx="107">
                  <c:v>1.804749148051255</c:v>
                </c:pt>
                <c:pt idx="108">
                  <c:v>1.9529340791829846</c:v>
                </c:pt>
                <c:pt idx="109">
                  <c:v>1.8714978909029572</c:v>
                </c:pt>
                <c:pt idx="110">
                  <c:v>1.9616470936207777</c:v>
                </c:pt>
                <c:pt idx="111">
                  <c:v>1.8050413751571361</c:v>
                </c:pt>
                <c:pt idx="112">
                  <c:v>1.7840753130051177</c:v>
                </c:pt>
                <c:pt idx="113">
                  <c:v>1.7968123045061308</c:v>
                </c:pt>
                <c:pt idx="114">
                  <c:v>1.7925577404852453</c:v>
                </c:pt>
                <c:pt idx="115">
                  <c:v>2.0128533813497729</c:v>
                </c:pt>
                <c:pt idx="116">
                  <c:v>1.9942945722919854</c:v>
                </c:pt>
                <c:pt idx="117">
                  <c:v>2.0185607273855513</c:v>
                </c:pt>
                <c:pt idx="118">
                  <c:v>1.948138028577368</c:v>
                </c:pt>
                <c:pt idx="119">
                  <c:v>1.8945810387706736</c:v>
                </c:pt>
                <c:pt idx="120">
                  <c:v>1.8099756051651377</c:v>
                </c:pt>
                <c:pt idx="121">
                  <c:v>1.8047604148184584</c:v>
                </c:pt>
                <c:pt idx="122">
                  <c:v>1.4649537759608906</c:v>
                </c:pt>
                <c:pt idx="123">
                  <c:v>1.310055524830986</c:v>
                </c:pt>
                <c:pt idx="124">
                  <c:v>1.4383033934951071</c:v>
                </c:pt>
                <c:pt idx="125">
                  <c:v>1.5551322833698895</c:v>
                </c:pt>
                <c:pt idx="126">
                  <c:v>1.3294704021819004</c:v>
                </c:pt>
                <c:pt idx="127">
                  <c:v>1.5093614239068007</c:v>
                </c:pt>
                <c:pt idx="128">
                  <c:v>1.7754182561861467</c:v>
                </c:pt>
                <c:pt idx="129">
                  <c:v>1.8017204501846806</c:v>
                </c:pt>
                <c:pt idx="130">
                  <c:v>1.6616264322324548</c:v>
                </c:pt>
                <c:pt idx="131">
                  <c:v>1.7907816355696411</c:v>
                </c:pt>
                <c:pt idx="132">
                  <c:v>1.8017375809765155</c:v>
                </c:pt>
                <c:pt idx="133">
                  <c:v>1.7729403545568445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99-4669-A514-6D06150E9160}"/>
            </c:ext>
          </c:extLst>
        </c:ser>
        <c:ser>
          <c:idx val="6"/>
          <c:order val="6"/>
          <c:tx>
            <c:strRef>
              <c:f>'畫圖(預測)'!$A$18:$B$18</c:f>
              <c:strCache>
                <c:ptCount val="2"/>
                <c:pt idx="0">
                  <c:v>投資組合</c:v>
                </c:pt>
                <c:pt idx="1">
                  <c:v>321等第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'畫圖(預測)'!$C$10:$EF$11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'畫圖(預測)'!$C$18:$EF$18</c:f>
              <c:numCache>
                <c:formatCode>0.0000</c:formatCode>
                <c:ptCount val="134"/>
                <c:pt idx="0">
                  <c:v>2.5922326608526759E-2</c:v>
                </c:pt>
                <c:pt idx="1">
                  <c:v>0.16835017868592525</c:v>
                </c:pt>
                <c:pt idx="2">
                  <c:v>0.14611976642668711</c:v>
                </c:pt>
                <c:pt idx="3">
                  <c:v>0.21395082734796467</c:v>
                </c:pt>
                <c:pt idx="4">
                  <c:v>0.11006646405763057</c:v>
                </c:pt>
                <c:pt idx="5">
                  <c:v>-0.11973908043377002</c:v>
                </c:pt>
                <c:pt idx="6">
                  <c:v>-0.24323224977183983</c:v>
                </c:pt>
                <c:pt idx="7">
                  <c:v>-0.19063366050649691</c:v>
                </c:pt>
                <c:pt idx="8">
                  <c:v>5.4732252176258794E-2</c:v>
                </c:pt>
                <c:pt idx="9">
                  <c:v>-5.275491647498301E-2</c:v>
                </c:pt>
                <c:pt idx="10">
                  <c:v>-0.12685497524555556</c:v>
                </c:pt>
                <c:pt idx="11">
                  <c:v>-2.8824114437922793E-2</c:v>
                </c:pt>
                <c:pt idx="12">
                  <c:v>0.1146562315663496</c:v>
                </c:pt>
                <c:pt idx="13">
                  <c:v>0.15751472008533951</c:v>
                </c:pt>
                <c:pt idx="14">
                  <c:v>0.43429161391839133</c:v>
                </c:pt>
                <c:pt idx="15">
                  <c:v>0.4709200481899794</c:v>
                </c:pt>
                <c:pt idx="16">
                  <c:v>0.71797667771970897</c:v>
                </c:pt>
                <c:pt idx="17">
                  <c:v>0.73821529019654297</c:v>
                </c:pt>
                <c:pt idx="18">
                  <c:v>0.84880531359904721</c:v>
                </c:pt>
                <c:pt idx="19">
                  <c:v>0.90582944823333689</c:v>
                </c:pt>
                <c:pt idx="20">
                  <c:v>1.2520229335325854</c:v>
                </c:pt>
                <c:pt idx="21">
                  <c:v>1.5092252847460825</c:v>
                </c:pt>
                <c:pt idx="22">
                  <c:v>1.5571636169258509</c:v>
                </c:pt>
                <c:pt idx="23">
                  <c:v>1.6327118860716969</c:v>
                </c:pt>
                <c:pt idx="24">
                  <c:v>1.6397599029585537</c:v>
                </c:pt>
                <c:pt idx="25">
                  <c:v>1.5053236902452283</c:v>
                </c:pt>
                <c:pt idx="26">
                  <c:v>1.5911001509606608</c:v>
                </c:pt>
                <c:pt idx="27">
                  <c:v>1.6096939001753221</c:v>
                </c:pt>
                <c:pt idx="28">
                  <c:v>1.7405177429916563</c:v>
                </c:pt>
                <c:pt idx="29">
                  <c:v>1.3106009749430443</c:v>
                </c:pt>
                <c:pt idx="30">
                  <c:v>1.2997888743762021</c:v>
                </c:pt>
                <c:pt idx="31">
                  <c:v>1.5474111205396033</c:v>
                </c:pt>
                <c:pt idx="32">
                  <c:v>1.4800182195284173</c:v>
                </c:pt>
                <c:pt idx="33">
                  <c:v>1.4341520900302627</c:v>
                </c:pt>
                <c:pt idx="34">
                  <c:v>1.5127278587351769</c:v>
                </c:pt>
                <c:pt idx="35">
                  <c:v>1.5530688255420773</c:v>
                </c:pt>
                <c:pt idx="36">
                  <c:v>1.6371577290097807</c:v>
                </c:pt>
                <c:pt idx="37">
                  <c:v>1.7482905386733401</c:v>
                </c:pt>
                <c:pt idx="38">
                  <c:v>1.906443413967067</c:v>
                </c:pt>
                <c:pt idx="39">
                  <c:v>1.8859506854490884</c:v>
                </c:pt>
                <c:pt idx="40">
                  <c:v>1.8065245679704953</c:v>
                </c:pt>
                <c:pt idx="41">
                  <c:v>1.8744490556740987</c:v>
                </c:pt>
                <c:pt idx="42">
                  <c:v>1.9572594945726487</c:v>
                </c:pt>
                <c:pt idx="43">
                  <c:v>1.9749878655670854</c:v>
                </c:pt>
                <c:pt idx="44">
                  <c:v>2.0849024628852697</c:v>
                </c:pt>
                <c:pt idx="45">
                  <c:v>2.1445486030589351</c:v>
                </c:pt>
                <c:pt idx="46">
                  <c:v>2.1746979922659442</c:v>
                </c:pt>
                <c:pt idx="47">
                  <c:v>2.1845731782716382</c:v>
                </c:pt>
                <c:pt idx="48">
                  <c:v>2.2830294544010017</c:v>
                </c:pt>
                <c:pt idx="49">
                  <c:v>2.0555439581675481</c:v>
                </c:pt>
                <c:pt idx="50">
                  <c:v>2.0099455330000859</c:v>
                </c:pt>
                <c:pt idx="51">
                  <c:v>2.3794961162965738</c:v>
                </c:pt>
                <c:pt idx="52">
                  <c:v>2.2486591781736185</c:v>
                </c:pt>
                <c:pt idx="53">
                  <c:v>2.2264849967077902</c:v>
                </c:pt>
                <c:pt idx="54">
                  <c:v>2.2042688133133099</c:v>
                </c:pt>
                <c:pt idx="55">
                  <c:v>2.4033712618617482</c:v>
                </c:pt>
                <c:pt idx="56">
                  <c:v>2.4496507740301343</c:v>
                </c:pt>
                <c:pt idx="57">
                  <c:v>2.3216902316920023</c:v>
                </c:pt>
                <c:pt idx="58">
                  <c:v>2.4090082908691781</c:v>
                </c:pt>
                <c:pt idx="59">
                  <c:v>2.3987743154200745</c:v>
                </c:pt>
                <c:pt idx="60">
                  <c:v>2.3779195600903078</c:v>
                </c:pt>
                <c:pt idx="61">
                  <c:v>2.5173909504911713</c:v>
                </c:pt>
                <c:pt idx="62">
                  <c:v>2.5198214337367046</c:v>
                </c:pt>
                <c:pt idx="63">
                  <c:v>2.4913026272727294</c:v>
                </c:pt>
                <c:pt idx="64">
                  <c:v>2.5417870563854796</c:v>
                </c:pt>
                <c:pt idx="65">
                  <c:v>2.541246056260948</c:v>
                </c:pt>
                <c:pt idx="66">
                  <c:v>2.4500178650665387</c:v>
                </c:pt>
                <c:pt idx="67">
                  <c:v>2.4708314745329916</c:v>
                </c:pt>
                <c:pt idx="68">
                  <c:v>2.5678790642375366</c:v>
                </c:pt>
                <c:pt idx="69">
                  <c:v>2.6350222796552618</c:v>
                </c:pt>
                <c:pt idx="70">
                  <c:v>2.8479710457932721</c:v>
                </c:pt>
                <c:pt idx="71">
                  <c:v>2.8472892856257146</c:v>
                </c:pt>
                <c:pt idx="72">
                  <c:v>2.979461077161496</c:v>
                </c:pt>
                <c:pt idx="73">
                  <c:v>2.8265237069115039</c:v>
                </c:pt>
                <c:pt idx="74">
                  <c:v>2.8588765824320035</c:v>
                </c:pt>
                <c:pt idx="75">
                  <c:v>2.8116188465691114</c:v>
                </c:pt>
                <c:pt idx="76">
                  <c:v>2.7841287680887881</c:v>
                </c:pt>
                <c:pt idx="77">
                  <c:v>2.529389512373927</c:v>
                </c:pt>
                <c:pt idx="78">
                  <c:v>2.4042855170538942</c:v>
                </c:pt>
                <c:pt idx="79">
                  <c:v>2.0885138568510451</c:v>
                </c:pt>
                <c:pt idx="80">
                  <c:v>1.6951265177467669</c:v>
                </c:pt>
                <c:pt idx="81">
                  <c:v>1.5943561607127021</c:v>
                </c:pt>
                <c:pt idx="82">
                  <c:v>1.3872708280791892</c:v>
                </c:pt>
                <c:pt idx="83">
                  <c:v>1.5408771128887326</c:v>
                </c:pt>
                <c:pt idx="84">
                  <c:v>1.6054944356991068</c:v>
                </c:pt>
                <c:pt idx="85">
                  <c:v>1.7088739407886695</c:v>
                </c:pt>
                <c:pt idx="86">
                  <c:v>1.8197974810754518</c:v>
                </c:pt>
                <c:pt idx="87">
                  <c:v>1.7248004690519063</c:v>
                </c:pt>
                <c:pt idx="88">
                  <c:v>2.0452324727097317</c:v>
                </c:pt>
                <c:pt idx="89">
                  <c:v>2.0537792445306393</c:v>
                </c:pt>
                <c:pt idx="90">
                  <c:v>1.8684934866254126</c:v>
                </c:pt>
                <c:pt idx="91">
                  <c:v>1.6090849296560101</c:v>
                </c:pt>
                <c:pt idx="92">
                  <c:v>1.6262445451751339</c:v>
                </c:pt>
                <c:pt idx="93">
                  <c:v>1.3794717751832473</c:v>
                </c:pt>
                <c:pt idx="94">
                  <c:v>1.4039113620152799</c:v>
                </c:pt>
                <c:pt idx="95">
                  <c:v>1.2778199838265083</c:v>
                </c:pt>
                <c:pt idx="96">
                  <c:v>1.4451738950128765</c:v>
                </c:pt>
                <c:pt idx="97">
                  <c:v>1.2621273482681783</c:v>
                </c:pt>
                <c:pt idx="98">
                  <c:v>1.285011390600163</c:v>
                </c:pt>
                <c:pt idx="99">
                  <c:v>1.2307180951263592</c:v>
                </c:pt>
                <c:pt idx="100">
                  <c:v>1.0682782264129125</c:v>
                </c:pt>
                <c:pt idx="101">
                  <c:v>1.0606909799717734</c:v>
                </c:pt>
                <c:pt idx="102">
                  <c:v>1.0566992260898493</c:v>
                </c:pt>
                <c:pt idx="103">
                  <c:v>1.1150827329183415</c:v>
                </c:pt>
                <c:pt idx="104">
                  <c:v>1.1358075173624991</c:v>
                </c:pt>
                <c:pt idx="105">
                  <c:v>1.1675176864883245</c:v>
                </c:pt>
                <c:pt idx="106">
                  <c:v>1.1497611829863916</c:v>
                </c:pt>
                <c:pt idx="107">
                  <c:v>1.2468328886226185</c:v>
                </c:pt>
                <c:pt idx="108">
                  <c:v>1.3349542991256822</c:v>
                </c:pt>
                <c:pt idx="109">
                  <c:v>1.2534999175097736</c:v>
                </c:pt>
                <c:pt idx="110">
                  <c:v>1.3346054613500438</c:v>
                </c:pt>
                <c:pt idx="111">
                  <c:v>1.1809056985197142</c:v>
                </c:pt>
                <c:pt idx="112">
                  <c:v>1.1575595218867527</c:v>
                </c:pt>
                <c:pt idx="113">
                  <c:v>1.1607728526298915</c:v>
                </c:pt>
                <c:pt idx="114">
                  <c:v>1.1180963035138507</c:v>
                </c:pt>
                <c:pt idx="115">
                  <c:v>1.4234713317860539</c:v>
                </c:pt>
                <c:pt idx="116">
                  <c:v>1.4472400000735028</c:v>
                </c:pt>
                <c:pt idx="117">
                  <c:v>1.4574672579264067</c:v>
                </c:pt>
                <c:pt idx="118">
                  <c:v>1.2920630913817668</c:v>
                </c:pt>
                <c:pt idx="119">
                  <c:v>1.2208267917086311</c:v>
                </c:pt>
                <c:pt idx="120">
                  <c:v>1.091302952339426</c:v>
                </c:pt>
                <c:pt idx="121">
                  <c:v>1.1184317063175961</c:v>
                </c:pt>
                <c:pt idx="122">
                  <c:v>0.74316283397562399</c:v>
                </c:pt>
                <c:pt idx="123">
                  <c:v>0.58610046442587316</c:v>
                </c:pt>
                <c:pt idx="124">
                  <c:v>0.66449018813287031</c:v>
                </c:pt>
                <c:pt idx="125">
                  <c:v>0.82884231217440951</c:v>
                </c:pt>
                <c:pt idx="126">
                  <c:v>0.51108793980992706</c:v>
                </c:pt>
                <c:pt idx="127">
                  <c:v>0.67671418603568267</c:v>
                </c:pt>
                <c:pt idx="128">
                  <c:v>0.81707034803637624</c:v>
                </c:pt>
                <c:pt idx="129">
                  <c:v>0.94683629834244531</c:v>
                </c:pt>
                <c:pt idx="130">
                  <c:v>0.97526511012049621</c:v>
                </c:pt>
                <c:pt idx="131">
                  <c:v>1.158947096624652</c:v>
                </c:pt>
                <c:pt idx="132">
                  <c:v>1.1948464538207209</c:v>
                </c:pt>
                <c:pt idx="133">
                  <c:v>1.1582509846889426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99-4669-A514-6D06150E9160}"/>
            </c:ext>
          </c:extLst>
        </c:ser>
        <c:ser>
          <c:idx val="7"/>
          <c:order val="7"/>
          <c:tx>
            <c:strRef>
              <c:f>'畫圖(預測)'!$A$19:$B$19</c:f>
              <c:strCache>
                <c:ptCount val="2"/>
                <c:pt idx="0">
                  <c:v>投資組合</c:v>
                </c:pt>
                <c:pt idx="1">
                  <c:v>大盤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multiLvlStrRef>
              <c:f>'畫圖(預測)'!$C$10:$EF$11</c:f>
              <c:multiLvlStrCache>
                <c:ptCount val="134"/>
                <c:lvl>
                  <c:pt idx="0">
                    <c:v>2014/01</c:v>
                  </c:pt>
                  <c:pt idx="1">
                    <c:v>2014/02</c:v>
                  </c:pt>
                  <c:pt idx="2">
                    <c:v>2014/03</c:v>
                  </c:pt>
                  <c:pt idx="3">
                    <c:v>2014/04</c:v>
                  </c:pt>
                  <c:pt idx="4">
                    <c:v>2014/05</c:v>
                  </c:pt>
                  <c:pt idx="5">
                    <c:v>2014/06</c:v>
                  </c:pt>
                  <c:pt idx="6">
                    <c:v>2014/07</c:v>
                  </c:pt>
                  <c:pt idx="7">
                    <c:v>2014/08</c:v>
                  </c:pt>
                  <c:pt idx="8">
                    <c:v>2014/09</c:v>
                  </c:pt>
                  <c:pt idx="9">
                    <c:v>2014/10</c:v>
                  </c:pt>
                  <c:pt idx="10">
                    <c:v>2014/11</c:v>
                  </c:pt>
                  <c:pt idx="11">
                    <c:v>2014/12</c:v>
                  </c:pt>
                  <c:pt idx="12">
                    <c:v>2015/01</c:v>
                  </c:pt>
                  <c:pt idx="13">
                    <c:v>2015/02</c:v>
                  </c:pt>
                  <c:pt idx="14">
                    <c:v>2015/03</c:v>
                  </c:pt>
                  <c:pt idx="15">
                    <c:v>2015/04</c:v>
                  </c:pt>
                  <c:pt idx="16">
                    <c:v>2015/05</c:v>
                  </c:pt>
                  <c:pt idx="17">
                    <c:v>2015/06</c:v>
                  </c:pt>
                  <c:pt idx="18">
                    <c:v>2015/07</c:v>
                  </c:pt>
                  <c:pt idx="19">
                    <c:v>2015/08</c:v>
                  </c:pt>
                  <c:pt idx="20">
                    <c:v>2015/09</c:v>
                  </c:pt>
                  <c:pt idx="21">
                    <c:v>2015/10</c:v>
                  </c:pt>
                  <c:pt idx="22">
                    <c:v>2015/11</c:v>
                  </c:pt>
                  <c:pt idx="23">
                    <c:v>2015/12</c:v>
                  </c:pt>
                  <c:pt idx="24">
                    <c:v>2016/01</c:v>
                  </c:pt>
                  <c:pt idx="25">
                    <c:v>2016/02</c:v>
                  </c:pt>
                  <c:pt idx="26">
                    <c:v>2016/03</c:v>
                  </c:pt>
                  <c:pt idx="27">
                    <c:v>2016/04</c:v>
                  </c:pt>
                  <c:pt idx="28">
                    <c:v>2016/05</c:v>
                  </c:pt>
                  <c:pt idx="29">
                    <c:v>2016/06</c:v>
                  </c:pt>
                  <c:pt idx="30">
                    <c:v>2016/07</c:v>
                  </c:pt>
                  <c:pt idx="31">
                    <c:v>2016/08</c:v>
                  </c:pt>
                  <c:pt idx="32">
                    <c:v>2016/09</c:v>
                  </c:pt>
                  <c:pt idx="33">
                    <c:v>2016/10</c:v>
                  </c:pt>
                  <c:pt idx="34">
                    <c:v>2016/11</c:v>
                  </c:pt>
                  <c:pt idx="35">
                    <c:v>2016/12</c:v>
                  </c:pt>
                  <c:pt idx="36">
                    <c:v>2017/01</c:v>
                  </c:pt>
                  <c:pt idx="37">
                    <c:v>2017/02</c:v>
                  </c:pt>
                  <c:pt idx="38">
                    <c:v>2017/03</c:v>
                  </c:pt>
                  <c:pt idx="39">
                    <c:v>2017/04</c:v>
                  </c:pt>
                  <c:pt idx="40">
                    <c:v>2017/05</c:v>
                  </c:pt>
                  <c:pt idx="41">
                    <c:v>2017/06</c:v>
                  </c:pt>
                  <c:pt idx="42">
                    <c:v>2017/07</c:v>
                  </c:pt>
                  <c:pt idx="43">
                    <c:v>2017/08</c:v>
                  </c:pt>
                  <c:pt idx="44">
                    <c:v>2017/09</c:v>
                  </c:pt>
                  <c:pt idx="45">
                    <c:v>2017/10</c:v>
                  </c:pt>
                  <c:pt idx="46">
                    <c:v>2017/11</c:v>
                  </c:pt>
                  <c:pt idx="47">
                    <c:v>2017/12</c:v>
                  </c:pt>
                  <c:pt idx="48">
                    <c:v>2018/01</c:v>
                  </c:pt>
                  <c:pt idx="49">
                    <c:v>2018/02</c:v>
                  </c:pt>
                  <c:pt idx="50">
                    <c:v>2018/03</c:v>
                  </c:pt>
                  <c:pt idx="51">
                    <c:v>2018/04</c:v>
                  </c:pt>
                  <c:pt idx="52">
                    <c:v>2018/05</c:v>
                  </c:pt>
                  <c:pt idx="53">
                    <c:v>2018/06</c:v>
                  </c:pt>
                  <c:pt idx="54">
                    <c:v>2018/07</c:v>
                  </c:pt>
                  <c:pt idx="55">
                    <c:v>2018/08</c:v>
                  </c:pt>
                  <c:pt idx="56">
                    <c:v>2018/09</c:v>
                  </c:pt>
                  <c:pt idx="57">
                    <c:v>2018/10</c:v>
                  </c:pt>
                  <c:pt idx="58">
                    <c:v>2018/11</c:v>
                  </c:pt>
                  <c:pt idx="59">
                    <c:v>2018/12</c:v>
                  </c:pt>
                  <c:pt idx="60">
                    <c:v>2019/01</c:v>
                  </c:pt>
                  <c:pt idx="61">
                    <c:v>2019/02</c:v>
                  </c:pt>
                  <c:pt idx="62">
                    <c:v>2019/03</c:v>
                  </c:pt>
                  <c:pt idx="63">
                    <c:v>2019/04</c:v>
                  </c:pt>
                  <c:pt idx="64">
                    <c:v>2019/05</c:v>
                  </c:pt>
                  <c:pt idx="65">
                    <c:v>2019/06</c:v>
                  </c:pt>
                  <c:pt idx="66">
                    <c:v>2019/07</c:v>
                  </c:pt>
                  <c:pt idx="67">
                    <c:v>2019/08</c:v>
                  </c:pt>
                  <c:pt idx="68">
                    <c:v>2019/09</c:v>
                  </c:pt>
                  <c:pt idx="69">
                    <c:v>2019/10</c:v>
                  </c:pt>
                  <c:pt idx="70">
                    <c:v>2019/11</c:v>
                  </c:pt>
                  <c:pt idx="71">
                    <c:v>2019/12</c:v>
                  </c:pt>
                  <c:pt idx="72">
                    <c:v>2020/01</c:v>
                  </c:pt>
                  <c:pt idx="73">
                    <c:v>2020/02</c:v>
                  </c:pt>
                  <c:pt idx="74">
                    <c:v>2020/03</c:v>
                  </c:pt>
                  <c:pt idx="75">
                    <c:v>2020/04</c:v>
                  </c:pt>
                  <c:pt idx="76">
                    <c:v>2020/05</c:v>
                  </c:pt>
                  <c:pt idx="77">
                    <c:v>2020/06</c:v>
                  </c:pt>
                  <c:pt idx="78">
                    <c:v>2020/07</c:v>
                  </c:pt>
                  <c:pt idx="79">
                    <c:v>2020/08</c:v>
                  </c:pt>
                  <c:pt idx="80">
                    <c:v>2020/09</c:v>
                  </c:pt>
                  <c:pt idx="81">
                    <c:v>2020/10</c:v>
                  </c:pt>
                  <c:pt idx="82">
                    <c:v>2020/11</c:v>
                  </c:pt>
                  <c:pt idx="83">
                    <c:v>2020/12</c:v>
                  </c:pt>
                  <c:pt idx="84">
                    <c:v>2021/01</c:v>
                  </c:pt>
                  <c:pt idx="85">
                    <c:v>2021/02</c:v>
                  </c:pt>
                  <c:pt idx="86">
                    <c:v>2021/03</c:v>
                  </c:pt>
                  <c:pt idx="87">
                    <c:v>2021/04</c:v>
                  </c:pt>
                  <c:pt idx="88">
                    <c:v>2021/05</c:v>
                  </c:pt>
                  <c:pt idx="89">
                    <c:v>2021/06</c:v>
                  </c:pt>
                  <c:pt idx="90">
                    <c:v>2021/07</c:v>
                  </c:pt>
                  <c:pt idx="91">
                    <c:v>2021/08</c:v>
                  </c:pt>
                  <c:pt idx="92">
                    <c:v>2021/09</c:v>
                  </c:pt>
                  <c:pt idx="93">
                    <c:v>2021/10</c:v>
                  </c:pt>
                  <c:pt idx="94">
                    <c:v>2021/11</c:v>
                  </c:pt>
                  <c:pt idx="95">
                    <c:v>2021/12</c:v>
                  </c:pt>
                  <c:pt idx="96">
                    <c:v>2022/01</c:v>
                  </c:pt>
                  <c:pt idx="97">
                    <c:v>2022/02</c:v>
                  </c:pt>
                  <c:pt idx="98">
                    <c:v>2022/03</c:v>
                  </c:pt>
                  <c:pt idx="99">
                    <c:v>2022/04</c:v>
                  </c:pt>
                  <c:pt idx="100">
                    <c:v>2022/05</c:v>
                  </c:pt>
                  <c:pt idx="101">
                    <c:v>2022/06</c:v>
                  </c:pt>
                  <c:pt idx="102">
                    <c:v>2022/07</c:v>
                  </c:pt>
                  <c:pt idx="103">
                    <c:v>2022/08</c:v>
                  </c:pt>
                  <c:pt idx="104">
                    <c:v>2022/09</c:v>
                  </c:pt>
                  <c:pt idx="105">
                    <c:v>2022/10</c:v>
                  </c:pt>
                  <c:pt idx="106">
                    <c:v>2022/11</c:v>
                  </c:pt>
                  <c:pt idx="107">
                    <c:v>2022/12</c:v>
                  </c:pt>
                  <c:pt idx="108">
                    <c:v>2023/01</c:v>
                  </c:pt>
                  <c:pt idx="109">
                    <c:v>2023/02</c:v>
                  </c:pt>
                  <c:pt idx="110">
                    <c:v>2023/03</c:v>
                  </c:pt>
                  <c:pt idx="111">
                    <c:v>2023/04</c:v>
                  </c:pt>
                  <c:pt idx="112">
                    <c:v>2023/05</c:v>
                  </c:pt>
                  <c:pt idx="113">
                    <c:v>2023/06</c:v>
                  </c:pt>
                  <c:pt idx="114">
                    <c:v>2023/07</c:v>
                  </c:pt>
                  <c:pt idx="115">
                    <c:v>2023/08</c:v>
                  </c:pt>
                  <c:pt idx="116">
                    <c:v>2023/09</c:v>
                  </c:pt>
                  <c:pt idx="117">
                    <c:v>2023/10</c:v>
                  </c:pt>
                  <c:pt idx="118">
                    <c:v>2023/11</c:v>
                  </c:pt>
                  <c:pt idx="119">
                    <c:v>2023/12</c:v>
                  </c:pt>
                  <c:pt idx="120">
                    <c:v>2024/01</c:v>
                  </c:pt>
                  <c:pt idx="121">
                    <c:v>2024/02</c:v>
                  </c:pt>
                  <c:pt idx="122">
                    <c:v>2024/03</c:v>
                  </c:pt>
                  <c:pt idx="123">
                    <c:v>2024/04</c:v>
                  </c:pt>
                  <c:pt idx="124">
                    <c:v>2024/05</c:v>
                  </c:pt>
                  <c:pt idx="125">
                    <c:v>2024/06</c:v>
                  </c:pt>
                  <c:pt idx="126">
                    <c:v>2024/07</c:v>
                  </c:pt>
                  <c:pt idx="127">
                    <c:v>2024/08</c:v>
                  </c:pt>
                  <c:pt idx="128">
                    <c:v>2024/09</c:v>
                  </c:pt>
                  <c:pt idx="129">
                    <c:v>2024/10</c:v>
                  </c:pt>
                  <c:pt idx="130">
                    <c:v>2024/11</c:v>
                  </c:pt>
                  <c:pt idx="131">
                    <c:v>2024/12</c:v>
                  </c:pt>
                  <c:pt idx="132">
                    <c:v>2025/01</c:v>
                  </c:pt>
                  <c:pt idx="133">
                    <c:v>2025/02</c:v>
                  </c:pt>
                </c:lvl>
                <c:lvl>
                  <c:pt idx="0">
                    <c:v>公司數</c:v>
                  </c:pt>
                  <c:pt idx="1">
                    <c:v>964</c:v>
                  </c:pt>
                </c:lvl>
              </c:multiLvlStrCache>
            </c:multiLvlStrRef>
          </c:cat>
          <c:val>
            <c:numRef>
              <c:f>'畫圖(預測)'!$C$19:$EF$19</c:f>
              <c:numCache>
                <c:formatCode>0.0000</c:formatCode>
                <c:ptCount val="134"/>
                <c:pt idx="0" formatCode="#,##0.000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099-4669-A514-6D06150E9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0067711"/>
        <c:axId val="1510068191"/>
      </c:lineChart>
      <c:catAx>
        <c:axId val="151006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10068191"/>
        <c:crosses val="autoZero"/>
        <c:auto val="1"/>
        <c:lblAlgn val="ctr"/>
        <c:lblOffset val="100"/>
        <c:noMultiLvlLbl val="0"/>
      </c:catAx>
      <c:valAx>
        <c:axId val="151006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1006771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baseline="0"/>
              <a:t>真實</a:t>
            </a:r>
            <a:r>
              <a:rPr lang="pt-PT" altLang="zh-TW" sz="1400" b="0" i="0" u="none" strike="noStrike" baseline="0"/>
              <a:t>IC</a:t>
            </a:r>
            <a:r>
              <a:rPr lang="zh-TW" altLang="en-US" sz="1400" b="0" i="0" u="none" strike="noStrike" baseline="0"/>
              <a:t>再投資累積報酬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真實IC再投資累積報酬!$B$12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真實IC再投資累積報酬!$C$11:$EF$11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真實IC再投資累積報酬!$C$12:$EF$12</c:f>
              <c:numCache>
                <c:formatCode>General</c:formatCode>
                <c:ptCount val="134"/>
                <c:pt idx="0">
                  <c:v>8.4653346747999514E-2</c:v>
                </c:pt>
                <c:pt idx="1">
                  <c:v>0.20905075207584112</c:v>
                </c:pt>
                <c:pt idx="2">
                  <c:v>0.26711761901195197</c:v>
                </c:pt>
                <c:pt idx="3">
                  <c:v>0.33802474142140904</c:v>
                </c:pt>
                <c:pt idx="4">
                  <c:v>0.38077121796462321</c:v>
                </c:pt>
                <c:pt idx="5">
                  <c:v>0.43397304029270201</c:v>
                </c:pt>
                <c:pt idx="6">
                  <c:v>0.48603190699073151</c:v>
                </c:pt>
                <c:pt idx="7">
                  <c:v>0.55109718803975904</c:v>
                </c:pt>
                <c:pt idx="8">
                  <c:v>0.59637060986944945</c:v>
                </c:pt>
                <c:pt idx="9">
                  <c:v>0.6632440769814012</c:v>
                </c:pt>
                <c:pt idx="10">
                  <c:v>0.70796733609440587</c:v>
                </c:pt>
                <c:pt idx="11">
                  <c:v>0.8263755650216813</c:v>
                </c:pt>
                <c:pt idx="12">
                  <c:v>0.87735839888555667</c:v>
                </c:pt>
                <c:pt idx="13">
                  <c:v>0.91757220654142047</c:v>
                </c:pt>
                <c:pt idx="14">
                  <c:v>0.98237231015332749</c:v>
                </c:pt>
                <c:pt idx="15">
                  <c:v>1.0089311555484821</c:v>
                </c:pt>
                <c:pt idx="16">
                  <c:v>1.1516735431449741</c:v>
                </c:pt>
                <c:pt idx="17">
                  <c:v>1.2546692419764081</c:v>
                </c:pt>
                <c:pt idx="18">
                  <c:v>1.3005905877021018</c:v>
                </c:pt>
                <c:pt idx="19">
                  <c:v>1.4041861607074475</c:v>
                </c:pt>
                <c:pt idx="20">
                  <c:v>1.5581488359551012</c:v>
                </c:pt>
                <c:pt idx="21">
                  <c:v>1.8386261963875299</c:v>
                </c:pt>
                <c:pt idx="22">
                  <c:v>1.8862821238493712</c:v>
                </c:pt>
                <c:pt idx="23">
                  <c:v>2.0699180236565655</c:v>
                </c:pt>
                <c:pt idx="24">
                  <c:v>2.1525555487999437</c:v>
                </c:pt>
                <c:pt idx="25">
                  <c:v>2.2619148967519407</c:v>
                </c:pt>
                <c:pt idx="26">
                  <c:v>2.4144842648553739</c:v>
                </c:pt>
                <c:pt idx="27">
                  <c:v>2.4465539319230873</c:v>
                </c:pt>
                <c:pt idx="28">
                  <c:v>2.6066040268912114</c:v>
                </c:pt>
                <c:pt idx="29">
                  <c:v>2.7941910862129813</c:v>
                </c:pt>
                <c:pt idx="30">
                  <c:v>2.9079490732622699</c:v>
                </c:pt>
                <c:pt idx="31">
                  <c:v>2.9603382751191392</c:v>
                </c:pt>
                <c:pt idx="32">
                  <c:v>3.0524021171661913</c:v>
                </c:pt>
                <c:pt idx="33">
                  <c:v>3.1050174832105739</c:v>
                </c:pt>
                <c:pt idx="34">
                  <c:v>3.3025661301119396</c:v>
                </c:pt>
                <c:pt idx="35">
                  <c:v>3.4493078209209775</c:v>
                </c:pt>
                <c:pt idx="36">
                  <c:v>3.5831702104172427</c:v>
                </c:pt>
                <c:pt idx="37">
                  <c:v>3.9004779074933849</c:v>
                </c:pt>
                <c:pt idx="38">
                  <c:v>3.9739628810725911</c:v>
                </c:pt>
                <c:pt idx="39">
                  <c:v>4.141676676428717</c:v>
                </c:pt>
                <c:pt idx="40">
                  <c:v>4.1760351224743566</c:v>
                </c:pt>
                <c:pt idx="41">
                  <c:v>4.2148783058358621</c:v>
                </c:pt>
                <c:pt idx="42">
                  <c:v>4.3190521380676135</c:v>
                </c:pt>
                <c:pt idx="43">
                  <c:v>4.7030631409279424</c:v>
                </c:pt>
                <c:pt idx="44">
                  <c:v>5.06469586920681</c:v>
                </c:pt>
                <c:pt idx="45">
                  <c:v>5.3904648325624569</c:v>
                </c:pt>
                <c:pt idx="46">
                  <c:v>5.5001872270384649</c:v>
                </c:pt>
                <c:pt idx="47">
                  <c:v>5.7907196731642534</c:v>
                </c:pt>
                <c:pt idx="48">
                  <c:v>5.9601840727484818</c:v>
                </c:pt>
                <c:pt idx="49">
                  <c:v>6.4234803954585544</c:v>
                </c:pt>
                <c:pt idx="50">
                  <c:v>6.9525975442737149</c:v>
                </c:pt>
                <c:pt idx="51">
                  <c:v>7.1835143720981733</c:v>
                </c:pt>
                <c:pt idx="52">
                  <c:v>7.4019402783567063</c:v>
                </c:pt>
                <c:pt idx="53">
                  <c:v>7.8155982269033153</c:v>
                </c:pt>
                <c:pt idx="54">
                  <c:v>8.1273931107498534</c:v>
                </c:pt>
                <c:pt idx="55">
                  <c:v>8.7445595874831898</c:v>
                </c:pt>
                <c:pt idx="56">
                  <c:v>9.2001933063562333</c:v>
                </c:pt>
                <c:pt idx="57">
                  <c:v>9.5580118955689191</c:v>
                </c:pt>
                <c:pt idx="58">
                  <c:v>10.086136880101382</c:v>
                </c:pt>
                <c:pt idx="59">
                  <c:v>10.567524648885119</c:v>
                </c:pt>
                <c:pt idx="60">
                  <c:v>10.799750248275478</c:v>
                </c:pt>
                <c:pt idx="61">
                  <c:v>11.178865583923599</c:v>
                </c:pt>
                <c:pt idx="62">
                  <c:v>11.791531753840435</c:v>
                </c:pt>
                <c:pt idx="63">
                  <c:v>12.040999090635667</c:v>
                </c:pt>
                <c:pt idx="64">
                  <c:v>12.357195200638524</c:v>
                </c:pt>
                <c:pt idx="65">
                  <c:v>12.710118442333938</c:v>
                </c:pt>
                <c:pt idx="66">
                  <c:v>12.900644525570415</c:v>
                </c:pt>
                <c:pt idx="67">
                  <c:v>13.855530050906774</c:v>
                </c:pt>
                <c:pt idx="68">
                  <c:v>14.340456962648682</c:v>
                </c:pt>
                <c:pt idx="69">
                  <c:v>14.667026102054374</c:v>
                </c:pt>
                <c:pt idx="70">
                  <c:v>15.420349508279045</c:v>
                </c:pt>
                <c:pt idx="71">
                  <c:v>16.114641115115059</c:v>
                </c:pt>
                <c:pt idx="72">
                  <c:v>16.875849074596228</c:v>
                </c:pt>
                <c:pt idx="73">
                  <c:v>17.161579356911378</c:v>
                </c:pt>
                <c:pt idx="74">
                  <c:v>18.231839709335429</c:v>
                </c:pt>
                <c:pt idx="75">
                  <c:v>19.104137218575023</c:v>
                </c:pt>
                <c:pt idx="76">
                  <c:v>19.795725317634091</c:v>
                </c:pt>
                <c:pt idx="77">
                  <c:v>21.30291372858602</c:v>
                </c:pt>
                <c:pt idx="78">
                  <c:v>22.765240233497007</c:v>
                </c:pt>
                <c:pt idx="79">
                  <c:v>25.401604685606252</c:v>
                </c:pt>
                <c:pt idx="80">
                  <c:v>29.467636958732285</c:v>
                </c:pt>
                <c:pt idx="81">
                  <c:v>30.313649609404408</c:v>
                </c:pt>
                <c:pt idx="82">
                  <c:v>31.856722381154576</c:v>
                </c:pt>
                <c:pt idx="83">
                  <c:v>33.936466572833766</c:v>
                </c:pt>
                <c:pt idx="84">
                  <c:v>35.147221698373841</c:v>
                </c:pt>
                <c:pt idx="85">
                  <c:v>37.103511755452075</c:v>
                </c:pt>
                <c:pt idx="86">
                  <c:v>39.241173658672949</c:v>
                </c:pt>
                <c:pt idx="87">
                  <c:v>43.990260221339554</c:v>
                </c:pt>
                <c:pt idx="88">
                  <c:v>47.216439258286719</c:v>
                </c:pt>
                <c:pt idx="89">
                  <c:v>50.999752001362843</c:v>
                </c:pt>
                <c:pt idx="90">
                  <c:v>54.706930950410545</c:v>
                </c:pt>
                <c:pt idx="91">
                  <c:v>57.230400411421385</c:v>
                </c:pt>
                <c:pt idx="92">
                  <c:v>60.880535036968027</c:v>
                </c:pt>
                <c:pt idx="93">
                  <c:v>64.41762558562516</c:v>
                </c:pt>
                <c:pt idx="94">
                  <c:v>64.481641546661209</c:v>
                </c:pt>
                <c:pt idx="95">
                  <c:v>66.584519677923169</c:v>
                </c:pt>
                <c:pt idx="96">
                  <c:v>71.63845824614485</c:v>
                </c:pt>
                <c:pt idx="97">
                  <c:v>76.362377364640679</c:v>
                </c:pt>
                <c:pt idx="98">
                  <c:v>77.370925100684261</c:v>
                </c:pt>
                <c:pt idx="99">
                  <c:v>82.150758616890371</c:v>
                </c:pt>
                <c:pt idx="100">
                  <c:v>85.981761661511996</c:v>
                </c:pt>
                <c:pt idx="101">
                  <c:v>92.748275337250774</c:v>
                </c:pt>
                <c:pt idx="102">
                  <c:v>96.214961063955556</c:v>
                </c:pt>
                <c:pt idx="103">
                  <c:v>104.86532489021303</c:v>
                </c:pt>
                <c:pt idx="104">
                  <c:v>108.46190905011218</c:v>
                </c:pt>
                <c:pt idx="105">
                  <c:v>116.11992394438109</c:v>
                </c:pt>
                <c:pt idx="106">
                  <c:v>119.01719497684016</c:v>
                </c:pt>
                <c:pt idx="107">
                  <c:v>125.67643714260142</c:v>
                </c:pt>
                <c:pt idx="108">
                  <c:v>131.55546750734896</c:v>
                </c:pt>
                <c:pt idx="109">
                  <c:v>139.66721985949891</c:v>
                </c:pt>
                <c:pt idx="110">
                  <c:v>148.07195511327294</c:v>
                </c:pt>
                <c:pt idx="111">
                  <c:v>154.24026087245446</c:v>
                </c:pt>
                <c:pt idx="112">
                  <c:v>159.19680286603432</c:v>
                </c:pt>
                <c:pt idx="113">
                  <c:v>162.1876504761513</c:v>
                </c:pt>
                <c:pt idx="114">
                  <c:v>165.32700449214317</c:v>
                </c:pt>
                <c:pt idx="115">
                  <c:v>172.38099352622461</c:v>
                </c:pt>
                <c:pt idx="116">
                  <c:v>177.67898650690441</c:v>
                </c:pt>
                <c:pt idx="117">
                  <c:v>188.29407183998677</c:v>
                </c:pt>
                <c:pt idx="118">
                  <c:v>202.40417451915454</c:v>
                </c:pt>
                <c:pt idx="119">
                  <c:v>206.22388997524027</c:v>
                </c:pt>
                <c:pt idx="120">
                  <c:v>220.65714831404648</c:v>
                </c:pt>
                <c:pt idx="121">
                  <c:v>226.15731367352601</c:v>
                </c:pt>
                <c:pt idx="122">
                  <c:v>239.15759105336241</c:v>
                </c:pt>
                <c:pt idx="123">
                  <c:v>250.81744010354083</c:v>
                </c:pt>
                <c:pt idx="124">
                  <c:v>262.14112500193943</c:v>
                </c:pt>
                <c:pt idx="125">
                  <c:v>275.33819989704426</c:v>
                </c:pt>
                <c:pt idx="126">
                  <c:v>290.02427944069524</c:v>
                </c:pt>
                <c:pt idx="127">
                  <c:v>291.83653109280863</c:v>
                </c:pt>
                <c:pt idx="128">
                  <c:v>324.96426157141724</c:v>
                </c:pt>
                <c:pt idx="129">
                  <c:v>334.91457387073893</c:v>
                </c:pt>
                <c:pt idx="130">
                  <c:v>343.86720435420415</c:v>
                </c:pt>
                <c:pt idx="131">
                  <c:v>364.73448185390305</c:v>
                </c:pt>
                <c:pt idx="132">
                  <c:v>374.42896632401772</c:v>
                </c:pt>
                <c:pt idx="133">
                  <c:v>385.40416878326278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8C-47EE-B416-339448D8BE1B}"/>
            </c:ext>
          </c:extLst>
        </c:ser>
        <c:ser>
          <c:idx val="1"/>
          <c:order val="1"/>
          <c:tx>
            <c:strRef>
              <c:f>真實IC再投資累積報酬!$B$13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真實IC再投資累積報酬!$C$11:$EF$11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真實IC再投資累積報酬!$C$13:$EF$13</c:f>
              <c:numCache>
                <c:formatCode>General</c:formatCode>
                <c:ptCount val="134"/>
                <c:pt idx="0">
                  <c:v>0.1041127502527619</c:v>
                </c:pt>
                <c:pt idx="1">
                  <c:v>0.24074121432325701</c:v>
                </c:pt>
                <c:pt idx="2">
                  <c:v>0.32742132658695078</c:v>
                </c:pt>
                <c:pt idx="3">
                  <c:v>0.40704872142701398</c:v>
                </c:pt>
                <c:pt idx="4">
                  <c:v>0.42400000624399237</c:v>
                </c:pt>
                <c:pt idx="5">
                  <c:v>0.46670524200867458</c:v>
                </c:pt>
                <c:pt idx="6">
                  <c:v>0.51464136847221797</c:v>
                </c:pt>
                <c:pt idx="7">
                  <c:v>0.5669720641256879</c:v>
                </c:pt>
                <c:pt idx="8">
                  <c:v>0.66150143903184722</c:v>
                </c:pt>
                <c:pt idx="9">
                  <c:v>0.67151225319165175</c:v>
                </c:pt>
                <c:pt idx="10">
                  <c:v>0.67699440925392462</c:v>
                </c:pt>
                <c:pt idx="11">
                  <c:v>0.84437005099513196</c:v>
                </c:pt>
                <c:pt idx="12">
                  <c:v>0.87650395488955679</c:v>
                </c:pt>
                <c:pt idx="13">
                  <c:v>0.91564203473607209</c:v>
                </c:pt>
                <c:pt idx="14">
                  <c:v>1.000348400394238</c:v>
                </c:pt>
                <c:pt idx="15">
                  <c:v>1.013330481833651</c:v>
                </c:pt>
                <c:pt idx="16">
                  <c:v>1.2607995979878663</c:v>
                </c:pt>
                <c:pt idx="17">
                  <c:v>1.4286279796265675</c:v>
                </c:pt>
                <c:pt idx="18">
                  <c:v>1.5601650818794801</c:v>
                </c:pt>
                <c:pt idx="19">
                  <c:v>1.695289926442574</c:v>
                </c:pt>
                <c:pt idx="20">
                  <c:v>1.8987211433067568</c:v>
                </c:pt>
                <c:pt idx="21">
                  <c:v>2.2498367737192044</c:v>
                </c:pt>
                <c:pt idx="22">
                  <c:v>2.3358660732685244</c:v>
                </c:pt>
                <c:pt idx="23">
                  <c:v>2.5974794846503952</c:v>
                </c:pt>
                <c:pt idx="24">
                  <c:v>2.7691247586085352</c:v>
                </c:pt>
                <c:pt idx="25">
                  <c:v>2.9450607937557978</c:v>
                </c:pt>
                <c:pt idx="26">
                  <c:v>3.2084792110649589</c:v>
                </c:pt>
                <c:pt idx="27">
                  <c:v>3.2991453816559231</c:v>
                </c:pt>
                <c:pt idx="28">
                  <c:v>3.6304866069346273</c:v>
                </c:pt>
                <c:pt idx="29">
                  <c:v>3.9698140406907454</c:v>
                </c:pt>
                <c:pt idx="30">
                  <c:v>4.127266610951617</c:v>
                </c:pt>
                <c:pt idx="31">
                  <c:v>4.1767003277192476</c:v>
                </c:pt>
                <c:pt idx="32">
                  <c:v>4.2797679664821224</c:v>
                </c:pt>
                <c:pt idx="33">
                  <c:v>4.1938108625587507</c:v>
                </c:pt>
                <c:pt idx="34">
                  <c:v>4.5365396009123158</c:v>
                </c:pt>
                <c:pt idx="35">
                  <c:v>4.6613905487049108</c:v>
                </c:pt>
                <c:pt idx="36">
                  <c:v>4.923413537115283</c:v>
                </c:pt>
                <c:pt idx="37">
                  <c:v>5.5473280955578437</c:v>
                </c:pt>
                <c:pt idx="38">
                  <c:v>5.5361397156223404</c:v>
                </c:pt>
                <c:pt idx="39">
                  <c:v>5.92537232841108</c:v>
                </c:pt>
                <c:pt idx="40">
                  <c:v>6.0021261915819233</c:v>
                </c:pt>
                <c:pt idx="41">
                  <c:v>5.9373513953694568</c:v>
                </c:pt>
                <c:pt idx="42">
                  <c:v>6.0997198518533287</c:v>
                </c:pt>
                <c:pt idx="43">
                  <c:v>6.7132983351998936</c:v>
                </c:pt>
                <c:pt idx="44">
                  <c:v>7.3055588079450668</c:v>
                </c:pt>
                <c:pt idx="45">
                  <c:v>7.9672292536857547</c:v>
                </c:pt>
                <c:pt idx="46">
                  <c:v>8.2077414434338216</c:v>
                </c:pt>
                <c:pt idx="47">
                  <c:v>8.5097538171288143</c:v>
                </c:pt>
                <c:pt idx="48">
                  <c:v>8.676786426863023</c:v>
                </c:pt>
                <c:pt idx="49">
                  <c:v>9.2133620662024303</c:v>
                </c:pt>
                <c:pt idx="50">
                  <c:v>10.028685775699987</c:v>
                </c:pt>
                <c:pt idx="51">
                  <c:v>10.277353976109536</c:v>
                </c:pt>
                <c:pt idx="52">
                  <c:v>10.492873991158378</c:v>
                </c:pt>
                <c:pt idx="53">
                  <c:v>10.971854613464835</c:v>
                </c:pt>
                <c:pt idx="54">
                  <c:v>11.495908055871862</c:v>
                </c:pt>
                <c:pt idx="55">
                  <c:v>13.016124532463275</c:v>
                </c:pt>
                <c:pt idx="56">
                  <c:v>14.255115543549602</c:v>
                </c:pt>
                <c:pt idx="57">
                  <c:v>14.880936158780344</c:v>
                </c:pt>
                <c:pt idx="58">
                  <c:v>15.713242245462279</c:v>
                </c:pt>
                <c:pt idx="59">
                  <c:v>16.573170631033353</c:v>
                </c:pt>
                <c:pt idx="60">
                  <c:v>17.014710133581399</c:v>
                </c:pt>
                <c:pt idx="61">
                  <c:v>17.635497773451728</c:v>
                </c:pt>
                <c:pt idx="62">
                  <c:v>18.630107250136135</c:v>
                </c:pt>
                <c:pt idx="63">
                  <c:v>18.534751981120895</c:v>
                </c:pt>
                <c:pt idx="64">
                  <c:v>19.137960044237222</c:v>
                </c:pt>
                <c:pt idx="65">
                  <c:v>19.298079913104246</c:v>
                </c:pt>
                <c:pt idx="66">
                  <c:v>20.143557130527636</c:v>
                </c:pt>
                <c:pt idx="67">
                  <c:v>21.831478098685025</c:v>
                </c:pt>
                <c:pt idx="68">
                  <c:v>22.748858632321614</c:v>
                </c:pt>
                <c:pt idx="69">
                  <c:v>23.548429736767993</c:v>
                </c:pt>
                <c:pt idx="70">
                  <c:v>25.381170528431749</c:v>
                </c:pt>
                <c:pt idx="71">
                  <c:v>27.489839493331537</c:v>
                </c:pt>
                <c:pt idx="72">
                  <c:v>29.646919361317739</c:v>
                </c:pt>
                <c:pt idx="73">
                  <c:v>29.692198185766838</c:v>
                </c:pt>
                <c:pt idx="74">
                  <c:v>30.895392406240902</c:v>
                </c:pt>
                <c:pt idx="75">
                  <c:v>33.323847718283972</c:v>
                </c:pt>
                <c:pt idx="76">
                  <c:v>34.474780069707649</c:v>
                </c:pt>
                <c:pt idx="77">
                  <c:v>38.746900406362499</c:v>
                </c:pt>
                <c:pt idx="78">
                  <c:v>43.521225494930206</c:v>
                </c:pt>
                <c:pt idx="79">
                  <c:v>48.199775557452071</c:v>
                </c:pt>
                <c:pt idx="80">
                  <c:v>57.244063852280028</c:v>
                </c:pt>
                <c:pt idx="81">
                  <c:v>59.83675564575239</c:v>
                </c:pt>
                <c:pt idx="82">
                  <c:v>63.366198066037597</c:v>
                </c:pt>
                <c:pt idx="83">
                  <c:v>67.120975245013042</c:v>
                </c:pt>
                <c:pt idx="84">
                  <c:v>70.653286857115248</c:v>
                </c:pt>
                <c:pt idx="85">
                  <c:v>74.580616455986501</c:v>
                </c:pt>
                <c:pt idx="86">
                  <c:v>79.54528995245326</c:v>
                </c:pt>
                <c:pt idx="87">
                  <c:v>86.105974942756745</c:v>
                </c:pt>
                <c:pt idx="88">
                  <c:v>94.943069363947117</c:v>
                </c:pt>
                <c:pt idx="89">
                  <c:v>104.63275970002887</c:v>
                </c:pt>
                <c:pt idx="90">
                  <c:v>113.67135769529408</c:v>
                </c:pt>
                <c:pt idx="91">
                  <c:v>121.66699473633747</c:v>
                </c:pt>
                <c:pt idx="92">
                  <c:v>130.39829219075517</c:v>
                </c:pt>
                <c:pt idx="93">
                  <c:v>145.06823959298043</c:v>
                </c:pt>
                <c:pt idx="94">
                  <c:v>146.46576992088205</c:v>
                </c:pt>
                <c:pt idx="95">
                  <c:v>152.87496672944602</c:v>
                </c:pt>
                <c:pt idx="96">
                  <c:v>169.35358490015633</c:v>
                </c:pt>
                <c:pt idx="97">
                  <c:v>182.58257162097192</c:v>
                </c:pt>
                <c:pt idx="98">
                  <c:v>189.24829319915179</c:v>
                </c:pt>
                <c:pt idx="99">
                  <c:v>200.66951754376092</c:v>
                </c:pt>
                <c:pt idx="100">
                  <c:v>213.2329127907816</c:v>
                </c:pt>
                <c:pt idx="101">
                  <c:v>225.49222419929026</c:v>
                </c:pt>
                <c:pt idx="102">
                  <c:v>236.69136634641154</c:v>
                </c:pt>
                <c:pt idx="103">
                  <c:v>261.94258502116065</c:v>
                </c:pt>
                <c:pt idx="104">
                  <c:v>269.77184928366688</c:v>
                </c:pt>
                <c:pt idx="105">
                  <c:v>288.44889508677062</c:v>
                </c:pt>
                <c:pt idx="106">
                  <c:v>294.94470615675431</c:v>
                </c:pt>
                <c:pt idx="107">
                  <c:v>319.5442773837093</c:v>
                </c:pt>
                <c:pt idx="108">
                  <c:v>334.84356199852851</c:v>
                </c:pt>
                <c:pt idx="109">
                  <c:v>364.63980464298629</c:v>
                </c:pt>
                <c:pt idx="110">
                  <c:v>397.45545188548073</c:v>
                </c:pt>
                <c:pt idx="111">
                  <c:v>400.25305686846167</c:v>
                </c:pt>
                <c:pt idx="112">
                  <c:v>408.03200296872467</c:v>
                </c:pt>
                <c:pt idx="113">
                  <c:v>417.05144114362685</c:v>
                </c:pt>
                <c:pt idx="114">
                  <c:v>416.82919554517406</c:v>
                </c:pt>
                <c:pt idx="115">
                  <c:v>421.63405493764674</c:v>
                </c:pt>
                <c:pt idx="116">
                  <c:v>437.63644472042279</c:v>
                </c:pt>
                <c:pt idx="117">
                  <c:v>463.09153037115749</c:v>
                </c:pt>
                <c:pt idx="118">
                  <c:v>503.52736660806153</c:v>
                </c:pt>
                <c:pt idx="119">
                  <c:v>510.47531855722957</c:v>
                </c:pt>
                <c:pt idx="120">
                  <c:v>545.56091561349683</c:v>
                </c:pt>
                <c:pt idx="121">
                  <c:v>561.87346839576048</c:v>
                </c:pt>
                <c:pt idx="122">
                  <c:v>580.45175983965066</c:v>
                </c:pt>
                <c:pt idx="123">
                  <c:v>626.74703270120153</c:v>
                </c:pt>
                <c:pt idx="124">
                  <c:v>653.13041544536679</c:v>
                </c:pt>
                <c:pt idx="125">
                  <c:v>695.33712053498755</c:v>
                </c:pt>
                <c:pt idx="126">
                  <c:v>735.01534209159252</c:v>
                </c:pt>
                <c:pt idx="127">
                  <c:v>748.48598625613556</c:v>
                </c:pt>
                <c:pt idx="128">
                  <c:v>841.77372611276564</c:v>
                </c:pt>
                <c:pt idx="129">
                  <c:v>889.98484383569701</c:v>
                </c:pt>
                <c:pt idx="130">
                  <c:v>927.10305274441816</c:v>
                </c:pt>
                <c:pt idx="131">
                  <c:v>988.06280438019905</c:v>
                </c:pt>
                <c:pt idx="132">
                  <c:v>1028.8461998520852</c:v>
                </c:pt>
                <c:pt idx="133">
                  <c:v>1074.6883714916535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8C-47EE-B416-339448D8BE1B}"/>
            </c:ext>
          </c:extLst>
        </c:ser>
        <c:ser>
          <c:idx val="2"/>
          <c:order val="2"/>
          <c:tx>
            <c:strRef>
              <c:f>真實IC再投資累積報酬!$B$14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真實IC再投資累積報酬!$C$11:$EF$11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真實IC再投資累積報酬!$C$14:$EF$14</c:f>
              <c:numCache>
                <c:formatCode>General</c:formatCode>
                <c:ptCount val="134"/>
                <c:pt idx="0">
                  <c:v>0.11994148975270602</c:v>
                </c:pt>
                <c:pt idx="1">
                  <c:v>0.36891394479590733</c:v>
                </c:pt>
                <c:pt idx="2">
                  <c:v>0.50411917698085751</c:v>
                </c:pt>
                <c:pt idx="3">
                  <c:v>0.5948805933255763</c:v>
                </c:pt>
                <c:pt idx="4">
                  <c:v>0.6804565119220094</c:v>
                </c:pt>
                <c:pt idx="5">
                  <c:v>0.78059122927759272</c:v>
                </c:pt>
                <c:pt idx="6">
                  <c:v>0.85855861813190204</c:v>
                </c:pt>
                <c:pt idx="7">
                  <c:v>0.90188156741570014</c:v>
                </c:pt>
                <c:pt idx="8">
                  <c:v>0.99854938861565024</c:v>
                </c:pt>
                <c:pt idx="9">
                  <c:v>1.0154979819129641</c:v>
                </c:pt>
                <c:pt idx="10">
                  <c:v>0.97715975479626427</c:v>
                </c:pt>
                <c:pt idx="11">
                  <c:v>1.3821464788367779</c:v>
                </c:pt>
                <c:pt idx="12">
                  <c:v>1.3857063774455374</c:v>
                </c:pt>
                <c:pt idx="13">
                  <c:v>1.5249026154161105</c:v>
                </c:pt>
                <c:pt idx="14">
                  <c:v>1.8382528043201649</c:v>
                </c:pt>
                <c:pt idx="15">
                  <c:v>1.7930076847699725</c:v>
                </c:pt>
                <c:pt idx="16">
                  <c:v>2.2563487431481546</c:v>
                </c:pt>
                <c:pt idx="17">
                  <c:v>2.3703846265187614</c:v>
                </c:pt>
                <c:pt idx="18">
                  <c:v>2.7218033900651353</c:v>
                </c:pt>
                <c:pt idx="19">
                  <c:v>2.7965711717271264</c:v>
                </c:pt>
                <c:pt idx="20">
                  <c:v>3.2376028632014178</c:v>
                </c:pt>
                <c:pt idx="21">
                  <c:v>4.0287027014385721</c:v>
                </c:pt>
                <c:pt idx="22">
                  <c:v>4.0549518989182936</c:v>
                </c:pt>
                <c:pt idx="23">
                  <c:v>4.2496278337999369</c:v>
                </c:pt>
                <c:pt idx="24">
                  <c:v>4.7740965195693548</c:v>
                </c:pt>
                <c:pt idx="25">
                  <c:v>5.1827257350020872</c:v>
                </c:pt>
                <c:pt idx="26">
                  <c:v>5.163642366597367</c:v>
                </c:pt>
                <c:pt idx="27">
                  <c:v>5.4060454290888096</c:v>
                </c:pt>
                <c:pt idx="28">
                  <c:v>6.1545080453758771</c:v>
                </c:pt>
                <c:pt idx="29">
                  <c:v>6.8419138613208448</c:v>
                </c:pt>
                <c:pt idx="30">
                  <c:v>7.0028369494964284</c:v>
                </c:pt>
                <c:pt idx="31">
                  <c:v>7.044854067713807</c:v>
                </c:pt>
                <c:pt idx="32">
                  <c:v>7.1330624387702475</c:v>
                </c:pt>
                <c:pt idx="33">
                  <c:v>7.2555385195022097</c:v>
                </c:pt>
                <c:pt idx="34">
                  <c:v>7.8904837995429542</c:v>
                </c:pt>
                <c:pt idx="35">
                  <c:v>8.0554871093164735</c:v>
                </c:pt>
                <c:pt idx="36">
                  <c:v>8.6100647575047304</c:v>
                </c:pt>
                <c:pt idx="37">
                  <c:v>9.5575658899046445</c:v>
                </c:pt>
                <c:pt idx="38">
                  <c:v>9.155910131203072</c:v>
                </c:pt>
                <c:pt idx="39">
                  <c:v>9.8665854319415107</c:v>
                </c:pt>
                <c:pt idx="40">
                  <c:v>9.9549135665235529</c:v>
                </c:pt>
                <c:pt idx="41">
                  <c:v>9.7558537709190674</c:v>
                </c:pt>
                <c:pt idx="42">
                  <c:v>9.6841193424507903</c:v>
                </c:pt>
                <c:pt idx="43">
                  <c:v>10.532475595885117</c:v>
                </c:pt>
                <c:pt idx="44">
                  <c:v>12.122255911795627</c:v>
                </c:pt>
                <c:pt idx="45">
                  <c:v>12.991720175406858</c:v>
                </c:pt>
                <c:pt idx="46">
                  <c:v>13.746275192597722</c:v>
                </c:pt>
                <c:pt idx="47">
                  <c:v>14.031913689572042</c:v>
                </c:pt>
                <c:pt idx="48">
                  <c:v>14.258416350413382</c:v>
                </c:pt>
                <c:pt idx="49">
                  <c:v>14.649473196967355</c:v>
                </c:pt>
                <c:pt idx="50">
                  <c:v>16.157101587993193</c:v>
                </c:pt>
                <c:pt idx="51">
                  <c:v>18.04972289168812</c:v>
                </c:pt>
                <c:pt idx="52">
                  <c:v>17.506697520188172</c:v>
                </c:pt>
                <c:pt idx="53">
                  <c:v>17.810531408294064</c:v>
                </c:pt>
                <c:pt idx="54">
                  <c:v>19.128806746836865</c:v>
                </c:pt>
                <c:pt idx="55">
                  <c:v>22.225206225068696</c:v>
                </c:pt>
                <c:pt idx="56">
                  <c:v>25.135447808223596</c:v>
                </c:pt>
                <c:pt idx="57">
                  <c:v>27.054141569687559</c:v>
                </c:pt>
                <c:pt idx="58">
                  <c:v>28.462044636832481</c:v>
                </c:pt>
                <c:pt idx="59">
                  <c:v>29.169632609118541</c:v>
                </c:pt>
                <c:pt idx="60">
                  <c:v>28.166873005943359</c:v>
                </c:pt>
                <c:pt idx="61">
                  <c:v>29.916794838543062</c:v>
                </c:pt>
                <c:pt idx="62">
                  <c:v>31.347572318132244</c:v>
                </c:pt>
                <c:pt idx="63">
                  <c:v>29.840930951652773</c:v>
                </c:pt>
                <c:pt idx="64">
                  <c:v>30.877465208736229</c:v>
                </c:pt>
                <c:pt idx="65">
                  <c:v>29.272999598079771</c:v>
                </c:pt>
                <c:pt idx="66">
                  <c:v>29.752630589826961</c:v>
                </c:pt>
                <c:pt idx="67">
                  <c:v>32.829505796281396</c:v>
                </c:pt>
                <c:pt idx="68">
                  <c:v>33.855646858208857</c:v>
                </c:pt>
                <c:pt idx="69">
                  <c:v>33.322776242015138</c:v>
                </c:pt>
                <c:pt idx="70">
                  <c:v>37.138077319610296</c:v>
                </c:pt>
                <c:pt idx="71">
                  <c:v>41.256289195689497</c:v>
                </c:pt>
                <c:pt idx="72">
                  <c:v>46.78753217227716</c:v>
                </c:pt>
                <c:pt idx="73">
                  <c:v>46.772854985634709</c:v>
                </c:pt>
                <c:pt idx="74">
                  <c:v>44.737516879688279</c:v>
                </c:pt>
                <c:pt idx="75">
                  <c:v>47.483325567250873</c:v>
                </c:pt>
                <c:pt idx="76">
                  <c:v>48.669483029390804</c:v>
                </c:pt>
                <c:pt idx="77">
                  <c:v>56.838399456219499</c:v>
                </c:pt>
                <c:pt idx="78">
                  <c:v>63.813488249586243</c:v>
                </c:pt>
                <c:pt idx="79">
                  <c:v>70.16629312703985</c:v>
                </c:pt>
                <c:pt idx="80">
                  <c:v>82.304081778310987</c:v>
                </c:pt>
                <c:pt idx="81">
                  <c:v>89.995604569087178</c:v>
                </c:pt>
                <c:pt idx="82">
                  <c:v>95.211533013841816</c:v>
                </c:pt>
                <c:pt idx="83">
                  <c:v>101.43270469173848</c:v>
                </c:pt>
                <c:pt idx="84">
                  <c:v>112.2787688227499</c:v>
                </c:pt>
                <c:pt idx="85">
                  <c:v>114.29469097260704</c:v>
                </c:pt>
                <c:pt idx="86">
                  <c:v>120.49663296400961</c:v>
                </c:pt>
                <c:pt idx="87">
                  <c:v>128.06222281660905</c:v>
                </c:pt>
                <c:pt idx="88">
                  <c:v>142.26796913160823</c:v>
                </c:pt>
                <c:pt idx="89">
                  <c:v>167.2819368628993</c:v>
                </c:pt>
                <c:pt idx="90">
                  <c:v>196.43664005012934</c:v>
                </c:pt>
                <c:pt idx="91">
                  <c:v>216.1426591035362</c:v>
                </c:pt>
                <c:pt idx="92">
                  <c:v>223.14071098240612</c:v>
                </c:pt>
                <c:pt idx="93">
                  <c:v>269.69915504753504</c:v>
                </c:pt>
                <c:pt idx="94">
                  <c:v>268.50465887854995</c:v>
                </c:pt>
                <c:pt idx="95">
                  <c:v>285.17954610386198</c:v>
                </c:pt>
                <c:pt idx="96">
                  <c:v>314.23964810059118</c:v>
                </c:pt>
                <c:pt idx="97">
                  <c:v>361.96593503066464</c:v>
                </c:pt>
                <c:pt idx="98">
                  <c:v>378.21370020321717</c:v>
                </c:pt>
                <c:pt idx="99">
                  <c:v>391.97893336291588</c:v>
                </c:pt>
                <c:pt idx="100">
                  <c:v>411.68201031453185</c:v>
                </c:pt>
                <c:pt idx="101">
                  <c:v>438.11989042588044</c:v>
                </c:pt>
                <c:pt idx="102">
                  <c:v>466.83540119912823</c:v>
                </c:pt>
                <c:pt idx="103">
                  <c:v>515.77446537466835</c:v>
                </c:pt>
                <c:pt idx="104">
                  <c:v>527.98719436191186</c:v>
                </c:pt>
                <c:pt idx="105">
                  <c:v>569.88581121453103</c:v>
                </c:pt>
                <c:pt idx="106">
                  <c:v>605.58154494870769</c:v>
                </c:pt>
                <c:pt idx="107">
                  <c:v>727.84584351691683</c:v>
                </c:pt>
                <c:pt idx="108">
                  <c:v>761.06911202585343</c:v>
                </c:pt>
                <c:pt idx="109">
                  <c:v>805.83396170356002</c:v>
                </c:pt>
                <c:pt idx="110">
                  <c:v>875.7432588517695</c:v>
                </c:pt>
                <c:pt idx="111">
                  <c:v>883.45336483524738</c:v>
                </c:pt>
                <c:pt idx="112">
                  <c:v>955.64381893700181</c:v>
                </c:pt>
                <c:pt idx="113">
                  <c:v>994.6317151665578</c:v>
                </c:pt>
                <c:pt idx="114">
                  <c:v>995.74796740292288</c:v>
                </c:pt>
                <c:pt idx="115">
                  <c:v>1038.2717234688696</c:v>
                </c:pt>
                <c:pt idx="116">
                  <c:v>1144.8928849228421</c:v>
                </c:pt>
                <c:pt idx="117">
                  <c:v>1216.9865158468854</c:v>
                </c:pt>
                <c:pt idx="118">
                  <c:v>1303.673739804947</c:v>
                </c:pt>
                <c:pt idx="119">
                  <c:v>1372.3289590654786</c:v>
                </c:pt>
                <c:pt idx="120">
                  <c:v>1449.3065465816985</c:v>
                </c:pt>
                <c:pt idx="121">
                  <c:v>1460.5526446245656</c:v>
                </c:pt>
                <c:pt idx="122">
                  <c:v>1561.1005580962428</c:v>
                </c:pt>
                <c:pt idx="123">
                  <c:v>1730.2172425285369</c:v>
                </c:pt>
                <c:pt idx="124">
                  <c:v>1733.3495503467507</c:v>
                </c:pt>
                <c:pt idx="125">
                  <c:v>1910.1344111677595</c:v>
                </c:pt>
                <c:pt idx="126">
                  <c:v>2052.0527682168458</c:v>
                </c:pt>
                <c:pt idx="127">
                  <c:v>2123.9732594605834</c:v>
                </c:pt>
                <c:pt idx="128">
                  <c:v>2257.6610318585381</c:v>
                </c:pt>
                <c:pt idx="129">
                  <c:v>2434.2427689385204</c:v>
                </c:pt>
                <c:pt idx="130">
                  <c:v>2449.0475403543755</c:v>
                </c:pt>
                <c:pt idx="131">
                  <c:v>2700.4952069132778</c:v>
                </c:pt>
                <c:pt idx="132">
                  <c:v>2691.3121398271219</c:v>
                </c:pt>
                <c:pt idx="133">
                  <c:v>2760.034363510546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8C-47EE-B416-339448D8BE1B}"/>
            </c:ext>
          </c:extLst>
        </c:ser>
        <c:ser>
          <c:idx val="3"/>
          <c:order val="3"/>
          <c:tx>
            <c:strRef>
              <c:f>真實IC再投資累積報酬!$B$15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真實IC再投資累積報酬!$C$11:$EF$11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真實IC再投資累積報酬!$C$15:$EF$15</c:f>
              <c:numCache>
                <c:formatCode>General</c:formatCode>
                <c:ptCount val="134"/>
                <c:pt idx="0">
                  <c:v>0.22764465877785844</c:v>
                </c:pt>
                <c:pt idx="1">
                  <c:v>0.68519913659866893</c:v>
                </c:pt>
                <c:pt idx="2">
                  <c:v>0.78975846316144338</c:v>
                </c:pt>
                <c:pt idx="3">
                  <c:v>0.72725752653833897</c:v>
                </c:pt>
                <c:pt idx="4">
                  <c:v>0.78668195797108309</c:v>
                </c:pt>
                <c:pt idx="5">
                  <c:v>0.99901785920348307</c:v>
                </c:pt>
                <c:pt idx="6">
                  <c:v>1.1158233598579872</c:v>
                </c:pt>
                <c:pt idx="7">
                  <c:v>1.2215329951211471</c:v>
                </c:pt>
                <c:pt idx="8">
                  <c:v>1.4315007364988186</c:v>
                </c:pt>
                <c:pt idx="9">
                  <c:v>1.3999712598658061</c:v>
                </c:pt>
                <c:pt idx="10">
                  <c:v>1.3948520817218943</c:v>
                </c:pt>
                <c:pt idx="11">
                  <c:v>2.1858940847247554</c:v>
                </c:pt>
                <c:pt idx="12">
                  <c:v>2.1468006291008055</c:v>
                </c:pt>
                <c:pt idx="13">
                  <c:v>2.3485614741689127</c:v>
                </c:pt>
                <c:pt idx="14">
                  <c:v>2.8693861514650267</c:v>
                </c:pt>
                <c:pt idx="15">
                  <c:v>2.6676762504921219</c:v>
                </c:pt>
                <c:pt idx="16">
                  <c:v>3.6579777947303063</c:v>
                </c:pt>
                <c:pt idx="17">
                  <c:v>3.8717374129184066</c:v>
                </c:pt>
                <c:pt idx="18">
                  <c:v>4.5390098433177553</c:v>
                </c:pt>
                <c:pt idx="19">
                  <c:v>4.444116338988283</c:v>
                </c:pt>
                <c:pt idx="20">
                  <c:v>5.0262804979260309</c:v>
                </c:pt>
                <c:pt idx="21">
                  <c:v>6.298948543745734</c:v>
                </c:pt>
                <c:pt idx="22">
                  <c:v>6.1483714223908219</c:v>
                </c:pt>
                <c:pt idx="23">
                  <c:v>6.4823431354719485</c:v>
                </c:pt>
                <c:pt idx="24">
                  <c:v>7.6858809036265967</c:v>
                </c:pt>
                <c:pt idx="25">
                  <c:v>8.4128906337121023</c:v>
                </c:pt>
                <c:pt idx="26">
                  <c:v>8.4535323783714311</c:v>
                </c:pt>
                <c:pt idx="27">
                  <c:v>8.8287476268253613</c:v>
                </c:pt>
                <c:pt idx="28">
                  <c:v>10.910404064555308</c:v>
                </c:pt>
                <c:pt idx="29">
                  <c:v>12.550779795152154</c:v>
                </c:pt>
                <c:pt idx="30">
                  <c:v>12.687960819836858</c:v>
                </c:pt>
                <c:pt idx="31">
                  <c:v>12.227985473941812</c:v>
                </c:pt>
                <c:pt idx="32">
                  <c:v>13.21052002464933</c:v>
                </c:pt>
                <c:pt idx="33">
                  <c:v>13.345020606747648</c:v>
                </c:pt>
                <c:pt idx="34">
                  <c:v>14.230963623412936</c:v>
                </c:pt>
                <c:pt idx="35">
                  <c:v>14.126147800721563</c:v>
                </c:pt>
                <c:pt idx="36">
                  <c:v>14.959940730293258</c:v>
                </c:pt>
                <c:pt idx="37">
                  <c:v>16.582886449595119</c:v>
                </c:pt>
                <c:pt idx="38">
                  <c:v>15.679398264948848</c:v>
                </c:pt>
                <c:pt idx="39">
                  <c:v>16.985156531833969</c:v>
                </c:pt>
                <c:pt idx="40">
                  <c:v>17.340381128794274</c:v>
                </c:pt>
                <c:pt idx="41">
                  <c:v>16.890109738503533</c:v>
                </c:pt>
                <c:pt idx="42">
                  <c:v>16.018267060567865</c:v>
                </c:pt>
                <c:pt idx="43">
                  <c:v>17.226390650037384</c:v>
                </c:pt>
                <c:pt idx="44">
                  <c:v>20.272174195623666</c:v>
                </c:pt>
                <c:pt idx="45">
                  <c:v>21.065582232047095</c:v>
                </c:pt>
                <c:pt idx="46">
                  <c:v>23.08960232590664</c:v>
                </c:pt>
                <c:pt idx="47">
                  <c:v>25.049546004767702</c:v>
                </c:pt>
                <c:pt idx="48">
                  <c:v>25.779377805220534</c:v>
                </c:pt>
                <c:pt idx="49">
                  <c:v>26.766126958925337</c:v>
                </c:pt>
                <c:pt idx="50">
                  <c:v>31.144510554323737</c:v>
                </c:pt>
                <c:pt idx="51">
                  <c:v>37.499902975294603</c:v>
                </c:pt>
                <c:pt idx="52">
                  <c:v>36.308843349457518</c:v>
                </c:pt>
                <c:pt idx="53">
                  <c:v>36.583545227705329</c:v>
                </c:pt>
                <c:pt idx="54">
                  <c:v>38.139427731727793</c:v>
                </c:pt>
                <c:pt idx="55">
                  <c:v>46.392840560680739</c:v>
                </c:pt>
                <c:pt idx="56">
                  <c:v>54.262479340101621</c:v>
                </c:pt>
                <c:pt idx="57">
                  <c:v>59.714070229057171</c:v>
                </c:pt>
                <c:pt idx="58">
                  <c:v>63.878245467339838</c:v>
                </c:pt>
                <c:pt idx="59">
                  <c:v>68.754098516986332</c:v>
                </c:pt>
                <c:pt idx="60">
                  <c:v>63.671157893374684</c:v>
                </c:pt>
                <c:pt idx="61">
                  <c:v>67.535610158190067</c:v>
                </c:pt>
                <c:pt idx="62">
                  <c:v>70.840329051978117</c:v>
                </c:pt>
                <c:pt idx="63">
                  <c:v>66.094985426161358</c:v>
                </c:pt>
                <c:pt idx="64">
                  <c:v>67.955829686159674</c:v>
                </c:pt>
                <c:pt idx="65">
                  <c:v>64.396546660248688</c:v>
                </c:pt>
                <c:pt idx="66">
                  <c:v>65.23381415376457</c:v>
                </c:pt>
                <c:pt idx="67">
                  <c:v>73.431052497769599</c:v>
                </c:pt>
                <c:pt idx="68">
                  <c:v>74.314244735542331</c:v>
                </c:pt>
                <c:pt idx="69">
                  <c:v>77.073281636954903</c:v>
                </c:pt>
                <c:pt idx="70">
                  <c:v>83.752117798628859</c:v>
                </c:pt>
                <c:pt idx="71">
                  <c:v>92.620583159061425</c:v>
                </c:pt>
                <c:pt idx="72">
                  <c:v>120.60180845715082</c:v>
                </c:pt>
                <c:pt idx="73">
                  <c:v>123.51410263145208</c:v>
                </c:pt>
                <c:pt idx="74">
                  <c:v>107.82239045709233</c:v>
                </c:pt>
                <c:pt idx="75">
                  <c:v>119.02091840470588</c:v>
                </c:pt>
                <c:pt idx="76">
                  <c:v>121.25234981569427</c:v>
                </c:pt>
                <c:pt idx="77">
                  <c:v>137.27858184668142</c:v>
                </c:pt>
                <c:pt idx="78">
                  <c:v>161.29089344919342</c:v>
                </c:pt>
                <c:pt idx="79">
                  <c:v>180.79048250534487</c:v>
                </c:pt>
                <c:pt idx="80">
                  <c:v>194.12810844946279</c:v>
                </c:pt>
                <c:pt idx="81">
                  <c:v>212.53974316035811</c:v>
                </c:pt>
                <c:pt idx="82">
                  <c:v>230.87982213897428</c:v>
                </c:pt>
                <c:pt idx="83">
                  <c:v>245.46180696083789</c:v>
                </c:pt>
                <c:pt idx="84">
                  <c:v>255.02413440307112</c:v>
                </c:pt>
                <c:pt idx="85">
                  <c:v>265.43707552912917</c:v>
                </c:pt>
                <c:pt idx="86">
                  <c:v>290.91931677368268</c:v>
                </c:pt>
                <c:pt idx="87">
                  <c:v>300.09199824539144</c:v>
                </c:pt>
                <c:pt idx="88">
                  <c:v>332.64599154279892</c:v>
                </c:pt>
                <c:pt idx="89">
                  <c:v>380.40735416533863</c:v>
                </c:pt>
                <c:pt idx="90">
                  <c:v>446.52812897913606</c:v>
                </c:pt>
                <c:pt idx="91">
                  <c:v>503.60400278823505</c:v>
                </c:pt>
                <c:pt idx="92">
                  <c:v>491.00739117887053</c:v>
                </c:pt>
                <c:pt idx="93">
                  <c:v>580.30128725601344</c:v>
                </c:pt>
                <c:pt idx="94">
                  <c:v>584.06989320523519</c:v>
                </c:pt>
                <c:pt idx="95">
                  <c:v>602.91883044398219</c:v>
                </c:pt>
                <c:pt idx="96">
                  <c:v>677.8349199401016</c:v>
                </c:pt>
                <c:pt idx="97">
                  <c:v>801.7980153146525</c:v>
                </c:pt>
                <c:pt idx="98">
                  <c:v>822.72863814678578</c:v>
                </c:pt>
                <c:pt idx="99">
                  <c:v>842.53075092640984</c:v>
                </c:pt>
                <c:pt idx="100">
                  <c:v>889.54300633964147</c:v>
                </c:pt>
                <c:pt idx="101">
                  <c:v>960.6857691292945</c:v>
                </c:pt>
                <c:pt idx="102">
                  <c:v>1046.1432940128393</c:v>
                </c:pt>
                <c:pt idx="103">
                  <c:v>1147.7667093219686</c:v>
                </c:pt>
                <c:pt idx="104">
                  <c:v>1188.0598739372438</c:v>
                </c:pt>
                <c:pt idx="105">
                  <c:v>1205.3092398823433</c:v>
                </c:pt>
                <c:pt idx="106">
                  <c:v>1274.2662606439123</c:v>
                </c:pt>
                <c:pt idx="107">
                  <c:v>1660.315436480307</c:v>
                </c:pt>
                <c:pt idx="108">
                  <c:v>1739.9214939454953</c:v>
                </c:pt>
                <c:pt idx="109">
                  <c:v>1965.5831078364877</c:v>
                </c:pt>
                <c:pt idx="110">
                  <c:v>2049.7760060544247</c:v>
                </c:pt>
                <c:pt idx="111">
                  <c:v>2172.8713270852136</c:v>
                </c:pt>
                <c:pt idx="112">
                  <c:v>2390.9735044809681</c:v>
                </c:pt>
                <c:pt idx="113">
                  <c:v>2390.2463607942618</c:v>
                </c:pt>
                <c:pt idx="114">
                  <c:v>2386.006047944687</c:v>
                </c:pt>
                <c:pt idx="115">
                  <c:v>2491.0259533832495</c:v>
                </c:pt>
                <c:pt idx="116">
                  <c:v>2888.6172592337625</c:v>
                </c:pt>
                <c:pt idx="117">
                  <c:v>3276.7071531412071</c:v>
                </c:pt>
                <c:pt idx="118">
                  <c:v>3398.1091288627968</c:v>
                </c:pt>
                <c:pt idx="119">
                  <c:v>3636.0826849706882</c:v>
                </c:pt>
                <c:pt idx="120">
                  <c:v>3772.5829210699972</c:v>
                </c:pt>
                <c:pt idx="121">
                  <c:v>3971.5216465922258</c:v>
                </c:pt>
                <c:pt idx="122">
                  <c:v>4436.8137855778277</c:v>
                </c:pt>
                <c:pt idx="123">
                  <c:v>5057.0797267975895</c:v>
                </c:pt>
                <c:pt idx="124">
                  <c:v>4749.4153186949088</c:v>
                </c:pt>
                <c:pt idx="125">
                  <c:v>5312.8917728287588</c:v>
                </c:pt>
                <c:pt idx="126">
                  <c:v>6076.0175086302388</c:v>
                </c:pt>
                <c:pt idx="127">
                  <c:v>6321.867222081778</c:v>
                </c:pt>
                <c:pt idx="128">
                  <c:v>6596.6035185517012</c:v>
                </c:pt>
                <c:pt idx="129">
                  <c:v>7177.7695854929625</c:v>
                </c:pt>
                <c:pt idx="130">
                  <c:v>7652.1560038428843</c:v>
                </c:pt>
                <c:pt idx="131">
                  <c:v>8519.6952370521667</c:v>
                </c:pt>
                <c:pt idx="132">
                  <c:v>8546.8823940322909</c:v>
                </c:pt>
                <c:pt idx="133">
                  <c:v>8800.2933862348036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8C-47EE-B416-339448D8BE1B}"/>
            </c:ext>
          </c:extLst>
        </c:ser>
        <c:ser>
          <c:idx val="4"/>
          <c:order val="4"/>
          <c:tx>
            <c:strRef>
              <c:f>真實IC再投資累積報酬!$B$16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真實IC再投資累積報酬!$C$11:$EF$11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真實IC再投資累積報酬!$C$16:$EF$16</c:f>
              <c:numCache>
                <c:formatCode>General</c:formatCode>
                <c:ptCount val="134"/>
                <c:pt idx="0">
                  <c:v>0.20787477708292901</c:v>
                </c:pt>
                <c:pt idx="1">
                  <c:v>0.70092319602591591</c:v>
                </c:pt>
                <c:pt idx="2">
                  <c:v>0.81149439092882147</c:v>
                </c:pt>
                <c:pt idx="3">
                  <c:v>0.66890175509481065</c:v>
                </c:pt>
                <c:pt idx="4">
                  <c:v>0.68249754778749994</c:v>
                </c:pt>
                <c:pt idx="5">
                  <c:v>0.8050642238525525</c:v>
                </c:pt>
                <c:pt idx="6">
                  <c:v>0.90891068538196973</c:v>
                </c:pt>
                <c:pt idx="7">
                  <c:v>0.99807576231821682</c:v>
                </c:pt>
                <c:pt idx="8">
                  <c:v>1.1707512511469216</c:v>
                </c:pt>
                <c:pt idx="9">
                  <c:v>1.1033990243690965</c:v>
                </c:pt>
                <c:pt idx="10">
                  <c:v>1.0739778654237147</c:v>
                </c:pt>
                <c:pt idx="11">
                  <c:v>1.8351020436287286</c:v>
                </c:pt>
                <c:pt idx="12">
                  <c:v>1.7540547635477632</c:v>
                </c:pt>
                <c:pt idx="13">
                  <c:v>1.922176674954807</c:v>
                </c:pt>
                <c:pt idx="14">
                  <c:v>2.383597344252554</c:v>
                </c:pt>
                <c:pt idx="15">
                  <c:v>2.2178316002421092</c:v>
                </c:pt>
                <c:pt idx="16">
                  <c:v>3.1415520585422962</c:v>
                </c:pt>
                <c:pt idx="17">
                  <c:v>3.3006152953832162</c:v>
                </c:pt>
                <c:pt idx="18">
                  <c:v>3.8599639493693179</c:v>
                </c:pt>
                <c:pt idx="19">
                  <c:v>3.8306965401532418</c:v>
                </c:pt>
                <c:pt idx="20">
                  <c:v>4.2092950776080933</c:v>
                </c:pt>
                <c:pt idx="21">
                  <c:v>5.4622970413199088</c:v>
                </c:pt>
                <c:pt idx="22">
                  <c:v>5.3318840844836028</c:v>
                </c:pt>
                <c:pt idx="23">
                  <c:v>5.6045219117601377</c:v>
                </c:pt>
                <c:pt idx="24">
                  <c:v>6.7019219501670388</c:v>
                </c:pt>
                <c:pt idx="25">
                  <c:v>7.2794508882927893</c:v>
                </c:pt>
                <c:pt idx="26">
                  <c:v>7.1737599882165028</c:v>
                </c:pt>
                <c:pt idx="27">
                  <c:v>7.4582981518862326</c:v>
                </c:pt>
                <c:pt idx="28">
                  <c:v>9.2313963168160562</c:v>
                </c:pt>
                <c:pt idx="29">
                  <c:v>10.74477954687511</c:v>
                </c:pt>
                <c:pt idx="30">
                  <c:v>10.900876511301179</c:v>
                </c:pt>
                <c:pt idx="31">
                  <c:v>10.522840403220357</c:v>
                </c:pt>
                <c:pt idx="32">
                  <c:v>11.565918443026334</c:v>
                </c:pt>
                <c:pt idx="33">
                  <c:v>11.477630726383669</c:v>
                </c:pt>
                <c:pt idx="34">
                  <c:v>12.281457176846352</c:v>
                </c:pt>
                <c:pt idx="35">
                  <c:v>12.08924113488581</c:v>
                </c:pt>
                <c:pt idx="36">
                  <c:v>12.954135395137632</c:v>
                </c:pt>
                <c:pt idx="37">
                  <c:v>14.439639624840828</c:v>
                </c:pt>
                <c:pt idx="38">
                  <c:v>13.8052224648061</c:v>
                </c:pt>
                <c:pt idx="39">
                  <c:v>14.957044612600422</c:v>
                </c:pt>
                <c:pt idx="40">
                  <c:v>15.34058899626838</c:v>
                </c:pt>
                <c:pt idx="41">
                  <c:v>14.809638164328314</c:v>
                </c:pt>
                <c:pt idx="42">
                  <c:v>13.977375836995153</c:v>
                </c:pt>
                <c:pt idx="43">
                  <c:v>15.813063578354136</c:v>
                </c:pt>
                <c:pt idx="44">
                  <c:v>18.675250400354336</c:v>
                </c:pt>
                <c:pt idx="45">
                  <c:v>19.699953878631792</c:v>
                </c:pt>
                <c:pt idx="46">
                  <c:v>21.955937081976952</c:v>
                </c:pt>
                <c:pt idx="47">
                  <c:v>24.265793981933651</c:v>
                </c:pt>
                <c:pt idx="48">
                  <c:v>25.12009591093652</c:v>
                </c:pt>
                <c:pt idx="49">
                  <c:v>26.343218403354253</c:v>
                </c:pt>
                <c:pt idx="50">
                  <c:v>30.717879060734479</c:v>
                </c:pt>
                <c:pt idx="51">
                  <c:v>37.869422265763667</c:v>
                </c:pt>
                <c:pt idx="52">
                  <c:v>36.35353843303043</c:v>
                </c:pt>
                <c:pt idx="53">
                  <c:v>36.588200250388702</c:v>
                </c:pt>
                <c:pt idx="54">
                  <c:v>38.888509545148437</c:v>
                </c:pt>
                <c:pt idx="55">
                  <c:v>48.77235803953949</c:v>
                </c:pt>
                <c:pt idx="56">
                  <c:v>56.797133903452639</c:v>
                </c:pt>
                <c:pt idx="57">
                  <c:v>62.355023888324553</c:v>
                </c:pt>
                <c:pt idx="58">
                  <c:v>64.980697319189147</c:v>
                </c:pt>
                <c:pt idx="59">
                  <c:v>70.353381377417676</c:v>
                </c:pt>
                <c:pt idx="60">
                  <c:v>62.877459071292769</c:v>
                </c:pt>
                <c:pt idx="61">
                  <c:v>66.785073168605678</c:v>
                </c:pt>
                <c:pt idx="62">
                  <c:v>69.46244700513283</c:v>
                </c:pt>
                <c:pt idx="63">
                  <c:v>64.72751357663995</c:v>
                </c:pt>
                <c:pt idx="64">
                  <c:v>66.166312507691529</c:v>
                </c:pt>
                <c:pt idx="65">
                  <c:v>62.287453884689882</c:v>
                </c:pt>
                <c:pt idx="66">
                  <c:v>63.330305578534833</c:v>
                </c:pt>
                <c:pt idx="67">
                  <c:v>71.730747827802588</c:v>
                </c:pt>
                <c:pt idx="68">
                  <c:v>74.058639942055876</c:v>
                </c:pt>
                <c:pt idx="69">
                  <c:v>76.915828000594956</c:v>
                </c:pt>
                <c:pt idx="70">
                  <c:v>84.827134253937189</c:v>
                </c:pt>
                <c:pt idx="71">
                  <c:v>87.967174711784523</c:v>
                </c:pt>
                <c:pt idx="72">
                  <c:v>116.25614150141136</c:v>
                </c:pt>
                <c:pt idx="73">
                  <c:v>119.07946675014276</c:v>
                </c:pt>
                <c:pt idx="74">
                  <c:v>103.16192365326948</c:v>
                </c:pt>
                <c:pt idx="75">
                  <c:v>114.77867057026437</c:v>
                </c:pt>
                <c:pt idx="76">
                  <c:v>118.21896311297016</c:v>
                </c:pt>
                <c:pt idx="77">
                  <c:v>134.8272061635208</c:v>
                </c:pt>
                <c:pt idx="78">
                  <c:v>140.85632499538826</c:v>
                </c:pt>
                <c:pt idx="79">
                  <c:v>162.85416570066556</c:v>
                </c:pt>
                <c:pt idx="80">
                  <c:v>178.19324733169572</c:v>
                </c:pt>
                <c:pt idx="81">
                  <c:v>197.04460345300205</c:v>
                </c:pt>
                <c:pt idx="82">
                  <c:v>209.26947660255388</c:v>
                </c:pt>
                <c:pt idx="83">
                  <c:v>218.03717016783904</c:v>
                </c:pt>
                <c:pt idx="84">
                  <c:v>226.51607314108895</c:v>
                </c:pt>
                <c:pt idx="85">
                  <c:v>233.27407076762597</c:v>
                </c:pt>
                <c:pt idx="86">
                  <c:v>253.98921425098615</c:v>
                </c:pt>
                <c:pt idx="87">
                  <c:v>258.03810698285469</c:v>
                </c:pt>
                <c:pt idx="88">
                  <c:v>287.32387734311595</c:v>
                </c:pt>
                <c:pt idx="89">
                  <c:v>333.55947018591473</c:v>
                </c:pt>
                <c:pt idx="90">
                  <c:v>403.66557694058253</c:v>
                </c:pt>
                <c:pt idx="91">
                  <c:v>458.95571839321957</c:v>
                </c:pt>
                <c:pt idx="92">
                  <c:v>449.60308008829594</c:v>
                </c:pt>
                <c:pt idx="93">
                  <c:v>534.89617508794197</c:v>
                </c:pt>
                <c:pt idx="94">
                  <c:v>556.78870616393999</c:v>
                </c:pt>
                <c:pt idx="95">
                  <c:v>584.0665405643075</c:v>
                </c:pt>
                <c:pt idx="96">
                  <c:v>663.3264999332913</c:v>
                </c:pt>
                <c:pt idx="97">
                  <c:v>777.75775107589709</c:v>
                </c:pt>
                <c:pt idx="98">
                  <c:v>814.62543510666092</c:v>
                </c:pt>
                <c:pt idx="99">
                  <c:v>824.60892268517546</c:v>
                </c:pt>
                <c:pt idx="100">
                  <c:v>872.95188032180135</c:v>
                </c:pt>
                <c:pt idx="101">
                  <c:v>962.64841016408502</c:v>
                </c:pt>
                <c:pt idx="102">
                  <c:v>1076.5336612789361</c:v>
                </c:pt>
                <c:pt idx="103">
                  <c:v>1182.1505829754817</c:v>
                </c:pt>
                <c:pt idx="104">
                  <c:v>1232.9578639893259</c:v>
                </c:pt>
                <c:pt idx="105">
                  <c:v>1272.1282651773054</c:v>
                </c:pt>
                <c:pt idx="106">
                  <c:v>1316.1179027038033</c:v>
                </c:pt>
                <c:pt idx="107">
                  <c:v>1744.9445579710496</c:v>
                </c:pt>
                <c:pt idx="108">
                  <c:v>1824.6939191906504</c:v>
                </c:pt>
                <c:pt idx="109">
                  <c:v>2075.0837514063828</c:v>
                </c:pt>
                <c:pt idx="110">
                  <c:v>2174.3820228237619</c:v>
                </c:pt>
                <c:pt idx="111">
                  <c:v>2328.7363683234803</c:v>
                </c:pt>
                <c:pt idx="112">
                  <c:v>2552.9842683375014</c:v>
                </c:pt>
                <c:pt idx="113">
                  <c:v>2497.1212916002537</c:v>
                </c:pt>
                <c:pt idx="114">
                  <c:v>2401.8554472353585</c:v>
                </c:pt>
                <c:pt idx="115">
                  <c:v>2503.8274743489856</c:v>
                </c:pt>
                <c:pt idx="116">
                  <c:v>2928.6235362626799</c:v>
                </c:pt>
                <c:pt idx="117">
                  <c:v>3398.3417801420305</c:v>
                </c:pt>
                <c:pt idx="118">
                  <c:v>3558.3493280460384</c:v>
                </c:pt>
                <c:pt idx="119">
                  <c:v>3754.7942725187604</c:v>
                </c:pt>
                <c:pt idx="120">
                  <c:v>3835.3210282912905</c:v>
                </c:pt>
                <c:pt idx="121">
                  <c:v>4062.0973776285946</c:v>
                </c:pt>
                <c:pt idx="122">
                  <c:v>4560.9321579021462</c:v>
                </c:pt>
                <c:pt idx="123">
                  <c:v>5185.7057921388314</c:v>
                </c:pt>
                <c:pt idx="124">
                  <c:v>4815.8803179388105</c:v>
                </c:pt>
                <c:pt idx="125">
                  <c:v>5419.3617539695215</c:v>
                </c:pt>
                <c:pt idx="126">
                  <c:v>6273.4597157397438</c:v>
                </c:pt>
                <c:pt idx="127">
                  <c:v>6642.4653861169763</c:v>
                </c:pt>
                <c:pt idx="128">
                  <c:v>6645.2590645598711</c:v>
                </c:pt>
                <c:pt idx="129">
                  <c:v>7314.398450047458</c:v>
                </c:pt>
                <c:pt idx="130">
                  <c:v>7779.1608318343015</c:v>
                </c:pt>
                <c:pt idx="131">
                  <c:v>8677.1216900631171</c:v>
                </c:pt>
                <c:pt idx="132">
                  <c:v>8715.2765734068726</c:v>
                </c:pt>
                <c:pt idx="133">
                  <c:v>9016.4294723954772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8C-47EE-B416-339448D8BE1B}"/>
            </c:ext>
          </c:extLst>
        </c:ser>
        <c:ser>
          <c:idx val="5"/>
          <c:order val="5"/>
          <c:tx>
            <c:strRef>
              <c:f>真實IC再投資累積報酬!$B$17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真實IC再投資累積報酬!$C$11:$EF$11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真實IC再投資累積報酬!$C$17:$EF$17</c:f>
              <c:numCache>
                <c:formatCode>General</c:formatCode>
                <c:ptCount val="134"/>
                <c:pt idx="0">
                  <c:v>0.20609218837920595</c:v>
                </c:pt>
                <c:pt idx="1">
                  <c:v>0.73627643061078318</c:v>
                </c:pt>
                <c:pt idx="2">
                  <c:v>0.87446641022380955</c:v>
                </c:pt>
                <c:pt idx="3">
                  <c:v>0.72309919096740805</c:v>
                </c:pt>
                <c:pt idx="4">
                  <c:v>0.9046915740589041</c:v>
                </c:pt>
                <c:pt idx="5">
                  <c:v>1.104672863329951</c:v>
                </c:pt>
                <c:pt idx="6">
                  <c:v>1.3440268432266591</c:v>
                </c:pt>
                <c:pt idx="7">
                  <c:v>1.4421440449981762</c:v>
                </c:pt>
                <c:pt idx="8">
                  <c:v>1.6901683889015553</c:v>
                </c:pt>
                <c:pt idx="9">
                  <c:v>1.5993054509509448</c:v>
                </c:pt>
                <c:pt idx="10">
                  <c:v>1.6374090388924958</c:v>
                </c:pt>
                <c:pt idx="11">
                  <c:v>2.7058445633971755</c:v>
                </c:pt>
                <c:pt idx="12">
                  <c:v>2.6639437793748177</c:v>
                </c:pt>
                <c:pt idx="13">
                  <c:v>2.9070074982586873</c:v>
                </c:pt>
                <c:pt idx="14">
                  <c:v>3.5391663695479512</c:v>
                </c:pt>
                <c:pt idx="15">
                  <c:v>3.3028682219294412</c:v>
                </c:pt>
                <c:pt idx="16">
                  <c:v>4.639569005335221</c:v>
                </c:pt>
                <c:pt idx="17">
                  <c:v>4.7712111270871098</c:v>
                </c:pt>
                <c:pt idx="18">
                  <c:v>5.5865167168419383</c:v>
                </c:pt>
                <c:pt idx="19">
                  <c:v>5.6129364857096729</c:v>
                </c:pt>
                <c:pt idx="20">
                  <c:v>6.136297431010159</c:v>
                </c:pt>
                <c:pt idx="21">
                  <c:v>7.8346607983488905</c:v>
                </c:pt>
                <c:pt idx="22">
                  <c:v>7.6320995978295443</c:v>
                </c:pt>
                <c:pt idx="23">
                  <c:v>8.097097762572913</c:v>
                </c:pt>
                <c:pt idx="24">
                  <c:v>9.8372218885533425</c:v>
                </c:pt>
                <c:pt idx="25">
                  <c:v>10.756782521665576</c:v>
                </c:pt>
                <c:pt idx="26">
                  <c:v>10.520632793035883</c:v>
                </c:pt>
                <c:pt idx="27">
                  <c:v>11.311176578870624</c:v>
                </c:pt>
                <c:pt idx="28">
                  <c:v>14.04576841526557</c:v>
                </c:pt>
                <c:pt idx="29">
                  <c:v>15.855568599560886</c:v>
                </c:pt>
                <c:pt idx="30">
                  <c:v>16.238880761250783</c:v>
                </c:pt>
                <c:pt idx="31">
                  <c:v>15.627372509040093</c:v>
                </c:pt>
                <c:pt idx="32">
                  <c:v>17.537266430721701</c:v>
                </c:pt>
                <c:pt idx="33">
                  <c:v>16.747530118142201</c:v>
                </c:pt>
                <c:pt idx="34">
                  <c:v>18.055811924270497</c:v>
                </c:pt>
                <c:pt idx="35">
                  <c:v>17.865563779536689</c:v>
                </c:pt>
                <c:pt idx="36">
                  <c:v>19.287449390784978</c:v>
                </c:pt>
                <c:pt idx="37">
                  <c:v>21.585756111430552</c:v>
                </c:pt>
                <c:pt idx="38">
                  <c:v>19.853552215464617</c:v>
                </c:pt>
                <c:pt idx="39">
                  <c:v>21.464339279232888</c:v>
                </c:pt>
                <c:pt idx="40">
                  <c:v>21.671774841575246</c:v>
                </c:pt>
                <c:pt idx="41">
                  <c:v>20.878324365881092</c:v>
                </c:pt>
                <c:pt idx="42">
                  <c:v>19.591814200182192</c:v>
                </c:pt>
                <c:pt idx="43">
                  <c:v>22.208452953930713</c:v>
                </c:pt>
                <c:pt idx="44">
                  <c:v>26.329392874911786</c:v>
                </c:pt>
                <c:pt idx="45">
                  <c:v>27.92896719053017</c:v>
                </c:pt>
                <c:pt idx="46">
                  <c:v>30.133053925127815</c:v>
                </c:pt>
                <c:pt idx="47">
                  <c:v>33.17223478887702</c:v>
                </c:pt>
                <c:pt idx="48">
                  <c:v>34.109363790967187</c:v>
                </c:pt>
                <c:pt idx="49">
                  <c:v>35.793926296421859</c:v>
                </c:pt>
                <c:pt idx="50">
                  <c:v>41.784213339547321</c:v>
                </c:pt>
                <c:pt idx="51">
                  <c:v>51.643494952998552</c:v>
                </c:pt>
                <c:pt idx="52">
                  <c:v>50.206705290471149</c:v>
                </c:pt>
                <c:pt idx="53">
                  <c:v>51.200723293626076</c:v>
                </c:pt>
                <c:pt idx="54">
                  <c:v>53.503310422891737</c:v>
                </c:pt>
                <c:pt idx="55">
                  <c:v>61.557636876962192</c:v>
                </c:pt>
                <c:pt idx="56">
                  <c:v>73.177816650996519</c:v>
                </c:pt>
                <c:pt idx="57">
                  <c:v>83.057642634784884</c:v>
                </c:pt>
                <c:pt idx="58">
                  <c:v>90.380067413796837</c:v>
                </c:pt>
                <c:pt idx="59">
                  <c:v>98.530390645660489</c:v>
                </c:pt>
                <c:pt idx="60">
                  <c:v>87.102730015657599</c:v>
                </c:pt>
                <c:pt idx="61">
                  <c:v>90.111653861643887</c:v>
                </c:pt>
                <c:pt idx="62">
                  <c:v>92.759268427318844</c:v>
                </c:pt>
                <c:pt idx="63">
                  <c:v>85.853263750884381</c:v>
                </c:pt>
                <c:pt idx="64">
                  <c:v>88.908728167327752</c:v>
                </c:pt>
                <c:pt idx="65">
                  <c:v>83.456829500233525</c:v>
                </c:pt>
                <c:pt idx="66">
                  <c:v>84.417653503317112</c:v>
                </c:pt>
                <c:pt idx="67">
                  <c:v>94.242592999206991</c:v>
                </c:pt>
                <c:pt idx="68">
                  <c:v>96.233736383168008</c:v>
                </c:pt>
                <c:pt idx="69">
                  <c:v>99.505415650137749</c:v>
                </c:pt>
                <c:pt idx="70">
                  <c:v>110.01067382022742</c:v>
                </c:pt>
                <c:pt idx="71">
                  <c:v>114.25582816906601</c:v>
                </c:pt>
                <c:pt idx="72">
                  <c:v>138.26786153218683</c:v>
                </c:pt>
                <c:pt idx="73">
                  <c:v>139.25607700928975</c:v>
                </c:pt>
                <c:pt idx="74">
                  <c:v>119.27275931147054</c:v>
                </c:pt>
                <c:pt idx="75">
                  <c:v>133.77502683197727</c:v>
                </c:pt>
                <c:pt idx="76">
                  <c:v>137.53994461263949</c:v>
                </c:pt>
                <c:pt idx="77">
                  <c:v>158.27011399162674</c:v>
                </c:pt>
                <c:pt idx="78">
                  <c:v>164.92127416351735</c:v>
                </c:pt>
                <c:pt idx="79">
                  <c:v>193.61897480559071</c:v>
                </c:pt>
                <c:pt idx="80">
                  <c:v>212.24558198220882</c:v>
                </c:pt>
                <c:pt idx="81">
                  <c:v>233.30277232088861</c:v>
                </c:pt>
                <c:pt idx="82">
                  <c:v>250.80870129052397</c:v>
                </c:pt>
                <c:pt idx="83">
                  <c:v>265.57386875893638</c:v>
                </c:pt>
                <c:pt idx="84">
                  <c:v>269.44750295926281</c:v>
                </c:pt>
                <c:pt idx="85">
                  <c:v>275.11360193652376</c:v>
                </c:pt>
                <c:pt idx="86">
                  <c:v>298.29495360312666</c:v>
                </c:pt>
                <c:pt idx="87">
                  <c:v>295.47369618283238</c:v>
                </c:pt>
                <c:pt idx="88">
                  <c:v>323.78511702662195</c:v>
                </c:pt>
                <c:pt idx="89">
                  <c:v>381.11984899953688</c:v>
                </c:pt>
                <c:pt idx="90">
                  <c:v>456.81030913758775</c:v>
                </c:pt>
                <c:pt idx="91">
                  <c:v>524.63914997042275</c:v>
                </c:pt>
                <c:pt idx="92">
                  <c:v>551.92355564839477</c:v>
                </c:pt>
                <c:pt idx="93">
                  <c:v>660.51919714110215</c:v>
                </c:pt>
                <c:pt idx="94">
                  <c:v>681.25505775996851</c:v>
                </c:pt>
                <c:pt idx="95">
                  <c:v>721.27190714892652</c:v>
                </c:pt>
                <c:pt idx="96">
                  <c:v>833.47821504060437</c:v>
                </c:pt>
                <c:pt idx="97">
                  <c:v>959.87778590943583</c:v>
                </c:pt>
                <c:pt idx="98">
                  <c:v>1020.7909216359645</c:v>
                </c:pt>
                <c:pt idx="99">
                  <c:v>1031.7980565648154</c:v>
                </c:pt>
                <c:pt idx="100">
                  <c:v>1093.2474256152273</c:v>
                </c:pt>
                <c:pt idx="101">
                  <c:v>1229.2063965656698</c:v>
                </c:pt>
                <c:pt idx="102">
                  <c:v>1345.4564713379102</c:v>
                </c:pt>
                <c:pt idx="103">
                  <c:v>1485.8536768120425</c:v>
                </c:pt>
                <c:pt idx="104">
                  <c:v>1550.3288101005624</c:v>
                </c:pt>
                <c:pt idx="105">
                  <c:v>1595.5584544867829</c:v>
                </c:pt>
                <c:pt idx="106">
                  <c:v>1634.0752090263302</c:v>
                </c:pt>
                <c:pt idx="107">
                  <c:v>2209.9904808011725</c:v>
                </c:pt>
                <c:pt idx="108">
                  <c:v>2314.3735268058526</c:v>
                </c:pt>
                <c:pt idx="109">
                  <c:v>2692.7791927702888</c:v>
                </c:pt>
                <c:pt idx="110">
                  <c:v>2881.8350548417043</c:v>
                </c:pt>
                <c:pt idx="111">
                  <c:v>3253.5047366403746</c:v>
                </c:pt>
                <c:pt idx="112">
                  <c:v>3588.0068626196453</c:v>
                </c:pt>
                <c:pt idx="113">
                  <c:v>3573.9030286119305</c:v>
                </c:pt>
                <c:pt idx="114">
                  <c:v>3421.7422549196344</c:v>
                </c:pt>
                <c:pt idx="115">
                  <c:v>3543.2120667772274</c:v>
                </c:pt>
                <c:pt idx="116">
                  <c:v>4180.3299986155253</c:v>
                </c:pt>
                <c:pt idx="117">
                  <c:v>4774.2216853370091</c:v>
                </c:pt>
                <c:pt idx="118">
                  <c:v>5121.1606660458856</c:v>
                </c:pt>
                <c:pt idx="119">
                  <c:v>5407.4116666346699</c:v>
                </c:pt>
                <c:pt idx="120">
                  <c:v>5609.437956054272</c:v>
                </c:pt>
                <c:pt idx="121">
                  <c:v>5945.0091077216421</c:v>
                </c:pt>
                <c:pt idx="122">
                  <c:v>6714.9754053861006</c:v>
                </c:pt>
                <c:pt idx="123">
                  <c:v>7505.8849227047722</c:v>
                </c:pt>
                <c:pt idx="124">
                  <c:v>6930.8656973392763</c:v>
                </c:pt>
                <c:pt idx="125">
                  <c:v>7828.8125272680045</c:v>
                </c:pt>
                <c:pt idx="126">
                  <c:v>8668.8174872129694</c:v>
                </c:pt>
                <c:pt idx="127">
                  <c:v>9095.4820001811004</c:v>
                </c:pt>
                <c:pt idx="128">
                  <c:v>9053.3423270282619</c:v>
                </c:pt>
                <c:pt idx="129">
                  <c:v>10024.740402123865</c:v>
                </c:pt>
                <c:pt idx="130">
                  <c:v>10189.415365980585</c:v>
                </c:pt>
                <c:pt idx="131">
                  <c:v>11497.094751224691</c:v>
                </c:pt>
                <c:pt idx="132">
                  <c:v>11494.869626750704</c:v>
                </c:pt>
                <c:pt idx="133">
                  <c:v>11966.053196668719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8C-47EE-B416-339448D8BE1B}"/>
            </c:ext>
          </c:extLst>
        </c:ser>
        <c:ser>
          <c:idx val="6"/>
          <c:order val="6"/>
          <c:tx>
            <c:strRef>
              <c:f>真實IC再投資累積報酬!$B$18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真實IC再投資累積報酬!$C$11:$EF$11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真實IC再投資累積報酬!$C$18:$EF$18</c:f>
              <c:numCache>
                <c:formatCode>General</c:formatCode>
                <c:ptCount val="134"/>
                <c:pt idx="0">
                  <c:v>0.18975112249235826</c:v>
                </c:pt>
                <c:pt idx="1">
                  <c:v>0.66789268357562492</c:v>
                </c:pt>
                <c:pt idx="2">
                  <c:v>0.75702378490219679</c:v>
                </c:pt>
                <c:pt idx="3">
                  <c:v>0.54726508449061928</c:v>
                </c:pt>
                <c:pt idx="4">
                  <c:v>0.71485922695327608</c:v>
                </c:pt>
                <c:pt idx="5">
                  <c:v>0.93528648049093022</c:v>
                </c:pt>
                <c:pt idx="6">
                  <c:v>1.1975181473810532</c:v>
                </c:pt>
                <c:pt idx="7">
                  <c:v>1.2929157410506043</c:v>
                </c:pt>
                <c:pt idx="8">
                  <c:v>1.603944920469119</c:v>
                </c:pt>
                <c:pt idx="9">
                  <c:v>1.4824117274135475</c:v>
                </c:pt>
                <c:pt idx="10">
                  <c:v>1.554529423280202</c:v>
                </c:pt>
                <c:pt idx="11">
                  <c:v>2.7342622477013778</c:v>
                </c:pt>
                <c:pt idx="12">
                  <c:v>2.8527800429615358</c:v>
                </c:pt>
                <c:pt idx="13">
                  <c:v>3.1708370973125861</c:v>
                </c:pt>
                <c:pt idx="14">
                  <c:v>3.9590227840628884</c:v>
                </c:pt>
                <c:pt idx="15">
                  <c:v>3.6540813754127495</c:v>
                </c:pt>
                <c:pt idx="16">
                  <c:v>5.4400042568628502</c:v>
                </c:pt>
                <c:pt idx="17">
                  <c:v>5.7768789317647657</c:v>
                </c:pt>
                <c:pt idx="18">
                  <c:v>6.6747816713868646</c:v>
                </c:pt>
                <c:pt idx="19">
                  <c:v>6.7737490176710127</c:v>
                </c:pt>
                <c:pt idx="20">
                  <c:v>7.3746308988550293</c:v>
                </c:pt>
                <c:pt idx="21">
                  <c:v>9.176190353151032</c:v>
                </c:pt>
                <c:pt idx="22">
                  <c:v>8.9804784577943213</c:v>
                </c:pt>
                <c:pt idx="23">
                  <c:v>9.8710800998074486</c:v>
                </c:pt>
                <c:pt idx="24">
                  <c:v>11.74710954074175</c:v>
                </c:pt>
                <c:pt idx="25">
                  <c:v>12.82676804532081</c:v>
                </c:pt>
                <c:pt idx="26">
                  <c:v>12.845647397538301</c:v>
                </c:pt>
                <c:pt idx="27">
                  <c:v>14.178787259349578</c:v>
                </c:pt>
                <c:pt idx="28">
                  <c:v>18.100854574189896</c:v>
                </c:pt>
                <c:pt idx="29">
                  <c:v>20.976366745538744</c:v>
                </c:pt>
                <c:pt idx="30">
                  <c:v>21.690447381611037</c:v>
                </c:pt>
                <c:pt idx="31">
                  <c:v>20.778349008630588</c:v>
                </c:pt>
                <c:pt idx="32">
                  <c:v>23.350061348775228</c:v>
                </c:pt>
                <c:pt idx="33">
                  <c:v>22.196020478573296</c:v>
                </c:pt>
                <c:pt idx="34">
                  <c:v>22.895438035995614</c:v>
                </c:pt>
                <c:pt idx="35">
                  <c:v>22.87499417320748</c:v>
                </c:pt>
                <c:pt idx="36">
                  <c:v>24.466105089406593</c:v>
                </c:pt>
                <c:pt idx="37">
                  <c:v>26.485430723532417</c:v>
                </c:pt>
                <c:pt idx="38">
                  <c:v>27.161140260586048</c:v>
                </c:pt>
                <c:pt idx="39">
                  <c:v>29.365554667435166</c:v>
                </c:pt>
                <c:pt idx="40">
                  <c:v>28.855864533517543</c:v>
                </c:pt>
                <c:pt idx="41">
                  <c:v>27.013921194432708</c:v>
                </c:pt>
                <c:pt idx="42">
                  <c:v>24.681674630555026</c:v>
                </c:pt>
                <c:pt idx="43">
                  <c:v>28.954740851325244</c:v>
                </c:pt>
                <c:pt idx="44">
                  <c:v>34.845632133475661</c:v>
                </c:pt>
                <c:pt idx="45">
                  <c:v>37.004817611859167</c:v>
                </c:pt>
                <c:pt idx="46">
                  <c:v>40.720429363859054</c:v>
                </c:pt>
                <c:pt idx="47">
                  <c:v>45.9798876487475</c:v>
                </c:pt>
                <c:pt idx="48">
                  <c:v>47.614002171363722</c:v>
                </c:pt>
                <c:pt idx="49">
                  <c:v>50.839117094113782</c:v>
                </c:pt>
                <c:pt idx="50">
                  <c:v>60.195028747936497</c:v>
                </c:pt>
                <c:pt idx="51">
                  <c:v>79.621845037697781</c:v>
                </c:pt>
                <c:pt idx="52">
                  <c:v>81.874584719427475</c:v>
                </c:pt>
                <c:pt idx="53">
                  <c:v>83.554878498631993</c:v>
                </c:pt>
                <c:pt idx="54">
                  <c:v>91.263987994238178</c:v>
                </c:pt>
                <c:pt idx="55">
                  <c:v>106.48629996008204</c:v>
                </c:pt>
                <c:pt idx="56">
                  <c:v>122.25604226681139</c:v>
                </c:pt>
                <c:pt idx="57">
                  <c:v>139.25283666467732</c:v>
                </c:pt>
                <c:pt idx="58">
                  <c:v>154.54039683148963</c:v>
                </c:pt>
                <c:pt idx="59">
                  <c:v>170.02156883647604</c:v>
                </c:pt>
                <c:pt idx="60">
                  <c:v>157.45907229716786</c:v>
                </c:pt>
                <c:pt idx="61">
                  <c:v>166.29916814395045</c:v>
                </c:pt>
                <c:pt idx="62">
                  <c:v>170.99715570552311</c:v>
                </c:pt>
                <c:pt idx="63">
                  <c:v>157.54548184312654</c:v>
                </c:pt>
                <c:pt idx="64">
                  <c:v>160.75245995979168</c:v>
                </c:pt>
                <c:pt idx="65">
                  <c:v>150.64884617036435</c:v>
                </c:pt>
                <c:pt idx="66">
                  <c:v>150.93952426898065</c:v>
                </c:pt>
                <c:pt idx="67">
                  <c:v>169.31840533275511</c:v>
                </c:pt>
                <c:pt idx="68">
                  <c:v>174.91732597087938</c:v>
                </c:pt>
                <c:pt idx="69">
                  <c:v>177.25687701337199</c:v>
                </c:pt>
                <c:pt idx="70">
                  <c:v>197.1256640264736</c:v>
                </c:pt>
                <c:pt idx="71">
                  <c:v>204.97627976398834</c:v>
                </c:pt>
                <c:pt idx="72">
                  <c:v>249.95645266659346</c:v>
                </c:pt>
                <c:pt idx="73">
                  <c:v>245.98834832332344</c:v>
                </c:pt>
                <c:pt idx="74">
                  <c:v>224.38544617714066</c:v>
                </c:pt>
                <c:pt idx="75">
                  <c:v>258.94154003590302</c:v>
                </c:pt>
                <c:pt idx="76">
                  <c:v>263.12050161386804</c:v>
                </c:pt>
                <c:pt idx="77">
                  <c:v>291.34073670068943</c:v>
                </c:pt>
                <c:pt idx="78">
                  <c:v>321.93730057810967</c:v>
                </c:pt>
                <c:pt idx="79">
                  <c:v>384.49568706849641</c:v>
                </c:pt>
                <c:pt idx="80">
                  <c:v>414.2792360752602</c:v>
                </c:pt>
                <c:pt idx="81">
                  <c:v>444.10359069335647</c:v>
                </c:pt>
                <c:pt idx="82">
                  <c:v>484.87919928560234</c:v>
                </c:pt>
                <c:pt idx="83">
                  <c:v>563.91087488815606</c:v>
                </c:pt>
                <c:pt idx="84">
                  <c:v>585.86847470261171</c:v>
                </c:pt>
                <c:pt idx="85">
                  <c:v>583.6545917285041</c:v>
                </c:pt>
                <c:pt idx="86">
                  <c:v>639.81536101415418</c:v>
                </c:pt>
                <c:pt idx="87">
                  <c:v>619.95678451002379</c:v>
                </c:pt>
                <c:pt idx="88">
                  <c:v>683.77227209186015</c:v>
                </c:pt>
                <c:pt idx="89">
                  <c:v>766.59077644103354</c:v>
                </c:pt>
                <c:pt idx="90">
                  <c:v>941.81799998575752</c:v>
                </c:pt>
                <c:pt idx="91">
                  <c:v>1095.345643003584</c:v>
                </c:pt>
                <c:pt idx="92">
                  <c:v>1137.2728337688989</c:v>
                </c:pt>
                <c:pt idx="93">
                  <c:v>1357.7817876917129</c:v>
                </c:pt>
                <c:pt idx="94">
                  <c:v>1436.1707903993777</c:v>
                </c:pt>
                <c:pt idx="95">
                  <c:v>1546.6464349677929</c:v>
                </c:pt>
                <c:pt idx="96">
                  <c:v>1770.3816650827946</c:v>
                </c:pt>
                <c:pt idx="97">
                  <c:v>1995.3865819108335</c:v>
                </c:pt>
                <c:pt idx="98">
                  <c:v>2128.2632269503843</c:v>
                </c:pt>
                <c:pt idx="99">
                  <c:v>2259.3410668904799</c:v>
                </c:pt>
                <c:pt idx="100">
                  <c:v>2420.8027872790858</c:v>
                </c:pt>
                <c:pt idx="101">
                  <c:v>2742.5220038934503</c:v>
                </c:pt>
                <c:pt idx="102">
                  <c:v>2957.5006319829567</c:v>
                </c:pt>
                <c:pt idx="103">
                  <c:v>3306.9431006762443</c:v>
                </c:pt>
                <c:pt idx="104">
                  <c:v>3427.3812782283335</c:v>
                </c:pt>
                <c:pt idx="105">
                  <c:v>3567.9935501756877</c:v>
                </c:pt>
                <c:pt idx="106">
                  <c:v>3705.116379108792</c:v>
                </c:pt>
                <c:pt idx="107">
                  <c:v>5064.119642027611</c:v>
                </c:pt>
                <c:pt idx="108">
                  <c:v>5341.5386969820001</c:v>
                </c:pt>
                <c:pt idx="109">
                  <c:v>6369.450525451527</c:v>
                </c:pt>
                <c:pt idx="110">
                  <c:v>6993.519782374713</c:v>
                </c:pt>
                <c:pt idx="111">
                  <c:v>8016.0911287576118</c:v>
                </c:pt>
                <c:pt idx="112">
                  <c:v>8870.1298959281612</c:v>
                </c:pt>
                <c:pt idx="113">
                  <c:v>8836.1510371375462</c:v>
                </c:pt>
                <c:pt idx="114">
                  <c:v>8319.5562471024987</c:v>
                </c:pt>
                <c:pt idx="115">
                  <c:v>8180.4193723736707</c:v>
                </c:pt>
                <c:pt idx="116">
                  <c:v>9982.9514212484701</c:v>
                </c:pt>
                <c:pt idx="117">
                  <c:v>11315.673875856673</c:v>
                </c:pt>
                <c:pt idx="118">
                  <c:v>12059.739051638133</c:v>
                </c:pt>
                <c:pt idx="119">
                  <c:v>12986.494137399768</c:v>
                </c:pt>
                <c:pt idx="120">
                  <c:v>13132.966865827148</c:v>
                </c:pt>
                <c:pt idx="121">
                  <c:v>13429.808108563657</c:v>
                </c:pt>
                <c:pt idx="122">
                  <c:v>15561.476436456054</c:v>
                </c:pt>
                <c:pt idx="123">
                  <c:v>17205.505921639888</c:v>
                </c:pt>
                <c:pt idx="124">
                  <c:v>16024.503835845482</c:v>
                </c:pt>
                <c:pt idx="125">
                  <c:v>18486.068940367772</c:v>
                </c:pt>
                <c:pt idx="126">
                  <c:v>21015.712169556507</c:v>
                </c:pt>
                <c:pt idx="127">
                  <c:v>22163.863018920572</c:v>
                </c:pt>
                <c:pt idx="128">
                  <c:v>22058.83930969195</c:v>
                </c:pt>
                <c:pt idx="129">
                  <c:v>24484.635298657267</c:v>
                </c:pt>
                <c:pt idx="130">
                  <c:v>24552.316420886305</c:v>
                </c:pt>
                <c:pt idx="131">
                  <c:v>27264.918249310042</c:v>
                </c:pt>
                <c:pt idx="132">
                  <c:v>27295.218528136011</c:v>
                </c:pt>
                <c:pt idx="133">
                  <c:v>29040.929996336228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8C-47EE-B416-339448D8BE1B}"/>
            </c:ext>
          </c:extLst>
        </c:ser>
        <c:ser>
          <c:idx val="7"/>
          <c:order val="7"/>
          <c:tx>
            <c:strRef>
              <c:f>真實IC再投資累積報酬!$B$19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真實IC再投資累積報酬!$C$11:$EF$11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真實IC再投資累積報酬!$C$19:$EF$19</c:f>
              <c:numCache>
                <c:formatCode>General</c:formatCode>
                <c:ptCount val="134"/>
                <c:pt idx="0">
                  <c:v>0.19660026531165431</c:v>
                </c:pt>
                <c:pt idx="1">
                  <c:v>0.68423965512470697</c:v>
                </c:pt>
                <c:pt idx="2">
                  <c:v>0.79508655298052222</c:v>
                </c:pt>
                <c:pt idx="3">
                  <c:v>0.47612002555625677</c:v>
                </c:pt>
                <c:pt idx="4">
                  <c:v>0.6179249303891603</c:v>
                </c:pt>
                <c:pt idx="5">
                  <c:v>0.9052850931066958</c:v>
                </c:pt>
                <c:pt idx="6">
                  <c:v>1.1618399862870334</c:v>
                </c:pt>
                <c:pt idx="7">
                  <c:v>1.2384330788003184</c:v>
                </c:pt>
                <c:pt idx="8">
                  <c:v>1.7729472035857015</c:v>
                </c:pt>
                <c:pt idx="9">
                  <c:v>1.6887526705700457</c:v>
                </c:pt>
                <c:pt idx="10">
                  <c:v>1.5712804314269384</c:v>
                </c:pt>
                <c:pt idx="11">
                  <c:v>2.9401633767344606</c:v>
                </c:pt>
                <c:pt idx="12">
                  <c:v>3.0645223186967767</c:v>
                </c:pt>
                <c:pt idx="13">
                  <c:v>3.44062958369505</c:v>
                </c:pt>
                <c:pt idx="14">
                  <c:v>4.3161578262551554</c:v>
                </c:pt>
                <c:pt idx="15">
                  <c:v>3.8361136088942054</c:v>
                </c:pt>
                <c:pt idx="16">
                  <c:v>4.7267328554710524</c:v>
                </c:pt>
                <c:pt idx="17">
                  <c:v>5.021457542617294</c:v>
                </c:pt>
                <c:pt idx="18">
                  <c:v>5.8385593272931242</c:v>
                </c:pt>
                <c:pt idx="19">
                  <c:v>6.0889783962015569</c:v>
                </c:pt>
                <c:pt idx="20">
                  <c:v>6.6023308026561214</c:v>
                </c:pt>
                <c:pt idx="21">
                  <c:v>7.7381180617584828</c:v>
                </c:pt>
                <c:pt idx="22">
                  <c:v>7.5141720012754369</c:v>
                </c:pt>
                <c:pt idx="23">
                  <c:v>8.2942328673235757</c:v>
                </c:pt>
                <c:pt idx="24">
                  <c:v>9.5195185346752975</c:v>
                </c:pt>
                <c:pt idx="25">
                  <c:v>10.595177237008816</c:v>
                </c:pt>
                <c:pt idx="26">
                  <c:v>10.759150931119876</c:v>
                </c:pt>
                <c:pt idx="27">
                  <c:v>11.887951549035371</c:v>
                </c:pt>
                <c:pt idx="28">
                  <c:v>15.863792555200977</c:v>
                </c:pt>
                <c:pt idx="29">
                  <c:v>18.710916445235529</c:v>
                </c:pt>
                <c:pt idx="30">
                  <c:v>19.147241609787947</c:v>
                </c:pt>
                <c:pt idx="31">
                  <c:v>18.007759656318704</c:v>
                </c:pt>
                <c:pt idx="32">
                  <c:v>19.747894638048251</c:v>
                </c:pt>
                <c:pt idx="33">
                  <c:v>18.678438385250605</c:v>
                </c:pt>
                <c:pt idx="34">
                  <c:v>18.827050788386789</c:v>
                </c:pt>
                <c:pt idx="35">
                  <c:v>18.804522060408186</c:v>
                </c:pt>
                <c:pt idx="36">
                  <c:v>19.658216022263371</c:v>
                </c:pt>
                <c:pt idx="37">
                  <c:v>21.384587899881726</c:v>
                </c:pt>
                <c:pt idx="38">
                  <c:v>22.635665340954372</c:v>
                </c:pt>
                <c:pt idx="39">
                  <c:v>24.705537940251993</c:v>
                </c:pt>
                <c:pt idx="40">
                  <c:v>23.293648612155057</c:v>
                </c:pt>
                <c:pt idx="41">
                  <c:v>21.48093192048951</c:v>
                </c:pt>
                <c:pt idx="42">
                  <c:v>19.026039422146553</c:v>
                </c:pt>
                <c:pt idx="43">
                  <c:v>22.722719410685244</c:v>
                </c:pt>
                <c:pt idx="44">
                  <c:v>28.388754261083875</c:v>
                </c:pt>
                <c:pt idx="45">
                  <c:v>28.299629642703021</c:v>
                </c:pt>
                <c:pt idx="46">
                  <c:v>32.304695553183087</c:v>
                </c:pt>
                <c:pt idx="47">
                  <c:v>39.769070321902028</c:v>
                </c:pt>
                <c:pt idx="48">
                  <c:v>40.972938992403094</c:v>
                </c:pt>
                <c:pt idx="49">
                  <c:v>44.500028824525373</c:v>
                </c:pt>
                <c:pt idx="50">
                  <c:v>53.008387593361256</c:v>
                </c:pt>
                <c:pt idx="51">
                  <c:v>72.676132344009019</c:v>
                </c:pt>
                <c:pt idx="52">
                  <c:v>86.27466792728751</c:v>
                </c:pt>
                <c:pt idx="53">
                  <c:v>86.268235176141204</c:v>
                </c:pt>
                <c:pt idx="54">
                  <c:v>94.077059846456123</c:v>
                </c:pt>
                <c:pt idx="55">
                  <c:v>107.55988398129593</c:v>
                </c:pt>
                <c:pt idx="56">
                  <c:v>124.20306422160552</c:v>
                </c:pt>
                <c:pt idx="57">
                  <c:v>141.7937073606476</c:v>
                </c:pt>
                <c:pt idx="58">
                  <c:v>160.04254736535114</c:v>
                </c:pt>
                <c:pt idx="59">
                  <c:v>168.38766079741492</c:v>
                </c:pt>
                <c:pt idx="60">
                  <c:v>151.95054932722584</c:v>
                </c:pt>
                <c:pt idx="61">
                  <c:v>161.61159946183054</c:v>
                </c:pt>
                <c:pt idx="62">
                  <c:v>166.78041483311966</c:v>
                </c:pt>
                <c:pt idx="63">
                  <c:v>153.12086426381879</c:v>
                </c:pt>
                <c:pt idx="64">
                  <c:v>157.08623401060871</c:v>
                </c:pt>
                <c:pt idx="65">
                  <c:v>155.1243298952464</c:v>
                </c:pt>
                <c:pt idx="66">
                  <c:v>156.67527592882718</c:v>
                </c:pt>
                <c:pt idx="67">
                  <c:v>178.25144015098243</c:v>
                </c:pt>
                <c:pt idx="68">
                  <c:v>177.62407231037173</c:v>
                </c:pt>
                <c:pt idx="69">
                  <c:v>175.2673653885914</c:v>
                </c:pt>
                <c:pt idx="70">
                  <c:v>198.30033393455091</c:v>
                </c:pt>
                <c:pt idx="71">
                  <c:v>204.34925690853231</c:v>
                </c:pt>
                <c:pt idx="72">
                  <c:v>267.48450339120501</c:v>
                </c:pt>
                <c:pt idx="73">
                  <c:v>257.71196560402103</c:v>
                </c:pt>
                <c:pt idx="74">
                  <c:v>237.04943591526106</c:v>
                </c:pt>
                <c:pt idx="75">
                  <c:v>253.40393797533082</c:v>
                </c:pt>
                <c:pt idx="76">
                  <c:v>260.86528880017357</c:v>
                </c:pt>
                <c:pt idx="77">
                  <c:v>294.341678346077</c:v>
                </c:pt>
                <c:pt idx="78">
                  <c:v>300.98870694357288</c:v>
                </c:pt>
                <c:pt idx="79">
                  <c:v>366.10326976810484</c:v>
                </c:pt>
                <c:pt idx="80">
                  <c:v>398.58267977639451</c:v>
                </c:pt>
                <c:pt idx="81">
                  <c:v>430.51109293790518</c:v>
                </c:pt>
                <c:pt idx="82">
                  <c:v>455.1579816702631</c:v>
                </c:pt>
                <c:pt idx="83">
                  <c:v>524.89991484159236</c:v>
                </c:pt>
                <c:pt idx="84">
                  <c:v>544.39341867067685</c:v>
                </c:pt>
                <c:pt idx="85">
                  <c:v>537.95127373443881</c:v>
                </c:pt>
                <c:pt idx="86">
                  <c:v>601.97720992145923</c:v>
                </c:pt>
                <c:pt idx="87">
                  <c:v>575.90430654603767</c:v>
                </c:pt>
                <c:pt idx="88">
                  <c:v>639.4998597255119</c:v>
                </c:pt>
                <c:pt idx="89">
                  <c:v>731.21509094489431</c:v>
                </c:pt>
                <c:pt idx="90">
                  <c:v>915.17361150747502</c:v>
                </c:pt>
                <c:pt idx="91">
                  <c:v>1060.8750820645387</c:v>
                </c:pt>
                <c:pt idx="92">
                  <c:v>1095.2741085794842</c:v>
                </c:pt>
                <c:pt idx="93">
                  <c:v>1288.5546055390473</c:v>
                </c:pt>
                <c:pt idx="94">
                  <c:v>1358.5135226066645</c:v>
                </c:pt>
                <c:pt idx="95">
                  <c:v>1394.4335030415652</c:v>
                </c:pt>
                <c:pt idx="96">
                  <c:v>1599.0145807064953</c:v>
                </c:pt>
                <c:pt idx="97">
                  <c:v>1750.300772110359</c:v>
                </c:pt>
                <c:pt idx="98">
                  <c:v>1856.282276980256</c:v>
                </c:pt>
                <c:pt idx="99">
                  <c:v>1963.3262328024925</c:v>
                </c:pt>
                <c:pt idx="100">
                  <c:v>2107.0193236411078</c:v>
                </c:pt>
                <c:pt idx="101">
                  <c:v>2344.9131591255486</c:v>
                </c:pt>
                <c:pt idx="102">
                  <c:v>2521.2847214987269</c:v>
                </c:pt>
                <c:pt idx="103">
                  <c:v>2894.4866269704657</c:v>
                </c:pt>
                <c:pt idx="104">
                  <c:v>2792.6251450091063</c:v>
                </c:pt>
                <c:pt idx="105">
                  <c:v>2809.948764448347</c:v>
                </c:pt>
                <c:pt idx="106">
                  <c:v>2902.7618363290885</c:v>
                </c:pt>
                <c:pt idx="107">
                  <c:v>3499.4899624848154</c:v>
                </c:pt>
                <c:pt idx="108">
                  <c:v>3731.8324108651468</c:v>
                </c:pt>
                <c:pt idx="109">
                  <c:v>4570.1884234839481</c:v>
                </c:pt>
                <c:pt idx="110">
                  <c:v>5065.9860970798163</c:v>
                </c:pt>
                <c:pt idx="111">
                  <c:v>5903.3079258313537</c:v>
                </c:pt>
                <c:pt idx="112">
                  <c:v>6620.3407164051732</c:v>
                </c:pt>
                <c:pt idx="113">
                  <c:v>6540.998608170119</c:v>
                </c:pt>
                <c:pt idx="114">
                  <c:v>6166.1392667614136</c:v>
                </c:pt>
                <c:pt idx="115">
                  <c:v>6181.4036956069285</c:v>
                </c:pt>
                <c:pt idx="116">
                  <c:v>7722.4417070314475</c:v>
                </c:pt>
                <c:pt idx="117">
                  <c:v>9037.4976889033478</c:v>
                </c:pt>
                <c:pt idx="118">
                  <c:v>9763.9594553093102</c:v>
                </c:pt>
                <c:pt idx="119">
                  <c:v>10505.728755658287</c:v>
                </c:pt>
                <c:pt idx="120">
                  <c:v>10446.078762453417</c:v>
                </c:pt>
                <c:pt idx="121">
                  <c:v>10498.661485279799</c:v>
                </c:pt>
                <c:pt idx="122">
                  <c:v>12079.720691623903</c:v>
                </c:pt>
                <c:pt idx="123">
                  <c:v>13427.019520348194</c:v>
                </c:pt>
                <c:pt idx="124">
                  <c:v>12066.815271972939</c:v>
                </c:pt>
                <c:pt idx="125">
                  <c:v>13736.580152041006</c:v>
                </c:pt>
                <c:pt idx="126">
                  <c:v>15649.520036550219</c:v>
                </c:pt>
                <c:pt idx="127">
                  <c:v>16878.679759446208</c:v>
                </c:pt>
                <c:pt idx="128">
                  <c:v>17434.354212266397</c:v>
                </c:pt>
                <c:pt idx="129">
                  <c:v>19330.51017463646</c:v>
                </c:pt>
                <c:pt idx="130">
                  <c:v>19094.858230028203</c:v>
                </c:pt>
                <c:pt idx="131">
                  <c:v>21977.097645176604</c:v>
                </c:pt>
                <c:pt idx="132">
                  <c:v>21816.514088419604</c:v>
                </c:pt>
                <c:pt idx="133">
                  <c:v>23431.510175240619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8C-47EE-B416-339448D8BE1B}"/>
            </c:ext>
          </c:extLst>
        </c:ser>
        <c:ser>
          <c:idx val="8"/>
          <c:order val="8"/>
          <c:tx>
            <c:strRef>
              <c:f>真實IC再投資累積報酬!$B$20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真實IC再投資累積報酬!$C$11:$EF$11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真實IC再投資累積報酬!$C$20:$EF$20</c:f>
              <c:numCache>
                <c:formatCode>General</c:formatCode>
                <c:ptCount val="134"/>
                <c:pt idx="0">
                  <c:v>0.20155104786391576</c:v>
                </c:pt>
                <c:pt idx="1">
                  <c:v>0.66057361101204237</c:v>
                </c:pt>
                <c:pt idx="2">
                  <c:v>0.75578484131643586</c:v>
                </c:pt>
                <c:pt idx="3">
                  <c:v>0.39491616298364729</c:v>
                </c:pt>
                <c:pt idx="4">
                  <c:v>0.55837682079678475</c:v>
                </c:pt>
                <c:pt idx="5">
                  <c:v>0.78267755322840982</c:v>
                </c:pt>
                <c:pt idx="6">
                  <c:v>1.064607228530285</c:v>
                </c:pt>
                <c:pt idx="7">
                  <c:v>1.1357768384742903</c:v>
                </c:pt>
                <c:pt idx="8">
                  <c:v>1.5943804602600946</c:v>
                </c:pt>
                <c:pt idx="9">
                  <c:v>1.5147446989438067</c:v>
                </c:pt>
                <c:pt idx="10">
                  <c:v>1.3193031963370219</c:v>
                </c:pt>
                <c:pt idx="11">
                  <c:v>2.4789814154895935</c:v>
                </c:pt>
                <c:pt idx="12">
                  <c:v>2.6524604274101038</c:v>
                </c:pt>
                <c:pt idx="13">
                  <c:v>2.9854549803892336</c:v>
                </c:pt>
                <c:pt idx="14">
                  <c:v>3.8492056562771912</c:v>
                </c:pt>
                <c:pt idx="15">
                  <c:v>3.3194151209144112</c:v>
                </c:pt>
                <c:pt idx="16">
                  <c:v>3.9897132690223529</c:v>
                </c:pt>
                <c:pt idx="17">
                  <c:v>4.4161613875603729</c:v>
                </c:pt>
                <c:pt idx="18">
                  <c:v>5.2212720452874652</c:v>
                </c:pt>
                <c:pt idx="19">
                  <c:v>5.2999344505481645</c:v>
                </c:pt>
                <c:pt idx="20">
                  <c:v>5.8737631574099352</c:v>
                </c:pt>
                <c:pt idx="21">
                  <c:v>7.3199095313782081</c:v>
                </c:pt>
                <c:pt idx="22">
                  <c:v>6.9699118242048792</c:v>
                </c:pt>
                <c:pt idx="23">
                  <c:v>7.8116696864001742</c:v>
                </c:pt>
                <c:pt idx="24">
                  <c:v>8.9614460290204629</c:v>
                </c:pt>
                <c:pt idx="25">
                  <c:v>9.8057766078426081</c:v>
                </c:pt>
                <c:pt idx="26">
                  <c:v>10.316330779989682</c:v>
                </c:pt>
                <c:pt idx="27">
                  <c:v>11.785681855758211</c:v>
                </c:pt>
                <c:pt idx="28">
                  <c:v>13.847004918844751</c:v>
                </c:pt>
                <c:pt idx="29">
                  <c:v>17.165278146337052</c:v>
                </c:pt>
                <c:pt idx="30">
                  <c:v>17.667715544424517</c:v>
                </c:pt>
                <c:pt idx="31">
                  <c:v>15.984294545172936</c:v>
                </c:pt>
                <c:pt idx="32">
                  <c:v>17.96019225946219</c:v>
                </c:pt>
                <c:pt idx="33">
                  <c:v>16.784849286269985</c:v>
                </c:pt>
                <c:pt idx="34">
                  <c:v>16.543062206144139</c:v>
                </c:pt>
                <c:pt idx="35">
                  <c:v>16.444529380491449</c:v>
                </c:pt>
                <c:pt idx="36">
                  <c:v>17.021873189040118</c:v>
                </c:pt>
                <c:pt idx="37">
                  <c:v>18.381987446191822</c:v>
                </c:pt>
                <c:pt idx="38">
                  <c:v>19.333803796396555</c:v>
                </c:pt>
                <c:pt idx="39">
                  <c:v>22.012385149572427</c:v>
                </c:pt>
                <c:pt idx="40">
                  <c:v>23.690005197442407</c:v>
                </c:pt>
                <c:pt idx="41">
                  <c:v>23.361892975784169</c:v>
                </c:pt>
                <c:pt idx="42">
                  <c:v>22.331586705892008</c:v>
                </c:pt>
                <c:pt idx="43">
                  <c:v>27.910723152844493</c:v>
                </c:pt>
                <c:pt idx="44">
                  <c:v>36.054812359842686</c:v>
                </c:pt>
                <c:pt idx="45">
                  <c:v>34.859920173788666</c:v>
                </c:pt>
                <c:pt idx="46">
                  <c:v>42.928324783374912</c:v>
                </c:pt>
                <c:pt idx="47">
                  <c:v>51.904604403783296</c:v>
                </c:pt>
                <c:pt idx="48">
                  <c:v>53.95067402534103</c:v>
                </c:pt>
                <c:pt idx="49">
                  <c:v>59.434987760784757</c:v>
                </c:pt>
                <c:pt idx="50">
                  <c:v>68.581081349479604</c:v>
                </c:pt>
                <c:pt idx="51">
                  <c:v>94.913817904538149</c:v>
                </c:pt>
                <c:pt idx="52">
                  <c:v>117.94662687704155</c:v>
                </c:pt>
                <c:pt idx="53">
                  <c:v>118.94104129909636</c:v>
                </c:pt>
                <c:pt idx="54">
                  <c:v>130.72865190191777</c:v>
                </c:pt>
                <c:pt idx="55">
                  <c:v>148.90342038719874</c:v>
                </c:pt>
                <c:pt idx="56">
                  <c:v>163.00364425153984</c:v>
                </c:pt>
                <c:pt idx="57">
                  <c:v>187.61358839049501</c:v>
                </c:pt>
                <c:pt idx="58">
                  <c:v>212.462535968894</c:v>
                </c:pt>
                <c:pt idx="59">
                  <c:v>224.23625865789418</c:v>
                </c:pt>
                <c:pt idx="60">
                  <c:v>197.73712894767911</c:v>
                </c:pt>
                <c:pt idx="61">
                  <c:v>211.62079386816944</c:v>
                </c:pt>
                <c:pt idx="62">
                  <c:v>221.71359496425734</c:v>
                </c:pt>
                <c:pt idx="63">
                  <c:v>225.86453701685181</c:v>
                </c:pt>
                <c:pt idx="64">
                  <c:v>217.13893727971626</c:v>
                </c:pt>
                <c:pt idx="65">
                  <c:v>218.72747901175376</c:v>
                </c:pt>
                <c:pt idx="66">
                  <c:v>222.12264362868817</c:v>
                </c:pt>
                <c:pt idx="67">
                  <c:v>262.53619687939408</c:v>
                </c:pt>
                <c:pt idx="68">
                  <c:v>253.9617310700695</c:v>
                </c:pt>
                <c:pt idx="69">
                  <c:v>240.58449501298253</c:v>
                </c:pt>
                <c:pt idx="70">
                  <c:v>276.68712450950477</c:v>
                </c:pt>
                <c:pt idx="71">
                  <c:v>254.04356064439577</c:v>
                </c:pt>
                <c:pt idx="72">
                  <c:v>343.77542182865659</c:v>
                </c:pt>
                <c:pt idx="73">
                  <c:v>325.55010285305218</c:v>
                </c:pt>
                <c:pt idx="74">
                  <c:v>324.03511964555565</c:v>
                </c:pt>
                <c:pt idx="75">
                  <c:v>353.37649632986927</c:v>
                </c:pt>
                <c:pt idx="76">
                  <c:v>367.58796059011905</c:v>
                </c:pt>
                <c:pt idx="77">
                  <c:v>414.21251153524418</c:v>
                </c:pt>
                <c:pt idx="78">
                  <c:v>419.5750423564661</c:v>
                </c:pt>
                <c:pt idx="79">
                  <c:v>495.71068978125896</c:v>
                </c:pt>
                <c:pt idx="80">
                  <c:v>538.31762506279301</c:v>
                </c:pt>
                <c:pt idx="81">
                  <c:v>581.97966748276599</c:v>
                </c:pt>
                <c:pt idx="82">
                  <c:v>626.26877316976879</c:v>
                </c:pt>
                <c:pt idx="83">
                  <c:v>671.34683234112663</c:v>
                </c:pt>
                <c:pt idx="84">
                  <c:v>691.78259496981082</c:v>
                </c:pt>
                <c:pt idx="85">
                  <c:v>663.02519999404342</c:v>
                </c:pt>
                <c:pt idx="86">
                  <c:v>716.53874114865948</c:v>
                </c:pt>
                <c:pt idx="87">
                  <c:v>650.39247951771983</c:v>
                </c:pt>
                <c:pt idx="88">
                  <c:v>713.43151164718029</c:v>
                </c:pt>
                <c:pt idx="89">
                  <c:v>859.81269407955574</c:v>
                </c:pt>
                <c:pt idx="90">
                  <c:v>1115.1067598390939</c:v>
                </c:pt>
                <c:pt idx="91">
                  <c:v>1329.4340859613269</c:v>
                </c:pt>
                <c:pt idx="92">
                  <c:v>1360.1911214296215</c:v>
                </c:pt>
                <c:pt idx="93">
                  <c:v>1626.2850793845348</c:v>
                </c:pt>
                <c:pt idx="94">
                  <c:v>1784.3548308095994</c:v>
                </c:pt>
                <c:pt idx="95">
                  <c:v>1835.0846303196897</c:v>
                </c:pt>
                <c:pt idx="96">
                  <c:v>2104.4896726135116</c:v>
                </c:pt>
                <c:pt idx="97">
                  <c:v>2355.4937883949424</c:v>
                </c:pt>
                <c:pt idx="98">
                  <c:v>2515.5084549179487</c:v>
                </c:pt>
                <c:pt idx="99">
                  <c:v>2742.7455216435164</c:v>
                </c:pt>
                <c:pt idx="100">
                  <c:v>3041.08076006479</c:v>
                </c:pt>
                <c:pt idx="101">
                  <c:v>3513.0950154731668</c:v>
                </c:pt>
                <c:pt idx="102">
                  <c:v>3783.9674214676197</c:v>
                </c:pt>
                <c:pt idx="103">
                  <c:v>4075.2890580432836</c:v>
                </c:pt>
                <c:pt idx="104">
                  <c:v>3873.051846782444</c:v>
                </c:pt>
                <c:pt idx="105">
                  <c:v>3886.987527033325</c:v>
                </c:pt>
                <c:pt idx="106">
                  <c:v>3927.4953866884011</c:v>
                </c:pt>
                <c:pt idx="107">
                  <c:v>4892.232519211062</c:v>
                </c:pt>
                <c:pt idx="108">
                  <c:v>5148.3678618617678</c:v>
                </c:pt>
                <c:pt idx="109">
                  <c:v>6581.4310323629061</c:v>
                </c:pt>
                <c:pt idx="110">
                  <c:v>7487.1456283841844</c:v>
                </c:pt>
                <c:pt idx="111">
                  <c:v>8509.7125112545709</c:v>
                </c:pt>
                <c:pt idx="112">
                  <c:v>9234.7191739100708</c:v>
                </c:pt>
                <c:pt idx="113">
                  <c:v>9054.9424521854417</c:v>
                </c:pt>
                <c:pt idx="114">
                  <c:v>8427.0386602769922</c:v>
                </c:pt>
                <c:pt idx="115">
                  <c:v>8916.0267769971833</c:v>
                </c:pt>
                <c:pt idx="116">
                  <c:v>11216.631843462972</c:v>
                </c:pt>
                <c:pt idx="117">
                  <c:v>13461.901822005984</c:v>
                </c:pt>
                <c:pt idx="118">
                  <c:v>14235.482605893952</c:v>
                </c:pt>
                <c:pt idx="119">
                  <c:v>15353.226724729177</c:v>
                </c:pt>
                <c:pt idx="120">
                  <c:v>15238.212883799994</c:v>
                </c:pt>
                <c:pt idx="121">
                  <c:v>14785.831686316706</c:v>
                </c:pt>
                <c:pt idx="122">
                  <c:v>17393.861622936154</c:v>
                </c:pt>
                <c:pt idx="123">
                  <c:v>19643.808207126487</c:v>
                </c:pt>
                <c:pt idx="124">
                  <c:v>17609.663593437141</c:v>
                </c:pt>
                <c:pt idx="125">
                  <c:v>20319.351762490867</c:v>
                </c:pt>
                <c:pt idx="126">
                  <c:v>22790.132955801084</c:v>
                </c:pt>
                <c:pt idx="127">
                  <c:v>24845.885083976482</c:v>
                </c:pt>
                <c:pt idx="128">
                  <c:v>24698.65239977825</c:v>
                </c:pt>
                <c:pt idx="129">
                  <c:v>26734.08017341443</c:v>
                </c:pt>
                <c:pt idx="130">
                  <c:v>27644.398462387369</c:v>
                </c:pt>
                <c:pt idx="131">
                  <c:v>32535.390872096621</c:v>
                </c:pt>
                <c:pt idx="132">
                  <c:v>32478.745674389877</c:v>
                </c:pt>
                <c:pt idx="133">
                  <c:v>35265.607268630345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D8C-47EE-B416-339448D8BE1B}"/>
            </c:ext>
          </c:extLst>
        </c:ser>
        <c:ser>
          <c:idx val="9"/>
          <c:order val="9"/>
          <c:tx>
            <c:strRef>
              <c:f>真實IC再投資累積報酬!$B$21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真實IC再投資累積報酬!$C$11:$EF$11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真實IC再投資累積報酬!$C$21:$EF$21</c:f>
              <c:numCache>
                <c:formatCode>General</c:formatCode>
                <c:ptCount val="134"/>
                <c:pt idx="0">
                  <c:v>0.2146295798069533</c:v>
                </c:pt>
                <c:pt idx="1">
                  <c:v>0.36814408204211646</c:v>
                </c:pt>
                <c:pt idx="2">
                  <c:v>0.3494139565834633</c:v>
                </c:pt>
                <c:pt idx="3">
                  <c:v>0.10106972601432695</c:v>
                </c:pt>
                <c:pt idx="4">
                  <c:v>0.25944996392914965</c:v>
                </c:pt>
                <c:pt idx="5">
                  <c:v>0.46368751845170242</c:v>
                </c:pt>
                <c:pt idx="6">
                  <c:v>0.67922371408989957</c:v>
                </c:pt>
                <c:pt idx="7">
                  <c:v>0.78070814616005202</c:v>
                </c:pt>
                <c:pt idx="8">
                  <c:v>1.1491010937421016</c:v>
                </c:pt>
                <c:pt idx="9">
                  <c:v>1.1599092526127532</c:v>
                </c:pt>
                <c:pt idx="10">
                  <c:v>0.94459957696741759</c:v>
                </c:pt>
                <c:pt idx="11">
                  <c:v>2.0819788827208177</c:v>
                </c:pt>
                <c:pt idx="12">
                  <c:v>2.1878509888181146</c:v>
                </c:pt>
                <c:pt idx="13">
                  <c:v>2.6493644677180663</c:v>
                </c:pt>
                <c:pt idx="14">
                  <c:v>3.5883827093035334</c:v>
                </c:pt>
                <c:pt idx="15">
                  <c:v>3.1498466043855657</c:v>
                </c:pt>
                <c:pt idx="16">
                  <c:v>3.6834765638170408</c:v>
                </c:pt>
                <c:pt idx="17">
                  <c:v>4.1446195006077247</c:v>
                </c:pt>
                <c:pt idx="18">
                  <c:v>4.588489130334751</c:v>
                </c:pt>
                <c:pt idx="19">
                  <c:v>4.8877953040084225</c:v>
                </c:pt>
                <c:pt idx="20">
                  <c:v>5.6208176873024467</c:v>
                </c:pt>
                <c:pt idx="21">
                  <c:v>7.0352292080091683</c:v>
                </c:pt>
                <c:pt idx="22">
                  <c:v>6.8678306118590005</c:v>
                </c:pt>
                <c:pt idx="23">
                  <c:v>7.7663682385263062</c:v>
                </c:pt>
                <c:pt idx="24">
                  <c:v>8.7362433397133863</c:v>
                </c:pt>
                <c:pt idx="25">
                  <c:v>10.000393109058024</c:v>
                </c:pt>
                <c:pt idx="26">
                  <c:v>10.207505614186667</c:v>
                </c:pt>
                <c:pt idx="27">
                  <c:v>11.651308777677391</c:v>
                </c:pt>
                <c:pt idx="28">
                  <c:v>13.272004420386512</c:v>
                </c:pt>
                <c:pt idx="29">
                  <c:v>17.484304576403972</c:v>
                </c:pt>
                <c:pt idx="30">
                  <c:v>18.303210614651267</c:v>
                </c:pt>
                <c:pt idx="31">
                  <c:v>16.226544914851804</c:v>
                </c:pt>
                <c:pt idx="32">
                  <c:v>17.985782997920133</c:v>
                </c:pt>
                <c:pt idx="33">
                  <c:v>16.649082453830115</c:v>
                </c:pt>
                <c:pt idx="34">
                  <c:v>16.017189396429789</c:v>
                </c:pt>
                <c:pt idx="35">
                  <c:v>16.353803247193252</c:v>
                </c:pt>
                <c:pt idx="36">
                  <c:v>17.543160165026954</c:v>
                </c:pt>
                <c:pt idx="37">
                  <c:v>19.619179244049651</c:v>
                </c:pt>
                <c:pt idx="38">
                  <c:v>21.383516532513585</c:v>
                </c:pt>
                <c:pt idx="39">
                  <c:v>23.007108117801359</c:v>
                </c:pt>
                <c:pt idx="40">
                  <c:v>26.205490152190045</c:v>
                </c:pt>
                <c:pt idx="41">
                  <c:v>27.511031060559702</c:v>
                </c:pt>
                <c:pt idx="42">
                  <c:v>26.216439737989852</c:v>
                </c:pt>
                <c:pt idx="43">
                  <c:v>33.424394214859156</c:v>
                </c:pt>
                <c:pt idx="44">
                  <c:v>45.351801833598834</c:v>
                </c:pt>
                <c:pt idx="45">
                  <c:v>42.166788169080398</c:v>
                </c:pt>
                <c:pt idx="46">
                  <c:v>53.530657378657843</c:v>
                </c:pt>
                <c:pt idx="47">
                  <c:v>65.402979538277378</c:v>
                </c:pt>
                <c:pt idx="48">
                  <c:v>68.525333360955429</c:v>
                </c:pt>
                <c:pt idx="49">
                  <c:v>76.068996000180789</c:v>
                </c:pt>
                <c:pt idx="50">
                  <c:v>86.827263863326579</c:v>
                </c:pt>
                <c:pt idx="51">
                  <c:v>122.34736961659868</c:v>
                </c:pt>
                <c:pt idx="52">
                  <c:v>142.63314363576612</c:v>
                </c:pt>
                <c:pt idx="53">
                  <c:v>148.1226799049349</c:v>
                </c:pt>
                <c:pt idx="54">
                  <c:v>168.51451384248466</c:v>
                </c:pt>
                <c:pt idx="55">
                  <c:v>202.26777198338715</c:v>
                </c:pt>
                <c:pt idx="56">
                  <c:v>221.02645448988017</c:v>
                </c:pt>
                <c:pt idx="57">
                  <c:v>244.74822928289782</c:v>
                </c:pt>
                <c:pt idx="58">
                  <c:v>285.53496365853522</c:v>
                </c:pt>
                <c:pt idx="59">
                  <c:v>291.9516455042023</c:v>
                </c:pt>
                <c:pt idx="60">
                  <c:v>270.64728937237561</c:v>
                </c:pt>
                <c:pt idx="61">
                  <c:v>294.37317835456645</c:v>
                </c:pt>
                <c:pt idx="62">
                  <c:v>306.42301165075332</c:v>
                </c:pt>
                <c:pt idx="63">
                  <c:v>314.35168674511607</c:v>
                </c:pt>
                <c:pt idx="64">
                  <c:v>294.21419953118038</c:v>
                </c:pt>
                <c:pt idx="65">
                  <c:v>292.9799673174611</c:v>
                </c:pt>
                <c:pt idx="66">
                  <c:v>309.01429055561027</c:v>
                </c:pt>
                <c:pt idx="67">
                  <c:v>353.05537202487562</c:v>
                </c:pt>
                <c:pt idx="68">
                  <c:v>329.77912714716706</c:v>
                </c:pt>
                <c:pt idx="69">
                  <c:v>309.66089501650816</c:v>
                </c:pt>
                <c:pt idx="70">
                  <c:v>362.70267351788647</c:v>
                </c:pt>
                <c:pt idx="71">
                  <c:v>346.5761042331456</c:v>
                </c:pt>
                <c:pt idx="72">
                  <c:v>410.69022554637843</c:v>
                </c:pt>
                <c:pt idx="73">
                  <c:v>378.92214825438703</c:v>
                </c:pt>
                <c:pt idx="74">
                  <c:v>357.77329092035961</c:v>
                </c:pt>
                <c:pt idx="75">
                  <c:v>374.87347671239326</c:v>
                </c:pt>
                <c:pt idx="76">
                  <c:v>397.62043866796716</c:v>
                </c:pt>
                <c:pt idx="77">
                  <c:v>480.48160862434167</c:v>
                </c:pt>
                <c:pt idx="78">
                  <c:v>476.62062962247177</c:v>
                </c:pt>
                <c:pt idx="79">
                  <c:v>614.20214844984753</c:v>
                </c:pt>
                <c:pt idx="80">
                  <c:v>652.04623623576288</c:v>
                </c:pt>
                <c:pt idx="81">
                  <c:v>737.76879241764323</c:v>
                </c:pt>
                <c:pt idx="82">
                  <c:v>800.62718295831701</c:v>
                </c:pt>
                <c:pt idx="83">
                  <c:v>864.83777769669723</c:v>
                </c:pt>
                <c:pt idx="84">
                  <c:v>934.53738665810204</c:v>
                </c:pt>
                <c:pt idx="85">
                  <c:v>882.95106129708699</c:v>
                </c:pt>
                <c:pt idx="86">
                  <c:v>942.3168877743127</c:v>
                </c:pt>
                <c:pt idx="87">
                  <c:v>816.01578911619652</c:v>
                </c:pt>
                <c:pt idx="88">
                  <c:v>910.97902058441207</c:v>
                </c:pt>
                <c:pt idx="89">
                  <c:v>984.71390041945097</c:v>
                </c:pt>
                <c:pt idx="90">
                  <c:v>1315.4049042371018</c:v>
                </c:pt>
                <c:pt idx="91">
                  <c:v>1608.5683565506872</c:v>
                </c:pt>
                <c:pt idx="92">
                  <c:v>1645.4470992650536</c:v>
                </c:pt>
                <c:pt idx="93">
                  <c:v>2039.0466874309643</c:v>
                </c:pt>
                <c:pt idx="94">
                  <c:v>2164.0383818122982</c:v>
                </c:pt>
                <c:pt idx="95">
                  <c:v>2267.9452941926638</c:v>
                </c:pt>
                <c:pt idx="96">
                  <c:v>2628.5184165688352</c:v>
                </c:pt>
                <c:pt idx="97">
                  <c:v>3034.3368446666163</c:v>
                </c:pt>
                <c:pt idx="98">
                  <c:v>3150.72840485502</c:v>
                </c:pt>
                <c:pt idx="99">
                  <c:v>3472.5897666400638</c:v>
                </c:pt>
                <c:pt idx="100">
                  <c:v>3828.6506452007725</c:v>
                </c:pt>
                <c:pt idx="101">
                  <c:v>4738.0064406877209</c:v>
                </c:pt>
                <c:pt idx="102">
                  <c:v>4935.6659639217223</c:v>
                </c:pt>
                <c:pt idx="103">
                  <c:v>5288.4461057003527</c:v>
                </c:pt>
                <c:pt idx="104">
                  <c:v>5050.169468995412</c:v>
                </c:pt>
                <c:pt idx="105">
                  <c:v>5064.4076771629634</c:v>
                </c:pt>
                <c:pt idx="106">
                  <c:v>5211.1917289351513</c:v>
                </c:pt>
                <c:pt idx="107">
                  <c:v>6780.8443714313698</c:v>
                </c:pt>
                <c:pt idx="108">
                  <c:v>7183.7504824191928</c:v>
                </c:pt>
                <c:pt idx="109">
                  <c:v>7768.8491754505003</c:v>
                </c:pt>
                <c:pt idx="110">
                  <c:v>9166.1774927406132</c:v>
                </c:pt>
                <c:pt idx="111">
                  <c:v>10601.809910274982</c:v>
                </c:pt>
                <c:pt idx="112">
                  <c:v>11565.558582343447</c:v>
                </c:pt>
                <c:pt idx="113">
                  <c:v>11418.235423984166</c:v>
                </c:pt>
                <c:pt idx="114">
                  <c:v>11132.882405933875</c:v>
                </c:pt>
                <c:pt idx="115">
                  <c:v>11925.588251025241</c:v>
                </c:pt>
                <c:pt idx="116">
                  <c:v>15880.764605815941</c:v>
                </c:pt>
                <c:pt idx="117">
                  <c:v>19518.004583767364</c:v>
                </c:pt>
                <c:pt idx="118">
                  <c:v>20892.585564605564</c:v>
                </c:pt>
                <c:pt idx="119">
                  <c:v>21940.834700746575</c:v>
                </c:pt>
                <c:pt idx="120">
                  <c:v>21904.145875688908</c:v>
                </c:pt>
                <c:pt idx="121">
                  <c:v>21789.906370375415</c:v>
                </c:pt>
                <c:pt idx="122">
                  <c:v>25028.355745902958</c:v>
                </c:pt>
                <c:pt idx="123">
                  <c:v>28539.373073583189</c:v>
                </c:pt>
                <c:pt idx="124">
                  <c:v>25584.460028900572</c:v>
                </c:pt>
                <c:pt idx="125">
                  <c:v>30342.491164721388</c:v>
                </c:pt>
                <c:pt idx="126">
                  <c:v>35401.690912833488</c:v>
                </c:pt>
                <c:pt idx="127">
                  <c:v>38904.099433944422</c:v>
                </c:pt>
                <c:pt idx="128">
                  <c:v>37539.835430356638</c:v>
                </c:pt>
                <c:pt idx="129">
                  <c:v>38527.241766712912</c:v>
                </c:pt>
                <c:pt idx="130">
                  <c:v>39068.064819222942</c:v>
                </c:pt>
                <c:pt idx="131">
                  <c:v>41197.284170463536</c:v>
                </c:pt>
                <c:pt idx="132">
                  <c:v>42075.244008203947</c:v>
                </c:pt>
                <c:pt idx="133">
                  <c:v>43286.923133797522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D8C-47EE-B416-339448D8BE1B}"/>
            </c:ext>
          </c:extLst>
        </c:ser>
        <c:ser>
          <c:idx val="10"/>
          <c:order val="10"/>
          <c:tx>
            <c:strRef>
              <c:f>真實IC再投資累積報酬!$B$22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真實IC再投資累積報酬!$C$11:$EF$11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真實IC再投資累積報酬!$C$22:$EF$22</c:f>
              <c:numCache>
                <c:formatCode>General</c:formatCode>
                <c:ptCount val="134"/>
                <c:pt idx="0">
                  <c:v>0.20528030103697548</c:v>
                </c:pt>
                <c:pt idx="1">
                  <c:v>0.37694578546487212</c:v>
                </c:pt>
                <c:pt idx="2">
                  <c:v>0.35304875515552792</c:v>
                </c:pt>
                <c:pt idx="3">
                  <c:v>0.26127002261511456</c:v>
                </c:pt>
                <c:pt idx="4">
                  <c:v>0.39229625585167116</c:v>
                </c:pt>
                <c:pt idx="5">
                  <c:v>0.56518890797069221</c:v>
                </c:pt>
                <c:pt idx="6">
                  <c:v>0.75847904682878564</c:v>
                </c:pt>
                <c:pt idx="7">
                  <c:v>0.8509725639446446</c:v>
                </c:pt>
                <c:pt idx="8">
                  <c:v>1.3051381364476624</c:v>
                </c:pt>
                <c:pt idx="9">
                  <c:v>1.2722364187784336</c:v>
                </c:pt>
                <c:pt idx="10">
                  <c:v>1.1038635666063161</c:v>
                </c:pt>
                <c:pt idx="11">
                  <c:v>2.6946862077091414</c:v>
                </c:pt>
                <c:pt idx="12">
                  <c:v>2.669873144739479</c:v>
                </c:pt>
                <c:pt idx="13">
                  <c:v>2.9369770966005095</c:v>
                </c:pt>
                <c:pt idx="14">
                  <c:v>4.0266413884894661</c:v>
                </c:pt>
                <c:pt idx="15">
                  <c:v>3.8425233847843359</c:v>
                </c:pt>
                <c:pt idx="16">
                  <c:v>4.6640407972217774</c:v>
                </c:pt>
                <c:pt idx="17">
                  <c:v>5.3936396105231328</c:v>
                </c:pt>
                <c:pt idx="18">
                  <c:v>6.1007123646780634</c:v>
                </c:pt>
                <c:pt idx="19">
                  <c:v>6.3725757521162674</c:v>
                </c:pt>
                <c:pt idx="20">
                  <c:v>7.5377947847692663</c:v>
                </c:pt>
                <c:pt idx="21">
                  <c:v>9.431364619379524</c:v>
                </c:pt>
                <c:pt idx="22">
                  <c:v>9.267256217150015</c:v>
                </c:pt>
                <c:pt idx="23">
                  <c:v>10.042929653232624</c:v>
                </c:pt>
                <c:pt idx="24">
                  <c:v>10.954241079565158</c:v>
                </c:pt>
                <c:pt idx="25">
                  <c:v>12.561323976163955</c:v>
                </c:pt>
                <c:pt idx="26">
                  <c:v>13.724566349454635</c:v>
                </c:pt>
                <c:pt idx="27">
                  <c:v>13.924419778280402</c:v>
                </c:pt>
                <c:pt idx="28">
                  <c:v>15.876889725479145</c:v>
                </c:pt>
                <c:pt idx="29">
                  <c:v>23.132547610969965</c:v>
                </c:pt>
                <c:pt idx="30">
                  <c:v>24.407748595097843</c:v>
                </c:pt>
                <c:pt idx="31">
                  <c:v>21.71793291336364</c:v>
                </c:pt>
                <c:pt idx="32">
                  <c:v>24.23970777815186</c:v>
                </c:pt>
                <c:pt idx="33">
                  <c:v>23.439612844541873</c:v>
                </c:pt>
                <c:pt idx="34">
                  <c:v>25.915066054618009</c:v>
                </c:pt>
                <c:pt idx="35">
                  <c:v>25.660994870059778</c:v>
                </c:pt>
                <c:pt idx="36">
                  <c:v>27.90288869404117</c:v>
                </c:pt>
                <c:pt idx="37">
                  <c:v>31.11494792200309</c:v>
                </c:pt>
                <c:pt idx="38">
                  <c:v>36.194019275776178</c:v>
                </c:pt>
                <c:pt idx="39">
                  <c:v>38.519997627722937</c:v>
                </c:pt>
                <c:pt idx="40">
                  <c:v>42.872402636211326</c:v>
                </c:pt>
                <c:pt idx="41">
                  <c:v>45.852413109602196</c:v>
                </c:pt>
                <c:pt idx="42">
                  <c:v>49.312168773381515</c:v>
                </c:pt>
                <c:pt idx="43">
                  <c:v>50.204121566930738</c:v>
                </c:pt>
                <c:pt idx="44">
                  <c:v>72.188804952822579</c:v>
                </c:pt>
                <c:pt idx="45">
                  <c:v>65.619818279880491</c:v>
                </c:pt>
                <c:pt idx="46">
                  <c:v>90.322398844597231</c:v>
                </c:pt>
                <c:pt idx="47">
                  <c:v>89.420573169520665</c:v>
                </c:pt>
                <c:pt idx="48">
                  <c:v>95.906746986831877</c:v>
                </c:pt>
                <c:pt idx="49">
                  <c:v>110.94555039276882</c:v>
                </c:pt>
                <c:pt idx="50">
                  <c:v>116.51763541530737</c:v>
                </c:pt>
                <c:pt idx="51">
                  <c:v>177.42280102743769</c:v>
                </c:pt>
                <c:pt idx="52">
                  <c:v>212.32694620856955</c:v>
                </c:pt>
                <c:pt idx="53">
                  <c:v>229.23514288411388</c:v>
                </c:pt>
                <c:pt idx="54">
                  <c:v>258.7208704478137</c:v>
                </c:pt>
                <c:pt idx="55">
                  <c:v>310.43193169310518</c:v>
                </c:pt>
                <c:pt idx="56">
                  <c:v>297.59113560831008</c:v>
                </c:pt>
                <c:pt idx="57">
                  <c:v>335.72331656912712</c:v>
                </c:pt>
                <c:pt idx="58">
                  <c:v>373.12947860224818</c:v>
                </c:pt>
                <c:pt idx="59">
                  <c:v>388.42775707338154</c:v>
                </c:pt>
                <c:pt idx="60">
                  <c:v>369.61246111817212</c:v>
                </c:pt>
                <c:pt idx="61">
                  <c:v>421.30229637020955</c:v>
                </c:pt>
                <c:pt idx="62">
                  <c:v>422.32869502608759</c:v>
                </c:pt>
                <c:pt idx="63">
                  <c:v>457.43868766276529</c:v>
                </c:pt>
                <c:pt idx="64">
                  <c:v>434.29467223291209</c:v>
                </c:pt>
                <c:pt idx="65">
                  <c:v>434.05917776102609</c:v>
                </c:pt>
                <c:pt idx="66">
                  <c:v>446.16691705214521</c:v>
                </c:pt>
                <c:pt idx="67">
                  <c:v>493.82005640480531</c:v>
                </c:pt>
                <c:pt idx="68">
                  <c:v>445.79896259325193</c:v>
                </c:pt>
                <c:pt idx="69">
                  <c:v>485.44173417598688</c:v>
                </c:pt>
                <c:pt idx="70">
                  <c:v>536.20221277284793</c:v>
                </c:pt>
                <c:pt idx="71">
                  <c:v>510.09228644301356</c:v>
                </c:pt>
                <c:pt idx="72">
                  <c:v>577.64426958230547</c:v>
                </c:pt>
                <c:pt idx="73">
                  <c:v>512.24074493409682</c:v>
                </c:pt>
                <c:pt idx="74">
                  <c:v>483.70607359116536</c:v>
                </c:pt>
                <c:pt idx="75">
                  <c:v>506.61218518807618</c:v>
                </c:pt>
                <c:pt idx="76">
                  <c:v>520.56648399646497</c:v>
                </c:pt>
                <c:pt idx="77">
                  <c:v>653.42994193554148</c:v>
                </c:pt>
                <c:pt idx="78">
                  <c:v>571.55814154234804</c:v>
                </c:pt>
                <c:pt idx="79">
                  <c:v>762.72272974439261</c:v>
                </c:pt>
                <c:pt idx="80">
                  <c:v>813.77006822665578</c:v>
                </c:pt>
                <c:pt idx="81">
                  <c:v>967.59848255173506</c:v>
                </c:pt>
                <c:pt idx="82">
                  <c:v>1168.181021499277</c:v>
                </c:pt>
                <c:pt idx="83">
                  <c:v>1303.7110489147233</c:v>
                </c:pt>
                <c:pt idx="84">
                  <c:v>1457.3795852224712</c:v>
                </c:pt>
                <c:pt idx="85">
                  <c:v>1273.1492601546854</c:v>
                </c:pt>
                <c:pt idx="86">
                  <c:v>1414.4824069448273</c:v>
                </c:pt>
                <c:pt idx="87">
                  <c:v>1073.8440197914526</c:v>
                </c:pt>
                <c:pt idx="88">
                  <c:v>1310.1296518618392</c:v>
                </c:pt>
                <c:pt idx="89">
                  <c:v>1510.4753981123315</c:v>
                </c:pt>
                <c:pt idx="90">
                  <c:v>1921.6866363841204</c:v>
                </c:pt>
                <c:pt idx="91">
                  <c:v>2420.4480022328794</c:v>
                </c:pt>
                <c:pt idx="92">
                  <c:v>2461.9991189507459</c:v>
                </c:pt>
                <c:pt idx="93">
                  <c:v>3069.8002340217981</c:v>
                </c:pt>
                <c:pt idx="94">
                  <c:v>3330.1486225763256</c:v>
                </c:pt>
                <c:pt idx="95">
                  <c:v>3457.6070784149229</c:v>
                </c:pt>
                <c:pt idx="96">
                  <c:v>4036.4185002445183</c:v>
                </c:pt>
                <c:pt idx="97">
                  <c:v>4707.5290183459247</c:v>
                </c:pt>
                <c:pt idx="98">
                  <c:v>4815.2791957231311</c:v>
                </c:pt>
                <c:pt idx="99">
                  <c:v>4833.3382837714953</c:v>
                </c:pt>
                <c:pt idx="100">
                  <c:v>5338.5789713009099</c:v>
                </c:pt>
                <c:pt idx="101">
                  <c:v>6742.4636619912526</c:v>
                </c:pt>
                <c:pt idx="102">
                  <c:v>6961.3159966798748</c:v>
                </c:pt>
                <c:pt idx="103">
                  <c:v>7337.5708440015642</c:v>
                </c:pt>
                <c:pt idx="104">
                  <c:v>7185.4805451314523</c:v>
                </c:pt>
                <c:pt idx="105">
                  <c:v>7413.365058637025</c:v>
                </c:pt>
                <c:pt idx="106">
                  <c:v>7281.7118595087286</c:v>
                </c:pt>
                <c:pt idx="107">
                  <c:v>10119.548956679626</c:v>
                </c:pt>
                <c:pt idx="108">
                  <c:v>10847.110155000599</c:v>
                </c:pt>
                <c:pt idx="109">
                  <c:v>11730.736259377431</c:v>
                </c:pt>
                <c:pt idx="110">
                  <c:v>12436.073012160929</c:v>
                </c:pt>
                <c:pt idx="111">
                  <c:v>14347.648184433556</c:v>
                </c:pt>
                <c:pt idx="112">
                  <c:v>15659.522202696369</c:v>
                </c:pt>
                <c:pt idx="113">
                  <c:v>15609.199765248839</c:v>
                </c:pt>
                <c:pt idx="114">
                  <c:v>15111.473083779256</c:v>
                </c:pt>
                <c:pt idx="115">
                  <c:v>15818.182622570253</c:v>
                </c:pt>
                <c:pt idx="116">
                  <c:v>17015.94494415975</c:v>
                </c:pt>
                <c:pt idx="117">
                  <c:v>19901.379516496381</c:v>
                </c:pt>
                <c:pt idx="118">
                  <c:v>23193.31601267758</c:v>
                </c:pt>
                <c:pt idx="119">
                  <c:v>23052.003421994028</c:v>
                </c:pt>
                <c:pt idx="120">
                  <c:v>22214.112913978784</c:v>
                </c:pt>
                <c:pt idx="121">
                  <c:v>22816.781246819381</c:v>
                </c:pt>
                <c:pt idx="122">
                  <c:v>26502.923320440943</c:v>
                </c:pt>
                <c:pt idx="123">
                  <c:v>29834.602120370379</c:v>
                </c:pt>
                <c:pt idx="124">
                  <c:v>27405.524240301504</c:v>
                </c:pt>
                <c:pt idx="125">
                  <c:v>33501.90298081559</c:v>
                </c:pt>
                <c:pt idx="126">
                  <c:v>37520.778038929231</c:v>
                </c:pt>
                <c:pt idx="127">
                  <c:v>41679.48572662838</c:v>
                </c:pt>
                <c:pt idx="128">
                  <c:v>40254.378135387975</c:v>
                </c:pt>
                <c:pt idx="129">
                  <c:v>45478.15553405675</c:v>
                </c:pt>
                <c:pt idx="130">
                  <c:v>46455.734601835546</c:v>
                </c:pt>
                <c:pt idx="131">
                  <c:v>50052.116141212216</c:v>
                </c:pt>
                <c:pt idx="132">
                  <c:v>52436.479385973915</c:v>
                </c:pt>
                <c:pt idx="133">
                  <c:v>54355.45354419158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D8C-47EE-B416-339448D8BE1B}"/>
            </c:ext>
          </c:extLst>
        </c:ser>
        <c:ser>
          <c:idx val="11"/>
          <c:order val="11"/>
          <c:tx>
            <c:strRef>
              <c:f>真實IC再投資累積報酬!$B$23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真實IC再投資累積報酬!$C$11:$EF$11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真實IC再投資累積報酬!$C$23:$EF$23</c:f>
              <c:numCache>
                <c:formatCode>General</c:formatCode>
                <c:ptCount val="134"/>
                <c:pt idx="0">
                  <c:v>0.28298926569632887</c:v>
                </c:pt>
                <c:pt idx="1">
                  <c:v>0.60898737920913004</c:v>
                </c:pt>
                <c:pt idx="2">
                  <c:v>0.82299105781477033</c:v>
                </c:pt>
                <c:pt idx="3">
                  <c:v>0.49048464352429932</c:v>
                </c:pt>
                <c:pt idx="4">
                  <c:v>0.45028393482696538</c:v>
                </c:pt>
                <c:pt idx="5">
                  <c:v>0.4239054877664914</c:v>
                </c:pt>
                <c:pt idx="6">
                  <c:v>0.63485997431418806</c:v>
                </c:pt>
                <c:pt idx="7">
                  <c:v>0.47437837353187717</c:v>
                </c:pt>
                <c:pt idx="8">
                  <c:v>0.68463589819749093</c:v>
                </c:pt>
                <c:pt idx="9">
                  <c:v>0.59910552915632476</c:v>
                </c:pt>
                <c:pt idx="10">
                  <c:v>0.18581683889722989</c:v>
                </c:pt>
                <c:pt idx="11">
                  <c:v>1.3430572034324233</c:v>
                </c:pt>
                <c:pt idx="12">
                  <c:v>1.2975838257466834</c:v>
                </c:pt>
                <c:pt idx="13">
                  <c:v>1.5052893351785577</c:v>
                </c:pt>
                <c:pt idx="14">
                  <c:v>1.3560542177199477</c:v>
                </c:pt>
                <c:pt idx="15">
                  <c:v>1.2236177164338926</c:v>
                </c:pt>
                <c:pt idx="16">
                  <c:v>1.4764976024217602</c:v>
                </c:pt>
                <c:pt idx="17">
                  <c:v>1.8593708017750834</c:v>
                </c:pt>
                <c:pt idx="18">
                  <c:v>2.1274580379519832</c:v>
                </c:pt>
                <c:pt idx="19">
                  <c:v>2.0554343772042967</c:v>
                </c:pt>
                <c:pt idx="20">
                  <c:v>2.8484641924785539</c:v>
                </c:pt>
                <c:pt idx="21">
                  <c:v>3.5480425768877666</c:v>
                </c:pt>
                <c:pt idx="22">
                  <c:v>3.4813691753583722</c:v>
                </c:pt>
                <c:pt idx="23">
                  <c:v>3.6294000718531043</c:v>
                </c:pt>
                <c:pt idx="24">
                  <c:v>3.3666888120478173</c:v>
                </c:pt>
                <c:pt idx="25">
                  <c:v>3.6463306023617728</c:v>
                </c:pt>
                <c:pt idx="26">
                  <c:v>4.4304211922101899</c:v>
                </c:pt>
                <c:pt idx="27">
                  <c:v>4.8193961154366622</c:v>
                </c:pt>
                <c:pt idx="28">
                  <c:v>5.6178870298043275</c:v>
                </c:pt>
                <c:pt idx="29">
                  <c:v>7.7664457700637008</c:v>
                </c:pt>
                <c:pt idx="30">
                  <c:v>8.5718512075179145</c:v>
                </c:pt>
                <c:pt idx="31">
                  <c:v>7.7661733245609881</c:v>
                </c:pt>
                <c:pt idx="32">
                  <c:v>9.5996324891752298</c:v>
                </c:pt>
                <c:pt idx="33">
                  <c:v>9.6594476764514212</c:v>
                </c:pt>
                <c:pt idx="34">
                  <c:v>10.875808969245153</c:v>
                </c:pt>
                <c:pt idx="35">
                  <c:v>10.708756796658269</c:v>
                </c:pt>
                <c:pt idx="36">
                  <c:v>10.799727853850547</c:v>
                </c:pt>
                <c:pt idx="37">
                  <c:v>13.658975361254308</c:v>
                </c:pt>
                <c:pt idx="38">
                  <c:v>14.989753491912545</c:v>
                </c:pt>
                <c:pt idx="39">
                  <c:v>14.93984788264541</c:v>
                </c:pt>
                <c:pt idx="40">
                  <c:v>16.523960150988778</c:v>
                </c:pt>
                <c:pt idx="41">
                  <c:v>19.084844471490193</c:v>
                </c:pt>
                <c:pt idx="42">
                  <c:v>20.725045593846701</c:v>
                </c:pt>
                <c:pt idx="43">
                  <c:v>23.104066328554509</c:v>
                </c:pt>
                <c:pt idx="44">
                  <c:v>37.767342272929049</c:v>
                </c:pt>
                <c:pt idx="45">
                  <c:v>35.861924817174021</c:v>
                </c:pt>
                <c:pt idx="46">
                  <c:v>57.325148209233618</c:v>
                </c:pt>
                <c:pt idx="47">
                  <c:v>56.461190678169849</c:v>
                </c:pt>
                <c:pt idx="48">
                  <c:v>66.24303791115446</c:v>
                </c:pt>
                <c:pt idx="49">
                  <c:v>71.492807890953571</c:v>
                </c:pt>
                <c:pt idx="50">
                  <c:v>75.407299079678481</c:v>
                </c:pt>
                <c:pt idx="51">
                  <c:v>127.82448880615479</c:v>
                </c:pt>
                <c:pt idx="52">
                  <c:v>160.40023189924509</c:v>
                </c:pt>
                <c:pt idx="53">
                  <c:v>180.73226852642233</c:v>
                </c:pt>
                <c:pt idx="54">
                  <c:v>203.32016163852958</c:v>
                </c:pt>
                <c:pt idx="55">
                  <c:v>246.22925752374115</c:v>
                </c:pt>
                <c:pt idx="56">
                  <c:v>255.70378169278706</c:v>
                </c:pt>
                <c:pt idx="57">
                  <c:v>271.96986705751186</c:v>
                </c:pt>
                <c:pt idx="58">
                  <c:v>324.13770594345016</c:v>
                </c:pt>
                <c:pt idx="59">
                  <c:v>342.83112795157956</c:v>
                </c:pt>
                <c:pt idx="60">
                  <c:v>326.37904114921224</c:v>
                </c:pt>
                <c:pt idx="61">
                  <c:v>363.82016755558448</c:v>
                </c:pt>
                <c:pt idx="62">
                  <c:v>338.46682145547169</c:v>
                </c:pt>
                <c:pt idx="63">
                  <c:v>351.5204196761004</c:v>
                </c:pt>
                <c:pt idx="64">
                  <c:v>364.39620746904507</c:v>
                </c:pt>
                <c:pt idx="65">
                  <c:v>356.18366411202823</c:v>
                </c:pt>
                <c:pt idx="66">
                  <c:v>381.91799753825887</c:v>
                </c:pt>
                <c:pt idx="67">
                  <c:v>421.29061787181581</c:v>
                </c:pt>
                <c:pt idx="68">
                  <c:v>328.14720329443912</c:v>
                </c:pt>
                <c:pt idx="69">
                  <c:v>399.96273753969405</c:v>
                </c:pt>
                <c:pt idx="70">
                  <c:v>442.33859423752915</c:v>
                </c:pt>
                <c:pt idx="71">
                  <c:v>418.72236824682705</c:v>
                </c:pt>
                <c:pt idx="72">
                  <c:v>425.17035944294042</c:v>
                </c:pt>
                <c:pt idx="73">
                  <c:v>395.87750171649162</c:v>
                </c:pt>
                <c:pt idx="74">
                  <c:v>442.80796225731086</c:v>
                </c:pt>
                <c:pt idx="75">
                  <c:v>446.21186389318564</c:v>
                </c:pt>
                <c:pt idx="76">
                  <c:v>480.04487236135907</c:v>
                </c:pt>
                <c:pt idx="77">
                  <c:v>632.13527191650121</c:v>
                </c:pt>
                <c:pt idx="78">
                  <c:v>578.60709428935297</c:v>
                </c:pt>
                <c:pt idx="79">
                  <c:v>689.70412742415647</c:v>
                </c:pt>
                <c:pt idx="80">
                  <c:v>730.87168330744828</c:v>
                </c:pt>
                <c:pt idx="81">
                  <c:v>845.87427424267219</c:v>
                </c:pt>
                <c:pt idx="82">
                  <c:v>1029.3387810196443</c:v>
                </c:pt>
                <c:pt idx="83">
                  <c:v>1215.0021705454176</c:v>
                </c:pt>
                <c:pt idx="84">
                  <c:v>1591.8405344239432</c:v>
                </c:pt>
                <c:pt idx="85">
                  <c:v>1342.5356703278117</c:v>
                </c:pt>
                <c:pt idx="86">
                  <c:v>1439.0772941546652</c:v>
                </c:pt>
                <c:pt idx="87">
                  <c:v>850.57384880606401</c:v>
                </c:pt>
                <c:pt idx="88">
                  <c:v>1050.4424656706774</c:v>
                </c:pt>
                <c:pt idx="89">
                  <c:v>1341.801654109619</c:v>
                </c:pt>
                <c:pt idx="90">
                  <c:v>1699.1997788249682</c:v>
                </c:pt>
                <c:pt idx="91">
                  <c:v>2228.5752454850649</c:v>
                </c:pt>
                <c:pt idx="92">
                  <c:v>2173.4996756087908</c:v>
                </c:pt>
                <c:pt idx="93">
                  <c:v>2501.8451483219105</c:v>
                </c:pt>
                <c:pt idx="94">
                  <c:v>2664.9302485903931</c:v>
                </c:pt>
                <c:pt idx="95">
                  <c:v>2839.2560017336423</c:v>
                </c:pt>
                <c:pt idx="96">
                  <c:v>3413.2827740421003</c:v>
                </c:pt>
                <c:pt idx="97">
                  <c:v>3936.7980577389335</c:v>
                </c:pt>
                <c:pt idx="98">
                  <c:v>3841.5573406594895</c:v>
                </c:pt>
                <c:pt idx="99">
                  <c:v>3500.6572037526375</c:v>
                </c:pt>
                <c:pt idx="100">
                  <c:v>4039.0381672329536</c:v>
                </c:pt>
                <c:pt idx="101">
                  <c:v>4774.3202408070156</c:v>
                </c:pt>
                <c:pt idx="102">
                  <c:v>5083.0202564273977</c:v>
                </c:pt>
                <c:pt idx="103">
                  <c:v>5178.3307219733169</c:v>
                </c:pt>
                <c:pt idx="104">
                  <c:v>5795.6576682447467</c:v>
                </c:pt>
                <c:pt idx="105">
                  <c:v>6333.579817415015</c:v>
                </c:pt>
                <c:pt idx="106">
                  <c:v>5952.9605870068244</c:v>
                </c:pt>
                <c:pt idx="107">
                  <c:v>8386.9094321951288</c:v>
                </c:pt>
                <c:pt idx="108">
                  <c:v>8954.1034530464149</c:v>
                </c:pt>
                <c:pt idx="109">
                  <c:v>10200.894687893622</c:v>
                </c:pt>
                <c:pt idx="110">
                  <c:v>11180.690273645791</c:v>
                </c:pt>
                <c:pt idx="111">
                  <c:v>12522.857426346894</c:v>
                </c:pt>
                <c:pt idx="112">
                  <c:v>13665.596656205635</c:v>
                </c:pt>
                <c:pt idx="113">
                  <c:v>14024.244397708662</c:v>
                </c:pt>
                <c:pt idx="114">
                  <c:v>13372.388682010012</c:v>
                </c:pt>
                <c:pt idx="115">
                  <c:v>13459.278210049242</c:v>
                </c:pt>
                <c:pt idx="116">
                  <c:v>15129.273956291428</c:v>
                </c:pt>
                <c:pt idx="117">
                  <c:v>17804.905830294123</c:v>
                </c:pt>
                <c:pt idx="118">
                  <c:v>22184.199060813262</c:v>
                </c:pt>
                <c:pt idx="119">
                  <c:v>20190.060197438415</c:v>
                </c:pt>
                <c:pt idx="120">
                  <c:v>17836.267332115163</c:v>
                </c:pt>
                <c:pt idx="121">
                  <c:v>17438.559466802875</c:v>
                </c:pt>
                <c:pt idx="122">
                  <c:v>18408.887464437877</c:v>
                </c:pt>
                <c:pt idx="123">
                  <c:v>23495.016683402118</c:v>
                </c:pt>
                <c:pt idx="124">
                  <c:v>24036.642648445846</c:v>
                </c:pt>
                <c:pt idx="125">
                  <c:v>31572.280316098917</c:v>
                </c:pt>
                <c:pt idx="126">
                  <c:v>29869.652512384673</c:v>
                </c:pt>
                <c:pt idx="127">
                  <c:v>23382.523789502608</c:v>
                </c:pt>
                <c:pt idx="128">
                  <c:v>21199.389383202542</c:v>
                </c:pt>
                <c:pt idx="129">
                  <c:v>26378.319255772207</c:v>
                </c:pt>
                <c:pt idx="130">
                  <c:v>25413.249895659417</c:v>
                </c:pt>
                <c:pt idx="131">
                  <c:v>27736.770682603252</c:v>
                </c:pt>
                <c:pt idx="132">
                  <c:v>29656.559374741893</c:v>
                </c:pt>
                <c:pt idx="133">
                  <c:v>32427.045727359546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D8C-47EE-B416-339448D8BE1B}"/>
            </c:ext>
          </c:extLst>
        </c:ser>
        <c:ser>
          <c:idx val="12"/>
          <c:order val="12"/>
          <c:tx>
            <c:strRef>
              <c:f>真實IC再投資累積報酬!$B$24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真實IC再投資累積報酬!$C$11:$EF$11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真實IC再投資累積報酬!$C$24:$EF$24</c:f>
              <c:numCache>
                <c:formatCode>General</c:formatCode>
                <c:ptCount val="134"/>
                <c:pt idx="0">
                  <c:v>9.9113364206882659E-2</c:v>
                </c:pt>
                <c:pt idx="1">
                  <c:v>0.20969506404611526</c:v>
                </c:pt>
                <c:pt idx="2">
                  <c:v>0.55386842816174742</c:v>
                </c:pt>
                <c:pt idx="3">
                  <c:v>0.24069289877593314</c:v>
                </c:pt>
                <c:pt idx="4">
                  <c:v>0.21262546193294352</c:v>
                </c:pt>
                <c:pt idx="5">
                  <c:v>0.25610511391463398</c:v>
                </c:pt>
                <c:pt idx="6">
                  <c:v>0.25345230381791928</c:v>
                </c:pt>
                <c:pt idx="7">
                  <c:v>0.12814192829697957</c:v>
                </c:pt>
                <c:pt idx="8">
                  <c:v>0.18505029877633472</c:v>
                </c:pt>
                <c:pt idx="9">
                  <c:v>7.3892944257294202E-2</c:v>
                </c:pt>
                <c:pt idx="10">
                  <c:v>-8.3775307867408499E-2</c:v>
                </c:pt>
                <c:pt idx="11">
                  <c:v>1.5370549136706519</c:v>
                </c:pt>
                <c:pt idx="12">
                  <c:v>1.6300349082964987</c:v>
                </c:pt>
                <c:pt idx="13">
                  <c:v>1.9042118773267269</c:v>
                </c:pt>
                <c:pt idx="14">
                  <c:v>1.727156711611594</c:v>
                </c:pt>
                <c:pt idx="15">
                  <c:v>1.0571014778656136</c:v>
                </c:pt>
                <c:pt idx="16">
                  <c:v>1.7822594966814784</c:v>
                </c:pt>
                <c:pt idx="17">
                  <c:v>1.0296952660535199</c:v>
                </c:pt>
                <c:pt idx="18">
                  <c:v>1.331142916046351</c:v>
                </c:pt>
                <c:pt idx="19">
                  <c:v>1.1746316058481225</c:v>
                </c:pt>
                <c:pt idx="20">
                  <c:v>0.81676440470254397</c:v>
                </c:pt>
                <c:pt idx="21">
                  <c:v>0.75107402564449766</c:v>
                </c:pt>
                <c:pt idx="22">
                  <c:v>0.73447907096620346</c:v>
                </c:pt>
                <c:pt idx="23">
                  <c:v>0.91806037245364935</c:v>
                </c:pt>
                <c:pt idx="24">
                  <c:v>1.3372420703737919</c:v>
                </c:pt>
                <c:pt idx="25">
                  <c:v>1.7937980545013139</c:v>
                </c:pt>
                <c:pt idx="26">
                  <c:v>2.9161989742040255</c:v>
                </c:pt>
                <c:pt idx="27">
                  <c:v>3.3124215773679895</c:v>
                </c:pt>
                <c:pt idx="28">
                  <c:v>4.1453303988124457</c:v>
                </c:pt>
                <c:pt idx="29">
                  <c:v>6.6942726037635465</c:v>
                </c:pt>
                <c:pt idx="30">
                  <c:v>7.7617430350616612</c:v>
                </c:pt>
                <c:pt idx="31">
                  <c:v>7.2649753353813225</c:v>
                </c:pt>
                <c:pt idx="32">
                  <c:v>9.8305413333030938</c:v>
                </c:pt>
                <c:pt idx="33">
                  <c:v>8.9544453716655532</c:v>
                </c:pt>
                <c:pt idx="34">
                  <c:v>9.7994180454138977</c:v>
                </c:pt>
                <c:pt idx="35">
                  <c:v>10.740843290226193</c:v>
                </c:pt>
                <c:pt idx="36">
                  <c:v>10.518714971904101</c:v>
                </c:pt>
                <c:pt idx="37">
                  <c:v>13.066533375702242</c:v>
                </c:pt>
                <c:pt idx="38">
                  <c:v>14.514059875562808</c:v>
                </c:pt>
                <c:pt idx="39">
                  <c:v>14.868582757919974</c:v>
                </c:pt>
                <c:pt idx="40">
                  <c:v>18.314083749753362</c:v>
                </c:pt>
                <c:pt idx="41">
                  <c:v>21.613574463792322</c:v>
                </c:pt>
                <c:pt idx="42">
                  <c:v>21.687900165752669</c:v>
                </c:pt>
                <c:pt idx="43">
                  <c:v>25.108531730398884</c:v>
                </c:pt>
                <c:pt idx="44">
                  <c:v>37.563716115136799</c:v>
                </c:pt>
                <c:pt idx="45">
                  <c:v>47.115357038333265</c:v>
                </c:pt>
                <c:pt idx="46">
                  <c:v>39.960076269310967</c:v>
                </c:pt>
                <c:pt idx="47">
                  <c:v>44.526769932766605</c:v>
                </c:pt>
                <c:pt idx="48">
                  <c:v>52.181062560882602</c:v>
                </c:pt>
                <c:pt idx="49">
                  <c:v>58.489598305097779</c:v>
                </c:pt>
                <c:pt idx="50">
                  <c:v>61.493305781958391</c:v>
                </c:pt>
                <c:pt idx="51">
                  <c:v>116.03141053594831</c:v>
                </c:pt>
                <c:pt idx="52">
                  <c:v>115.52034962535045</c:v>
                </c:pt>
                <c:pt idx="53">
                  <c:v>117.69124423103362</c:v>
                </c:pt>
                <c:pt idx="54">
                  <c:v>110.88067678293838</c:v>
                </c:pt>
                <c:pt idx="55">
                  <c:v>103.67887052230977</c:v>
                </c:pt>
                <c:pt idx="56">
                  <c:v>94.154744330550756</c:v>
                </c:pt>
                <c:pt idx="57">
                  <c:v>108.20658467645906</c:v>
                </c:pt>
                <c:pt idx="58">
                  <c:v>132.6283555846185</c:v>
                </c:pt>
                <c:pt idx="59">
                  <c:v>159.30592492604458</c:v>
                </c:pt>
                <c:pt idx="60">
                  <c:v>153.7228467330151</c:v>
                </c:pt>
                <c:pt idx="61">
                  <c:v>170.14001147687634</c:v>
                </c:pt>
                <c:pt idx="62">
                  <c:v>184.64976477396411</c:v>
                </c:pt>
                <c:pt idx="63">
                  <c:v>204.86948593249667</c:v>
                </c:pt>
                <c:pt idx="64">
                  <c:v>171.70191664789354</c:v>
                </c:pt>
                <c:pt idx="65">
                  <c:v>177.1928194037686</c:v>
                </c:pt>
                <c:pt idx="66">
                  <c:v>165.75825152056936</c:v>
                </c:pt>
                <c:pt idx="67">
                  <c:v>182.25412603996023</c:v>
                </c:pt>
                <c:pt idx="68">
                  <c:v>159.96656928265307</c:v>
                </c:pt>
                <c:pt idx="69">
                  <c:v>204.50907996601353</c:v>
                </c:pt>
                <c:pt idx="70">
                  <c:v>206.30697457272717</c:v>
                </c:pt>
                <c:pt idx="71">
                  <c:v>196.71722223798028</c:v>
                </c:pt>
                <c:pt idx="72">
                  <c:v>226.57794922859921</c:v>
                </c:pt>
                <c:pt idx="73">
                  <c:v>202.9200757677178</c:v>
                </c:pt>
                <c:pt idx="74">
                  <c:v>227.06589121501679</c:v>
                </c:pt>
                <c:pt idx="75">
                  <c:v>286.11053092048053</c:v>
                </c:pt>
                <c:pt idx="76">
                  <c:v>319.19188886088574</c:v>
                </c:pt>
                <c:pt idx="77">
                  <c:v>524.0180425701044</c:v>
                </c:pt>
                <c:pt idx="78">
                  <c:v>428.21806340353476</c:v>
                </c:pt>
                <c:pt idx="79">
                  <c:v>490.15693863720838</c:v>
                </c:pt>
                <c:pt idx="80">
                  <c:v>571.47527529253944</c:v>
                </c:pt>
                <c:pt idx="81">
                  <c:v>698.40527318220506</c:v>
                </c:pt>
                <c:pt idx="82">
                  <c:v>1062.0743099454053</c:v>
                </c:pt>
                <c:pt idx="83">
                  <c:v>1438.6974028155726</c:v>
                </c:pt>
                <c:pt idx="84">
                  <c:v>965.82616959039819</c:v>
                </c:pt>
                <c:pt idx="85">
                  <c:v>675.59762509929124</c:v>
                </c:pt>
                <c:pt idx="86">
                  <c:v>894.17875678679775</c:v>
                </c:pt>
                <c:pt idx="87">
                  <c:v>1021.0751198831268</c:v>
                </c:pt>
                <c:pt idx="88">
                  <c:v>1671.5577248509833</c:v>
                </c:pt>
                <c:pt idx="89">
                  <c:v>2691.2780308055253</c:v>
                </c:pt>
                <c:pt idx="90">
                  <c:v>3909.4731067730481</c:v>
                </c:pt>
                <c:pt idx="91">
                  <c:v>4536.4948075283974</c:v>
                </c:pt>
                <c:pt idx="92">
                  <c:v>3809.6351177363049</c:v>
                </c:pt>
                <c:pt idx="93">
                  <c:v>4334.6928365390404</c:v>
                </c:pt>
                <c:pt idx="94">
                  <c:v>4802.8359578306581</c:v>
                </c:pt>
                <c:pt idx="95">
                  <c:v>4228.5643265860799</c:v>
                </c:pt>
                <c:pt idx="96">
                  <c:v>4451.5852135048726</c:v>
                </c:pt>
                <c:pt idx="97">
                  <c:v>5265.8031785697249</c:v>
                </c:pt>
                <c:pt idx="98">
                  <c:v>4028.14016542838</c:v>
                </c:pt>
                <c:pt idx="99">
                  <c:v>4250.5776870206364</c:v>
                </c:pt>
                <c:pt idx="100">
                  <c:v>5615.9623045396474</c:v>
                </c:pt>
                <c:pt idx="101">
                  <c:v>6246.2227068322682</c:v>
                </c:pt>
                <c:pt idx="102">
                  <c:v>6458.5007423905818</c:v>
                </c:pt>
                <c:pt idx="103">
                  <c:v>6351.906927688161</c:v>
                </c:pt>
                <c:pt idx="104">
                  <c:v>7566.4287261757891</c:v>
                </c:pt>
                <c:pt idx="105">
                  <c:v>6084.3877496624655</c:v>
                </c:pt>
                <c:pt idx="106">
                  <c:v>6885.1370949643924</c:v>
                </c:pt>
                <c:pt idx="107">
                  <c:v>10504.387502333107</c:v>
                </c:pt>
                <c:pt idx="108">
                  <c:v>11760.257060043894</c:v>
                </c:pt>
                <c:pt idx="109">
                  <c:v>14886.430659639389</c:v>
                </c:pt>
                <c:pt idx="110">
                  <c:v>15440.018403159285</c:v>
                </c:pt>
                <c:pt idx="111">
                  <c:v>18981.722856924174</c:v>
                </c:pt>
                <c:pt idx="112">
                  <c:v>21253.578568265704</c:v>
                </c:pt>
                <c:pt idx="113">
                  <c:v>22557.77041739189</c:v>
                </c:pt>
                <c:pt idx="114">
                  <c:v>22548.443601028248</c:v>
                </c:pt>
                <c:pt idx="115">
                  <c:v>27810.008344882393</c:v>
                </c:pt>
                <c:pt idx="116">
                  <c:v>31025.293390808576</c:v>
                </c:pt>
                <c:pt idx="117">
                  <c:v>37961.898380131817</c:v>
                </c:pt>
                <c:pt idx="118">
                  <c:v>51593.28573284849</c:v>
                </c:pt>
                <c:pt idx="119">
                  <c:v>50534.796445699591</c:v>
                </c:pt>
                <c:pt idx="120">
                  <c:v>47130.57654743555</c:v>
                </c:pt>
                <c:pt idx="121">
                  <c:v>45743.224355909464</c:v>
                </c:pt>
                <c:pt idx="122">
                  <c:v>44746.85131972059</c:v>
                </c:pt>
                <c:pt idx="123">
                  <c:v>51827.066609741589</c:v>
                </c:pt>
                <c:pt idx="124">
                  <c:v>57071.159786129538</c:v>
                </c:pt>
                <c:pt idx="125">
                  <c:v>74854.452563763203</c:v>
                </c:pt>
                <c:pt idx="126">
                  <c:v>74611.930133979971</c:v>
                </c:pt>
                <c:pt idx="127">
                  <c:v>42266.734062078511</c:v>
                </c:pt>
                <c:pt idx="128">
                  <c:v>41287.327184204296</c:v>
                </c:pt>
                <c:pt idx="129">
                  <c:v>65634.967721106499</c:v>
                </c:pt>
                <c:pt idx="130">
                  <c:v>64695.722354582562</c:v>
                </c:pt>
                <c:pt idx="131">
                  <c:v>68329.921330717611</c:v>
                </c:pt>
                <c:pt idx="132">
                  <c:v>75674.173664776448</c:v>
                </c:pt>
                <c:pt idx="133">
                  <c:v>85821.236453781079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D8C-47EE-B416-339448D8B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6093760"/>
        <c:axId val="2086094240"/>
      </c:lineChart>
      <c:catAx>
        <c:axId val="208609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86094240"/>
        <c:crosses val="autoZero"/>
        <c:auto val="1"/>
        <c:lblAlgn val="ctr"/>
        <c:lblOffset val="100"/>
        <c:noMultiLvlLbl val="0"/>
      </c:catAx>
      <c:valAx>
        <c:axId val="20860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8609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altLang="zh-TW" sz="1400" b="0" i="0" u="none" strike="noStrike" baseline="0"/>
              <a:t>OLS</a:t>
            </a:r>
            <a:r>
              <a:rPr lang="zh-TW" altLang="en-US" sz="1400" b="0" i="0" u="none" strike="noStrike" baseline="0"/>
              <a:t>再投資累積報酬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OLS再投資累積報酬!$B$12</c:f>
              <c:strCache>
                <c:ptCount val="1"/>
                <c:pt idx="0">
                  <c:v>10等分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OLS再投資累積報酬!$C$11:$EF$11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OLS再投資累積報酬!$C$12:$EF$12</c:f>
              <c:numCache>
                <c:formatCode>0.0000</c:formatCode>
                <c:ptCount val="134"/>
                <c:pt idx="0">
                  <c:v>1.4499246984096104E-2</c:v>
                </c:pt>
                <c:pt idx="1">
                  <c:v>0.12918787602931961</c:v>
                </c:pt>
                <c:pt idx="2">
                  <c:v>0.12779415148845316</c:v>
                </c:pt>
                <c:pt idx="3">
                  <c:v>7.183476670399444E-2</c:v>
                </c:pt>
                <c:pt idx="4">
                  <c:v>3.9887318185363979E-2</c:v>
                </c:pt>
                <c:pt idx="5">
                  <c:v>4.9486576541963562E-2</c:v>
                </c:pt>
                <c:pt idx="6">
                  <c:v>1.3182639692911551E-2</c:v>
                </c:pt>
                <c:pt idx="7">
                  <c:v>5.6967218437783074E-2</c:v>
                </c:pt>
                <c:pt idx="8">
                  <c:v>8.6155216571482257E-2</c:v>
                </c:pt>
                <c:pt idx="9">
                  <c:v>7.7396660607316023E-2</c:v>
                </c:pt>
                <c:pt idx="10">
                  <c:v>0.10428583444052297</c:v>
                </c:pt>
                <c:pt idx="11">
                  <c:v>0.1389891886839858</c:v>
                </c:pt>
                <c:pt idx="12">
                  <c:v>0.15761907732996477</c:v>
                </c:pt>
                <c:pt idx="13">
                  <c:v>0.15736474922180765</c:v>
                </c:pt>
                <c:pt idx="14">
                  <c:v>0.19115753334271537</c:v>
                </c:pt>
                <c:pt idx="15">
                  <c:v>0.17776002710277963</c:v>
                </c:pt>
                <c:pt idx="16">
                  <c:v>0.18881505687611885</c:v>
                </c:pt>
                <c:pt idx="17">
                  <c:v>0.23205854569563203</c:v>
                </c:pt>
                <c:pt idx="18">
                  <c:v>0.25242576624876301</c:v>
                </c:pt>
                <c:pt idx="19">
                  <c:v>0.24291481259511477</c:v>
                </c:pt>
                <c:pt idx="20">
                  <c:v>0.27133247545327788</c:v>
                </c:pt>
                <c:pt idx="21">
                  <c:v>0.29840636587782499</c:v>
                </c:pt>
                <c:pt idx="22">
                  <c:v>0.27780797235013371</c:v>
                </c:pt>
                <c:pt idx="23">
                  <c:v>0.34143165566570766</c:v>
                </c:pt>
                <c:pt idx="24">
                  <c:v>0.30202799426459587</c:v>
                </c:pt>
                <c:pt idx="25">
                  <c:v>0.2673388837131177</c:v>
                </c:pt>
                <c:pt idx="26">
                  <c:v>0.31411182933942894</c:v>
                </c:pt>
                <c:pt idx="27">
                  <c:v>0.3115813995082054</c:v>
                </c:pt>
                <c:pt idx="28">
                  <c:v>0.35801911617518944</c:v>
                </c:pt>
                <c:pt idx="29">
                  <c:v>0.30600701339842173</c:v>
                </c:pt>
                <c:pt idx="30">
                  <c:v>0.30982194381923156</c:v>
                </c:pt>
                <c:pt idx="31">
                  <c:v>0.32553497758851241</c:v>
                </c:pt>
                <c:pt idx="32">
                  <c:v>0.334328770080774</c:v>
                </c:pt>
                <c:pt idx="33">
                  <c:v>0.35305206641370818</c:v>
                </c:pt>
                <c:pt idx="34">
                  <c:v>0.33657669818957248</c:v>
                </c:pt>
                <c:pt idx="35">
                  <c:v>0.35443570121149454</c:v>
                </c:pt>
                <c:pt idx="36">
                  <c:v>0.38452181682409248</c:v>
                </c:pt>
                <c:pt idx="37">
                  <c:v>0.45375505113752101</c:v>
                </c:pt>
                <c:pt idx="38">
                  <c:v>0.46875052198064832</c:v>
                </c:pt>
                <c:pt idx="39">
                  <c:v>0.47338445850847743</c:v>
                </c:pt>
                <c:pt idx="40">
                  <c:v>0.48100639489706126</c:v>
                </c:pt>
                <c:pt idx="41">
                  <c:v>0.48851082298582132</c:v>
                </c:pt>
                <c:pt idx="42">
                  <c:v>0.50761054144052198</c:v>
                </c:pt>
                <c:pt idx="43">
                  <c:v>0.57980592379295703</c:v>
                </c:pt>
                <c:pt idx="44">
                  <c:v>0.57609238735291246</c:v>
                </c:pt>
                <c:pt idx="45">
                  <c:v>0.55430249212848592</c:v>
                </c:pt>
                <c:pt idx="46">
                  <c:v>0.55368101511046985</c:v>
                </c:pt>
                <c:pt idx="47">
                  <c:v>0.508985003137572</c:v>
                </c:pt>
                <c:pt idx="48">
                  <c:v>0.49149368147856448</c:v>
                </c:pt>
                <c:pt idx="49">
                  <c:v>0.46787912831326384</c:v>
                </c:pt>
                <c:pt idx="50">
                  <c:v>0.47281701649650565</c:v>
                </c:pt>
                <c:pt idx="51">
                  <c:v>0.47860241141078086</c:v>
                </c:pt>
                <c:pt idx="52">
                  <c:v>0.49087520044925737</c:v>
                </c:pt>
                <c:pt idx="53">
                  <c:v>0.50450575739090997</c:v>
                </c:pt>
                <c:pt idx="54">
                  <c:v>0.48589694755152468</c:v>
                </c:pt>
                <c:pt idx="55">
                  <c:v>0.55351389679922003</c:v>
                </c:pt>
                <c:pt idx="56">
                  <c:v>0.58718475924048286</c:v>
                </c:pt>
                <c:pt idx="57">
                  <c:v>0.60140811925180482</c:v>
                </c:pt>
                <c:pt idx="58">
                  <c:v>0.55765205487196023</c:v>
                </c:pt>
                <c:pt idx="59">
                  <c:v>0.58231518104707958</c:v>
                </c:pt>
                <c:pt idx="60">
                  <c:v>0.58165779755204505</c:v>
                </c:pt>
                <c:pt idx="61">
                  <c:v>0.6137868958525392</c:v>
                </c:pt>
                <c:pt idx="62">
                  <c:v>0.66409258037586372</c:v>
                </c:pt>
                <c:pt idx="63">
                  <c:v>0.67566854754880434</c:v>
                </c:pt>
                <c:pt idx="64">
                  <c:v>0.65142223729256743</c:v>
                </c:pt>
                <c:pt idx="65">
                  <c:v>0.67784419462673473</c:v>
                </c:pt>
                <c:pt idx="66">
                  <c:v>0.69655970353148899</c:v>
                </c:pt>
                <c:pt idx="67">
                  <c:v>0.69429869507809017</c:v>
                </c:pt>
                <c:pt idx="68">
                  <c:v>0.66165584018969748</c:v>
                </c:pt>
                <c:pt idx="69">
                  <c:v>0.67802062350412284</c:v>
                </c:pt>
                <c:pt idx="70">
                  <c:v>0.68680214064421929</c:v>
                </c:pt>
                <c:pt idx="71">
                  <c:v>0.65474891447382477</c:v>
                </c:pt>
                <c:pt idx="72">
                  <c:v>0.69922591836547499</c:v>
                </c:pt>
                <c:pt idx="73">
                  <c:v>0.70621107222361423</c:v>
                </c:pt>
                <c:pt idx="74">
                  <c:v>0.66039508599078389</c:v>
                </c:pt>
                <c:pt idx="75">
                  <c:v>0.61503814029951087</c:v>
                </c:pt>
                <c:pt idx="76">
                  <c:v>0.58063785285916836</c:v>
                </c:pt>
                <c:pt idx="77">
                  <c:v>0.50816197678698904</c:v>
                </c:pt>
                <c:pt idx="78">
                  <c:v>0.57372858941467897</c:v>
                </c:pt>
                <c:pt idx="79">
                  <c:v>0.52937332605799436</c:v>
                </c:pt>
                <c:pt idx="80">
                  <c:v>0.54099273450022356</c:v>
                </c:pt>
                <c:pt idx="81">
                  <c:v>0.53297145998629358</c:v>
                </c:pt>
                <c:pt idx="82">
                  <c:v>0.48369350002321299</c:v>
                </c:pt>
                <c:pt idx="83">
                  <c:v>0.50015661240199882</c:v>
                </c:pt>
                <c:pt idx="84">
                  <c:v>0.53575464330310463</c:v>
                </c:pt>
                <c:pt idx="85">
                  <c:v>0.52030946282441581</c:v>
                </c:pt>
                <c:pt idx="86">
                  <c:v>0.57641090347220603</c:v>
                </c:pt>
                <c:pt idx="87">
                  <c:v>0.49797062318618512</c:v>
                </c:pt>
                <c:pt idx="88">
                  <c:v>0.48275089701884433</c:v>
                </c:pt>
                <c:pt idx="89">
                  <c:v>0.50983459823340371</c:v>
                </c:pt>
                <c:pt idx="90">
                  <c:v>0.4850148129781911</c:v>
                </c:pt>
                <c:pt idx="91">
                  <c:v>0.43971579151069734</c:v>
                </c:pt>
                <c:pt idx="92">
                  <c:v>0.50240013851427212</c:v>
                </c:pt>
                <c:pt idx="93">
                  <c:v>0.44524015199275857</c:v>
                </c:pt>
                <c:pt idx="94">
                  <c:v>0.43073050155428905</c:v>
                </c:pt>
                <c:pt idx="95">
                  <c:v>0.42140143832431215</c:v>
                </c:pt>
                <c:pt idx="96">
                  <c:v>0.49618096760566888</c:v>
                </c:pt>
                <c:pt idx="97">
                  <c:v>0.49177760949049076</c:v>
                </c:pt>
                <c:pt idx="98">
                  <c:v>0.50481427886906838</c:v>
                </c:pt>
                <c:pt idx="99">
                  <c:v>0.47406164060160538</c:v>
                </c:pt>
                <c:pt idx="100">
                  <c:v>0.45764104435379976</c:v>
                </c:pt>
                <c:pt idx="101">
                  <c:v>0.44531678229388316</c:v>
                </c:pt>
                <c:pt idx="102">
                  <c:v>0.45092056636424371</c:v>
                </c:pt>
                <c:pt idx="103">
                  <c:v>0.47390244231837075</c:v>
                </c:pt>
                <c:pt idx="104">
                  <c:v>0.43992923944359608</c:v>
                </c:pt>
                <c:pt idx="105">
                  <c:v>0.50988978517793937</c:v>
                </c:pt>
                <c:pt idx="106">
                  <c:v>0.53462742959303444</c:v>
                </c:pt>
                <c:pt idx="107">
                  <c:v>0.52300310990516541</c:v>
                </c:pt>
                <c:pt idx="108">
                  <c:v>0.57039753153498973</c:v>
                </c:pt>
                <c:pt idx="109">
                  <c:v>0.50920237674667279</c:v>
                </c:pt>
                <c:pt idx="110">
                  <c:v>0.53918163130417252</c:v>
                </c:pt>
                <c:pt idx="111">
                  <c:v>0.49780358836850097</c:v>
                </c:pt>
                <c:pt idx="112">
                  <c:v>0.49887478699708165</c:v>
                </c:pt>
                <c:pt idx="113">
                  <c:v>0.48020495366327859</c:v>
                </c:pt>
                <c:pt idx="114">
                  <c:v>0.47106146032974944</c:v>
                </c:pt>
                <c:pt idx="115">
                  <c:v>0.45252001687113702</c:v>
                </c:pt>
                <c:pt idx="116">
                  <c:v>0.47155074513903483</c:v>
                </c:pt>
                <c:pt idx="117">
                  <c:v>0.50413519473933199</c:v>
                </c:pt>
                <c:pt idx="118">
                  <c:v>0.42959454725885926</c:v>
                </c:pt>
                <c:pt idx="119">
                  <c:v>0.44665952670897741</c:v>
                </c:pt>
                <c:pt idx="120">
                  <c:v>0.40063524770385261</c:v>
                </c:pt>
                <c:pt idx="121">
                  <c:v>0.42544908926643932</c:v>
                </c:pt>
                <c:pt idx="122">
                  <c:v>0.37966194729197233</c:v>
                </c:pt>
                <c:pt idx="123">
                  <c:v>0.36291050577815176</c:v>
                </c:pt>
                <c:pt idx="124">
                  <c:v>0.40663606999818919</c:v>
                </c:pt>
                <c:pt idx="125">
                  <c:v>0.38853693321985577</c:v>
                </c:pt>
                <c:pt idx="126">
                  <c:v>0.45126515531462569</c:v>
                </c:pt>
                <c:pt idx="127">
                  <c:v>0.4713040454382148</c:v>
                </c:pt>
                <c:pt idx="128">
                  <c:v>0.5224016779757461</c:v>
                </c:pt>
                <c:pt idx="129">
                  <c:v>0.55292745479358774</c:v>
                </c:pt>
                <c:pt idx="130">
                  <c:v>0.53804353666406857</c:v>
                </c:pt>
                <c:pt idx="131">
                  <c:v>0.51459896142112738</c:v>
                </c:pt>
                <c:pt idx="132">
                  <c:v>0.486382681153324</c:v>
                </c:pt>
                <c:pt idx="133">
                  <c:v>0.4571489153980926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B9-425E-81FB-6811C7BC445E}"/>
            </c:ext>
          </c:extLst>
        </c:ser>
        <c:ser>
          <c:idx val="1"/>
          <c:order val="1"/>
          <c:tx>
            <c:strRef>
              <c:f>OLS再投資累積報酬!$B$13</c:f>
              <c:strCache>
                <c:ptCount val="1"/>
                <c:pt idx="0">
                  <c:v>20等分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OLS再投資累積報酬!$C$11:$EF$11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OLS再投資累積報酬!$C$13:$EF$13</c:f>
              <c:numCache>
                <c:formatCode>0.0000</c:formatCode>
                <c:ptCount val="134"/>
                <c:pt idx="0">
                  <c:v>-7.4773642018864783E-3</c:v>
                </c:pt>
                <c:pt idx="1">
                  <c:v>0.11626766459088582</c:v>
                </c:pt>
                <c:pt idx="2">
                  <c:v>0.11074403788759948</c:v>
                </c:pt>
                <c:pt idx="3">
                  <c:v>5.0757511194676516E-2</c:v>
                </c:pt>
                <c:pt idx="4">
                  <c:v>3.8710106894570585E-2</c:v>
                </c:pt>
                <c:pt idx="5">
                  <c:v>5.6098493922069573E-2</c:v>
                </c:pt>
                <c:pt idx="6">
                  <c:v>2.3415630937347234E-2</c:v>
                </c:pt>
                <c:pt idx="7">
                  <c:v>5.7965522906991931E-2</c:v>
                </c:pt>
                <c:pt idx="8">
                  <c:v>0.11829166213456208</c:v>
                </c:pt>
                <c:pt idx="9">
                  <c:v>9.6311191755839298E-2</c:v>
                </c:pt>
                <c:pt idx="10">
                  <c:v>9.9590949981844021E-2</c:v>
                </c:pt>
                <c:pt idx="11">
                  <c:v>0.14298336744754081</c:v>
                </c:pt>
                <c:pt idx="12">
                  <c:v>0.17925664316746329</c:v>
                </c:pt>
                <c:pt idx="13">
                  <c:v>0.17297899550673035</c:v>
                </c:pt>
                <c:pt idx="14">
                  <c:v>0.21719725973470039</c:v>
                </c:pt>
                <c:pt idx="15">
                  <c:v>0.21070734955862599</c:v>
                </c:pt>
                <c:pt idx="16">
                  <c:v>0.20469354655158373</c:v>
                </c:pt>
                <c:pt idx="17">
                  <c:v>0.25759334946027707</c:v>
                </c:pt>
                <c:pt idx="18">
                  <c:v>0.31175442450197122</c:v>
                </c:pt>
                <c:pt idx="19">
                  <c:v>0.30953778459891729</c:v>
                </c:pt>
                <c:pt idx="20">
                  <c:v>0.34050668867040018</c:v>
                </c:pt>
                <c:pt idx="21">
                  <c:v>0.39378358339634378</c:v>
                </c:pt>
                <c:pt idx="22">
                  <c:v>0.40046694212288925</c:v>
                </c:pt>
                <c:pt idx="23">
                  <c:v>0.47889137692807282</c:v>
                </c:pt>
                <c:pt idx="24">
                  <c:v>0.44677186658960155</c:v>
                </c:pt>
                <c:pt idx="25">
                  <c:v>0.40009364646822426</c:v>
                </c:pt>
                <c:pt idx="26">
                  <c:v>0.46686534685015413</c:v>
                </c:pt>
                <c:pt idx="27">
                  <c:v>0.44642511847636168</c:v>
                </c:pt>
                <c:pt idx="28">
                  <c:v>0.52349653520316242</c:v>
                </c:pt>
                <c:pt idx="29">
                  <c:v>0.45021537437485126</c:v>
                </c:pt>
                <c:pt idx="30">
                  <c:v>0.44031016664777717</c:v>
                </c:pt>
                <c:pt idx="31">
                  <c:v>0.46526537319764405</c:v>
                </c:pt>
                <c:pt idx="32">
                  <c:v>0.48391141957761008</c:v>
                </c:pt>
                <c:pt idx="33">
                  <c:v>0.48561887041622903</c:v>
                </c:pt>
                <c:pt idx="34">
                  <c:v>0.44725948013335692</c:v>
                </c:pt>
                <c:pt idx="35">
                  <c:v>0.47041090872852798</c:v>
                </c:pt>
                <c:pt idx="36">
                  <c:v>0.51669335226535695</c:v>
                </c:pt>
                <c:pt idx="37">
                  <c:v>0.6220235904013911</c:v>
                </c:pt>
                <c:pt idx="38">
                  <c:v>0.62031474371275575</c:v>
                </c:pt>
                <c:pt idx="39">
                  <c:v>0.6269027336203985</c:v>
                </c:pt>
                <c:pt idx="40">
                  <c:v>0.63295202238929815</c:v>
                </c:pt>
                <c:pt idx="41">
                  <c:v>0.62370128990602192</c:v>
                </c:pt>
                <c:pt idx="42">
                  <c:v>0.66501440839025605</c:v>
                </c:pt>
                <c:pt idx="43">
                  <c:v>0.75143732311785549</c:v>
                </c:pt>
                <c:pt idx="44">
                  <c:v>0.76713274154432798</c:v>
                </c:pt>
                <c:pt idx="45">
                  <c:v>0.75617383131402749</c:v>
                </c:pt>
                <c:pt idx="46">
                  <c:v>0.75209381773096406</c:v>
                </c:pt>
                <c:pt idx="47">
                  <c:v>0.71929398559510827</c:v>
                </c:pt>
                <c:pt idx="48">
                  <c:v>0.70503178168796954</c:v>
                </c:pt>
                <c:pt idx="49">
                  <c:v>0.67381124559419947</c:v>
                </c:pt>
                <c:pt idx="50">
                  <c:v>0.68035218320126045</c:v>
                </c:pt>
                <c:pt idx="51">
                  <c:v>0.70639852873415654</c:v>
                </c:pt>
                <c:pt idx="52">
                  <c:v>0.71768229584581422</c:v>
                </c:pt>
                <c:pt idx="53">
                  <c:v>0.72102672422949554</c:v>
                </c:pt>
                <c:pt idx="54">
                  <c:v>0.69363491792385401</c:v>
                </c:pt>
                <c:pt idx="55">
                  <c:v>0.81529206118980968</c:v>
                </c:pt>
                <c:pt idx="56">
                  <c:v>0.86185852352852133</c:v>
                </c:pt>
                <c:pt idx="57">
                  <c:v>0.87033425334014036</c:v>
                </c:pt>
                <c:pt idx="58">
                  <c:v>0.84873269423720743</c:v>
                </c:pt>
                <c:pt idx="59">
                  <c:v>0.87299878185031632</c:v>
                </c:pt>
                <c:pt idx="60">
                  <c:v>0.86412038593422491</c:v>
                </c:pt>
                <c:pt idx="61">
                  <c:v>0.89858042638267577</c:v>
                </c:pt>
                <c:pt idx="62">
                  <c:v>0.95195219507786644</c:v>
                </c:pt>
                <c:pt idx="63">
                  <c:v>0.98750490849027373</c:v>
                </c:pt>
                <c:pt idx="64">
                  <c:v>0.95662619225679957</c:v>
                </c:pt>
                <c:pt idx="65">
                  <c:v>0.96457733867457418</c:v>
                </c:pt>
                <c:pt idx="66">
                  <c:v>0.96342651944917213</c:v>
                </c:pt>
                <c:pt idx="67">
                  <c:v>0.95674510196561469</c:v>
                </c:pt>
                <c:pt idx="68">
                  <c:v>0.91656458760419779</c:v>
                </c:pt>
                <c:pt idx="69">
                  <c:v>0.91708565928000074</c:v>
                </c:pt>
                <c:pt idx="70">
                  <c:v>0.93479221431655446</c:v>
                </c:pt>
                <c:pt idx="71">
                  <c:v>0.90335147588094178</c:v>
                </c:pt>
                <c:pt idx="72">
                  <c:v>0.97906548151762129</c:v>
                </c:pt>
                <c:pt idx="73">
                  <c:v>0.97981112032363138</c:v>
                </c:pt>
                <c:pt idx="74">
                  <c:v>0.94898336065925815</c:v>
                </c:pt>
                <c:pt idx="75">
                  <c:v>0.87284523760020793</c:v>
                </c:pt>
                <c:pt idx="76">
                  <c:v>0.83931367199981111</c:v>
                </c:pt>
                <c:pt idx="77">
                  <c:v>0.7188867002677759</c:v>
                </c:pt>
                <c:pt idx="78">
                  <c:v>0.83900487400600909</c:v>
                </c:pt>
                <c:pt idx="79">
                  <c:v>0.81780073012540255</c:v>
                </c:pt>
                <c:pt idx="80">
                  <c:v>0.82702171445081629</c:v>
                </c:pt>
                <c:pt idx="81">
                  <c:v>0.83906538146587561</c:v>
                </c:pt>
                <c:pt idx="82">
                  <c:v>0.78105041365863626</c:v>
                </c:pt>
                <c:pt idx="83">
                  <c:v>0.78507991971684654</c:v>
                </c:pt>
                <c:pt idx="84">
                  <c:v>0.79961322295012638</c:v>
                </c:pt>
                <c:pt idx="85">
                  <c:v>0.8027193109220776</c:v>
                </c:pt>
                <c:pt idx="86">
                  <c:v>0.868406437188875</c:v>
                </c:pt>
                <c:pt idx="87">
                  <c:v>0.79568226203565651</c:v>
                </c:pt>
                <c:pt idx="88">
                  <c:v>0.78538545827926154</c:v>
                </c:pt>
                <c:pt idx="89">
                  <c:v>0.81227302427811388</c:v>
                </c:pt>
                <c:pt idx="90">
                  <c:v>0.77693868019745649</c:v>
                </c:pt>
                <c:pt idx="91">
                  <c:v>0.7072121399197222</c:v>
                </c:pt>
                <c:pt idx="92">
                  <c:v>0.77839100488812607</c:v>
                </c:pt>
                <c:pt idx="93">
                  <c:v>0.66674611850765131</c:v>
                </c:pt>
                <c:pt idx="94">
                  <c:v>0.67069376917061185</c:v>
                </c:pt>
                <c:pt idx="95">
                  <c:v>0.67110230928622816</c:v>
                </c:pt>
                <c:pt idx="96">
                  <c:v>0.77819327099986546</c:v>
                </c:pt>
                <c:pt idx="97">
                  <c:v>0.75387428798116884</c:v>
                </c:pt>
                <c:pt idx="98">
                  <c:v>0.79018340773760221</c:v>
                </c:pt>
                <c:pt idx="99">
                  <c:v>0.75960056625791239</c:v>
                </c:pt>
                <c:pt idx="100">
                  <c:v>0.71839881437381559</c:v>
                </c:pt>
                <c:pt idx="101">
                  <c:v>0.71350059821375034</c:v>
                </c:pt>
                <c:pt idx="102">
                  <c:v>0.70791692128792894</c:v>
                </c:pt>
                <c:pt idx="103">
                  <c:v>0.74967849100471351</c:v>
                </c:pt>
                <c:pt idx="104">
                  <c:v>0.71990292512642062</c:v>
                </c:pt>
                <c:pt idx="105">
                  <c:v>0.78887998405080406</c:v>
                </c:pt>
                <c:pt idx="106">
                  <c:v>0.81132198048004012</c:v>
                </c:pt>
                <c:pt idx="107">
                  <c:v>0.79405034845185773</c:v>
                </c:pt>
                <c:pt idx="108">
                  <c:v>0.86538610866677734</c:v>
                </c:pt>
                <c:pt idx="109">
                  <c:v>0.77666550772047027</c:v>
                </c:pt>
                <c:pt idx="110">
                  <c:v>0.80623592735489846</c:v>
                </c:pt>
                <c:pt idx="111">
                  <c:v>0.79921480373934051</c:v>
                </c:pt>
                <c:pt idx="112">
                  <c:v>0.77581391184375026</c:v>
                </c:pt>
                <c:pt idx="113">
                  <c:v>0.75376322116566208</c:v>
                </c:pt>
                <c:pt idx="114">
                  <c:v>0.76541911558118225</c:v>
                </c:pt>
                <c:pt idx="115">
                  <c:v>0.75264322609497902</c:v>
                </c:pt>
                <c:pt idx="116">
                  <c:v>0.79696836551718186</c:v>
                </c:pt>
                <c:pt idx="117">
                  <c:v>0.84575500137345139</c:v>
                </c:pt>
                <c:pt idx="118">
                  <c:v>0.75862598998088093</c:v>
                </c:pt>
                <c:pt idx="119">
                  <c:v>0.77379454012684201</c:v>
                </c:pt>
                <c:pt idx="120">
                  <c:v>0.74387934623551488</c:v>
                </c:pt>
                <c:pt idx="121">
                  <c:v>0.7737251553965182</c:v>
                </c:pt>
                <c:pt idx="122">
                  <c:v>0.75002630161531669</c:v>
                </c:pt>
                <c:pt idx="123">
                  <c:v>0.74017349685306866</c:v>
                </c:pt>
                <c:pt idx="124">
                  <c:v>0.78459128647741894</c:v>
                </c:pt>
                <c:pt idx="125">
                  <c:v>0.7613616769284528</c:v>
                </c:pt>
                <c:pt idx="126">
                  <c:v>0.77086630173233028</c:v>
                </c:pt>
                <c:pt idx="127">
                  <c:v>0.80115155320727161</c:v>
                </c:pt>
                <c:pt idx="128">
                  <c:v>0.86327023038330153</c:v>
                </c:pt>
                <c:pt idx="129">
                  <c:v>0.92047552313169057</c:v>
                </c:pt>
                <c:pt idx="130">
                  <c:v>0.89849067060016619</c:v>
                </c:pt>
                <c:pt idx="131">
                  <c:v>0.84451265097091088</c:v>
                </c:pt>
                <c:pt idx="132">
                  <c:v>0.80864517107009082</c:v>
                </c:pt>
                <c:pt idx="133">
                  <c:v>0.76413156151737083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B9-425E-81FB-6811C7BC445E}"/>
            </c:ext>
          </c:extLst>
        </c:ser>
        <c:ser>
          <c:idx val="2"/>
          <c:order val="2"/>
          <c:tx>
            <c:strRef>
              <c:f>OLS再投資累積報酬!$B$14</c:f>
              <c:strCache>
                <c:ptCount val="1"/>
                <c:pt idx="0">
                  <c:v>50等分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OLS再投資累積報酬!$C$11:$EF$11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OLS再投資累積報酬!$C$14:$EF$14</c:f>
              <c:numCache>
                <c:formatCode>0.0000</c:formatCode>
                <c:ptCount val="134"/>
                <c:pt idx="0">
                  <c:v>-3.3228977675766179E-2</c:v>
                </c:pt>
                <c:pt idx="1">
                  <c:v>0.18907947086485982</c:v>
                </c:pt>
                <c:pt idx="2">
                  <c:v>0.14115872485159059</c:v>
                </c:pt>
                <c:pt idx="3">
                  <c:v>8.0816819945558033E-2</c:v>
                </c:pt>
                <c:pt idx="4">
                  <c:v>2.7160189502777356E-2</c:v>
                </c:pt>
                <c:pt idx="5">
                  <c:v>1.5651928640653765E-2</c:v>
                </c:pt>
                <c:pt idx="6">
                  <c:v>-2.8135431182488537E-2</c:v>
                </c:pt>
                <c:pt idx="7">
                  <c:v>-4.8254592175776476E-3</c:v>
                </c:pt>
                <c:pt idx="8">
                  <c:v>4.6002007043270315E-2</c:v>
                </c:pt>
                <c:pt idx="9">
                  <c:v>-1.0269077932965207E-2</c:v>
                </c:pt>
                <c:pt idx="10">
                  <c:v>-2.9290792397949187E-2</c:v>
                </c:pt>
                <c:pt idx="11">
                  <c:v>2.8078634259072862E-2</c:v>
                </c:pt>
                <c:pt idx="12">
                  <c:v>6.5554421272079361E-2</c:v>
                </c:pt>
                <c:pt idx="13">
                  <c:v>7.2095842230229759E-2</c:v>
                </c:pt>
                <c:pt idx="14">
                  <c:v>0.19619971340167847</c:v>
                </c:pt>
                <c:pt idx="15">
                  <c:v>0.21214090069878028</c:v>
                </c:pt>
                <c:pt idx="16">
                  <c:v>0.18733415460601249</c:v>
                </c:pt>
                <c:pt idx="17">
                  <c:v>0.25717563412690836</c:v>
                </c:pt>
                <c:pt idx="18">
                  <c:v>0.36144229876255596</c:v>
                </c:pt>
                <c:pt idx="19">
                  <c:v>0.41386359892144103</c:v>
                </c:pt>
                <c:pt idx="20">
                  <c:v>0.46165860165496109</c:v>
                </c:pt>
                <c:pt idx="21">
                  <c:v>0.51524031016914429</c:v>
                </c:pt>
                <c:pt idx="22">
                  <c:v>0.57043130158136601</c:v>
                </c:pt>
                <c:pt idx="23">
                  <c:v>0.60894322786167365</c:v>
                </c:pt>
                <c:pt idx="24">
                  <c:v>0.56949304755959151</c:v>
                </c:pt>
                <c:pt idx="25">
                  <c:v>0.4987236702123613</c:v>
                </c:pt>
                <c:pt idx="26">
                  <c:v>0.49563710787357201</c:v>
                </c:pt>
                <c:pt idx="27">
                  <c:v>0.42576251613842991</c:v>
                </c:pt>
                <c:pt idx="28">
                  <c:v>0.54259943597799598</c:v>
                </c:pt>
                <c:pt idx="29">
                  <c:v>0.44651934052136233</c:v>
                </c:pt>
                <c:pt idx="30">
                  <c:v>0.42119004551040928</c:v>
                </c:pt>
                <c:pt idx="31">
                  <c:v>0.50214222993421087</c:v>
                </c:pt>
                <c:pt idx="32">
                  <c:v>0.46667958603559895</c:v>
                </c:pt>
                <c:pt idx="33">
                  <c:v>0.44217401093451403</c:v>
                </c:pt>
                <c:pt idx="34">
                  <c:v>0.36469867191206001</c:v>
                </c:pt>
                <c:pt idx="35">
                  <c:v>0.40266786163452073</c:v>
                </c:pt>
                <c:pt idx="36">
                  <c:v>0.46391002801314596</c:v>
                </c:pt>
                <c:pt idx="37">
                  <c:v>0.56250469478268972</c:v>
                </c:pt>
                <c:pt idx="38">
                  <c:v>0.52446034224062843</c:v>
                </c:pt>
                <c:pt idx="39">
                  <c:v>0.51740551370386356</c:v>
                </c:pt>
                <c:pt idx="40">
                  <c:v>0.5177734814416235</c:v>
                </c:pt>
                <c:pt idx="41">
                  <c:v>0.49960265842273827</c:v>
                </c:pt>
                <c:pt idx="42">
                  <c:v>0.58497964437578509</c:v>
                </c:pt>
                <c:pt idx="43">
                  <c:v>0.66438312408642308</c:v>
                </c:pt>
                <c:pt idx="44">
                  <c:v>0.72180473720055693</c:v>
                </c:pt>
                <c:pt idx="45">
                  <c:v>0.73023119050553031</c:v>
                </c:pt>
                <c:pt idx="46">
                  <c:v>0.74859412201148778</c:v>
                </c:pt>
                <c:pt idx="47">
                  <c:v>0.72922390863599718</c:v>
                </c:pt>
                <c:pt idx="48">
                  <c:v>0.72753333681099008</c:v>
                </c:pt>
                <c:pt idx="49">
                  <c:v>0.66646275632975083</c:v>
                </c:pt>
                <c:pt idx="50">
                  <c:v>0.684084401873994</c:v>
                </c:pt>
                <c:pt idx="51">
                  <c:v>0.78598274213245201</c:v>
                </c:pt>
                <c:pt idx="52">
                  <c:v>0.77616174317717457</c:v>
                </c:pt>
                <c:pt idx="53">
                  <c:v>0.81948952484457993</c:v>
                </c:pt>
                <c:pt idx="54">
                  <c:v>0.7757024623090929</c:v>
                </c:pt>
                <c:pt idx="55">
                  <c:v>0.92953172388310124</c:v>
                </c:pt>
                <c:pt idx="56">
                  <c:v>0.97090598795703398</c:v>
                </c:pt>
                <c:pt idx="57">
                  <c:v>0.97624874352563462</c:v>
                </c:pt>
                <c:pt idx="58">
                  <c:v>1.0172798114588666</c:v>
                </c:pt>
                <c:pt idx="59">
                  <c:v>1.0858840070611693</c:v>
                </c:pt>
                <c:pt idx="60">
                  <c:v>1.0521925871904008</c:v>
                </c:pt>
                <c:pt idx="61">
                  <c:v>1.1121894827178411</c:v>
                </c:pt>
                <c:pt idx="62">
                  <c:v>1.1584678077208415</c:v>
                </c:pt>
                <c:pt idx="63">
                  <c:v>1.1845557679964211</c:v>
                </c:pt>
                <c:pt idx="64">
                  <c:v>1.1509467223191567</c:v>
                </c:pt>
                <c:pt idx="65">
                  <c:v>1.1006144389914114</c:v>
                </c:pt>
                <c:pt idx="66">
                  <c:v>1.0497299567973308</c:v>
                </c:pt>
                <c:pt idx="67">
                  <c:v>1.0218005272647128</c:v>
                </c:pt>
                <c:pt idx="68">
                  <c:v>0.99146780327794215</c:v>
                </c:pt>
                <c:pt idx="69">
                  <c:v>0.96074132715217775</c:v>
                </c:pt>
                <c:pt idx="70">
                  <c:v>0.95188649179414686</c:v>
                </c:pt>
                <c:pt idx="71">
                  <c:v>0.91060400293624844</c:v>
                </c:pt>
                <c:pt idx="72">
                  <c:v>1.0415015114934336</c:v>
                </c:pt>
                <c:pt idx="73">
                  <c:v>1.027166216216133</c:v>
                </c:pt>
                <c:pt idx="74">
                  <c:v>0.94676644763237183</c:v>
                </c:pt>
                <c:pt idx="75">
                  <c:v>0.88673239080358957</c:v>
                </c:pt>
                <c:pt idx="76">
                  <c:v>0.86226712468865252</c:v>
                </c:pt>
                <c:pt idx="77">
                  <c:v>0.69780162336674567</c:v>
                </c:pt>
                <c:pt idx="78">
                  <c:v>0.81839778195592816</c:v>
                </c:pt>
                <c:pt idx="79">
                  <c:v>0.8513241693087118</c:v>
                </c:pt>
                <c:pt idx="80">
                  <c:v>0.77916745009701383</c:v>
                </c:pt>
                <c:pt idx="81">
                  <c:v>0.82204486017233069</c:v>
                </c:pt>
                <c:pt idx="82">
                  <c:v>0.76472419650451007</c:v>
                </c:pt>
                <c:pt idx="83">
                  <c:v>0.81360386696057585</c:v>
                </c:pt>
                <c:pt idx="84">
                  <c:v>0.82830547897201856</c:v>
                </c:pt>
                <c:pt idx="85">
                  <c:v>0.85697333391619313</c:v>
                </c:pt>
                <c:pt idx="86">
                  <c:v>0.91076542043018605</c:v>
                </c:pt>
                <c:pt idx="87">
                  <c:v>0.7734218499767116</c:v>
                </c:pt>
                <c:pt idx="88">
                  <c:v>0.80546186034502876</c:v>
                </c:pt>
                <c:pt idx="89">
                  <c:v>0.82848854901595481</c:v>
                </c:pt>
                <c:pt idx="90">
                  <c:v>0.74972479029763073</c:v>
                </c:pt>
                <c:pt idx="91">
                  <c:v>0.64991545881587787</c:v>
                </c:pt>
                <c:pt idx="92">
                  <c:v>0.68214335870326559</c:v>
                </c:pt>
                <c:pt idx="93">
                  <c:v>0.47442364611261756</c:v>
                </c:pt>
                <c:pt idx="94">
                  <c:v>0.47060753276909761</c:v>
                </c:pt>
                <c:pt idx="95">
                  <c:v>0.46094564648704239</c:v>
                </c:pt>
                <c:pt idx="96">
                  <c:v>0.5624906464437569</c:v>
                </c:pt>
                <c:pt idx="97">
                  <c:v>0.5230912125425371</c:v>
                </c:pt>
                <c:pt idx="98">
                  <c:v>0.56785509698579717</c:v>
                </c:pt>
                <c:pt idx="99">
                  <c:v>0.47721586963587348</c:v>
                </c:pt>
                <c:pt idx="100">
                  <c:v>0.38085473950858956</c:v>
                </c:pt>
                <c:pt idx="101">
                  <c:v>0.3705533398501662</c:v>
                </c:pt>
                <c:pt idx="102">
                  <c:v>0.34624905067958173</c:v>
                </c:pt>
                <c:pt idx="103">
                  <c:v>0.36981012386777257</c:v>
                </c:pt>
                <c:pt idx="104">
                  <c:v>0.34617751466292507</c:v>
                </c:pt>
                <c:pt idx="105">
                  <c:v>0.42538286651110957</c:v>
                </c:pt>
                <c:pt idx="106">
                  <c:v>0.48790979051756855</c:v>
                </c:pt>
                <c:pt idx="107">
                  <c:v>0.423729382646514</c:v>
                </c:pt>
                <c:pt idx="108">
                  <c:v>0.51105418840504702</c:v>
                </c:pt>
                <c:pt idx="109">
                  <c:v>0.45231299423867333</c:v>
                </c:pt>
                <c:pt idx="110">
                  <c:v>0.49297212887424496</c:v>
                </c:pt>
                <c:pt idx="111">
                  <c:v>0.4841780994869242</c:v>
                </c:pt>
                <c:pt idx="112">
                  <c:v>0.40676481519678798</c:v>
                </c:pt>
                <c:pt idx="113">
                  <c:v>0.36600994336488896</c:v>
                </c:pt>
                <c:pt idx="114">
                  <c:v>0.39843186010666792</c:v>
                </c:pt>
                <c:pt idx="115">
                  <c:v>0.44336760071516357</c:v>
                </c:pt>
                <c:pt idx="116">
                  <c:v>0.51365614965969519</c:v>
                </c:pt>
                <c:pt idx="117">
                  <c:v>0.55719586601734716</c:v>
                </c:pt>
                <c:pt idx="118">
                  <c:v>0.48602330143621419</c:v>
                </c:pt>
                <c:pt idx="119">
                  <c:v>0.49381772324529949</c:v>
                </c:pt>
                <c:pt idx="120">
                  <c:v>0.40437996885633232</c:v>
                </c:pt>
                <c:pt idx="121">
                  <c:v>0.41213425919541519</c:v>
                </c:pt>
                <c:pt idx="122">
                  <c:v>0.29321667262784207</c:v>
                </c:pt>
                <c:pt idx="123">
                  <c:v>0.24806344872335906</c:v>
                </c:pt>
                <c:pt idx="124">
                  <c:v>0.34640781574113677</c:v>
                </c:pt>
                <c:pt idx="125">
                  <c:v>0.31871811838073816</c:v>
                </c:pt>
                <c:pt idx="126">
                  <c:v>0.36637910498307935</c:v>
                </c:pt>
                <c:pt idx="127">
                  <c:v>0.38807669423919616</c:v>
                </c:pt>
                <c:pt idx="128">
                  <c:v>0.49560217743671997</c:v>
                </c:pt>
                <c:pt idx="129">
                  <c:v>0.5737820081369831</c:v>
                </c:pt>
                <c:pt idx="130">
                  <c:v>0.53052199060767546</c:v>
                </c:pt>
                <c:pt idx="131">
                  <c:v>0.45212272646261198</c:v>
                </c:pt>
                <c:pt idx="132">
                  <c:v>0.40961698716125372</c:v>
                </c:pt>
                <c:pt idx="133">
                  <c:v>0.38409163195937246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B9-425E-81FB-6811C7BC445E}"/>
            </c:ext>
          </c:extLst>
        </c:ser>
        <c:ser>
          <c:idx val="3"/>
          <c:order val="3"/>
          <c:tx>
            <c:strRef>
              <c:f>OLS再投資累積報酬!$B$15</c:f>
              <c:strCache>
                <c:ptCount val="1"/>
                <c:pt idx="0">
                  <c:v>100等分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OLS再投資累積報酬!$C$11:$EF$11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OLS再投資累積報酬!$C$15:$EF$15</c:f>
              <c:numCache>
                <c:formatCode>0.0000</c:formatCode>
                <c:ptCount val="134"/>
                <c:pt idx="0">
                  <c:v>-3.6350225217569622E-2</c:v>
                </c:pt>
                <c:pt idx="1">
                  <c:v>0.33635899039235595</c:v>
                </c:pt>
                <c:pt idx="2">
                  <c:v>0.24101438492138549</c:v>
                </c:pt>
                <c:pt idx="3">
                  <c:v>0.27593582147808288</c:v>
                </c:pt>
                <c:pt idx="4">
                  <c:v>0.24153190051104637</c:v>
                </c:pt>
                <c:pt idx="5">
                  <c:v>0.24028817445294126</c:v>
                </c:pt>
                <c:pt idx="6">
                  <c:v>0.18185673017307571</c:v>
                </c:pt>
                <c:pt idx="7">
                  <c:v>0.23181819542046536</c:v>
                </c:pt>
                <c:pt idx="8">
                  <c:v>0.32633299301239627</c:v>
                </c:pt>
                <c:pt idx="9">
                  <c:v>0.24516193244375001</c:v>
                </c:pt>
                <c:pt idx="10">
                  <c:v>0.24302891600746232</c:v>
                </c:pt>
                <c:pt idx="11">
                  <c:v>0.35282511043259601</c:v>
                </c:pt>
                <c:pt idx="12">
                  <c:v>0.42658245467891065</c:v>
                </c:pt>
                <c:pt idx="13">
                  <c:v>0.44847902452413468</c:v>
                </c:pt>
                <c:pt idx="14">
                  <c:v>0.60401586663194717</c:v>
                </c:pt>
                <c:pt idx="15">
                  <c:v>0.65614555673706465</c:v>
                </c:pt>
                <c:pt idx="16">
                  <c:v>0.74163344694300548</c:v>
                </c:pt>
                <c:pt idx="17">
                  <c:v>0.80843357188611753</c:v>
                </c:pt>
                <c:pt idx="18">
                  <c:v>0.94540163355338636</c:v>
                </c:pt>
                <c:pt idx="19">
                  <c:v>1.0555286398842223</c:v>
                </c:pt>
                <c:pt idx="20">
                  <c:v>1.1062000641292129</c:v>
                </c:pt>
                <c:pt idx="21">
                  <c:v>1.1846364765748003</c:v>
                </c:pt>
                <c:pt idx="22">
                  <c:v>1.2366652746319424</c:v>
                </c:pt>
                <c:pt idx="23">
                  <c:v>1.2833852466853011</c:v>
                </c:pt>
                <c:pt idx="24">
                  <c:v>1.2293040996572675</c:v>
                </c:pt>
                <c:pt idx="25">
                  <c:v>1.1456039271414369</c:v>
                </c:pt>
                <c:pt idx="26">
                  <c:v>1.149921595989492</c:v>
                </c:pt>
                <c:pt idx="27">
                  <c:v>1.0682082211013095</c:v>
                </c:pt>
                <c:pt idx="28">
                  <c:v>1.2800008641485816</c:v>
                </c:pt>
                <c:pt idx="29">
                  <c:v>1.1422745769709273</c:v>
                </c:pt>
                <c:pt idx="30">
                  <c:v>1.0979500327558513</c:v>
                </c:pt>
                <c:pt idx="31">
                  <c:v>1.2309173977655741</c:v>
                </c:pt>
                <c:pt idx="32">
                  <c:v>1.2060681406330431</c:v>
                </c:pt>
                <c:pt idx="33">
                  <c:v>1.1723502185138699</c:v>
                </c:pt>
                <c:pt idx="34">
                  <c:v>1.1029887673219534</c:v>
                </c:pt>
                <c:pt idx="35">
                  <c:v>1.1474204298177679</c:v>
                </c:pt>
                <c:pt idx="36">
                  <c:v>1.202543051952395</c:v>
                </c:pt>
                <c:pt idx="37">
                  <c:v>1.3042317578647784</c:v>
                </c:pt>
                <c:pt idx="38">
                  <c:v>1.252847237624811</c:v>
                </c:pt>
                <c:pt idx="39">
                  <c:v>1.2402652926691653</c:v>
                </c:pt>
                <c:pt idx="40">
                  <c:v>1.2776324194652871</c:v>
                </c:pt>
                <c:pt idx="41">
                  <c:v>1.2530815997670084</c:v>
                </c:pt>
                <c:pt idx="42">
                  <c:v>1.3069027788041223</c:v>
                </c:pt>
                <c:pt idx="43">
                  <c:v>1.3778925914078273</c:v>
                </c:pt>
                <c:pt idx="44">
                  <c:v>1.4550666686577891</c:v>
                </c:pt>
                <c:pt idx="45">
                  <c:v>1.4882919708761677</c:v>
                </c:pt>
                <c:pt idx="46">
                  <c:v>1.4726320316215868</c:v>
                </c:pt>
                <c:pt idx="47">
                  <c:v>1.3912714656668188</c:v>
                </c:pt>
                <c:pt idx="48">
                  <c:v>1.3622658063663271</c:v>
                </c:pt>
                <c:pt idx="49">
                  <c:v>1.2944194772476767</c:v>
                </c:pt>
                <c:pt idx="50">
                  <c:v>1.3050329920553296</c:v>
                </c:pt>
                <c:pt idx="51">
                  <c:v>1.4138220918714524</c:v>
                </c:pt>
                <c:pt idx="52">
                  <c:v>1.4759772355392826</c:v>
                </c:pt>
                <c:pt idx="53">
                  <c:v>1.5290205094440787</c:v>
                </c:pt>
                <c:pt idx="54">
                  <c:v>1.4805777884264155</c:v>
                </c:pt>
                <c:pt idx="55">
                  <c:v>1.6914498759164029</c:v>
                </c:pt>
                <c:pt idx="56">
                  <c:v>1.6939394146509681</c:v>
                </c:pt>
                <c:pt idx="57">
                  <c:v>1.7283812601326576</c:v>
                </c:pt>
                <c:pt idx="58">
                  <c:v>1.7495403745393971</c:v>
                </c:pt>
                <c:pt idx="59">
                  <c:v>1.8796506295755666</c:v>
                </c:pt>
                <c:pt idx="60">
                  <c:v>1.9252555618759801</c:v>
                </c:pt>
                <c:pt idx="61">
                  <c:v>1.9850109828503011</c:v>
                </c:pt>
                <c:pt idx="62">
                  <c:v>2.0332299873380451</c:v>
                </c:pt>
                <c:pt idx="63">
                  <c:v>2.0969507147490569</c:v>
                </c:pt>
                <c:pt idx="64">
                  <c:v>2.0692162387941258</c:v>
                </c:pt>
                <c:pt idx="65">
                  <c:v>2.017599384322061</c:v>
                </c:pt>
                <c:pt idx="66">
                  <c:v>1.9741681308291652</c:v>
                </c:pt>
                <c:pt idx="67">
                  <c:v>1.9240107017071055</c:v>
                </c:pt>
                <c:pt idx="68">
                  <c:v>1.9121447907984939</c:v>
                </c:pt>
                <c:pt idx="69">
                  <c:v>1.8522938547066432</c:v>
                </c:pt>
                <c:pt idx="70">
                  <c:v>1.8717702745024367</c:v>
                </c:pt>
                <c:pt idx="71">
                  <c:v>1.7855901377865167</c:v>
                </c:pt>
                <c:pt idx="72">
                  <c:v>2.0844691273624445</c:v>
                </c:pt>
                <c:pt idx="73">
                  <c:v>2.0306175584179806</c:v>
                </c:pt>
                <c:pt idx="74">
                  <c:v>1.9372791659541437</c:v>
                </c:pt>
                <c:pt idx="75">
                  <c:v>1.8343726969767964</c:v>
                </c:pt>
                <c:pt idx="76">
                  <c:v>1.8157806761803541</c:v>
                </c:pt>
                <c:pt idx="77">
                  <c:v>1.6846892733962928</c:v>
                </c:pt>
                <c:pt idx="78">
                  <c:v>1.8583409791184127</c:v>
                </c:pt>
                <c:pt idx="79">
                  <c:v>1.811226510989739</c:v>
                </c:pt>
                <c:pt idx="80">
                  <c:v>1.6947099419196183</c:v>
                </c:pt>
                <c:pt idx="81">
                  <c:v>1.7360593717875858</c:v>
                </c:pt>
                <c:pt idx="82">
                  <c:v>1.6501733502574221</c:v>
                </c:pt>
                <c:pt idx="83">
                  <c:v>1.7315159582407502</c:v>
                </c:pt>
                <c:pt idx="84">
                  <c:v>1.7290050194604178</c:v>
                </c:pt>
                <c:pt idx="85">
                  <c:v>1.8160493755331359</c:v>
                </c:pt>
                <c:pt idx="86">
                  <c:v>1.9116901237058412</c:v>
                </c:pt>
                <c:pt idx="87">
                  <c:v>1.7500356506626646</c:v>
                </c:pt>
                <c:pt idx="88">
                  <c:v>1.8246667667911185</c:v>
                </c:pt>
                <c:pt idx="89">
                  <c:v>1.8673008825902788</c:v>
                </c:pt>
                <c:pt idx="90">
                  <c:v>1.7603216383907108</c:v>
                </c:pt>
                <c:pt idx="91">
                  <c:v>1.6327858029577611</c:v>
                </c:pt>
                <c:pt idx="92">
                  <c:v>1.6078224425013223</c:v>
                </c:pt>
                <c:pt idx="93">
                  <c:v>1.4263335102655872</c:v>
                </c:pt>
                <c:pt idx="94">
                  <c:v>1.4432444969698428</c:v>
                </c:pt>
                <c:pt idx="95">
                  <c:v>1.4481861673354548</c:v>
                </c:pt>
                <c:pt idx="96">
                  <c:v>1.5722360987493229</c:v>
                </c:pt>
                <c:pt idx="97">
                  <c:v>1.511791603059933</c:v>
                </c:pt>
                <c:pt idx="98">
                  <c:v>1.5378636939630597</c:v>
                </c:pt>
                <c:pt idx="99">
                  <c:v>1.3854759150714917</c:v>
                </c:pt>
                <c:pt idx="100">
                  <c:v>1.2925280107361337</c:v>
                </c:pt>
                <c:pt idx="101">
                  <c:v>1.2687646755956516</c:v>
                </c:pt>
                <c:pt idx="102">
                  <c:v>1.242388840153775</c:v>
                </c:pt>
                <c:pt idx="103">
                  <c:v>1.2726154583678988</c:v>
                </c:pt>
                <c:pt idx="104">
                  <c:v>1.2375403083933167</c:v>
                </c:pt>
                <c:pt idx="105">
                  <c:v>1.252047034524763</c:v>
                </c:pt>
                <c:pt idx="106">
                  <c:v>1.3092106692560155</c:v>
                </c:pt>
                <c:pt idx="107">
                  <c:v>1.3152651955286196</c:v>
                </c:pt>
                <c:pt idx="108">
                  <c:v>1.4283567583689794</c:v>
                </c:pt>
                <c:pt idx="109">
                  <c:v>1.2987348227011224</c:v>
                </c:pt>
                <c:pt idx="110">
                  <c:v>1.3528431413582527</c:v>
                </c:pt>
                <c:pt idx="111">
                  <c:v>1.2928193646671955</c:v>
                </c:pt>
                <c:pt idx="112">
                  <c:v>1.220630766861398</c:v>
                </c:pt>
                <c:pt idx="113">
                  <c:v>1.220934760064226</c:v>
                </c:pt>
                <c:pt idx="114">
                  <c:v>1.2599868767578917</c:v>
                </c:pt>
                <c:pt idx="115">
                  <c:v>1.3417175890090207</c:v>
                </c:pt>
                <c:pt idx="116">
                  <c:v>1.3758220047581178</c:v>
                </c:pt>
                <c:pt idx="117">
                  <c:v>1.3995576067650104</c:v>
                </c:pt>
                <c:pt idx="118">
                  <c:v>1.362518917812813</c:v>
                </c:pt>
                <c:pt idx="119">
                  <c:v>1.3404836528179389</c:v>
                </c:pt>
                <c:pt idx="120">
                  <c:v>1.3309121103591743</c:v>
                </c:pt>
                <c:pt idx="121">
                  <c:v>1.3836309003482439</c:v>
                </c:pt>
                <c:pt idx="122">
                  <c:v>1.194990255445856</c:v>
                </c:pt>
                <c:pt idx="123">
                  <c:v>1.1482625260926163</c:v>
                </c:pt>
                <c:pt idx="124">
                  <c:v>1.1738011532394488</c:v>
                </c:pt>
                <c:pt idx="125">
                  <c:v>1.1522554829189688</c:v>
                </c:pt>
                <c:pt idx="126">
                  <c:v>1.06858184822643</c:v>
                </c:pt>
                <c:pt idx="127">
                  <c:v>1.105178345990234</c:v>
                </c:pt>
                <c:pt idx="128">
                  <c:v>1.2143552789001126</c:v>
                </c:pt>
                <c:pt idx="129">
                  <c:v>1.3024427284273674</c:v>
                </c:pt>
                <c:pt idx="130">
                  <c:v>1.2262856516307477</c:v>
                </c:pt>
                <c:pt idx="131">
                  <c:v>1.1156256171425274</c:v>
                </c:pt>
                <c:pt idx="132">
                  <c:v>1.0662814372023679</c:v>
                </c:pt>
                <c:pt idx="133">
                  <c:v>1.0366353821303618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B9-425E-81FB-6811C7BC445E}"/>
            </c:ext>
          </c:extLst>
        </c:ser>
        <c:ser>
          <c:idx val="4"/>
          <c:order val="4"/>
          <c:tx>
            <c:strRef>
              <c:f>OLS再投資累積報酬!$B$16</c:f>
              <c:strCache>
                <c:ptCount val="1"/>
                <c:pt idx="0">
                  <c:v>107等分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OLS再投資累積報酬!$C$11:$EF$11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OLS再投資累積報酬!$C$16:$EF$16</c:f>
              <c:numCache>
                <c:formatCode>0.0000</c:formatCode>
                <c:ptCount val="134"/>
                <c:pt idx="0">
                  <c:v>-3.9435389831589431E-2</c:v>
                </c:pt>
                <c:pt idx="1">
                  <c:v>0.36875958890099114</c:v>
                </c:pt>
                <c:pt idx="2">
                  <c:v>0.28205541747243784</c:v>
                </c:pt>
                <c:pt idx="3">
                  <c:v>0.36077088937676882</c:v>
                </c:pt>
                <c:pt idx="4">
                  <c:v>0.35262433871781956</c:v>
                </c:pt>
                <c:pt idx="5">
                  <c:v>0.35197498926099652</c:v>
                </c:pt>
                <c:pt idx="6">
                  <c:v>0.29444437059537509</c:v>
                </c:pt>
                <c:pt idx="7">
                  <c:v>0.34115429663804125</c:v>
                </c:pt>
                <c:pt idx="8">
                  <c:v>0.42757518822043183</c:v>
                </c:pt>
                <c:pt idx="9">
                  <c:v>0.34241358410622041</c:v>
                </c:pt>
                <c:pt idx="10">
                  <c:v>0.32842614824430333</c:v>
                </c:pt>
                <c:pt idx="11">
                  <c:v>0.44866864652350003</c:v>
                </c:pt>
                <c:pt idx="12">
                  <c:v>0.52849550709461712</c:v>
                </c:pt>
                <c:pt idx="13">
                  <c:v>0.53668368660894905</c:v>
                </c:pt>
                <c:pt idx="14">
                  <c:v>0.69458675703328709</c:v>
                </c:pt>
                <c:pt idx="15">
                  <c:v>0.74357773531621363</c:v>
                </c:pt>
                <c:pt idx="16">
                  <c:v>0.85343677965102027</c:v>
                </c:pt>
                <c:pt idx="17">
                  <c:v>0.92065583980862153</c:v>
                </c:pt>
                <c:pt idx="18">
                  <c:v>1.050718311238366</c:v>
                </c:pt>
                <c:pt idx="19">
                  <c:v>1.126289797347273</c:v>
                </c:pt>
                <c:pt idx="20">
                  <c:v>1.2279211544784483</c:v>
                </c:pt>
                <c:pt idx="21">
                  <c:v>1.3015994321359154</c:v>
                </c:pt>
                <c:pt idx="22">
                  <c:v>1.351878266596978</c:v>
                </c:pt>
                <c:pt idx="23">
                  <c:v>1.3949361974811896</c:v>
                </c:pt>
                <c:pt idx="24">
                  <c:v>1.3514485616451974</c:v>
                </c:pt>
                <c:pt idx="25">
                  <c:v>1.276463520007217</c:v>
                </c:pt>
                <c:pt idx="26">
                  <c:v>1.2636980719718003</c:v>
                </c:pt>
                <c:pt idx="27">
                  <c:v>1.2105620164239435</c:v>
                </c:pt>
                <c:pt idx="28">
                  <c:v>1.420190257600854</c:v>
                </c:pt>
                <c:pt idx="29">
                  <c:v>1.2722746473364275</c:v>
                </c:pt>
                <c:pt idx="30">
                  <c:v>1.2284984876006551</c:v>
                </c:pt>
                <c:pt idx="31">
                  <c:v>1.3769001127678075</c:v>
                </c:pt>
                <c:pt idx="32">
                  <c:v>1.3435168570961602</c:v>
                </c:pt>
                <c:pt idx="33">
                  <c:v>1.2953963785598299</c:v>
                </c:pt>
                <c:pt idx="34">
                  <c:v>1.257962925578342</c:v>
                </c:pt>
                <c:pt idx="35">
                  <c:v>1.3066518586828653</c:v>
                </c:pt>
                <c:pt idx="36">
                  <c:v>1.3727285892846632</c:v>
                </c:pt>
                <c:pt idx="37">
                  <c:v>1.4791847893743388</c:v>
                </c:pt>
                <c:pt idx="38">
                  <c:v>1.4380946360125977</c:v>
                </c:pt>
                <c:pt idx="39">
                  <c:v>1.4328547464492527</c:v>
                </c:pt>
                <c:pt idx="40">
                  <c:v>1.4713209465953212</c:v>
                </c:pt>
                <c:pt idx="41">
                  <c:v>1.4388281868752575</c:v>
                </c:pt>
                <c:pt idx="42">
                  <c:v>1.5038964123492269</c:v>
                </c:pt>
                <c:pt idx="43">
                  <c:v>1.6264604556995117</c:v>
                </c:pt>
                <c:pt idx="44">
                  <c:v>1.7085507275425136</c:v>
                </c:pt>
                <c:pt idx="45">
                  <c:v>1.7321596038905724</c:v>
                </c:pt>
                <c:pt idx="46">
                  <c:v>1.6929066738159217</c:v>
                </c:pt>
                <c:pt idx="47">
                  <c:v>1.5922853447145189</c:v>
                </c:pt>
                <c:pt idx="48">
                  <c:v>1.5726834911153798</c:v>
                </c:pt>
                <c:pt idx="49">
                  <c:v>1.484533309594807</c:v>
                </c:pt>
                <c:pt idx="50">
                  <c:v>1.499456414652393</c:v>
                </c:pt>
                <c:pt idx="51">
                  <c:v>1.6319311522489648</c:v>
                </c:pt>
                <c:pt idx="52">
                  <c:v>1.6990526183566566</c:v>
                </c:pt>
                <c:pt idx="53">
                  <c:v>1.7349893299025605</c:v>
                </c:pt>
                <c:pt idx="54">
                  <c:v>1.6835783355080856</c:v>
                </c:pt>
                <c:pt idx="55">
                  <c:v>1.9313651946085457</c:v>
                </c:pt>
                <c:pt idx="56">
                  <c:v>1.9448384766565023</c:v>
                </c:pt>
                <c:pt idx="57">
                  <c:v>1.9310628621725405</c:v>
                </c:pt>
                <c:pt idx="58">
                  <c:v>1.9800528026054516</c:v>
                </c:pt>
                <c:pt idx="59">
                  <c:v>2.0766196061309898</c:v>
                </c:pt>
                <c:pt idx="60">
                  <c:v>2.1279912306570012</c:v>
                </c:pt>
                <c:pt idx="61">
                  <c:v>2.1891648301414715</c:v>
                </c:pt>
                <c:pt idx="62">
                  <c:v>2.2286628156325774</c:v>
                </c:pt>
                <c:pt idx="63">
                  <c:v>2.2899675655424621</c:v>
                </c:pt>
                <c:pt idx="64">
                  <c:v>2.2680772055888045</c:v>
                </c:pt>
                <c:pt idx="65">
                  <c:v>2.2103271449083488</c:v>
                </c:pt>
                <c:pt idx="66">
                  <c:v>2.1866364262411015</c:v>
                </c:pt>
                <c:pt idx="67">
                  <c:v>2.1603395782196571</c:v>
                </c:pt>
                <c:pt idx="68">
                  <c:v>2.1283325910267741</c:v>
                </c:pt>
                <c:pt idx="69">
                  <c:v>2.0816717085332557</c:v>
                </c:pt>
                <c:pt idx="70">
                  <c:v>2.1394368187180559</c:v>
                </c:pt>
                <c:pt idx="71">
                  <c:v>2.0449263502511306</c:v>
                </c:pt>
                <c:pt idx="72">
                  <c:v>2.3628971847894977</c:v>
                </c:pt>
                <c:pt idx="73">
                  <c:v>2.2963376656714147</c:v>
                </c:pt>
                <c:pt idx="74">
                  <c:v>2.1773429576181362</c:v>
                </c:pt>
                <c:pt idx="75">
                  <c:v>2.065817109116487</c:v>
                </c:pt>
                <c:pt idx="76">
                  <c:v>2.0361027193609238</c:v>
                </c:pt>
                <c:pt idx="77">
                  <c:v>1.8967939834275898</c:v>
                </c:pt>
                <c:pt idx="78">
                  <c:v>1.9411821365977955</c:v>
                </c:pt>
                <c:pt idx="79">
                  <c:v>1.8801936107240655</c:v>
                </c:pt>
                <c:pt idx="80">
                  <c:v>1.7475985499305542</c:v>
                </c:pt>
                <c:pt idx="81">
                  <c:v>1.8003986342658351</c:v>
                </c:pt>
                <c:pt idx="82">
                  <c:v>1.7386707561191685</c:v>
                </c:pt>
                <c:pt idx="83">
                  <c:v>1.7891194808231647</c:v>
                </c:pt>
                <c:pt idx="84">
                  <c:v>1.784878812711014</c:v>
                </c:pt>
                <c:pt idx="85">
                  <c:v>1.8304023634986806</c:v>
                </c:pt>
                <c:pt idx="86">
                  <c:v>1.9188250532802882</c:v>
                </c:pt>
                <c:pt idx="87">
                  <c:v>1.7220846151210745</c:v>
                </c:pt>
                <c:pt idx="88">
                  <c:v>1.8110732432705861</c:v>
                </c:pt>
                <c:pt idx="89">
                  <c:v>1.8441307584115361</c:v>
                </c:pt>
                <c:pt idx="90">
                  <c:v>1.7094905496176307</c:v>
                </c:pt>
                <c:pt idx="91">
                  <c:v>1.5728588601355393</c:v>
                </c:pt>
                <c:pt idx="92">
                  <c:v>1.5525250803151784</c:v>
                </c:pt>
                <c:pt idx="93">
                  <c:v>1.3632385468477801</c:v>
                </c:pt>
                <c:pt idx="94">
                  <c:v>1.3850455557574022</c:v>
                </c:pt>
                <c:pt idx="95">
                  <c:v>1.4106029337182369</c:v>
                </c:pt>
                <c:pt idx="96">
                  <c:v>1.546074634582443</c:v>
                </c:pt>
                <c:pt idx="97">
                  <c:v>1.486620641796607</c:v>
                </c:pt>
                <c:pt idx="98">
                  <c:v>1.5339623009708869</c:v>
                </c:pt>
                <c:pt idx="99">
                  <c:v>1.3716963256682708</c:v>
                </c:pt>
                <c:pt idx="100">
                  <c:v>1.2904156877940567</c:v>
                </c:pt>
                <c:pt idx="101">
                  <c:v>1.2576908655519126</c:v>
                </c:pt>
                <c:pt idx="102">
                  <c:v>1.2278860715846771</c:v>
                </c:pt>
                <c:pt idx="103">
                  <c:v>1.2705982413649031</c:v>
                </c:pt>
                <c:pt idx="104">
                  <c:v>1.2276558790444028</c:v>
                </c:pt>
                <c:pt idx="105">
                  <c:v>1.2593995895316827</c:v>
                </c:pt>
                <c:pt idx="106">
                  <c:v>1.2939519898904728</c:v>
                </c:pt>
                <c:pt idx="107">
                  <c:v>1.2966500034427988</c:v>
                </c:pt>
                <c:pt idx="108">
                  <c:v>1.4230219232932715</c:v>
                </c:pt>
                <c:pt idx="109">
                  <c:v>1.2858741628807633</c:v>
                </c:pt>
                <c:pt idx="110">
                  <c:v>1.3312736607820246</c:v>
                </c:pt>
                <c:pt idx="111">
                  <c:v>1.260318608345139</c:v>
                </c:pt>
                <c:pt idx="112">
                  <c:v>1.2026328389978795</c:v>
                </c:pt>
                <c:pt idx="113">
                  <c:v>1.2245057132476538</c:v>
                </c:pt>
                <c:pt idx="114">
                  <c:v>1.243416087416197</c:v>
                </c:pt>
                <c:pt idx="115">
                  <c:v>1.3593028191611887</c:v>
                </c:pt>
                <c:pt idx="116">
                  <c:v>1.4058666856409667</c:v>
                </c:pt>
                <c:pt idx="117">
                  <c:v>1.4257086342201928</c:v>
                </c:pt>
                <c:pt idx="118">
                  <c:v>1.3786384782156611</c:v>
                </c:pt>
                <c:pt idx="119">
                  <c:v>1.3674603105665597</c:v>
                </c:pt>
                <c:pt idx="120">
                  <c:v>1.3778833349430746</c:v>
                </c:pt>
                <c:pt idx="121">
                  <c:v>1.4369963100212606</c:v>
                </c:pt>
                <c:pt idx="122">
                  <c:v>1.2468880675753422</c:v>
                </c:pt>
                <c:pt idx="123">
                  <c:v>1.2011597504028553</c:v>
                </c:pt>
                <c:pt idx="124">
                  <c:v>1.242077480102546</c:v>
                </c:pt>
                <c:pt idx="125">
                  <c:v>1.2201297523265051</c:v>
                </c:pt>
                <c:pt idx="126">
                  <c:v>1.1251448881052681</c:v>
                </c:pt>
                <c:pt idx="127">
                  <c:v>1.1377940596910574</c:v>
                </c:pt>
                <c:pt idx="128">
                  <c:v>1.2775930784344471</c:v>
                </c:pt>
                <c:pt idx="129">
                  <c:v>1.3782721791116488</c:v>
                </c:pt>
                <c:pt idx="130">
                  <c:v>1.3097706985438098</c:v>
                </c:pt>
                <c:pt idx="131">
                  <c:v>1.1950714709028929</c:v>
                </c:pt>
                <c:pt idx="132">
                  <c:v>1.135830474247707</c:v>
                </c:pt>
                <c:pt idx="133">
                  <c:v>1.1012798382677274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B9-425E-81FB-6811C7BC445E}"/>
            </c:ext>
          </c:extLst>
        </c:ser>
        <c:ser>
          <c:idx val="5"/>
          <c:order val="5"/>
          <c:tx>
            <c:strRef>
              <c:f>OLS再投資累積報酬!$B$17</c:f>
              <c:strCache>
                <c:ptCount val="1"/>
                <c:pt idx="0">
                  <c:v>120等分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OLS再投資累積報酬!$C$11:$EF$11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OLS再投資累積報酬!$C$17:$EF$17</c:f>
              <c:numCache>
                <c:formatCode>0.0000</c:formatCode>
                <c:ptCount val="134"/>
                <c:pt idx="0">
                  <c:v>-3.8913468982799751E-2</c:v>
                </c:pt>
                <c:pt idx="1">
                  <c:v>0.40067501964182167</c:v>
                </c:pt>
                <c:pt idx="2">
                  <c:v>0.30400391044921082</c:v>
                </c:pt>
                <c:pt idx="3">
                  <c:v>0.38475607460152994</c:v>
                </c:pt>
                <c:pt idx="4">
                  <c:v>0.27936899993779923</c:v>
                </c:pt>
                <c:pt idx="5">
                  <c:v>0.2873118567858009</c:v>
                </c:pt>
                <c:pt idx="6">
                  <c:v>0.17358682898361338</c:v>
                </c:pt>
                <c:pt idx="7">
                  <c:v>0.21544522410184258</c:v>
                </c:pt>
                <c:pt idx="8">
                  <c:v>0.31700530382415248</c:v>
                </c:pt>
                <c:pt idx="9">
                  <c:v>0.27477051267881036</c:v>
                </c:pt>
                <c:pt idx="10">
                  <c:v>0.28942965476909877</c:v>
                </c:pt>
                <c:pt idx="11">
                  <c:v>0.39870748159890457</c:v>
                </c:pt>
                <c:pt idx="12">
                  <c:v>0.49993425087124027</c:v>
                </c:pt>
                <c:pt idx="13">
                  <c:v>0.51331719761460859</c:v>
                </c:pt>
                <c:pt idx="14">
                  <c:v>0.67511849222973552</c:v>
                </c:pt>
                <c:pt idx="15">
                  <c:v>0.72717610113426279</c:v>
                </c:pt>
                <c:pt idx="16">
                  <c:v>0.84623049045959353</c:v>
                </c:pt>
                <c:pt idx="17">
                  <c:v>0.91743250499240059</c:v>
                </c:pt>
                <c:pt idx="18">
                  <c:v>1.0587036475309575</c:v>
                </c:pt>
                <c:pt idx="19">
                  <c:v>1.1559633033835606</c:v>
                </c:pt>
                <c:pt idx="20">
                  <c:v>1.2846305577412291</c:v>
                </c:pt>
                <c:pt idx="21">
                  <c:v>1.3848165247452173</c:v>
                </c:pt>
                <c:pt idx="22">
                  <c:v>1.458439656235625</c:v>
                </c:pt>
                <c:pt idx="23">
                  <c:v>1.5123081455264908</c:v>
                </c:pt>
                <c:pt idx="24">
                  <c:v>1.4770983559442918</c:v>
                </c:pt>
                <c:pt idx="25">
                  <c:v>1.3922462930661195</c:v>
                </c:pt>
                <c:pt idx="26">
                  <c:v>1.3721600383280979</c:v>
                </c:pt>
                <c:pt idx="27">
                  <c:v>1.3223826628673438</c:v>
                </c:pt>
                <c:pt idx="28">
                  <c:v>1.5445053672957947</c:v>
                </c:pt>
                <c:pt idx="29">
                  <c:v>1.4242190426399481</c:v>
                </c:pt>
                <c:pt idx="30">
                  <c:v>1.3615789010688095</c:v>
                </c:pt>
                <c:pt idx="31">
                  <c:v>1.5086037903246141</c:v>
                </c:pt>
                <c:pt idx="32">
                  <c:v>1.4515658146691275</c:v>
                </c:pt>
                <c:pt idx="33">
                  <c:v>1.3899531960603853</c:v>
                </c:pt>
                <c:pt idx="34">
                  <c:v>1.36057730645081</c:v>
                </c:pt>
                <c:pt idx="35">
                  <c:v>1.4113017121993665</c:v>
                </c:pt>
                <c:pt idx="36">
                  <c:v>1.4866710797870235</c:v>
                </c:pt>
                <c:pt idx="37">
                  <c:v>1.5999582001329413</c:v>
                </c:pt>
                <c:pt idx="38">
                  <c:v>1.5232636725103184</c:v>
                </c:pt>
                <c:pt idx="39">
                  <c:v>1.5195056009214678</c:v>
                </c:pt>
                <c:pt idx="40">
                  <c:v>1.5800327383229669</c:v>
                </c:pt>
                <c:pt idx="41">
                  <c:v>1.5450354572879095</c:v>
                </c:pt>
                <c:pt idx="42">
                  <c:v>1.6013590193223852</c:v>
                </c:pt>
                <c:pt idx="43">
                  <c:v>1.7284308124296368</c:v>
                </c:pt>
                <c:pt idx="44">
                  <c:v>1.8441304219637418</c:v>
                </c:pt>
                <c:pt idx="45">
                  <c:v>1.8716934760390191</c:v>
                </c:pt>
                <c:pt idx="46">
                  <c:v>1.8632715879971824</c:v>
                </c:pt>
                <c:pt idx="47">
                  <c:v>1.7656524828795745</c:v>
                </c:pt>
                <c:pt idx="48">
                  <c:v>1.7501744371743282</c:v>
                </c:pt>
                <c:pt idx="49">
                  <c:v>1.6796802062578937</c:v>
                </c:pt>
                <c:pt idx="50">
                  <c:v>1.6895053853650066</c:v>
                </c:pt>
                <c:pt idx="51">
                  <c:v>1.8427766696433914</c:v>
                </c:pt>
                <c:pt idx="52">
                  <c:v>1.9266398648212051</c:v>
                </c:pt>
                <c:pt idx="53">
                  <c:v>1.9489963470674099</c:v>
                </c:pt>
                <c:pt idx="54">
                  <c:v>1.8716461048293496</c:v>
                </c:pt>
                <c:pt idx="55">
                  <c:v>2.0194229351095077</c:v>
                </c:pt>
                <c:pt idx="56">
                  <c:v>1.9840286990214704</c:v>
                </c:pt>
                <c:pt idx="57">
                  <c:v>1.9975481598732234</c:v>
                </c:pt>
                <c:pt idx="58">
                  <c:v>2.0782865594315751</c:v>
                </c:pt>
                <c:pt idx="59">
                  <c:v>2.1761548037999989</c:v>
                </c:pt>
                <c:pt idx="60">
                  <c:v>2.1929061305503796</c:v>
                </c:pt>
                <c:pt idx="61">
                  <c:v>2.2270585778746739</c:v>
                </c:pt>
                <c:pt idx="62">
                  <c:v>2.2561175890270282</c:v>
                </c:pt>
                <c:pt idx="63">
                  <c:v>2.3095877699741805</c:v>
                </c:pt>
                <c:pt idx="64">
                  <c:v>2.2744081545574568</c:v>
                </c:pt>
                <c:pt idx="65">
                  <c:v>2.2137700076475397</c:v>
                </c:pt>
                <c:pt idx="66">
                  <c:v>2.1881682921320915</c:v>
                </c:pt>
                <c:pt idx="67">
                  <c:v>2.1785219170073415</c:v>
                </c:pt>
                <c:pt idx="68">
                  <c:v>2.157615898793646</c:v>
                </c:pt>
                <c:pt idx="69">
                  <c:v>2.1049657385316682</c:v>
                </c:pt>
                <c:pt idx="70">
                  <c:v>2.1760935572824205</c:v>
                </c:pt>
                <c:pt idx="71">
                  <c:v>2.0694496396490285</c:v>
                </c:pt>
                <c:pt idx="72">
                  <c:v>2.2777864651664168</c:v>
                </c:pt>
                <c:pt idx="73">
                  <c:v>2.1951454756287685</c:v>
                </c:pt>
                <c:pt idx="74">
                  <c:v>2.0992846037087776</c:v>
                </c:pt>
                <c:pt idx="75">
                  <c:v>1.9787064478276923</c:v>
                </c:pt>
                <c:pt idx="76">
                  <c:v>1.9507716154692027</c:v>
                </c:pt>
                <c:pt idx="77">
                  <c:v>1.8011384577763132</c:v>
                </c:pt>
                <c:pt idx="78">
                  <c:v>1.8428987102505487</c:v>
                </c:pt>
                <c:pt idx="79">
                  <c:v>1.7665135949710746</c:v>
                </c:pt>
                <c:pt idx="80">
                  <c:v>1.5913973494650231</c:v>
                </c:pt>
                <c:pt idx="81">
                  <c:v>1.6496361460597195</c:v>
                </c:pt>
                <c:pt idx="82">
                  <c:v>1.5749211574309885</c:v>
                </c:pt>
                <c:pt idx="83">
                  <c:v>1.6078902296014415</c:v>
                </c:pt>
                <c:pt idx="84">
                  <c:v>1.604188446226557</c:v>
                </c:pt>
                <c:pt idx="85">
                  <c:v>1.654930767710999</c:v>
                </c:pt>
                <c:pt idx="86">
                  <c:v>1.7388866159706298</c:v>
                </c:pt>
                <c:pt idx="87">
                  <c:v>1.602047517005893</c:v>
                </c:pt>
                <c:pt idx="88">
                  <c:v>1.7366168614374673</c:v>
                </c:pt>
                <c:pt idx="89">
                  <c:v>1.7633349225884543</c:v>
                </c:pt>
                <c:pt idx="90">
                  <c:v>1.6259220472589291</c:v>
                </c:pt>
                <c:pt idx="91">
                  <c:v>1.4777627780615854</c:v>
                </c:pt>
                <c:pt idx="92">
                  <c:v>1.5296698814033118</c:v>
                </c:pt>
                <c:pt idx="93">
                  <c:v>1.3332672496410225</c:v>
                </c:pt>
                <c:pt idx="94">
                  <c:v>1.3448127653580277</c:v>
                </c:pt>
                <c:pt idx="95">
                  <c:v>1.3621520457631184</c:v>
                </c:pt>
                <c:pt idx="96">
                  <c:v>1.5175039385628779</c:v>
                </c:pt>
                <c:pt idx="97">
                  <c:v>1.4496129214915985</c:v>
                </c:pt>
                <c:pt idx="98">
                  <c:v>1.5130061402960864</c:v>
                </c:pt>
                <c:pt idx="99">
                  <c:v>1.3879962848963689</c:v>
                </c:pt>
                <c:pt idx="100">
                  <c:v>1.3123873714865633</c:v>
                </c:pt>
                <c:pt idx="101">
                  <c:v>1.2807946871062226</c:v>
                </c:pt>
                <c:pt idx="102">
                  <c:v>1.2368988279610884</c:v>
                </c:pt>
                <c:pt idx="103">
                  <c:v>1.2717818387535562</c:v>
                </c:pt>
                <c:pt idx="104">
                  <c:v>1.2284183697760569</c:v>
                </c:pt>
                <c:pt idx="105">
                  <c:v>1.2575737906589377</c:v>
                </c:pt>
                <c:pt idx="106">
                  <c:v>1.2816986540056596</c:v>
                </c:pt>
                <c:pt idx="107">
                  <c:v>1.2973730989421894</c:v>
                </c:pt>
                <c:pt idx="108">
                  <c:v>1.4205855650728287</c:v>
                </c:pt>
                <c:pt idx="109">
                  <c:v>1.2571537638608397</c:v>
                </c:pt>
                <c:pt idx="110">
                  <c:v>1.2921982999267847</c:v>
                </c:pt>
                <c:pt idx="111">
                  <c:v>1.1632732401407753</c:v>
                </c:pt>
                <c:pt idx="112">
                  <c:v>1.0951551286518901</c:v>
                </c:pt>
                <c:pt idx="113">
                  <c:v>1.0990848603430188</c:v>
                </c:pt>
                <c:pt idx="114">
                  <c:v>1.136312335859011</c:v>
                </c:pt>
                <c:pt idx="115">
                  <c:v>1.2427922984662974</c:v>
                </c:pt>
                <c:pt idx="116">
                  <c:v>1.3080428428177511</c:v>
                </c:pt>
                <c:pt idx="117">
                  <c:v>1.2915243345611276</c:v>
                </c:pt>
                <c:pt idx="118">
                  <c:v>1.2188703294551027</c:v>
                </c:pt>
                <c:pt idx="119">
                  <c:v>1.1931438899888291</c:v>
                </c:pt>
                <c:pt idx="120">
                  <c:v>1.1996494262203015</c:v>
                </c:pt>
                <c:pt idx="121">
                  <c:v>1.2594613614552777</c:v>
                </c:pt>
                <c:pt idx="122">
                  <c:v>1.0999062619768338</c:v>
                </c:pt>
                <c:pt idx="123">
                  <c:v>1.054757425827775</c:v>
                </c:pt>
                <c:pt idx="124">
                  <c:v>1.1034389092419252</c:v>
                </c:pt>
                <c:pt idx="125">
                  <c:v>1.1264740894111138</c:v>
                </c:pt>
                <c:pt idx="126">
                  <c:v>1.0004635515100591</c:v>
                </c:pt>
                <c:pt idx="127">
                  <c:v>0.99567249826407045</c:v>
                </c:pt>
                <c:pt idx="128">
                  <c:v>1.1602440214961853</c:v>
                </c:pt>
                <c:pt idx="129">
                  <c:v>1.2675293482499428</c:v>
                </c:pt>
                <c:pt idx="130">
                  <c:v>1.1460173309819197</c:v>
                </c:pt>
                <c:pt idx="131">
                  <c:v>1.0427266570448905</c:v>
                </c:pt>
                <c:pt idx="132">
                  <c:v>0.97844795707600152</c:v>
                </c:pt>
                <c:pt idx="133">
                  <c:v>0.93746075165210041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B9-425E-81FB-6811C7BC445E}"/>
            </c:ext>
          </c:extLst>
        </c:ser>
        <c:ser>
          <c:idx val="6"/>
          <c:order val="6"/>
          <c:tx>
            <c:strRef>
              <c:f>OLS再投資累積報酬!$B$18</c:f>
              <c:strCache>
                <c:ptCount val="1"/>
                <c:pt idx="0">
                  <c:v>137等分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OLS再投資累積報酬!$C$11:$EF$11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OLS再投資累積報酬!$C$18:$EF$18</c:f>
              <c:numCache>
                <c:formatCode>0.0000</c:formatCode>
                <c:ptCount val="134"/>
                <c:pt idx="0">
                  <c:v>-5.9146797802220617E-2</c:v>
                </c:pt>
                <c:pt idx="1">
                  <c:v>0.34273688361984739</c:v>
                </c:pt>
                <c:pt idx="2">
                  <c:v>0.24226126061675518</c:v>
                </c:pt>
                <c:pt idx="3">
                  <c:v>0.36164422071894498</c:v>
                </c:pt>
                <c:pt idx="4">
                  <c:v>0.25332784743386499</c:v>
                </c:pt>
                <c:pt idx="5">
                  <c:v>0.26195007518830932</c:v>
                </c:pt>
                <c:pt idx="6">
                  <c:v>0.12644989496506823</c:v>
                </c:pt>
                <c:pt idx="7">
                  <c:v>0.16986141071670985</c:v>
                </c:pt>
                <c:pt idx="8">
                  <c:v>0.30550929949434213</c:v>
                </c:pt>
                <c:pt idx="9">
                  <c:v>0.25475109238762311</c:v>
                </c:pt>
                <c:pt idx="10">
                  <c:v>0.28380255676408045</c:v>
                </c:pt>
                <c:pt idx="11">
                  <c:v>0.42501004526037656</c:v>
                </c:pt>
                <c:pt idx="12">
                  <c:v>0.52868053488999578</c:v>
                </c:pt>
                <c:pt idx="13">
                  <c:v>0.53700862074390476</c:v>
                </c:pt>
                <c:pt idx="14">
                  <c:v>0.72598403943339462</c:v>
                </c:pt>
                <c:pt idx="15">
                  <c:v>0.78747627730536962</c:v>
                </c:pt>
                <c:pt idx="16">
                  <c:v>0.93128150460426884</c:v>
                </c:pt>
                <c:pt idx="17">
                  <c:v>0.9855259446358775</c:v>
                </c:pt>
                <c:pt idx="18">
                  <c:v>1.1180209690656966</c:v>
                </c:pt>
                <c:pt idx="19">
                  <c:v>1.2394124304916223</c:v>
                </c:pt>
                <c:pt idx="20">
                  <c:v>1.4055472597609213</c:v>
                </c:pt>
                <c:pt idx="21">
                  <c:v>1.5326700683864116</c:v>
                </c:pt>
                <c:pt idx="22">
                  <c:v>1.6365493122952228</c:v>
                </c:pt>
                <c:pt idx="23">
                  <c:v>1.7257836757357456</c:v>
                </c:pt>
                <c:pt idx="24">
                  <c:v>1.6840784305530216</c:v>
                </c:pt>
                <c:pt idx="25">
                  <c:v>1.5993801308225375</c:v>
                </c:pt>
                <c:pt idx="26">
                  <c:v>1.6007455512993698</c:v>
                </c:pt>
                <c:pt idx="27">
                  <c:v>1.5283017622108384</c:v>
                </c:pt>
                <c:pt idx="28">
                  <c:v>1.7866931111260469</c:v>
                </c:pt>
                <c:pt idx="29">
                  <c:v>1.6361494713019735</c:v>
                </c:pt>
                <c:pt idx="30">
                  <c:v>1.5544294914092198</c:v>
                </c:pt>
                <c:pt idx="31">
                  <c:v>1.7174979962340695</c:v>
                </c:pt>
                <c:pt idx="32">
                  <c:v>1.6360742461828999</c:v>
                </c:pt>
                <c:pt idx="33">
                  <c:v>1.5652070285212973</c:v>
                </c:pt>
                <c:pt idx="34">
                  <c:v>1.542374143159301</c:v>
                </c:pt>
                <c:pt idx="35">
                  <c:v>1.5899019067915587</c:v>
                </c:pt>
                <c:pt idx="36">
                  <c:v>1.6565453122163301</c:v>
                </c:pt>
                <c:pt idx="37">
                  <c:v>1.7358399521715318</c:v>
                </c:pt>
                <c:pt idx="38">
                  <c:v>1.7604242326163386</c:v>
                </c:pt>
                <c:pt idx="39">
                  <c:v>1.7584098011684304</c:v>
                </c:pt>
                <c:pt idx="40">
                  <c:v>1.8346406464948803</c:v>
                </c:pt>
                <c:pt idx="41">
                  <c:v>1.7729461228940988</c:v>
                </c:pt>
                <c:pt idx="42">
                  <c:v>1.8587726744480679</c:v>
                </c:pt>
                <c:pt idx="43">
                  <c:v>2.0251584838721266</c:v>
                </c:pt>
                <c:pt idx="44">
                  <c:v>2.1640566985183463</c:v>
                </c:pt>
                <c:pt idx="45">
                  <c:v>2.1991143860942226</c:v>
                </c:pt>
                <c:pt idx="46">
                  <c:v>2.1745763518531152</c:v>
                </c:pt>
                <c:pt idx="47">
                  <c:v>2.0485120144269877</c:v>
                </c:pt>
                <c:pt idx="48">
                  <c:v>2.0183226556984977</c:v>
                </c:pt>
                <c:pt idx="49">
                  <c:v>1.9666763283049893</c:v>
                </c:pt>
                <c:pt idx="50">
                  <c:v>1.9673086392296748</c:v>
                </c:pt>
                <c:pt idx="51">
                  <c:v>2.1345666577104674</c:v>
                </c:pt>
                <c:pt idx="52">
                  <c:v>2.217768230303788</c:v>
                </c:pt>
                <c:pt idx="53">
                  <c:v>2.1937519586164878</c:v>
                </c:pt>
                <c:pt idx="54">
                  <c:v>2.1253907453783247</c:v>
                </c:pt>
                <c:pt idx="55">
                  <c:v>2.2903772400743323</c:v>
                </c:pt>
                <c:pt idx="56">
                  <c:v>2.2735709988481281</c:v>
                </c:pt>
                <c:pt idx="57">
                  <c:v>2.2940748519119336</c:v>
                </c:pt>
                <c:pt idx="58">
                  <c:v>2.3700659456523923</c:v>
                </c:pt>
                <c:pt idx="59">
                  <c:v>2.4685998023378142</c:v>
                </c:pt>
                <c:pt idx="60">
                  <c:v>2.469580886240931</c:v>
                </c:pt>
                <c:pt idx="61">
                  <c:v>2.525368767102711</c:v>
                </c:pt>
                <c:pt idx="62">
                  <c:v>2.5534501234758062</c:v>
                </c:pt>
                <c:pt idx="63">
                  <c:v>2.5956417122806097</c:v>
                </c:pt>
                <c:pt idx="64">
                  <c:v>2.5754142161742353</c:v>
                </c:pt>
                <c:pt idx="65">
                  <c:v>2.5129507841377836</c:v>
                </c:pt>
                <c:pt idx="66">
                  <c:v>2.4264910932255543</c:v>
                </c:pt>
                <c:pt idx="67">
                  <c:v>2.4207428996415996</c:v>
                </c:pt>
                <c:pt idx="68">
                  <c:v>2.3878696430655677</c:v>
                </c:pt>
                <c:pt idx="69">
                  <c:v>2.3263243201728629</c:v>
                </c:pt>
                <c:pt idx="70">
                  <c:v>2.4070017642129038</c:v>
                </c:pt>
                <c:pt idx="71">
                  <c:v>2.2914962455002597</c:v>
                </c:pt>
                <c:pt idx="72">
                  <c:v>2.5098717446312482</c:v>
                </c:pt>
                <c:pt idx="73">
                  <c:v>2.43529088121665</c:v>
                </c:pt>
                <c:pt idx="74">
                  <c:v>2.3726041367665651</c:v>
                </c:pt>
                <c:pt idx="75">
                  <c:v>2.219284148963967</c:v>
                </c:pt>
                <c:pt idx="76">
                  <c:v>2.203207605071106</c:v>
                </c:pt>
                <c:pt idx="77">
                  <c:v>2.0963615446010326</c:v>
                </c:pt>
                <c:pt idx="78">
                  <c:v>2.2010221684426776</c:v>
                </c:pt>
                <c:pt idx="79">
                  <c:v>2.0794269452739136</c:v>
                </c:pt>
                <c:pt idx="80">
                  <c:v>1.9015005889650363</c:v>
                </c:pt>
                <c:pt idx="81">
                  <c:v>1.8575428455784275</c:v>
                </c:pt>
                <c:pt idx="82">
                  <c:v>1.7659335900145081</c:v>
                </c:pt>
                <c:pt idx="83">
                  <c:v>1.8112992389736668</c:v>
                </c:pt>
                <c:pt idx="84">
                  <c:v>1.9263585497828453</c:v>
                </c:pt>
                <c:pt idx="85">
                  <c:v>1.9886722276077549</c:v>
                </c:pt>
                <c:pt idx="86">
                  <c:v>2.0847302592732779</c:v>
                </c:pt>
                <c:pt idx="87">
                  <c:v>1.9318163154637928</c:v>
                </c:pt>
                <c:pt idx="88">
                  <c:v>2.0754648586281865</c:v>
                </c:pt>
                <c:pt idx="89">
                  <c:v>2.110551112606363</c:v>
                </c:pt>
                <c:pt idx="90">
                  <c:v>1.9599536029841156</c:v>
                </c:pt>
                <c:pt idx="91">
                  <c:v>1.7971144940361048</c:v>
                </c:pt>
                <c:pt idx="92">
                  <c:v>1.8353571696310476</c:v>
                </c:pt>
                <c:pt idx="93">
                  <c:v>1.6416347619788383</c:v>
                </c:pt>
                <c:pt idx="94">
                  <c:v>1.6697633223929269</c:v>
                </c:pt>
                <c:pt idx="95">
                  <c:v>1.6534908281929181</c:v>
                </c:pt>
                <c:pt idx="96">
                  <c:v>1.7980556493690529</c:v>
                </c:pt>
                <c:pt idx="97">
                  <c:v>1.73511102732459</c:v>
                </c:pt>
                <c:pt idx="98">
                  <c:v>1.8016696018229061</c:v>
                </c:pt>
                <c:pt idx="99">
                  <c:v>1.648593912213753</c:v>
                </c:pt>
                <c:pt idx="100">
                  <c:v>1.5554155283058455</c:v>
                </c:pt>
                <c:pt idx="101">
                  <c:v>1.4639563148931429</c:v>
                </c:pt>
                <c:pt idx="102">
                  <c:v>1.4165753753744494</c:v>
                </c:pt>
                <c:pt idx="103">
                  <c:v>1.4623105840532089</c:v>
                </c:pt>
                <c:pt idx="104">
                  <c:v>1.4259018025577026</c:v>
                </c:pt>
                <c:pt idx="105">
                  <c:v>1.4669159898770365</c:v>
                </c:pt>
                <c:pt idx="106">
                  <c:v>1.5053365773634875</c:v>
                </c:pt>
                <c:pt idx="107">
                  <c:v>1.5334085524414489</c:v>
                </c:pt>
                <c:pt idx="108">
                  <c:v>1.6516256457150442</c:v>
                </c:pt>
                <c:pt idx="109">
                  <c:v>1.459224263755903</c:v>
                </c:pt>
                <c:pt idx="110">
                  <c:v>1.4778375117863212</c:v>
                </c:pt>
                <c:pt idx="111">
                  <c:v>1.3316414356869088</c:v>
                </c:pt>
                <c:pt idx="112">
                  <c:v>1.2743908457002828</c:v>
                </c:pt>
                <c:pt idx="113">
                  <c:v>1.278221119767875</c:v>
                </c:pt>
                <c:pt idx="114">
                  <c:v>1.2834717985101389</c:v>
                </c:pt>
                <c:pt idx="115">
                  <c:v>1.4085804817796697</c:v>
                </c:pt>
                <c:pt idx="116">
                  <c:v>1.4387794992412595</c:v>
                </c:pt>
                <c:pt idx="117">
                  <c:v>1.4181748127743938</c:v>
                </c:pt>
                <c:pt idx="118">
                  <c:v>1.352425354590495</c:v>
                </c:pt>
                <c:pt idx="119">
                  <c:v>1.3419741057709784</c:v>
                </c:pt>
                <c:pt idx="120">
                  <c:v>1.3673597570281166</c:v>
                </c:pt>
                <c:pt idx="121">
                  <c:v>1.3899607918692241</c:v>
                </c:pt>
                <c:pt idx="122">
                  <c:v>1.2273720074449739</c:v>
                </c:pt>
                <c:pt idx="123">
                  <c:v>1.1568443149388963</c:v>
                </c:pt>
                <c:pt idx="124">
                  <c:v>1.2387530072232695</c:v>
                </c:pt>
                <c:pt idx="125">
                  <c:v>1.3069303007450048</c:v>
                </c:pt>
                <c:pt idx="126">
                  <c:v>1.1411671960830017</c:v>
                </c:pt>
                <c:pt idx="127">
                  <c:v>1.0979393412135598</c:v>
                </c:pt>
                <c:pt idx="128">
                  <c:v>1.2968850893778971</c:v>
                </c:pt>
                <c:pt idx="129">
                  <c:v>1.4068494438280925</c:v>
                </c:pt>
                <c:pt idx="130">
                  <c:v>1.2638092132353069</c:v>
                </c:pt>
                <c:pt idx="131">
                  <c:v>1.1810501118467402</c:v>
                </c:pt>
                <c:pt idx="132">
                  <c:v>1.1280350715313761</c:v>
                </c:pt>
                <c:pt idx="133">
                  <c:v>1.0640807378422317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B9-425E-81FB-6811C7BC445E}"/>
            </c:ext>
          </c:extLst>
        </c:ser>
        <c:ser>
          <c:idx val="7"/>
          <c:order val="7"/>
          <c:tx>
            <c:strRef>
              <c:f>OLS再投資累積報酬!$B$19</c:f>
              <c:strCache>
                <c:ptCount val="1"/>
                <c:pt idx="0">
                  <c:v>160等分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OLS再投資累積報酬!$C$11:$EF$11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OLS再投資累積報酬!$C$19:$EF$19</c:f>
              <c:numCache>
                <c:formatCode>0.0000</c:formatCode>
                <c:ptCount val="134"/>
                <c:pt idx="0">
                  <c:v>-7.386192988077088E-2</c:v>
                </c:pt>
                <c:pt idx="1">
                  <c:v>0.33365878020869838</c:v>
                </c:pt>
                <c:pt idx="2">
                  <c:v>0.19307510361736718</c:v>
                </c:pt>
                <c:pt idx="3">
                  <c:v>0.37076376542292766</c:v>
                </c:pt>
                <c:pt idx="4">
                  <c:v>0.27469779356575025</c:v>
                </c:pt>
                <c:pt idx="5">
                  <c:v>0.26262900510326531</c:v>
                </c:pt>
                <c:pt idx="6">
                  <c:v>0.12797467221179881</c:v>
                </c:pt>
                <c:pt idx="7">
                  <c:v>0.16340425673198983</c:v>
                </c:pt>
                <c:pt idx="8">
                  <c:v>0.40219367145590657</c:v>
                </c:pt>
                <c:pt idx="9">
                  <c:v>0.38186702181556148</c:v>
                </c:pt>
                <c:pt idx="10">
                  <c:v>0.33817678565925419</c:v>
                </c:pt>
                <c:pt idx="11">
                  <c:v>0.49002036680723426</c:v>
                </c:pt>
                <c:pt idx="12">
                  <c:v>0.58224174982669152</c:v>
                </c:pt>
                <c:pt idx="13">
                  <c:v>0.60575491065121156</c:v>
                </c:pt>
                <c:pt idx="14">
                  <c:v>0.80291799891573146</c:v>
                </c:pt>
                <c:pt idx="15">
                  <c:v>0.89321708954658774</c:v>
                </c:pt>
                <c:pt idx="16">
                  <c:v>1.0159089658823293</c:v>
                </c:pt>
                <c:pt idx="17">
                  <c:v>1.0430632438686285</c:v>
                </c:pt>
                <c:pt idx="18">
                  <c:v>1.1787615825005517</c:v>
                </c:pt>
                <c:pt idx="19">
                  <c:v>1.271449902225865</c:v>
                </c:pt>
                <c:pt idx="20">
                  <c:v>1.4461846655280965</c:v>
                </c:pt>
                <c:pt idx="21">
                  <c:v>1.5691078117738135</c:v>
                </c:pt>
                <c:pt idx="22">
                  <c:v>1.6722380507042518</c:v>
                </c:pt>
                <c:pt idx="23">
                  <c:v>1.7638571612802754</c:v>
                </c:pt>
                <c:pt idx="24">
                  <c:v>1.7222869767421196</c:v>
                </c:pt>
                <c:pt idx="25">
                  <c:v>1.6200333708581769</c:v>
                </c:pt>
                <c:pt idx="26">
                  <c:v>1.6341749135667867</c:v>
                </c:pt>
                <c:pt idx="27">
                  <c:v>1.6101774563057261</c:v>
                </c:pt>
                <c:pt idx="28">
                  <c:v>1.9186703142310948</c:v>
                </c:pt>
                <c:pt idx="29">
                  <c:v>1.7498397335230518</c:v>
                </c:pt>
                <c:pt idx="30">
                  <c:v>1.7083526300787402</c:v>
                </c:pt>
                <c:pt idx="31">
                  <c:v>1.9125089172439498</c:v>
                </c:pt>
                <c:pt idx="32">
                  <c:v>1.8647425644841533</c:v>
                </c:pt>
                <c:pt idx="33">
                  <c:v>1.7875398548395818</c:v>
                </c:pt>
                <c:pt idx="34">
                  <c:v>1.7469583317264188</c:v>
                </c:pt>
                <c:pt idx="35">
                  <c:v>1.8172292773972243</c:v>
                </c:pt>
                <c:pt idx="36">
                  <c:v>1.8603352892086291</c:v>
                </c:pt>
                <c:pt idx="37">
                  <c:v>1.9439035835743113</c:v>
                </c:pt>
                <c:pt idx="38">
                  <c:v>1.999793709703426</c:v>
                </c:pt>
                <c:pt idx="39">
                  <c:v>1.9900815887618259</c:v>
                </c:pt>
                <c:pt idx="40">
                  <c:v>2.0783343458224768</c:v>
                </c:pt>
                <c:pt idx="41">
                  <c:v>2.0037174481878179</c:v>
                </c:pt>
                <c:pt idx="42">
                  <c:v>2.1015144034561324</c:v>
                </c:pt>
                <c:pt idx="43">
                  <c:v>2.2861080672661904</c:v>
                </c:pt>
                <c:pt idx="44">
                  <c:v>2.4391226937404511</c:v>
                </c:pt>
                <c:pt idx="45">
                  <c:v>2.4817999894647884</c:v>
                </c:pt>
                <c:pt idx="46">
                  <c:v>2.4594438213106518</c:v>
                </c:pt>
                <c:pt idx="47">
                  <c:v>2.2353200260097958</c:v>
                </c:pt>
                <c:pt idx="48">
                  <c:v>2.1690467832973237</c:v>
                </c:pt>
                <c:pt idx="49">
                  <c:v>2.0534352549279</c:v>
                </c:pt>
                <c:pt idx="50">
                  <c:v>2.0190713709738271</c:v>
                </c:pt>
                <c:pt idx="51">
                  <c:v>2.2208732816370347</c:v>
                </c:pt>
                <c:pt idx="52">
                  <c:v>2.2849287679832204</c:v>
                </c:pt>
                <c:pt idx="53">
                  <c:v>2.2816943753531524</c:v>
                </c:pt>
                <c:pt idx="54">
                  <c:v>2.2305625013894859</c:v>
                </c:pt>
                <c:pt idx="55">
                  <c:v>2.3723719363532276</c:v>
                </c:pt>
                <c:pt idx="56">
                  <c:v>2.3560282780203856</c:v>
                </c:pt>
                <c:pt idx="57">
                  <c:v>2.3580464797218168</c:v>
                </c:pt>
                <c:pt idx="58">
                  <c:v>2.4593307096810331</c:v>
                </c:pt>
                <c:pt idx="59">
                  <c:v>2.5182429268534889</c:v>
                </c:pt>
                <c:pt idx="60">
                  <c:v>2.4487238902240471</c:v>
                </c:pt>
                <c:pt idx="61">
                  <c:v>2.5118884239710666</c:v>
                </c:pt>
                <c:pt idx="62">
                  <c:v>2.5436746888402118</c:v>
                </c:pt>
                <c:pt idx="63">
                  <c:v>2.6158597885627128</c:v>
                </c:pt>
                <c:pt idx="64">
                  <c:v>2.5901308272975974</c:v>
                </c:pt>
                <c:pt idx="65">
                  <c:v>2.5777204860199965</c:v>
                </c:pt>
                <c:pt idx="66">
                  <c:v>2.4680673510869395</c:v>
                </c:pt>
                <c:pt idx="67">
                  <c:v>2.4747425971104597</c:v>
                </c:pt>
                <c:pt idx="68">
                  <c:v>2.4782425290500987</c:v>
                </c:pt>
                <c:pt idx="69">
                  <c:v>2.3959191253727874</c:v>
                </c:pt>
                <c:pt idx="70">
                  <c:v>2.4718553766070253</c:v>
                </c:pt>
                <c:pt idx="71">
                  <c:v>2.3717701110254099</c:v>
                </c:pt>
                <c:pt idx="72">
                  <c:v>2.6792231178351433</c:v>
                </c:pt>
                <c:pt idx="73">
                  <c:v>2.6243928362748266</c:v>
                </c:pt>
                <c:pt idx="74">
                  <c:v>2.5967173438631659</c:v>
                </c:pt>
                <c:pt idx="75">
                  <c:v>2.5280152190411118</c:v>
                </c:pt>
                <c:pt idx="76">
                  <c:v>2.4986864638173372</c:v>
                </c:pt>
                <c:pt idx="77">
                  <c:v>2.37084825471644</c:v>
                </c:pt>
                <c:pt idx="78">
                  <c:v>2.3933544876149573</c:v>
                </c:pt>
                <c:pt idx="79">
                  <c:v>2.24462257432655</c:v>
                </c:pt>
                <c:pt idx="80">
                  <c:v>2.0463567451495908</c:v>
                </c:pt>
                <c:pt idx="81">
                  <c:v>1.9673052201787764</c:v>
                </c:pt>
                <c:pt idx="82">
                  <c:v>1.9101875953118193</c:v>
                </c:pt>
                <c:pt idx="83">
                  <c:v>1.9529026390545534</c:v>
                </c:pt>
                <c:pt idx="84">
                  <c:v>2.063636846808258</c:v>
                </c:pt>
                <c:pt idx="85">
                  <c:v>2.125577346774294</c:v>
                </c:pt>
                <c:pt idx="86">
                  <c:v>2.2443746097316284</c:v>
                </c:pt>
                <c:pt idx="87">
                  <c:v>2.1290268280928908</c:v>
                </c:pt>
                <c:pt idx="88">
                  <c:v>2.304374469674606</c:v>
                </c:pt>
                <c:pt idx="89">
                  <c:v>2.3813071243419093</c:v>
                </c:pt>
                <c:pt idx="90">
                  <c:v>2.2151605665666287</c:v>
                </c:pt>
                <c:pt idx="91">
                  <c:v>2.0561279675842958</c:v>
                </c:pt>
                <c:pt idx="92">
                  <c:v>2.0885225751007144</c:v>
                </c:pt>
                <c:pt idx="93">
                  <c:v>1.9122158508545224</c:v>
                </c:pt>
                <c:pt idx="94">
                  <c:v>1.9559908378328266</c:v>
                </c:pt>
                <c:pt idx="95">
                  <c:v>1.9280502006478297</c:v>
                </c:pt>
                <c:pt idx="96">
                  <c:v>2.0746577439087686</c:v>
                </c:pt>
                <c:pt idx="97">
                  <c:v>1.9985152494296716</c:v>
                </c:pt>
                <c:pt idx="98">
                  <c:v>2.0590311280027089</c:v>
                </c:pt>
                <c:pt idx="99">
                  <c:v>1.910880837198204</c:v>
                </c:pt>
                <c:pt idx="100">
                  <c:v>1.8029887177410131</c:v>
                </c:pt>
                <c:pt idx="101">
                  <c:v>1.745489454652501</c:v>
                </c:pt>
                <c:pt idx="102">
                  <c:v>1.6872655779492642</c:v>
                </c:pt>
                <c:pt idx="103">
                  <c:v>1.7229864769744798</c:v>
                </c:pt>
                <c:pt idx="104">
                  <c:v>1.758165876876574</c:v>
                </c:pt>
                <c:pt idx="105">
                  <c:v>1.7643670021314029</c:v>
                </c:pt>
                <c:pt idx="106">
                  <c:v>1.7973854167871948</c:v>
                </c:pt>
                <c:pt idx="107">
                  <c:v>1.8186817592143618</c:v>
                </c:pt>
                <c:pt idx="108">
                  <c:v>1.9451725570518832</c:v>
                </c:pt>
                <c:pt idx="109">
                  <c:v>1.7205827763323951</c:v>
                </c:pt>
                <c:pt idx="110">
                  <c:v>1.7792298093436636</c:v>
                </c:pt>
                <c:pt idx="111">
                  <c:v>1.6139793403845917</c:v>
                </c:pt>
                <c:pt idx="112">
                  <c:v>1.5979950508099277</c:v>
                </c:pt>
                <c:pt idx="113">
                  <c:v>1.6099778367189015</c:v>
                </c:pt>
                <c:pt idx="114">
                  <c:v>1.5638799342332739</c:v>
                </c:pt>
                <c:pt idx="115">
                  <c:v>1.7378082359618221</c:v>
                </c:pt>
                <c:pt idx="116">
                  <c:v>1.786513755822416</c:v>
                </c:pt>
                <c:pt idx="117">
                  <c:v>1.8143517703054097</c:v>
                </c:pt>
                <c:pt idx="118">
                  <c:v>1.7339775984673347</c:v>
                </c:pt>
                <c:pt idx="119">
                  <c:v>1.7164327991915265</c:v>
                </c:pt>
                <c:pt idx="120">
                  <c:v>1.7613517623434065</c:v>
                </c:pt>
                <c:pt idx="121">
                  <c:v>1.7663850088635116</c:v>
                </c:pt>
                <c:pt idx="122">
                  <c:v>1.5718655694005323</c:v>
                </c:pt>
                <c:pt idx="123">
                  <c:v>1.5002721828031302</c:v>
                </c:pt>
                <c:pt idx="124">
                  <c:v>1.5608813221438145</c:v>
                </c:pt>
                <c:pt idx="125">
                  <c:v>1.6554955155013522</c:v>
                </c:pt>
                <c:pt idx="126">
                  <c:v>1.5033761058968653</c:v>
                </c:pt>
                <c:pt idx="127">
                  <c:v>1.4237325377584302</c:v>
                </c:pt>
                <c:pt idx="128">
                  <c:v>1.6567783680637107</c:v>
                </c:pt>
                <c:pt idx="129">
                  <c:v>1.7655318777019633</c:v>
                </c:pt>
                <c:pt idx="130">
                  <c:v>1.6217576748769542</c:v>
                </c:pt>
                <c:pt idx="131">
                  <c:v>1.5414724166005791</c:v>
                </c:pt>
                <c:pt idx="132">
                  <c:v>1.5186565307566662</c:v>
                </c:pt>
                <c:pt idx="133">
                  <c:v>1.4446336113591611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1B9-425E-81FB-6811C7BC445E}"/>
            </c:ext>
          </c:extLst>
        </c:ser>
        <c:ser>
          <c:idx val="8"/>
          <c:order val="8"/>
          <c:tx>
            <c:strRef>
              <c:f>OLS再投資累積報酬!$B$20</c:f>
              <c:strCache>
                <c:ptCount val="1"/>
                <c:pt idx="0">
                  <c:v>192等分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OLS再投資累積報酬!$C$11:$EF$11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OLS再投資累積報酬!$C$20:$EF$20</c:f>
              <c:numCache>
                <c:formatCode>0.0000</c:formatCode>
                <c:ptCount val="134"/>
                <c:pt idx="0">
                  <c:v>1.1241331728202891E-2</c:v>
                </c:pt>
                <c:pt idx="1">
                  <c:v>0.3932663517755528</c:v>
                </c:pt>
                <c:pt idx="2">
                  <c:v>0.2471414465113069</c:v>
                </c:pt>
                <c:pt idx="3">
                  <c:v>0.45267271084448113</c:v>
                </c:pt>
                <c:pt idx="4">
                  <c:v>0.33548956955554204</c:v>
                </c:pt>
                <c:pt idx="5">
                  <c:v>0.34707259563411974</c:v>
                </c:pt>
                <c:pt idx="6">
                  <c:v>0.18892303303301805</c:v>
                </c:pt>
                <c:pt idx="7">
                  <c:v>0.2233942917598743</c:v>
                </c:pt>
                <c:pt idx="8">
                  <c:v>0.43811879552095612</c:v>
                </c:pt>
                <c:pt idx="9">
                  <c:v>0.42911902417976777</c:v>
                </c:pt>
                <c:pt idx="10">
                  <c:v>0.35140079588849427</c:v>
                </c:pt>
                <c:pt idx="11">
                  <c:v>0.51954438407803816</c:v>
                </c:pt>
                <c:pt idx="12">
                  <c:v>0.61864586822251189</c:v>
                </c:pt>
                <c:pt idx="13">
                  <c:v>0.6617845471110394</c:v>
                </c:pt>
                <c:pt idx="14">
                  <c:v>0.87851028611401794</c:v>
                </c:pt>
                <c:pt idx="15">
                  <c:v>0.98776334175148672</c:v>
                </c:pt>
                <c:pt idx="16">
                  <c:v>1.0703259524587747</c:v>
                </c:pt>
                <c:pt idx="17">
                  <c:v>1.0546630419395153</c:v>
                </c:pt>
                <c:pt idx="18">
                  <c:v>1.2033127220572903</c:v>
                </c:pt>
                <c:pt idx="19">
                  <c:v>1.3068303252619078</c:v>
                </c:pt>
                <c:pt idx="20">
                  <c:v>1.5332739873450092</c:v>
                </c:pt>
                <c:pt idx="21">
                  <c:v>1.6833162989725479</c:v>
                </c:pt>
                <c:pt idx="22">
                  <c:v>1.8122813378549216</c:v>
                </c:pt>
                <c:pt idx="23">
                  <c:v>1.9178982983385808</c:v>
                </c:pt>
                <c:pt idx="24">
                  <c:v>1.8963037449512836</c:v>
                </c:pt>
                <c:pt idx="25">
                  <c:v>1.8115439042251105</c:v>
                </c:pt>
                <c:pt idx="26">
                  <c:v>1.858792166953078</c:v>
                </c:pt>
                <c:pt idx="27">
                  <c:v>1.8318048633824</c:v>
                </c:pt>
                <c:pt idx="28">
                  <c:v>1.9930260705375109</c:v>
                </c:pt>
                <c:pt idx="29">
                  <c:v>1.7695282509011383</c:v>
                </c:pt>
                <c:pt idx="30">
                  <c:v>1.7373650020194618</c:v>
                </c:pt>
                <c:pt idx="31">
                  <c:v>1.9540074546678226</c:v>
                </c:pt>
                <c:pt idx="32">
                  <c:v>1.8707281009170991</c:v>
                </c:pt>
                <c:pt idx="33">
                  <c:v>1.8100024162563149</c:v>
                </c:pt>
                <c:pt idx="34">
                  <c:v>1.8017539011937018</c:v>
                </c:pt>
                <c:pt idx="35">
                  <c:v>1.8746473532306789</c:v>
                </c:pt>
                <c:pt idx="36">
                  <c:v>1.9077433339794816</c:v>
                </c:pt>
                <c:pt idx="37">
                  <c:v>1.9832135274984799</c:v>
                </c:pt>
                <c:pt idx="38">
                  <c:v>2.0323218221378796</c:v>
                </c:pt>
                <c:pt idx="39">
                  <c:v>2.0197173061747131</c:v>
                </c:pt>
                <c:pt idx="40">
                  <c:v>1.9922648208417622</c:v>
                </c:pt>
                <c:pt idx="41">
                  <c:v>1.978975547751928</c:v>
                </c:pt>
                <c:pt idx="42">
                  <c:v>2.0910713574347448</c:v>
                </c:pt>
                <c:pt idx="43">
                  <c:v>2.3301951048798153</c:v>
                </c:pt>
                <c:pt idx="44">
                  <c:v>2.4732677458069809</c:v>
                </c:pt>
                <c:pt idx="45">
                  <c:v>2.5447409314609142</c:v>
                </c:pt>
                <c:pt idx="46">
                  <c:v>2.5378756632817634</c:v>
                </c:pt>
                <c:pt idx="47">
                  <c:v>2.3335364433212167</c:v>
                </c:pt>
                <c:pt idx="48">
                  <c:v>2.4155940793387831</c:v>
                </c:pt>
                <c:pt idx="49">
                  <c:v>2.2593200716321191</c:v>
                </c:pt>
                <c:pt idx="50">
                  <c:v>2.2225212067715785</c:v>
                </c:pt>
                <c:pt idx="51">
                  <c:v>2.4537348329596553</c:v>
                </c:pt>
                <c:pt idx="52">
                  <c:v>2.5243404006373957</c:v>
                </c:pt>
                <c:pt idx="53">
                  <c:v>2.4709105874157986</c:v>
                </c:pt>
                <c:pt idx="54">
                  <c:v>2.4768573845550588</c:v>
                </c:pt>
                <c:pt idx="55">
                  <c:v>2.6148286476240341</c:v>
                </c:pt>
                <c:pt idx="56">
                  <c:v>2.6079025049153408</c:v>
                </c:pt>
                <c:pt idx="57">
                  <c:v>2.5362960578012297</c:v>
                </c:pt>
                <c:pt idx="58">
                  <c:v>2.6505517235357532</c:v>
                </c:pt>
                <c:pt idx="59">
                  <c:v>2.6996915073470271</c:v>
                </c:pt>
                <c:pt idx="60">
                  <c:v>2.5970932231925818</c:v>
                </c:pt>
                <c:pt idx="61">
                  <c:v>2.6669526651298026</c:v>
                </c:pt>
                <c:pt idx="62">
                  <c:v>2.7144212165939914</c:v>
                </c:pt>
                <c:pt idx="63">
                  <c:v>2.800085848035172</c:v>
                </c:pt>
                <c:pt idx="64">
                  <c:v>2.8385475655511514</c:v>
                </c:pt>
                <c:pt idx="65">
                  <c:v>2.8458298130574762</c:v>
                </c:pt>
                <c:pt idx="66">
                  <c:v>2.7372295454982241</c:v>
                </c:pt>
                <c:pt idx="67">
                  <c:v>2.7493031772286964</c:v>
                </c:pt>
                <c:pt idx="68">
                  <c:v>2.7818393749535524</c:v>
                </c:pt>
                <c:pt idx="69">
                  <c:v>2.6853088737390967</c:v>
                </c:pt>
                <c:pt idx="70">
                  <c:v>2.7840638231068033</c:v>
                </c:pt>
                <c:pt idx="71">
                  <c:v>2.6503538986297968</c:v>
                </c:pt>
                <c:pt idx="72">
                  <c:v>3.0021834486782013</c:v>
                </c:pt>
                <c:pt idx="73">
                  <c:v>2.9441954304021705</c:v>
                </c:pt>
                <c:pt idx="74">
                  <c:v>2.9010119477149341</c:v>
                </c:pt>
                <c:pt idx="75">
                  <c:v>2.8107405434546506</c:v>
                </c:pt>
                <c:pt idx="76">
                  <c:v>2.7706378154028979</c:v>
                </c:pt>
                <c:pt idx="77">
                  <c:v>2.6441427696328788</c:v>
                </c:pt>
                <c:pt idx="78">
                  <c:v>2.6570579171109592</c:v>
                </c:pt>
                <c:pt idx="79">
                  <c:v>2.4681984045675636</c:v>
                </c:pt>
                <c:pt idx="80">
                  <c:v>2.2242346090978304</c:v>
                </c:pt>
                <c:pt idx="81">
                  <c:v>2.1184497198217387</c:v>
                </c:pt>
                <c:pt idx="82">
                  <c:v>2.0424794790786307</c:v>
                </c:pt>
                <c:pt idx="83">
                  <c:v>2.0646747081027637</c:v>
                </c:pt>
                <c:pt idx="84">
                  <c:v>2.1498829105378392</c:v>
                </c:pt>
                <c:pt idx="85">
                  <c:v>2.27332323042519</c:v>
                </c:pt>
                <c:pt idx="86">
                  <c:v>2.3539128543658117</c:v>
                </c:pt>
                <c:pt idx="87">
                  <c:v>2.20459970373556</c:v>
                </c:pt>
                <c:pt idx="88">
                  <c:v>2.3936508689061808</c:v>
                </c:pt>
                <c:pt idx="89">
                  <c:v>2.3714914575356962</c:v>
                </c:pt>
                <c:pt idx="90">
                  <c:v>2.1429732543541551</c:v>
                </c:pt>
                <c:pt idx="91">
                  <c:v>1.9509420492451277</c:v>
                </c:pt>
                <c:pt idx="92">
                  <c:v>1.9740600945454108</c:v>
                </c:pt>
                <c:pt idx="93">
                  <c:v>1.7785739840604686</c:v>
                </c:pt>
                <c:pt idx="94">
                  <c:v>1.8008670222198282</c:v>
                </c:pt>
                <c:pt idx="95">
                  <c:v>1.7827903114399932</c:v>
                </c:pt>
                <c:pt idx="96">
                  <c:v>1.92951832051162</c:v>
                </c:pt>
                <c:pt idx="97">
                  <c:v>1.8325143661898999</c:v>
                </c:pt>
                <c:pt idx="98">
                  <c:v>1.9004180743647454</c:v>
                </c:pt>
                <c:pt idx="99">
                  <c:v>1.7552638863648786</c:v>
                </c:pt>
                <c:pt idx="100">
                  <c:v>1.6542972292530551</c:v>
                </c:pt>
                <c:pt idx="101">
                  <c:v>1.6412345953907246</c:v>
                </c:pt>
                <c:pt idx="102">
                  <c:v>1.5937627022355469</c:v>
                </c:pt>
                <c:pt idx="103">
                  <c:v>1.6506654119926811</c:v>
                </c:pt>
                <c:pt idx="104">
                  <c:v>1.700278481228237</c:v>
                </c:pt>
                <c:pt idx="105">
                  <c:v>1.7038756659851872</c:v>
                </c:pt>
                <c:pt idx="106">
                  <c:v>1.71429438759204</c:v>
                </c:pt>
                <c:pt idx="107">
                  <c:v>1.7597943460828385</c:v>
                </c:pt>
                <c:pt idx="108">
                  <c:v>1.8838676540669597</c:v>
                </c:pt>
                <c:pt idx="109">
                  <c:v>1.6055688008980173</c:v>
                </c:pt>
                <c:pt idx="110">
                  <c:v>1.6798171364901107</c:v>
                </c:pt>
                <c:pt idx="111">
                  <c:v>1.5432590440574132</c:v>
                </c:pt>
                <c:pt idx="112">
                  <c:v>1.5224933855694185</c:v>
                </c:pt>
                <c:pt idx="113">
                  <c:v>1.5419587589030384</c:v>
                </c:pt>
                <c:pt idx="114">
                  <c:v>1.5848235330113842</c:v>
                </c:pt>
                <c:pt idx="115">
                  <c:v>1.7680582666325531</c:v>
                </c:pt>
                <c:pt idx="116">
                  <c:v>1.817879121309449</c:v>
                </c:pt>
                <c:pt idx="117">
                  <c:v>1.8277096527003363</c:v>
                </c:pt>
                <c:pt idx="118">
                  <c:v>1.7702494710756362</c:v>
                </c:pt>
                <c:pt idx="119">
                  <c:v>1.7146914788489049</c:v>
                </c:pt>
                <c:pt idx="120">
                  <c:v>1.6448987209506225</c:v>
                </c:pt>
                <c:pt idx="121">
                  <c:v>1.61521338215178</c:v>
                </c:pt>
                <c:pt idx="122">
                  <c:v>1.3425690543098345</c:v>
                </c:pt>
                <c:pt idx="123">
                  <c:v>1.2405268731273593</c:v>
                </c:pt>
                <c:pt idx="124">
                  <c:v>1.309587077085399</c:v>
                </c:pt>
                <c:pt idx="125">
                  <c:v>1.4074382952901243</c:v>
                </c:pt>
                <c:pt idx="126">
                  <c:v>1.220036465250931</c:v>
                </c:pt>
                <c:pt idx="127">
                  <c:v>1.2381515917633137</c:v>
                </c:pt>
                <c:pt idx="128">
                  <c:v>1.531841575727485</c:v>
                </c:pt>
                <c:pt idx="129">
                  <c:v>1.6142487181719047</c:v>
                </c:pt>
                <c:pt idx="130">
                  <c:v>1.4832425724098373</c:v>
                </c:pt>
                <c:pt idx="131">
                  <c:v>1.4254150082096386</c:v>
                </c:pt>
                <c:pt idx="132">
                  <c:v>1.4053974209126199</c:v>
                </c:pt>
                <c:pt idx="133">
                  <c:v>1.3195943600703703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1B9-425E-81FB-6811C7BC445E}"/>
            </c:ext>
          </c:extLst>
        </c:ser>
        <c:ser>
          <c:idx val="9"/>
          <c:order val="9"/>
          <c:tx>
            <c:strRef>
              <c:f>OLS再投資累積報酬!$B$21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OLS再投資累積報酬!$C$11:$EF$11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OLS再投資累積報酬!$C$21:$EF$21</c:f>
              <c:numCache>
                <c:formatCode>0.0000</c:formatCode>
                <c:ptCount val="134"/>
                <c:pt idx="0">
                  <c:v>1.038483447742689E-2</c:v>
                </c:pt>
                <c:pt idx="1">
                  <c:v>0.13677275124425048</c:v>
                </c:pt>
                <c:pt idx="2">
                  <c:v>9.3055196364529469E-2</c:v>
                </c:pt>
                <c:pt idx="3">
                  <c:v>0.27709377797065948</c:v>
                </c:pt>
                <c:pt idx="4">
                  <c:v>0.133251626858095</c:v>
                </c:pt>
                <c:pt idx="5">
                  <c:v>9.5407549829802596E-2</c:v>
                </c:pt>
                <c:pt idx="6">
                  <c:v>-5.1848058297670391E-2</c:v>
                </c:pt>
                <c:pt idx="7">
                  <c:v>8.5872673939719271E-3</c:v>
                </c:pt>
                <c:pt idx="8">
                  <c:v>0.21546729339736742</c:v>
                </c:pt>
                <c:pt idx="9">
                  <c:v>0.158241126532423</c:v>
                </c:pt>
                <c:pt idx="10">
                  <c:v>5.8556533124211746E-2</c:v>
                </c:pt>
                <c:pt idx="11">
                  <c:v>0.19760720898501155</c:v>
                </c:pt>
                <c:pt idx="12">
                  <c:v>0.32738966751536502</c:v>
                </c:pt>
                <c:pt idx="13">
                  <c:v>0.36728139037546775</c:v>
                </c:pt>
                <c:pt idx="14">
                  <c:v>0.62459146446972003</c:v>
                </c:pt>
                <c:pt idx="15">
                  <c:v>0.72016677557635023</c:v>
                </c:pt>
                <c:pt idx="16">
                  <c:v>0.92932625105131472</c:v>
                </c:pt>
                <c:pt idx="17">
                  <c:v>0.94336661539151967</c:v>
                </c:pt>
                <c:pt idx="18">
                  <c:v>1.0296450330032776</c:v>
                </c:pt>
                <c:pt idx="19">
                  <c:v>1.1350158033926321</c:v>
                </c:pt>
                <c:pt idx="20">
                  <c:v>1.4579363520808191</c:v>
                </c:pt>
                <c:pt idx="21">
                  <c:v>1.6657376194341569</c:v>
                </c:pt>
                <c:pt idx="22">
                  <c:v>1.7584668433803614</c:v>
                </c:pt>
                <c:pt idx="23">
                  <c:v>1.8726708306030859</c:v>
                </c:pt>
                <c:pt idx="24">
                  <c:v>1.8921618741431798</c:v>
                </c:pt>
                <c:pt idx="25">
                  <c:v>1.7623222917461101</c:v>
                </c:pt>
                <c:pt idx="26">
                  <c:v>1.7811500284529103</c:v>
                </c:pt>
                <c:pt idx="27">
                  <c:v>1.8070833044503452</c:v>
                </c:pt>
                <c:pt idx="28">
                  <c:v>1.935188283246591</c:v>
                </c:pt>
                <c:pt idx="29">
                  <c:v>1.6400440251632276</c:v>
                </c:pt>
                <c:pt idx="30">
                  <c:v>1.6289974530567837</c:v>
                </c:pt>
                <c:pt idx="31">
                  <c:v>1.8693487087155505</c:v>
                </c:pt>
                <c:pt idx="32">
                  <c:v>1.8016190281203994</c:v>
                </c:pt>
                <c:pt idx="33">
                  <c:v>1.7226778641087002</c:v>
                </c:pt>
                <c:pt idx="34">
                  <c:v>1.7409962330180129</c:v>
                </c:pt>
                <c:pt idx="35">
                  <c:v>1.8063760557511235</c:v>
                </c:pt>
                <c:pt idx="36">
                  <c:v>1.874911863198754</c:v>
                </c:pt>
                <c:pt idx="37">
                  <c:v>1.9868679192618484</c:v>
                </c:pt>
                <c:pt idx="38">
                  <c:v>2.0724356941757356</c:v>
                </c:pt>
                <c:pt idx="39">
                  <c:v>2.0534933152595625</c:v>
                </c:pt>
                <c:pt idx="40">
                  <c:v>1.9766278082490147</c:v>
                </c:pt>
                <c:pt idx="41">
                  <c:v>2.0246159496523251</c:v>
                </c:pt>
                <c:pt idx="42">
                  <c:v>2.0890718182989545</c:v>
                </c:pt>
                <c:pt idx="43">
                  <c:v>2.3539100758469518</c:v>
                </c:pt>
                <c:pt idx="44">
                  <c:v>2.4173654054602318</c:v>
                </c:pt>
                <c:pt idx="45">
                  <c:v>2.4682629734316741</c:v>
                </c:pt>
                <c:pt idx="46">
                  <c:v>2.4584719434775768</c:v>
                </c:pt>
                <c:pt idx="47">
                  <c:v>2.2407536409605395</c:v>
                </c:pt>
                <c:pt idx="48">
                  <c:v>2.3064759356930464</c:v>
                </c:pt>
                <c:pt idx="49">
                  <c:v>2.2134165415644533</c:v>
                </c:pt>
                <c:pt idx="50">
                  <c:v>2.1423843599163677</c:v>
                </c:pt>
                <c:pt idx="51">
                  <c:v>2.4368969968936893</c:v>
                </c:pt>
                <c:pt idx="52">
                  <c:v>2.475218144618883</c:v>
                </c:pt>
                <c:pt idx="53">
                  <c:v>2.4534672812482552</c:v>
                </c:pt>
                <c:pt idx="54">
                  <c:v>2.4471167478508535</c:v>
                </c:pt>
                <c:pt idx="55">
                  <c:v>2.646233964281457</c:v>
                </c:pt>
                <c:pt idx="56">
                  <c:v>2.6828691534982694</c:v>
                </c:pt>
                <c:pt idx="57">
                  <c:v>2.6065477903595142</c:v>
                </c:pt>
                <c:pt idx="58">
                  <c:v>2.7604224364517709</c:v>
                </c:pt>
                <c:pt idx="59">
                  <c:v>2.7924049508627631</c:v>
                </c:pt>
                <c:pt idx="60">
                  <c:v>2.7094317889726973</c:v>
                </c:pt>
                <c:pt idx="61">
                  <c:v>2.7967725794403955</c:v>
                </c:pt>
                <c:pt idx="62">
                  <c:v>2.8375678654691163</c:v>
                </c:pt>
                <c:pt idx="63">
                  <c:v>3.0258153680615045</c:v>
                </c:pt>
                <c:pt idx="64">
                  <c:v>3.0896726044751848</c:v>
                </c:pt>
                <c:pt idx="65">
                  <c:v>3.0854918021435918</c:v>
                </c:pt>
                <c:pt idx="66">
                  <c:v>3.0126010591092487</c:v>
                </c:pt>
                <c:pt idx="67">
                  <c:v>3.0249249212931133</c:v>
                </c:pt>
                <c:pt idx="68">
                  <c:v>3.0906667422534606</c:v>
                </c:pt>
                <c:pt idx="69">
                  <c:v>2.9977145389052033</c:v>
                </c:pt>
                <c:pt idx="70">
                  <c:v>3.1332110011037724</c:v>
                </c:pt>
                <c:pt idx="71">
                  <c:v>3.1139705129515329</c:v>
                </c:pt>
                <c:pt idx="72">
                  <c:v>3.298431183671942</c:v>
                </c:pt>
                <c:pt idx="73">
                  <c:v>3.2100518488843033</c:v>
                </c:pt>
                <c:pt idx="74">
                  <c:v>3.1951354699674663</c:v>
                </c:pt>
                <c:pt idx="75">
                  <c:v>3.1474725412467506</c:v>
                </c:pt>
                <c:pt idx="76">
                  <c:v>3.0869549379443519</c:v>
                </c:pt>
                <c:pt idx="77">
                  <c:v>2.8790850900427643</c:v>
                </c:pt>
                <c:pt idx="78">
                  <c:v>2.8710661357717981</c:v>
                </c:pt>
                <c:pt idx="79">
                  <c:v>2.7202777455695175</c:v>
                </c:pt>
                <c:pt idx="80">
                  <c:v>2.3252018031044721</c:v>
                </c:pt>
                <c:pt idx="81">
                  <c:v>2.2106756454933039</c:v>
                </c:pt>
                <c:pt idx="82">
                  <c:v>2.1255903100191729</c:v>
                </c:pt>
                <c:pt idx="83">
                  <c:v>2.2822167506461413</c:v>
                </c:pt>
                <c:pt idx="84">
                  <c:v>2.3553994777211402</c:v>
                </c:pt>
                <c:pt idx="85">
                  <c:v>2.4410272347376427</c:v>
                </c:pt>
                <c:pt idx="86">
                  <c:v>2.5081868650344985</c:v>
                </c:pt>
                <c:pt idx="87">
                  <c:v>2.3207537434937717</c:v>
                </c:pt>
                <c:pt idx="88">
                  <c:v>2.546256731897143</c:v>
                </c:pt>
                <c:pt idx="89">
                  <c:v>2.5157178416933674</c:v>
                </c:pt>
                <c:pt idx="90">
                  <c:v>2.2779258605539749</c:v>
                </c:pt>
                <c:pt idx="91">
                  <c:v>2.0552257996760623</c:v>
                </c:pt>
                <c:pt idx="92">
                  <c:v>2.0781379938455586</c:v>
                </c:pt>
                <c:pt idx="93">
                  <c:v>1.8390780274842908</c:v>
                </c:pt>
                <c:pt idx="94">
                  <c:v>1.8699857731667886</c:v>
                </c:pt>
                <c:pt idx="95">
                  <c:v>1.7839132162953926</c:v>
                </c:pt>
                <c:pt idx="96">
                  <c:v>1.9428298386128426</c:v>
                </c:pt>
                <c:pt idx="97">
                  <c:v>1.8112023074508861</c:v>
                </c:pt>
                <c:pt idx="98">
                  <c:v>1.8495478243225687</c:v>
                </c:pt>
                <c:pt idx="99">
                  <c:v>1.6925789774109572</c:v>
                </c:pt>
                <c:pt idx="100">
                  <c:v>1.5401266711656381</c:v>
                </c:pt>
                <c:pt idx="101">
                  <c:v>1.5262794647539375</c:v>
                </c:pt>
                <c:pt idx="102">
                  <c:v>1.5274717212106692</c:v>
                </c:pt>
                <c:pt idx="103">
                  <c:v>1.5790961548868239</c:v>
                </c:pt>
                <c:pt idx="104">
                  <c:v>1.6241437141101145</c:v>
                </c:pt>
                <c:pt idx="105">
                  <c:v>1.6269625085011852</c:v>
                </c:pt>
                <c:pt idx="106">
                  <c:v>1.6559402455615118</c:v>
                </c:pt>
                <c:pt idx="107">
                  <c:v>1.804749148051255</c:v>
                </c:pt>
                <c:pt idx="108">
                  <c:v>1.9529340791829846</c:v>
                </c:pt>
                <c:pt idx="109">
                  <c:v>1.8714978909029572</c:v>
                </c:pt>
                <c:pt idx="110">
                  <c:v>1.9616470936207777</c:v>
                </c:pt>
                <c:pt idx="111">
                  <c:v>1.8050413751571361</c:v>
                </c:pt>
                <c:pt idx="112">
                  <c:v>1.7840753130051177</c:v>
                </c:pt>
                <c:pt idx="113">
                  <c:v>1.7968123045061308</c:v>
                </c:pt>
                <c:pt idx="114">
                  <c:v>1.7925577404852453</c:v>
                </c:pt>
                <c:pt idx="115">
                  <c:v>2.0128533813497729</c:v>
                </c:pt>
                <c:pt idx="116">
                  <c:v>1.9942945722919854</c:v>
                </c:pt>
                <c:pt idx="117">
                  <c:v>2.0185607273855513</c:v>
                </c:pt>
                <c:pt idx="118">
                  <c:v>1.948138028577368</c:v>
                </c:pt>
                <c:pt idx="119">
                  <c:v>1.8945810387706736</c:v>
                </c:pt>
                <c:pt idx="120">
                  <c:v>1.8099756051651377</c:v>
                </c:pt>
                <c:pt idx="121">
                  <c:v>1.8047604148184584</c:v>
                </c:pt>
                <c:pt idx="122">
                  <c:v>1.4649537759608906</c:v>
                </c:pt>
                <c:pt idx="123">
                  <c:v>1.310055524830986</c:v>
                </c:pt>
                <c:pt idx="124">
                  <c:v>1.4383033934951071</c:v>
                </c:pt>
                <c:pt idx="125">
                  <c:v>1.5551322833698895</c:v>
                </c:pt>
                <c:pt idx="126">
                  <c:v>1.3294704021819004</c:v>
                </c:pt>
                <c:pt idx="127">
                  <c:v>1.5093614239068007</c:v>
                </c:pt>
                <c:pt idx="128">
                  <c:v>1.7754182561861467</c:v>
                </c:pt>
                <c:pt idx="129">
                  <c:v>1.8017204501846806</c:v>
                </c:pt>
                <c:pt idx="130">
                  <c:v>1.6616264322324548</c:v>
                </c:pt>
                <c:pt idx="131">
                  <c:v>1.7907816355696411</c:v>
                </c:pt>
                <c:pt idx="132">
                  <c:v>1.8017375809765155</c:v>
                </c:pt>
                <c:pt idx="133">
                  <c:v>1.7729403545568445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1B9-425E-81FB-6811C7BC445E}"/>
            </c:ext>
          </c:extLst>
        </c:ser>
        <c:ser>
          <c:idx val="10"/>
          <c:order val="10"/>
          <c:tx>
            <c:strRef>
              <c:f>OLS再投資累積報酬!$B$22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OLS再投資累積報酬!$C$11:$EF$11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OLS再投資累積報酬!$C$22:$EF$22</c:f>
              <c:numCache>
                <c:formatCode>0.0000</c:formatCode>
                <c:ptCount val="134"/>
                <c:pt idx="0">
                  <c:v>2.5922326608526759E-2</c:v>
                </c:pt>
                <c:pt idx="1">
                  <c:v>0.16835017868592525</c:v>
                </c:pt>
                <c:pt idx="2">
                  <c:v>0.14611976642668711</c:v>
                </c:pt>
                <c:pt idx="3">
                  <c:v>0.21395082734796467</c:v>
                </c:pt>
                <c:pt idx="4">
                  <c:v>0.11006646405763057</c:v>
                </c:pt>
                <c:pt idx="5">
                  <c:v>-0.11973908043377002</c:v>
                </c:pt>
                <c:pt idx="6">
                  <c:v>-0.24323224977183983</c:v>
                </c:pt>
                <c:pt idx="7">
                  <c:v>-0.19063366050649691</c:v>
                </c:pt>
                <c:pt idx="8">
                  <c:v>5.4732252176258794E-2</c:v>
                </c:pt>
                <c:pt idx="9">
                  <c:v>-5.275491647498301E-2</c:v>
                </c:pt>
                <c:pt idx="10">
                  <c:v>-0.12685497524555556</c:v>
                </c:pt>
                <c:pt idx="11">
                  <c:v>-2.8824114437922793E-2</c:v>
                </c:pt>
                <c:pt idx="12">
                  <c:v>0.1146562315663496</c:v>
                </c:pt>
                <c:pt idx="13">
                  <c:v>0.15751472008533951</c:v>
                </c:pt>
                <c:pt idx="14">
                  <c:v>0.43429161391839133</c:v>
                </c:pt>
                <c:pt idx="15">
                  <c:v>0.4709200481899794</c:v>
                </c:pt>
                <c:pt idx="16">
                  <c:v>0.71797667771970897</c:v>
                </c:pt>
                <c:pt idx="17">
                  <c:v>0.73821529019654297</c:v>
                </c:pt>
                <c:pt idx="18">
                  <c:v>0.84880531359904721</c:v>
                </c:pt>
                <c:pt idx="19">
                  <c:v>0.90582944823333689</c:v>
                </c:pt>
                <c:pt idx="20">
                  <c:v>1.2520229335325854</c:v>
                </c:pt>
                <c:pt idx="21">
                  <c:v>1.5092252847460825</c:v>
                </c:pt>
                <c:pt idx="22">
                  <c:v>1.5571636169258509</c:v>
                </c:pt>
                <c:pt idx="23">
                  <c:v>1.6327118860716969</c:v>
                </c:pt>
                <c:pt idx="24">
                  <c:v>1.6397599029585537</c:v>
                </c:pt>
                <c:pt idx="25">
                  <c:v>1.5053236902452283</c:v>
                </c:pt>
                <c:pt idx="26">
                  <c:v>1.5911001509606608</c:v>
                </c:pt>
                <c:pt idx="27">
                  <c:v>1.6096939001753221</c:v>
                </c:pt>
                <c:pt idx="28">
                  <c:v>1.7405177429916563</c:v>
                </c:pt>
                <c:pt idx="29">
                  <c:v>1.3106009749430443</c:v>
                </c:pt>
                <c:pt idx="30">
                  <c:v>1.2997888743762021</c:v>
                </c:pt>
                <c:pt idx="31">
                  <c:v>1.5474111205396033</c:v>
                </c:pt>
                <c:pt idx="32">
                  <c:v>1.4800182195284173</c:v>
                </c:pt>
                <c:pt idx="33">
                  <c:v>1.4341520900302627</c:v>
                </c:pt>
                <c:pt idx="34">
                  <c:v>1.5127278587351769</c:v>
                </c:pt>
                <c:pt idx="35">
                  <c:v>1.5530688255420773</c:v>
                </c:pt>
                <c:pt idx="36">
                  <c:v>1.6371577290097807</c:v>
                </c:pt>
                <c:pt idx="37">
                  <c:v>1.7482905386733401</c:v>
                </c:pt>
                <c:pt idx="38">
                  <c:v>1.906443413967067</c:v>
                </c:pt>
                <c:pt idx="39">
                  <c:v>1.8859506854490884</c:v>
                </c:pt>
                <c:pt idx="40">
                  <c:v>1.8065245679704953</c:v>
                </c:pt>
                <c:pt idx="41">
                  <c:v>1.8744490556740987</c:v>
                </c:pt>
                <c:pt idx="42">
                  <c:v>1.9572594945726487</c:v>
                </c:pt>
                <c:pt idx="43">
                  <c:v>1.9749878655670854</c:v>
                </c:pt>
                <c:pt idx="44">
                  <c:v>2.0849024628852697</c:v>
                </c:pt>
                <c:pt idx="45">
                  <c:v>2.1445486030589351</c:v>
                </c:pt>
                <c:pt idx="46">
                  <c:v>2.1746979922659442</c:v>
                </c:pt>
                <c:pt idx="47">
                  <c:v>2.1845731782716382</c:v>
                </c:pt>
                <c:pt idx="48">
                  <c:v>2.2830294544010017</c:v>
                </c:pt>
                <c:pt idx="49">
                  <c:v>2.0555439581675481</c:v>
                </c:pt>
                <c:pt idx="50">
                  <c:v>2.0099455330000859</c:v>
                </c:pt>
                <c:pt idx="51">
                  <c:v>2.3794961162965738</c:v>
                </c:pt>
                <c:pt idx="52">
                  <c:v>2.2486591781736185</c:v>
                </c:pt>
                <c:pt idx="53">
                  <c:v>2.2264849967077902</c:v>
                </c:pt>
                <c:pt idx="54">
                  <c:v>2.2042688133133099</c:v>
                </c:pt>
                <c:pt idx="55">
                  <c:v>2.4033712618617482</c:v>
                </c:pt>
                <c:pt idx="56">
                  <c:v>2.4496507740301343</c:v>
                </c:pt>
                <c:pt idx="57">
                  <c:v>2.3216902316920023</c:v>
                </c:pt>
                <c:pt idx="58">
                  <c:v>2.4090082908691781</c:v>
                </c:pt>
                <c:pt idx="59">
                  <c:v>2.3987743154200745</c:v>
                </c:pt>
                <c:pt idx="60">
                  <c:v>2.3779195600903078</c:v>
                </c:pt>
                <c:pt idx="61">
                  <c:v>2.5173909504911713</c:v>
                </c:pt>
                <c:pt idx="62">
                  <c:v>2.5198214337367046</c:v>
                </c:pt>
                <c:pt idx="63">
                  <c:v>2.4913026272727294</c:v>
                </c:pt>
                <c:pt idx="64">
                  <c:v>2.5417870563854796</c:v>
                </c:pt>
                <c:pt idx="65">
                  <c:v>2.541246056260948</c:v>
                </c:pt>
                <c:pt idx="66">
                  <c:v>2.4500178650665387</c:v>
                </c:pt>
                <c:pt idx="67">
                  <c:v>2.4708314745329916</c:v>
                </c:pt>
                <c:pt idx="68">
                  <c:v>2.5678790642375366</c:v>
                </c:pt>
                <c:pt idx="69">
                  <c:v>2.6350222796552618</c:v>
                </c:pt>
                <c:pt idx="70">
                  <c:v>2.8479710457932721</c:v>
                </c:pt>
                <c:pt idx="71">
                  <c:v>2.8472892856257146</c:v>
                </c:pt>
                <c:pt idx="72">
                  <c:v>2.979461077161496</c:v>
                </c:pt>
                <c:pt idx="73">
                  <c:v>2.8265237069115039</c:v>
                </c:pt>
                <c:pt idx="74">
                  <c:v>2.8588765824320035</c:v>
                </c:pt>
                <c:pt idx="75">
                  <c:v>2.8116188465691114</c:v>
                </c:pt>
                <c:pt idx="76">
                  <c:v>2.7841287680887881</c:v>
                </c:pt>
                <c:pt idx="77">
                  <c:v>2.529389512373927</c:v>
                </c:pt>
                <c:pt idx="78">
                  <c:v>2.4042855170538942</c:v>
                </c:pt>
                <c:pt idx="79">
                  <c:v>2.0885138568510451</c:v>
                </c:pt>
                <c:pt idx="80">
                  <c:v>1.6951265177467669</c:v>
                </c:pt>
                <c:pt idx="81">
                  <c:v>1.5943561607127021</c:v>
                </c:pt>
                <c:pt idx="82">
                  <c:v>1.3872708280791892</c:v>
                </c:pt>
                <c:pt idx="83">
                  <c:v>1.5408771128887326</c:v>
                </c:pt>
                <c:pt idx="84">
                  <c:v>1.6054944356991068</c:v>
                </c:pt>
                <c:pt idx="85">
                  <c:v>1.7088739407886695</c:v>
                </c:pt>
                <c:pt idx="86">
                  <c:v>1.8197974810754518</c:v>
                </c:pt>
                <c:pt idx="87">
                  <c:v>1.7248004690519063</c:v>
                </c:pt>
                <c:pt idx="88">
                  <c:v>2.0452324727097317</c:v>
                </c:pt>
                <c:pt idx="89">
                  <c:v>2.0537792445306393</c:v>
                </c:pt>
                <c:pt idx="90">
                  <c:v>1.8684934866254126</c:v>
                </c:pt>
                <c:pt idx="91">
                  <c:v>1.6090849296560101</c:v>
                </c:pt>
                <c:pt idx="92">
                  <c:v>1.6262445451751339</c:v>
                </c:pt>
                <c:pt idx="93">
                  <c:v>1.3794717751832473</c:v>
                </c:pt>
                <c:pt idx="94">
                  <c:v>1.4039113620152799</c:v>
                </c:pt>
                <c:pt idx="95">
                  <c:v>1.2778199838265083</c:v>
                </c:pt>
                <c:pt idx="96">
                  <c:v>1.4451738950128765</c:v>
                </c:pt>
                <c:pt idx="97">
                  <c:v>1.2621273482681783</c:v>
                </c:pt>
                <c:pt idx="98">
                  <c:v>1.285011390600163</c:v>
                </c:pt>
                <c:pt idx="99">
                  <c:v>1.2307180951263592</c:v>
                </c:pt>
                <c:pt idx="100">
                  <c:v>1.0682782264129125</c:v>
                </c:pt>
                <c:pt idx="101">
                  <c:v>1.0606909799717734</c:v>
                </c:pt>
                <c:pt idx="102">
                  <c:v>1.0566992260898493</c:v>
                </c:pt>
                <c:pt idx="103">
                  <c:v>1.1150827329183415</c:v>
                </c:pt>
                <c:pt idx="104">
                  <c:v>1.1358075173624991</c:v>
                </c:pt>
                <c:pt idx="105">
                  <c:v>1.1675176864883245</c:v>
                </c:pt>
                <c:pt idx="106">
                  <c:v>1.1497611829863916</c:v>
                </c:pt>
                <c:pt idx="107">
                  <c:v>1.2468328886226185</c:v>
                </c:pt>
                <c:pt idx="108">
                  <c:v>1.3349542991256822</c:v>
                </c:pt>
                <c:pt idx="109">
                  <c:v>1.2534999175097736</c:v>
                </c:pt>
                <c:pt idx="110">
                  <c:v>1.3346054613500438</c:v>
                </c:pt>
                <c:pt idx="111">
                  <c:v>1.1809056985197142</c:v>
                </c:pt>
                <c:pt idx="112">
                  <c:v>1.1575595218867527</c:v>
                </c:pt>
                <c:pt idx="113">
                  <c:v>1.1607728526298915</c:v>
                </c:pt>
                <c:pt idx="114">
                  <c:v>1.1180963035138507</c:v>
                </c:pt>
                <c:pt idx="115">
                  <c:v>1.4234713317860539</c:v>
                </c:pt>
                <c:pt idx="116">
                  <c:v>1.4472400000735028</c:v>
                </c:pt>
                <c:pt idx="117">
                  <c:v>1.4574672579264067</c:v>
                </c:pt>
                <c:pt idx="118">
                  <c:v>1.2920630913817668</c:v>
                </c:pt>
                <c:pt idx="119">
                  <c:v>1.2208267917086311</c:v>
                </c:pt>
                <c:pt idx="120">
                  <c:v>1.091302952339426</c:v>
                </c:pt>
                <c:pt idx="121">
                  <c:v>1.1184317063175961</c:v>
                </c:pt>
                <c:pt idx="122">
                  <c:v>0.74316283397562399</c:v>
                </c:pt>
                <c:pt idx="123">
                  <c:v>0.58610046442587316</c:v>
                </c:pt>
                <c:pt idx="124">
                  <c:v>0.66449018813287031</c:v>
                </c:pt>
                <c:pt idx="125">
                  <c:v>0.82884231217440951</c:v>
                </c:pt>
                <c:pt idx="126">
                  <c:v>0.51108793980992706</c:v>
                </c:pt>
                <c:pt idx="127">
                  <c:v>0.67671418603568267</c:v>
                </c:pt>
                <c:pt idx="128">
                  <c:v>0.81707034803637624</c:v>
                </c:pt>
                <c:pt idx="129">
                  <c:v>0.94683629834244531</c:v>
                </c:pt>
                <c:pt idx="130">
                  <c:v>0.97526511012049621</c:v>
                </c:pt>
                <c:pt idx="131">
                  <c:v>1.158947096624652</c:v>
                </c:pt>
                <c:pt idx="132">
                  <c:v>1.1948464538207209</c:v>
                </c:pt>
                <c:pt idx="133">
                  <c:v>1.1582509846889426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1B9-425E-81FB-6811C7BC445E}"/>
            </c:ext>
          </c:extLst>
        </c:ser>
        <c:ser>
          <c:idx val="11"/>
          <c:order val="11"/>
          <c:tx>
            <c:strRef>
              <c:f>OLS再投資累積報酬!$B$23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OLS再投資累積報酬!$C$11:$EF$11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OLS再投資累積報酬!$C$23:$EF$23</c:f>
              <c:numCache>
                <c:formatCode>0.0000</c:formatCode>
                <c:ptCount val="134"/>
                <c:pt idx="0">
                  <c:v>3.1325684581971477E-2</c:v>
                </c:pt>
                <c:pt idx="1">
                  <c:v>0.28541831203343276</c:v>
                </c:pt>
                <c:pt idx="2">
                  <c:v>0.27035672434646735</c:v>
                </c:pt>
                <c:pt idx="3">
                  <c:v>0.45275279966734605</c:v>
                </c:pt>
                <c:pt idx="4">
                  <c:v>0.47972436819171405</c:v>
                </c:pt>
                <c:pt idx="5">
                  <c:v>0.21691412699026125</c:v>
                </c:pt>
                <c:pt idx="6">
                  <c:v>6.8762098389967247E-2</c:v>
                </c:pt>
                <c:pt idx="7">
                  <c:v>-2.940019275648513E-2</c:v>
                </c:pt>
                <c:pt idx="8">
                  <c:v>0.11320738236816978</c:v>
                </c:pt>
                <c:pt idx="9">
                  <c:v>-0.11923697867429241</c:v>
                </c:pt>
                <c:pt idx="10">
                  <c:v>-0.37768689503293479</c:v>
                </c:pt>
                <c:pt idx="11">
                  <c:v>-0.25088688134060633</c:v>
                </c:pt>
                <c:pt idx="12">
                  <c:v>-4.632250336760424E-2</c:v>
                </c:pt>
                <c:pt idx="13">
                  <c:v>-3.5638998607857492E-2</c:v>
                </c:pt>
                <c:pt idx="14">
                  <c:v>-9.5207015508377985E-2</c:v>
                </c:pt>
                <c:pt idx="15">
                  <c:v>-3.8995872195122933E-2</c:v>
                </c:pt>
                <c:pt idx="16">
                  <c:v>0.13029912771812108</c:v>
                </c:pt>
                <c:pt idx="17">
                  <c:v>0.13067249692659982</c:v>
                </c:pt>
                <c:pt idx="18">
                  <c:v>0.2244299193673942</c:v>
                </c:pt>
                <c:pt idx="19">
                  <c:v>0.16107290838832816</c:v>
                </c:pt>
                <c:pt idx="20">
                  <c:v>0.66499223957363895</c:v>
                </c:pt>
                <c:pt idx="21">
                  <c:v>0.85954870103128322</c:v>
                </c:pt>
                <c:pt idx="22">
                  <c:v>0.86713746445996143</c:v>
                </c:pt>
                <c:pt idx="23">
                  <c:v>0.90016997990383674</c:v>
                </c:pt>
                <c:pt idx="24">
                  <c:v>0.906776271873307</c:v>
                </c:pt>
                <c:pt idx="25">
                  <c:v>0.84273649199652345</c:v>
                </c:pt>
                <c:pt idx="26">
                  <c:v>1.0114912916334362</c:v>
                </c:pt>
                <c:pt idx="27">
                  <c:v>1.0144865832039205</c:v>
                </c:pt>
                <c:pt idx="28">
                  <c:v>1.1516985719615804</c:v>
                </c:pt>
                <c:pt idx="29">
                  <c:v>0.82703924632136916</c:v>
                </c:pt>
                <c:pt idx="30">
                  <c:v>0.97293313926104119</c:v>
                </c:pt>
                <c:pt idx="31">
                  <c:v>0.83728421891037397</c:v>
                </c:pt>
                <c:pt idx="32">
                  <c:v>0.76183404917091169</c:v>
                </c:pt>
                <c:pt idx="33">
                  <c:v>0.7787965045560612</c:v>
                </c:pt>
                <c:pt idx="34">
                  <c:v>0.86999572883132092</c:v>
                </c:pt>
                <c:pt idx="35">
                  <c:v>1.0014274420238565</c:v>
                </c:pt>
                <c:pt idx="36">
                  <c:v>1.0091969310287217</c:v>
                </c:pt>
                <c:pt idx="37">
                  <c:v>1.2515116303860223</c:v>
                </c:pt>
                <c:pt idx="38">
                  <c:v>1.3422941099156398</c:v>
                </c:pt>
                <c:pt idx="39">
                  <c:v>1.507560482249132</c:v>
                </c:pt>
                <c:pt idx="40">
                  <c:v>1.4181354899895213</c:v>
                </c:pt>
                <c:pt idx="41">
                  <c:v>1.5642716543288884</c:v>
                </c:pt>
                <c:pt idx="42">
                  <c:v>1.5495647663315109</c:v>
                </c:pt>
                <c:pt idx="43">
                  <c:v>1.659070669296411</c:v>
                </c:pt>
                <c:pt idx="44">
                  <c:v>1.8626665604779968</c:v>
                </c:pt>
                <c:pt idx="45">
                  <c:v>1.7659093100778633</c:v>
                </c:pt>
                <c:pt idx="46">
                  <c:v>1.8179362199162661</c:v>
                </c:pt>
                <c:pt idx="47">
                  <c:v>1.8327489989248069</c:v>
                </c:pt>
                <c:pt idx="48">
                  <c:v>1.8908885990315969</c:v>
                </c:pt>
                <c:pt idx="49">
                  <c:v>1.5749040777757957</c:v>
                </c:pt>
                <c:pt idx="50">
                  <c:v>1.5845508578558964</c:v>
                </c:pt>
                <c:pt idx="51">
                  <c:v>2.1513773839033368</c:v>
                </c:pt>
                <c:pt idx="52">
                  <c:v>1.8505491347302709</c:v>
                </c:pt>
                <c:pt idx="53">
                  <c:v>1.9453800160767212</c:v>
                </c:pt>
                <c:pt idx="54">
                  <c:v>2.0168107784740177</c:v>
                </c:pt>
                <c:pt idx="55">
                  <c:v>2.2268198913344688</c:v>
                </c:pt>
                <c:pt idx="56">
                  <c:v>2.3015813625312211</c:v>
                </c:pt>
                <c:pt idx="57">
                  <c:v>2.098097381175934</c:v>
                </c:pt>
                <c:pt idx="58">
                  <c:v>2.2363169364023809</c:v>
                </c:pt>
                <c:pt idx="59">
                  <c:v>2.2943371499470233</c:v>
                </c:pt>
                <c:pt idx="60">
                  <c:v>2.2893272864724881</c:v>
                </c:pt>
                <c:pt idx="61">
                  <c:v>2.4036935766141569</c:v>
                </c:pt>
                <c:pt idx="62">
                  <c:v>2.3341981145897064</c:v>
                </c:pt>
                <c:pt idx="63">
                  <c:v>2.3075946445677289</c:v>
                </c:pt>
                <c:pt idx="64">
                  <c:v>2.2710697028217299</c:v>
                </c:pt>
                <c:pt idx="65">
                  <c:v>2.2485939814290479</c:v>
                </c:pt>
                <c:pt idx="66">
                  <c:v>2.1892375565686302</c:v>
                </c:pt>
                <c:pt idx="67">
                  <c:v>2.2070818780325929</c:v>
                </c:pt>
                <c:pt idx="68">
                  <c:v>2.4276489724349837</c:v>
                </c:pt>
                <c:pt idx="69">
                  <c:v>2.4978382365996206</c:v>
                </c:pt>
                <c:pt idx="70">
                  <c:v>2.7035259724455667</c:v>
                </c:pt>
                <c:pt idx="71">
                  <c:v>2.7205449233214947</c:v>
                </c:pt>
                <c:pt idx="72">
                  <c:v>2.7359074383645852</c:v>
                </c:pt>
                <c:pt idx="73">
                  <c:v>2.6116879148199499</c:v>
                </c:pt>
                <c:pt idx="74">
                  <c:v>2.6516273636960803</c:v>
                </c:pt>
                <c:pt idx="75">
                  <c:v>2.6439576012642356</c:v>
                </c:pt>
                <c:pt idx="76">
                  <c:v>2.5683044015176066</c:v>
                </c:pt>
                <c:pt idx="77">
                  <c:v>2.2521376397588568</c:v>
                </c:pt>
                <c:pt idx="78">
                  <c:v>2.1675930250430815</c:v>
                </c:pt>
                <c:pt idx="79">
                  <c:v>1.5268464475265289</c:v>
                </c:pt>
                <c:pt idx="80">
                  <c:v>1.4102218407300675</c:v>
                </c:pt>
                <c:pt idx="81">
                  <c:v>1.3940610052999858</c:v>
                </c:pt>
                <c:pt idx="82">
                  <c:v>1.1774237636727829</c:v>
                </c:pt>
                <c:pt idx="83">
                  <c:v>1.3395463379898536</c:v>
                </c:pt>
                <c:pt idx="84">
                  <c:v>1.4747685346413328</c:v>
                </c:pt>
                <c:pt idx="85">
                  <c:v>1.4946439021917435</c:v>
                </c:pt>
                <c:pt idx="86">
                  <c:v>1.5665002927282881</c:v>
                </c:pt>
                <c:pt idx="87">
                  <c:v>1.4024508335493739</c:v>
                </c:pt>
                <c:pt idx="88">
                  <c:v>1.7891837800722834</c:v>
                </c:pt>
                <c:pt idx="89">
                  <c:v>1.8421889584420867</c:v>
                </c:pt>
                <c:pt idx="90">
                  <c:v>1.5737379815389376</c:v>
                </c:pt>
                <c:pt idx="91">
                  <c:v>1.2623772383761809</c:v>
                </c:pt>
                <c:pt idx="92">
                  <c:v>1.2376749682968</c:v>
                </c:pt>
                <c:pt idx="93">
                  <c:v>1.0866767978228524</c:v>
                </c:pt>
                <c:pt idx="94">
                  <c:v>1.1556921686797577</c:v>
                </c:pt>
                <c:pt idx="95">
                  <c:v>1.1228419446736129</c:v>
                </c:pt>
                <c:pt idx="96">
                  <c:v>1.3249458296607697</c:v>
                </c:pt>
                <c:pt idx="97">
                  <c:v>1.1230943667738913</c:v>
                </c:pt>
                <c:pt idx="98">
                  <c:v>1.09890807898489</c:v>
                </c:pt>
                <c:pt idx="99">
                  <c:v>1.0370480858376092</c:v>
                </c:pt>
                <c:pt idx="100">
                  <c:v>0.75533725836358934</c:v>
                </c:pt>
                <c:pt idx="101">
                  <c:v>0.8166183588782302</c:v>
                </c:pt>
                <c:pt idx="102">
                  <c:v>0.7856362226523198</c:v>
                </c:pt>
                <c:pt idx="103">
                  <c:v>0.80159137951931625</c:v>
                </c:pt>
                <c:pt idx="104">
                  <c:v>0.68240089344890209</c:v>
                </c:pt>
                <c:pt idx="105">
                  <c:v>0.77519956812605517</c:v>
                </c:pt>
                <c:pt idx="106">
                  <c:v>0.71511362061588357</c:v>
                </c:pt>
                <c:pt idx="107">
                  <c:v>0.90648749442833487</c:v>
                </c:pt>
                <c:pt idx="108">
                  <c:v>1.0594641487233876</c:v>
                </c:pt>
                <c:pt idx="109">
                  <c:v>0.92023725521127919</c:v>
                </c:pt>
                <c:pt idx="110">
                  <c:v>1.1051499687593844</c:v>
                </c:pt>
                <c:pt idx="111">
                  <c:v>0.98511738693546569</c:v>
                </c:pt>
                <c:pt idx="112">
                  <c:v>0.93736758988688673</c:v>
                </c:pt>
                <c:pt idx="113">
                  <c:v>0.91112493778226222</c:v>
                </c:pt>
                <c:pt idx="114">
                  <c:v>0.92183527208908722</c:v>
                </c:pt>
                <c:pt idx="115">
                  <c:v>1.1868101285730785</c:v>
                </c:pt>
                <c:pt idx="116">
                  <c:v>1.1021393007658964</c:v>
                </c:pt>
                <c:pt idx="117">
                  <c:v>1.1492275334216193</c:v>
                </c:pt>
                <c:pt idx="118">
                  <c:v>0.903281425862833</c:v>
                </c:pt>
                <c:pt idx="119">
                  <c:v>0.80085563062783183</c:v>
                </c:pt>
                <c:pt idx="120">
                  <c:v>0.55366107918536334</c:v>
                </c:pt>
                <c:pt idx="121">
                  <c:v>0.53136462211560609</c:v>
                </c:pt>
                <c:pt idx="122">
                  <c:v>6.1229154625062066E-3</c:v>
                </c:pt>
                <c:pt idx="123">
                  <c:v>-0.18661848575539081</c:v>
                </c:pt>
                <c:pt idx="124">
                  <c:v>-4.5390253172552214E-2</c:v>
                </c:pt>
                <c:pt idx="125">
                  <c:v>0.12561253379590229</c:v>
                </c:pt>
                <c:pt idx="126">
                  <c:v>-0.14260939557622163</c:v>
                </c:pt>
                <c:pt idx="127">
                  <c:v>-1.3276380024502821E-2</c:v>
                </c:pt>
                <c:pt idx="128">
                  <c:v>-4.2035159800907801E-2</c:v>
                </c:pt>
                <c:pt idx="129">
                  <c:v>0.20224949832301439</c:v>
                </c:pt>
                <c:pt idx="130">
                  <c:v>0.32545444127867906</c:v>
                </c:pt>
                <c:pt idx="131">
                  <c:v>0.51977771980059806</c:v>
                </c:pt>
                <c:pt idx="132">
                  <c:v>0.58932327789558459</c:v>
                </c:pt>
                <c:pt idx="133">
                  <c:v>0.49590741998189669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1B9-425E-81FB-6811C7BC445E}"/>
            </c:ext>
          </c:extLst>
        </c:ser>
        <c:ser>
          <c:idx val="12"/>
          <c:order val="12"/>
          <c:tx>
            <c:strRef>
              <c:f>OLS再投資累積報酬!$B$24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OLS再投資累積報酬!$C$11:$EF$11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OLS再投資累積報酬!$C$24:$EF$24</c:f>
              <c:numCache>
                <c:formatCode>0.0000</c:formatCode>
                <c:ptCount val="134"/>
                <c:pt idx="0">
                  <c:v>2.776696731044102E-2</c:v>
                </c:pt>
                <c:pt idx="1">
                  <c:v>0.12837688020966961</c:v>
                </c:pt>
                <c:pt idx="2">
                  <c:v>0.2102572148200671</c:v>
                </c:pt>
                <c:pt idx="3">
                  <c:v>0.41180293369171328</c:v>
                </c:pt>
                <c:pt idx="4">
                  <c:v>0.43442532225433095</c:v>
                </c:pt>
                <c:pt idx="5">
                  <c:v>8.3603130923292135E-2</c:v>
                </c:pt>
                <c:pt idx="6">
                  <c:v>8.5715064126435633E-2</c:v>
                </c:pt>
                <c:pt idx="7">
                  <c:v>-1.4257128783700501E-2</c:v>
                </c:pt>
                <c:pt idx="8">
                  <c:v>3.6187207209788207E-2</c:v>
                </c:pt>
                <c:pt idx="9">
                  <c:v>-0.29757223726585841</c:v>
                </c:pt>
                <c:pt idx="10">
                  <c:v>-0.4443915761653669</c:v>
                </c:pt>
                <c:pt idx="11">
                  <c:v>-0.33919986536952151</c:v>
                </c:pt>
                <c:pt idx="12">
                  <c:v>-0.10389067196409851</c:v>
                </c:pt>
                <c:pt idx="13">
                  <c:v>-2.6154186110041278E-2</c:v>
                </c:pt>
                <c:pt idx="14">
                  <c:v>-8.7119147756747548E-2</c:v>
                </c:pt>
                <c:pt idx="15">
                  <c:v>0.15857822302251218</c:v>
                </c:pt>
                <c:pt idx="16">
                  <c:v>0.29846202258951277</c:v>
                </c:pt>
                <c:pt idx="17">
                  <c:v>0.17477097849772355</c:v>
                </c:pt>
                <c:pt idx="18">
                  <c:v>0.32328965272164156</c:v>
                </c:pt>
                <c:pt idx="19">
                  <c:v>0.20674933600479076</c:v>
                </c:pt>
                <c:pt idx="20">
                  <c:v>0.84968286461045017</c:v>
                </c:pt>
                <c:pt idx="21">
                  <c:v>0.84878398814543299</c:v>
                </c:pt>
                <c:pt idx="22">
                  <c:v>0.87818282772586564</c:v>
                </c:pt>
                <c:pt idx="23">
                  <c:v>0.98402515500467269</c:v>
                </c:pt>
                <c:pt idx="24">
                  <c:v>0.99757292324225</c:v>
                </c:pt>
                <c:pt idx="25">
                  <c:v>0.80223330056700615</c:v>
                </c:pt>
                <c:pt idx="26">
                  <c:v>1.2039806344139607</c:v>
                </c:pt>
                <c:pt idx="27">
                  <c:v>1.2639027812247798</c:v>
                </c:pt>
                <c:pt idx="28">
                  <c:v>1.4570445709365378</c:v>
                </c:pt>
                <c:pt idx="29">
                  <c:v>0.96165515813237601</c:v>
                </c:pt>
                <c:pt idx="30">
                  <c:v>1.3417105507151721</c:v>
                </c:pt>
                <c:pt idx="31">
                  <c:v>1.0395877941085967</c:v>
                </c:pt>
                <c:pt idx="32">
                  <c:v>0.88767611932519941</c:v>
                </c:pt>
                <c:pt idx="33">
                  <c:v>0.90778848469839835</c:v>
                </c:pt>
                <c:pt idx="34">
                  <c:v>1.0209676484740224</c:v>
                </c:pt>
                <c:pt idx="35">
                  <c:v>0.96629071298338709</c:v>
                </c:pt>
                <c:pt idx="36">
                  <c:v>0.94737143156286041</c:v>
                </c:pt>
                <c:pt idx="37">
                  <c:v>1.1685608967082917</c:v>
                </c:pt>
                <c:pt idx="38">
                  <c:v>1.2714665992860812</c:v>
                </c:pt>
                <c:pt idx="39">
                  <c:v>1.4359532884440016</c:v>
                </c:pt>
                <c:pt idx="40">
                  <c:v>1.3888763156097559</c:v>
                </c:pt>
                <c:pt idx="41">
                  <c:v>1.5597097217805815</c:v>
                </c:pt>
                <c:pt idx="42">
                  <c:v>1.5317536445139914</c:v>
                </c:pt>
                <c:pt idx="43">
                  <c:v>1.6825226244396723</c:v>
                </c:pt>
                <c:pt idx="44">
                  <c:v>1.9123636401190922</c:v>
                </c:pt>
                <c:pt idx="45">
                  <c:v>1.8928414256965682</c:v>
                </c:pt>
                <c:pt idx="46">
                  <c:v>1.887853884185529</c:v>
                </c:pt>
                <c:pt idx="47">
                  <c:v>1.7763625472693134</c:v>
                </c:pt>
                <c:pt idx="48">
                  <c:v>2.0437982919557833</c:v>
                </c:pt>
                <c:pt idx="49">
                  <c:v>1.4338987317710066</c:v>
                </c:pt>
                <c:pt idx="50">
                  <c:v>1.3801039996863733</c:v>
                </c:pt>
                <c:pt idx="51">
                  <c:v>2.0708805310670453</c:v>
                </c:pt>
                <c:pt idx="52">
                  <c:v>1.2676645180226678</c:v>
                </c:pt>
                <c:pt idx="53">
                  <c:v>1.453259737269103</c:v>
                </c:pt>
                <c:pt idx="54">
                  <c:v>1.4993240913007899</c:v>
                </c:pt>
                <c:pt idx="55">
                  <c:v>1.4349536703513264</c:v>
                </c:pt>
                <c:pt idx="56">
                  <c:v>1.4617896362176372</c:v>
                </c:pt>
                <c:pt idx="57">
                  <c:v>1.0755342993041022</c:v>
                </c:pt>
                <c:pt idx="58">
                  <c:v>1.0473826671559239</c:v>
                </c:pt>
                <c:pt idx="59">
                  <c:v>0.98681541283346452</c:v>
                </c:pt>
                <c:pt idx="60">
                  <c:v>0.97679568588439447</c:v>
                </c:pt>
                <c:pt idx="61">
                  <c:v>1.0829026060355611</c:v>
                </c:pt>
                <c:pt idx="62">
                  <c:v>1.1676855458745494</c:v>
                </c:pt>
                <c:pt idx="63">
                  <c:v>1.1477953873953297</c:v>
                </c:pt>
                <c:pt idx="64">
                  <c:v>1.3089050784909717</c:v>
                </c:pt>
                <c:pt idx="65">
                  <c:v>1.3406991828208614</c:v>
                </c:pt>
                <c:pt idx="66">
                  <c:v>1.3545566492449976</c:v>
                </c:pt>
                <c:pt idx="67">
                  <c:v>1.3969128725484155</c:v>
                </c:pt>
                <c:pt idx="68">
                  <c:v>1.5185339090780221</c:v>
                </c:pt>
                <c:pt idx="69">
                  <c:v>1.5743331653862787</c:v>
                </c:pt>
                <c:pt idx="70">
                  <c:v>1.8026597969462195</c:v>
                </c:pt>
                <c:pt idx="71">
                  <c:v>2.0059639487766701</c:v>
                </c:pt>
                <c:pt idx="72">
                  <c:v>2.1569913941990895</c:v>
                </c:pt>
                <c:pt idx="73">
                  <c:v>2.0989480245491743</c:v>
                </c:pt>
                <c:pt idx="74">
                  <c:v>1.8086111496037574</c:v>
                </c:pt>
                <c:pt idx="75">
                  <c:v>1.5497182507537604</c:v>
                </c:pt>
                <c:pt idx="76">
                  <c:v>1.4344965699803456</c:v>
                </c:pt>
                <c:pt idx="77">
                  <c:v>0.79479843634583058</c:v>
                </c:pt>
                <c:pt idx="78">
                  <c:v>0.612328556458269</c:v>
                </c:pt>
                <c:pt idx="79">
                  <c:v>-7.9003412131113948E-2</c:v>
                </c:pt>
                <c:pt idx="80">
                  <c:v>-0.28912484736720234</c:v>
                </c:pt>
                <c:pt idx="81">
                  <c:v>-0.24516021337047078</c:v>
                </c:pt>
                <c:pt idx="82">
                  <c:v>-0.76512917944439285</c:v>
                </c:pt>
                <c:pt idx="83">
                  <c:v>-0.55215629541507449</c:v>
                </c:pt>
                <c:pt idx="84">
                  <c:v>-0.25855665176539061</c:v>
                </c:pt>
                <c:pt idx="85">
                  <c:v>-0.2716661371848102</c:v>
                </c:pt>
                <c:pt idx="86">
                  <c:v>5.1393128143573885E-2</c:v>
                </c:pt>
                <c:pt idx="87">
                  <c:v>3.5709380254207362E-2</c:v>
                </c:pt>
                <c:pt idx="88">
                  <c:v>0.58529649021330754</c:v>
                </c:pt>
                <c:pt idx="89">
                  <c:v>0.69303525667052068</c:v>
                </c:pt>
                <c:pt idx="90">
                  <c:v>0.12062564693584565</c:v>
                </c:pt>
                <c:pt idx="91">
                  <c:v>-3.9718557878996447E-2</c:v>
                </c:pt>
                <c:pt idx="92">
                  <c:v>-0.19990820450649704</c:v>
                </c:pt>
                <c:pt idx="93">
                  <c:v>-0.33769566055520017</c:v>
                </c:pt>
                <c:pt idx="94">
                  <c:v>-0.36455058307630872</c:v>
                </c:pt>
                <c:pt idx="95">
                  <c:v>-0.18165399578419222</c:v>
                </c:pt>
                <c:pt idx="96">
                  <c:v>-0.12892495097053741</c:v>
                </c:pt>
                <c:pt idx="97">
                  <c:v>-0.49040524632194749</c:v>
                </c:pt>
                <c:pt idx="98">
                  <c:v>-0.72539846159479349</c:v>
                </c:pt>
                <c:pt idx="99">
                  <c:v>-0.87209308726508095</c:v>
                </c:pt>
                <c:pt idx="100">
                  <c:v>-1.2323211340338187</c:v>
                </c:pt>
                <c:pt idx="101">
                  <c:v>-1.0702142241556585</c:v>
                </c:pt>
                <c:pt idx="102">
                  <c:v>-1.0457030199929036</c:v>
                </c:pt>
                <c:pt idx="103">
                  <c:v>-0.85024234748024929</c:v>
                </c:pt>
                <c:pt idx="104">
                  <c:v>-1.0414181056507841</c:v>
                </c:pt>
                <c:pt idx="105">
                  <c:v>-1.2372628278332254</c:v>
                </c:pt>
                <c:pt idx="106">
                  <c:v>-1.1056772365376926</c:v>
                </c:pt>
                <c:pt idx="107">
                  <c:v>-0.91103917278176205</c:v>
                </c:pt>
                <c:pt idx="108">
                  <c:v>-0.66245019004853201</c:v>
                </c:pt>
                <c:pt idx="109">
                  <c:v>-0.92825286604104429</c:v>
                </c:pt>
                <c:pt idx="110">
                  <c:v>-0.50515406631270521</c:v>
                </c:pt>
                <c:pt idx="111">
                  <c:v>-0.73452394084379458</c:v>
                </c:pt>
                <c:pt idx="112">
                  <c:v>-0.90054566919804457</c:v>
                </c:pt>
                <c:pt idx="113">
                  <c:v>-0.96190618241346149</c:v>
                </c:pt>
                <c:pt idx="114">
                  <c:v>-0.85359008728727648</c:v>
                </c:pt>
                <c:pt idx="115">
                  <c:v>-0.33674214828974425</c:v>
                </c:pt>
                <c:pt idx="116">
                  <c:v>-0.41985643787974997</c:v>
                </c:pt>
                <c:pt idx="117">
                  <c:v>-0.3054830123937361</c:v>
                </c:pt>
                <c:pt idx="118">
                  <c:v>-0.66455431449038449</c:v>
                </c:pt>
                <c:pt idx="119">
                  <c:v>-0.68794604576391349</c:v>
                </c:pt>
                <c:pt idx="120">
                  <c:v>-0.8319530206027278</c:v>
                </c:pt>
                <c:pt idx="121">
                  <c:v>-0.86138874699159118</c:v>
                </c:pt>
                <c:pt idx="122">
                  <c:v>-1.63193205474755</c:v>
                </c:pt>
                <c:pt idx="123">
                  <c:v>-2.3823886039367714</c:v>
                </c:pt>
                <c:pt idx="124">
                  <c:v>-2.2735315140454411</c:v>
                </c:pt>
                <c:pt idx="125">
                  <c:v>-2.0997941835973619</c:v>
                </c:pt>
                <c:pt idx="126">
                  <c:v>-2.1318607193273134</c:v>
                </c:pt>
                <c:pt idx="127">
                  <c:v>-2.1807653835861132</c:v>
                </c:pt>
                <c:pt idx="128">
                  <c:v>-2.2356855674276157</c:v>
                </c:pt>
                <c:pt idx="129">
                  <c:v>-1.6459876504285251</c:v>
                </c:pt>
                <c:pt idx="130">
                  <c:v>-1.3893362704649987</c:v>
                </c:pt>
                <c:pt idx="131">
                  <c:v>-1.3047961778977339</c:v>
                </c:pt>
                <c:pt idx="132">
                  <c:v>-1.3404601607686988</c:v>
                </c:pt>
                <c:pt idx="133">
                  <c:v>-1.4745472371189134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1B9-425E-81FB-6811C7BC4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611248"/>
        <c:axId val="387604048"/>
      </c:lineChart>
      <c:catAx>
        <c:axId val="38761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87604048"/>
        <c:crosses val="autoZero"/>
        <c:auto val="1"/>
        <c:lblAlgn val="ctr"/>
        <c:lblOffset val="100"/>
        <c:noMultiLvlLbl val="0"/>
      </c:catAx>
      <c:valAx>
        <c:axId val="38760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8761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95</xdr:col>
      <xdr:colOff>101600</xdr:colOff>
      <xdr:row>29</xdr:row>
      <xdr:rowOff>169333</xdr:rowOff>
    </xdr:from>
    <xdr:to>
      <xdr:col>112</xdr:col>
      <xdr:colOff>397932</xdr:colOff>
      <xdr:row>60</xdr:row>
      <xdr:rowOff>169334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0142BB3-0B23-2149-0566-96395D007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331470</xdr:colOff>
      <xdr:row>26</xdr:row>
      <xdr:rowOff>15240</xdr:rowOff>
    </xdr:from>
    <xdr:to>
      <xdr:col>127</xdr:col>
      <xdr:colOff>514350</xdr:colOff>
      <xdr:row>40</xdr:row>
      <xdr:rowOff>91440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220B0B5-5341-5B42-BEE3-8C0566E1F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499110</xdr:colOff>
      <xdr:row>20</xdr:row>
      <xdr:rowOff>60960</xdr:rowOff>
    </xdr:from>
    <xdr:to>
      <xdr:col>16</xdr:col>
      <xdr:colOff>133350</xdr:colOff>
      <xdr:row>34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113</xdr:col>
      <xdr:colOff>409815</xdr:colOff>
      <xdr:row>27</xdr:row>
      <xdr:rowOff>45720</xdr:rowOff>
    </xdr:from>
    <xdr:to>
      <xdr:col>123</xdr:col>
      <xdr:colOff>422910</xdr:colOff>
      <xdr:row>50</xdr:row>
      <xdr:rowOff>179294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24CF810-28C1-99EA-E4F7-A0340E8C6E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116</xdr:col>
      <xdr:colOff>252555</xdr:colOff>
      <xdr:row>27</xdr:row>
      <xdr:rowOff>70069</xdr:rowOff>
    </xdr:from>
    <xdr:to>
      <xdr:col>128</xdr:col>
      <xdr:colOff>490483</xdr:colOff>
      <xdr:row>53</xdr:row>
      <xdr:rowOff>79267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6BAE171-6352-E5D7-A744-60C9FA46E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50;&#20462;&#24489;&#30340;&#22806;&#37096;&#36899;&#32080;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50;&#20462;&#24489;&#30340;&#22806;&#37096;&#36899;&#32080;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股價淨值比"/>
      <sheetName val="bm(函數)"/>
      <sheetName val="bm"/>
      <sheetName val="下個月月報酬"/>
      <sheetName val="bm補值"/>
      <sheetName val="下個月月報酬補值"/>
      <sheetName val="bmIC"/>
    </sheetNames>
    <sheetDataSet>
      <sheetData sheetId="0"/>
      <sheetData sheetId="1"/>
      <sheetData sheetId="2"/>
      <sheetData sheetId="3"/>
      <sheetData sheetId="4">
        <row r="2">
          <cell r="C2">
            <v>0.77519379844961234</v>
          </cell>
          <cell r="EG2">
            <v>0.78125</v>
          </cell>
        </row>
        <row r="3">
          <cell r="EG3">
            <v>0.77519379844961234</v>
          </cell>
        </row>
        <row r="4">
          <cell r="EG4">
            <v>1.4925373134328357</v>
          </cell>
        </row>
        <row r="5">
          <cell r="EG5">
            <v>1.2345679012345678</v>
          </cell>
        </row>
        <row r="6">
          <cell r="EG6">
            <v>1.2987012987012987</v>
          </cell>
        </row>
        <row r="7">
          <cell r="EG7">
            <v>1.4285714285714286</v>
          </cell>
        </row>
        <row r="8">
          <cell r="EG8">
            <v>1.2820512820512819</v>
          </cell>
        </row>
        <row r="9">
          <cell r="EG9">
            <v>0.28735632183908044</v>
          </cell>
        </row>
        <row r="10">
          <cell r="EG10">
            <v>0.72992700729927007</v>
          </cell>
        </row>
        <row r="11">
          <cell r="EG11">
            <v>0.61349693251533743</v>
          </cell>
        </row>
        <row r="12">
          <cell r="EG12">
            <v>0.96153846153846145</v>
          </cell>
        </row>
        <row r="13">
          <cell r="EG13">
            <v>0.85470085470085477</v>
          </cell>
        </row>
        <row r="14">
          <cell r="EG14">
            <v>0.45248868778280543</v>
          </cell>
        </row>
        <row r="15">
          <cell r="EG15">
            <v>0.81967213114754101</v>
          </cell>
        </row>
        <row r="16">
          <cell r="EG16">
            <v>0.89285714285714279</v>
          </cell>
        </row>
        <row r="17">
          <cell r="EG17">
            <v>1.0309278350515465</v>
          </cell>
        </row>
        <row r="18">
          <cell r="EG18">
            <v>0.83333333333333337</v>
          </cell>
        </row>
        <row r="19">
          <cell r="EG19">
            <v>0.76923076923076916</v>
          </cell>
        </row>
        <row r="20">
          <cell r="EG20">
            <v>0.29069767441860467</v>
          </cell>
        </row>
        <row r="21">
          <cell r="EG21">
            <v>1.2195121951219512</v>
          </cell>
        </row>
        <row r="22">
          <cell r="EG22">
            <v>1.0416666666666667</v>
          </cell>
        </row>
        <row r="23">
          <cell r="EG23">
            <v>0.4081632653061224</v>
          </cell>
        </row>
        <row r="24">
          <cell r="EG24">
            <v>0.31847133757961782</v>
          </cell>
        </row>
        <row r="25">
          <cell r="EG25">
            <v>0.67114093959731547</v>
          </cell>
        </row>
        <row r="26">
          <cell r="EG26">
            <v>0.4329004329004329</v>
          </cell>
        </row>
        <row r="27">
          <cell r="EG27">
            <v>0.63291139240506322</v>
          </cell>
        </row>
        <row r="28">
          <cell r="EG28">
            <v>0.49019607843137253</v>
          </cell>
        </row>
        <row r="29">
          <cell r="EG29">
            <v>0.47169811320754712</v>
          </cell>
        </row>
        <row r="30">
          <cell r="EG30">
            <v>0.74626865671641784</v>
          </cell>
        </row>
        <row r="31">
          <cell r="EG31">
            <v>0.9174311926605504</v>
          </cell>
        </row>
        <row r="32">
          <cell r="EG32">
            <v>0.4504504504504504</v>
          </cell>
        </row>
        <row r="33">
          <cell r="EG33">
            <v>0.79365079365079361</v>
          </cell>
        </row>
        <row r="34">
          <cell r="EG34">
            <v>0.88495575221238942</v>
          </cell>
        </row>
        <row r="35">
          <cell r="EG35">
            <v>0.61728395061728392</v>
          </cell>
        </row>
        <row r="36">
          <cell r="EG36">
            <v>0.76335877862595414</v>
          </cell>
        </row>
        <row r="37">
          <cell r="EG37">
            <v>0.81967213114754101</v>
          </cell>
        </row>
        <row r="38">
          <cell r="EG38">
            <v>0.88495575221238942</v>
          </cell>
        </row>
        <row r="39">
          <cell r="EG39">
            <v>1.0989010989010988</v>
          </cell>
        </row>
        <row r="40">
          <cell r="EG40">
            <v>1.1494252873563218</v>
          </cell>
        </row>
        <row r="41">
          <cell r="EG41">
            <v>0.3623188405797102</v>
          </cell>
        </row>
        <row r="42">
          <cell r="EG42">
            <v>0.47619047619047616</v>
          </cell>
        </row>
        <row r="43">
          <cell r="EG43">
            <v>0.75757575757575757</v>
          </cell>
        </row>
        <row r="44">
          <cell r="EG44">
            <v>0.56497175141242939</v>
          </cell>
        </row>
        <row r="45">
          <cell r="EG45">
            <v>0.625</v>
          </cell>
        </row>
        <row r="46">
          <cell r="EG46">
            <v>0.51546391752577325</v>
          </cell>
        </row>
        <row r="47">
          <cell r="EG47">
            <v>0.54347826086956519</v>
          </cell>
        </row>
        <row r="48">
          <cell r="EG48">
            <v>1</v>
          </cell>
        </row>
        <row r="49">
          <cell r="EG49">
            <v>0.78125</v>
          </cell>
        </row>
        <row r="50">
          <cell r="EG50">
            <v>1.3888888888888888</v>
          </cell>
        </row>
        <row r="51">
          <cell r="EG51">
            <v>1.3888888888888888</v>
          </cell>
        </row>
        <row r="52">
          <cell r="EG52">
            <v>0.87719298245614041</v>
          </cell>
        </row>
        <row r="53">
          <cell r="EG53">
            <v>1.2658227848101264</v>
          </cell>
        </row>
        <row r="54">
          <cell r="EG54">
            <v>0.65359477124183007</v>
          </cell>
        </row>
        <row r="55">
          <cell r="EG55">
            <v>0.43103448275862072</v>
          </cell>
        </row>
        <row r="56">
          <cell r="EG56">
            <v>1.6949152542372883</v>
          </cell>
        </row>
        <row r="57">
          <cell r="EG57">
            <v>0.52631578947368418</v>
          </cell>
        </row>
        <row r="58">
          <cell r="EG58">
            <v>1.1764705882352942</v>
          </cell>
        </row>
        <row r="59">
          <cell r="EG59">
            <v>1.0416666666666667</v>
          </cell>
        </row>
        <row r="60">
          <cell r="EG60">
            <v>1.25</v>
          </cell>
        </row>
        <row r="61">
          <cell r="EG61">
            <v>0.77519379844961234</v>
          </cell>
        </row>
        <row r="62">
          <cell r="EG62">
            <v>6.4350064350064351E-2</v>
          </cell>
        </row>
        <row r="63">
          <cell r="EG63">
            <v>0.36764705882352938</v>
          </cell>
        </row>
        <row r="64">
          <cell r="EG64">
            <v>1.1494252873563218</v>
          </cell>
        </row>
        <row r="65">
          <cell r="EG65">
            <v>0.83333333333333337</v>
          </cell>
        </row>
        <row r="66">
          <cell r="EG66">
            <v>0.64102564102564097</v>
          </cell>
        </row>
        <row r="67">
          <cell r="EG67">
            <v>2.1276595744680851</v>
          </cell>
        </row>
        <row r="68">
          <cell r="EG68">
            <v>0.96153846153846145</v>
          </cell>
        </row>
        <row r="69">
          <cell r="EG69">
            <v>1.5384615384615383</v>
          </cell>
        </row>
        <row r="70">
          <cell r="EG70">
            <v>1.0101010101010102</v>
          </cell>
        </row>
        <row r="71">
          <cell r="EG71">
            <v>0.63291139240506322</v>
          </cell>
        </row>
        <row r="72">
          <cell r="EG72">
            <v>1.5151515151515151</v>
          </cell>
        </row>
        <row r="73">
          <cell r="EG73">
            <v>1.0869565217391304</v>
          </cell>
        </row>
        <row r="74">
          <cell r="EG74">
            <v>1.3888888888888888</v>
          </cell>
        </row>
        <row r="75">
          <cell r="EG75">
            <v>1.2820512820512819</v>
          </cell>
        </row>
        <row r="76">
          <cell r="EG76">
            <v>1.5151515151515151</v>
          </cell>
        </row>
        <row r="77">
          <cell r="EG77">
            <v>0.85470085470085477</v>
          </cell>
        </row>
        <row r="78">
          <cell r="EG78">
            <v>2.2222222222222223</v>
          </cell>
        </row>
        <row r="79">
          <cell r="EG79">
            <v>1.4084507042253522</v>
          </cell>
        </row>
        <row r="80">
          <cell r="EG80">
            <v>1.0101010101010102</v>
          </cell>
        </row>
        <row r="81">
          <cell r="EG81">
            <v>1.7543859649122808</v>
          </cell>
        </row>
        <row r="82">
          <cell r="EG82">
            <v>0.970873786407767</v>
          </cell>
        </row>
        <row r="83">
          <cell r="EG83">
            <v>1.6129032258064517</v>
          </cell>
        </row>
        <row r="84">
          <cell r="EG84">
            <v>1.5384615384615383</v>
          </cell>
        </row>
        <row r="85">
          <cell r="EG85">
            <v>0.89285714285714279</v>
          </cell>
        </row>
        <row r="86">
          <cell r="EG86">
            <v>0.9009009009009008</v>
          </cell>
        </row>
        <row r="87">
          <cell r="EG87">
            <v>0.89285714285714279</v>
          </cell>
        </row>
        <row r="88">
          <cell r="EG88">
            <v>1.0416666666666667</v>
          </cell>
        </row>
        <row r="89">
          <cell r="EG89">
            <v>0.34843205574912889</v>
          </cell>
        </row>
        <row r="90">
          <cell r="EG90">
            <v>1.4925373134328357</v>
          </cell>
        </row>
        <row r="91">
          <cell r="EG91">
            <v>0.80645161290322587</v>
          </cell>
        </row>
        <row r="92">
          <cell r="EG92">
            <v>1.5625</v>
          </cell>
        </row>
        <row r="93">
          <cell r="EG93">
            <v>0.54945054945054939</v>
          </cell>
        </row>
        <row r="94">
          <cell r="EG94">
            <v>0.76335877862595414</v>
          </cell>
        </row>
        <row r="95">
          <cell r="EG95">
            <v>0.303951367781155</v>
          </cell>
        </row>
        <row r="96">
          <cell r="EG96">
            <v>0.77519379844961234</v>
          </cell>
        </row>
        <row r="97">
          <cell r="EG97">
            <v>1.3698630136986301</v>
          </cell>
        </row>
        <row r="98">
          <cell r="EG98">
            <v>0.43103448275862072</v>
          </cell>
        </row>
        <row r="99">
          <cell r="EG99">
            <v>1.2195121951219512</v>
          </cell>
        </row>
        <row r="100">
          <cell r="EG100">
            <v>0.82644628099173556</v>
          </cell>
        </row>
        <row r="101">
          <cell r="EG101">
            <v>0.80645161290322587</v>
          </cell>
        </row>
        <row r="102">
          <cell r="EG102">
            <v>0.76923076923076916</v>
          </cell>
        </row>
        <row r="103">
          <cell r="EG103">
            <v>0.44843049327354262</v>
          </cell>
        </row>
        <row r="104">
          <cell r="EG104">
            <v>1.0309278350515465</v>
          </cell>
        </row>
        <row r="105">
          <cell r="EG105">
            <v>0.46296296296296291</v>
          </cell>
        </row>
        <row r="106">
          <cell r="EG106">
            <v>0.36101083032490977</v>
          </cell>
        </row>
        <row r="107">
          <cell r="EG107">
            <v>0.70921985815602839</v>
          </cell>
        </row>
        <row r="108">
          <cell r="EG108">
            <v>0.96153846153846145</v>
          </cell>
        </row>
        <row r="109">
          <cell r="EG109">
            <v>0.57471264367816088</v>
          </cell>
        </row>
        <row r="110">
          <cell r="EG110">
            <v>0.96153846153846145</v>
          </cell>
        </row>
        <row r="111">
          <cell r="EG111">
            <v>0.51546391752577325</v>
          </cell>
        </row>
        <row r="112">
          <cell r="EG112">
            <v>1.0638297872340425</v>
          </cell>
        </row>
        <row r="113">
          <cell r="EG113">
            <v>1.2345679012345678</v>
          </cell>
        </row>
        <row r="114">
          <cell r="EG114">
            <v>0.5524861878453039</v>
          </cell>
        </row>
        <row r="115">
          <cell r="EG115">
            <v>0.87719298245614041</v>
          </cell>
        </row>
        <row r="116">
          <cell r="EG116">
            <v>0.73529411764705876</v>
          </cell>
        </row>
        <row r="117">
          <cell r="EG117">
            <v>0.70422535211267612</v>
          </cell>
        </row>
        <row r="118">
          <cell r="EG118">
            <v>0.35714285714285715</v>
          </cell>
        </row>
        <row r="119">
          <cell r="EG119">
            <v>0.5714285714285714</v>
          </cell>
        </row>
        <row r="120">
          <cell r="EG120">
            <v>0.49261083743842371</v>
          </cell>
        </row>
        <row r="121">
          <cell r="EG121">
            <v>0.27932960893854747</v>
          </cell>
        </row>
        <row r="122">
          <cell r="EG122">
            <v>1.2195121951219512</v>
          </cell>
        </row>
        <row r="123">
          <cell r="EG123">
            <v>0.51282051282051289</v>
          </cell>
        </row>
        <row r="124">
          <cell r="EG124">
            <v>0.5714285714285714</v>
          </cell>
        </row>
        <row r="125">
          <cell r="EG125">
            <v>0.5181347150259068</v>
          </cell>
        </row>
        <row r="126">
          <cell r="EG126">
            <v>0.16666666666666666</v>
          </cell>
        </row>
        <row r="127">
          <cell r="EG127">
            <v>0.93457943925233644</v>
          </cell>
        </row>
        <row r="128">
          <cell r="EG128">
            <v>1.639344262295082</v>
          </cell>
        </row>
        <row r="129">
          <cell r="EG129">
            <v>1.4285714285714286</v>
          </cell>
        </row>
        <row r="130">
          <cell r="EG130">
            <v>0.93457943925233644</v>
          </cell>
        </row>
        <row r="131">
          <cell r="EG131">
            <v>1.4084507042253522</v>
          </cell>
        </row>
        <row r="132">
          <cell r="EG132">
            <v>0.46511627906976744</v>
          </cell>
        </row>
        <row r="133">
          <cell r="EG133">
            <v>1.0869565217391304</v>
          </cell>
        </row>
        <row r="134">
          <cell r="EG134">
            <v>0.52083333333333337</v>
          </cell>
        </row>
        <row r="135">
          <cell r="EG135">
            <v>0.94339622641509424</v>
          </cell>
        </row>
        <row r="136">
          <cell r="EG136">
            <v>1.5151515151515151</v>
          </cell>
        </row>
        <row r="137">
          <cell r="EG137">
            <v>1.4705882352941175</v>
          </cell>
        </row>
        <row r="138">
          <cell r="EG138">
            <v>1.9230769230769229</v>
          </cell>
        </row>
        <row r="139">
          <cell r="EG139">
            <v>0.26954177897574122</v>
          </cell>
        </row>
        <row r="140">
          <cell r="EG140">
            <v>0.29154518950437314</v>
          </cell>
        </row>
        <row r="141">
          <cell r="EG141">
            <v>0.625</v>
          </cell>
        </row>
        <row r="142">
          <cell r="EG142">
            <v>0.970873786407767</v>
          </cell>
        </row>
        <row r="143">
          <cell r="EG143">
            <v>0.6097560975609756</v>
          </cell>
        </row>
        <row r="144">
          <cell r="EG144">
            <v>0.41152263374485593</v>
          </cell>
        </row>
        <row r="145">
          <cell r="EG145">
            <v>0.9174311926605504</v>
          </cell>
        </row>
        <row r="146">
          <cell r="EG146">
            <v>1.1627906976744187</v>
          </cell>
        </row>
        <row r="147">
          <cell r="EG147">
            <v>0.66666666666666663</v>
          </cell>
        </row>
        <row r="148">
          <cell r="EG148">
            <v>0.60606060606060608</v>
          </cell>
        </row>
        <row r="149">
          <cell r="EG149">
            <v>1.2195121951219512</v>
          </cell>
        </row>
        <row r="150">
          <cell r="EG150">
            <v>0.6097560975609756</v>
          </cell>
        </row>
        <row r="151">
          <cell r="EG151">
            <v>0.6097560975609756</v>
          </cell>
        </row>
        <row r="152">
          <cell r="EG152">
            <v>0.49751243781094534</v>
          </cell>
        </row>
        <row r="153">
          <cell r="EG153">
            <v>0.22172949002217296</v>
          </cell>
        </row>
        <row r="154">
          <cell r="EG154">
            <v>0.5780346820809249</v>
          </cell>
        </row>
        <row r="155">
          <cell r="EG155">
            <v>0.78740157480314954</v>
          </cell>
        </row>
        <row r="156">
          <cell r="EG156">
            <v>0.44247787610619471</v>
          </cell>
        </row>
        <row r="157">
          <cell r="EG157">
            <v>0.75757575757575757</v>
          </cell>
        </row>
        <row r="158">
          <cell r="EG158">
            <v>0.66225165562913912</v>
          </cell>
        </row>
        <row r="159">
          <cell r="EG159">
            <v>0.73529411764705876</v>
          </cell>
        </row>
        <row r="160">
          <cell r="EG160">
            <v>0.2293577981651376</v>
          </cell>
        </row>
        <row r="161">
          <cell r="EG161">
            <v>0.5181347150259068</v>
          </cell>
        </row>
        <row r="162">
          <cell r="EG162">
            <v>0.81967213114754101</v>
          </cell>
        </row>
        <row r="163">
          <cell r="EG163">
            <v>0.54054054054054046</v>
          </cell>
        </row>
        <row r="164">
          <cell r="EG164">
            <v>1.1494252873563218</v>
          </cell>
        </row>
        <row r="165">
          <cell r="EG165">
            <v>0.31645569620253161</v>
          </cell>
        </row>
        <row r="166">
          <cell r="EG166">
            <v>0.31446540880503143</v>
          </cell>
        </row>
        <row r="167">
          <cell r="EG167">
            <v>0.37174721189591081</v>
          </cell>
        </row>
        <row r="168">
          <cell r="EG168">
            <v>0.58479532163742687</v>
          </cell>
        </row>
        <row r="169">
          <cell r="EG169">
            <v>0.37735849056603776</v>
          </cell>
        </row>
        <row r="170">
          <cell r="EG170">
            <v>0.60240963855421692</v>
          </cell>
        </row>
        <row r="171">
          <cell r="EG171">
            <v>0.61349693251533743</v>
          </cell>
        </row>
        <row r="172">
          <cell r="EG172">
            <v>0.61349693251533743</v>
          </cell>
        </row>
        <row r="173">
          <cell r="EG173">
            <v>1.2820512820512819</v>
          </cell>
        </row>
        <row r="174">
          <cell r="EG174">
            <v>0.2386634844868735</v>
          </cell>
        </row>
        <row r="175">
          <cell r="EG175">
            <v>1.2658227848101264</v>
          </cell>
        </row>
        <row r="176">
          <cell r="EG176">
            <v>0.76923076923076916</v>
          </cell>
        </row>
        <row r="177">
          <cell r="EG177">
            <v>1.2658227848101264</v>
          </cell>
        </row>
        <row r="178">
          <cell r="EG178">
            <v>1.0204081632653061</v>
          </cell>
        </row>
        <row r="179">
          <cell r="EG179">
            <v>1.1363636363636365</v>
          </cell>
        </row>
        <row r="180">
          <cell r="EG180">
            <v>0.52356020942408377</v>
          </cell>
        </row>
        <row r="181">
          <cell r="EG181">
            <v>0.5524861878453039</v>
          </cell>
        </row>
        <row r="182">
          <cell r="EG182">
            <v>1.1363636363636365</v>
          </cell>
        </row>
        <row r="183">
          <cell r="EG183">
            <v>0.59171597633136097</v>
          </cell>
        </row>
        <row r="184">
          <cell r="EG184">
            <v>0.7142857142857143</v>
          </cell>
        </row>
        <row r="185">
          <cell r="EG185">
            <v>1.1764705882352942</v>
          </cell>
        </row>
        <row r="186">
          <cell r="EG186">
            <v>1.0416666666666667</v>
          </cell>
        </row>
        <row r="187">
          <cell r="EG187">
            <v>0.82644628099173556</v>
          </cell>
        </row>
        <row r="188">
          <cell r="EG188">
            <v>0.49261083743842371</v>
          </cell>
        </row>
        <row r="189">
          <cell r="EG189">
            <v>0.4366812227074236</v>
          </cell>
        </row>
        <row r="190">
          <cell r="EG190">
            <v>1.0204081632653061</v>
          </cell>
        </row>
        <row r="191">
          <cell r="EG191">
            <v>0.5617977528089888</v>
          </cell>
        </row>
        <row r="192">
          <cell r="EG192">
            <v>1.0638297872340425</v>
          </cell>
        </row>
        <row r="193">
          <cell r="EG193">
            <v>1.3888888888888888</v>
          </cell>
        </row>
        <row r="194">
          <cell r="EG194">
            <v>1.2345679012345678</v>
          </cell>
        </row>
        <row r="195">
          <cell r="EG195">
            <v>1.0869565217391304</v>
          </cell>
        </row>
        <row r="196">
          <cell r="EG196">
            <v>0.7246376811594204</v>
          </cell>
        </row>
        <row r="197">
          <cell r="EG197">
            <v>0.67114093959731547</v>
          </cell>
        </row>
        <row r="198">
          <cell r="EG198">
            <v>0.96153846153846145</v>
          </cell>
        </row>
        <row r="199">
          <cell r="EG199">
            <v>0.67567567567567566</v>
          </cell>
        </row>
        <row r="200">
          <cell r="EG200">
            <v>0.58823529411764708</v>
          </cell>
        </row>
        <row r="201">
          <cell r="EG201">
            <v>0.53475935828876997</v>
          </cell>
        </row>
        <row r="202">
          <cell r="EG202">
            <v>0.51282051282051289</v>
          </cell>
        </row>
        <row r="203">
          <cell r="EG203">
            <v>0.59523809523809523</v>
          </cell>
        </row>
        <row r="204">
          <cell r="EG204">
            <v>0.3236245954692557</v>
          </cell>
        </row>
        <row r="205">
          <cell r="EG205">
            <v>0.86206896551724144</v>
          </cell>
        </row>
        <row r="206">
          <cell r="EG206">
            <v>0.41841004184100417</v>
          </cell>
        </row>
        <row r="207">
          <cell r="EG207">
            <v>0.7246376811594204</v>
          </cell>
        </row>
        <row r="208">
          <cell r="EG208">
            <v>0.32786885245901642</v>
          </cell>
        </row>
        <row r="209">
          <cell r="EG209">
            <v>0.5</v>
          </cell>
        </row>
        <row r="210">
          <cell r="EG210">
            <v>0.58823529411764708</v>
          </cell>
        </row>
        <row r="211">
          <cell r="EG211">
            <v>0.64516129032258063</v>
          </cell>
        </row>
        <row r="212">
          <cell r="EG212">
            <v>0.94339622641509424</v>
          </cell>
        </row>
        <row r="213">
          <cell r="EG213">
            <v>1.0638297872340425</v>
          </cell>
        </row>
        <row r="214">
          <cell r="EG214">
            <v>1.3157894736842106</v>
          </cell>
        </row>
        <row r="215">
          <cell r="EG215">
            <v>1.25</v>
          </cell>
        </row>
        <row r="216">
          <cell r="EG216">
            <v>0.53475935828876997</v>
          </cell>
        </row>
        <row r="217">
          <cell r="EG217">
            <v>0.69930069930069938</v>
          </cell>
        </row>
        <row r="218">
          <cell r="EG218">
            <v>0.64102564102564097</v>
          </cell>
        </row>
        <row r="219">
          <cell r="EG219">
            <v>1.7857142857142856</v>
          </cell>
        </row>
        <row r="220">
          <cell r="EG220">
            <v>0.93457943925233644</v>
          </cell>
        </row>
        <row r="221">
          <cell r="EG221">
            <v>1.2195121951219512</v>
          </cell>
        </row>
        <row r="222">
          <cell r="EG222">
            <v>0.25188916876574308</v>
          </cell>
        </row>
        <row r="223">
          <cell r="EG223">
            <v>1.5384615384615383</v>
          </cell>
        </row>
        <row r="224">
          <cell r="EG224">
            <v>1.4705882352941175</v>
          </cell>
        </row>
        <row r="225">
          <cell r="EG225">
            <v>0.5617977528089888</v>
          </cell>
        </row>
        <row r="226">
          <cell r="EG226">
            <v>1.0526315789473684</v>
          </cell>
        </row>
        <row r="227">
          <cell r="EG227">
            <v>0.34965034965034969</v>
          </cell>
        </row>
        <row r="228">
          <cell r="EG228">
            <v>0.625</v>
          </cell>
        </row>
        <row r="229">
          <cell r="EG229">
            <v>1.6949152542372883</v>
          </cell>
        </row>
        <row r="230">
          <cell r="EG230">
            <v>0.49019607843137253</v>
          </cell>
        </row>
        <row r="231">
          <cell r="EG231">
            <v>1.0638297872340425</v>
          </cell>
        </row>
        <row r="232">
          <cell r="EG232">
            <v>0.4854368932038835</v>
          </cell>
        </row>
        <row r="233">
          <cell r="EG233">
            <v>0.69444444444444442</v>
          </cell>
        </row>
        <row r="234">
          <cell r="EG234">
            <v>0.29069767441860467</v>
          </cell>
        </row>
        <row r="235">
          <cell r="EG235">
            <v>1.3513513513513513</v>
          </cell>
        </row>
        <row r="236">
          <cell r="EG236">
            <v>0.66666666666666663</v>
          </cell>
        </row>
        <row r="237">
          <cell r="EG237">
            <v>0.56497175141242939</v>
          </cell>
        </row>
        <row r="238">
          <cell r="EG238">
            <v>0.96153846153846145</v>
          </cell>
        </row>
        <row r="239">
          <cell r="EG239">
            <v>0.4366812227074236</v>
          </cell>
        </row>
        <row r="240">
          <cell r="EG240">
            <v>0.58823529411764708</v>
          </cell>
        </row>
        <row r="241">
          <cell r="EG241">
            <v>1</v>
          </cell>
        </row>
        <row r="242">
          <cell r="EG242">
            <v>0.970873786407767</v>
          </cell>
        </row>
        <row r="243">
          <cell r="EG243">
            <v>0.32894736842105265</v>
          </cell>
        </row>
        <row r="244">
          <cell r="EG244">
            <v>0.16778523489932887</v>
          </cell>
        </row>
        <row r="245">
          <cell r="EG245">
            <v>1.3513513513513513</v>
          </cell>
        </row>
        <row r="246">
          <cell r="EG246">
            <v>0.41152263374485593</v>
          </cell>
        </row>
        <row r="247">
          <cell r="EG247">
            <v>0.64935064935064934</v>
          </cell>
        </row>
        <row r="248">
          <cell r="EG248">
            <v>0.35587188612099646</v>
          </cell>
        </row>
        <row r="249">
          <cell r="EG249">
            <v>0.38910505836575876</v>
          </cell>
        </row>
        <row r="250">
          <cell r="EG250">
            <v>0.96153846153846145</v>
          </cell>
        </row>
        <row r="251">
          <cell r="EG251">
            <v>0.76923076923076916</v>
          </cell>
        </row>
        <row r="252">
          <cell r="EG252">
            <v>0.70422535211267612</v>
          </cell>
        </row>
        <row r="253">
          <cell r="EG253">
            <v>1.3333333333333333</v>
          </cell>
        </row>
        <row r="254">
          <cell r="EG254">
            <v>0.25125628140703515</v>
          </cell>
        </row>
        <row r="255">
          <cell r="EG255">
            <v>0.2061855670103093</v>
          </cell>
        </row>
        <row r="256">
          <cell r="EG256">
            <v>0.81300813008130079</v>
          </cell>
        </row>
        <row r="257">
          <cell r="EG257">
            <v>0.970873786407767</v>
          </cell>
        </row>
        <row r="258">
          <cell r="EG258">
            <v>0.49504950495049505</v>
          </cell>
        </row>
        <row r="259">
          <cell r="EG259">
            <v>1.2658227848101264</v>
          </cell>
        </row>
        <row r="260">
          <cell r="EG260">
            <v>1.3333333333333333</v>
          </cell>
        </row>
        <row r="261">
          <cell r="EG261">
            <v>0.84745762711864414</v>
          </cell>
        </row>
        <row r="262">
          <cell r="EG262">
            <v>0.75187969924812026</v>
          </cell>
        </row>
        <row r="263">
          <cell r="EG263">
            <v>0.37878787878787878</v>
          </cell>
        </row>
        <row r="264">
          <cell r="EG264">
            <v>0.37735849056603776</v>
          </cell>
        </row>
        <row r="265">
          <cell r="EG265">
            <v>1.4705882352941175</v>
          </cell>
        </row>
        <row r="266">
          <cell r="EG266">
            <v>1.0101010101010102</v>
          </cell>
        </row>
        <row r="267">
          <cell r="EG267">
            <v>1.1904761904761905</v>
          </cell>
        </row>
        <row r="268">
          <cell r="EG268">
            <v>0.4065040650406504</v>
          </cell>
        </row>
        <row r="269">
          <cell r="EG269">
            <v>1.2345679012345678</v>
          </cell>
        </row>
        <row r="270">
          <cell r="EG270">
            <v>0.40485829959514169</v>
          </cell>
        </row>
        <row r="271">
          <cell r="EG271">
            <v>0.4587155963302752</v>
          </cell>
        </row>
        <row r="272">
          <cell r="EG272">
            <v>0.21551724137931036</v>
          </cell>
        </row>
        <row r="273">
          <cell r="EG273">
            <v>0.43859649122807021</v>
          </cell>
        </row>
        <row r="274">
          <cell r="EG274">
            <v>0.32786885245901642</v>
          </cell>
        </row>
        <row r="275">
          <cell r="EG275">
            <v>1.0638297872340425</v>
          </cell>
        </row>
        <row r="276">
          <cell r="EG276">
            <v>0.62893081761006286</v>
          </cell>
        </row>
        <row r="277">
          <cell r="EG277">
            <v>0.23529411764705882</v>
          </cell>
        </row>
        <row r="278">
          <cell r="EG278">
            <v>0.34965034965034969</v>
          </cell>
        </row>
        <row r="279">
          <cell r="EG279">
            <v>0.6211180124223602</v>
          </cell>
        </row>
        <row r="280">
          <cell r="EG280">
            <v>0.64516129032258063</v>
          </cell>
        </row>
        <row r="281">
          <cell r="EG281">
            <v>0.67114093959731547</v>
          </cell>
        </row>
        <row r="282">
          <cell r="EG282">
            <v>0.970873786407767</v>
          </cell>
        </row>
        <row r="283">
          <cell r="EG283">
            <v>0.51282051282051289</v>
          </cell>
        </row>
        <row r="284">
          <cell r="EG284">
            <v>0.28653295128939826</v>
          </cell>
        </row>
        <row r="285">
          <cell r="EG285">
            <v>0.2040816326530612</v>
          </cell>
        </row>
        <row r="286">
          <cell r="EG286">
            <v>0.1972386587771203</v>
          </cell>
        </row>
        <row r="287">
          <cell r="EG287">
            <v>0.84745762711864414</v>
          </cell>
        </row>
        <row r="288">
          <cell r="EG288">
            <v>0.6211180124223602</v>
          </cell>
        </row>
        <row r="289">
          <cell r="EG289">
            <v>0.75187969924812026</v>
          </cell>
        </row>
        <row r="290">
          <cell r="EG290">
            <v>0.69444444444444442</v>
          </cell>
        </row>
        <row r="291">
          <cell r="EG291">
            <v>1.075268817204301</v>
          </cell>
        </row>
        <row r="292">
          <cell r="EG292">
            <v>0.4065040650406504</v>
          </cell>
        </row>
        <row r="293">
          <cell r="EG293">
            <v>0.5988023952095809</v>
          </cell>
        </row>
        <row r="294">
          <cell r="EG294">
            <v>0.48780487804878053</v>
          </cell>
        </row>
        <row r="295">
          <cell r="EG295">
            <v>0.46082949308755761</v>
          </cell>
        </row>
        <row r="296">
          <cell r="EG296">
            <v>0.52356020942408377</v>
          </cell>
        </row>
        <row r="297">
          <cell r="EG297">
            <v>0.51546391752577325</v>
          </cell>
        </row>
        <row r="298">
          <cell r="EG298">
            <v>0.40485829959514169</v>
          </cell>
        </row>
        <row r="299">
          <cell r="EG299">
            <v>0.38167938931297707</v>
          </cell>
        </row>
        <row r="300">
          <cell r="EG300">
            <v>1.1627906976744187</v>
          </cell>
        </row>
        <row r="301">
          <cell r="EG301">
            <v>0.36101083032490977</v>
          </cell>
        </row>
        <row r="302">
          <cell r="EG302">
            <v>2.6925148088314484E-2</v>
          </cell>
        </row>
        <row r="303">
          <cell r="EG303">
            <v>0.9009009009009008</v>
          </cell>
        </row>
        <row r="304">
          <cell r="EG304">
            <v>0.64516129032258063</v>
          </cell>
        </row>
        <row r="305">
          <cell r="EG305">
            <v>0.79365079365079361</v>
          </cell>
        </row>
        <row r="306">
          <cell r="EG306">
            <v>0.4504504504504504</v>
          </cell>
        </row>
        <row r="307">
          <cell r="EG307">
            <v>0.42735042735042739</v>
          </cell>
        </row>
        <row r="308">
          <cell r="EG308">
            <v>1.8518518518518516</v>
          </cell>
        </row>
        <row r="309">
          <cell r="EG309">
            <v>0.43103448275862072</v>
          </cell>
        </row>
        <row r="310">
          <cell r="EG310">
            <v>0.90909090909090906</v>
          </cell>
        </row>
        <row r="311">
          <cell r="EG311">
            <v>0.5524861878453039</v>
          </cell>
        </row>
        <row r="312">
          <cell r="EG312">
            <v>0.5714285714285714</v>
          </cell>
        </row>
        <row r="313">
          <cell r="EG313">
            <v>0.7142857142857143</v>
          </cell>
        </row>
        <row r="314">
          <cell r="EG314">
            <v>1.0416666666666667</v>
          </cell>
        </row>
        <row r="315">
          <cell r="EG315">
            <v>0.32894736842105265</v>
          </cell>
        </row>
        <row r="316">
          <cell r="EG316">
            <v>0.34246575342465752</v>
          </cell>
        </row>
        <row r="317">
          <cell r="EG317">
            <v>0.86206896551724144</v>
          </cell>
        </row>
        <row r="318">
          <cell r="EG318">
            <v>0.1669449081803005</v>
          </cell>
        </row>
        <row r="319">
          <cell r="EG319">
            <v>0.16339869281045752</v>
          </cell>
        </row>
        <row r="320">
          <cell r="EG320">
            <v>0.56497175141242939</v>
          </cell>
        </row>
        <row r="321">
          <cell r="EG321">
            <v>0.27173913043478259</v>
          </cell>
        </row>
        <row r="322">
          <cell r="EG322">
            <v>1.0989010989010988</v>
          </cell>
        </row>
        <row r="323">
          <cell r="EG323">
            <v>0.59523809523809523</v>
          </cell>
        </row>
        <row r="324">
          <cell r="EG324">
            <v>0.56818181818181823</v>
          </cell>
        </row>
        <row r="325">
          <cell r="EG325">
            <v>0.29940119760479045</v>
          </cell>
        </row>
        <row r="326">
          <cell r="EG326">
            <v>0.49751243781094534</v>
          </cell>
        </row>
        <row r="327">
          <cell r="EG327">
            <v>0.4366812227074236</v>
          </cell>
        </row>
        <row r="328">
          <cell r="EG328">
            <v>0.36101083032490977</v>
          </cell>
        </row>
        <row r="329">
          <cell r="EG329">
            <v>0.70422535211267612</v>
          </cell>
        </row>
        <row r="330">
          <cell r="EG330">
            <v>0.96153846153846145</v>
          </cell>
        </row>
        <row r="331">
          <cell r="EG331">
            <v>0.47846889952153115</v>
          </cell>
        </row>
        <row r="332">
          <cell r="EG332">
            <v>0.63694267515923564</v>
          </cell>
        </row>
        <row r="333">
          <cell r="EG333">
            <v>0.59523809523809523</v>
          </cell>
        </row>
        <row r="334">
          <cell r="EG334">
            <v>0.67567567567567566</v>
          </cell>
        </row>
        <row r="335">
          <cell r="EG335">
            <v>0.93457943925233644</v>
          </cell>
        </row>
        <row r="336">
          <cell r="EG336">
            <v>0.44247787610619471</v>
          </cell>
        </row>
        <row r="337">
          <cell r="EG337">
            <v>0.5617977528089888</v>
          </cell>
        </row>
        <row r="338">
          <cell r="EG338">
            <v>0.51282051282051289</v>
          </cell>
        </row>
        <row r="339">
          <cell r="EG339">
            <v>0.53475935828876997</v>
          </cell>
        </row>
        <row r="340">
          <cell r="EG340">
            <v>1.0526315789473684</v>
          </cell>
        </row>
        <row r="341">
          <cell r="EG341">
            <v>1.2658227848101264</v>
          </cell>
        </row>
        <row r="342">
          <cell r="EG342">
            <v>0.32573289902280134</v>
          </cell>
        </row>
        <row r="343">
          <cell r="EG343">
            <v>0.390625</v>
          </cell>
        </row>
        <row r="344">
          <cell r="EG344">
            <v>1.0101010101010102</v>
          </cell>
        </row>
        <row r="345">
          <cell r="EG345">
            <v>0.41493775933609955</v>
          </cell>
        </row>
        <row r="346">
          <cell r="EG346">
            <v>2.1739130434782608</v>
          </cell>
        </row>
        <row r="347">
          <cell r="EG347">
            <v>1.1363636363636365</v>
          </cell>
        </row>
        <row r="348">
          <cell r="EG348">
            <v>0.7142857142857143</v>
          </cell>
        </row>
        <row r="349">
          <cell r="EG349">
            <v>0.29850746268656714</v>
          </cell>
        </row>
        <row r="350">
          <cell r="EG350">
            <v>0.23640661938534277</v>
          </cell>
        </row>
        <row r="351">
          <cell r="EG351">
            <v>0.36900369003690037</v>
          </cell>
        </row>
        <row r="352">
          <cell r="EG352">
            <v>0.2061855670103093</v>
          </cell>
        </row>
        <row r="353">
          <cell r="EG353">
            <v>0.88495575221238942</v>
          </cell>
        </row>
        <row r="354">
          <cell r="EG354">
            <v>0.95238095238095233</v>
          </cell>
        </row>
        <row r="355">
          <cell r="EG355">
            <v>0.50251256281407031</v>
          </cell>
        </row>
        <row r="356">
          <cell r="EG356">
            <v>0.80645161290322587</v>
          </cell>
        </row>
        <row r="357">
          <cell r="EG357">
            <v>0.7246376811594204</v>
          </cell>
        </row>
        <row r="358">
          <cell r="EG358">
            <v>0.76335877862595414</v>
          </cell>
        </row>
        <row r="359">
          <cell r="EG359">
            <v>0.52083333333333337</v>
          </cell>
        </row>
        <row r="360">
          <cell r="EG360">
            <v>1.5873015873015872</v>
          </cell>
        </row>
        <row r="361">
          <cell r="EG361">
            <v>1.2048192771084338</v>
          </cell>
        </row>
        <row r="362">
          <cell r="EG362">
            <v>0.65359477124183007</v>
          </cell>
        </row>
        <row r="363">
          <cell r="EG363">
            <v>0.53475935828876997</v>
          </cell>
        </row>
        <row r="364">
          <cell r="EG364">
            <v>0.85470085470085477</v>
          </cell>
        </row>
        <row r="365">
          <cell r="EG365">
            <v>0.42553191489361702</v>
          </cell>
        </row>
        <row r="366">
          <cell r="EG366">
            <v>0.85470085470085477</v>
          </cell>
        </row>
        <row r="367">
          <cell r="EG367">
            <v>0.94339622641509424</v>
          </cell>
        </row>
        <row r="368">
          <cell r="EG368">
            <v>0.7407407407407407</v>
          </cell>
        </row>
        <row r="369">
          <cell r="EG369">
            <v>0.76923076923076916</v>
          </cell>
        </row>
        <row r="370">
          <cell r="EG370">
            <v>0.34722222222222221</v>
          </cell>
        </row>
        <row r="371">
          <cell r="EG371">
            <v>0.81967213114754101</v>
          </cell>
        </row>
        <row r="372">
          <cell r="EG372">
            <v>0.44843049327354262</v>
          </cell>
        </row>
        <row r="373">
          <cell r="EG373">
            <v>1.2987012987012987</v>
          </cell>
        </row>
        <row r="374">
          <cell r="EG374">
            <v>0.29498525073746312</v>
          </cell>
        </row>
        <row r="375">
          <cell r="EG375">
            <v>1.5873015873015872</v>
          </cell>
        </row>
        <row r="376">
          <cell r="EG376">
            <v>0.40160642570281119</v>
          </cell>
        </row>
        <row r="377">
          <cell r="EG377">
            <v>0.5617977528089888</v>
          </cell>
        </row>
        <row r="378">
          <cell r="EG378">
            <v>0.5524861878453039</v>
          </cell>
        </row>
        <row r="379">
          <cell r="EG379">
            <v>0.39370078740157477</v>
          </cell>
        </row>
        <row r="380">
          <cell r="EG380">
            <v>0.42553191489361702</v>
          </cell>
        </row>
        <row r="381">
          <cell r="EG381">
            <v>0.99009900990099009</v>
          </cell>
        </row>
        <row r="382">
          <cell r="EG382">
            <v>0.59523809523809523</v>
          </cell>
        </row>
        <row r="383">
          <cell r="EG383">
            <v>0.48076923076923073</v>
          </cell>
        </row>
        <row r="384">
          <cell r="EG384">
            <v>0.69930069930069938</v>
          </cell>
        </row>
        <row r="385">
          <cell r="EG385">
            <v>0.5</v>
          </cell>
        </row>
        <row r="386">
          <cell r="EG386">
            <v>1.2195121951219512</v>
          </cell>
        </row>
        <row r="387">
          <cell r="EG387">
            <v>0.75757575757575757</v>
          </cell>
        </row>
        <row r="388">
          <cell r="EG388">
            <v>0.71942446043165476</v>
          </cell>
        </row>
        <row r="389">
          <cell r="EG389">
            <v>0.44843049327354262</v>
          </cell>
        </row>
        <row r="390">
          <cell r="EG390">
            <v>0.93457943925233644</v>
          </cell>
        </row>
        <row r="391">
          <cell r="EG391">
            <v>1.2987012987012987</v>
          </cell>
        </row>
        <row r="392">
          <cell r="EG392">
            <v>0.67567567567567566</v>
          </cell>
        </row>
        <row r="393">
          <cell r="EG393">
            <v>1.075268817204301</v>
          </cell>
        </row>
        <row r="394">
          <cell r="EG394">
            <v>0.52631578947368418</v>
          </cell>
        </row>
        <row r="395">
          <cell r="EG395">
            <v>0.68493150684931503</v>
          </cell>
        </row>
        <row r="396">
          <cell r="EG396">
            <v>1.0204081632653061</v>
          </cell>
        </row>
        <row r="397">
          <cell r="EG397">
            <v>0.43103448275862072</v>
          </cell>
        </row>
        <row r="398">
          <cell r="EG398">
            <v>0.65359477124183007</v>
          </cell>
        </row>
        <row r="399">
          <cell r="EG399">
            <v>0.72992700729927007</v>
          </cell>
        </row>
        <row r="400">
          <cell r="EG400">
            <v>0.73529411764705876</v>
          </cell>
        </row>
        <row r="401">
          <cell r="EG401">
            <v>9.9206349206349201E-2</v>
          </cell>
        </row>
        <row r="402">
          <cell r="EG402">
            <v>0.88495575221238942</v>
          </cell>
        </row>
        <row r="403">
          <cell r="EG403">
            <v>1.1627906976744187</v>
          </cell>
        </row>
        <row r="404">
          <cell r="EG404">
            <v>1.2987012987012987</v>
          </cell>
        </row>
        <row r="405">
          <cell r="EG405">
            <v>0.26455026455026459</v>
          </cell>
        </row>
        <row r="406">
          <cell r="EG406">
            <v>1.3698630136986301</v>
          </cell>
        </row>
        <row r="407">
          <cell r="EG407">
            <v>0.53475935828876997</v>
          </cell>
        </row>
        <row r="408">
          <cell r="EG408">
            <v>1.2658227848101264</v>
          </cell>
        </row>
        <row r="409">
          <cell r="EG409">
            <v>1.6129032258064517</v>
          </cell>
        </row>
        <row r="410">
          <cell r="EG410">
            <v>1.4705882352941175</v>
          </cell>
        </row>
        <row r="411">
          <cell r="EG411">
            <v>1.0309278350515465</v>
          </cell>
        </row>
        <row r="412">
          <cell r="EG412">
            <v>1.2195121951219512</v>
          </cell>
        </row>
        <row r="413">
          <cell r="EG413">
            <v>0.54644808743169393</v>
          </cell>
        </row>
        <row r="414">
          <cell r="EG414">
            <v>0.82644628099173556</v>
          </cell>
        </row>
        <row r="415">
          <cell r="EG415">
            <v>0.88495575221238942</v>
          </cell>
        </row>
        <row r="416">
          <cell r="EG416">
            <v>0.86206896551724144</v>
          </cell>
        </row>
        <row r="417">
          <cell r="EG417">
            <v>0.75187969924812026</v>
          </cell>
        </row>
        <row r="418">
          <cell r="EG418">
            <v>0.64516129032258063</v>
          </cell>
        </row>
        <row r="419">
          <cell r="EG419">
            <v>0.3968253968253968</v>
          </cell>
        </row>
        <row r="420">
          <cell r="EG420">
            <v>1.25</v>
          </cell>
        </row>
        <row r="421">
          <cell r="EG421">
            <v>1.0869565217391304</v>
          </cell>
        </row>
        <row r="422">
          <cell r="EG422">
            <v>0.73529411764705876</v>
          </cell>
        </row>
        <row r="423">
          <cell r="EG423">
            <v>0.94339622641509424</v>
          </cell>
        </row>
        <row r="424">
          <cell r="EG424">
            <v>1.2345679012345678</v>
          </cell>
        </row>
        <row r="425">
          <cell r="EG425">
            <v>0.7246376811594204</v>
          </cell>
        </row>
        <row r="426">
          <cell r="EG426">
            <v>1.075268817204301</v>
          </cell>
        </row>
        <row r="427">
          <cell r="EG427">
            <v>1.0526315789473684</v>
          </cell>
        </row>
        <row r="428">
          <cell r="EG428">
            <v>0.89285714285714279</v>
          </cell>
        </row>
        <row r="429">
          <cell r="EG429">
            <v>0.93457943925233644</v>
          </cell>
        </row>
        <row r="430">
          <cell r="EG430">
            <v>0.4464285714285714</v>
          </cell>
        </row>
        <row r="431">
          <cell r="EG431">
            <v>0.73529411764705876</v>
          </cell>
        </row>
        <row r="432">
          <cell r="EG432">
            <v>0.78125</v>
          </cell>
        </row>
        <row r="433">
          <cell r="EG433">
            <v>0.81967213114754101</v>
          </cell>
        </row>
        <row r="434">
          <cell r="EG434">
            <v>1.0638297872340425</v>
          </cell>
        </row>
        <row r="435">
          <cell r="EG435">
            <v>0.6097560975609756</v>
          </cell>
        </row>
        <row r="436">
          <cell r="EG436">
            <v>0.38314176245210729</v>
          </cell>
        </row>
        <row r="437">
          <cell r="EG437">
            <v>0.44843049327354262</v>
          </cell>
        </row>
        <row r="438">
          <cell r="EG438">
            <v>0.22075055187637968</v>
          </cell>
        </row>
        <row r="439">
          <cell r="EG439">
            <v>0.80645161290322587</v>
          </cell>
        </row>
        <row r="440">
          <cell r="EG440">
            <v>0.17152658662092624</v>
          </cell>
        </row>
        <row r="441">
          <cell r="EG441">
            <v>0.51546391752577325</v>
          </cell>
        </row>
        <row r="442">
          <cell r="EG442">
            <v>0.46948356807511737</v>
          </cell>
        </row>
        <row r="443">
          <cell r="EG443">
            <v>0.33444816053511706</v>
          </cell>
        </row>
        <row r="444">
          <cell r="EG444">
            <v>0.74626865671641784</v>
          </cell>
        </row>
        <row r="445">
          <cell r="EG445">
            <v>0.44843049327354262</v>
          </cell>
        </row>
        <row r="446">
          <cell r="EG446">
            <v>0.19960079840319361</v>
          </cell>
        </row>
        <row r="447">
          <cell r="EG447">
            <v>0.65789473684210531</v>
          </cell>
        </row>
        <row r="448">
          <cell r="EG448">
            <v>1.0638297872340425</v>
          </cell>
        </row>
        <row r="449">
          <cell r="EG449">
            <v>0.45662100456621008</v>
          </cell>
        </row>
        <row r="450">
          <cell r="EG450">
            <v>0.5</v>
          </cell>
        </row>
        <row r="451">
          <cell r="EG451">
            <v>0.5376344086021505</v>
          </cell>
        </row>
        <row r="452">
          <cell r="EG452">
            <v>0.3058103975535168</v>
          </cell>
        </row>
        <row r="453">
          <cell r="EG453">
            <v>0.52910052910052918</v>
          </cell>
        </row>
        <row r="454">
          <cell r="EG454">
            <v>0.4329004329004329</v>
          </cell>
        </row>
        <row r="455">
          <cell r="EG455">
            <v>0.85470085470085477</v>
          </cell>
        </row>
        <row r="456">
          <cell r="EG456">
            <v>0.46296296296296291</v>
          </cell>
        </row>
        <row r="457">
          <cell r="EG457">
            <v>0.7407407407407407</v>
          </cell>
        </row>
        <row r="458">
          <cell r="EG458">
            <v>1.0416666666666667</v>
          </cell>
        </row>
        <row r="459">
          <cell r="EG459">
            <v>0.6211180124223602</v>
          </cell>
        </row>
        <row r="460">
          <cell r="EG460">
            <v>0.54054054054054046</v>
          </cell>
        </row>
        <row r="461">
          <cell r="EG461">
            <v>0.6211180124223602</v>
          </cell>
        </row>
        <row r="462">
          <cell r="EG462">
            <v>0.82644628099173556</v>
          </cell>
        </row>
        <row r="463">
          <cell r="EG463">
            <v>0.34965034965034969</v>
          </cell>
        </row>
        <row r="464">
          <cell r="EG464">
            <v>0.34722222222222221</v>
          </cell>
        </row>
        <row r="465">
          <cell r="EG465">
            <v>0.3401360544217687</v>
          </cell>
        </row>
        <row r="466">
          <cell r="EG466">
            <v>0.89285714285714279</v>
          </cell>
        </row>
        <row r="467">
          <cell r="EG467">
            <v>0.69444444444444442</v>
          </cell>
        </row>
        <row r="468">
          <cell r="EG468">
            <v>0.33222591362126247</v>
          </cell>
        </row>
        <row r="469">
          <cell r="EG469">
            <v>0.27777777777777779</v>
          </cell>
        </row>
        <row r="470">
          <cell r="EG470">
            <v>0.84745762711864414</v>
          </cell>
        </row>
        <row r="471">
          <cell r="EG471">
            <v>0.47846889952153115</v>
          </cell>
        </row>
        <row r="472">
          <cell r="EG472">
            <v>0.7407407407407407</v>
          </cell>
        </row>
        <row r="473">
          <cell r="EG473">
            <v>1.1764705882352942</v>
          </cell>
        </row>
        <row r="474">
          <cell r="EG474">
            <v>0.24449877750611249</v>
          </cell>
        </row>
        <row r="475">
          <cell r="EG475">
            <v>0.34602076124567471</v>
          </cell>
        </row>
        <row r="476">
          <cell r="EG476">
            <v>0.60606060606060608</v>
          </cell>
        </row>
        <row r="477">
          <cell r="EG477">
            <v>0.32679738562091504</v>
          </cell>
        </row>
        <row r="478">
          <cell r="EG478">
            <v>0.21367521367521369</v>
          </cell>
        </row>
        <row r="479">
          <cell r="EG479">
            <v>0.51546391752577325</v>
          </cell>
        </row>
        <row r="480">
          <cell r="EG480">
            <v>0.3115264797507788</v>
          </cell>
        </row>
        <row r="481">
          <cell r="EG481">
            <v>0.68965517241379315</v>
          </cell>
        </row>
        <row r="482">
          <cell r="EG482">
            <v>0.26595744680851063</v>
          </cell>
        </row>
        <row r="483">
          <cell r="EG483">
            <v>0.7246376811594204</v>
          </cell>
        </row>
        <row r="484">
          <cell r="EG484">
            <v>1.3698630136986301</v>
          </cell>
        </row>
        <row r="485">
          <cell r="EG485">
            <v>0.54945054945054939</v>
          </cell>
        </row>
        <row r="486">
          <cell r="EG486">
            <v>0.53475935828876997</v>
          </cell>
        </row>
        <row r="487">
          <cell r="EG487">
            <v>0.74626865671641784</v>
          </cell>
        </row>
        <row r="488">
          <cell r="EG488">
            <v>0.32051282051282048</v>
          </cell>
        </row>
        <row r="489">
          <cell r="EG489">
            <v>0.46082949308755761</v>
          </cell>
        </row>
        <row r="490">
          <cell r="EG490">
            <v>0.49504950495049505</v>
          </cell>
        </row>
        <row r="491">
          <cell r="EG491">
            <v>0.49751243781094534</v>
          </cell>
        </row>
        <row r="492">
          <cell r="EG492">
            <v>0.29850746268656714</v>
          </cell>
        </row>
        <row r="493">
          <cell r="EG493">
            <v>0.34246575342465752</v>
          </cell>
        </row>
        <row r="494">
          <cell r="EG494">
            <v>0.27027027027027023</v>
          </cell>
        </row>
        <row r="495">
          <cell r="EG495">
            <v>0.63694267515923564</v>
          </cell>
        </row>
        <row r="496">
          <cell r="EG496">
            <v>0.303951367781155</v>
          </cell>
        </row>
        <row r="497">
          <cell r="EG497">
            <v>0.42735042735042739</v>
          </cell>
        </row>
        <row r="498">
          <cell r="EG498">
            <v>0.38759689922480617</v>
          </cell>
        </row>
        <row r="499">
          <cell r="EG499">
            <v>7.3637702503681887E-2</v>
          </cell>
        </row>
        <row r="500">
          <cell r="EG500">
            <v>0.39370078740157477</v>
          </cell>
        </row>
        <row r="501">
          <cell r="EG501">
            <v>0.38167938931297707</v>
          </cell>
        </row>
        <row r="502">
          <cell r="EG502">
            <v>0.46511627906976744</v>
          </cell>
        </row>
        <row r="503">
          <cell r="EG503">
            <v>1.0416666666666667</v>
          </cell>
        </row>
        <row r="504">
          <cell r="EG504">
            <v>0.67567567567567566</v>
          </cell>
        </row>
        <row r="505">
          <cell r="EG505">
            <v>0.52083333333333337</v>
          </cell>
        </row>
        <row r="506">
          <cell r="EG506">
            <v>0.49261083743842371</v>
          </cell>
        </row>
        <row r="507">
          <cell r="EG507">
            <v>0.76335877862595414</v>
          </cell>
        </row>
        <row r="508">
          <cell r="EG508">
            <v>0.58479532163742687</v>
          </cell>
        </row>
        <row r="509">
          <cell r="EG509">
            <v>0.32679738562091504</v>
          </cell>
        </row>
        <row r="510">
          <cell r="EG510">
            <v>0.2304147465437788</v>
          </cell>
        </row>
        <row r="511">
          <cell r="EG511">
            <v>0.53191489361702127</v>
          </cell>
        </row>
        <row r="512">
          <cell r="EG512">
            <v>0.47169811320754712</v>
          </cell>
        </row>
        <row r="513">
          <cell r="EG513">
            <v>0.54054054054054046</v>
          </cell>
        </row>
        <row r="514">
          <cell r="EG514">
            <v>0.90909090909090906</v>
          </cell>
        </row>
        <row r="515">
          <cell r="EG515">
            <v>0.35211267605633806</v>
          </cell>
        </row>
        <row r="516">
          <cell r="EG516">
            <v>0.4587155963302752</v>
          </cell>
        </row>
        <row r="517">
          <cell r="EG517">
            <v>0.625</v>
          </cell>
        </row>
        <row r="518">
          <cell r="EG518">
            <v>0.7407407407407407</v>
          </cell>
        </row>
        <row r="519">
          <cell r="EG519">
            <v>1.0104071940992221E-2</v>
          </cell>
        </row>
        <row r="520">
          <cell r="EG520">
            <v>0.32573289902280134</v>
          </cell>
        </row>
        <row r="521">
          <cell r="EG521">
            <v>0.59523809523809523</v>
          </cell>
        </row>
        <row r="522">
          <cell r="EG522">
            <v>0.6097560975609756</v>
          </cell>
        </row>
        <row r="523">
          <cell r="EG523">
            <v>0.34722222222222221</v>
          </cell>
        </row>
        <row r="524">
          <cell r="EG524">
            <v>0.9174311926605504</v>
          </cell>
        </row>
        <row r="525">
          <cell r="EG525">
            <v>0.64935064935064934</v>
          </cell>
        </row>
        <row r="526">
          <cell r="EG526">
            <v>0.23923444976076558</v>
          </cell>
        </row>
        <row r="527">
          <cell r="EG527">
            <v>0.59523809523809523</v>
          </cell>
        </row>
        <row r="528">
          <cell r="EG528">
            <v>0.38759689922480617</v>
          </cell>
        </row>
        <row r="529">
          <cell r="EG529">
            <v>0.37735849056603776</v>
          </cell>
        </row>
        <row r="530">
          <cell r="EG530">
            <v>0.55865921787709494</v>
          </cell>
        </row>
        <row r="531">
          <cell r="EG531">
            <v>0.16750418760469013</v>
          </cell>
        </row>
        <row r="532">
          <cell r="EG532">
            <v>0.53475935828876997</v>
          </cell>
        </row>
        <row r="533">
          <cell r="EG533">
            <v>0.34246575342465752</v>
          </cell>
        </row>
        <row r="534">
          <cell r="EG534">
            <v>0.38610038610038611</v>
          </cell>
        </row>
        <row r="535">
          <cell r="EG535">
            <v>0.69930069930069938</v>
          </cell>
        </row>
        <row r="536">
          <cell r="EG536">
            <v>0.87719298245614041</v>
          </cell>
        </row>
        <row r="537">
          <cell r="EG537">
            <v>0.49261083743842371</v>
          </cell>
        </row>
        <row r="538">
          <cell r="EG538">
            <v>0.37878787878787878</v>
          </cell>
        </row>
        <row r="539">
          <cell r="EG539">
            <v>0.36630036630036628</v>
          </cell>
        </row>
        <row r="540">
          <cell r="EG540">
            <v>0.4098360655737705</v>
          </cell>
        </row>
        <row r="541">
          <cell r="EG541">
            <v>0.81967213114754101</v>
          </cell>
        </row>
        <row r="542">
          <cell r="EG542">
            <v>0.30864197530864196</v>
          </cell>
        </row>
        <row r="543">
          <cell r="EG543">
            <v>0.18691588785046731</v>
          </cell>
        </row>
        <row r="544">
          <cell r="EG544">
            <v>0.36900369003690037</v>
          </cell>
        </row>
        <row r="545">
          <cell r="EG545">
            <v>0.13245033112582782</v>
          </cell>
        </row>
        <row r="546">
          <cell r="EG546">
            <v>0.58139534883720934</v>
          </cell>
        </row>
        <row r="547">
          <cell r="EG547">
            <v>0.94339622641509424</v>
          </cell>
        </row>
        <row r="548">
          <cell r="EG548">
            <v>1.5625</v>
          </cell>
        </row>
        <row r="549">
          <cell r="EG549">
            <v>0.75757575757575757</v>
          </cell>
        </row>
        <row r="550">
          <cell r="EG550">
            <v>0.58823529411764708</v>
          </cell>
        </row>
        <row r="551">
          <cell r="EG551">
            <v>0.66666666666666663</v>
          </cell>
        </row>
        <row r="552">
          <cell r="EG552">
            <v>1.2658227848101264</v>
          </cell>
        </row>
        <row r="553">
          <cell r="EG553">
            <v>1.2345679012345678</v>
          </cell>
        </row>
        <row r="554">
          <cell r="EG554">
            <v>1.2345679012345678</v>
          </cell>
        </row>
        <row r="555">
          <cell r="EG555">
            <v>4.7096500729995761E-3</v>
          </cell>
        </row>
        <row r="556">
          <cell r="EG556">
            <v>1.5384615384615383</v>
          </cell>
        </row>
        <row r="557">
          <cell r="EG557">
            <v>0.28409090909090912</v>
          </cell>
        </row>
        <row r="558">
          <cell r="EG558">
            <v>0.58479532163742687</v>
          </cell>
        </row>
        <row r="559">
          <cell r="EG559">
            <v>0.49019607843137253</v>
          </cell>
        </row>
        <row r="560">
          <cell r="EG560">
            <v>0.970873786407767</v>
          </cell>
        </row>
        <row r="561">
          <cell r="EG561">
            <v>1.0869565217391304</v>
          </cell>
        </row>
        <row r="562">
          <cell r="EG562">
            <v>0.95238095238095233</v>
          </cell>
        </row>
        <row r="563">
          <cell r="EG563">
            <v>1.3513513513513513</v>
          </cell>
        </row>
        <row r="564">
          <cell r="EG564">
            <v>0.87719298245614041</v>
          </cell>
        </row>
        <row r="565">
          <cell r="EG565">
            <v>0.75757575757575757</v>
          </cell>
        </row>
        <row r="566">
          <cell r="EG566">
            <v>0.78125</v>
          </cell>
        </row>
        <row r="567">
          <cell r="EG567">
            <v>0.68493150684931503</v>
          </cell>
        </row>
        <row r="568">
          <cell r="EG568">
            <v>0.80645161290322587</v>
          </cell>
        </row>
        <row r="569">
          <cell r="EG569">
            <v>0.81967213114754101</v>
          </cell>
        </row>
        <row r="570">
          <cell r="EG570">
            <v>0.73529411764705876</v>
          </cell>
        </row>
        <row r="571">
          <cell r="EG571">
            <v>0.69444444444444442</v>
          </cell>
        </row>
        <row r="572">
          <cell r="EG572">
            <v>0.84745762711864414</v>
          </cell>
        </row>
        <row r="573">
          <cell r="EG573">
            <v>0.85470085470085477</v>
          </cell>
        </row>
        <row r="574">
          <cell r="EG574">
            <v>0.83333333333333337</v>
          </cell>
        </row>
        <row r="575">
          <cell r="EG575">
            <v>0.5376344086021505</v>
          </cell>
        </row>
        <row r="576">
          <cell r="EG576">
            <v>0.41493775933609955</v>
          </cell>
        </row>
        <row r="577">
          <cell r="EG577">
            <v>1.0526315789473684</v>
          </cell>
        </row>
        <row r="578">
          <cell r="EG578">
            <v>1.0416666666666667</v>
          </cell>
        </row>
        <row r="579">
          <cell r="EG579">
            <v>0.99009900990099009</v>
          </cell>
        </row>
        <row r="580">
          <cell r="EG580">
            <v>0.73529411764705876</v>
          </cell>
        </row>
        <row r="581">
          <cell r="EG581">
            <v>0.970873786407767</v>
          </cell>
        </row>
        <row r="582">
          <cell r="EG582">
            <v>0.4</v>
          </cell>
        </row>
        <row r="583">
          <cell r="EG583">
            <v>0.67567567567567566</v>
          </cell>
        </row>
        <row r="584">
          <cell r="EG584">
            <v>0.35211267605633806</v>
          </cell>
        </row>
        <row r="585">
          <cell r="EG585">
            <v>0.69444444444444442</v>
          </cell>
        </row>
        <row r="586">
          <cell r="EG586">
            <v>0.86956521739130443</v>
          </cell>
        </row>
        <row r="587">
          <cell r="EG587">
            <v>0.55865921787709494</v>
          </cell>
        </row>
        <row r="588">
          <cell r="EG588">
            <v>0.72992700729927007</v>
          </cell>
        </row>
        <row r="589">
          <cell r="EG589">
            <v>0.51020408163265307</v>
          </cell>
        </row>
        <row r="590">
          <cell r="EG590">
            <v>0.42194092827004215</v>
          </cell>
        </row>
        <row r="591">
          <cell r="EG591">
            <v>0.22222222222222221</v>
          </cell>
        </row>
        <row r="592">
          <cell r="EG592">
            <v>0.41666666666666669</v>
          </cell>
        </row>
        <row r="593">
          <cell r="EG593">
            <v>0.47393364928909953</v>
          </cell>
        </row>
        <row r="594">
          <cell r="EG594">
            <v>0.62893081761006286</v>
          </cell>
        </row>
        <row r="595">
          <cell r="EG595">
            <v>0.2824858757062147</v>
          </cell>
        </row>
        <row r="596">
          <cell r="EG596">
            <v>0.87719298245614041</v>
          </cell>
        </row>
        <row r="597">
          <cell r="EG597">
            <v>1</v>
          </cell>
        </row>
        <row r="598">
          <cell r="EG598">
            <v>0.9009009009009008</v>
          </cell>
        </row>
        <row r="599">
          <cell r="EG599">
            <v>0.92592592592592582</v>
          </cell>
        </row>
        <row r="600">
          <cell r="EG600">
            <v>0.32894736842105265</v>
          </cell>
        </row>
        <row r="601">
          <cell r="EG601">
            <v>1.0638297872340425</v>
          </cell>
        </row>
        <row r="602">
          <cell r="EG602">
            <v>0.27548209366391185</v>
          </cell>
        </row>
        <row r="603">
          <cell r="EG603">
            <v>0.125</v>
          </cell>
        </row>
        <row r="604">
          <cell r="EG604">
            <v>1.4705882352941175</v>
          </cell>
        </row>
        <row r="605">
          <cell r="EG605">
            <v>0.23923444976076558</v>
          </cell>
        </row>
        <row r="606">
          <cell r="EG606">
            <v>1.0869565217391304</v>
          </cell>
        </row>
        <row r="607">
          <cell r="EG607">
            <v>0.2610966057441253</v>
          </cell>
        </row>
        <row r="608">
          <cell r="EG608">
            <v>0.36764705882352938</v>
          </cell>
        </row>
        <row r="609">
          <cell r="EG609">
            <v>0.32679738562091504</v>
          </cell>
        </row>
        <row r="610">
          <cell r="EG610">
            <v>1</v>
          </cell>
        </row>
        <row r="611">
          <cell r="EG611">
            <v>0.52910052910052918</v>
          </cell>
        </row>
        <row r="612">
          <cell r="EG612">
            <v>1</v>
          </cell>
        </row>
        <row r="613">
          <cell r="EG613">
            <v>0.5714285714285714</v>
          </cell>
        </row>
        <row r="614">
          <cell r="EG614">
            <v>0.22831050228310504</v>
          </cell>
        </row>
        <row r="615">
          <cell r="EG615">
            <v>0.20746887966804978</v>
          </cell>
        </row>
        <row r="616">
          <cell r="EG616">
            <v>0.75187969924812026</v>
          </cell>
        </row>
        <row r="617">
          <cell r="EG617">
            <v>1.0526315789473684</v>
          </cell>
        </row>
        <row r="618">
          <cell r="EG618">
            <v>1.1494252873563218</v>
          </cell>
        </row>
        <row r="619">
          <cell r="EG619">
            <v>0.28011204481792717</v>
          </cell>
        </row>
        <row r="620">
          <cell r="EG620">
            <v>0.83333333333333337</v>
          </cell>
        </row>
        <row r="621">
          <cell r="EG621">
            <v>0.98039215686274506</v>
          </cell>
        </row>
        <row r="622">
          <cell r="EG622">
            <v>0.49751243781094534</v>
          </cell>
        </row>
        <row r="623">
          <cell r="EG623">
            <v>0.83333333333333337</v>
          </cell>
        </row>
        <row r="624">
          <cell r="EG624">
            <v>0.7246376811594204</v>
          </cell>
        </row>
        <row r="625">
          <cell r="EG625">
            <v>0.58139534883720934</v>
          </cell>
        </row>
        <row r="626">
          <cell r="EG626">
            <v>0.49261083743842371</v>
          </cell>
        </row>
        <row r="627">
          <cell r="EG627">
            <v>1.0526315789473684</v>
          </cell>
        </row>
        <row r="628">
          <cell r="EG628">
            <v>0.29154518950437314</v>
          </cell>
        </row>
        <row r="629">
          <cell r="EG629">
            <v>1.0526315789473684</v>
          </cell>
        </row>
        <row r="630">
          <cell r="EG630">
            <v>0.48076923076923073</v>
          </cell>
        </row>
        <row r="631">
          <cell r="EG631">
            <v>0.5714285714285714</v>
          </cell>
        </row>
        <row r="632">
          <cell r="EG632">
            <v>1.2987012987012987</v>
          </cell>
        </row>
        <row r="633">
          <cell r="EG633">
            <v>4.8239266763145196E-2</v>
          </cell>
        </row>
        <row r="634">
          <cell r="EG634">
            <v>0.5617977528089888</v>
          </cell>
        </row>
        <row r="635">
          <cell r="EG635">
            <v>0.21881838074398249</v>
          </cell>
        </row>
        <row r="636">
          <cell r="EG636">
            <v>0.82644628099173556</v>
          </cell>
        </row>
        <row r="637">
          <cell r="EG637">
            <v>0.40322580645161293</v>
          </cell>
        </row>
        <row r="638">
          <cell r="EG638">
            <v>0.24570024570024568</v>
          </cell>
        </row>
        <row r="639">
          <cell r="EG639">
            <v>0.54945054945054939</v>
          </cell>
        </row>
        <row r="640">
          <cell r="EG640">
            <v>0.75187969924812026</v>
          </cell>
        </row>
        <row r="641">
          <cell r="EG641">
            <v>2.9205607476635514E-2</v>
          </cell>
        </row>
        <row r="642">
          <cell r="EG642">
            <v>0.59523809523809523</v>
          </cell>
        </row>
        <row r="643">
          <cell r="EG643">
            <v>0.54644808743169393</v>
          </cell>
        </row>
        <row r="644">
          <cell r="EG644">
            <v>0.5181347150259068</v>
          </cell>
        </row>
        <row r="645">
          <cell r="EG645">
            <v>0.6211180124223602</v>
          </cell>
        </row>
        <row r="646">
          <cell r="EG646">
            <v>0.34129692832764502</v>
          </cell>
        </row>
        <row r="647">
          <cell r="EG647">
            <v>0.56497175141242939</v>
          </cell>
        </row>
        <row r="648">
          <cell r="EG648">
            <v>0.53475935828876997</v>
          </cell>
        </row>
        <row r="649">
          <cell r="EG649">
            <v>0.66666666666666663</v>
          </cell>
        </row>
        <row r="650">
          <cell r="EG650">
            <v>0.64102564102564097</v>
          </cell>
        </row>
        <row r="651">
          <cell r="EG651">
            <v>0.44444444444444442</v>
          </cell>
        </row>
        <row r="652">
          <cell r="EG652">
            <v>0.84033613445378152</v>
          </cell>
        </row>
        <row r="653">
          <cell r="EG653">
            <v>0.51546391752577325</v>
          </cell>
        </row>
        <row r="654">
          <cell r="EG654">
            <v>0.79365079365079361</v>
          </cell>
        </row>
        <row r="655">
          <cell r="EG655">
            <v>0.22831050228310504</v>
          </cell>
        </row>
        <row r="656">
          <cell r="EG656">
            <v>0.49751243781094534</v>
          </cell>
        </row>
        <row r="657">
          <cell r="EG657">
            <v>0.66225165562913912</v>
          </cell>
        </row>
        <row r="658">
          <cell r="EG658">
            <v>0.23255813953488372</v>
          </cell>
        </row>
        <row r="659">
          <cell r="EG659">
            <v>1.1363636363636365</v>
          </cell>
        </row>
        <row r="660">
          <cell r="EG660">
            <v>0.3968253968253968</v>
          </cell>
        </row>
        <row r="661">
          <cell r="EG661">
            <v>0.4587155963302752</v>
          </cell>
        </row>
        <row r="662">
          <cell r="EG662">
            <v>0.72992700729927007</v>
          </cell>
        </row>
        <row r="663">
          <cell r="EG663">
            <v>0.75187969924812026</v>
          </cell>
        </row>
        <row r="664">
          <cell r="EG664">
            <v>0.34246575342465752</v>
          </cell>
        </row>
        <row r="665">
          <cell r="EG665">
            <v>0.52356020942408377</v>
          </cell>
        </row>
        <row r="666">
          <cell r="EG666">
            <v>0.53475935828876997</v>
          </cell>
        </row>
        <row r="667">
          <cell r="EG667">
            <v>1.0204081632653061</v>
          </cell>
        </row>
        <row r="668">
          <cell r="EG668">
            <v>0.41152263374485593</v>
          </cell>
        </row>
        <row r="669">
          <cell r="EG669">
            <v>0.96153846153846145</v>
          </cell>
        </row>
        <row r="670">
          <cell r="EG670">
            <v>0.96153846153846145</v>
          </cell>
        </row>
        <row r="671">
          <cell r="EG671">
            <v>0.69930069930069938</v>
          </cell>
        </row>
        <row r="672">
          <cell r="EG672">
            <v>0.77519379844961234</v>
          </cell>
        </row>
        <row r="673">
          <cell r="EG673">
            <v>0.86956521739130443</v>
          </cell>
        </row>
        <row r="674">
          <cell r="EG674">
            <v>0.49261083743842371</v>
          </cell>
        </row>
        <row r="675">
          <cell r="EG675">
            <v>0.95238095238095233</v>
          </cell>
        </row>
        <row r="676">
          <cell r="EG676">
            <v>0.92592592592592582</v>
          </cell>
        </row>
        <row r="677">
          <cell r="EG677">
            <v>0.42553191489361702</v>
          </cell>
        </row>
        <row r="678">
          <cell r="EG678">
            <v>1.0101010101010102</v>
          </cell>
        </row>
        <row r="679">
          <cell r="EG679">
            <v>0.8</v>
          </cell>
        </row>
        <row r="680">
          <cell r="EG680">
            <v>1.4084507042253522</v>
          </cell>
        </row>
        <row r="681">
          <cell r="EG681">
            <v>0.117096018735363</v>
          </cell>
        </row>
        <row r="682">
          <cell r="EG682">
            <v>0.40160642570281119</v>
          </cell>
        </row>
        <row r="683">
          <cell r="EG683">
            <v>0.7407407407407407</v>
          </cell>
        </row>
        <row r="684">
          <cell r="EG684">
            <v>0.43478260869565222</v>
          </cell>
        </row>
        <row r="685">
          <cell r="EG685">
            <v>1.2345679012345678</v>
          </cell>
        </row>
        <row r="686">
          <cell r="EG686">
            <v>0.99009900990099009</v>
          </cell>
        </row>
        <row r="687">
          <cell r="EG687">
            <v>0.81967213114754101</v>
          </cell>
        </row>
        <row r="688">
          <cell r="EG688">
            <v>0.50505050505050508</v>
          </cell>
        </row>
        <row r="689">
          <cell r="EG689">
            <v>0.5524861878453039</v>
          </cell>
        </row>
        <row r="690">
          <cell r="EG690">
            <v>0.35971223021582738</v>
          </cell>
        </row>
        <row r="691">
          <cell r="EG691">
            <v>0.86206896551724144</v>
          </cell>
        </row>
        <row r="692">
          <cell r="EG692">
            <v>0.4366812227074236</v>
          </cell>
        </row>
        <row r="693">
          <cell r="EG693">
            <v>0.60606060606060608</v>
          </cell>
        </row>
        <row r="694">
          <cell r="EG694">
            <v>0.26737967914438499</v>
          </cell>
        </row>
        <row r="695">
          <cell r="EG695">
            <v>0.68027210884353739</v>
          </cell>
        </row>
        <row r="696">
          <cell r="EG696">
            <v>0.26246719160104987</v>
          </cell>
        </row>
        <row r="697">
          <cell r="EG697">
            <v>0.55555555555555558</v>
          </cell>
        </row>
        <row r="698">
          <cell r="EG698">
            <v>0.45454545454545453</v>
          </cell>
        </row>
        <row r="699">
          <cell r="EG699">
            <v>0.61349693251533743</v>
          </cell>
        </row>
        <row r="700">
          <cell r="EG700">
            <v>0.92592592592592582</v>
          </cell>
        </row>
        <row r="701">
          <cell r="EG701">
            <v>1.0989010989010988</v>
          </cell>
        </row>
        <row r="702">
          <cell r="EG702">
            <v>0.87719298245614041</v>
          </cell>
        </row>
        <row r="703">
          <cell r="EG703">
            <v>0.75757575757575757</v>
          </cell>
        </row>
        <row r="704">
          <cell r="EG704">
            <v>0.43478260869565222</v>
          </cell>
        </row>
        <row r="705">
          <cell r="EG705">
            <v>0.93457943925233644</v>
          </cell>
        </row>
        <row r="706">
          <cell r="EG706">
            <v>0.390625</v>
          </cell>
        </row>
        <row r="707">
          <cell r="EG707">
            <v>0.42194092827004215</v>
          </cell>
        </row>
        <row r="708">
          <cell r="EG708">
            <v>0.42918454935622319</v>
          </cell>
        </row>
        <row r="709">
          <cell r="EG709">
            <v>8.5106382978723402E-2</v>
          </cell>
        </row>
        <row r="710">
          <cell r="EG710">
            <v>0.9174311926605504</v>
          </cell>
        </row>
        <row r="711">
          <cell r="EG711">
            <v>0.72992700729927007</v>
          </cell>
        </row>
        <row r="712">
          <cell r="EG712">
            <v>0.7246376811594204</v>
          </cell>
        </row>
        <row r="713">
          <cell r="EG713">
            <v>0.4081632653061224</v>
          </cell>
        </row>
        <row r="714">
          <cell r="EG714">
            <v>1.3333333333333333</v>
          </cell>
        </row>
        <row r="715">
          <cell r="EG715">
            <v>0.92592592592592582</v>
          </cell>
        </row>
        <row r="716">
          <cell r="EG716">
            <v>0.41493775933609955</v>
          </cell>
        </row>
        <row r="717">
          <cell r="EG717">
            <v>0.54644808743169393</v>
          </cell>
        </row>
        <row r="718">
          <cell r="EG718">
            <v>0.25575447570332482</v>
          </cell>
        </row>
        <row r="719">
          <cell r="EG719">
            <v>0.66666666666666663</v>
          </cell>
        </row>
        <row r="720">
          <cell r="EG720">
            <v>0.41841004184100417</v>
          </cell>
        </row>
        <row r="721">
          <cell r="EG721">
            <v>0.36764705882352938</v>
          </cell>
        </row>
        <row r="722">
          <cell r="EG722">
            <v>0.68027210884353739</v>
          </cell>
        </row>
        <row r="723">
          <cell r="EG723">
            <v>0.35087719298245612</v>
          </cell>
        </row>
        <row r="724">
          <cell r="EG724">
            <v>0.52631578947368418</v>
          </cell>
        </row>
        <row r="725">
          <cell r="EG725">
            <v>0.38610038610038611</v>
          </cell>
        </row>
        <row r="726">
          <cell r="EG726">
            <v>0.4854368932038835</v>
          </cell>
        </row>
        <row r="727">
          <cell r="EG727">
            <v>0.61349693251533743</v>
          </cell>
        </row>
        <row r="728">
          <cell r="EG728">
            <v>0.96153846153846145</v>
          </cell>
        </row>
        <row r="729">
          <cell r="EG729">
            <v>0.33112582781456956</v>
          </cell>
        </row>
        <row r="730">
          <cell r="EG730">
            <v>1.0101010101010102</v>
          </cell>
        </row>
        <row r="731">
          <cell r="EG731">
            <v>0.3623188405797102</v>
          </cell>
        </row>
        <row r="732">
          <cell r="EG732">
            <v>0.88495575221238942</v>
          </cell>
        </row>
        <row r="733">
          <cell r="EG733">
            <v>0.76335877862595414</v>
          </cell>
        </row>
        <row r="734">
          <cell r="EG734">
            <v>0.7142857142857143</v>
          </cell>
        </row>
        <row r="735">
          <cell r="EG735">
            <v>0.84745762711864414</v>
          </cell>
        </row>
        <row r="736">
          <cell r="EG736">
            <v>0.15797788309636651</v>
          </cell>
        </row>
        <row r="737">
          <cell r="EG737">
            <v>0.58823529411764708</v>
          </cell>
        </row>
        <row r="738">
          <cell r="EG738">
            <v>0.30211480362537763</v>
          </cell>
        </row>
        <row r="739">
          <cell r="EG739">
            <v>0.44843049327354262</v>
          </cell>
        </row>
        <row r="740">
          <cell r="EG740">
            <v>1.0989010989010988</v>
          </cell>
        </row>
        <row r="741">
          <cell r="EG741">
            <v>0.20661157024793389</v>
          </cell>
        </row>
        <row r="742">
          <cell r="EG742">
            <v>0.3546099290780142</v>
          </cell>
        </row>
        <row r="743">
          <cell r="EG743">
            <v>0.46082949308755761</v>
          </cell>
        </row>
        <row r="744">
          <cell r="EG744">
            <v>0.64516129032258063</v>
          </cell>
        </row>
        <row r="745">
          <cell r="EG745">
            <v>0.49019607843137253</v>
          </cell>
        </row>
        <row r="746">
          <cell r="EG746">
            <v>0.49504950495049505</v>
          </cell>
        </row>
        <row r="747">
          <cell r="EG747">
            <v>1.0309278350515465</v>
          </cell>
        </row>
        <row r="748">
          <cell r="EG748">
            <v>0.42016806722689076</v>
          </cell>
        </row>
        <row r="749">
          <cell r="EG749">
            <v>0.29069767441860467</v>
          </cell>
        </row>
        <row r="750">
          <cell r="EG750">
            <v>0.61728395061728392</v>
          </cell>
        </row>
        <row r="751">
          <cell r="EG751">
            <v>0.5780346820809249</v>
          </cell>
        </row>
        <row r="752">
          <cell r="EG752">
            <v>0.38759689922480617</v>
          </cell>
        </row>
        <row r="753">
          <cell r="EG753">
            <v>0.85470085470085477</v>
          </cell>
        </row>
        <row r="754">
          <cell r="EG754">
            <v>0.43478260869565222</v>
          </cell>
        </row>
        <row r="755">
          <cell r="EG755">
            <v>0.9009009009009008</v>
          </cell>
        </row>
        <row r="756">
          <cell r="EG756">
            <v>0.38759689922480617</v>
          </cell>
        </row>
        <row r="757">
          <cell r="EG757">
            <v>0.20576131687242796</v>
          </cell>
        </row>
        <row r="758">
          <cell r="EG758">
            <v>0.44247787610619471</v>
          </cell>
        </row>
        <row r="759">
          <cell r="EG759">
            <v>0.9009009009009008</v>
          </cell>
        </row>
        <row r="760">
          <cell r="EG760">
            <v>0.49019607843137253</v>
          </cell>
        </row>
        <row r="761">
          <cell r="EG761">
            <v>0.5</v>
          </cell>
        </row>
        <row r="762">
          <cell r="EG762">
            <v>0.71942446043165476</v>
          </cell>
        </row>
        <row r="763">
          <cell r="EG763">
            <v>0.73529411764705876</v>
          </cell>
        </row>
        <row r="764">
          <cell r="EG764">
            <v>0.3546099290780142</v>
          </cell>
        </row>
        <row r="765">
          <cell r="EG765">
            <v>0.4854368932038835</v>
          </cell>
        </row>
        <row r="766">
          <cell r="EG766">
            <v>0.3115264797507788</v>
          </cell>
        </row>
        <row r="767">
          <cell r="EG767">
            <v>0.4366812227074236</v>
          </cell>
        </row>
        <row r="768">
          <cell r="EG768">
            <v>0.58479532163742687</v>
          </cell>
        </row>
        <row r="769">
          <cell r="EG769">
            <v>0.41322314049586778</v>
          </cell>
        </row>
        <row r="770">
          <cell r="EG770">
            <v>0.52631578947368418</v>
          </cell>
        </row>
        <row r="771">
          <cell r="EG771">
            <v>0.42372881355932207</v>
          </cell>
        </row>
        <row r="772">
          <cell r="EG772">
            <v>0.39525691699604748</v>
          </cell>
        </row>
        <row r="773">
          <cell r="EG773">
            <v>0.51282051282051289</v>
          </cell>
        </row>
        <row r="774">
          <cell r="EG774">
            <v>0.63291139240506322</v>
          </cell>
        </row>
        <row r="775">
          <cell r="EG775">
            <v>0.64935064935064934</v>
          </cell>
        </row>
        <row r="776">
          <cell r="EG776">
            <v>0.92592592592592582</v>
          </cell>
        </row>
        <row r="777">
          <cell r="EG777">
            <v>0.42735042735042739</v>
          </cell>
        </row>
        <row r="778">
          <cell r="EG778">
            <v>0.67567567567567566</v>
          </cell>
        </row>
        <row r="779">
          <cell r="EG779">
            <v>0.1801801801801802</v>
          </cell>
        </row>
        <row r="780">
          <cell r="EG780">
            <v>1.3888888888888888</v>
          </cell>
        </row>
        <row r="781">
          <cell r="EG781">
            <v>0.15174506828528073</v>
          </cell>
        </row>
        <row r="782">
          <cell r="EG782">
            <v>0.63694267515923564</v>
          </cell>
        </row>
        <row r="783">
          <cell r="EG783">
            <v>0.71942446043165476</v>
          </cell>
        </row>
        <row r="784">
          <cell r="EG784">
            <v>0.82644628099173556</v>
          </cell>
        </row>
        <row r="785">
          <cell r="EG785">
            <v>0.33112582781456956</v>
          </cell>
        </row>
        <row r="786">
          <cell r="EG786">
            <v>0.20449897750511248</v>
          </cell>
        </row>
        <row r="787">
          <cell r="EG787">
            <v>0.5988023952095809</v>
          </cell>
        </row>
        <row r="788">
          <cell r="EG788">
            <v>0.42194092827004215</v>
          </cell>
        </row>
        <row r="789">
          <cell r="EG789">
            <v>0.2824858757062147</v>
          </cell>
        </row>
        <row r="790">
          <cell r="EG790">
            <v>0.42553191489361702</v>
          </cell>
        </row>
        <row r="791">
          <cell r="EG791">
            <v>0.8</v>
          </cell>
        </row>
        <row r="792">
          <cell r="EG792">
            <v>0.76335877862595414</v>
          </cell>
        </row>
        <row r="793">
          <cell r="EG793">
            <v>0.38314176245210729</v>
          </cell>
        </row>
        <row r="794">
          <cell r="EG794">
            <v>0.57471264367816088</v>
          </cell>
        </row>
        <row r="795">
          <cell r="EG795">
            <v>0.39840637450199207</v>
          </cell>
        </row>
        <row r="796">
          <cell r="EG796">
            <v>0.96153846153846145</v>
          </cell>
        </row>
        <row r="797">
          <cell r="EG797">
            <v>0.35087719298245612</v>
          </cell>
        </row>
        <row r="798">
          <cell r="EG798">
            <v>0.55555555555555558</v>
          </cell>
        </row>
        <row r="799">
          <cell r="EG799">
            <v>0.19493177387914232</v>
          </cell>
        </row>
        <row r="800">
          <cell r="EG800">
            <v>0.68965517241379315</v>
          </cell>
        </row>
        <row r="801">
          <cell r="EG801">
            <v>0.15974440894568689</v>
          </cell>
        </row>
        <row r="802">
          <cell r="EG802">
            <v>0.61349693251533743</v>
          </cell>
        </row>
        <row r="803">
          <cell r="EG803">
            <v>1</v>
          </cell>
        </row>
        <row r="804">
          <cell r="EG804">
            <v>0.42735042735042739</v>
          </cell>
        </row>
        <row r="805">
          <cell r="EG805">
            <v>0.21459227467811159</v>
          </cell>
        </row>
        <row r="806">
          <cell r="EG806">
            <v>0.22123893805309736</v>
          </cell>
        </row>
        <row r="807">
          <cell r="EG807">
            <v>0.26041666666666669</v>
          </cell>
        </row>
        <row r="808">
          <cell r="EG808">
            <v>0.65789473684210531</v>
          </cell>
        </row>
        <row r="809">
          <cell r="EG809">
            <v>0.87719298245614041</v>
          </cell>
        </row>
        <row r="810">
          <cell r="EG810">
            <v>0.86206896551724144</v>
          </cell>
        </row>
        <row r="811">
          <cell r="EG811">
            <v>0.66666666666666663</v>
          </cell>
        </row>
        <row r="812">
          <cell r="EG812">
            <v>0.45662100456621008</v>
          </cell>
        </row>
        <row r="813">
          <cell r="EG813">
            <v>0.13333333333333333</v>
          </cell>
        </row>
        <row r="814">
          <cell r="EG814">
            <v>0.3236245954692557</v>
          </cell>
        </row>
        <row r="815">
          <cell r="EG815">
            <v>1.2345679012345678</v>
          </cell>
        </row>
        <row r="816">
          <cell r="EG816">
            <v>0.75757575757575757</v>
          </cell>
        </row>
        <row r="817">
          <cell r="EG817">
            <v>0.16920473773265651</v>
          </cell>
        </row>
        <row r="818">
          <cell r="EG818">
            <v>0.23310023310023309</v>
          </cell>
        </row>
        <row r="819">
          <cell r="EG819">
            <v>0.30959752321981426</v>
          </cell>
        </row>
        <row r="820">
          <cell r="EG820">
            <v>0.2824858757062147</v>
          </cell>
        </row>
        <row r="821">
          <cell r="EG821">
            <v>0.33112582781456956</v>
          </cell>
        </row>
        <row r="822">
          <cell r="EG822">
            <v>1.2658227848101264</v>
          </cell>
        </row>
        <row r="823">
          <cell r="EG823">
            <v>0.29325513196480935</v>
          </cell>
        </row>
        <row r="824">
          <cell r="EG824">
            <v>0.24213075060532688</v>
          </cell>
        </row>
        <row r="825">
          <cell r="EG825">
            <v>0.50251256281407031</v>
          </cell>
        </row>
        <row r="826">
          <cell r="EG826">
            <v>0.31446540880503143</v>
          </cell>
        </row>
        <row r="827">
          <cell r="EG827">
            <v>0.43103448275862072</v>
          </cell>
        </row>
        <row r="828">
          <cell r="EG828">
            <v>0.77519379844961234</v>
          </cell>
        </row>
        <row r="829">
          <cell r="EG829">
            <v>0.38759689922480617</v>
          </cell>
        </row>
        <row r="830">
          <cell r="EG830">
            <v>0.40485829959514169</v>
          </cell>
        </row>
        <row r="831">
          <cell r="EG831">
            <v>0.40322580645161293</v>
          </cell>
        </row>
        <row r="832">
          <cell r="EG832">
            <v>0.4854368932038835</v>
          </cell>
        </row>
        <row r="833">
          <cell r="EG833">
            <v>0.88495575221238942</v>
          </cell>
        </row>
        <row r="834">
          <cell r="EG834">
            <v>1.1904761904761905</v>
          </cell>
        </row>
        <row r="835">
          <cell r="EG835">
            <v>0.27472527472527469</v>
          </cell>
        </row>
        <row r="836">
          <cell r="EG836">
            <v>0.98039215686274506</v>
          </cell>
        </row>
        <row r="837">
          <cell r="EG837">
            <v>1.0869565217391304</v>
          </cell>
        </row>
        <row r="838">
          <cell r="EG838">
            <v>0.36900369003690037</v>
          </cell>
        </row>
        <row r="839">
          <cell r="EG839">
            <v>1.0869565217391304</v>
          </cell>
        </row>
        <row r="840">
          <cell r="EG840">
            <v>0.35211267605633806</v>
          </cell>
        </row>
        <row r="841">
          <cell r="EG841">
            <v>0.40322580645161293</v>
          </cell>
        </row>
        <row r="842">
          <cell r="EG842">
            <v>0.20746887966804978</v>
          </cell>
        </row>
        <row r="843">
          <cell r="EG843">
            <v>0.51282051282051289</v>
          </cell>
        </row>
        <row r="844">
          <cell r="EG844">
            <v>1.0526315789473684</v>
          </cell>
        </row>
        <row r="845">
          <cell r="EG845">
            <v>1.0204081632653061</v>
          </cell>
        </row>
        <row r="846">
          <cell r="EG846">
            <v>0.4329004329004329</v>
          </cell>
        </row>
        <row r="847">
          <cell r="EG847">
            <v>0.5780346820809249</v>
          </cell>
        </row>
        <row r="848">
          <cell r="EG848">
            <v>0.49751243781094534</v>
          </cell>
        </row>
        <row r="849">
          <cell r="EG849">
            <v>0.58479532163742687</v>
          </cell>
        </row>
        <row r="850">
          <cell r="EG850">
            <v>0.12690355329949238</v>
          </cell>
        </row>
        <row r="851">
          <cell r="EG851">
            <v>0.27548209366391185</v>
          </cell>
        </row>
        <row r="852">
          <cell r="EG852">
            <v>0.64102564102564097</v>
          </cell>
        </row>
        <row r="853">
          <cell r="EG853">
            <v>0.52910052910052918</v>
          </cell>
        </row>
        <row r="854">
          <cell r="EG854">
            <v>1.1627906976744187</v>
          </cell>
        </row>
        <row r="855">
          <cell r="EG855">
            <v>0.5988023952095809</v>
          </cell>
        </row>
        <row r="856">
          <cell r="EG856">
            <v>0.9174311926605504</v>
          </cell>
        </row>
        <row r="857">
          <cell r="EG857">
            <v>0.4329004329004329</v>
          </cell>
        </row>
        <row r="858">
          <cell r="EG858">
            <v>0.67567567567567566</v>
          </cell>
        </row>
        <row r="859">
          <cell r="EG859">
            <v>0.75187969924812026</v>
          </cell>
        </row>
        <row r="860">
          <cell r="EG860">
            <v>0.86956521739130443</v>
          </cell>
        </row>
        <row r="861">
          <cell r="EG861">
            <v>1.0204081632653061</v>
          </cell>
        </row>
        <row r="862">
          <cell r="EG862">
            <v>0.3401360544217687</v>
          </cell>
        </row>
        <row r="863">
          <cell r="EG863">
            <v>0.390625</v>
          </cell>
        </row>
        <row r="864">
          <cell r="EG864">
            <v>0.86956521739130443</v>
          </cell>
        </row>
        <row r="865">
          <cell r="EG865">
            <v>0.17667844522968199</v>
          </cell>
        </row>
        <row r="866">
          <cell r="EG866">
            <v>0.83333333333333337</v>
          </cell>
        </row>
        <row r="867">
          <cell r="EG867">
            <v>0.33112582781456956</v>
          </cell>
        </row>
        <row r="868">
          <cell r="EG868">
            <v>0.32894736842105265</v>
          </cell>
        </row>
        <row r="869">
          <cell r="EG869">
            <v>0.3546099290780142</v>
          </cell>
        </row>
        <row r="870">
          <cell r="EG870">
            <v>1.2048192771084338</v>
          </cell>
        </row>
        <row r="871">
          <cell r="EG871">
            <v>0.67114093959731547</v>
          </cell>
        </row>
        <row r="872">
          <cell r="EG872">
            <v>0.117096018735363</v>
          </cell>
        </row>
        <row r="873">
          <cell r="EG873">
            <v>0.15552099533437014</v>
          </cell>
        </row>
        <row r="874">
          <cell r="EG874">
            <v>0.24509803921568626</v>
          </cell>
        </row>
        <row r="875">
          <cell r="EG875">
            <v>0.21186440677966104</v>
          </cell>
        </row>
        <row r="876">
          <cell r="EG876">
            <v>0.34722222222222221</v>
          </cell>
        </row>
        <row r="877">
          <cell r="EG877">
            <v>0.65789473684210531</v>
          </cell>
        </row>
        <row r="878">
          <cell r="EG878">
            <v>0.24154589371980678</v>
          </cell>
        </row>
        <row r="879">
          <cell r="EG879">
            <v>1.4492753623188408</v>
          </cell>
        </row>
        <row r="880">
          <cell r="EG880">
            <v>0.70921985815602839</v>
          </cell>
        </row>
        <row r="881">
          <cell r="EG881">
            <v>0.23584905660377356</v>
          </cell>
        </row>
        <row r="882">
          <cell r="EG882">
            <v>0.4854368932038835</v>
          </cell>
        </row>
        <row r="883">
          <cell r="EG883">
            <v>0.64935064935064934</v>
          </cell>
        </row>
        <row r="884">
          <cell r="EG884">
            <v>1.3513513513513513</v>
          </cell>
        </row>
        <row r="885">
          <cell r="EG885">
            <v>0.88495575221238942</v>
          </cell>
        </row>
        <row r="886">
          <cell r="EG886">
            <v>0.47846889952153115</v>
          </cell>
        </row>
        <row r="887">
          <cell r="EG887">
            <v>0.31645569620253161</v>
          </cell>
        </row>
        <row r="888">
          <cell r="EG888">
            <v>0.84033613445378152</v>
          </cell>
        </row>
        <row r="889">
          <cell r="EG889">
            <v>0.7246376811594204</v>
          </cell>
        </row>
        <row r="890">
          <cell r="EG890">
            <v>0.54054054054054046</v>
          </cell>
        </row>
        <row r="891">
          <cell r="EG891">
            <v>0.86956521739130443</v>
          </cell>
        </row>
        <row r="892">
          <cell r="EG892">
            <v>0.39215686274509809</v>
          </cell>
        </row>
        <row r="893">
          <cell r="EG893">
            <v>0.70422535211267612</v>
          </cell>
        </row>
        <row r="894">
          <cell r="EG894">
            <v>0.41666666666666669</v>
          </cell>
        </row>
        <row r="895">
          <cell r="EG895">
            <v>1.1235955056179776</v>
          </cell>
        </row>
        <row r="896">
          <cell r="EG896">
            <v>0.33444816053511706</v>
          </cell>
        </row>
        <row r="897">
          <cell r="EG897">
            <v>0.58823529411764708</v>
          </cell>
        </row>
        <row r="898">
          <cell r="EG898">
            <v>0.3623188405797102</v>
          </cell>
        </row>
        <row r="899">
          <cell r="EG899">
            <v>0.13477088948787061</v>
          </cell>
        </row>
        <row r="900">
          <cell r="EG900">
            <v>0.19047619047619047</v>
          </cell>
        </row>
        <row r="901">
          <cell r="EG901">
            <v>1.1363636363636365</v>
          </cell>
        </row>
        <row r="902">
          <cell r="EG902">
            <v>0.46296296296296291</v>
          </cell>
        </row>
        <row r="903">
          <cell r="EG903">
            <v>0.5714285714285714</v>
          </cell>
        </row>
        <row r="904">
          <cell r="EG904">
            <v>0.78125</v>
          </cell>
        </row>
        <row r="905">
          <cell r="EG905">
            <v>1.2195121951219512</v>
          </cell>
        </row>
        <row r="906">
          <cell r="EG906">
            <v>0.54945054945054939</v>
          </cell>
        </row>
        <row r="907">
          <cell r="EG907">
            <v>1.2195121951219512</v>
          </cell>
        </row>
        <row r="908">
          <cell r="EG908">
            <v>0.3401360544217687</v>
          </cell>
        </row>
        <row r="909">
          <cell r="EG909">
            <v>1.2987012987012987</v>
          </cell>
        </row>
        <row r="910">
          <cell r="EG910">
            <v>0.9174311926605504</v>
          </cell>
        </row>
        <row r="911">
          <cell r="EG911">
            <v>0.45248868778280543</v>
          </cell>
        </row>
        <row r="912">
          <cell r="EG912">
            <v>0.79365079365079361</v>
          </cell>
        </row>
        <row r="913">
          <cell r="EG913">
            <v>0.48076923076923073</v>
          </cell>
        </row>
        <row r="914">
          <cell r="EG914">
            <v>0.86956521739130443</v>
          </cell>
        </row>
        <row r="915">
          <cell r="EG915">
            <v>0.29325513196480935</v>
          </cell>
        </row>
        <row r="916">
          <cell r="EG916">
            <v>0.86206896551724144</v>
          </cell>
        </row>
        <row r="917">
          <cell r="EG917">
            <v>0.95238095238095233</v>
          </cell>
        </row>
        <row r="918">
          <cell r="EG918">
            <v>0.82644628099173556</v>
          </cell>
        </row>
        <row r="919">
          <cell r="EG919">
            <v>0.66666666666666663</v>
          </cell>
        </row>
        <row r="920">
          <cell r="EG920">
            <v>0.49261083743842371</v>
          </cell>
        </row>
        <row r="921">
          <cell r="EG921">
            <v>0.33003300330033003</v>
          </cell>
        </row>
        <row r="922">
          <cell r="EG922">
            <v>0.9009009009009008</v>
          </cell>
        </row>
        <row r="923">
          <cell r="EG923">
            <v>0.36630036630036628</v>
          </cell>
        </row>
        <row r="924">
          <cell r="EG924">
            <v>0.61349693251533743</v>
          </cell>
        </row>
        <row r="925">
          <cell r="EG925">
            <v>0.9174311926605504</v>
          </cell>
        </row>
        <row r="926">
          <cell r="EG926">
            <v>0.46728971962616822</v>
          </cell>
        </row>
        <row r="927">
          <cell r="EG927">
            <v>0.7142857142857143</v>
          </cell>
        </row>
        <row r="928">
          <cell r="EG928">
            <v>0.68493150684931503</v>
          </cell>
        </row>
        <row r="929">
          <cell r="EG929">
            <v>0.70921985815602839</v>
          </cell>
        </row>
        <row r="930">
          <cell r="EG930">
            <v>0.83333333333333337</v>
          </cell>
        </row>
        <row r="931">
          <cell r="EG931">
            <v>0.95238095238095233</v>
          </cell>
        </row>
        <row r="932">
          <cell r="EG932">
            <v>0.81967213114754101</v>
          </cell>
        </row>
        <row r="933">
          <cell r="EG933">
            <v>0.53475935828876997</v>
          </cell>
        </row>
        <row r="934">
          <cell r="EG934">
            <v>0.52083333333333337</v>
          </cell>
        </row>
        <row r="935">
          <cell r="EG935">
            <v>0.95238095238095233</v>
          </cell>
        </row>
        <row r="936">
          <cell r="EG936">
            <v>0.47619047619047616</v>
          </cell>
        </row>
        <row r="937">
          <cell r="EG937">
            <v>0.38167938931297707</v>
          </cell>
        </row>
        <row r="938">
          <cell r="EG938">
            <v>0.49019607843137253</v>
          </cell>
        </row>
        <row r="939">
          <cell r="EG939">
            <v>0.66666666666666663</v>
          </cell>
        </row>
        <row r="940">
          <cell r="EG940">
            <v>0.32051282051282048</v>
          </cell>
        </row>
        <row r="941">
          <cell r="EG941">
            <v>0.96153846153846145</v>
          </cell>
        </row>
        <row r="942">
          <cell r="EG942">
            <v>0.65789473684210531</v>
          </cell>
        </row>
        <row r="943">
          <cell r="EG943">
            <v>0.58479532163742687</v>
          </cell>
        </row>
        <row r="944">
          <cell r="EG944">
            <v>0.4065040650406504</v>
          </cell>
        </row>
        <row r="945">
          <cell r="EG945">
            <v>0.64935064935064934</v>
          </cell>
        </row>
        <row r="946">
          <cell r="EG946">
            <v>1.6129032258064517</v>
          </cell>
        </row>
        <row r="947">
          <cell r="EG947">
            <v>0.4081632653061224</v>
          </cell>
        </row>
        <row r="948">
          <cell r="EG948">
            <v>0.5988023952095809</v>
          </cell>
        </row>
        <row r="949">
          <cell r="EG949">
            <v>0.48780487804878053</v>
          </cell>
        </row>
        <row r="950">
          <cell r="EG950">
            <v>0.4464285714285714</v>
          </cell>
        </row>
        <row r="951">
          <cell r="EG951">
            <v>0.96153846153846145</v>
          </cell>
        </row>
        <row r="952">
          <cell r="EG952">
            <v>0.37453183520599254</v>
          </cell>
        </row>
        <row r="953">
          <cell r="EG953">
            <v>0.625</v>
          </cell>
        </row>
        <row r="954">
          <cell r="EG954">
            <v>0.47846889952153115</v>
          </cell>
        </row>
        <row r="955">
          <cell r="EG955">
            <v>0.25839793281653745</v>
          </cell>
        </row>
        <row r="956">
          <cell r="EG956">
            <v>0.51282051282051289</v>
          </cell>
        </row>
        <row r="957">
          <cell r="EG957">
            <v>0.5376344086021505</v>
          </cell>
        </row>
        <row r="958">
          <cell r="EG958">
            <v>0.60606060606060608</v>
          </cell>
        </row>
        <row r="959">
          <cell r="EG959">
            <v>1.0416666666666667</v>
          </cell>
        </row>
        <row r="960">
          <cell r="EG960">
            <v>0.29069767441860467</v>
          </cell>
        </row>
        <row r="961">
          <cell r="EG961">
            <v>0.3546099290780142</v>
          </cell>
        </row>
        <row r="962">
          <cell r="EG962">
            <v>0.78740157480314954</v>
          </cell>
        </row>
        <row r="963">
          <cell r="EG963">
            <v>0.27777777777777779</v>
          </cell>
        </row>
        <row r="964">
          <cell r="EG964">
            <v>0.26246719160104987</v>
          </cell>
        </row>
        <row r="965">
          <cell r="EG965">
            <v>0.44444444444444442</v>
          </cell>
        </row>
      </sheetData>
      <sheetData sheetId="5">
        <row r="2">
          <cell r="C2">
            <v>1.6807118316381198E-2</v>
          </cell>
          <cell r="EG2">
            <v>-5.6667519912266415E-2</v>
          </cell>
        </row>
        <row r="3">
          <cell r="EG3">
            <v>-4.6212843155131564E-2</v>
          </cell>
        </row>
        <row r="4">
          <cell r="EG4">
            <v>-3.2470385030784046E-2</v>
          </cell>
        </row>
        <row r="5">
          <cell r="EG5">
            <v>-4.0821994520255166E-2</v>
          </cell>
        </row>
        <row r="6">
          <cell r="EG6">
            <v>0</v>
          </cell>
        </row>
        <row r="7">
          <cell r="EG7">
            <v>-9.9010709827115698E-3</v>
          </cell>
        </row>
        <row r="8">
          <cell r="EG8">
            <v>3.4338137580891617E-2</v>
          </cell>
        </row>
        <row r="9">
          <cell r="EG9">
            <v>-9.4915966815711725E-3</v>
          </cell>
        </row>
        <row r="10">
          <cell r="EG10">
            <v>-5.4067221270275821E-2</v>
          </cell>
        </row>
        <row r="11">
          <cell r="EG11">
            <v>-3.2687735129573577E-2</v>
          </cell>
        </row>
        <row r="12">
          <cell r="EG12">
            <v>-2.575249610241474E-2</v>
          </cell>
        </row>
        <row r="13">
          <cell r="EG13">
            <v>4.385188252884941E-2</v>
          </cell>
        </row>
        <row r="14">
          <cell r="EG14">
            <v>-3.09013351241746E-2</v>
          </cell>
        </row>
        <row r="15">
          <cell r="EG15">
            <v>-5.5791359628415658E-2</v>
          </cell>
        </row>
        <row r="16">
          <cell r="EG16">
            <v>0</v>
          </cell>
        </row>
        <row r="17">
          <cell r="EG17">
            <v>-1.6000341346441075E-2</v>
          </cell>
        </row>
        <row r="18">
          <cell r="EG18">
            <v>-2.9705154413915809E-2</v>
          </cell>
        </row>
        <row r="19">
          <cell r="EG19">
            <v>-0.10464851847573657</v>
          </cell>
        </row>
        <row r="20">
          <cell r="EG20">
            <v>0.15759302401823125</v>
          </cell>
        </row>
        <row r="21">
          <cell r="EG21">
            <v>0.15276275455241034</v>
          </cell>
        </row>
        <row r="22">
          <cell r="EG22">
            <v>0.1154493123101632</v>
          </cell>
        </row>
        <row r="23">
          <cell r="EG23">
            <v>2.436054797881121E-3</v>
          </cell>
        </row>
        <row r="24">
          <cell r="EG24">
            <v>7.2320661579626078E-2</v>
          </cell>
        </row>
        <row r="25">
          <cell r="EG25">
            <v>-1.1385322225125352E-2</v>
          </cell>
        </row>
        <row r="26">
          <cell r="EG26">
            <v>-1.2084739215071886E-2</v>
          </cell>
        </row>
        <row r="27">
          <cell r="EG27">
            <v>0.16757370015939901</v>
          </cell>
        </row>
        <row r="28">
          <cell r="EG28">
            <v>0</v>
          </cell>
        </row>
        <row r="29">
          <cell r="EG29">
            <v>2.1374859584733612E-2</v>
          </cell>
        </row>
        <row r="30">
          <cell r="EG30">
            <v>9.6813455079367935E-2</v>
          </cell>
        </row>
        <row r="31">
          <cell r="EG31">
            <v>-3.5091319811270172E-2</v>
          </cell>
        </row>
        <row r="32">
          <cell r="EG32">
            <v>7.7063348159594675E-2</v>
          </cell>
        </row>
        <row r="33">
          <cell r="EG33">
            <v>-1.5611765472113315E-2</v>
          </cell>
        </row>
        <row r="34">
          <cell r="EG34">
            <v>-3.4819765159228043E-2</v>
          </cell>
        </row>
        <row r="35">
          <cell r="EG35">
            <v>-0.12136085700426748</v>
          </cell>
        </row>
        <row r="36">
          <cell r="EG36">
            <v>-3.9349338788547766E-2</v>
          </cell>
        </row>
        <row r="37">
          <cell r="EG37">
            <v>0.12152135776699059</v>
          </cell>
        </row>
        <row r="38">
          <cell r="EG38">
            <v>0.13262188824168208</v>
          </cell>
        </row>
        <row r="39">
          <cell r="EG39">
            <v>-2.3733584332094444E-2</v>
          </cell>
        </row>
        <row r="40">
          <cell r="EG40">
            <v>0.13119221027135031</v>
          </cell>
        </row>
        <row r="41">
          <cell r="EG41">
            <v>-6.6691374498672157E-2</v>
          </cell>
        </row>
        <row r="42">
          <cell r="EG42">
            <v>-8.7756811239578167E-2</v>
          </cell>
        </row>
        <row r="43">
          <cell r="EG43">
            <v>2.6526754333428604E-2</v>
          </cell>
        </row>
        <row r="44">
          <cell r="EG44">
            <v>-0.1158318155251217</v>
          </cell>
        </row>
        <row r="45">
          <cell r="EG45">
            <v>-8.2645098498934245E-3</v>
          </cell>
        </row>
        <row r="46">
          <cell r="EG46">
            <v>6.7646069936572795E-2</v>
          </cell>
        </row>
        <row r="47">
          <cell r="EG47">
            <v>-1.4430264829028783E-2</v>
          </cell>
        </row>
        <row r="48">
          <cell r="EG48">
            <v>9.7638469563916072E-2</v>
          </cell>
        </row>
        <row r="49">
          <cell r="EG49">
            <v>-3.0911925696728579E-3</v>
          </cell>
        </row>
        <row r="50">
          <cell r="EG50">
            <v>9.2628155636076695E-2</v>
          </cell>
        </row>
        <row r="51">
          <cell r="EG51">
            <v>3.6228938296458589E-2</v>
          </cell>
        </row>
        <row r="52">
          <cell r="EG52">
            <v>-0.16482839934643734</v>
          </cell>
        </row>
        <row r="53">
          <cell r="EG53">
            <v>7.816477284933647E-2</v>
          </cell>
        </row>
        <row r="54">
          <cell r="EG54">
            <v>1.1090686694158138E-2</v>
          </cell>
        </row>
        <row r="55">
          <cell r="EG55">
            <v>-3.3638359148829684E-2</v>
          </cell>
        </row>
        <row r="56">
          <cell r="EG56">
            <v>9.5310179804324935E-2</v>
          </cell>
        </row>
        <row r="57">
          <cell r="EG57">
            <v>-0.14169721875597169</v>
          </cell>
        </row>
        <row r="58">
          <cell r="EG58">
            <v>-3.9604012160970167E-3</v>
          </cell>
        </row>
        <row r="59">
          <cell r="EG59">
            <v>8.552217343816193E-2</v>
          </cell>
        </row>
        <row r="60">
          <cell r="EG60">
            <v>2.9021189344188132E-2</v>
          </cell>
        </row>
        <row r="61">
          <cell r="EG61">
            <v>-6.2370330726458083E-2</v>
          </cell>
        </row>
        <row r="62">
          <cell r="EG62">
            <v>0.10697211955216773</v>
          </cell>
        </row>
        <row r="63">
          <cell r="EG63">
            <v>-2.6600681797178914E-2</v>
          </cell>
        </row>
        <row r="64">
          <cell r="EG64">
            <v>8.2443669211074586E-2</v>
          </cell>
        </row>
        <row r="65">
          <cell r="EG65">
            <v>-6.6150125031912643E-2</v>
          </cell>
        </row>
        <row r="66">
          <cell r="EG66">
            <v>4.8417099438375202E-2</v>
          </cell>
        </row>
        <row r="67">
          <cell r="EG67">
            <v>3.4979718896026898E-2</v>
          </cell>
        </row>
        <row r="68">
          <cell r="EG68">
            <v>0.22216746534115431</v>
          </cell>
        </row>
        <row r="69">
          <cell r="EG69">
            <v>2.2633485520703638E-2</v>
          </cell>
        </row>
        <row r="70">
          <cell r="EG70">
            <v>0.16649651564955756</v>
          </cell>
        </row>
        <row r="71">
          <cell r="EG71">
            <v>0.11054187439982383</v>
          </cell>
        </row>
        <row r="72">
          <cell r="EG72">
            <v>3.23102058144654E-3</v>
          </cell>
        </row>
        <row r="73">
          <cell r="EG73">
            <v>-8.1411575836997738E-3</v>
          </cell>
        </row>
        <row r="74">
          <cell r="EG74">
            <v>0.2331536449093104</v>
          </cell>
        </row>
        <row r="75">
          <cell r="EG75">
            <v>0.13652907847743875</v>
          </cell>
        </row>
        <row r="76">
          <cell r="EG76">
            <v>3.5233996909459865E-2</v>
          </cell>
        </row>
        <row r="77">
          <cell r="EG77">
            <v>0.19566317373152892</v>
          </cell>
        </row>
        <row r="78">
          <cell r="EG78">
            <v>-8.1125544812368458E-2</v>
          </cell>
        </row>
        <row r="79">
          <cell r="EG79">
            <v>0.10194003834299459</v>
          </cell>
        </row>
        <row r="80">
          <cell r="EG80">
            <v>0.21145993460572343</v>
          </cell>
        </row>
        <row r="81">
          <cell r="EG81">
            <v>0.11853860803838132</v>
          </cell>
        </row>
        <row r="82">
          <cell r="EG82">
            <v>-5.4008804937052395E-2</v>
          </cell>
        </row>
        <row r="83">
          <cell r="EG83">
            <v>0.45055757175187183</v>
          </cell>
        </row>
        <row r="84">
          <cell r="EG84">
            <v>7.9043207340452878E-2</v>
          </cell>
        </row>
        <row r="85">
          <cell r="EG85">
            <v>0.50054275681040672</v>
          </cell>
        </row>
        <row r="86">
          <cell r="EG86">
            <v>-9.9629840948841294E-2</v>
          </cell>
        </row>
        <row r="87">
          <cell r="EG87">
            <v>0.68240593872853272</v>
          </cell>
        </row>
        <row r="88">
          <cell r="EG88">
            <v>0.34347343208019648</v>
          </cell>
        </row>
        <row r="89">
          <cell r="EG89">
            <v>-2.0741484306816469E-2</v>
          </cell>
        </row>
        <row r="90">
          <cell r="EG90">
            <v>-3.9604012160967938E-3</v>
          </cell>
        </row>
        <row r="91">
          <cell r="EG91">
            <v>0.14563441479576619</v>
          </cell>
        </row>
        <row r="92">
          <cell r="EG92">
            <v>9.1398467635636235E-2</v>
          </cell>
        </row>
        <row r="93">
          <cell r="EG93">
            <v>0.39111765970002288</v>
          </cell>
        </row>
        <row r="94">
          <cell r="EG94">
            <v>4.9140148024289414E-3</v>
          </cell>
        </row>
        <row r="95">
          <cell r="EG95">
            <v>5.547864437717963E-3</v>
          </cell>
        </row>
        <row r="96">
          <cell r="EG96">
            <v>-1.4369940282952675E-2</v>
          </cell>
        </row>
        <row r="97">
          <cell r="EG97">
            <v>3.5778213478841235E-3</v>
          </cell>
        </row>
        <row r="98">
          <cell r="EG98">
            <v>-9.9922025026887823E-2</v>
          </cell>
        </row>
        <row r="99">
          <cell r="EG99">
            <v>-3.0448546447069579E-2</v>
          </cell>
        </row>
        <row r="100">
          <cell r="EG100">
            <v>-3.0098031157279527E-2</v>
          </cell>
        </row>
        <row r="101">
          <cell r="EG101">
            <v>-7.6540077122334377E-2</v>
          </cell>
        </row>
        <row r="102">
          <cell r="EG102">
            <v>0.12878078986592478</v>
          </cell>
        </row>
        <row r="103">
          <cell r="EG103">
            <v>-0.13491931789937064</v>
          </cell>
        </row>
        <row r="104">
          <cell r="EG104">
            <v>0.18667886216291046</v>
          </cell>
        </row>
        <row r="105">
          <cell r="EG105">
            <v>-4.4451762570833921E-2</v>
          </cell>
        </row>
        <row r="106">
          <cell r="EG106">
            <v>0.20245531999065672</v>
          </cell>
        </row>
        <row r="107">
          <cell r="EG107">
            <v>-6.4021858764931022E-2</v>
          </cell>
        </row>
        <row r="108">
          <cell r="EG108">
            <v>1.4815085785140682E-2</v>
          </cell>
        </row>
        <row r="109">
          <cell r="EG109">
            <v>0.25745569630298853</v>
          </cell>
        </row>
        <row r="110">
          <cell r="EG110">
            <v>6.1442543432443188E-2</v>
          </cell>
        </row>
        <row r="111">
          <cell r="EG111">
            <v>-2.1225286615281592E-2</v>
          </cell>
        </row>
        <row r="112">
          <cell r="EG112">
            <v>0.32721291120841611</v>
          </cell>
        </row>
        <row r="113">
          <cell r="EG113">
            <v>0.47203959873083429</v>
          </cell>
        </row>
        <row r="114">
          <cell r="EG114">
            <v>0.1006577861309203</v>
          </cell>
        </row>
        <row r="115">
          <cell r="EG115">
            <v>8.4438319146574542E-2</v>
          </cell>
        </row>
        <row r="116">
          <cell r="EG116">
            <v>-2.11471430873886E-2</v>
          </cell>
        </row>
        <row r="117">
          <cell r="EG117">
            <v>-3.327478888487221E-2</v>
          </cell>
        </row>
        <row r="118">
          <cell r="EG118">
            <v>8.1411082338698065E-2</v>
          </cell>
        </row>
        <row r="119">
          <cell r="EG119">
            <v>-1.2578782206860073E-2</v>
          </cell>
        </row>
        <row r="120">
          <cell r="EG120">
            <v>0.32584054804682561</v>
          </cell>
        </row>
        <row r="121">
          <cell r="EG121">
            <v>-7.2531781571965673E-2</v>
          </cell>
        </row>
        <row r="122">
          <cell r="EG122">
            <v>8.5694721104882979E-2</v>
          </cell>
        </row>
        <row r="123">
          <cell r="EG123">
            <v>0.14593370672497749</v>
          </cell>
        </row>
        <row r="124">
          <cell r="EG124">
            <v>3.2924784696466612E-2</v>
          </cell>
        </row>
        <row r="125">
          <cell r="EG125">
            <v>-1.4968615693921265E-2</v>
          </cell>
        </row>
        <row r="126">
          <cell r="EG126">
            <v>7.9043207340452878E-2</v>
          </cell>
        </row>
        <row r="127">
          <cell r="EG127">
            <v>-4.51822227932328E-2</v>
          </cell>
        </row>
        <row r="128">
          <cell r="EG128">
            <v>-8.1253361574432553E-2</v>
          </cell>
        </row>
        <row r="129">
          <cell r="EG129">
            <v>9.8939947854903648E-2</v>
          </cell>
        </row>
        <row r="130">
          <cell r="EG130">
            <v>-2.9229638314938366E-2</v>
          </cell>
        </row>
        <row r="131">
          <cell r="EG131">
            <v>9.0662276500996827E-2</v>
          </cell>
        </row>
        <row r="132">
          <cell r="EG132">
            <v>-6.6111025112062474E-2</v>
          </cell>
        </row>
        <row r="133">
          <cell r="EG133">
            <v>-7.2727593290799206E-3</v>
          </cell>
        </row>
        <row r="134">
          <cell r="EG134">
            <v>-6.0240080377356703E-2</v>
          </cell>
        </row>
        <row r="135">
          <cell r="EG135">
            <v>0.30147539458411676</v>
          </cell>
        </row>
        <row r="136">
          <cell r="EG136">
            <v>7.2253639696956334E-2</v>
          </cell>
        </row>
        <row r="137">
          <cell r="EG137">
            <v>0.2356593592460404</v>
          </cell>
        </row>
        <row r="138">
          <cell r="EG138">
            <v>-6.359110278153135E-2</v>
          </cell>
        </row>
        <row r="139">
          <cell r="EG139">
            <v>0.23601006190745993</v>
          </cell>
        </row>
        <row r="140">
          <cell r="EG140">
            <v>-5.9162924658968663E-2</v>
          </cell>
        </row>
        <row r="141">
          <cell r="EG141">
            <v>-3.3488669754043972E-2</v>
          </cell>
        </row>
        <row r="142">
          <cell r="EG142">
            <v>7.7873509425991111E-2</v>
          </cell>
        </row>
        <row r="143">
          <cell r="EG143">
            <v>2.7856954502966279E-2</v>
          </cell>
        </row>
        <row r="144">
          <cell r="EG144">
            <v>-0.11104900347503921</v>
          </cell>
        </row>
        <row r="145">
          <cell r="EG145">
            <v>-1.4285957247476428E-2</v>
          </cell>
        </row>
        <row r="146">
          <cell r="EG146">
            <v>-1.2270092591814359E-2</v>
          </cell>
        </row>
        <row r="147">
          <cell r="EG147">
            <v>-4.0351295523567345E-2</v>
          </cell>
        </row>
        <row r="148">
          <cell r="EG148">
            <v>2.735732921153371E-2</v>
          </cell>
        </row>
        <row r="149">
          <cell r="EG149">
            <v>6.0908753086992728E-2</v>
          </cell>
        </row>
        <row r="150">
          <cell r="EG150">
            <v>2.5502292810936043E-2</v>
          </cell>
        </row>
        <row r="151">
          <cell r="EG151">
            <v>4.1426041654296732E-2</v>
          </cell>
        </row>
        <row r="152">
          <cell r="EG152">
            <v>-9.9010709827115698E-3</v>
          </cell>
        </row>
        <row r="153">
          <cell r="EG153">
            <v>6.5934194776545899E-2</v>
          </cell>
        </row>
        <row r="154">
          <cell r="EG154">
            <v>0.16772275737280198</v>
          </cell>
        </row>
        <row r="155">
          <cell r="EG155">
            <v>6.4881868780429175E-2</v>
          </cell>
        </row>
        <row r="156">
          <cell r="EG156">
            <v>-0.1173572319454577</v>
          </cell>
        </row>
        <row r="157">
          <cell r="EG157">
            <v>8.9153636579523288E-3</v>
          </cell>
        </row>
        <row r="158">
          <cell r="EG158">
            <v>-8.8455420561863313E-2</v>
          </cell>
        </row>
        <row r="159">
          <cell r="EG159">
            <v>-1.5848192240023616E-2</v>
          </cell>
        </row>
        <row r="160">
          <cell r="EG160">
            <v>2.6964361638355201E-2</v>
          </cell>
        </row>
        <row r="161">
          <cell r="EG161">
            <v>4.5462374076757198E-2</v>
          </cell>
        </row>
        <row r="162">
          <cell r="EG162">
            <v>0.1515964000221616</v>
          </cell>
        </row>
        <row r="163">
          <cell r="EG163">
            <v>9.2965990788118652E-2</v>
          </cell>
        </row>
        <row r="164">
          <cell r="EG164">
            <v>-2.7128667388252699E-2</v>
          </cell>
        </row>
        <row r="165">
          <cell r="EG165">
            <v>5.9423420470800806E-2</v>
          </cell>
        </row>
        <row r="166">
          <cell r="EG166">
            <v>5.4808236494994951E-2</v>
          </cell>
        </row>
        <row r="167">
          <cell r="EG167">
            <v>-3.9867162438214565E-3</v>
          </cell>
        </row>
        <row r="168">
          <cell r="EG168">
            <v>-0.13650316301368021</v>
          </cell>
        </row>
        <row r="169">
          <cell r="EG169">
            <v>-3.8839833316264012E-2</v>
          </cell>
        </row>
        <row r="170">
          <cell r="EG170">
            <v>7.020425867324856E-2</v>
          </cell>
        </row>
        <row r="171">
          <cell r="EG171">
            <v>0.14505970812600621</v>
          </cell>
        </row>
        <row r="172">
          <cell r="EG172">
            <v>2.9558802241544429E-2</v>
          </cell>
        </row>
        <row r="173">
          <cell r="EG173">
            <v>-3.5718082602079232E-2</v>
          </cell>
        </row>
        <row r="174">
          <cell r="EG174">
            <v>-1.3986241974739839E-2</v>
          </cell>
        </row>
        <row r="175">
          <cell r="EG175">
            <v>-1.5936592262812754E-2</v>
          </cell>
        </row>
        <row r="176">
          <cell r="EG176">
            <v>-4.55313848079534E-2</v>
          </cell>
        </row>
        <row r="177">
          <cell r="EG177">
            <v>-1.9088596562522625E-2</v>
          </cell>
        </row>
        <row r="178">
          <cell r="EG178">
            <v>-3.0771658666753545E-2</v>
          </cell>
        </row>
        <row r="179">
          <cell r="EG179">
            <v>3.6701366850427963E-2</v>
          </cell>
        </row>
        <row r="180">
          <cell r="EG180">
            <v>1.9593693900401284E-2</v>
          </cell>
        </row>
        <row r="181">
          <cell r="EG181">
            <v>-5.8546339114796668E-2</v>
          </cell>
        </row>
        <row r="182">
          <cell r="EG182">
            <v>-1.1897681355886845E-3</v>
          </cell>
        </row>
        <row r="183">
          <cell r="EG183">
            <v>0.18026182383094405</v>
          </cell>
        </row>
        <row r="184">
          <cell r="EG184">
            <v>-3.3057881344995439E-3</v>
          </cell>
        </row>
        <row r="185">
          <cell r="EG185">
            <v>1.4815085785140682E-2</v>
          </cell>
        </row>
        <row r="186">
          <cell r="EG186">
            <v>4.7402238894583899E-2</v>
          </cell>
        </row>
        <row r="187">
          <cell r="EG187">
            <v>2.129926257824849E-3</v>
          </cell>
        </row>
        <row r="188">
          <cell r="EG188">
            <v>7.4347636624611468E-2</v>
          </cell>
        </row>
        <row r="189">
          <cell r="EG189">
            <v>-2.4460297570160577E-2</v>
          </cell>
        </row>
        <row r="190">
          <cell r="EG190">
            <v>0</v>
          </cell>
        </row>
        <row r="191">
          <cell r="EG191">
            <v>-3.2326047017149265E-2</v>
          </cell>
        </row>
        <row r="192">
          <cell r="EG192">
            <v>-0.11241770796782524</v>
          </cell>
        </row>
        <row r="193">
          <cell r="EG193">
            <v>-2.7506645789833473E-2</v>
          </cell>
        </row>
        <row r="194">
          <cell r="EG194">
            <v>7.1663892514036848E-2</v>
          </cell>
        </row>
        <row r="195">
          <cell r="EG195">
            <v>0.18761858015182467</v>
          </cell>
        </row>
        <row r="196">
          <cell r="EG196">
            <v>-1.478379618423698E-2</v>
          </cell>
        </row>
        <row r="197">
          <cell r="EG197">
            <v>-9.6276830435419833E-2</v>
          </cell>
        </row>
        <row r="198">
          <cell r="EG198">
            <v>1.5070252920998173E-2</v>
          </cell>
        </row>
        <row r="199">
          <cell r="EG199">
            <v>-1.4184634991956413E-2</v>
          </cell>
        </row>
        <row r="200">
          <cell r="EG200">
            <v>-5.3267029181487444E-2</v>
          </cell>
        </row>
        <row r="201">
          <cell r="EG201">
            <v>-3.2789822822990838E-2</v>
          </cell>
        </row>
        <row r="202">
          <cell r="EG202">
            <v>-0.11836460008103279</v>
          </cell>
        </row>
        <row r="203">
          <cell r="EG203">
            <v>-4.6091107200266976E-2</v>
          </cell>
        </row>
        <row r="204">
          <cell r="EG204">
            <v>-3.386451395275631E-2</v>
          </cell>
        </row>
        <row r="205">
          <cell r="EG205">
            <v>-8.7543150466665193E-2</v>
          </cell>
        </row>
        <row r="206">
          <cell r="EG206">
            <v>7.2925239904672548E-2</v>
          </cell>
        </row>
        <row r="207">
          <cell r="EG207">
            <v>6.1181156475081162E-2</v>
          </cell>
        </row>
        <row r="208">
          <cell r="EG208">
            <v>1.4781968693109652E-3</v>
          </cell>
        </row>
        <row r="209">
          <cell r="EG209">
            <v>-4.6251017650755698E-2</v>
          </cell>
        </row>
        <row r="210">
          <cell r="EG210">
            <v>-4.932506656250156E-2</v>
          </cell>
        </row>
        <row r="211">
          <cell r="EG211">
            <v>-3.0636969461889801E-2</v>
          </cell>
        </row>
        <row r="212">
          <cell r="EG212">
            <v>-1.0889399799268319E-2</v>
          </cell>
        </row>
        <row r="213">
          <cell r="EG213">
            <v>4.0311225802247094E-2</v>
          </cell>
        </row>
        <row r="214">
          <cell r="EG214">
            <v>3.8685142311237333E-2</v>
          </cell>
        </row>
        <row r="215">
          <cell r="EG215">
            <v>-3.8387763071657129E-3</v>
          </cell>
        </row>
        <row r="216">
          <cell r="EG216">
            <v>0.22741402043766218</v>
          </cell>
        </row>
        <row r="217">
          <cell r="EG217">
            <v>0.24477457144050432</v>
          </cell>
        </row>
        <row r="218">
          <cell r="EG218">
            <v>-5.9488575197723971E-3</v>
          </cell>
        </row>
        <row r="219">
          <cell r="EG219">
            <v>0.21435504528113042</v>
          </cell>
        </row>
        <row r="220">
          <cell r="EG220">
            <v>-5.1761934558589573E-2</v>
          </cell>
        </row>
        <row r="221">
          <cell r="EG221">
            <v>0.17185025692665923</v>
          </cell>
        </row>
        <row r="222">
          <cell r="EG222">
            <v>3.9029343905735293E-2</v>
          </cell>
        </row>
        <row r="223">
          <cell r="EG223">
            <v>1.4737108819496924E-2</v>
          </cell>
        </row>
        <row r="224">
          <cell r="EG224">
            <v>4.6520015634893122E-2</v>
          </cell>
        </row>
        <row r="225">
          <cell r="EG225">
            <v>-2.4571260730505317E-2</v>
          </cell>
        </row>
        <row r="226">
          <cell r="EG226">
            <v>9.0628017459818175E-2</v>
          </cell>
        </row>
        <row r="227">
          <cell r="EG227">
            <v>7.6961041136128394E-2</v>
          </cell>
        </row>
        <row r="228">
          <cell r="EG228">
            <v>-5.2413742684040164E-2</v>
          </cell>
        </row>
        <row r="229">
          <cell r="EG229">
            <v>1.5945668155426633E-2</v>
          </cell>
        </row>
        <row r="230">
          <cell r="EG230">
            <v>5.3877197516735031E-2</v>
          </cell>
        </row>
        <row r="231">
          <cell r="EG231">
            <v>0.1969982712098875</v>
          </cell>
        </row>
        <row r="232">
          <cell r="EG232">
            <v>9.4787439545437387E-3</v>
          </cell>
        </row>
        <row r="233">
          <cell r="EG233">
            <v>-3.4071431910524627E-2</v>
          </cell>
        </row>
        <row r="234">
          <cell r="EG234">
            <v>4.8661896511729063E-3</v>
          </cell>
        </row>
        <row r="235">
          <cell r="EG235">
            <v>-4.1281658973303874E-2</v>
          </cell>
        </row>
        <row r="236">
          <cell r="EG236">
            <v>-7.2701831776732062E-2</v>
          </cell>
        </row>
        <row r="237">
          <cell r="EG237">
            <v>0</v>
          </cell>
        </row>
        <row r="238">
          <cell r="EG238">
            <v>-4.6162041763162603E-2</v>
          </cell>
        </row>
        <row r="239">
          <cell r="EG239">
            <v>-6.378973787532996E-2</v>
          </cell>
        </row>
        <row r="240">
          <cell r="EG240">
            <v>-0.11477551459242818</v>
          </cell>
        </row>
        <row r="241">
          <cell r="EG241">
            <v>1.8837122086444242E-2</v>
          </cell>
        </row>
        <row r="242">
          <cell r="EG242">
            <v>0.11815961257666874</v>
          </cell>
        </row>
        <row r="243">
          <cell r="EG243">
            <v>7.2984892756488826E-2</v>
          </cell>
        </row>
        <row r="244">
          <cell r="EG244">
            <v>-3.7271394797231537E-2</v>
          </cell>
        </row>
        <row r="245">
          <cell r="EG245">
            <v>2.7398974188114562E-2</v>
          </cell>
        </row>
        <row r="246">
          <cell r="EG246">
            <v>0.24183568432636235</v>
          </cell>
        </row>
        <row r="247">
          <cell r="EG247">
            <v>4.1045433243115166E-2</v>
          </cell>
        </row>
        <row r="248">
          <cell r="EG248">
            <v>-8.4494678342531507E-2</v>
          </cell>
        </row>
        <row r="249">
          <cell r="EG249">
            <v>0.11730605019539635</v>
          </cell>
        </row>
        <row r="250">
          <cell r="EG250">
            <v>-5.5240867710676864E-2</v>
          </cell>
        </row>
        <row r="251">
          <cell r="EG251">
            <v>5.4945193176407798E-3</v>
          </cell>
        </row>
        <row r="252">
          <cell r="EG252">
            <v>9.8100955645022261E-2</v>
          </cell>
        </row>
        <row r="253">
          <cell r="EG253">
            <v>1.0291686036547724E-2</v>
          </cell>
        </row>
        <row r="254">
          <cell r="EG254">
            <v>-1.7544309650909508E-2</v>
          </cell>
        </row>
        <row r="255">
          <cell r="EG255">
            <v>2.3461486678997966E-2</v>
          </cell>
        </row>
        <row r="256">
          <cell r="EG256">
            <v>-5.4322681739157656E-2</v>
          </cell>
        </row>
        <row r="257">
          <cell r="EG257">
            <v>5.7859370670439265E-3</v>
          </cell>
        </row>
        <row r="258">
          <cell r="EG258">
            <v>5.0741091478397907E-2</v>
          </cell>
        </row>
        <row r="259">
          <cell r="EG259">
            <v>-6.0138358738533418E-2</v>
          </cell>
        </row>
        <row r="260">
          <cell r="EG260">
            <v>-2.5001302205417384E-2</v>
          </cell>
        </row>
        <row r="261">
          <cell r="EG261">
            <v>0.14581034791103939</v>
          </cell>
        </row>
        <row r="262">
          <cell r="EG262">
            <v>-0.16097213877947616</v>
          </cell>
        </row>
        <row r="263">
          <cell r="EG263">
            <v>0.173555063581772</v>
          </cell>
        </row>
        <row r="264">
          <cell r="EG264">
            <v>2.616971773338482E-2</v>
          </cell>
        </row>
        <row r="265">
          <cell r="EG265">
            <v>0.40060483122591173</v>
          </cell>
        </row>
        <row r="266">
          <cell r="EG266">
            <v>0.12353844722700416</v>
          </cell>
        </row>
        <row r="267">
          <cell r="EG267">
            <v>-1.5190165493975007E-2</v>
          </cell>
        </row>
        <row r="268">
          <cell r="EG268">
            <v>0</v>
          </cell>
        </row>
        <row r="269">
          <cell r="EG269">
            <v>0.21786649421336601</v>
          </cell>
        </row>
        <row r="270">
          <cell r="EG270">
            <v>-3.8052564535794441E-2</v>
          </cell>
        </row>
        <row r="271">
          <cell r="EG271">
            <v>0.13856715711864467</v>
          </cell>
        </row>
        <row r="272">
          <cell r="EG272">
            <v>-1.1904902506318314E-2</v>
          </cell>
        </row>
        <row r="273">
          <cell r="EG273">
            <v>-4.2439183275156715E-2</v>
          </cell>
        </row>
        <row r="274">
          <cell r="EG274">
            <v>-1.9310944913087512E-2</v>
          </cell>
        </row>
        <row r="275">
          <cell r="EG275">
            <v>3.278982282299097E-2</v>
          </cell>
        </row>
        <row r="276">
          <cell r="EG276">
            <v>-2.5933382026504543E-2</v>
          </cell>
        </row>
        <row r="277">
          <cell r="EG277">
            <v>9.086382555957442E-3</v>
          </cell>
        </row>
        <row r="278">
          <cell r="EG278">
            <v>4.1883377956177283E-2</v>
          </cell>
        </row>
        <row r="279">
          <cell r="EG279">
            <v>-1.5748356968139168E-2</v>
          </cell>
        </row>
        <row r="280">
          <cell r="EG280">
            <v>2.1528533611010927E-3</v>
          </cell>
        </row>
        <row r="281">
          <cell r="EG281">
            <v>1.0362787035546658E-2</v>
          </cell>
        </row>
        <row r="282">
          <cell r="EG282">
            <v>-9.4187215059701193E-2</v>
          </cell>
        </row>
        <row r="283">
          <cell r="EG283">
            <v>-6.5040879691764886E-3</v>
          </cell>
        </row>
        <row r="284">
          <cell r="EG284">
            <v>-6.849523524876433E-2</v>
          </cell>
        </row>
        <row r="285">
          <cell r="EG285">
            <v>-9.4452178893688163E-2</v>
          </cell>
        </row>
        <row r="286">
          <cell r="EG286">
            <v>-9.1521984546979782E-2</v>
          </cell>
        </row>
        <row r="287">
          <cell r="EG287">
            <v>1.3755375068485419E-2</v>
          </cell>
        </row>
        <row r="288">
          <cell r="EG288">
            <v>-9.7088141269609379E-3</v>
          </cell>
        </row>
        <row r="289">
          <cell r="EG289">
            <v>0.11860574240784701</v>
          </cell>
        </row>
        <row r="290">
          <cell r="EG290">
            <v>-2.409755157906053E-2</v>
          </cell>
        </row>
        <row r="291">
          <cell r="EG291">
            <v>-3.8986404156571976E-3</v>
          </cell>
        </row>
        <row r="292">
          <cell r="EG292">
            <v>4.1995121036603238E-2</v>
          </cell>
        </row>
        <row r="293">
          <cell r="EG293">
            <v>-9.7638469563916058E-2</v>
          </cell>
        </row>
        <row r="294">
          <cell r="EG294">
            <v>-7.5757938084576558E-3</v>
          </cell>
        </row>
        <row r="295">
          <cell r="EG295">
            <v>-8.0761356644458465E-2</v>
          </cell>
        </row>
        <row r="296">
          <cell r="EG296">
            <v>-8.3788030403698394E-2</v>
          </cell>
        </row>
        <row r="297">
          <cell r="EG297">
            <v>-0.20942987555203271</v>
          </cell>
        </row>
        <row r="298">
          <cell r="EG298">
            <v>-4.9382816405826773E-3</v>
          </cell>
        </row>
        <row r="299">
          <cell r="EG299">
            <v>-7.9137320558723856E-2</v>
          </cell>
        </row>
        <row r="300">
          <cell r="EG300">
            <v>-4.8998085991576165E-2</v>
          </cell>
        </row>
        <row r="301">
          <cell r="EG301">
            <v>-2.7651531330510008E-2</v>
          </cell>
        </row>
        <row r="302">
          <cell r="EG302">
            <v>-0.29987734554559914</v>
          </cell>
        </row>
        <row r="303">
          <cell r="EG303">
            <v>0.27394376641166612</v>
          </cell>
        </row>
        <row r="304">
          <cell r="EG304">
            <v>-0.14389417966006918</v>
          </cell>
        </row>
        <row r="305">
          <cell r="EG305">
            <v>5.5512709930258759E-2</v>
          </cell>
        </row>
        <row r="306">
          <cell r="EG306">
            <v>-0.10328582611696588</v>
          </cell>
        </row>
        <row r="307">
          <cell r="EG307">
            <v>-9.4947926585366063E-2</v>
          </cell>
        </row>
        <row r="308">
          <cell r="EG308">
            <v>-4.184710993550049E-2</v>
          </cell>
        </row>
        <row r="309">
          <cell r="EG309">
            <v>-3.4514518733964376E-2</v>
          </cell>
        </row>
        <row r="310">
          <cell r="EG310">
            <v>4.0989344533196949E-2</v>
          </cell>
        </row>
        <row r="311">
          <cell r="EG311">
            <v>6.7972983586205848E-2</v>
          </cell>
        </row>
        <row r="312">
          <cell r="EG312">
            <v>-7.8643127319113229E-2</v>
          </cell>
        </row>
        <row r="313">
          <cell r="EG313">
            <v>-5.6695343676545176E-2</v>
          </cell>
        </row>
        <row r="314">
          <cell r="EG314">
            <v>-2.9558802241544391E-2</v>
          </cell>
        </row>
        <row r="315">
          <cell r="EG315">
            <v>1.0080730528356729E-2</v>
          </cell>
        </row>
        <row r="316">
          <cell r="EG316">
            <v>-0.1437699637726976</v>
          </cell>
        </row>
        <row r="317">
          <cell r="EG317">
            <v>2.8129413766146577E-3</v>
          </cell>
        </row>
        <row r="318">
          <cell r="EG318">
            <v>-3.1338970192719702E-2</v>
          </cell>
        </row>
        <row r="319">
          <cell r="EG319">
            <v>-8.5869172410852762E-2</v>
          </cell>
        </row>
        <row r="320">
          <cell r="EG320">
            <v>0.12564916969504372</v>
          </cell>
        </row>
        <row r="321">
          <cell r="EG321">
            <v>5.9347355198145265E-3</v>
          </cell>
        </row>
        <row r="322">
          <cell r="EG322">
            <v>4.4997365930735722E-2</v>
          </cell>
        </row>
        <row r="323">
          <cell r="EG323">
            <v>0.10387518304163459</v>
          </cell>
        </row>
        <row r="324">
          <cell r="EG324">
            <v>-0.10379679368164367</v>
          </cell>
        </row>
        <row r="325">
          <cell r="EG325">
            <v>-0.14669437915080349</v>
          </cell>
        </row>
        <row r="326">
          <cell r="EG326">
            <v>0</v>
          </cell>
        </row>
        <row r="327">
          <cell r="EG327">
            <v>-0.1330631182071621</v>
          </cell>
        </row>
        <row r="328">
          <cell r="EG328">
            <v>-4.2626816461763327E-2</v>
          </cell>
        </row>
        <row r="329">
          <cell r="EG329">
            <v>-4.8077015681032322E-3</v>
          </cell>
        </row>
        <row r="330">
          <cell r="EG330">
            <v>0.30022142170451621</v>
          </cell>
        </row>
        <row r="331">
          <cell r="EG331">
            <v>0.26856767642846541</v>
          </cell>
        </row>
        <row r="332">
          <cell r="EG332">
            <v>-0.13511643020474462</v>
          </cell>
        </row>
        <row r="333">
          <cell r="EG333">
            <v>6.4538521137571164E-2</v>
          </cell>
        </row>
        <row r="334">
          <cell r="EG334">
            <v>0.18298402783507575</v>
          </cell>
        </row>
        <row r="335">
          <cell r="EG335">
            <v>-6.6445099408152741E-2</v>
          </cell>
        </row>
        <row r="336">
          <cell r="EG336">
            <v>-5.3940390145747738E-2</v>
          </cell>
        </row>
        <row r="337">
          <cell r="EG337">
            <v>-9.4169603689800124E-2</v>
          </cell>
        </row>
        <row r="338">
          <cell r="EG338">
            <v>0</v>
          </cell>
        </row>
        <row r="339">
          <cell r="EG339">
            <v>-1.5748356968139282E-2</v>
          </cell>
        </row>
        <row r="340">
          <cell r="EG340">
            <v>-4.2439183275156715E-2</v>
          </cell>
        </row>
        <row r="341">
          <cell r="EG341">
            <v>6.8259650703998906E-3</v>
          </cell>
        </row>
        <row r="342">
          <cell r="EG342">
            <v>-0.11904010684643465</v>
          </cell>
        </row>
        <row r="343">
          <cell r="EG343">
            <v>3.2538755786773829E-2</v>
          </cell>
        </row>
        <row r="344">
          <cell r="EG344">
            <v>-2.8528083614538052E-2</v>
          </cell>
        </row>
        <row r="345">
          <cell r="EG345">
            <v>-6.3356863953307821E-2</v>
          </cell>
        </row>
        <row r="346">
          <cell r="EG346">
            <v>-2.6597312519265854E-2</v>
          </cell>
        </row>
        <row r="347">
          <cell r="EG347">
            <v>4.2559614418795903E-2</v>
          </cell>
        </row>
        <row r="348">
          <cell r="EG348">
            <v>-0.10701204369629939</v>
          </cell>
        </row>
        <row r="349">
          <cell r="EG349">
            <v>-8.1678031014267238E-2</v>
          </cell>
        </row>
        <row r="350">
          <cell r="EG350">
            <v>1.8723399558873945</v>
          </cell>
        </row>
        <row r="351">
          <cell r="EG351">
            <v>6.9146824223765405E-2</v>
          </cell>
        </row>
        <row r="352">
          <cell r="EG352">
            <v>0.132351451484674</v>
          </cell>
        </row>
        <row r="353">
          <cell r="EG353">
            <v>-4.5635294706619228E-2</v>
          </cell>
        </row>
        <row r="354">
          <cell r="EG354">
            <v>-3.7383221106072153E-3</v>
          </cell>
        </row>
        <row r="355">
          <cell r="EG355">
            <v>-8.810629682154807E-3</v>
          </cell>
        </row>
        <row r="356">
          <cell r="EG356">
            <v>-0.28427159411562503</v>
          </cell>
        </row>
        <row r="357">
          <cell r="EG357">
            <v>0.12188981760903679</v>
          </cell>
        </row>
        <row r="358">
          <cell r="EG358">
            <v>3.4662079764861075E-3</v>
          </cell>
        </row>
        <row r="359">
          <cell r="EG359">
            <v>-9.6460266187562108E-2</v>
          </cell>
        </row>
        <row r="360">
          <cell r="EG360">
            <v>-1.6960615307045315E-2</v>
          </cell>
        </row>
        <row r="361">
          <cell r="EG361">
            <v>-4.9841965475969488E-2</v>
          </cell>
        </row>
        <row r="362">
          <cell r="EG362">
            <v>-2.2658023892583989E-2</v>
          </cell>
        </row>
        <row r="363">
          <cell r="EG363">
            <v>-5.6512210263342334E-2</v>
          </cell>
        </row>
        <row r="364">
          <cell r="EG364">
            <v>0.11195032533688204</v>
          </cell>
        </row>
        <row r="365">
          <cell r="EG365">
            <v>-2.0834086902842025E-2</v>
          </cell>
        </row>
        <row r="366">
          <cell r="EG366">
            <v>0.12814582269193003</v>
          </cell>
        </row>
        <row r="367">
          <cell r="EG367">
            <v>-1.3495481474884621E-2</v>
          </cell>
        </row>
        <row r="368">
          <cell r="EG368">
            <v>1.069528911674795E-2</v>
          </cell>
        </row>
        <row r="369">
          <cell r="EG369">
            <v>-9.5466118835798881E-3</v>
          </cell>
        </row>
        <row r="370">
          <cell r="EG370">
            <v>0.1949003390008146</v>
          </cell>
        </row>
        <row r="371">
          <cell r="EG371">
            <v>-6.9619634277760731E-2</v>
          </cell>
        </row>
        <row r="372">
          <cell r="EG372">
            <v>-7.5884697524872688E-2</v>
          </cell>
        </row>
        <row r="373">
          <cell r="EG373">
            <v>0.13795944414025474</v>
          </cell>
        </row>
        <row r="374">
          <cell r="EG374">
            <v>2.5667746748577813E-2</v>
          </cell>
        </row>
        <row r="375">
          <cell r="EG375">
            <v>1.9718948788955425E-2</v>
          </cell>
        </row>
        <row r="376">
          <cell r="EG376">
            <v>1.2511333889107929E-2</v>
          </cell>
        </row>
        <row r="377">
          <cell r="EG377">
            <v>3.1581572050298837E-2</v>
          </cell>
        </row>
        <row r="378">
          <cell r="EG378">
            <v>4.9325066562501491E-2</v>
          </cell>
        </row>
        <row r="379">
          <cell r="EG379">
            <v>4.0433569578490459E-2</v>
          </cell>
        </row>
        <row r="380">
          <cell r="EG380">
            <v>7.5793839369533725E-2</v>
          </cell>
        </row>
        <row r="381">
          <cell r="EG381">
            <v>7.4680764532150917E-2</v>
          </cell>
        </row>
        <row r="382">
          <cell r="EG382">
            <v>8.6366977325915643E-3</v>
          </cell>
        </row>
        <row r="383">
          <cell r="EG383">
            <v>1.0810916104215456E-2</v>
          </cell>
        </row>
        <row r="384">
          <cell r="EG384">
            <v>-2.2814677766171399E-2</v>
          </cell>
        </row>
        <row r="385">
          <cell r="EG385">
            <v>-6.2964956690140558E-2</v>
          </cell>
        </row>
        <row r="386">
          <cell r="EG386">
            <v>8.0688911250142659E-2</v>
          </cell>
        </row>
        <row r="387">
          <cell r="EG387">
            <v>0.1479740079355292</v>
          </cell>
        </row>
        <row r="388">
          <cell r="EG388">
            <v>-3.8839833316263894E-2</v>
          </cell>
        </row>
        <row r="389">
          <cell r="EG389">
            <v>4.8780584534329936E-3</v>
          </cell>
        </row>
        <row r="390">
          <cell r="EG390">
            <v>-1.3908430046132E-2</v>
          </cell>
        </row>
        <row r="391">
          <cell r="EG391">
            <v>5.5210731972354765E-2</v>
          </cell>
        </row>
        <row r="392">
          <cell r="EG392">
            <v>9.0971778205726592E-2</v>
          </cell>
        </row>
        <row r="393">
          <cell r="EG393">
            <v>0</v>
          </cell>
        </row>
        <row r="394">
          <cell r="EG394">
            <v>-3.6429912785009805E-3</v>
          </cell>
        </row>
        <row r="395">
          <cell r="EG395">
            <v>9.8649081069839634E-2</v>
          </cell>
        </row>
        <row r="396">
          <cell r="EG396">
            <v>-1.5037877364540559E-2</v>
          </cell>
        </row>
        <row r="397">
          <cell r="EG397">
            <v>-4.9655590445860834E-2</v>
          </cell>
        </row>
        <row r="398">
          <cell r="EG398">
            <v>4.3196611445163796E-3</v>
          </cell>
        </row>
        <row r="399">
          <cell r="EG399">
            <v>-1.3869847864150502E-2</v>
          </cell>
        </row>
        <row r="400">
          <cell r="EG400">
            <v>-5.3755743304823342E-2</v>
          </cell>
        </row>
        <row r="401">
          <cell r="EG401">
            <v>6.5437397602588376E-2</v>
          </cell>
        </row>
        <row r="402">
          <cell r="EG402">
            <v>-1.7513582492708357E-2</v>
          </cell>
        </row>
        <row r="403">
          <cell r="EG403">
            <v>3.3314855910034193E-3</v>
          </cell>
        </row>
        <row r="404">
          <cell r="EG404">
            <v>3.8374012881615044E-2</v>
          </cell>
        </row>
        <row r="405">
          <cell r="EG405">
            <v>-5.1989107937600143E-2</v>
          </cell>
        </row>
        <row r="406">
          <cell r="EG406">
            <v>0</v>
          </cell>
        </row>
        <row r="407">
          <cell r="EG407">
            <v>7.2072384049493869E-3</v>
          </cell>
        </row>
        <row r="408">
          <cell r="EG408">
            <v>3.5693077751204364E-3</v>
          </cell>
        </row>
        <row r="409">
          <cell r="EG409">
            <v>-1.834913866819643E-2</v>
          </cell>
        </row>
        <row r="410">
          <cell r="EG410">
            <v>-2.0236778287352934E-2</v>
          </cell>
        </row>
        <row r="411">
          <cell r="EG411">
            <v>0</v>
          </cell>
        </row>
        <row r="412">
          <cell r="EG412">
            <v>0.1322778232703089</v>
          </cell>
        </row>
        <row r="413">
          <cell r="EG413">
            <v>0.1266648057911639</v>
          </cell>
        </row>
        <row r="414">
          <cell r="EG414">
            <v>1.5267472130788381E-2</v>
          </cell>
        </row>
        <row r="415">
          <cell r="EG415">
            <v>3.8535693159899723E-3</v>
          </cell>
        </row>
        <row r="416">
          <cell r="EG416">
            <v>3.4809404665861153E-2</v>
          </cell>
        </row>
        <row r="417">
          <cell r="EG417">
            <v>-5.0076337980176092E-2</v>
          </cell>
        </row>
        <row r="418">
          <cell r="EG418">
            <v>-2.5940351770466466E-3</v>
          </cell>
        </row>
        <row r="419">
          <cell r="EG419">
            <v>-4.8318577270807683E-2</v>
          </cell>
        </row>
        <row r="420">
          <cell r="EG420">
            <v>-1.6807118316381289E-2</v>
          </cell>
        </row>
        <row r="421">
          <cell r="EG421">
            <v>8.5713518274029926E-2</v>
          </cell>
        </row>
        <row r="422">
          <cell r="EG422">
            <v>-1.0554187678690145E-2</v>
          </cell>
        </row>
        <row r="423">
          <cell r="EG423">
            <v>0</v>
          </cell>
        </row>
        <row r="424">
          <cell r="EG424">
            <v>-5.5791359628415658E-2</v>
          </cell>
        </row>
        <row r="425">
          <cell r="EG425">
            <v>-2.8399474521698002E-2</v>
          </cell>
        </row>
        <row r="426">
          <cell r="EG426">
            <v>-4.962789342128902E-3</v>
          </cell>
        </row>
        <row r="427">
          <cell r="EG427">
            <v>-4.9896971144623159E-2</v>
          </cell>
        </row>
        <row r="428">
          <cell r="EG428">
            <v>-1.1173300598125189E-2</v>
          </cell>
        </row>
        <row r="429">
          <cell r="EG429">
            <v>-5.7471422555678475E-3</v>
          </cell>
        </row>
        <row r="430">
          <cell r="EG430">
            <v>-3.4037319783961253E-2</v>
          </cell>
        </row>
        <row r="431">
          <cell r="EG431">
            <v>7.3292865465473062E-2</v>
          </cell>
        </row>
        <row r="432">
          <cell r="EG432">
            <v>-5.3704178971861097E-2</v>
          </cell>
        </row>
        <row r="433">
          <cell r="EG433">
            <v>-4.55313848079534E-2</v>
          </cell>
        </row>
        <row r="434">
          <cell r="EG434">
            <v>0.2336148511815051</v>
          </cell>
        </row>
        <row r="435">
          <cell r="EG435">
            <v>-1.0695289116747919E-2</v>
          </cell>
        </row>
        <row r="436">
          <cell r="EG436">
            <v>-6.6298585386695766E-3</v>
          </cell>
        </row>
        <row r="437">
          <cell r="EG437">
            <v>3.6779251503296487E-2</v>
          </cell>
        </row>
        <row r="438">
          <cell r="EG438">
            <v>0.1278333715098848</v>
          </cell>
        </row>
        <row r="439">
          <cell r="EG439">
            <v>-0.10929642177906482</v>
          </cell>
        </row>
        <row r="440">
          <cell r="EG440">
            <v>6.4279151404564791E-2</v>
          </cell>
        </row>
        <row r="441">
          <cell r="EG441">
            <v>-7.6372978784573969E-2</v>
          </cell>
        </row>
        <row r="442">
          <cell r="EG442">
            <v>8.0754140055453311E-3</v>
          </cell>
        </row>
        <row r="443">
          <cell r="EG443">
            <v>0.54584014161109273</v>
          </cell>
        </row>
        <row r="444">
          <cell r="EG444">
            <v>-7.7496557348291195E-2</v>
          </cell>
        </row>
        <row r="445">
          <cell r="EG445">
            <v>0.30110509278392161</v>
          </cell>
        </row>
        <row r="446">
          <cell r="EG446">
            <v>8.5264651654688134E-2</v>
          </cell>
        </row>
        <row r="447">
          <cell r="EG447">
            <v>9.2577076032151331E-2</v>
          </cell>
        </row>
        <row r="448">
          <cell r="EG448">
            <v>0</v>
          </cell>
        </row>
        <row r="449">
          <cell r="EG449">
            <v>2.3302025202844329E-2</v>
          </cell>
        </row>
        <row r="450">
          <cell r="EG450">
            <v>-8.3738051644660624E-2</v>
          </cell>
        </row>
        <row r="451">
          <cell r="EG451">
            <v>1.0785005676562572E-2</v>
          </cell>
        </row>
        <row r="452">
          <cell r="EG452">
            <v>-0.14330223322951235</v>
          </cell>
        </row>
        <row r="453">
          <cell r="EG453">
            <v>6.8267971129002875E-2</v>
          </cell>
        </row>
        <row r="454">
          <cell r="EG454">
            <v>-9.4028949648276336E-2</v>
          </cell>
        </row>
        <row r="455">
          <cell r="EG455">
            <v>-0.1452802851136055</v>
          </cell>
        </row>
        <row r="456">
          <cell r="EG456">
            <v>1.5228720701824683E-2</v>
          </cell>
        </row>
        <row r="457">
          <cell r="EG457">
            <v>9.0492828055280902E-2</v>
          </cell>
        </row>
        <row r="458">
          <cell r="EG458">
            <v>1.980262729617973E-2</v>
          </cell>
        </row>
        <row r="459">
          <cell r="EG459">
            <v>7.4297923716644634E-2</v>
          </cell>
        </row>
        <row r="460">
          <cell r="EG460">
            <v>-6.2964956690140558E-2</v>
          </cell>
        </row>
        <row r="461">
          <cell r="EG461">
            <v>-3.789087371139626E-2</v>
          </cell>
        </row>
        <row r="462">
          <cell r="EG462">
            <v>4.2655175601916111E-2</v>
          </cell>
        </row>
        <row r="463">
          <cell r="EG463">
            <v>6.5402456806099747E-3</v>
          </cell>
        </row>
        <row r="464">
          <cell r="EG464">
            <v>2.1882711249507587E-2</v>
          </cell>
        </row>
        <row r="465">
          <cell r="EG465">
            <v>5.7770235769223008E-3</v>
          </cell>
        </row>
        <row r="466">
          <cell r="EG466">
            <v>-7.388884209915822E-2</v>
          </cell>
        </row>
        <row r="467">
          <cell r="EG467">
            <v>8.9746287856275475E-2</v>
          </cell>
        </row>
        <row r="468">
          <cell r="EG468">
            <v>9.1630322845924372E-2</v>
          </cell>
        </row>
        <row r="469">
          <cell r="EG469">
            <v>-6.2957850152481371E-2</v>
          </cell>
        </row>
        <row r="470">
          <cell r="EG470">
            <v>0.31237468504215243</v>
          </cell>
        </row>
        <row r="471">
          <cell r="EG471">
            <v>0.15432594930452753</v>
          </cell>
        </row>
        <row r="472">
          <cell r="EG472">
            <v>0.11009069003322783</v>
          </cell>
        </row>
        <row r="473">
          <cell r="EG473">
            <v>-5.9057749643600943E-2</v>
          </cell>
        </row>
        <row r="474">
          <cell r="EG474">
            <v>-9.6686642513048218E-2</v>
          </cell>
        </row>
        <row r="475">
          <cell r="EG475">
            <v>-6.6815198173917095E-2</v>
          </cell>
        </row>
        <row r="476">
          <cell r="EG476">
            <v>0.23041631064328949</v>
          </cell>
        </row>
        <row r="477">
          <cell r="EG477">
            <v>9.2593254127967262E-3</v>
          </cell>
        </row>
        <row r="478">
          <cell r="EG478">
            <v>6.6666913581892974E-3</v>
          </cell>
        </row>
        <row r="479">
          <cell r="EG479">
            <v>-0.1431008436406733</v>
          </cell>
        </row>
        <row r="480">
          <cell r="EG480">
            <v>-0.10919929196499197</v>
          </cell>
        </row>
        <row r="481">
          <cell r="EG481">
            <v>-2.7285146532040625E-3</v>
          </cell>
        </row>
        <row r="482">
          <cell r="EG482">
            <v>-0.15554343771256171</v>
          </cell>
        </row>
        <row r="483">
          <cell r="EG483">
            <v>-7.0204258673248462E-2</v>
          </cell>
        </row>
        <row r="484">
          <cell r="EG484">
            <v>0.10008345855698243</v>
          </cell>
        </row>
        <row r="485">
          <cell r="EG485">
            <v>6.1300525863795877E-2</v>
          </cell>
        </row>
        <row r="486">
          <cell r="EG486">
            <v>-2.9726180265200734E-2</v>
          </cell>
        </row>
        <row r="487">
          <cell r="EG487">
            <v>5.7357161728906571E-2</v>
          </cell>
        </row>
        <row r="488">
          <cell r="EG488">
            <v>0.11638736201740872</v>
          </cell>
        </row>
        <row r="489">
          <cell r="EG489">
            <v>-6.682249624540175E-2</v>
          </cell>
        </row>
        <row r="490">
          <cell r="EG490">
            <v>2.0834086902842053E-2</v>
          </cell>
        </row>
        <row r="491">
          <cell r="EG491">
            <v>-5.8948924613736763E-2</v>
          </cell>
        </row>
        <row r="492">
          <cell r="EG492">
            <v>-5.5125066250396197E-2</v>
          </cell>
        </row>
        <row r="493">
          <cell r="EG493">
            <v>-1.4848930741399244E-2</v>
          </cell>
        </row>
        <row r="494">
          <cell r="EG494">
            <v>-0.16073798512678011</v>
          </cell>
        </row>
        <row r="495">
          <cell r="EG495">
            <v>-0.10303222589823519</v>
          </cell>
        </row>
        <row r="496">
          <cell r="EG496">
            <v>-0.16999887206728198</v>
          </cell>
        </row>
        <row r="497">
          <cell r="EG497">
            <v>-7.6372978784573969E-2</v>
          </cell>
        </row>
        <row r="498">
          <cell r="EG498">
            <v>-2.462504730538918E-2</v>
          </cell>
        </row>
        <row r="499">
          <cell r="EG499">
            <v>0.11275667728329462</v>
          </cell>
        </row>
        <row r="500">
          <cell r="EG500">
            <v>-0.21046911041748181</v>
          </cell>
        </row>
        <row r="501">
          <cell r="EG501">
            <v>3.1182927436687845E-2</v>
          </cell>
        </row>
        <row r="502">
          <cell r="EG502">
            <v>4.8127733022989776E-2</v>
          </cell>
        </row>
        <row r="503">
          <cell r="EG503">
            <v>-4.5542020446916187E-2</v>
          </cell>
        </row>
        <row r="504">
          <cell r="EG504">
            <v>-5.9898141581068959E-2</v>
          </cell>
        </row>
        <row r="505">
          <cell r="EG505">
            <v>-5.96124028015153E-2</v>
          </cell>
        </row>
        <row r="506">
          <cell r="EG506">
            <v>-1.2092045765028633E-2</v>
          </cell>
        </row>
        <row r="507">
          <cell r="EG507">
            <v>-2.8208763416413406E-3</v>
          </cell>
        </row>
        <row r="508">
          <cell r="EG508">
            <v>0.19706383853115803</v>
          </cell>
        </row>
        <row r="509">
          <cell r="EG509">
            <v>2.7973852042406162E-2</v>
          </cell>
        </row>
        <row r="510">
          <cell r="EG510">
            <v>-4.7798823737776885E-2</v>
          </cell>
        </row>
        <row r="511">
          <cell r="EG511">
            <v>1.0489606671019443E-2</v>
          </cell>
        </row>
        <row r="512">
          <cell r="EG512">
            <v>-2.8437935320533625E-2</v>
          </cell>
        </row>
        <row r="513">
          <cell r="EG513">
            <v>-3.1648210950781734E-2</v>
          </cell>
        </row>
        <row r="514">
          <cell r="EG514">
            <v>0.13528219552287546</v>
          </cell>
        </row>
        <row r="515">
          <cell r="EG515">
            <v>0.37605122290187121</v>
          </cell>
        </row>
        <row r="516">
          <cell r="EG516">
            <v>5.2332615458067437E-2</v>
          </cell>
        </row>
        <row r="517">
          <cell r="EG517">
            <v>8.8292607145678215E-2</v>
          </cell>
        </row>
        <row r="518">
          <cell r="EG518">
            <v>0.35826941677188984</v>
          </cell>
        </row>
        <row r="519">
          <cell r="EG519">
            <v>0.14518200984449789</v>
          </cell>
        </row>
        <row r="520">
          <cell r="EG520">
            <v>-0.12501533421824082</v>
          </cell>
        </row>
        <row r="521">
          <cell r="EG521">
            <v>0.1204893972541263</v>
          </cell>
        </row>
        <row r="522">
          <cell r="EG522">
            <v>3.5268138837457837E-2</v>
          </cell>
        </row>
        <row r="523">
          <cell r="EG523">
            <v>0.15906469462968728</v>
          </cell>
        </row>
        <row r="524">
          <cell r="EG524">
            <v>7.8471615441495099E-2</v>
          </cell>
        </row>
        <row r="525">
          <cell r="EG525">
            <v>0.30582985896211862</v>
          </cell>
        </row>
        <row r="526">
          <cell r="EG526">
            <v>-3.9565600206191251E-2</v>
          </cell>
        </row>
        <row r="527">
          <cell r="EG527">
            <v>9.9338565242906747E-3</v>
          </cell>
        </row>
        <row r="528">
          <cell r="EG528">
            <v>-0.24826183814859593</v>
          </cell>
        </row>
        <row r="529">
          <cell r="EG529">
            <v>6.3699242867576347E-2</v>
          </cell>
        </row>
        <row r="530">
          <cell r="EG530">
            <v>-7.3287795769832229E-2</v>
          </cell>
        </row>
        <row r="531">
          <cell r="EG531">
            <v>9.600693989820766E-2</v>
          </cell>
        </row>
        <row r="532">
          <cell r="EG532">
            <v>7.9796916840297008E-2</v>
          </cell>
        </row>
        <row r="533">
          <cell r="EG533">
            <v>-3.6285159739764483E-2</v>
          </cell>
        </row>
        <row r="534">
          <cell r="EG534">
            <v>0.18270998173571926</v>
          </cell>
        </row>
        <row r="535">
          <cell r="EG535">
            <v>0.28897993116738091</v>
          </cell>
        </row>
        <row r="536">
          <cell r="EG536">
            <v>0.16332505610329945</v>
          </cell>
        </row>
        <row r="537">
          <cell r="EG537">
            <v>0.3290672886146353</v>
          </cell>
        </row>
        <row r="538">
          <cell r="EG538">
            <v>9.1644589911117916E-2</v>
          </cell>
        </row>
        <row r="539">
          <cell r="EG539">
            <v>-1.4803851704342195E-3</v>
          </cell>
        </row>
        <row r="540">
          <cell r="EG540">
            <v>-8.8731726804865702E-3</v>
          </cell>
        </row>
        <row r="541">
          <cell r="EG541">
            <v>8.5837436913916553E-3</v>
          </cell>
        </row>
        <row r="542">
          <cell r="EG542">
            <v>-1.3187004281953688E-2</v>
          </cell>
        </row>
        <row r="543">
          <cell r="EG543">
            <v>-2.4875634718017465E-3</v>
          </cell>
        </row>
        <row r="544">
          <cell r="EG544">
            <v>2.3842188962759872E-2</v>
          </cell>
        </row>
        <row r="545">
          <cell r="EG545">
            <v>-0.11674191114797298</v>
          </cell>
        </row>
        <row r="546">
          <cell r="EG546">
            <v>-7.1428875123802247E-3</v>
          </cell>
        </row>
        <row r="547">
          <cell r="EG547">
            <v>-8.2836005579149052E-2</v>
          </cell>
        </row>
        <row r="548">
          <cell r="EG548">
            <v>4.0622969741013162E-2</v>
          </cell>
        </row>
        <row r="549">
          <cell r="EG549">
            <v>2.7587956518828963E-2</v>
          </cell>
        </row>
        <row r="550">
          <cell r="EG550">
            <v>-9.0294067193941521E-3</v>
          </cell>
        </row>
        <row r="551">
          <cell r="EG551">
            <v>2.3438572972017381E-2</v>
          </cell>
        </row>
        <row r="552">
          <cell r="EG552">
            <v>0.3262157364540238</v>
          </cell>
        </row>
        <row r="553">
          <cell r="EG553">
            <v>0.28355835526791878</v>
          </cell>
        </row>
        <row r="554">
          <cell r="EG554">
            <v>0.23195418099636469</v>
          </cell>
        </row>
        <row r="555">
          <cell r="EG555">
            <v>0.24526135656782874</v>
          </cell>
        </row>
        <row r="556">
          <cell r="EG556">
            <v>-1.6992357529598016E-3</v>
          </cell>
        </row>
        <row r="557">
          <cell r="EG557">
            <v>2.895396236301738E-2</v>
          </cell>
        </row>
        <row r="558">
          <cell r="EG558">
            <v>5.7798004523728484E-2</v>
          </cell>
        </row>
        <row r="559">
          <cell r="EG559">
            <v>-3.2789822822990838E-2</v>
          </cell>
        </row>
        <row r="560">
          <cell r="EG560">
            <v>5.9316577156419505E-2</v>
          </cell>
        </row>
        <row r="561">
          <cell r="EG561">
            <v>-0.18010180005564178</v>
          </cell>
        </row>
        <row r="562">
          <cell r="EG562">
            <v>0.20067069546215124</v>
          </cell>
        </row>
        <row r="563">
          <cell r="EG563">
            <v>9.2249733651218802E-2</v>
          </cell>
        </row>
        <row r="564">
          <cell r="EG564">
            <v>0.35197642315717803</v>
          </cell>
        </row>
        <row r="565">
          <cell r="EG565">
            <v>7.4634981388580698E-2</v>
          </cell>
        </row>
        <row r="566">
          <cell r="EG566">
            <v>-0.17614167048104634</v>
          </cell>
        </row>
        <row r="567">
          <cell r="EG567">
            <v>9.9254958095341267E-2</v>
          </cell>
        </row>
        <row r="568">
          <cell r="EG568">
            <v>4.6520015634892907E-2</v>
          </cell>
        </row>
        <row r="569">
          <cell r="EG569">
            <v>0.15054273845105912</v>
          </cell>
        </row>
        <row r="570">
          <cell r="EG570">
            <v>7.1176278467894954E-2</v>
          </cell>
        </row>
        <row r="571">
          <cell r="EG571">
            <v>-8.2789571820766766E-2</v>
          </cell>
        </row>
        <row r="572">
          <cell r="EG572">
            <v>3.5026305512020745E-3</v>
          </cell>
        </row>
        <row r="573">
          <cell r="EG573">
            <v>0.15895453213990365</v>
          </cell>
        </row>
        <row r="574">
          <cell r="EG574">
            <v>0.26298945986140942</v>
          </cell>
        </row>
        <row r="575">
          <cell r="EG575">
            <v>0.11068721267491431</v>
          </cell>
        </row>
        <row r="576">
          <cell r="EG576">
            <v>-0.1196229625783907</v>
          </cell>
        </row>
        <row r="577">
          <cell r="EG577">
            <v>0.19936982183510063</v>
          </cell>
        </row>
        <row r="578">
          <cell r="EG578">
            <v>0.19435953535343381</v>
          </cell>
        </row>
        <row r="579">
          <cell r="EG579">
            <v>-7.5637414205619952E-2</v>
          </cell>
        </row>
        <row r="580">
          <cell r="EG580">
            <v>7.3803974583361381E-2</v>
          </cell>
        </row>
        <row r="581">
          <cell r="EG581">
            <v>0.16829002598969675</v>
          </cell>
        </row>
        <row r="582">
          <cell r="EG582">
            <v>0.25614146902922186</v>
          </cell>
        </row>
        <row r="583">
          <cell r="EG583">
            <v>-5.5940015882339447E-2</v>
          </cell>
        </row>
        <row r="584">
          <cell r="EG584">
            <v>-0.10836803672178152</v>
          </cell>
        </row>
        <row r="585">
          <cell r="EG585">
            <v>-3.8099846232270293E-2</v>
          </cell>
        </row>
        <row r="586">
          <cell r="EG586">
            <v>3.6813973122716184E-2</v>
          </cell>
        </row>
        <row r="587">
          <cell r="EG587">
            <v>6.5574005461590396E-3</v>
          </cell>
        </row>
        <row r="588">
          <cell r="EG588">
            <v>5.1672010544320857E-2</v>
          </cell>
        </row>
        <row r="589">
          <cell r="EG589">
            <v>-2.3623145763435827E-2</v>
          </cell>
        </row>
        <row r="590">
          <cell r="EG590">
            <v>0.23474909743451763</v>
          </cell>
        </row>
        <row r="591">
          <cell r="EG591">
            <v>-5.4351675830578115E-2</v>
          </cell>
        </row>
        <row r="592">
          <cell r="EG592">
            <v>-3.0153038170687558E-2</v>
          </cell>
        </row>
        <row r="593">
          <cell r="EG593">
            <v>2.763561017208634E-2</v>
          </cell>
        </row>
        <row r="594">
          <cell r="EG594">
            <v>-2.6433257068155597E-2</v>
          </cell>
        </row>
        <row r="595">
          <cell r="EG595">
            <v>0.30469341827831758</v>
          </cell>
        </row>
        <row r="596">
          <cell r="EG596">
            <v>0.11255479129185356</v>
          </cell>
        </row>
        <row r="597">
          <cell r="EG597">
            <v>-1.7391742711869222E-2</v>
          </cell>
        </row>
        <row r="598">
          <cell r="EG598">
            <v>5.1439911204762039E-2</v>
          </cell>
        </row>
        <row r="599">
          <cell r="EG599">
            <v>0.21948150170769531</v>
          </cell>
        </row>
        <row r="600">
          <cell r="EG600">
            <v>0.27412910604707741</v>
          </cell>
        </row>
        <row r="601">
          <cell r="EG601">
            <v>8.6831375189125828E-2</v>
          </cell>
        </row>
        <row r="602">
          <cell r="EG602">
            <v>-1.365208916832732E-2</v>
          </cell>
        </row>
        <row r="603">
          <cell r="EG603">
            <v>1.2539186595936812E-3</v>
          </cell>
        </row>
        <row r="604">
          <cell r="EG604">
            <v>0.15040395382564978</v>
          </cell>
        </row>
        <row r="605">
          <cell r="EG605">
            <v>7.4239390712822666E-3</v>
          </cell>
        </row>
        <row r="606">
          <cell r="EG606">
            <v>0.13016249555841777</v>
          </cell>
        </row>
        <row r="607">
          <cell r="EG607">
            <v>0.22381222402384554</v>
          </cell>
        </row>
        <row r="608">
          <cell r="EG608">
            <v>9.3023926623134103E-3</v>
          </cell>
        </row>
        <row r="609">
          <cell r="EG609">
            <v>0</v>
          </cell>
        </row>
        <row r="610">
          <cell r="EG610">
            <v>0.1252378841626062</v>
          </cell>
        </row>
        <row r="611">
          <cell r="EG611">
            <v>-3.0583423372080278E-2</v>
          </cell>
        </row>
        <row r="612">
          <cell r="EG612">
            <v>9.0596895352226647E-2</v>
          </cell>
        </row>
        <row r="613">
          <cell r="EG613">
            <v>-0.12244070593036432</v>
          </cell>
        </row>
        <row r="614">
          <cell r="EG614">
            <v>8.8266082298526255E-2</v>
          </cell>
        </row>
        <row r="615">
          <cell r="EG615">
            <v>-8.0000426670761519E-3</v>
          </cell>
        </row>
        <row r="616">
          <cell r="EG616">
            <v>0.20983958568784697</v>
          </cell>
        </row>
        <row r="617">
          <cell r="EG617">
            <v>-2.1309786586750985E-2</v>
          </cell>
        </row>
        <row r="618">
          <cell r="EG618">
            <v>0.13414470144472854</v>
          </cell>
        </row>
        <row r="619">
          <cell r="EG619">
            <v>-2.7939368689241538E-2</v>
          </cell>
        </row>
        <row r="620">
          <cell r="EG620">
            <v>0.26884912411868872</v>
          </cell>
        </row>
        <row r="621">
          <cell r="EG621">
            <v>-2.2989518224698833E-2</v>
          </cell>
        </row>
        <row r="622">
          <cell r="EG622">
            <v>-5.2463569535740766E-2</v>
          </cell>
        </row>
        <row r="623">
          <cell r="EG623">
            <v>0.16541108464563831</v>
          </cell>
        </row>
        <row r="624">
          <cell r="EG624">
            <v>-4.7104469187473463E-2</v>
          </cell>
        </row>
        <row r="625">
          <cell r="EG625">
            <v>7.3687715791159125E-2</v>
          </cell>
        </row>
        <row r="626">
          <cell r="EG626">
            <v>1.8814680997055703E-3</v>
          </cell>
        </row>
        <row r="627">
          <cell r="EG627">
            <v>0</v>
          </cell>
        </row>
        <row r="628">
          <cell r="EG628">
            <v>-8.7011376989629685E-2</v>
          </cell>
        </row>
        <row r="629">
          <cell r="EG629">
            <v>0.48199577829099954</v>
          </cell>
        </row>
        <row r="630">
          <cell r="EG630">
            <v>-0.14235429638688876</v>
          </cell>
        </row>
        <row r="631">
          <cell r="EG631">
            <v>6.4469151361954677E-2</v>
          </cell>
        </row>
        <row r="632">
          <cell r="EG632">
            <v>3.0526590659155427E-2</v>
          </cell>
        </row>
        <row r="633">
          <cell r="EG633">
            <v>-2.6907452919924382E-2</v>
          </cell>
        </row>
        <row r="634">
          <cell r="EG634">
            <v>-2.8987536873252298E-2</v>
          </cell>
        </row>
        <row r="635">
          <cell r="EG635">
            <v>-0.14080726465357396</v>
          </cell>
        </row>
        <row r="636">
          <cell r="EG636">
            <v>3.8614836127779516E-2</v>
          </cell>
        </row>
        <row r="637">
          <cell r="EG637">
            <v>-0.17036796998101295</v>
          </cell>
        </row>
        <row r="638">
          <cell r="EG638">
            <v>-0.34498718914536319</v>
          </cell>
        </row>
        <row r="639">
          <cell r="EG639">
            <v>-0.13580154115906176</v>
          </cell>
        </row>
        <row r="640">
          <cell r="EG640">
            <v>1.7926216268151895E-2</v>
          </cell>
        </row>
        <row r="641">
          <cell r="EG641">
            <v>-0.10536051565782628</v>
          </cell>
        </row>
        <row r="642">
          <cell r="EG642">
            <v>-3.0991753308337776E-2</v>
          </cell>
        </row>
        <row r="643">
          <cell r="EG643">
            <v>5.4005531800002888E-3</v>
          </cell>
        </row>
        <row r="644">
          <cell r="EG644">
            <v>0.18165732561709189</v>
          </cell>
        </row>
        <row r="645">
          <cell r="EG645">
            <v>-5.8683501828090297E-2</v>
          </cell>
        </row>
        <row r="646">
          <cell r="EG646">
            <v>-0.24832712210117075</v>
          </cell>
        </row>
        <row r="647">
          <cell r="EG647">
            <v>-0.15891346589593985</v>
          </cell>
        </row>
        <row r="648">
          <cell r="EG648">
            <v>-3.484673133016819E-2</v>
          </cell>
        </row>
        <row r="649">
          <cell r="EG649">
            <v>9.732834396056203E-2</v>
          </cell>
        </row>
        <row r="650">
          <cell r="EG650">
            <v>5.4067221270275793E-2</v>
          </cell>
        </row>
        <row r="651">
          <cell r="EG651">
            <v>-6.3239458135916984E-2</v>
          </cell>
        </row>
        <row r="652">
          <cell r="EG652">
            <v>0.12799887505479693</v>
          </cell>
        </row>
        <row r="653">
          <cell r="EG653">
            <v>-4.8246833539385435E-2</v>
          </cell>
        </row>
        <row r="654">
          <cell r="EG654">
            <v>-3.5993602647905368E-2</v>
          </cell>
        </row>
        <row r="655">
          <cell r="EG655">
            <v>-1.6321768485694447E-2</v>
          </cell>
        </row>
        <row r="656">
          <cell r="EG656">
            <v>-0.15956097255550597</v>
          </cell>
        </row>
        <row r="657">
          <cell r="EG657">
            <v>6.1748007068447033E-2</v>
          </cell>
        </row>
        <row r="658">
          <cell r="EG658">
            <v>0.13636827395972226</v>
          </cell>
        </row>
        <row r="659">
          <cell r="EG659">
            <v>0.13664181503891498</v>
          </cell>
        </row>
        <row r="660">
          <cell r="EG660">
            <v>-6.4949620835036054E-2</v>
          </cell>
        </row>
        <row r="661">
          <cell r="EG661">
            <v>-8.7180053721074666E-2</v>
          </cell>
        </row>
        <row r="662">
          <cell r="EG662">
            <v>9.1169387138293465E-2</v>
          </cell>
        </row>
        <row r="663">
          <cell r="EG663">
            <v>-0.18885447783557757</v>
          </cell>
        </row>
        <row r="664">
          <cell r="EG664">
            <v>2.9778875355611172E-2</v>
          </cell>
        </row>
        <row r="665">
          <cell r="EG665">
            <v>0.18859116980754997</v>
          </cell>
        </row>
        <row r="666">
          <cell r="EG666">
            <v>-5.1293294387550578E-2</v>
          </cell>
        </row>
        <row r="667">
          <cell r="EG667">
            <v>-2.6386755173194887E-2</v>
          </cell>
        </row>
        <row r="668">
          <cell r="EG668">
            <v>-5.3662280993432412E-2</v>
          </cell>
        </row>
        <row r="669">
          <cell r="EG669">
            <v>2.3953241022492796E-2</v>
          </cell>
        </row>
        <row r="670">
          <cell r="EG670">
            <v>-3.8343355197647394E-2</v>
          </cell>
        </row>
        <row r="671">
          <cell r="EG671">
            <v>8.4634385140709353E-2</v>
          </cell>
        </row>
        <row r="672">
          <cell r="EG672">
            <v>2.435844383204044E-2</v>
          </cell>
        </row>
        <row r="673">
          <cell r="EG673">
            <v>0.17848278048678884</v>
          </cell>
        </row>
        <row r="674">
          <cell r="EG674">
            <v>-9.9529595347033054E-2</v>
          </cell>
        </row>
        <row r="675">
          <cell r="EG675">
            <v>-2.1422435587406832E-2</v>
          </cell>
        </row>
        <row r="676">
          <cell r="EG676">
            <v>4.0491361354736993E-2</v>
          </cell>
        </row>
        <row r="677">
          <cell r="EG677">
            <v>-8.9153636579522803E-3</v>
          </cell>
        </row>
        <row r="678">
          <cell r="EG678">
            <v>-0.11332868530700312</v>
          </cell>
        </row>
        <row r="679">
          <cell r="EG679">
            <v>-2.3739987303073057E-2</v>
          </cell>
        </row>
        <row r="680">
          <cell r="EG680">
            <v>4.6956983087771083E-2</v>
          </cell>
        </row>
        <row r="681">
          <cell r="EG681">
            <v>0.12712200743933907</v>
          </cell>
        </row>
        <row r="682">
          <cell r="EG682">
            <v>-4.6792161506758939E-2</v>
          </cell>
        </row>
        <row r="683">
          <cell r="EG683">
            <v>-1.2024192966801701E-2</v>
          </cell>
        </row>
        <row r="684">
          <cell r="EG684">
            <v>0.13309192876335185</v>
          </cell>
        </row>
        <row r="685">
          <cell r="EG685">
            <v>0.16220441463435506</v>
          </cell>
        </row>
        <row r="686">
          <cell r="EG686">
            <v>8.9185628506210715E-2</v>
          </cell>
        </row>
        <row r="687">
          <cell r="EG687">
            <v>-8.23049913651548E-3</v>
          </cell>
        </row>
        <row r="688">
          <cell r="EG688">
            <v>-3.8976094756758249E-2</v>
          </cell>
        </row>
        <row r="689">
          <cell r="EG689">
            <v>4.7628048989254664E-2</v>
          </cell>
        </row>
        <row r="690">
          <cell r="EG690">
            <v>-0.13333544866386834</v>
          </cell>
        </row>
        <row r="691">
          <cell r="EG691">
            <v>-2.5105921131076243E-2</v>
          </cell>
        </row>
        <row r="692">
          <cell r="EG692">
            <v>2.2111453607430966E-2</v>
          </cell>
        </row>
        <row r="693">
          <cell r="EG693">
            <v>-2.1053409197832267E-2</v>
          </cell>
        </row>
        <row r="694">
          <cell r="EG694">
            <v>-1.74469136037207E-2</v>
          </cell>
        </row>
        <row r="695">
          <cell r="EG695">
            <v>-4.2022989774847926E-2</v>
          </cell>
        </row>
        <row r="696">
          <cell r="EG696">
            <v>5.3244514518812285E-2</v>
          </cell>
        </row>
        <row r="697">
          <cell r="EG697">
            <v>4.5909701304077948E-2</v>
          </cell>
        </row>
        <row r="698">
          <cell r="EG698">
            <v>-5.7748001735100855E-2</v>
          </cell>
        </row>
        <row r="699">
          <cell r="EG699">
            <v>-8.9516597506567055E-2</v>
          </cell>
        </row>
        <row r="700">
          <cell r="EG700">
            <v>-1.224277951567744E-2</v>
          </cell>
        </row>
        <row r="701">
          <cell r="EG701">
            <v>-3.8839833316264012E-2</v>
          </cell>
        </row>
        <row r="702">
          <cell r="EG702">
            <v>0</v>
          </cell>
        </row>
        <row r="703">
          <cell r="EG703">
            <v>5.5401803756153509E-3</v>
          </cell>
        </row>
        <row r="704">
          <cell r="EG704">
            <v>0.27180872329549083</v>
          </cell>
        </row>
        <row r="705">
          <cell r="EG705">
            <v>-0.11820542214629585</v>
          </cell>
        </row>
        <row r="706">
          <cell r="EG706">
            <v>-9.554088692266284E-2</v>
          </cell>
        </row>
        <row r="707">
          <cell r="EG707">
            <v>-0.10601819407679704</v>
          </cell>
        </row>
        <row r="708">
          <cell r="EG708">
            <v>0.1274230309214435</v>
          </cell>
        </row>
        <row r="709">
          <cell r="EG709">
            <v>2.4692612590371414E-2</v>
          </cell>
        </row>
        <row r="710">
          <cell r="EG710">
            <v>-2.4881666376736548E-2</v>
          </cell>
        </row>
        <row r="711">
          <cell r="EG711">
            <v>0.33998717872865741</v>
          </cell>
        </row>
        <row r="712">
          <cell r="EG712">
            <v>1.3958352250706855E-2</v>
          </cell>
        </row>
        <row r="713">
          <cell r="EG713">
            <v>-2.1721823146835684E-2</v>
          </cell>
        </row>
        <row r="714">
          <cell r="EG714">
            <v>-7.4107972153721849E-2</v>
          </cell>
        </row>
        <row r="715">
          <cell r="EG715">
            <v>-0.11159106540846223</v>
          </cell>
        </row>
        <row r="716">
          <cell r="EG716">
            <v>-0.15848908142585647</v>
          </cell>
        </row>
        <row r="717">
          <cell r="EG717">
            <v>0.12900097888170017</v>
          </cell>
        </row>
        <row r="718">
          <cell r="EG718">
            <v>4.8527040894660381E-2</v>
          </cell>
        </row>
        <row r="719">
          <cell r="EG719">
            <v>1.4706147389695487E-2</v>
          </cell>
        </row>
        <row r="720">
          <cell r="EG720">
            <v>-3.1416196233379039E-2</v>
          </cell>
        </row>
        <row r="721">
          <cell r="EG721">
            <v>0.29764607861213066</v>
          </cell>
        </row>
        <row r="722">
          <cell r="EG722">
            <v>-6.7282007083321937E-2</v>
          </cell>
        </row>
        <row r="723">
          <cell r="EG723">
            <v>-1.2931214672248779E-2</v>
          </cell>
        </row>
        <row r="724">
          <cell r="EG724">
            <v>5.1523153025500826E-2</v>
          </cell>
        </row>
        <row r="725">
          <cell r="EG725">
            <v>1.5037877364540502E-2</v>
          </cell>
        </row>
        <row r="726">
          <cell r="EG726">
            <v>-7.5162268508627991E-2</v>
          </cell>
        </row>
        <row r="727">
          <cell r="EG727">
            <v>2.1528533611010927E-3</v>
          </cell>
        </row>
        <row r="728">
          <cell r="EG728">
            <v>1.4388737452099452E-2</v>
          </cell>
        </row>
        <row r="729">
          <cell r="EG729">
            <v>-7.6453555715442253E-2</v>
          </cell>
        </row>
        <row r="730">
          <cell r="EG730">
            <v>-3.0607845086241561E-2</v>
          </cell>
        </row>
        <row r="731">
          <cell r="EG731">
            <v>-0.1062417393568242</v>
          </cell>
        </row>
        <row r="732">
          <cell r="EG732">
            <v>3.9758492139084362E-2</v>
          </cell>
        </row>
        <row r="733">
          <cell r="EG733">
            <v>0.30448919076816211</v>
          </cell>
        </row>
        <row r="734">
          <cell r="EG734">
            <v>-2.4949319047948615E-2</v>
          </cell>
        </row>
        <row r="735">
          <cell r="EG735">
            <v>1.398624197473987E-2</v>
          </cell>
        </row>
        <row r="736">
          <cell r="EG736">
            <v>-0.14021843600485553</v>
          </cell>
        </row>
        <row r="737">
          <cell r="EG737">
            <v>0.712449932814474</v>
          </cell>
        </row>
        <row r="738">
          <cell r="EG738">
            <v>5.7922647732704301E-2</v>
          </cell>
        </row>
        <row r="739">
          <cell r="EG739">
            <v>0.22314355131420976</v>
          </cell>
        </row>
        <row r="740">
          <cell r="EG740">
            <v>-2.3975911875711305E-2</v>
          </cell>
        </row>
        <row r="741">
          <cell r="EG741">
            <v>9.3943333209867905E-2</v>
          </cell>
        </row>
        <row r="742">
          <cell r="EG742">
            <v>4.7790663836348481E-2</v>
          </cell>
        </row>
        <row r="743">
          <cell r="EG743">
            <v>-4.5985113241823382E-2</v>
          </cell>
        </row>
        <row r="744">
          <cell r="EG744">
            <v>7.4107972153721835E-2</v>
          </cell>
        </row>
        <row r="745">
          <cell r="EG745">
            <v>-8.8425471026827643E-2</v>
          </cell>
        </row>
        <row r="746">
          <cell r="EG746">
            <v>7.9681696491768813E-3</v>
          </cell>
        </row>
        <row r="747">
          <cell r="EG747">
            <v>-1.5839064029746181E-2</v>
          </cell>
        </row>
        <row r="748">
          <cell r="EG748">
            <v>-6.4538521137571178E-2</v>
          </cell>
        </row>
        <row r="749">
          <cell r="EG749">
            <v>0</v>
          </cell>
        </row>
        <row r="750">
          <cell r="EG750">
            <v>5.5688905860588632E-2</v>
          </cell>
        </row>
        <row r="751">
          <cell r="EG751">
            <v>-5.8443595870074548E-2</v>
          </cell>
        </row>
        <row r="752">
          <cell r="EG752">
            <v>-7.0780182061047234E-2</v>
          </cell>
        </row>
        <row r="753">
          <cell r="EG753">
            <v>0.23211222129697015</v>
          </cell>
        </row>
        <row r="754">
          <cell r="EG754">
            <v>0.26121549926361765</v>
          </cell>
        </row>
        <row r="755">
          <cell r="EG755">
            <v>-1.6652793190612089E-3</v>
          </cell>
        </row>
        <row r="756">
          <cell r="EG756">
            <v>6.506203822738278E-3</v>
          </cell>
        </row>
        <row r="757">
          <cell r="EG757">
            <v>-4.7954393122035865E-2</v>
          </cell>
        </row>
        <row r="758">
          <cell r="EG758">
            <v>-0.13376676981755939</v>
          </cell>
        </row>
        <row r="759">
          <cell r="EG759">
            <v>7.7220460939103185E-3</v>
          </cell>
        </row>
        <row r="760">
          <cell r="EG760">
            <v>-7.7030009031600316E-2</v>
          </cell>
        </row>
        <row r="761">
          <cell r="EG761">
            <v>-1.4815085785140587E-2</v>
          </cell>
        </row>
        <row r="762">
          <cell r="EG762">
            <v>0.10178269430994238</v>
          </cell>
        </row>
        <row r="763">
          <cell r="EG763">
            <v>8.2058042419182228E-2</v>
          </cell>
        </row>
        <row r="764">
          <cell r="EG764">
            <v>-2.8882874148786052E-2</v>
          </cell>
        </row>
        <row r="765">
          <cell r="EG765">
            <v>-0.15415067982725836</v>
          </cell>
        </row>
        <row r="766">
          <cell r="EG766">
            <v>4.9132688577644808E-2</v>
          </cell>
        </row>
        <row r="767">
          <cell r="EG767">
            <v>-4.1714091412475084E-2</v>
          </cell>
        </row>
        <row r="768">
          <cell r="EG768">
            <v>1.6807118316381407E-2</v>
          </cell>
        </row>
        <row r="769">
          <cell r="EG769">
            <v>0.10975086395911909</v>
          </cell>
        </row>
        <row r="770">
          <cell r="EG770">
            <v>6.0240080377356717E-2</v>
          </cell>
        </row>
        <row r="771">
          <cell r="EG771">
            <v>-4.4632154020768262E-2</v>
          </cell>
        </row>
        <row r="772">
          <cell r="EG772">
            <v>-4.9950930405394313E-2</v>
          </cell>
        </row>
        <row r="773">
          <cell r="EG773">
            <v>-5.4371403782126917E-2</v>
          </cell>
        </row>
        <row r="774">
          <cell r="EG774">
            <v>8.1282633436856766E-2</v>
          </cell>
        </row>
        <row r="775">
          <cell r="EG775">
            <v>2.3669744085904922E-2</v>
          </cell>
        </row>
        <row r="776">
          <cell r="EG776">
            <v>-7.9365495957363034E-3</v>
          </cell>
        </row>
        <row r="777">
          <cell r="EG777">
            <v>1.898245091229003E-2</v>
          </cell>
        </row>
        <row r="778">
          <cell r="EG778">
            <v>-3.9560164699833027E-2</v>
          </cell>
        </row>
        <row r="779">
          <cell r="EG779">
            <v>0.13921489640965617</v>
          </cell>
        </row>
        <row r="780">
          <cell r="EG780">
            <v>1.4815085785140682E-2</v>
          </cell>
        </row>
        <row r="781">
          <cell r="EG781">
            <v>-0.16936241215144945</v>
          </cell>
        </row>
        <row r="782">
          <cell r="EG782">
            <v>-0.11230356989175794</v>
          </cell>
        </row>
        <row r="783">
          <cell r="EG783">
            <v>-9.015109699429745E-2</v>
          </cell>
        </row>
        <row r="784">
          <cell r="EG784">
            <v>-7.8629098236825345E-2</v>
          </cell>
        </row>
        <row r="785">
          <cell r="EG785">
            <v>5.8872000550569854E-2</v>
          </cell>
        </row>
        <row r="786">
          <cell r="EG786">
            <v>3.0068410742887585E-2</v>
          </cell>
        </row>
        <row r="787">
          <cell r="EG787">
            <v>-3.2051309489484468E-3</v>
          </cell>
        </row>
        <row r="788">
          <cell r="EG788">
            <v>-4.5891993256655141E-2</v>
          </cell>
        </row>
        <row r="789">
          <cell r="EG789">
            <v>6.5427805322455401E-2</v>
          </cell>
        </row>
        <row r="790">
          <cell r="EG790">
            <v>0.14049036294882628</v>
          </cell>
        </row>
        <row r="791">
          <cell r="EG791">
            <v>6.8467799277460828E-2</v>
          </cell>
        </row>
        <row r="792">
          <cell r="EG792">
            <v>0.1591216925492786</v>
          </cell>
        </row>
        <row r="793">
          <cell r="EG793">
            <v>0.22027776364996748</v>
          </cell>
        </row>
        <row r="794">
          <cell r="EG794">
            <v>4.2559614418795903E-2</v>
          </cell>
        </row>
        <row r="795">
          <cell r="EG795">
            <v>5.9612402801515224E-2</v>
          </cell>
        </row>
        <row r="796">
          <cell r="EG796">
            <v>-4.2819997182928185E-2</v>
          </cell>
        </row>
        <row r="797">
          <cell r="EG797">
            <v>-5.7652851427277378E-2</v>
          </cell>
        </row>
        <row r="798">
          <cell r="EG798">
            <v>-2.5718529287989234E-2</v>
          </cell>
        </row>
        <row r="799">
          <cell r="EG799">
            <v>0.21668452271245153</v>
          </cell>
        </row>
        <row r="800">
          <cell r="EG800">
            <v>2.7169905351927856E-2</v>
          </cell>
        </row>
        <row r="801">
          <cell r="EG801">
            <v>5.8475469903895703E-2</v>
          </cell>
        </row>
        <row r="802">
          <cell r="EG802">
            <v>6.8618969818732986E-2</v>
          </cell>
        </row>
        <row r="803">
          <cell r="EG803">
            <v>0.27211755591066933</v>
          </cell>
        </row>
        <row r="804">
          <cell r="EG804">
            <v>0.3216952250427057</v>
          </cell>
        </row>
        <row r="805">
          <cell r="EG805">
            <v>0</v>
          </cell>
        </row>
        <row r="806">
          <cell r="EG806">
            <v>5.3652713492320002E-2</v>
          </cell>
        </row>
        <row r="807">
          <cell r="EG807">
            <v>-0.21148161156636672</v>
          </cell>
        </row>
        <row r="808">
          <cell r="EG808">
            <v>5.0985554732867741E-2</v>
          </cell>
        </row>
        <row r="809">
          <cell r="EG809">
            <v>0.12912286233975653</v>
          </cell>
        </row>
        <row r="810">
          <cell r="EG810">
            <v>8.5655444578493806E-2</v>
          </cell>
        </row>
        <row r="811">
          <cell r="EG811">
            <v>5.9638266319731244E-2</v>
          </cell>
        </row>
        <row r="812">
          <cell r="EG812">
            <v>-1.499278458614128E-2</v>
          </cell>
        </row>
        <row r="813">
          <cell r="EG813">
            <v>-8.0364509768027031E-2</v>
          </cell>
        </row>
        <row r="814">
          <cell r="EG814">
            <v>-0.14432816035473986</v>
          </cell>
        </row>
        <row r="815">
          <cell r="EG815">
            <v>-6.0292230256120009E-2</v>
          </cell>
        </row>
        <row r="816">
          <cell r="EG816">
            <v>-0.12211719134008256</v>
          </cell>
        </row>
        <row r="817">
          <cell r="EG817">
            <v>-0.1458518770125633</v>
          </cell>
        </row>
        <row r="818">
          <cell r="EG818">
            <v>-0.16063332240231382</v>
          </cell>
        </row>
        <row r="819">
          <cell r="EG819">
            <v>-4.4150182091168312E-3</v>
          </cell>
        </row>
        <row r="820">
          <cell r="EG820">
            <v>-0.31524001651543881</v>
          </cell>
        </row>
        <row r="821">
          <cell r="EG821">
            <v>1.1834457647002798E-2</v>
          </cell>
        </row>
        <row r="822">
          <cell r="EG822">
            <v>0.20964173188033813</v>
          </cell>
        </row>
        <row r="823">
          <cell r="EG823">
            <v>-6.8755595415129961E-2</v>
          </cell>
        </row>
        <row r="824">
          <cell r="EG824">
            <v>-0.17347194151697204</v>
          </cell>
        </row>
        <row r="825">
          <cell r="EG825">
            <v>-8.8653683156100505E-2</v>
          </cell>
        </row>
        <row r="826">
          <cell r="EG826">
            <v>4.1158072493507551E-2</v>
          </cell>
        </row>
        <row r="827">
          <cell r="EG827">
            <v>-0.13161139203469832</v>
          </cell>
        </row>
        <row r="828">
          <cell r="EG828">
            <v>0.16492981408208537</v>
          </cell>
        </row>
        <row r="829">
          <cell r="EG829">
            <v>-5.0010420574661305E-2</v>
          </cell>
        </row>
        <row r="830">
          <cell r="EG830">
            <v>0</v>
          </cell>
        </row>
        <row r="831">
          <cell r="EG831">
            <v>-3.559094510270263E-2</v>
          </cell>
        </row>
        <row r="832">
          <cell r="EG832">
            <v>-0.21559634567882674</v>
          </cell>
        </row>
        <row r="833">
          <cell r="EG833">
            <v>-6.8467799277460717E-2</v>
          </cell>
        </row>
        <row r="834">
          <cell r="EG834">
            <v>0.16833531481921474</v>
          </cell>
        </row>
        <row r="835">
          <cell r="EG835">
            <v>-8.866563708565639E-2</v>
          </cell>
        </row>
        <row r="836">
          <cell r="EG836">
            <v>-9.8217628145446129E-2</v>
          </cell>
        </row>
        <row r="837">
          <cell r="EG837">
            <v>1.2270092591814401E-2</v>
          </cell>
        </row>
        <row r="838">
          <cell r="EG838">
            <v>-8.7705580419105575E-2</v>
          </cell>
        </row>
        <row r="839">
          <cell r="EG839">
            <v>-6.309169193264721E-3</v>
          </cell>
        </row>
        <row r="840">
          <cell r="EG840">
            <v>3.1278269954756167E-2</v>
          </cell>
        </row>
        <row r="841">
          <cell r="EG841">
            <v>3.6367644170874791E-2</v>
          </cell>
        </row>
        <row r="842">
          <cell r="EG842">
            <v>0.14132251557314626</v>
          </cell>
        </row>
        <row r="843">
          <cell r="EG843">
            <v>-8.9904257421134559E-2</v>
          </cell>
        </row>
        <row r="844">
          <cell r="EG844">
            <v>0.13478899077811229</v>
          </cell>
        </row>
        <row r="845">
          <cell r="EG845">
            <v>0.11737595240223742</v>
          </cell>
        </row>
        <row r="846">
          <cell r="EG846">
            <v>-1.7544309650909508E-2</v>
          </cell>
        </row>
        <row r="847">
          <cell r="EG847">
            <v>7.6592445481383664E-2</v>
          </cell>
        </row>
        <row r="848">
          <cell r="EG848">
            <v>0.10354067894084036</v>
          </cell>
        </row>
        <row r="849">
          <cell r="EG849">
            <v>0.23820201518841111</v>
          </cell>
        </row>
        <row r="850">
          <cell r="EG850">
            <v>-0.2108230669261692</v>
          </cell>
        </row>
        <row r="851">
          <cell r="EG851">
            <v>-1.081091610421573E-2</v>
          </cell>
        </row>
        <row r="852">
          <cell r="EG852">
            <v>-2.1841741915048753E-2</v>
          </cell>
        </row>
        <row r="853">
          <cell r="EG853">
            <v>-4.1637988037584464E-2</v>
          </cell>
        </row>
        <row r="854">
          <cell r="EG854">
            <v>0.78552050069096058</v>
          </cell>
        </row>
        <row r="855">
          <cell r="EG855">
            <v>1.4057739490231511E-2</v>
          </cell>
        </row>
        <row r="856">
          <cell r="EG856">
            <v>0.32626806644697126</v>
          </cell>
        </row>
        <row r="857">
          <cell r="EG857">
            <v>-1.7108644036294301E-3</v>
          </cell>
        </row>
        <row r="858">
          <cell r="EG858">
            <v>-5.6441310904951733E-2</v>
          </cell>
        </row>
        <row r="859">
          <cell r="EG859">
            <v>0.20027536041055044</v>
          </cell>
        </row>
        <row r="860">
          <cell r="EG860">
            <v>2.3065272930995969E-2</v>
          </cell>
        </row>
        <row r="861">
          <cell r="EG861">
            <v>0.18232155679395459</v>
          </cell>
        </row>
        <row r="862">
          <cell r="EG862">
            <v>-4.1294058459965338E-2</v>
          </cell>
        </row>
        <row r="863">
          <cell r="EG863">
            <v>0.12505277376897039</v>
          </cell>
        </row>
        <row r="864">
          <cell r="EG864">
            <v>5.2185753170570247E-2</v>
          </cell>
        </row>
        <row r="865">
          <cell r="EG865">
            <v>0.21588838043303776</v>
          </cell>
        </row>
        <row r="866">
          <cell r="EG866">
            <v>1.5748356968139331E-2</v>
          </cell>
        </row>
        <row r="867">
          <cell r="EG867">
            <v>-0.1113471787141419</v>
          </cell>
        </row>
        <row r="868">
          <cell r="EG868">
            <v>-5.4558984250434366E-2</v>
          </cell>
        </row>
        <row r="869">
          <cell r="EG869">
            <v>2.8987536873252406E-2</v>
          </cell>
        </row>
        <row r="870">
          <cell r="EG870">
            <v>3.243527575315374E-2</v>
          </cell>
        </row>
        <row r="871">
          <cell r="EG871">
            <v>-4.8790164169431945E-2</v>
          </cell>
        </row>
        <row r="872">
          <cell r="EG872">
            <v>-0.13486739816726495</v>
          </cell>
        </row>
        <row r="873">
          <cell r="EG873">
            <v>6.3994895138860849E-2</v>
          </cell>
        </row>
        <row r="874">
          <cell r="EG874">
            <v>-8.3985656073092829E-2</v>
          </cell>
        </row>
        <row r="875">
          <cell r="EG875">
            <v>-0.13755554292424799</v>
          </cell>
        </row>
        <row r="876">
          <cell r="EG876">
            <v>-0.11197367154954363</v>
          </cell>
        </row>
        <row r="877">
          <cell r="EG877">
            <v>-4.8318577270807683E-2</v>
          </cell>
        </row>
        <row r="878">
          <cell r="EG878">
            <v>-1.2959144642505228E-2</v>
          </cell>
        </row>
        <row r="879">
          <cell r="EG879">
            <v>-0.15906469462968739</v>
          </cell>
        </row>
        <row r="880">
          <cell r="EG880">
            <v>-7.7650934230065874E-2</v>
          </cell>
        </row>
        <row r="881">
          <cell r="EG881">
            <v>-2.9241849594497417E-2</v>
          </cell>
        </row>
        <row r="882">
          <cell r="EG882">
            <v>0.15786125922379404</v>
          </cell>
        </row>
        <row r="883">
          <cell r="EG883">
            <v>3.4305350967892222E-3</v>
          </cell>
        </row>
        <row r="884">
          <cell r="EG884">
            <v>1.777824602128375E-2</v>
          </cell>
        </row>
        <row r="885">
          <cell r="EG885">
            <v>0.22314355131420976</v>
          </cell>
        </row>
        <row r="886">
          <cell r="EG886">
            <v>-0.11000089521432846</v>
          </cell>
        </row>
        <row r="887">
          <cell r="EG887">
            <v>7.6409469142001182E-2</v>
          </cell>
        </row>
        <row r="888">
          <cell r="EG888">
            <v>1.4084739881739023E-2</v>
          </cell>
        </row>
        <row r="889">
          <cell r="EG889">
            <v>-6.2800901239030468E-2</v>
          </cell>
        </row>
        <row r="890">
          <cell r="EG890">
            <v>1.1299555253933466E-2</v>
          </cell>
        </row>
        <row r="891">
          <cell r="EG891">
            <v>-4.4543503493803087E-3</v>
          </cell>
        </row>
        <row r="892">
          <cell r="EG892">
            <v>-6.2613592727986764E-2</v>
          </cell>
        </row>
        <row r="893">
          <cell r="EG893">
            <v>7.2727593290798781E-3</v>
          </cell>
        </row>
        <row r="894">
          <cell r="EG894">
            <v>0.12900649802623293</v>
          </cell>
        </row>
        <row r="895">
          <cell r="EG895">
            <v>-5.5262678675049415E-2</v>
          </cell>
        </row>
        <row r="896">
          <cell r="EG896">
            <v>0.19938167953926286</v>
          </cell>
        </row>
        <row r="897">
          <cell r="EG897">
            <v>4.2559614418795903E-2</v>
          </cell>
        </row>
        <row r="898">
          <cell r="EG898">
            <v>-0.12880325142857663</v>
          </cell>
        </row>
        <row r="899">
          <cell r="EG899">
            <v>-0.12783337150988502</v>
          </cell>
        </row>
        <row r="900">
          <cell r="EG900">
            <v>-0.17843805676755697</v>
          </cell>
        </row>
        <row r="901">
          <cell r="EG901">
            <v>7.4349784875179905E-3</v>
          </cell>
        </row>
        <row r="902">
          <cell r="EG902">
            <v>3.2789822822990755E-2</v>
          </cell>
        </row>
        <row r="903">
          <cell r="EG903">
            <v>-2.6879088551242339E-2</v>
          </cell>
        </row>
        <row r="904">
          <cell r="EG904">
            <v>0.11441035117774412</v>
          </cell>
        </row>
        <row r="905">
          <cell r="EG905">
            <v>0.10536051565782635</v>
          </cell>
        </row>
        <row r="906">
          <cell r="EG906">
            <v>-5.2643733485422027E-2</v>
          </cell>
        </row>
        <row r="907">
          <cell r="EG907">
            <v>-3.797924806521645E-2</v>
          </cell>
        </row>
        <row r="908">
          <cell r="EG908">
            <v>0.10447024183984355</v>
          </cell>
        </row>
        <row r="909">
          <cell r="EG909">
            <v>7.843177461026099E-3</v>
          </cell>
        </row>
        <row r="910">
          <cell r="EG910">
            <v>0.18947033620762191</v>
          </cell>
        </row>
        <row r="911">
          <cell r="EG911">
            <v>4.0433569578490459E-2</v>
          </cell>
        </row>
        <row r="912">
          <cell r="EG912">
            <v>2.9027596579614102E-3</v>
          </cell>
        </row>
        <row r="913">
          <cell r="EG913">
            <v>-0.11179140598811668</v>
          </cell>
        </row>
        <row r="914">
          <cell r="EG914">
            <v>0</v>
          </cell>
        </row>
        <row r="915">
          <cell r="EG915">
            <v>-3.1875208530448951E-2</v>
          </cell>
        </row>
        <row r="916">
          <cell r="EG916">
            <v>1.6584128015535261E-2</v>
          </cell>
        </row>
        <row r="917">
          <cell r="EG917">
            <v>0.10467062256388859</v>
          </cell>
        </row>
        <row r="918">
          <cell r="EG918">
            <v>0.28768207245178085</v>
          </cell>
        </row>
        <row r="919">
          <cell r="EG919">
            <v>-1.3793322132335648E-2</v>
          </cell>
        </row>
        <row r="920">
          <cell r="EG920">
            <v>-8.7675167256286282E-2</v>
          </cell>
        </row>
        <row r="921">
          <cell r="EG921">
            <v>-4.7466537238923724E-2</v>
          </cell>
        </row>
        <row r="922">
          <cell r="EG922">
            <v>9.497466562570353E-2</v>
          </cell>
        </row>
        <row r="923">
          <cell r="EG923">
            <v>-7.0721656175412928E-2</v>
          </cell>
        </row>
        <row r="924">
          <cell r="EG924">
            <v>9.7374164025176374E-2</v>
          </cell>
        </row>
        <row r="925">
          <cell r="EG925">
            <v>0.1279809620938735</v>
          </cell>
        </row>
        <row r="926">
          <cell r="EG926">
            <v>-8.3230654149723776E-2</v>
          </cell>
        </row>
        <row r="927">
          <cell r="EG927">
            <v>8.0688911250142659E-2</v>
          </cell>
        </row>
        <row r="928">
          <cell r="EG928">
            <v>3.7811687743108426E-2</v>
          </cell>
        </row>
        <row r="929">
          <cell r="EG929">
            <v>-7.6881044335957743E-2</v>
          </cell>
        </row>
        <row r="930">
          <cell r="EG930">
            <v>-0.26875406256626216</v>
          </cell>
        </row>
        <row r="931">
          <cell r="EG931">
            <v>8.8349169831289737E-2</v>
          </cell>
        </row>
        <row r="932">
          <cell r="EG932">
            <v>-2.1978906718775115E-2</v>
          </cell>
        </row>
        <row r="933">
          <cell r="EG933">
            <v>0.12145545990864724</v>
          </cell>
        </row>
        <row r="934">
          <cell r="EG934">
            <v>3.0371097876298769E-2</v>
          </cell>
        </row>
        <row r="935">
          <cell r="EG935">
            <v>4.5043438167823191E-2</v>
          </cell>
        </row>
        <row r="936">
          <cell r="EG936">
            <v>-2.0682530640590683E-3</v>
          </cell>
        </row>
        <row r="937">
          <cell r="EG937">
            <v>3.929278139889557E-3</v>
          </cell>
        </row>
        <row r="938">
          <cell r="EG938">
            <v>-1.7346058122083075E-3</v>
          </cell>
        </row>
        <row r="939">
          <cell r="EG939">
            <v>-6.8992871486951435E-2</v>
          </cell>
        </row>
        <row r="940">
          <cell r="EG940">
            <v>3.3104998536058486E-2</v>
          </cell>
        </row>
        <row r="941">
          <cell r="EG941">
            <v>2.4242436115062545E-3</v>
          </cell>
        </row>
        <row r="942">
          <cell r="EG942">
            <v>0</v>
          </cell>
        </row>
        <row r="943">
          <cell r="EG943">
            <v>3.1396854060672073E-2</v>
          </cell>
        </row>
        <row r="944">
          <cell r="EG944">
            <v>-1.892098738895116E-2</v>
          </cell>
        </row>
        <row r="945">
          <cell r="EG945">
            <v>-6.1154423153330695E-2</v>
          </cell>
        </row>
        <row r="946">
          <cell r="EG946">
            <v>3.4732806918891905E-2</v>
          </cell>
        </row>
        <row r="947">
          <cell r="EG947">
            <v>3.6607728496811558E-3</v>
          </cell>
        </row>
        <row r="948">
          <cell r="EG948">
            <v>9.2166551049240476E-3</v>
          </cell>
        </row>
        <row r="949">
          <cell r="EG949">
            <v>1.1994146785819242E-2</v>
          </cell>
        </row>
        <row r="950">
          <cell r="EG950">
            <v>9.504354868689395E-2</v>
          </cell>
        </row>
        <row r="951">
          <cell r="EG951">
            <v>0.25862974985727899</v>
          </cell>
        </row>
        <row r="952">
          <cell r="EG952">
            <v>3.8167176778144483E-2</v>
          </cell>
        </row>
        <row r="953">
          <cell r="EG953">
            <v>8.3837778642088009E-2</v>
          </cell>
        </row>
        <row r="954">
          <cell r="EG954">
            <v>2.1613476420537171E-2</v>
          </cell>
        </row>
        <row r="955">
          <cell r="EG955">
            <v>6.483004878078312E-3</v>
          </cell>
        </row>
        <row r="956">
          <cell r="EG956">
            <v>0.10285738543970782</v>
          </cell>
        </row>
        <row r="957">
          <cell r="EG957">
            <v>0.175806875772761</v>
          </cell>
        </row>
        <row r="958">
          <cell r="EG958">
            <v>-1.5504186535965199E-2</v>
          </cell>
        </row>
        <row r="959">
          <cell r="EG959">
            <v>3.4685557987889894E-2</v>
          </cell>
        </row>
        <row r="960">
          <cell r="EG960">
            <v>0.13879529174406366</v>
          </cell>
        </row>
        <row r="961">
          <cell r="EG961">
            <v>-6.6350862024112806E-2</v>
          </cell>
        </row>
        <row r="962">
          <cell r="EG962">
            <v>1.2391732295163457E-2</v>
          </cell>
        </row>
        <row r="963">
          <cell r="EG963">
            <v>-5.391376465983129E-2</v>
          </cell>
        </row>
        <row r="964">
          <cell r="EG964">
            <v>-3.6367644170874715E-2</v>
          </cell>
        </row>
        <row r="965">
          <cell r="EG965">
            <v>-4.069419082655442E-2</v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市值"/>
      <sheetName val="size(函數)"/>
      <sheetName val="size"/>
      <sheetName val="下個月月報酬"/>
      <sheetName val="size補值"/>
      <sheetName val="下個月月報酬補值"/>
      <sheetName val="sizeIC"/>
    </sheetNames>
    <sheetDataSet>
      <sheetData sheetId="0"/>
      <sheetData sheetId="1"/>
      <sheetData sheetId="2"/>
      <sheetData sheetId="3"/>
      <sheetData sheetId="4">
        <row r="2">
          <cell r="C2">
            <v>10.631788632342237</v>
          </cell>
          <cell r="EG2">
            <v>10.993881319528226</v>
          </cell>
        </row>
        <row r="3">
          <cell r="EG3">
            <v>10.966413961778308</v>
          </cell>
        </row>
        <row r="4">
          <cell r="EG4">
            <v>10.050573076755148</v>
          </cell>
        </row>
        <row r="5">
          <cell r="EG5">
            <v>9.9918017988446444</v>
          </cell>
        </row>
        <row r="6">
          <cell r="EG6">
            <v>9.5173278822943743</v>
          </cell>
        </row>
        <row r="7">
          <cell r="EG7">
            <v>9.6307328928171962</v>
          </cell>
        </row>
        <row r="8">
          <cell r="EG8">
            <v>9.8161749904288023</v>
          </cell>
        </row>
        <row r="9">
          <cell r="EG9">
            <v>10.273001272063738</v>
          </cell>
        </row>
        <row r="10">
          <cell r="EG10">
            <v>9.7667102072622587</v>
          </cell>
        </row>
        <row r="11">
          <cell r="EG11">
            <v>10.187012807018954</v>
          </cell>
        </row>
        <row r="12">
          <cell r="EG12">
            <v>8.7831886910752583</v>
          </cell>
        </row>
        <row r="13">
          <cell r="EG13">
            <v>9.5268559871258738</v>
          </cell>
        </row>
        <row r="14">
          <cell r="EG14">
            <v>11.148883251624792</v>
          </cell>
        </row>
        <row r="15">
          <cell r="EG15">
            <v>9.7615519885641824</v>
          </cell>
        </row>
        <row r="16">
          <cell r="EG16">
            <v>9.6126779183165016</v>
          </cell>
        </row>
        <row r="17">
          <cell r="EG17">
            <v>9.5385737338068548</v>
          </cell>
        </row>
        <row r="18">
          <cell r="EG18">
            <v>9.2588766293721321</v>
          </cell>
        </row>
        <row r="19">
          <cell r="EG19">
            <v>9.4044916177586853</v>
          </cell>
        </row>
        <row r="20">
          <cell r="EG20">
            <v>10.271980930009406</v>
          </cell>
        </row>
        <row r="21">
          <cell r="EG21">
            <v>10.09981870961523</v>
          </cell>
        </row>
        <row r="22">
          <cell r="EG22">
            <v>9.2174839442139067</v>
          </cell>
        </row>
        <row r="23">
          <cell r="EG23">
            <v>9.8168376309020342</v>
          </cell>
        </row>
        <row r="24">
          <cell r="EG24">
            <v>9.600537294364468</v>
          </cell>
        </row>
        <row r="25">
          <cell r="EG25">
            <v>10.152257759187657</v>
          </cell>
        </row>
        <row r="26">
          <cell r="EG26">
            <v>9.2462523122993225</v>
          </cell>
        </row>
        <row r="27">
          <cell r="EG27">
            <v>9.2769211320657732</v>
          </cell>
        </row>
        <row r="28">
          <cell r="EG28">
            <v>11.631913324299761</v>
          </cell>
        </row>
        <row r="29">
          <cell r="EG29">
            <v>11.706571855354714</v>
          </cell>
        </row>
        <row r="30">
          <cell r="EG30">
            <v>10.212587078123894</v>
          </cell>
        </row>
        <row r="31">
          <cell r="EG31">
            <v>9.7438232216037495</v>
          </cell>
        </row>
        <row r="32">
          <cell r="EG32">
            <v>10.031610414723481</v>
          </cell>
        </row>
        <row r="33">
          <cell r="EG33">
            <v>9.8796692056320534</v>
          </cell>
        </row>
        <row r="34">
          <cell r="EG34">
            <v>9.5639554649958125</v>
          </cell>
        </row>
        <row r="35">
          <cell r="EG35">
            <v>10.006722692201684</v>
          </cell>
        </row>
        <row r="36">
          <cell r="EG36">
            <v>10.149157506231855</v>
          </cell>
        </row>
        <row r="37">
          <cell r="EG37">
            <v>10.253725595250899</v>
          </cell>
        </row>
        <row r="38">
          <cell r="EG38">
            <v>10.392362752025857</v>
          </cell>
        </row>
        <row r="39">
          <cell r="EG39">
            <v>9.7125655278733092</v>
          </cell>
        </row>
        <row r="40">
          <cell r="EG40">
            <v>8.8432327780980096</v>
          </cell>
        </row>
        <row r="41">
          <cell r="EG41">
            <v>10.437607887914936</v>
          </cell>
        </row>
        <row r="42">
          <cell r="EG42">
            <v>9.7438232216037495</v>
          </cell>
        </row>
        <row r="43">
          <cell r="EG43">
            <v>9.1664301138432833</v>
          </cell>
        </row>
        <row r="44">
          <cell r="EG44">
            <v>9.2260841159758247</v>
          </cell>
        </row>
        <row r="45">
          <cell r="EG45">
            <v>9.3483048630481616</v>
          </cell>
        </row>
        <row r="46">
          <cell r="EG46">
            <v>11.626137033003671</v>
          </cell>
        </row>
        <row r="47">
          <cell r="EG47">
            <v>11.21133683334865</v>
          </cell>
        </row>
        <row r="48">
          <cell r="EG48">
            <v>10.243781916093795</v>
          </cell>
        </row>
        <row r="49">
          <cell r="EG49">
            <v>9.1637575239819551</v>
          </cell>
        </row>
        <row r="50">
          <cell r="EG50">
            <v>8.9921114877869499</v>
          </cell>
        </row>
        <row r="51">
          <cell r="EG51">
            <v>9.0542299098633965</v>
          </cell>
        </row>
        <row r="52">
          <cell r="EG52">
            <v>9.7488080049586028</v>
          </cell>
        </row>
        <row r="53">
          <cell r="EG53">
            <v>9.5146805441249818</v>
          </cell>
        </row>
        <row r="54">
          <cell r="EG54">
            <v>9.2489536154957079</v>
          </cell>
        </row>
        <row r="55">
          <cell r="EG55">
            <v>10.071587470514975</v>
          </cell>
        </row>
        <row r="56">
          <cell r="EG56">
            <v>9.1461280356782382</v>
          </cell>
        </row>
        <row r="57">
          <cell r="EG57">
            <v>8.9164539485499255</v>
          </cell>
        </row>
        <row r="58">
          <cell r="EG58">
            <v>10.629633824744316</v>
          </cell>
        </row>
        <row r="59">
          <cell r="EG59">
            <v>8.7965743332104296</v>
          </cell>
        </row>
        <row r="60">
          <cell r="EG60">
            <v>9.4474681309497566</v>
          </cell>
        </row>
        <row r="61">
          <cell r="EG61">
            <v>9.6419695977020599</v>
          </cell>
        </row>
        <row r="62">
          <cell r="EG62">
            <v>8.2787536009528289</v>
          </cell>
        </row>
        <row r="63">
          <cell r="EG63">
            <v>9.5658478186735181</v>
          </cell>
        </row>
        <row r="64">
          <cell r="EG64">
            <v>10.281419740153989</v>
          </cell>
        </row>
        <row r="65">
          <cell r="EG65">
            <v>8.8149131812750738</v>
          </cell>
        </row>
        <row r="66">
          <cell r="EG66">
            <v>9.5196967671598536</v>
          </cell>
        </row>
        <row r="67">
          <cell r="EG67">
            <v>8.958085848521085</v>
          </cell>
        </row>
        <row r="68">
          <cell r="EG68">
            <v>9.8960850854232856</v>
          </cell>
        </row>
        <row r="69">
          <cell r="EG69">
            <v>9.0707764628434351</v>
          </cell>
        </row>
        <row r="70">
          <cell r="EG70">
            <v>9.2817149700272967</v>
          </cell>
        </row>
        <row r="71">
          <cell r="EG71">
            <v>10.002338880892056</v>
          </cell>
        </row>
        <row r="72">
          <cell r="EG72">
            <v>8.7619278384205295</v>
          </cell>
        </row>
        <row r="73">
          <cell r="EG73">
            <v>10.038500943076674</v>
          </cell>
        </row>
        <row r="74">
          <cell r="EG74">
            <v>9.1031192535457137</v>
          </cell>
        </row>
        <row r="75">
          <cell r="EG75">
            <v>8.5740312677277188</v>
          </cell>
        </row>
        <row r="76">
          <cell r="EG76">
            <v>8.9863237770507656</v>
          </cell>
        </row>
        <row r="77">
          <cell r="EG77">
            <v>9.8182918907999959</v>
          </cell>
        </row>
        <row r="78">
          <cell r="EG78">
            <v>8.4116197059632309</v>
          </cell>
        </row>
        <row r="79">
          <cell r="EG79">
            <v>9.2662316966898928</v>
          </cell>
        </row>
        <row r="80">
          <cell r="EG80">
            <v>9.4963760540124014</v>
          </cell>
        </row>
        <row r="81">
          <cell r="EG81">
            <v>9.4426365257822322</v>
          </cell>
        </row>
        <row r="82">
          <cell r="EG82">
            <v>9.253338005326107</v>
          </cell>
        </row>
        <row r="83">
          <cell r="EG83">
            <v>9.0413926851582254</v>
          </cell>
        </row>
        <row r="84">
          <cell r="EG84">
            <v>8.998695158311655</v>
          </cell>
        </row>
        <row r="85">
          <cell r="EG85">
            <v>8.7481880270062007</v>
          </cell>
        </row>
        <row r="86">
          <cell r="EG86">
            <v>9.2817149700272967</v>
          </cell>
        </row>
        <row r="87">
          <cell r="EG87">
            <v>9.2734642726213465</v>
          </cell>
        </row>
        <row r="88">
          <cell r="EG88">
            <v>8.8948696567452519</v>
          </cell>
        </row>
        <row r="89">
          <cell r="EG89">
            <v>9.7799570512469067</v>
          </cell>
        </row>
        <row r="90">
          <cell r="EG90">
            <v>8.6464037262230704</v>
          </cell>
        </row>
        <row r="91">
          <cell r="EG91">
            <v>9.6833172619218821</v>
          </cell>
        </row>
        <row r="92">
          <cell r="EG92">
            <v>9.0507663112330423</v>
          </cell>
        </row>
        <row r="93">
          <cell r="EG93">
            <v>8.7355988996981804</v>
          </cell>
        </row>
        <row r="94">
          <cell r="EG94">
            <v>9.5941714791149124</v>
          </cell>
        </row>
        <row r="95">
          <cell r="EG95">
            <v>10.044696517110195</v>
          </cell>
        </row>
        <row r="96">
          <cell r="EG96">
            <v>10.302828588260255</v>
          </cell>
        </row>
        <row r="97">
          <cell r="EG97">
            <v>10.405414666951865</v>
          </cell>
        </row>
        <row r="98">
          <cell r="EG98">
            <v>9.2219355998280061</v>
          </cell>
        </row>
        <row r="99">
          <cell r="EG99">
            <v>9.2450188707377539</v>
          </cell>
        </row>
        <row r="100">
          <cell r="EG100">
            <v>9.9495851513266516</v>
          </cell>
        </row>
        <row r="101">
          <cell r="EG101">
            <v>9.4571246263034094</v>
          </cell>
        </row>
        <row r="102">
          <cell r="EG102">
            <v>9.3827372657613299</v>
          </cell>
        </row>
        <row r="103">
          <cell r="EG103">
            <v>9.1986570869544231</v>
          </cell>
        </row>
        <row r="104">
          <cell r="EG104">
            <v>9.4164740791002206</v>
          </cell>
        </row>
        <row r="105">
          <cell r="EG105">
            <v>9.8364507137201542</v>
          </cell>
        </row>
        <row r="106">
          <cell r="EG106">
            <v>9.5665553308830553</v>
          </cell>
        </row>
        <row r="107">
          <cell r="EG107">
            <v>9.8591983615338776</v>
          </cell>
        </row>
        <row r="108">
          <cell r="EG108">
            <v>9.3376588910261429</v>
          </cell>
        </row>
        <row r="109">
          <cell r="EG109">
            <v>9.5067755366066429</v>
          </cell>
        </row>
        <row r="110">
          <cell r="EG110">
            <v>8.6095944092252203</v>
          </cell>
        </row>
        <row r="111">
          <cell r="EG111">
            <v>9.7017406324372129</v>
          </cell>
        </row>
        <row r="112">
          <cell r="EG112">
            <v>9.1646502159342962</v>
          </cell>
        </row>
        <row r="113">
          <cell r="EG113">
            <v>8.9454685851318203</v>
          </cell>
        </row>
        <row r="114">
          <cell r="EG114">
            <v>9.5289167002776551</v>
          </cell>
        </row>
        <row r="115">
          <cell r="EG115">
            <v>9.6419695977020599</v>
          </cell>
        </row>
        <row r="116">
          <cell r="EG116">
            <v>10.099369826389838</v>
          </cell>
        </row>
        <row r="117">
          <cell r="EG117">
            <v>9.4234097277330928</v>
          </cell>
        </row>
        <row r="118">
          <cell r="EG118">
            <v>9.7322328802204972</v>
          </cell>
        </row>
        <row r="119">
          <cell r="EG119">
            <v>9.4036351897905472</v>
          </cell>
        </row>
        <row r="120">
          <cell r="EG120">
            <v>9.469527479187013</v>
          </cell>
        </row>
        <row r="121">
          <cell r="EG121">
            <v>9.8270460170047347</v>
          </cell>
        </row>
        <row r="122">
          <cell r="EG122">
            <v>8.7930916001765809</v>
          </cell>
        </row>
        <row r="123">
          <cell r="EG123">
            <v>9.4168068718229438</v>
          </cell>
        </row>
        <row r="124">
          <cell r="EG124">
            <v>9.2345172835126874</v>
          </cell>
        </row>
        <row r="125">
          <cell r="EG125">
            <v>9.7902147702439795</v>
          </cell>
        </row>
        <row r="126">
          <cell r="EG126">
            <v>10.066176785772006</v>
          </cell>
        </row>
        <row r="127">
          <cell r="EG127">
            <v>9.6296134453781832</v>
          </cell>
        </row>
        <row r="128">
          <cell r="EG128">
            <v>9.6838572054003471</v>
          </cell>
        </row>
        <row r="129">
          <cell r="EG129">
            <v>10.583935202536752</v>
          </cell>
        </row>
        <row r="130">
          <cell r="EG130">
            <v>9.8858133746604882</v>
          </cell>
        </row>
        <row r="131">
          <cell r="EG131">
            <v>9.6850247851057141</v>
          </cell>
        </row>
        <row r="132">
          <cell r="EG132">
            <v>10.054498146636677</v>
          </cell>
        </row>
        <row r="133">
          <cell r="EG133">
            <v>9.6505988981726567</v>
          </cell>
        </row>
        <row r="134">
          <cell r="EG134">
            <v>10.012415374762433</v>
          </cell>
        </row>
        <row r="135">
          <cell r="EG135">
            <v>9.1162755875805441</v>
          </cell>
        </row>
        <row r="136">
          <cell r="EG136">
            <v>9.1293675957229858</v>
          </cell>
        </row>
        <row r="137">
          <cell r="EG137">
            <v>8.9722028383790651</v>
          </cell>
        </row>
        <row r="138">
          <cell r="EG138">
            <v>9.6931991451537165</v>
          </cell>
        </row>
        <row r="139">
          <cell r="EG139">
            <v>10.00949338828754</v>
          </cell>
        </row>
        <row r="140">
          <cell r="EG140">
            <v>9.7868223794991867</v>
          </cell>
        </row>
        <row r="141">
          <cell r="EG141">
            <v>9.7219754015859543</v>
          </cell>
        </row>
        <row r="142">
          <cell r="EG142">
            <v>9.6427612032653212</v>
          </cell>
        </row>
        <row r="143">
          <cell r="EG143">
            <v>10.329967072734659</v>
          </cell>
        </row>
        <row r="144">
          <cell r="EG144">
            <v>10.1136760118971</v>
          </cell>
        </row>
        <row r="145">
          <cell r="EG145">
            <v>9.6966184592322247</v>
          </cell>
        </row>
        <row r="146">
          <cell r="EG146">
            <v>9.2688119037397811</v>
          </cell>
        </row>
        <row r="147">
          <cell r="EG147">
            <v>10.052693941924968</v>
          </cell>
        </row>
        <row r="148">
          <cell r="EG148">
            <v>10.46551668871213</v>
          </cell>
        </row>
        <row r="149">
          <cell r="EG149">
            <v>10.06744284277638</v>
          </cell>
        </row>
        <row r="150">
          <cell r="EG150">
            <v>9.6264430253312945</v>
          </cell>
        </row>
        <row r="151">
          <cell r="EG151">
            <v>9.0860037056183813</v>
          </cell>
        </row>
        <row r="152">
          <cell r="EG152">
            <v>10.997692117941726</v>
          </cell>
        </row>
        <row r="153">
          <cell r="EG153">
            <v>10.326397313347112</v>
          </cell>
        </row>
        <row r="154">
          <cell r="EG154">
            <v>9.498999363580154</v>
          </cell>
        </row>
        <row r="155">
          <cell r="EG155">
            <v>9.8675264111997425</v>
          </cell>
        </row>
        <row r="156">
          <cell r="EG156">
            <v>9.3380578754197554</v>
          </cell>
        </row>
        <row r="157">
          <cell r="EG157">
            <v>8.9523080096621257</v>
          </cell>
        </row>
        <row r="158">
          <cell r="EG158">
            <v>9.3809344633307017</v>
          </cell>
        </row>
        <row r="159">
          <cell r="EG159">
            <v>8.8293037728310253</v>
          </cell>
        </row>
        <row r="160">
          <cell r="EG160">
            <v>9.773932647467646</v>
          </cell>
        </row>
        <row r="161">
          <cell r="EG161">
            <v>9.5613399414589004</v>
          </cell>
        </row>
        <row r="162">
          <cell r="EG162">
            <v>9.1950689964685903</v>
          </cell>
        </row>
        <row r="163">
          <cell r="EG163">
            <v>9.9384196457931928</v>
          </cell>
        </row>
        <row r="164">
          <cell r="EG164">
            <v>9.7570162347313012</v>
          </cell>
        </row>
        <row r="165">
          <cell r="EG165">
            <v>9.2968844755385476</v>
          </cell>
        </row>
        <row r="166">
          <cell r="EG166">
            <v>8.8785217955012072</v>
          </cell>
        </row>
        <row r="167">
          <cell r="EG167">
            <v>10.27554168840131</v>
          </cell>
        </row>
        <row r="168">
          <cell r="EG168">
            <v>10.830505265872731</v>
          </cell>
        </row>
        <row r="169">
          <cell r="EG169">
            <v>8.7767011839884113</v>
          </cell>
        </row>
        <row r="170">
          <cell r="EG170">
            <v>9.9408152086508021</v>
          </cell>
        </row>
        <row r="171">
          <cell r="EG171">
            <v>9.3982873053574014</v>
          </cell>
        </row>
        <row r="172">
          <cell r="EG172">
            <v>9.6276730317666157</v>
          </cell>
        </row>
        <row r="173">
          <cell r="EG173">
            <v>9.6332664111554251</v>
          </cell>
        </row>
        <row r="174">
          <cell r="EG174">
            <v>10.272375437300544</v>
          </cell>
        </row>
        <row r="175">
          <cell r="EG175">
            <v>10.115810141409787</v>
          </cell>
        </row>
        <row r="176">
          <cell r="EG176">
            <v>10.003632837004409</v>
          </cell>
        </row>
        <row r="177">
          <cell r="EG177">
            <v>9.1577588860468637</v>
          </cell>
        </row>
        <row r="178">
          <cell r="EG178">
            <v>10.325720858019412</v>
          </cell>
        </row>
        <row r="179">
          <cell r="EG179">
            <v>9.8726806071519295</v>
          </cell>
        </row>
        <row r="180">
          <cell r="EG180">
            <v>11.633624975382235</v>
          </cell>
        </row>
        <row r="181">
          <cell r="EG181">
            <v>10.543708051190357</v>
          </cell>
        </row>
        <row r="182">
          <cell r="EG182">
            <v>9.7160033436347994</v>
          </cell>
        </row>
        <row r="183">
          <cell r="EG183">
            <v>9.53567380342575</v>
          </cell>
        </row>
        <row r="184">
          <cell r="EG184">
            <v>9.7362370989047289</v>
          </cell>
        </row>
        <row r="185">
          <cell r="EG185">
            <v>9.9004763713892565</v>
          </cell>
        </row>
        <row r="186">
          <cell r="EG186">
            <v>9.4718781993072909</v>
          </cell>
        </row>
        <row r="187">
          <cell r="EG187">
            <v>9.5766868052009961</v>
          </cell>
        </row>
        <row r="188">
          <cell r="EG188">
            <v>10.399673721481038</v>
          </cell>
        </row>
        <row r="189">
          <cell r="EG189">
            <v>10.495405563146193</v>
          </cell>
        </row>
        <row r="190">
          <cell r="EG190">
            <v>9.5502283530550933</v>
          </cell>
        </row>
        <row r="191">
          <cell r="EG191">
            <v>9.7647737169110407</v>
          </cell>
        </row>
        <row r="192">
          <cell r="EG192">
            <v>9.6397852129868209</v>
          </cell>
        </row>
        <row r="193">
          <cell r="EG193">
            <v>10.273209683400331</v>
          </cell>
        </row>
        <row r="194">
          <cell r="EG194">
            <v>8.876794976200701</v>
          </cell>
        </row>
        <row r="195">
          <cell r="EG195">
            <v>9.3277674899027296</v>
          </cell>
        </row>
        <row r="196">
          <cell r="EG196">
            <v>10.1081250947386</v>
          </cell>
        </row>
        <row r="197">
          <cell r="EG197">
            <v>9.43822580760453</v>
          </cell>
        </row>
        <row r="198">
          <cell r="EG198">
            <v>9.8694077493822014</v>
          </cell>
        </row>
        <row r="199">
          <cell r="EG199">
            <v>9.6852041344710145</v>
          </cell>
        </row>
        <row r="200">
          <cell r="EG200">
            <v>9.9752019622578523</v>
          </cell>
        </row>
        <row r="201">
          <cell r="EG201">
            <v>9.4692327425066125</v>
          </cell>
        </row>
        <row r="202">
          <cell r="EG202">
            <v>9.2392994791268919</v>
          </cell>
        </row>
        <row r="203">
          <cell r="EG203">
            <v>10.010935664704386</v>
          </cell>
        </row>
        <row r="204">
          <cell r="EG204">
            <v>10.49859998697719</v>
          </cell>
        </row>
        <row r="205">
          <cell r="EG205">
            <v>9.9347004017154248</v>
          </cell>
        </row>
        <row r="206">
          <cell r="EG206">
            <v>10.439190537827571</v>
          </cell>
        </row>
        <row r="207">
          <cell r="EG207">
            <v>10.240798771117332</v>
          </cell>
        </row>
        <row r="208">
          <cell r="EG208">
            <v>11.04698654038023</v>
          </cell>
        </row>
        <row r="209">
          <cell r="EG209">
            <v>10.291413254570214</v>
          </cell>
        </row>
        <row r="210">
          <cell r="EG210">
            <v>10.150049945162385</v>
          </cell>
        </row>
        <row r="211">
          <cell r="EG211">
            <v>9.8654001181793021</v>
          </cell>
        </row>
        <row r="212">
          <cell r="EG212">
            <v>9.6498214632245656</v>
          </cell>
        </row>
        <row r="213">
          <cell r="EG213">
            <v>10.743862387810379</v>
          </cell>
        </row>
        <row r="214">
          <cell r="EG214">
            <v>10.476875084758506</v>
          </cell>
        </row>
        <row r="215">
          <cell r="EG215">
            <v>10.042811691807147</v>
          </cell>
        </row>
        <row r="216">
          <cell r="EG216">
            <v>10.583051338285831</v>
          </cell>
        </row>
        <row r="217">
          <cell r="EG217">
            <v>10.352182518111363</v>
          </cell>
        </row>
        <row r="218">
          <cell r="EG218">
            <v>10.979398121064358</v>
          </cell>
        </row>
        <row r="219">
          <cell r="EG219">
            <v>9.0030294705536171</v>
          </cell>
        </row>
        <row r="220">
          <cell r="EG220">
            <v>11.340138613120468</v>
          </cell>
        </row>
        <row r="221">
          <cell r="EG221">
            <v>9.0224283711854874</v>
          </cell>
        </row>
        <row r="222">
          <cell r="EG222">
            <v>11.379378045219338</v>
          </cell>
        </row>
        <row r="223">
          <cell r="EG223">
            <v>10.138334282071019</v>
          </cell>
        </row>
        <row r="224">
          <cell r="EG224">
            <v>10.031892987710474</v>
          </cell>
        </row>
        <row r="225">
          <cell r="EG225">
            <v>9.9297764328049016</v>
          </cell>
        </row>
        <row r="226">
          <cell r="EG226">
            <v>9.7182525000977513</v>
          </cell>
        </row>
        <row r="227">
          <cell r="EG227">
            <v>12.071735868391281</v>
          </cell>
        </row>
        <row r="228">
          <cell r="EG228">
            <v>9.5433229006469116</v>
          </cell>
        </row>
        <row r="229">
          <cell r="EG229">
            <v>10.394731780469529</v>
          </cell>
        </row>
        <row r="230">
          <cell r="EG230">
            <v>11.247872655421908</v>
          </cell>
        </row>
        <row r="231">
          <cell r="EG231">
            <v>10.434824296268493</v>
          </cell>
        </row>
        <row r="232">
          <cell r="EG232">
            <v>10.408494360212361</v>
          </cell>
        </row>
        <row r="233">
          <cell r="EG233">
            <v>9.7889457270237479</v>
          </cell>
        </row>
        <row r="234">
          <cell r="EG234">
            <v>12.202238130622836</v>
          </cell>
        </row>
        <row r="235">
          <cell r="EG235">
            <v>10.224558958940841</v>
          </cell>
        </row>
        <row r="236">
          <cell r="EG236">
            <v>10.32717495893762</v>
          </cell>
        </row>
        <row r="237">
          <cell r="EG237">
            <v>10.844706998985673</v>
          </cell>
        </row>
        <row r="238">
          <cell r="EG238">
            <v>9.6538875580709771</v>
          </cell>
        </row>
        <row r="239">
          <cell r="EG239">
            <v>10.163906433457752</v>
          </cell>
        </row>
        <row r="240">
          <cell r="EG240">
            <v>9.9807757739626215</v>
          </cell>
        </row>
        <row r="241">
          <cell r="EG241">
            <v>10.514401635137583</v>
          </cell>
        </row>
        <row r="242">
          <cell r="EG242">
            <v>9.8668188029260477</v>
          </cell>
        </row>
        <row r="243">
          <cell r="EG243">
            <v>10.968534313680799</v>
          </cell>
        </row>
        <row r="244">
          <cell r="EG244">
            <v>8.649334858712141</v>
          </cell>
        </row>
        <row r="245">
          <cell r="EG245">
            <v>10.340820736655919</v>
          </cell>
        </row>
        <row r="246">
          <cell r="EG246">
            <v>9.8668188029260477</v>
          </cell>
        </row>
        <row r="247">
          <cell r="EG247">
            <v>10.538007877724324</v>
          </cell>
        </row>
        <row r="248">
          <cell r="EG248">
            <v>11.401822566409718</v>
          </cell>
        </row>
        <row r="249">
          <cell r="EG249">
            <v>11.05401136604619</v>
          </cell>
        </row>
        <row r="250">
          <cell r="EG250">
            <v>10.015150103229471</v>
          </cell>
        </row>
        <row r="251">
          <cell r="EG251">
            <v>10.709346295093871</v>
          </cell>
        </row>
        <row r="252">
          <cell r="EG252">
            <v>11.370785016757857</v>
          </cell>
        </row>
        <row r="253">
          <cell r="EG253">
            <v>9.4356851379416291</v>
          </cell>
        </row>
        <row r="254">
          <cell r="EG254">
            <v>10.383168827057428</v>
          </cell>
        </row>
        <row r="255">
          <cell r="EG255">
            <v>10.645294516889896</v>
          </cell>
        </row>
        <row r="256">
          <cell r="EG256">
            <v>10.19089171692217</v>
          </cell>
        </row>
        <row r="257">
          <cell r="EG257">
            <v>9.1565491513317809</v>
          </cell>
        </row>
        <row r="258">
          <cell r="EG258">
            <v>9.9647309210536292</v>
          </cell>
        </row>
        <row r="259">
          <cell r="EG259">
            <v>9.7604978752265268</v>
          </cell>
        </row>
        <row r="260">
          <cell r="EG260">
            <v>9.8397921844453293</v>
          </cell>
        </row>
        <row r="261">
          <cell r="EG261">
            <v>9.8007170782823856</v>
          </cell>
        </row>
        <row r="262">
          <cell r="EG262">
            <v>10.625271283656851</v>
          </cell>
        </row>
        <row r="263">
          <cell r="EG263">
            <v>10.13132989404281</v>
          </cell>
        </row>
        <row r="264">
          <cell r="EG264">
            <v>10.363517966582565</v>
          </cell>
        </row>
        <row r="265">
          <cell r="EG265">
            <v>9.3018977171952084</v>
          </cell>
        </row>
        <row r="266">
          <cell r="EG266">
            <v>10.296467738800116</v>
          </cell>
        </row>
        <row r="267">
          <cell r="EG267">
            <v>10.327869568756626</v>
          </cell>
        </row>
        <row r="268">
          <cell r="EG268">
            <v>10.611457765668343</v>
          </cell>
        </row>
        <row r="269">
          <cell r="EG269">
            <v>9.5324995860946622</v>
          </cell>
        </row>
        <row r="270">
          <cell r="EG270">
            <v>11.370459423990827</v>
          </cell>
        </row>
        <row r="271">
          <cell r="EG271">
            <v>9.9215304135012428</v>
          </cell>
        </row>
        <row r="272">
          <cell r="EG272">
            <v>10.698639815041942</v>
          </cell>
        </row>
        <row r="273">
          <cell r="EG273">
            <v>10.129141845792285</v>
          </cell>
        </row>
        <row r="274">
          <cell r="EG274">
            <v>10.099162492928595</v>
          </cell>
        </row>
        <row r="275">
          <cell r="EG275">
            <v>9.4151403521958734</v>
          </cell>
        </row>
        <row r="276">
          <cell r="EG276">
            <v>10.455499617516322</v>
          </cell>
        </row>
        <row r="277">
          <cell r="EG277">
            <v>10.615813327273354</v>
          </cell>
        </row>
        <row r="278">
          <cell r="EG278">
            <v>10.543993587485465</v>
          </cell>
        </row>
        <row r="279">
          <cell r="EG279">
            <v>9.6674529528899544</v>
          </cell>
        </row>
        <row r="280">
          <cell r="EG280">
            <v>9.6161603128475832</v>
          </cell>
        </row>
        <row r="281">
          <cell r="EG281">
            <v>10.23530114031999</v>
          </cell>
        </row>
        <row r="282">
          <cell r="EG282">
            <v>9.7827591926239972</v>
          </cell>
        </row>
        <row r="283">
          <cell r="EG283">
            <v>9.8890774926500633</v>
          </cell>
        </row>
        <row r="284">
          <cell r="EG284">
            <v>9.9381192691943117</v>
          </cell>
        </row>
        <row r="285">
          <cell r="EG285">
            <v>10.027594211826226</v>
          </cell>
        </row>
        <row r="286">
          <cell r="EG286">
            <v>11.016586287078004</v>
          </cell>
        </row>
        <row r="287">
          <cell r="EG287">
            <v>11.503322100259346</v>
          </cell>
        </row>
        <row r="288">
          <cell r="EG288">
            <v>11.779720557672581</v>
          </cell>
        </row>
        <row r="289">
          <cell r="EG289">
            <v>9.4278105726759893</v>
          </cell>
        </row>
        <row r="290">
          <cell r="EG290">
            <v>9.5378190950732744</v>
          </cell>
        </row>
        <row r="291">
          <cell r="EG291">
            <v>9.0285712526925384</v>
          </cell>
        </row>
        <row r="292">
          <cell r="EG292">
            <v>10.000303899784813</v>
          </cell>
        </row>
        <row r="293">
          <cell r="EG293">
            <v>9.4827307000799426</v>
          </cell>
        </row>
        <row r="294">
          <cell r="EG294">
            <v>9.6162654052817089</v>
          </cell>
        </row>
        <row r="295">
          <cell r="EG295">
            <v>9.873901597864462</v>
          </cell>
        </row>
        <row r="296">
          <cell r="EG296">
            <v>9.4308809464528913</v>
          </cell>
        </row>
        <row r="297">
          <cell r="EG297">
            <v>8.8375884382355121</v>
          </cell>
        </row>
        <row r="298">
          <cell r="EG298">
            <v>9.2586372827240773</v>
          </cell>
        </row>
        <row r="299">
          <cell r="EG299">
            <v>9.975063996095237</v>
          </cell>
        </row>
        <row r="300">
          <cell r="EG300">
            <v>9.2626883443016972</v>
          </cell>
        </row>
        <row r="301">
          <cell r="EG301">
            <v>9.8460895803579849</v>
          </cell>
        </row>
        <row r="302">
          <cell r="EG302">
            <v>9.4563660331290436</v>
          </cell>
        </row>
        <row r="303">
          <cell r="EG303">
            <v>9.862906213562999</v>
          </cell>
        </row>
        <row r="304">
          <cell r="EG304">
            <v>9.3752977382173395</v>
          </cell>
        </row>
        <row r="305">
          <cell r="EG305">
            <v>9.5336449787987636</v>
          </cell>
        </row>
        <row r="306">
          <cell r="EG306">
            <v>9.4073909044707307</v>
          </cell>
        </row>
        <row r="307">
          <cell r="EG307">
            <v>9.833274639290563</v>
          </cell>
        </row>
        <row r="308">
          <cell r="EG308">
            <v>8.5670263661590607</v>
          </cell>
        </row>
        <row r="309">
          <cell r="EG309">
            <v>9.9933480399232604</v>
          </cell>
        </row>
        <row r="310">
          <cell r="EG310">
            <v>9.220631019448092</v>
          </cell>
        </row>
        <row r="311">
          <cell r="EG311">
            <v>10.247826022935442</v>
          </cell>
        </row>
        <row r="312">
          <cell r="EG312">
            <v>9.4649364291217335</v>
          </cell>
        </row>
        <row r="313">
          <cell r="EG313">
            <v>9.198106998873401</v>
          </cell>
        </row>
        <row r="314">
          <cell r="EG314">
            <v>10.284904251407587</v>
          </cell>
        </row>
        <row r="315">
          <cell r="EG315">
            <v>10.090998297753199</v>
          </cell>
        </row>
        <row r="316">
          <cell r="EG316">
            <v>10.688179469624272</v>
          </cell>
        </row>
        <row r="317">
          <cell r="EG317">
            <v>9.2491983573911121</v>
          </cell>
        </row>
        <row r="318">
          <cell r="EG318">
            <v>11.778625096599027</v>
          </cell>
        </row>
        <row r="319">
          <cell r="EG319">
            <v>10.085968077046074</v>
          </cell>
        </row>
        <row r="320">
          <cell r="EG320">
            <v>10.050843580956919</v>
          </cell>
        </row>
        <row r="321">
          <cell r="EG321">
            <v>10.321453434333344</v>
          </cell>
        </row>
        <row r="322">
          <cell r="EG322">
            <v>9.5459253293558426</v>
          </cell>
        </row>
        <row r="323">
          <cell r="EG323">
            <v>9.6651117370750512</v>
          </cell>
        </row>
        <row r="324">
          <cell r="EG324">
            <v>9.568201724066995</v>
          </cell>
        </row>
        <row r="325">
          <cell r="EG325">
            <v>9.6688516480825193</v>
          </cell>
        </row>
        <row r="326">
          <cell r="EG326">
            <v>9.7272972028035873</v>
          </cell>
        </row>
        <row r="327">
          <cell r="EG327">
            <v>9.3682868849021315</v>
          </cell>
        </row>
        <row r="328">
          <cell r="EG328">
            <v>9.6331653536839035</v>
          </cell>
        </row>
        <row r="329">
          <cell r="EG329">
            <v>9.4855794769846788</v>
          </cell>
        </row>
        <row r="330">
          <cell r="EG330">
            <v>9.0472748673841803</v>
          </cell>
        </row>
        <row r="331">
          <cell r="EG331">
            <v>9.1556396337597761</v>
          </cell>
        </row>
        <row r="332">
          <cell r="EG332">
            <v>9.5204835327407924</v>
          </cell>
        </row>
        <row r="333">
          <cell r="EG333">
            <v>10.714857634796667</v>
          </cell>
        </row>
        <row r="334">
          <cell r="EG334">
            <v>9.7884512070234564</v>
          </cell>
        </row>
        <row r="335">
          <cell r="EG335">
            <v>9.5717088318086869</v>
          </cell>
        </row>
        <row r="336">
          <cell r="EG336">
            <v>9.9429500700770994</v>
          </cell>
        </row>
        <row r="337">
          <cell r="EG337">
            <v>9.668385916690001</v>
          </cell>
        </row>
        <row r="338">
          <cell r="EG338">
            <v>10.022304622935069</v>
          </cell>
        </row>
        <row r="339">
          <cell r="EG339">
            <v>9.2011238972073794</v>
          </cell>
        </row>
        <row r="340">
          <cell r="EG340">
            <v>9.3255156633631486</v>
          </cell>
        </row>
        <row r="341">
          <cell r="EG341">
            <v>9.3201462861110542</v>
          </cell>
        </row>
        <row r="342">
          <cell r="EG342">
            <v>10.277975746223223</v>
          </cell>
        </row>
        <row r="343">
          <cell r="EG343">
            <v>10.027349607774756</v>
          </cell>
        </row>
        <row r="344">
          <cell r="EG344">
            <v>9.204119982655925</v>
          </cell>
        </row>
        <row r="345">
          <cell r="EG345">
            <v>10.438621448045396</v>
          </cell>
        </row>
        <row r="346">
          <cell r="EG346">
            <v>8.7589118923979736</v>
          </cell>
        </row>
        <row r="347">
          <cell r="EG347">
            <v>10.113207769822735</v>
          </cell>
        </row>
        <row r="348">
          <cell r="EG348">
            <v>9.363987829748492</v>
          </cell>
        </row>
        <row r="349">
          <cell r="EG349">
            <v>10.175279818442384</v>
          </cell>
        </row>
        <row r="350">
          <cell r="EG350">
            <v>8.8325089127062366</v>
          </cell>
        </row>
        <row r="351">
          <cell r="EG351">
            <v>9.351216345339342</v>
          </cell>
        </row>
        <row r="352">
          <cell r="EG352">
            <v>11.466415303605789</v>
          </cell>
        </row>
        <row r="353">
          <cell r="EG353">
            <v>10.347915186501691</v>
          </cell>
        </row>
        <row r="354">
          <cell r="EG354">
            <v>10.295830894958586</v>
          </cell>
        </row>
        <row r="355">
          <cell r="EG355">
            <v>10.003934206173708</v>
          </cell>
        </row>
        <row r="356">
          <cell r="EG356">
            <v>9.7005306569785912</v>
          </cell>
        </row>
        <row r="357">
          <cell r="EG357">
            <v>9.6119356250401218</v>
          </cell>
        </row>
        <row r="358">
          <cell r="EG358">
            <v>10.139690221652923</v>
          </cell>
        </row>
        <row r="359">
          <cell r="EG359">
            <v>9.9629845843169971</v>
          </cell>
        </row>
        <row r="360">
          <cell r="EG360">
            <v>10.071440127177887</v>
          </cell>
        </row>
        <row r="361">
          <cell r="EG361">
            <v>9.2019430634016501</v>
          </cell>
        </row>
        <row r="362">
          <cell r="EG362">
            <v>10.079723775139918</v>
          </cell>
        </row>
        <row r="363">
          <cell r="EG363">
            <v>9.988603543345663</v>
          </cell>
        </row>
        <row r="364">
          <cell r="EG364">
            <v>9.6907275438703664</v>
          </cell>
        </row>
        <row r="365">
          <cell r="EG365">
            <v>9.2878017299302265</v>
          </cell>
        </row>
        <row r="366">
          <cell r="EG366">
            <v>9.5118833609788744</v>
          </cell>
        </row>
        <row r="367">
          <cell r="EG367">
            <v>10.015862508097314</v>
          </cell>
        </row>
        <row r="368">
          <cell r="EG368">
            <v>9.7113009599161657</v>
          </cell>
        </row>
        <row r="369">
          <cell r="EG369">
            <v>10.086573365620573</v>
          </cell>
        </row>
        <row r="370">
          <cell r="EG370">
            <v>9.277150613963796</v>
          </cell>
        </row>
        <row r="371">
          <cell r="EG371">
            <v>9.7978213113640233</v>
          </cell>
        </row>
        <row r="372">
          <cell r="EG372">
            <v>9.522183317618687</v>
          </cell>
        </row>
        <row r="373">
          <cell r="EG373">
            <v>7.7708520116421438</v>
          </cell>
        </row>
        <row r="374">
          <cell r="EG374">
            <v>10.543732887887259</v>
          </cell>
        </row>
        <row r="375">
          <cell r="EG375">
            <v>9.105169427999332</v>
          </cell>
        </row>
        <row r="376">
          <cell r="EG376">
            <v>10.260596042301909</v>
          </cell>
        </row>
        <row r="377">
          <cell r="EG377">
            <v>9.2750808984568582</v>
          </cell>
        </row>
        <row r="378">
          <cell r="EG378">
            <v>10.222430314660491</v>
          </cell>
        </row>
        <row r="379">
          <cell r="EG379">
            <v>10.303131232510763</v>
          </cell>
        </row>
        <row r="380">
          <cell r="EG380">
            <v>10.136181326960601</v>
          </cell>
        </row>
        <row r="381">
          <cell r="EG381">
            <v>10.757934766327757</v>
          </cell>
        </row>
        <row r="382">
          <cell r="EG382">
            <v>10.360422994329248</v>
          </cell>
        </row>
        <row r="383">
          <cell r="EG383">
            <v>10.742379442998091</v>
          </cell>
        </row>
        <row r="384">
          <cell r="EG384">
            <v>10.453104198432209</v>
          </cell>
        </row>
        <row r="385">
          <cell r="EG385">
            <v>10.089304451847871</v>
          </cell>
        </row>
        <row r="386">
          <cell r="EG386">
            <v>10.484200153763631</v>
          </cell>
        </row>
        <row r="387">
          <cell r="EG387">
            <v>10.724587138976274</v>
          </cell>
        </row>
        <row r="388">
          <cell r="EG388">
            <v>9.4559102403827424</v>
          </cell>
        </row>
        <row r="389">
          <cell r="EG389">
            <v>10.321784782959902</v>
          </cell>
        </row>
        <row r="390">
          <cell r="EG390">
            <v>9.2070955404192176</v>
          </cell>
        </row>
        <row r="391">
          <cell r="EG391">
            <v>10.069853021113625</v>
          </cell>
        </row>
        <row r="392">
          <cell r="EG392">
            <v>10.576468048945626</v>
          </cell>
        </row>
        <row r="393">
          <cell r="EG393">
            <v>9.2664668954402423</v>
          </cell>
        </row>
        <row r="394">
          <cell r="EG394">
            <v>10.235856568752974</v>
          </cell>
        </row>
        <row r="395">
          <cell r="EG395">
            <v>10.646325291243283</v>
          </cell>
        </row>
        <row r="396">
          <cell r="EG396">
            <v>9.7121444142148867</v>
          </cell>
        </row>
        <row r="397">
          <cell r="EG397">
            <v>9.3014640731433005</v>
          </cell>
        </row>
        <row r="398">
          <cell r="EG398">
            <v>10.104213884199323</v>
          </cell>
        </row>
        <row r="399">
          <cell r="EG399">
            <v>9.7216457662897469</v>
          </cell>
        </row>
        <row r="400">
          <cell r="EG400">
            <v>9.8796119070658506</v>
          </cell>
        </row>
        <row r="401">
          <cell r="EG401">
            <v>10.401900036760585</v>
          </cell>
        </row>
        <row r="402">
          <cell r="EG402">
            <v>10.951415237923166</v>
          </cell>
        </row>
        <row r="403">
          <cell r="EG403">
            <v>9.9754777631658751</v>
          </cell>
        </row>
        <row r="404">
          <cell r="EG404">
            <v>10.050070264367438</v>
          </cell>
        </row>
        <row r="405">
          <cell r="EG405">
            <v>9.7709992051639407</v>
          </cell>
        </row>
        <row r="406">
          <cell r="EG406">
            <v>10.202706226990356</v>
          </cell>
        </row>
        <row r="407">
          <cell r="EG407">
            <v>9.9425536803342105</v>
          </cell>
        </row>
        <row r="408">
          <cell r="EG408">
            <v>10.511869997866151</v>
          </cell>
        </row>
        <row r="409">
          <cell r="EG409">
            <v>9.7622282842864738</v>
          </cell>
        </row>
        <row r="410">
          <cell r="EG410">
            <v>10.060471192797678</v>
          </cell>
        </row>
        <row r="411">
          <cell r="EG411">
            <v>10.297125561527981</v>
          </cell>
        </row>
        <row r="412">
          <cell r="EG412">
            <v>10.178487731047397</v>
          </cell>
        </row>
        <row r="413">
          <cell r="EG413">
            <v>9.9373674175172901</v>
          </cell>
        </row>
        <row r="414">
          <cell r="EG414">
            <v>9.9522110581086682</v>
          </cell>
        </row>
        <row r="415">
          <cell r="EG415">
            <v>9.5910646070264995</v>
          </cell>
        </row>
        <row r="416">
          <cell r="EG416">
            <v>10.337618972419385</v>
          </cell>
        </row>
        <row r="417">
          <cell r="EG417">
            <v>11.086345591277974</v>
          </cell>
        </row>
        <row r="418">
          <cell r="EG418">
            <v>11.497080380188191</v>
          </cell>
        </row>
        <row r="419">
          <cell r="EG419">
            <v>11.709741321751897</v>
          </cell>
        </row>
        <row r="420">
          <cell r="EG420">
            <v>11.004127833122505</v>
          </cell>
        </row>
        <row r="421">
          <cell r="EG421">
            <v>10.671524580629669</v>
          </cell>
        </row>
        <row r="422">
          <cell r="EG422">
            <v>11.188492565093906</v>
          </cell>
        </row>
        <row r="423">
          <cell r="EG423">
            <v>11.308549474427771</v>
          </cell>
        </row>
        <row r="424">
          <cell r="EG424">
            <v>10.836811315727346</v>
          </cell>
        </row>
        <row r="425">
          <cell r="EG425">
            <v>10.992761116636471</v>
          </cell>
        </row>
        <row r="426">
          <cell r="EG426">
            <v>10.345706921278428</v>
          </cell>
        </row>
        <row r="427">
          <cell r="EG427">
            <v>10.898176483497677</v>
          </cell>
        </row>
        <row r="428">
          <cell r="EG428">
            <v>11.227681072752871</v>
          </cell>
        </row>
        <row r="429">
          <cell r="EG429">
            <v>11.042433743144318</v>
          </cell>
        </row>
        <row r="430">
          <cell r="EG430">
            <v>9.2683439139510639</v>
          </cell>
        </row>
        <row r="431">
          <cell r="EG431">
            <v>10.503572800457903</v>
          </cell>
        </row>
        <row r="432">
          <cell r="EG432">
            <v>9.0236639181977942</v>
          </cell>
        </row>
        <row r="433">
          <cell r="EG433">
            <v>9.9653428355606213</v>
          </cell>
        </row>
        <row r="434">
          <cell r="EG434">
            <v>9.4869968884318219</v>
          </cell>
        </row>
        <row r="435">
          <cell r="EG435">
            <v>9.9994350498763307</v>
          </cell>
        </row>
        <row r="436">
          <cell r="EG436">
            <v>9.6755950563867454</v>
          </cell>
        </row>
        <row r="437">
          <cell r="EG437">
            <v>9.7697464671794538</v>
          </cell>
        </row>
        <row r="438">
          <cell r="EG438">
            <v>10.91560031372398</v>
          </cell>
        </row>
        <row r="439">
          <cell r="EG439">
            <v>10.074816440645174</v>
          </cell>
        </row>
        <row r="440">
          <cell r="EG440">
            <v>10.711275630961277</v>
          </cell>
        </row>
        <row r="441">
          <cell r="EG441">
            <v>9.4431064567372669</v>
          </cell>
        </row>
        <row r="442">
          <cell r="EG442">
            <v>9.6480671294489344</v>
          </cell>
        </row>
        <row r="443">
          <cell r="EG443">
            <v>8.3283796034387372</v>
          </cell>
        </row>
        <row r="444">
          <cell r="EG444">
            <v>10.171082577357526</v>
          </cell>
        </row>
        <row r="445">
          <cell r="EG445">
            <v>10.087852375163168</v>
          </cell>
        </row>
        <row r="446">
          <cell r="EG446">
            <v>10.806532694976926</v>
          </cell>
        </row>
        <row r="447">
          <cell r="EG447">
            <v>10.006466042249231</v>
          </cell>
        </row>
        <row r="448">
          <cell r="EG448">
            <v>9.1806992012960347</v>
          </cell>
        </row>
        <row r="449">
          <cell r="EG449">
            <v>9.680063427481949</v>
          </cell>
        </row>
        <row r="450">
          <cell r="EG450">
            <v>10.091139153825754</v>
          </cell>
        </row>
        <row r="451">
          <cell r="EG451">
            <v>9.9593276459721718</v>
          </cell>
        </row>
        <row r="452">
          <cell r="EG452">
            <v>9.5398285583778986</v>
          </cell>
        </row>
        <row r="453">
          <cell r="EG453">
            <v>10.000477461374455</v>
          </cell>
        </row>
        <row r="454">
          <cell r="EG454">
            <v>8.9894498176666922</v>
          </cell>
        </row>
        <row r="455">
          <cell r="EG455">
            <v>10.23509899009494</v>
          </cell>
        </row>
        <row r="456">
          <cell r="EG456">
            <v>9.9146075677710801</v>
          </cell>
        </row>
        <row r="457">
          <cell r="EG457">
            <v>9.6238692683503029</v>
          </cell>
        </row>
        <row r="458">
          <cell r="EG458">
            <v>9.6049816296074315</v>
          </cell>
        </row>
        <row r="459">
          <cell r="EG459">
            <v>9.1673173347481764</v>
          </cell>
        </row>
        <row r="460">
          <cell r="EG460">
            <v>10.164085057458859</v>
          </cell>
        </row>
        <row r="461">
          <cell r="EG461">
            <v>9.3879234669734366</v>
          </cell>
        </row>
        <row r="462">
          <cell r="EG462">
            <v>9.6620018793899174</v>
          </cell>
        </row>
        <row r="463">
          <cell r="EG463">
            <v>9.5743785644130828</v>
          </cell>
        </row>
        <row r="464">
          <cell r="EG464">
            <v>9.9397188823541054</v>
          </cell>
        </row>
        <row r="465">
          <cell r="EG465">
            <v>9.9243309847086785</v>
          </cell>
        </row>
        <row r="466">
          <cell r="EG466">
            <v>9.2491983573911121</v>
          </cell>
        </row>
        <row r="467">
          <cell r="EG467">
            <v>9.6942541120252788</v>
          </cell>
        </row>
        <row r="468">
          <cell r="EG468">
            <v>10.770741583752775</v>
          </cell>
        </row>
        <row r="469">
          <cell r="EG469">
            <v>10.339530938740655</v>
          </cell>
        </row>
        <row r="470">
          <cell r="EG470">
            <v>9.8532113345033174</v>
          </cell>
        </row>
        <row r="471">
          <cell r="EG471">
            <v>10.799733304907949</v>
          </cell>
        </row>
        <row r="472">
          <cell r="EG472">
            <v>9.3889887851247149</v>
          </cell>
        </row>
        <row r="473">
          <cell r="EG473">
            <v>9.1841233542396719</v>
          </cell>
        </row>
        <row r="474">
          <cell r="EG474">
            <v>10.344333315681277</v>
          </cell>
        </row>
        <row r="475">
          <cell r="EG475">
            <v>10.209622234511551</v>
          </cell>
        </row>
        <row r="476">
          <cell r="EG476">
            <v>9.7007902213743478</v>
          </cell>
        </row>
        <row r="477">
          <cell r="EG477">
            <v>10.706743378506737</v>
          </cell>
        </row>
        <row r="478">
          <cell r="EG478">
            <v>11.356589882287693</v>
          </cell>
        </row>
        <row r="479">
          <cell r="EG479">
            <v>9.3900514964589874</v>
          </cell>
        </row>
        <row r="480">
          <cell r="EG480">
            <v>9.5700757053216048</v>
          </cell>
        </row>
        <row r="481">
          <cell r="EG481">
            <v>9.4707044297227885</v>
          </cell>
        </row>
        <row r="482">
          <cell r="EG482">
            <v>10.3220124385824</v>
          </cell>
        </row>
        <row r="483">
          <cell r="EG483">
            <v>9.5929535715478664</v>
          </cell>
        </row>
        <row r="484">
          <cell r="EG484">
            <v>9.1595671932336202</v>
          </cell>
        </row>
        <row r="485">
          <cell r="EG485">
            <v>9.494293768665333</v>
          </cell>
        </row>
        <row r="486">
          <cell r="EG486">
            <v>9.2683439139510639</v>
          </cell>
        </row>
        <row r="487">
          <cell r="EG487">
            <v>9.5737995822157398</v>
          </cell>
        </row>
        <row r="488">
          <cell r="EG488">
            <v>9.1875207208364635</v>
          </cell>
        </row>
        <row r="489">
          <cell r="EG489">
            <v>9.5790973265526436</v>
          </cell>
        </row>
        <row r="490">
          <cell r="EG490">
            <v>9.5639554649958125</v>
          </cell>
        </row>
        <row r="491">
          <cell r="EG491">
            <v>10.321266939574789</v>
          </cell>
        </row>
        <row r="492">
          <cell r="EG492">
            <v>9.9369156809452548</v>
          </cell>
        </row>
        <row r="493">
          <cell r="EG493">
            <v>10.164620489079711</v>
          </cell>
        </row>
        <row r="494">
          <cell r="EG494">
            <v>9.6420686273415033</v>
          </cell>
        </row>
        <row r="495">
          <cell r="EG495">
            <v>9.307067950661299</v>
          </cell>
        </row>
        <row r="496">
          <cell r="EG496">
            <v>9.0322157032979824</v>
          </cell>
        </row>
        <row r="497">
          <cell r="EG497">
            <v>9.5342800052050816</v>
          </cell>
        </row>
        <row r="498">
          <cell r="EG498">
            <v>9.8376515578463923</v>
          </cell>
        </row>
        <row r="499">
          <cell r="EG499">
            <v>10.480107595576447</v>
          </cell>
        </row>
        <row r="500">
          <cell r="EG500">
            <v>9.0394141191761364</v>
          </cell>
        </row>
        <row r="501">
          <cell r="EG501">
            <v>9.1911714557285578</v>
          </cell>
        </row>
        <row r="502">
          <cell r="EG502">
            <v>9.476251796007034</v>
          </cell>
        </row>
        <row r="503">
          <cell r="EG503">
            <v>8.8512583487190746</v>
          </cell>
        </row>
        <row r="504">
          <cell r="EG504">
            <v>8.7450747915820575</v>
          </cell>
        </row>
        <row r="505">
          <cell r="EG505">
            <v>9.0145205387579246</v>
          </cell>
        </row>
        <row r="506">
          <cell r="EG506">
            <v>10.569455844240684</v>
          </cell>
        </row>
        <row r="507">
          <cell r="EG507">
            <v>8.8061799739838875</v>
          </cell>
        </row>
        <row r="508">
          <cell r="EG508">
            <v>9.2116544005531829</v>
          </cell>
        </row>
        <row r="509">
          <cell r="EG509">
            <v>10.105612359686786</v>
          </cell>
        </row>
        <row r="510">
          <cell r="EG510">
            <v>9.5848963441374497</v>
          </cell>
        </row>
        <row r="511">
          <cell r="EG511">
            <v>9.3326404103874623</v>
          </cell>
        </row>
        <row r="512">
          <cell r="EG512">
            <v>9.1622656142980219</v>
          </cell>
        </row>
        <row r="513">
          <cell r="EG513">
            <v>8.8048206787211623</v>
          </cell>
        </row>
        <row r="514">
          <cell r="EG514">
            <v>8.5693739096150452</v>
          </cell>
        </row>
        <row r="515">
          <cell r="EG515">
            <v>8.8680563618230419</v>
          </cell>
        </row>
        <row r="516">
          <cell r="EG516">
            <v>11.032969116894197</v>
          </cell>
        </row>
        <row r="517">
          <cell r="EG517">
            <v>8.6127838567197355</v>
          </cell>
        </row>
        <row r="518">
          <cell r="EG518">
            <v>8.9122220565324159</v>
          </cell>
        </row>
        <row r="519">
          <cell r="EG519">
            <v>8.5809249756756198</v>
          </cell>
        </row>
        <row r="520">
          <cell r="EG520">
            <v>10.312790692146443</v>
          </cell>
        </row>
        <row r="521">
          <cell r="EG521">
            <v>10.037107632667928</v>
          </cell>
        </row>
        <row r="522">
          <cell r="EG522">
            <v>9.2100508498751381</v>
          </cell>
        </row>
        <row r="523">
          <cell r="EG523">
            <v>8.9489017609702142</v>
          </cell>
        </row>
        <row r="524">
          <cell r="EG524">
            <v>8.8864907251724823</v>
          </cell>
        </row>
        <row r="525">
          <cell r="EG525">
            <v>9.3040594662175984</v>
          </cell>
        </row>
        <row r="526">
          <cell r="EG526">
            <v>10.30982172568023</v>
          </cell>
        </row>
        <row r="527">
          <cell r="EG527">
            <v>10.148571808932157</v>
          </cell>
        </row>
        <row r="528">
          <cell r="EG528">
            <v>9.2484637175510311</v>
          </cell>
        </row>
        <row r="529">
          <cell r="EG529">
            <v>9.0902580529313166</v>
          </cell>
        </row>
        <row r="530">
          <cell r="EG530">
            <v>9.8510136068236704</v>
          </cell>
        </row>
        <row r="531">
          <cell r="EG531">
            <v>10.068705219691941</v>
          </cell>
        </row>
        <row r="532">
          <cell r="EG532">
            <v>9.3541084391474012</v>
          </cell>
        </row>
        <row r="533">
          <cell r="EG533">
            <v>9.5459253293558426</v>
          </cell>
        </row>
        <row r="534">
          <cell r="EG534">
            <v>9.7520484478194387</v>
          </cell>
        </row>
        <row r="535">
          <cell r="EG535">
            <v>8.9360107957152088</v>
          </cell>
        </row>
        <row r="536">
          <cell r="EG536">
            <v>8.9508514588885468</v>
          </cell>
        </row>
        <row r="537">
          <cell r="EG537">
            <v>8.9836262871245349</v>
          </cell>
        </row>
        <row r="538">
          <cell r="EG538">
            <v>9.4044916177586853</v>
          </cell>
        </row>
        <row r="539">
          <cell r="EG539">
            <v>9.43822580760453</v>
          </cell>
        </row>
        <row r="540">
          <cell r="EG540">
            <v>9.5975855017522047</v>
          </cell>
        </row>
        <row r="541">
          <cell r="EG541">
            <v>9.06744284277638</v>
          </cell>
        </row>
        <row r="542">
          <cell r="EG542">
            <v>9.5039268041935099</v>
          </cell>
        </row>
        <row r="543">
          <cell r="EG543">
            <v>9.6907275438703664</v>
          </cell>
        </row>
        <row r="544">
          <cell r="EG544">
            <v>9.2377949932739227</v>
          </cell>
        </row>
        <row r="545">
          <cell r="EG545">
            <v>9.4163075870598831</v>
          </cell>
        </row>
        <row r="546">
          <cell r="EG546">
            <v>9.2273724422896368</v>
          </cell>
        </row>
        <row r="547">
          <cell r="EG547">
            <v>9.1541195255158474</v>
          </cell>
        </row>
        <row r="548">
          <cell r="EG548">
            <v>8.6253124509616743</v>
          </cell>
        </row>
        <row r="549">
          <cell r="EG549">
            <v>8.8055008581583998</v>
          </cell>
        </row>
        <row r="550">
          <cell r="EG550">
            <v>9.0877814178095431</v>
          </cell>
        </row>
        <row r="551">
          <cell r="EG551">
            <v>9.7666358863102669</v>
          </cell>
        </row>
        <row r="552">
          <cell r="EG552">
            <v>9.10140335055533</v>
          </cell>
        </row>
        <row r="553">
          <cell r="EG553">
            <v>8.5932860670204576</v>
          </cell>
        </row>
        <row r="554">
          <cell r="EG554">
            <v>8.6711728427150838</v>
          </cell>
        </row>
        <row r="555">
          <cell r="EG555">
            <v>8.7450747915820575</v>
          </cell>
        </row>
        <row r="556">
          <cell r="EG556">
            <v>8.7168377232995251</v>
          </cell>
        </row>
        <row r="557">
          <cell r="EG557">
            <v>9.7080808104682319</v>
          </cell>
        </row>
        <row r="558">
          <cell r="EG558">
            <v>9.2169572073610961</v>
          </cell>
        </row>
        <row r="559">
          <cell r="EG559">
            <v>8.7126497016272122</v>
          </cell>
        </row>
        <row r="560">
          <cell r="EG560">
            <v>8.729974285699555</v>
          </cell>
        </row>
        <row r="561">
          <cell r="EG561">
            <v>8.3324384599156058</v>
          </cell>
        </row>
        <row r="562">
          <cell r="EG562">
            <v>8.423245873936807</v>
          </cell>
        </row>
        <row r="563">
          <cell r="EG563">
            <v>9.3692158574101434</v>
          </cell>
        </row>
        <row r="564">
          <cell r="EG564">
            <v>9.0526939419249679</v>
          </cell>
        </row>
        <row r="565">
          <cell r="EG565">
            <v>8.9439888750737726</v>
          </cell>
        </row>
        <row r="566">
          <cell r="EG566">
            <v>9.2187979981117376</v>
          </cell>
        </row>
        <row r="567">
          <cell r="EG567">
            <v>9.7743709598499162</v>
          </cell>
        </row>
        <row r="568">
          <cell r="EG568">
            <v>8.8864907251724823</v>
          </cell>
        </row>
        <row r="569">
          <cell r="EG569">
            <v>9.0546130545568886</v>
          </cell>
        </row>
        <row r="570">
          <cell r="EG570">
            <v>8.8567288903828825</v>
          </cell>
        </row>
        <row r="571">
          <cell r="EG571">
            <v>8.9449759084120473</v>
          </cell>
        </row>
        <row r="572">
          <cell r="EG572">
            <v>9.7370335313338785</v>
          </cell>
        </row>
        <row r="573">
          <cell r="EG573">
            <v>9.2496874278053021</v>
          </cell>
        </row>
        <row r="574">
          <cell r="EG574">
            <v>8.8954225460394074</v>
          </cell>
        </row>
        <row r="575">
          <cell r="EG575">
            <v>9.5011962420270883</v>
          </cell>
        </row>
        <row r="576">
          <cell r="EG576">
            <v>9.1664301138432833</v>
          </cell>
        </row>
        <row r="577">
          <cell r="EG577">
            <v>8.5514499979728757</v>
          </cell>
        </row>
        <row r="578">
          <cell r="EG578">
            <v>9.0576661039098294</v>
          </cell>
        </row>
        <row r="579">
          <cell r="EG579">
            <v>9.5319895514125506</v>
          </cell>
        </row>
        <row r="580">
          <cell r="EG580">
            <v>9.1568519010700111</v>
          </cell>
        </row>
        <row r="581">
          <cell r="EG581">
            <v>8.8195439355418692</v>
          </cell>
        </row>
        <row r="582">
          <cell r="EG582">
            <v>9.2211533219547057</v>
          </cell>
        </row>
        <row r="583">
          <cell r="EG583">
            <v>9.1179338350396417</v>
          </cell>
        </row>
        <row r="584">
          <cell r="EG584">
            <v>9.4104397862103468</v>
          </cell>
        </row>
        <row r="585">
          <cell r="EG585">
            <v>9.1139433523068369</v>
          </cell>
        </row>
        <row r="586">
          <cell r="EG586">
            <v>8.957607287060096</v>
          </cell>
        </row>
        <row r="587">
          <cell r="EG587">
            <v>11.092801321948428</v>
          </cell>
        </row>
        <row r="588">
          <cell r="EG588">
            <v>9.0488300865283495</v>
          </cell>
        </row>
        <row r="589">
          <cell r="EG589">
            <v>10.155457501451842</v>
          </cell>
        </row>
        <row r="590">
          <cell r="EG590">
            <v>8.3483048630481616</v>
          </cell>
        </row>
        <row r="591">
          <cell r="EG591">
            <v>9.5970366649776526</v>
          </cell>
        </row>
        <row r="592">
          <cell r="EG592">
            <v>9.612359947967775</v>
          </cell>
        </row>
        <row r="593">
          <cell r="EG593">
            <v>9.7979596437371956</v>
          </cell>
        </row>
        <row r="594">
          <cell r="EG594">
            <v>9.881897973573011</v>
          </cell>
        </row>
        <row r="595">
          <cell r="EG595">
            <v>8.9969492484953815</v>
          </cell>
        </row>
        <row r="596">
          <cell r="EG596">
            <v>9.0817072700973487</v>
          </cell>
        </row>
        <row r="597">
          <cell r="EG597">
            <v>9.2552725051033065</v>
          </cell>
        </row>
        <row r="598">
          <cell r="EG598">
            <v>9.0145205387579246</v>
          </cell>
        </row>
        <row r="599">
          <cell r="EG599">
            <v>8.9365137424788941</v>
          </cell>
        </row>
        <row r="600">
          <cell r="EG600">
            <v>8.6998377258672459</v>
          </cell>
        </row>
        <row r="601">
          <cell r="EG601">
            <v>8.7497363155690611</v>
          </cell>
        </row>
        <row r="602">
          <cell r="EG602">
            <v>10.232767474176342</v>
          </cell>
        </row>
        <row r="603">
          <cell r="EG603">
            <v>9.2810333672477281</v>
          </cell>
        </row>
        <row r="604">
          <cell r="EG604">
            <v>7.9395192526186182</v>
          </cell>
        </row>
        <row r="605">
          <cell r="EG605">
            <v>9.159867847092567</v>
          </cell>
        </row>
        <row r="606">
          <cell r="EG606">
            <v>8.8750612633917001</v>
          </cell>
        </row>
        <row r="607">
          <cell r="EG607">
            <v>9.2821687783046407</v>
          </cell>
        </row>
        <row r="608">
          <cell r="EG608">
            <v>8.9647309210536292</v>
          </cell>
        </row>
        <row r="609">
          <cell r="EG609">
            <v>9.6394864892685863</v>
          </cell>
        </row>
        <row r="610">
          <cell r="EG610">
            <v>8.5514499979728757</v>
          </cell>
        </row>
        <row r="611">
          <cell r="EG611">
            <v>9.4315245841874518</v>
          </cell>
        </row>
        <row r="612">
          <cell r="EG612">
            <v>8.668385916690001</v>
          </cell>
        </row>
        <row r="613">
          <cell r="EG613">
            <v>9.2636360685881076</v>
          </cell>
        </row>
        <row r="614">
          <cell r="EG614">
            <v>8.7678976160180913</v>
          </cell>
        </row>
        <row r="615">
          <cell r="EG615">
            <v>9.6553305580093411</v>
          </cell>
        </row>
        <row r="616">
          <cell r="EG616">
            <v>9.1038037209559572</v>
          </cell>
        </row>
        <row r="617">
          <cell r="EG617">
            <v>9.1934029030624167</v>
          </cell>
        </row>
        <row r="618">
          <cell r="EG618">
            <v>9.0877814178095431</v>
          </cell>
        </row>
        <row r="619">
          <cell r="EG619">
            <v>9.1661339703051095</v>
          </cell>
        </row>
        <row r="620">
          <cell r="EG620">
            <v>9.3100557377508917</v>
          </cell>
        </row>
        <row r="621">
          <cell r="EG621">
            <v>9.2342641243787895</v>
          </cell>
        </row>
        <row r="622">
          <cell r="EG622">
            <v>9.2523675144598982</v>
          </cell>
        </row>
        <row r="623">
          <cell r="EG623">
            <v>8.9138138523837167</v>
          </cell>
        </row>
        <row r="624">
          <cell r="EG624">
            <v>10.437100219421662</v>
          </cell>
        </row>
        <row r="625">
          <cell r="EG625">
            <v>8.568201724066995</v>
          </cell>
        </row>
        <row r="626">
          <cell r="EG626">
            <v>10.045557669136548</v>
          </cell>
        </row>
        <row r="627">
          <cell r="EG627">
            <v>9.1146109842321739</v>
          </cell>
        </row>
        <row r="628">
          <cell r="EG628">
            <v>9.6074550232146692</v>
          </cell>
        </row>
        <row r="629">
          <cell r="EG629">
            <v>9.4168068718229438</v>
          </cell>
        </row>
        <row r="630">
          <cell r="EG630">
            <v>9.5148132949992856</v>
          </cell>
        </row>
        <row r="631">
          <cell r="EG631">
            <v>10.513457328390572</v>
          </cell>
        </row>
        <row r="632">
          <cell r="EG632">
            <v>9.3390537357091397</v>
          </cell>
        </row>
        <row r="633">
          <cell r="EG633">
            <v>8.5965970956264606</v>
          </cell>
        </row>
        <row r="634">
          <cell r="EG634">
            <v>9.6231458746379399</v>
          </cell>
        </row>
        <row r="635">
          <cell r="EG635">
            <v>10.094051655509965</v>
          </cell>
        </row>
        <row r="636">
          <cell r="EG636">
            <v>8.7242758696007883</v>
          </cell>
        </row>
        <row r="637">
          <cell r="EG637">
            <v>9.2407987711173316</v>
          </cell>
        </row>
        <row r="638">
          <cell r="EG638">
            <v>9.5178554189300293</v>
          </cell>
        </row>
        <row r="639">
          <cell r="EG639">
            <v>9.8857003801283305</v>
          </cell>
        </row>
        <row r="640">
          <cell r="EG640">
            <v>9.4445132063340438</v>
          </cell>
        </row>
        <row r="641">
          <cell r="EG641">
            <v>8.2810333672477281</v>
          </cell>
        </row>
        <row r="642">
          <cell r="EG642">
            <v>9.784545974054522</v>
          </cell>
        </row>
        <row r="643">
          <cell r="EG643">
            <v>9.4937368022768407</v>
          </cell>
        </row>
        <row r="644">
          <cell r="EG644">
            <v>9.2787536009528289</v>
          </cell>
        </row>
        <row r="645">
          <cell r="EG645">
            <v>9.6444385894678391</v>
          </cell>
        </row>
        <row r="646">
          <cell r="EG646">
            <v>9.2844307338445198</v>
          </cell>
        </row>
        <row r="647">
          <cell r="EG647">
            <v>9.4611982886224926</v>
          </cell>
        </row>
        <row r="648">
          <cell r="EG648">
            <v>8.7267272090265724</v>
          </cell>
        </row>
        <row r="649">
          <cell r="EG649">
            <v>9.4313637641589878</v>
          </cell>
        </row>
        <row r="650">
          <cell r="EG650">
            <v>9.1129399760840801</v>
          </cell>
        </row>
        <row r="651">
          <cell r="EG651">
            <v>9.3332456989619637</v>
          </cell>
        </row>
        <row r="652">
          <cell r="EG652">
            <v>9.2362852774480277</v>
          </cell>
        </row>
        <row r="653">
          <cell r="EG653">
            <v>9.0362295440862948</v>
          </cell>
        </row>
        <row r="654">
          <cell r="EG654">
            <v>10.075473964588946</v>
          </cell>
        </row>
        <row r="655">
          <cell r="EG655">
            <v>10.129722108695878</v>
          </cell>
        </row>
        <row r="656">
          <cell r="EG656">
            <v>8.9722028383790651</v>
          </cell>
        </row>
        <row r="657">
          <cell r="EG657">
            <v>9.5065050324048723</v>
          </cell>
        </row>
        <row r="658">
          <cell r="EG658">
            <v>10.290991232025503</v>
          </cell>
        </row>
        <row r="659">
          <cell r="EG659">
            <v>9.2153731527834228</v>
          </cell>
        </row>
        <row r="660">
          <cell r="EG660">
            <v>10.385606273598313</v>
          </cell>
        </row>
        <row r="661">
          <cell r="EG661">
            <v>9.4886916983169414</v>
          </cell>
        </row>
        <row r="662">
          <cell r="EG662">
            <v>8.9978230807457251</v>
          </cell>
        </row>
        <row r="663">
          <cell r="EG663">
            <v>9.2942457161381178</v>
          </cell>
        </row>
        <row r="664">
          <cell r="EG664">
            <v>9.6002103064093287</v>
          </cell>
        </row>
        <row r="665">
          <cell r="EG665">
            <v>9.3981136917305026</v>
          </cell>
        </row>
        <row r="666">
          <cell r="EG666">
            <v>9.0603200286882846</v>
          </cell>
        </row>
        <row r="667">
          <cell r="EG667">
            <v>9.1838390370564209</v>
          </cell>
        </row>
        <row r="668">
          <cell r="EG668">
            <v>9.8778894253714835</v>
          </cell>
        </row>
        <row r="669">
          <cell r="EG669">
            <v>9.1328997699444834</v>
          </cell>
        </row>
        <row r="670">
          <cell r="EG670">
            <v>9.8947589943718928</v>
          </cell>
        </row>
        <row r="671">
          <cell r="EG671">
            <v>9.2385478876813281</v>
          </cell>
        </row>
        <row r="672">
          <cell r="EG672">
            <v>9.7277851741829053</v>
          </cell>
        </row>
        <row r="673">
          <cell r="EG673">
            <v>8.6989700043360187</v>
          </cell>
        </row>
        <row r="674">
          <cell r="EG674">
            <v>9.1945143418824671</v>
          </cell>
        </row>
        <row r="675">
          <cell r="EG675">
            <v>9.2650537885040141</v>
          </cell>
        </row>
        <row r="676">
          <cell r="EG676">
            <v>9.6237660001339318</v>
          </cell>
        </row>
        <row r="677">
          <cell r="EG677">
            <v>10.678982470996925</v>
          </cell>
        </row>
        <row r="678">
          <cell r="EG678">
            <v>9.0877814178095431</v>
          </cell>
        </row>
        <row r="679">
          <cell r="EG679">
            <v>9.5542468081661109</v>
          </cell>
        </row>
        <row r="680">
          <cell r="EG680">
            <v>8.6821450763738319</v>
          </cell>
        </row>
        <row r="681">
          <cell r="EG681">
            <v>10.23545269126322</v>
          </cell>
        </row>
        <row r="682">
          <cell r="EG682">
            <v>10.11169927757355</v>
          </cell>
        </row>
        <row r="683">
          <cell r="EG683">
            <v>9.6495295659478195</v>
          </cell>
        </row>
        <row r="684">
          <cell r="EG684">
            <v>10.128657700431415</v>
          </cell>
        </row>
        <row r="685">
          <cell r="EG685">
            <v>9.0588054866759062</v>
          </cell>
        </row>
        <row r="686">
          <cell r="EG686">
            <v>8.9258275746247424</v>
          </cell>
        </row>
        <row r="687">
          <cell r="EG687">
            <v>9.4239009185284175</v>
          </cell>
        </row>
        <row r="688">
          <cell r="EG688">
            <v>9.7449185424413525</v>
          </cell>
        </row>
        <row r="689">
          <cell r="EG689">
            <v>10.176669932668149</v>
          </cell>
        </row>
        <row r="690">
          <cell r="EG690">
            <v>9.6515687388657927</v>
          </cell>
        </row>
        <row r="691">
          <cell r="EG691">
            <v>9.7015679850559273</v>
          </cell>
        </row>
        <row r="692">
          <cell r="EG692">
            <v>9.2375437381428753</v>
          </cell>
        </row>
        <row r="693">
          <cell r="EG693">
            <v>9.0599418880619549</v>
          </cell>
        </row>
        <row r="694">
          <cell r="EG694">
            <v>9.4034637013453182</v>
          </cell>
        </row>
        <row r="695">
          <cell r="EG695">
            <v>9.0599418880619549</v>
          </cell>
        </row>
        <row r="696">
          <cell r="EG696">
            <v>10.154910645788524</v>
          </cell>
        </row>
        <row r="697">
          <cell r="EG697">
            <v>9.3378584290410949</v>
          </cell>
        </row>
        <row r="698">
          <cell r="EG698">
            <v>9.6475785542124548</v>
          </cell>
        </row>
        <row r="699">
          <cell r="EG699">
            <v>10.487590824516055</v>
          </cell>
        </row>
        <row r="700">
          <cell r="EG700">
            <v>9.6159500516564016</v>
          </cell>
        </row>
        <row r="701">
          <cell r="EG701">
            <v>9.8377146682849119</v>
          </cell>
        </row>
        <row r="702">
          <cell r="EG702">
            <v>9.5706596700215343</v>
          </cell>
        </row>
        <row r="703">
          <cell r="EG703">
            <v>9.6795187436957892</v>
          </cell>
        </row>
        <row r="704">
          <cell r="EG704">
            <v>8.9003671286564696</v>
          </cell>
        </row>
        <row r="705">
          <cell r="EG705">
            <v>8.1398790864012369</v>
          </cell>
        </row>
        <row r="706">
          <cell r="EG706">
            <v>9.5662017188549129</v>
          </cell>
        </row>
        <row r="707">
          <cell r="EG707">
            <v>9.8285954563717031</v>
          </cell>
        </row>
        <row r="708">
          <cell r="EG708">
            <v>9.0115704435972788</v>
          </cell>
        </row>
        <row r="709">
          <cell r="EG709">
            <v>9.0326187608507205</v>
          </cell>
        </row>
        <row r="710">
          <cell r="EG710">
            <v>9.2187979981117376</v>
          </cell>
        </row>
        <row r="711">
          <cell r="EG711">
            <v>8.8976270912904418</v>
          </cell>
        </row>
        <row r="712">
          <cell r="EG712">
            <v>8.3283796034387372</v>
          </cell>
        </row>
        <row r="713">
          <cell r="EG713">
            <v>9.9838517189914722</v>
          </cell>
        </row>
        <row r="714">
          <cell r="EG714">
            <v>10.563136835879313</v>
          </cell>
        </row>
        <row r="715">
          <cell r="EG715">
            <v>9.3306166672944375</v>
          </cell>
        </row>
        <row r="716">
          <cell r="EG716">
            <v>9.3762118502826723</v>
          </cell>
        </row>
        <row r="717">
          <cell r="EG717">
            <v>10.180326625415148</v>
          </cell>
        </row>
        <row r="718">
          <cell r="EG718">
            <v>10.622452353098465</v>
          </cell>
        </row>
        <row r="719">
          <cell r="EG719">
            <v>9.1055101847699742</v>
          </cell>
        </row>
        <row r="720">
          <cell r="EG720">
            <v>9.0927206446840998</v>
          </cell>
        </row>
        <row r="721">
          <cell r="EG721">
            <v>9.8431081419996076</v>
          </cell>
        </row>
        <row r="722">
          <cell r="EG722">
            <v>9.7921114090871679</v>
          </cell>
        </row>
        <row r="723">
          <cell r="EG723">
            <v>9.5718252490408293</v>
          </cell>
        </row>
        <row r="724">
          <cell r="EG724">
            <v>9.246744709723842</v>
          </cell>
        </row>
        <row r="725">
          <cell r="EG725">
            <v>9.5878231713189557</v>
          </cell>
        </row>
        <row r="726">
          <cell r="EG726">
            <v>9.6630409748939741</v>
          </cell>
        </row>
        <row r="727">
          <cell r="EG727">
            <v>9.5941714791149124</v>
          </cell>
        </row>
        <row r="728">
          <cell r="EG728">
            <v>9.1934029030624167</v>
          </cell>
        </row>
        <row r="729">
          <cell r="EG729">
            <v>9.7352794480604565</v>
          </cell>
        </row>
        <row r="730">
          <cell r="EG730">
            <v>9.5614591712419159</v>
          </cell>
        </row>
        <row r="731">
          <cell r="EG731">
            <v>9.746712022516661</v>
          </cell>
        </row>
        <row r="732">
          <cell r="EG732">
            <v>9.8280150642239761</v>
          </cell>
        </row>
        <row r="733">
          <cell r="EG733">
            <v>8.7209857441537384</v>
          </cell>
        </row>
        <row r="734">
          <cell r="EG734">
            <v>9.5435714239623657</v>
          </cell>
        </row>
        <row r="735">
          <cell r="EG735">
            <v>9.6062738531699878</v>
          </cell>
        </row>
        <row r="736">
          <cell r="EG736">
            <v>9.8293037728310253</v>
          </cell>
        </row>
        <row r="737">
          <cell r="EG737">
            <v>8.7242758696007883</v>
          </cell>
        </row>
        <row r="738">
          <cell r="EG738">
            <v>9.7070589406275971</v>
          </cell>
        </row>
        <row r="739">
          <cell r="EG739">
            <v>10.135832049712681</v>
          </cell>
        </row>
        <row r="740">
          <cell r="EG740">
            <v>8.8488047010518045</v>
          </cell>
        </row>
        <row r="741">
          <cell r="EG741">
            <v>9.585460729508501</v>
          </cell>
        </row>
        <row r="742">
          <cell r="EG742">
            <v>9.2022157758011307</v>
          </cell>
        </row>
        <row r="743">
          <cell r="EG743">
            <v>9.699404081815338</v>
          </cell>
        </row>
        <row r="744">
          <cell r="EG744">
            <v>9.9442852206887533</v>
          </cell>
        </row>
        <row r="745">
          <cell r="EG745">
            <v>9.3651134316275773</v>
          </cell>
        </row>
        <row r="746">
          <cell r="EG746">
            <v>9.4681995860726129</v>
          </cell>
        </row>
        <row r="747">
          <cell r="EG747">
            <v>8.9642596301968496</v>
          </cell>
        </row>
        <row r="748">
          <cell r="EG748">
            <v>9.8969669019331548</v>
          </cell>
        </row>
        <row r="749">
          <cell r="EG749">
            <v>9.5043349118024647</v>
          </cell>
        </row>
        <row r="750">
          <cell r="EG750">
            <v>9.3607826898732807</v>
          </cell>
        </row>
        <row r="751">
          <cell r="EG751">
            <v>9.3244882333076564</v>
          </cell>
        </row>
        <row r="752">
          <cell r="EG752">
            <v>9.5422027824340283</v>
          </cell>
        </row>
        <row r="753">
          <cell r="EG753">
            <v>9.0277572046905536</v>
          </cell>
        </row>
        <row r="754">
          <cell r="EG754">
            <v>9.6047658847038875</v>
          </cell>
        </row>
        <row r="755">
          <cell r="EG755">
            <v>8.989004615698537</v>
          </cell>
        </row>
        <row r="756">
          <cell r="EG756">
            <v>9.8501559224220916</v>
          </cell>
        </row>
        <row r="757">
          <cell r="EG757">
            <v>9.6231458746379399</v>
          </cell>
        </row>
        <row r="758">
          <cell r="EG758">
            <v>9.4353665066126613</v>
          </cell>
        </row>
        <row r="759">
          <cell r="EG759">
            <v>8.5477747053878232</v>
          </cell>
        </row>
        <row r="760">
          <cell r="EG760">
            <v>9.6769678142947591</v>
          </cell>
        </row>
        <row r="761">
          <cell r="EG761">
            <v>8.989004615698537</v>
          </cell>
        </row>
        <row r="762">
          <cell r="EG762">
            <v>9.1176026916900845</v>
          </cell>
        </row>
        <row r="763">
          <cell r="EG763">
            <v>10.258469661550693</v>
          </cell>
        </row>
        <row r="764">
          <cell r="EG764">
            <v>9.2506639194632427</v>
          </cell>
        </row>
        <row r="765">
          <cell r="EG765">
            <v>9.0762762554042169</v>
          </cell>
        </row>
        <row r="766">
          <cell r="EG766">
            <v>9.9062272630523598</v>
          </cell>
        </row>
        <row r="767">
          <cell r="EG767">
            <v>10.147985320683805</v>
          </cell>
        </row>
        <row r="768">
          <cell r="EG768">
            <v>9.4910814134231867</v>
          </cell>
        </row>
        <row r="769">
          <cell r="EG769">
            <v>9.4913616938342731</v>
          </cell>
        </row>
        <row r="770">
          <cell r="EG770">
            <v>9.4413808849165122</v>
          </cell>
        </row>
        <row r="771">
          <cell r="EG771">
            <v>8.7067177823367583</v>
          </cell>
        </row>
        <row r="772">
          <cell r="EG772">
            <v>9.4260230156898768</v>
          </cell>
        </row>
        <row r="773">
          <cell r="EG773">
            <v>10.193820026016112</v>
          </cell>
        </row>
        <row r="774">
          <cell r="EG774">
            <v>9.6552345070342938</v>
          </cell>
        </row>
        <row r="775">
          <cell r="EG775">
            <v>9.2929202996000058</v>
          </cell>
        </row>
        <row r="776">
          <cell r="EG776">
            <v>10.021520064114032</v>
          </cell>
        </row>
        <row r="777">
          <cell r="EG777">
            <v>9.7496590320949004</v>
          </cell>
        </row>
        <row r="778">
          <cell r="EG778">
            <v>9.6677330525332668</v>
          </cell>
        </row>
        <row r="779">
          <cell r="EG779">
            <v>9.0817072700973487</v>
          </cell>
        </row>
        <row r="780">
          <cell r="EG780">
            <v>9.4328090050331674</v>
          </cell>
        </row>
        <row r="781">
          <cell r="EG781">
            <v>10.308671106715419</v>
          </cell>
        </row>
        <row r="782">
          <cell r="EG782">
            <v>8.6766936096248664</v>
          </cell>
        </row>
        <row r="783">
          <cell r="EG783">
            <v>8.9628426812012432</v>
          </cell>
        </row>
        <row r="784">
          <cell r="EG784">
            <v>9.4608978427565482</v>
          </cell>
        </row>
        <row r="785">
          <cell r="EG785">
            <v>10.004020273253241</v>
          </cell>
        </row>
        <row r="786">
          <cell r="EG786">
            <v>9.6885977750811705</v>
          </cell>
        </row>
        <row r="787">
          <cell r="EG787">
            <v>9.0595634179012681</v>
          </cell>
        </row>
        <row r="788">
          <cell r="EG788">
            <v>9.4664227224337925</v>
          </cell>
        </row>
        <row r="789">
          <cell r="EG789">
            <v>9.8217754671834641</v>
          </cell>
        </row>
        <row r="790">
          <cell r="EG790">
            <v>9.4087486061842434</v>
          </cell>
        </row>
        <row r="791">
          <cell r="EG791">
            <v>9.1720188094245572</v>
          </cell>
        </row>
        <row r="792">
          <cell r="EG792">
            <v>9.6267508536833937</v>
          </cell>
        </row>
        <row r="793">
          <cell r="EG793">
            <v>9.0421815945157658</v>
          </cell>
        </row>
        <row r="794">
          <cell r="EG794">
            <v>9.1105897102992497</v>
          </cell>
        </row>
        <row r="795">
          <cell r="EG795">
            <v>10.066996420449694</v>
          </cell>
        </row>
        <row r="796">
          <cell r="EG796">
            <v>10.124699808932117</v>
          </cell>
        </row>
        <row r="797">
          <cell r="EG797">
            <v>9.383815365980432</v>
          </cell>
        </row>
        <row r="798">
          <cell r="EG798">
            <v>9.2782962080912732</v>
          </cell>
        </row>
        <row r="799">
          <cell r="EG799">
            <v>9.286456469746982</v>
          </cell>
        </row>
        <row r="800">
          <cell r="EG800">
            <v>9.0788191830988492</v>
          </cell>
        </row>
        <row r="801">
          <cell r="EG801">
            <v>9.6553305580093411</v>
          </cell>
        </row>
        <row r="802">
          <cell r="EG802">
            <v>9.4693801358499243</v>
          </cell>
        </row>
        <row r="803">
          <cell r="EG803">
            <v>8.6148972160331354</v>
          </cell>
        </row>
        <row r="804">
          <cell r="EG804">
            <v>8.7965743332104296</v>
          </cell>
        </row>
        <row r="805">
          <cell r="EG805">
            <v>9.9439888750737726</v>
          </cell>
        </row>
        <row r="806">
          <cell r="EG806">
            <v>9.6637951222194083</v>
          </cell>
        </row>
        <row r="807">
          <cell r="EG807">
            <v>9.5950550897593043</v>
          </cell>
        </row>
        <row r="808">
          <cell r="EG808">
            <v>9.1414497734004669</v>
          </cell>
        </row>
        <row r="809">
          <cell r="EG809">
            <v>9.1132746924643513</v>
          </cell>
        </row>
        <row r="810">
          <cell r="EG810">
            <v>8.7041505168397997</v>
          </cell>
        </row>
        <row r="811">
          <cell r="EG811">
            <v>8.8007170782823856</v>
          </cell>
        </row>
        <row r="812">
          <cell r="EG812">
            <v>9.6386888866901241</v>
          </cell>
        </row>
        <row r="813">
          <cell r="EG813">
            <v>9.6335694425540925</v>
          </cell>
        </row>
        <row r="814">
          <cell r="EG814">
            <v>9.5848963441374497</v>
          </cell>
        </row>
        <row r="815">
          <cell r="EG815">
            <v>9.3068537486930083</v>
          </cell>
        </row>
        <row r="816">
          <cell r="EG816">
            <v>9.4039779636693552</v>
          </cell>
        </row>
        <row r="817">
          <cell r="EG817">
            <v>8.2479732663618073</v>
          </cell>
        </row>
        <row r="818">
          <cell r="EG818">
            <v>9.6817837664678805</v>
          </cell>
        </row>
        <row r="819">
          <cell r="EG819">
            <v>10.88067070875198</v>
          </cell>
        </row>
        <row r="820">
          <cell r="EG820">
            <v>8.668385916690001</v>
          </cell>
        </row>
        <row r="821">
          <cell r="EG821">
            <v>8.8014037100173557</v>
          </cell>
        </row>
        <row r="822">
          <cell r="EG822">
            <v>8.0644579892269181</v>
          </cell>
        </row>
        <row r="823">
          <cell r="EG823">
            <v>9.6520528482481058</v>
          </cell>
        </row>
        <row r="824">
          <cell r="EG824">
            <v>10.706128653676931</v>
          </cell>
        </row>
        <row r="825">
          <cell r="EG825">
            <v>9.2513948500401035</v>
          </cell>
        </row>
        <row r="826">
          <cell r="EG826">
            <v>9.4220971631317099</v>
          </cell>
        </row>
        <row r="827">
          <cell r="EG827">
            <v>9.0511525224473814</v>
          </cell>
        </row>
        <row r="828">
          <cell r="EG828">
            <v>9.834357112718406</v>
          </cell>
        </row>
        <row r="829">
          <cell r="EG829">
            <v>8.9590413923210939</v>
          </cell>
        </row>
        <row r="830">
          <cell r="EG830">
            <v>9.8659918001262756</v>
          </cell>
        </row>
        <row r="831">
          <cell r="EG831">
            <v>9.3051363189436387</v>
          </cell>
        </row>
        <row r="832">
          <cell r="EG832">
            <v>8.9912260756924951</v>
          </cell>
        </row>
        <row r="833">
          <cell r="EG833">
            <v>9.219060332448862</v>
          </cell>
        </row>
        <row r="834">
          <cell r="EG834">
            <v>8.9148718175400496</v>
          </cell>
        </row>
        <row r="835">
          <cell r="EG835">
            <v>9.8313577854420675</v>
          </cell>
        </row>
        <row r="836">
          <cell r="EG836">
            <v>9.3645509953539712</v>
          </cell>
        </row>
        <row r="837">
          <cell r="EG837">
            <v>9.5770319856260322</v>
          </cell>
        </row>
        <row r="838">
          <cell r="EG838">
            <v>9.0515383905153275</v>
          </cell>
        </row>
        <row r="839">
          <cell r="EG839">
            <v>8.5440680443502757</v>
          </cell>
        </row>
        <row r="840">
          <cell r="EG840">
            <v>9.8539414458804906</v>
          </cell>
        </row>
        <row r="841">
          <cell r="EG841">
            <v>10.144698718643125</v>
          </cell>
        </row>
        <row r="842">
          <cell r="EG842">
            <v>9.8033888249836139</v>
          </cell>
        </row>
        <row r="843">
          <cell r="EG843">
            <v>10.126877868835267</v>
          </cell>
        </row>
        <row r="844">
          <cell r="EG844">
            <v>9.1411360901207388</v>
          </cell>
        </row>
        <row r="845">
          <cell r="EG845">
            <v>9.4490153163477864</v>
          </cell>
        </row>
        <row r="846">
          <cell r="EG846">
            <v>10.163012209774829</v>
          </cell>
        </row>
        <row r="847">
          <cell r="EG847">
            <v>9.2437819160937948</v>
          </cell>
        </row>
        <row r="848">
          <cell r="EG848">
            <v>8.9106244048892016</v>
          </cell>
        </row>
        <row r="849">
          <cell r="EG849">
            <v>9.151063253353751</v>
          </cell>
        </row>
        <row r="850">
          <cell r="EG850">
            <v>8.2095150145426317</v>
          </cell>
        </row>
        <row r="851">
          <cell r="EG851">
            <v>11.901634292161853</v>
          </cell>
        </row>
        <row r="852">
          <cell r="EG852">
            <v>9.357934847000454</v>
          </cell>
        </row>
        <row r="853">
          <cell r="EG853">
            <v>9.6690378008851567</v>
          </cell>
        </row>
        <row r="854">
          <cell r="EG854">
            <v>9.0354297381845488</v>
          </cell>
        </row>
        <row r="855">
          <cell r="EG855">
            <v>10.110050716147654</v>
          </cell>
        </row>
        <row r="856">
          <cell r="EG856">
            <v>9.0652061280543119</v>
          </cell>
        </row>
        <row r="857">
          <cell r="EG857">
            <v>9.8298181874388781</v>
          </cell>
        </row>
        <row r="858">
          <cell r="EG858">
            <v>9.6220066730068048</v>
          </cell>
        </row>
        <row r="859">
          <cell r="EG859">
            <v>9.0762762554042169</v>
          </cell>
        </row>
        <row r="860">
          <cell r="EG860">
            <v>9.1129399760840801</v>
          </cell>
        </row>
        <row r="861">
          <cell r="EG861">
            <v>8.7986506454452691</v>
          </cell>
        </row>
        <row r="862">
          <cell r="EG862">
            <v>10.019365574572488</v>
          </cell>
        </row>
        <row r="863">
          <cell r="EG863">
            <v>9.670060217473134</v>
          </cell>
        </row>
        <row r="864">
          <cell r="EG864">
            <v>9.3132342916947248</v>
          </cell>
        </row>
        <row r="865">
          <cell r="EG865">
            <v>9.570192561095725</v>
          </cell>
        </row>
        <row r="866">
          <cell r="EG866">
            <v>8.7993405494535821</v>
          </cell>
        </row>
        <row r="867">
          <cell r="EG867">
            <v>9.341236623238693</v>
          </cell>
        </row>
        <row r="868">
          <cell r="EG868">
            <v>9.5888317255942077</v>
          </cell>
        </row>
        <row r="869">
          <cell r="EG869">
            <v>9.6779717528107394</v>
          </cell>
        </row>
        <row r="870">
          <cell r="EG870">
            <v>8.3074960379132126</v>
          </cell>
        </row>
        <row r="871">
          <cell r="EG871">
            <v>8.8182258936139561</v>
          </cell>
        </row>
        <row r="872">
          <cell r="EG872">
            <v>9.2940250940953231</v>
          </cell>
        </row>
        <row r="873">
          <cell r="EG873">
            <v>10.79051738261732</v>
          </cell>
        </row>
        <row r="874">
          <cell r="EG874">
            <v>10.05522538385382</v>
          </cell>
        </row>
        <row r="875">
          <cell r="EG875">
            <v>9.2258259914618925</v>
          </cell>
        </row>
        <row r="876">
          <cell r="EG876">
            <v>10.071882007306126</v>
          </cell>
        </row>
        <row r="877">
          <cell r="EG877">
            <v>9.0043213737826431</v>
          </cell>
        </row>
        <row r="878">
          <cell r="EG878">
            <v>10.032256025890453</v>
          </cell>
        </row>
        <row r="879">
          <cell r="EG879">
            <v>8.8034571156484134</v>
          </cell>
        </row>
        <row r="880">
          <cell r="EG880">
            <v>8.9390197764486672</v>
          </cell>
        </row>
        <row r="881">
          <cell r="EG881">
            <v>10.173739713951887</v>
          </cell>
        </row>
        <row r="882">
          <cell r="EG882">
            <v>8.9090208542111569</v>
          </cell>
        </row>
        <row r="883">
          <cell r="EG883">
            <v>8.7701152947871019</v>
          </cell>
        </row>
        <row r="884">
          <cell r="EG884">
            <v>9.2437819160937948</v>
          </cell>
        </row>
        <row r="885">
          <cell r="EG885">
            <v>8.6803355134145637</v>
          </cell>
        </row>
        <row r="886">
          <cell r="EG886">
            <v>9.0813473078041334</v>
          </cell>
        </row>
        <row r="887">
          <cell r="EG887">
            <v>9.1734776434529941</v>
          </cell>
        </row>
        <row r="888">
          <cell r="EG888">
            <v>8.6020599913279625</v>
          </cell>
        </row>
        <row r="889">
          <cell r="EG889">
            <v>9.0445397603924107</v>
          </cell>
        </row>
        <row r="890">
          <cell r="EG890">
            <v>9.3923451553612036</v>
          </cell>
        </row>
        <row r="891">
          <cell r="EG891">
            <v>8.4345689040341991</v>
          </cell>
        </row>
        <row r="892">
          <cell r="EG892">
            <v>9.3664229572259732</v>
          </cell>
        </row>
        <row r="893">
          <cell r="EG893">
            <v>9.7031193462360772</v>
          </cell>
        </row>
        <row r="894">
          <cell r="EG894">
            <v>9.4527062265110295</v>
          </cell>
        </row>
        <row r="895">
          <cell r="EG895">
            <v>9.8806992892187022</v>
          </cell>
        </row>
        <row r="896">
          <cell r="EG896">
            <v>9.4658288153574368</v>
          </cell>
        </row>
        <row r="897">
          <cell r="EG897">
            <v>9.7343997425205675</v>
          </cell>
        </row>
        <row r="898">
          <cell r="EG898">
            <v>9.7690078709437742</v>
          </cell>
        </row>
        <row r="899">
          <cell r="EG899">
            <v>9.6770591773921613</v>
          </cell>
        </row>
        <row r="900">
          <cell r="EG900">
            <v>10.578650668774207</v>
          </cell>
        </row>
        <row r="901">
          <cell r="EG901">
            <v>8.8305886686851451</v>
          </cell>
        </row>
        <row r="902">
          <cell r="EG902">
            <v>9.3388547462523235</v>
          </cell>
        </row>
        <row r="903">
          <cell r="EG903">
            <v>9.4772659954248528</v>
          </cell>
        </row>
        <row r="904">
          <cell r="EG904">
            <v>9.2489536154957079</v>
          </cell>
        </row>
        <row r="905">
          <cell r="EG905">
            <v>8.5622928644564755</v>
          </cell>
        </row>
        <row r="906">
          <cell r="EG906">
            <v>9.1711411510283813</v>
          </cell>
        </row>
        <row r="907">
          <cell r="EG907">
            <v>9.1458177144918285</v>
          </cell>
        </row>
        <row r="908">
          <cell r="EG908">
            <v>9.6552345070342938</v>
          </cell>
        </row>
        <row r="909">
          <cell r="EG909">
            <v>8.77232170672292</v>
          </cell>
        </row>
        <row r="910">
          <cell r="EG910">
            <v>8.6618126855372619</v>
          </cell>
        </row>
        <row r="911">
          <cell r="EG911">
            <v>9.6986224297020982</v>
          </cell>
        </row>
        <row r="912">
          <cell r="EG912">
            <v>9.9592799501309397</v>
          </cell>
        </row>
        <row r="913">
          <cell r="EG913">
            <v>9.3382572302462563</v>
          </cell>
        </row>
        <row r="914">
          <cell r="EG914">
            <v>8.9334872878487062</v>
          </cell>
        </row>
        <row r="915">
          <cell r="EG915">
            <v>9.1092409685882032</v>
          </cell>
        </row>
        <row r="916">
          <cell r="EG916">
            <v>8.8350561017201166</v>
          </cell>
        </row>
        <row r="917">
          <cell r="EG917">
            <v>9.1892094895823053</v>
          </cell>
        </row>
        <row r="918">
          <cell r="EG918">
            <v>8.7092699609758313</v>
          </cell>
        </row>
        <row r="919">
          <cell r="EG919">
            <v>9.3986343245383921</v>
          </cell>
        </row>
        <row r="920">
          <cell r="EG920">
            <v>9.3182720802116261</v>
          </cell>
        </row>
        <row r="921">
          <cell r="EG921">
            <v>9.5335178620169678</v>
          </cell>
        </row>
        <row r="922">
          <cell r="EG922">
            <v>8.9921114877869499</v>
          </cell>
        </row>
        <row r="923">
          <cell r="EG923">
            <v>9.9649192942866431</v>
          </cell>
        </row>
        <row r="924">
          <cell r="EG924">
            <v>9.1482940974347464</v>
          </cell>
        </row>
        <row r="925">
          <cell r="EG925">
            <v>9.0955180423231514</v>
          </cell>
        </row>
        <row r="926">
          <cell r="EG926">
            <v>9.4886916983169414</v>
          </cell>
        </row>
        <row r="927">
          <cell r="EG927">
            <v>9.0670708560453708</v>
          </cell>
        </row>
        <row r="928">
          <cell r="EG928">
            <v>10.8679327645066</v>
          </cell>
        </row>
        <row r="929">
          <cell r="EG929">
            <v>9.8822398480188234</v>
          </cell>
        </row>
        <row r="930">
          <cell r="EG930">
            <v>8.1643528557844363</v>
          </cell>
        </row>
        <row r="931">
          <cell r="EG931">
            <v>10.272398632455404</v>
          </cell>
        </row>
        <row r="932">
          <cell r="EG932">
            <v>9.9777693180915747</v>
          </cell>
        </row>
        <row r="933">
          <cell r="EG933">
            <v>10.170467076385938</v>
          </cell>
        </row>
        <row r="934">
          <cell r="EG934">
            <v>9.7803893284709531</v>
          </cell>
        </row>
        <row r="935">
          <cell r="EG935">
            <v>8.6434526764861879</v>
          </cell>
        </row>
        <row r="936">
          <cell r="EG936">
            <v>10.078601800355392</v>
          </cell>
        </row>
        <row r="937">
          <cell r="EG937">
            <v>10.353762403067199</v>
          </cell>
        </row>
        <row r="938">
          <cell r="EG938">
            <v>9.6914351521440629</v>
          </cell>
        </row>
        <row r="939">
          <cell r="EG939">
            <v>9.6468936241677454</v>
          </cell>
        </row>
        <row r="940">
          <cell r="EG940">
            <v>10.514561033634031</v>
          </cell>
        </row>
        <row r="941">
          <cell r="EG941">
            <v>9.5890555310523435</v>
          </cell>
        </row>
        <row r="942">
          <cell r="EG942">
            <v>9.9543872501445154</v>
          </cell>
        </row>
        <row r="943">
          <cell r="EG943">
            <v>9.5336449787987636</v>
          </cell>
        </row>
        <row r="944">
          <cell r="EG944">
            <v>9.9187116653823217</v>
          </cell>
        </row>
        <row r="945">
          <cell r="EG945">
            <v>9.370883016777606</v>
          </cell>
        </row>
        <row r="946">
          <cell r="EG946">
            <v>8.8561244442423011</v>
          </cell>
        </row>
        <row r="947">
          <cell r="EG947">
            <v>9.9657189702442217</v>
          </cell>
        </row>
        <row r="948">
          <cell r="EG948">
            <v>9.3106933123433606</v>
          </cell>
        </row>
        <row r="949">
          <cell r="EG949">
            <v>10.345883212931712</v>
          </cell>
        </row>
        <row r="950">
          <cell r="EG950">
            <v>10.006637159068585</v>
          </cell>
        </row>
        <row r="951">
          <cell r="EG951">
            <v>9.3079237036118823</v>
          </cell>
        </row>
        <row r="952">
          <cell r="EG952">
            <v>10.030356805310841</v>
          </cell>
        </row>
        <row r="953">
          <cell r="EG953">
            <v>9.8663464227496025</v>
          </cell>
        </row>
        <row r="954">
          <cell r="EG954">
            <v>10.145848756590544</v>
          </cell>
        </row>
        <row r="955">
          <cell r="EG955">
            <v>10.272560963861556</v>
          </cell>
        </row>
        <row r="956">
          <cell r="EG956">
            <v>9.9288565335819108</v>
          </cell>
        </row>
        <row r="957">
          <cell r="EG957">
            <v>9.5054213275832815</v>
          </cell>
        </row>
        <row r="958">
          <cell r="EG958">
            <v>9.6801541417343735</v>
          </cell>
        </row>
        <row r="959">
          <cell r="EG959">
            <v>9.3651134316275773</v>
          </cell>
        </row>
        <row r="960">
          <cell r="EG960">
            <v>10.533632268794756</v>
          </cell>
        </row>
        <row r="961">
          <cell r="EG961">
            <v>9.2626883443016972</v>
          </cell>
        </row>
        <row r="962">
          <cell r="EG962">
            <v>8.9508514588885468</v>
          </cell>
        </row>
        <row r="963">
          <cell r="EG963">
            <v>9.4331295175804861</v>
          </cell>
        </row>
        <row r="964">
          <cell r="EG964">
            <v>9.7889457270237479</v>
          </cell>
        </row>
        <row r="965">
          <cell r="EG965">
            <v>8.9122220565324159</v>
          </cell>
        </row>
      </sheetData>
      <sheetData sheetId="5">
        <row r="2">
          <cell r="C2">
            <v>1.6807118316381198E-2</v>
          </cell>
          <cell r="EG2">
            <v>-5.6667519912266415E-2</v>
          </cell>
        </row>
        <row r="3">
          <cell r="EG3">
            <v>-4.6212843155131564E-2</v>
          </cell>
        </row>
        <row r="4">
          <cell r="EG4">
            <v>-3.2470385030784046E-2</v>
          </cell>
        </row>
        <row r="5">
          <cell r="EG5">
            <v>-4.0821994520255166E-2</v>
          </cell>
        </row>
        <row r="6">
          <cell r="EG6">
            <v>0</v>
          </cell>
        </row>
        <row r="7">
          <cell r="EG7">
            <v>-9.9010709827115698E-3</v>
          </cell>
        </row>
        <row r="8">
          <cell r="EG8">
            <v>3.4338137580891617E-2</v>
          </cell>
        </row>
        <row r="9">
          <cell r="EG9">
            <v>-9.4915966815711725E-3</v>
          </cell>
        </row>
        <row r="10">
          <cell r="EG10">
            <v>-5.4067221270275821E-2</v>
          </cell>
        </row>
        <row r="11">
          <cell r="EG11">
            <v>-3.2687735129573577E-2</v>
          </cell>
        </row>
        <row r="12">
          <cell r="EG12">
            <v>-2.575249610241474E-2</v>
          </cell>
        </row>
        <row r="13">
          <cell r="EG13">
            <v>4.385188252884941E-2</v>
          </cell>
        </row>
        <row r="14">
          <cell r="EG14">
            <v>-3.09013351241746E-2</v>
          </cell>
        </row>
        <row r="15">
          <cell r="EG15">
            <v>-5.5791359628415658E-2</v>
          </cell>
        </row>
        <row r="16">
          <cell r="EG16">
            <v>0</v>
          </cell>
        </row>
        <row r="17">
          <cell r="EG17">
            <v>-1.6000341346441075E-2</v>
          </cell>
        </row>
        <row r="18">
          <cell r="EG18">
            <v>-2.9705154413915809E-2</v>
          </cell>
        </row>
        <row r="19">
          <cell r="EG19">
            <v>-0.10464851847573657</v>
          </cell>
        </row>
        <row r="20">
          <cell r="EG20">
            <v>0.15759302401823125</v>
          </cell>
        </row>
        <row r="21">
          <cell r="EG21">
            <v>0.15276275455241034</v>
          </cell>
        </row>
        <row r="22">
          <cell r="EG22">
            <v>0.1154493123101632</v>
          </cell>
        </row>
        <row r="23">
          <cell r="EG23">
            <v>2.436054797881121E-3</v>
          </cell>
        </row>
        <row r="24">
          <cell r="EG24">
            <v>7.2320661579626078E-2</v>
          </cell>
        </row>
        <row r="25">
          <cell r="EG25">
            <v>-1.1385322225125352E-2</v>
          </cell>
        </row>
        <row r="26">
          <cell r="EG26">
            <v>-1.2084739215071886E-2</v>
          </cell>
        </row>
        <row r="27">
          <cell r="EG27">
            <v>0.16757370015939901</v>
          </cell>
        </row>
        <row r="28">
          <cell r="EG28">
            <v>0</v>
          </cell>
        </row>
        <row r="29">
          <cell r="EG29">
            <v>2.1374859584733612E-2</v>
          </cell>
        </row>
        <row r="30">
          <cell r="EG30">
            <v>9.6813455079367935E-2</v>
          </cell>
        </row>
        <row r="31">
          <cell r="EG31">
            <v>-3.5091319811270172E-2</v>
          </cell>
        </row>
        <row r="32">
          <cell r="EG32">
            <v>7.7063348159594675E-2</v>
          </cell>
        </row>
        <row r="33">
          <cell r="EG33">
            <v>-1.5611765472113315E-2</v>
          </cell>
        </row>
        <row r="34">
          <cell r="EG34">
            <v>-3.4819765159228043E-2</v>
          </cell>
        </row>
        <row r="35">
          <cell r="EG35">
            <v>-0.12136085700426748</v>
          </cell>
        </row>
        <row r="36">
          <cell r="EG36">
            <v>-3.9349338788547766E-2</v>
          </cell>
        </row>
        <row r="37">
          <cell r="EG37">
            <v>0.12152135776699059</v>
          </cell>
        </row>
        <row r="38">
          <cell r="EG38">
            <v>0.13262188824168208</v>
          </cell>
        </row>
        <row r="39">
          <cell r="EG39">
            <v>-2.3733584332094444E-2</v>
          </cell>
        </row>
        <row r="40">
          <cell r="EG40">
            <v>0.13119221027135031</v>
          </cell>
        </row>
        <row r="41">
          <cell r="EG41">
            <v>-6.6691374498672157E-2</v>
          </cell>
        </row>
        <row r="42">
          <cell r="EG42">
            <v>-8.7756811239578167E-2</v>
          </cell>
        </row>
        <row r="43">
          <cell r="EG43">
            <v>2.6526754333428604E-2</v>
          </cell>
        </row>
        <row r="44">
          <cell r="EG44">
            <v>-0.1158318155251217</v>
          </cell>
        </row>
        <row r="45">
          <cell r="EG45">
            <v>-8.2645098498934245E-3</v>
          </cell>
        </row>
        <row r="46">
          <cell r="EG46">
            <v>6.7646069936572795E-2</v>
          </cell>
        </row>
        <row r="47">
          <cell r="EG47">
            <v>-1.4430264829028783E-2</v>
          </cell>
        </row>
        <row r="48">
          <cell r="EG48">
            <v>9.7638469563916072E-2</v>
          </cell>
        </row>
        <row r="49">
          <cell r="EG49">
            <v>-3.0911925696728579E-3</v>
          </cell>
        </row>
        <row r="50">
          <cell r="EG50">
            <v>9.2628155636076695E-2</v>
          </cell>
        </row>
        <row r="51">
          <cell r="EG51">
            <v>3.6228938296458589E-2</v>
          </cell>
        </row>
        <row r="52">
          <cell r="EG52">
            <v>-0.16482839934643734</v>
          </cell>
        </row>
        <row r="53">
          <cell r="EG53">
            <v>7.816477284933647E-2</v>
          </cell>
        </row>
        <row r="54">
          <cell r="EG54">
            <v>1.1090686694158138E-2</v>
          </cell>
        </row>
        <row r="55">
          <cell r="EG55">
            <v>-3.3638359148829684E-2</v>
          </cell>
        </row>
        <row r="56">
          <cell r="EG56">
            <v>9.5310179804324935E-2</v>
          </cell>
        </row>
        <row r="57">
          <cell r="EG57">
            <v>-0.14169721875597169</v>
          </cell>
        </row>
        <row r="58">
          <cell r="EG58">
            <v>-3.9604012160970167E-3</v>
          </cell>
        </row>
        <row r="59">
          <cell r="EG59">
            <v>8.552217343816193E-2</v>
          </cell>
        </row>
        <row r="60">
          <cell r="EG60">
            <v>2.9021189344188132E-2</v>
          </cell>
        </row>
        <row r="61">
          <cell r="EG61">
            <v>-6.2370330726458083E-2</v>
          </cell>
        </row>
        <row r="62">
          <cell r="EG62">
            <v>0.10697211955216773</v>
          </cell>
        </row>
        <row r="63">
          <cell r="EG63">
            <v>-2.6600681797178914E-2</v>
          </cell>
        </row>
        <row r="64">
          <cell r="EG64">
            <v>8.2443669211074586E-2</v>
          </cell>
        </row>
        <row r="65">
          <cell r="EG65">
            <v>-6.6150125031912643E-2</v>
          </cell>
        </row>
        <row r="66">
          <cell r="EG66">
            <v>4.8417099438375202E-2</v>
          </cell>
        </row>
        <row r="67">
          <cell r="EG67">
            <v>3.4979718896026898E-2</v>
          </cell>
        </row>
        <row r="68">
          <cell r="EG68">
            <v>0.22216746534115431</v>
          </cell>
        </row>
        <row r="69">
          <cell r="EG69">
            <v>2.2633485520703638E-2</v>
          </cell>
        </row>
        <row r="70">
          <cell r="EG70">
            <v>0.16649651564955756</v>
          </cell>
        </row>
        <row r="71">
          <cell r="EG71">
            <v>0.11054187439982383</v>
          </cell>
        </row>
        <row r="72">
          <cell r="EG72">
            <v>3.23102058144654E-3</v>
          </cell>
        </row>
        <row r="73">
          <cell r="EG73">
            <v>-8.1411575836997738E-3</v>
          </cell>
        </row>
        <row r="74">
          <cell r="EG74">
            <v>0.2331536449093104</v>
          </cell>
        </row>
        <row r="75">
          <cell r="EG75">
            <v>0.13652907847743875</v>
          </cell>
        </row>
        <row r="76">
          <cell r="EG76">
            <v>3.5233996909459865E-2</v>
          </cell>
        </row>
        <row r="77">
          <cell r="EG77">
            <v>0.19566317373152892</v>
          </cell>
        </row>
        <row r="78">
          <cell r="EG78">
            <v>-8.1125544812368458E-2</v>
          </cell>
        </row>
        <row r="79">
          <cell r="EG79">
            <v>0.10194003834299459</v>
          </cell>
        </row>
        <row r="80">
          <cell r="EG80">
            <v>0.21145993460572343</v>
          </cell>
        </row>
        <row r="81">
          <cell r="EG81">
            <v>0.11853860803838132</v>
          </cell>
        </row>
        <row r="82">
          <cell r="EG82">
            <v>-5.4008804937052395E-2</v>
          </cell>
        </row>
        <row r="83">
          <cell r="EG83">
            <v>0.45055757175187183</v>
          </cell>
        </row>
        <row r="84">
          <cell r="EG84">
            <v>7.9043207340452878E-2</v>
          </cell>
        </row>
        <row r="85">
          <cell r="EG85">
            <v>0.50054275681040672</v>
          </cell>
        </row>
        <row r="86">
          <cell r="EG86">
            <v>-9.9629840948841294E-2</v>
          </cell>
        </row>
        <row r="87">
          <cell r="EG87">
            <v>0.68240593872853272</v>
          </cell>
        </row>
        <row r="88">
          <cell r="EG88">
            <v>0.34347343208019648</v>
          </cell>
        </row>
        <row r="89">
          <cell r="EG89">
            <v>-2.0741484306816469E-2</v>
          </cell>
        </row>
        <row r="90">
          <cell r="EG90">
            <v>-3.9604012160967938E-3</v>
          </cell>
        </row>
        <row r="91">
          <cell r="EG91">
            <v>0.14563441479576619</v>
          </cell>
        </row>
        <row r="92">
          <cell r="EG92">
            <v>9.1398467635636235E-2</v>
          </cell>
        </row>
        <row r="93">
          <cell r="EG93">
            <v>0.39111765970002288</v>
          </cell>
        </row>
        <row r="94">
          <cell r="EG94">
            <v>4.9140148024289414E-3</v>
          </cell>
        </row>
        <row r="95">
          <cell r="EG95">
            <v>5.547864437717963E-3</v>
          </cell>
        </row>
        <row r="96">
          <cell r="EG96">
            <v>-1.4369940282952675E-2</v>
          </cell>
        </row>
        <row r="97">
          <cell r="EG97">
            <v>3.5778213478841235E-3</v>
          </cell>
        </row>
        <row r="98">
          <cell r="EG98">
            <v>-9.9922025026887823E-2</v>
          </cell>
        </row>
        <row r="99">
          <cell r="EG99">
            <v>-3.0448546447069579E-2</v>
          </cell>
        </row>
        <row r="100">
          <cell r="EG100">
            <v>-3.0098031157279527E-2</v>
          </cell>
        </row>
        <row r="101">
          <cell r="EG101">
            <v>-7.6540077122334377E-2</v>
          </cell>
        </row>
        <row r="102">
          <cell r="EG102">
            <v>0.12878078986592478</v>
          </cell>
        </row>
        <row r="103">
          <cell r="EG103">
            <v>-0.13491931789937064</v>
          </cell>
        </row>
        <row r="104">
          <cell r="EG104">
            <v>0.18667886216291046</v>
          </cell>
        </row>
        <row r="105">
          <cell r="EG105">
            <v>-4.4451762570833921E-2</v>
          </cell>
        </row>
        <row r="106">
          <cell r="EG106">
            <v>0.20245531999065672</v>
          </cell>
        </row>
        <row r="107">
          <cell r="EG107">
            <v>-6.4021858764931022E-2</v>
          </cell>
        </row>
        <row r="108">
          <cell r="EG108">
            <v>1.4815085785140682E-2</v>
          </cell>
        </row>
        <row r="109">
          <cell r="EG109">
            <v>0.25745569630298853</v>
          </cell>
        </row>
        <row r="110">
          <cell r="EG110">
            <v>6.1442543432443188E-2</v>
          </cell>
        </row>
        <row r="111">
          <cell r="EG111">
            <v>-2.1225286615281592E-2</v>
          </cell>
        </row>
        <row r="112">
          <cell r="EG112">
            <v>0.32721291120841611</v>
          </cell>
        </row>
        <row r="113">
          <cell r="EG113">
            <v>0.47203959873083429</v>
          </cell>
        </row>
        <row r="114">
          <cell r="EG114">
            <v>0.1006577861309203</v>
          </cell>
        </row>
        <row r="115">
          <cell r="EG115">
            <v>8.4438319146574542E-2</v>
          </cell>
        </row>
        <row r="116">
          <cell r="EG116">
            <v>-2.11471430873886E-2</v>
          </cell>
        </row>
        <row r="117">
          <cell r="EG117">
            <v>-3.327478888487221E-2</v>
          </cell>
        </row>
        <row r="118">
          <cell r="EG118">
            <v>8.1411082338698065E-2</v>
          </cell>
        </row>
        <row r="119">
          <cell r="EG119">
            <v>-1.2578782206860073E-2</v>
          </cell>
        </row>
        <row r="120">
          <cell r="EG120">
            <v>0.32584054804682561</v>
          </cell>
        </row>
        <row r="121">
          <cell r="EG121">
            <v>-7.2531781571965673E-2</v>
          </cell>
        </row>
        <row r="122">
          <cell r="EG122">
            <v>8.5694721104882979E-2</v>
          </cell>
        </row>
        <row r="123">
          <cell r="EG123">
            <v>0.14593370672497749</v>
          </cell>
        </row>
        <row r="124">
          <cell r="EG124">
            <v>3.2924784696466612E-2</v>
          </cell>
        </row>
        <row r="125">
          <cell r="EG125">
            <v>-1.4968615693921265E-2</v>
          </cell>
        </row>
        <row r="126">
          <cell r="EG126">
            <v>7.9043207340452878E-2</v>
          </cell>
        </row>
        <row r="127">
          <cell r="EG127">
            <v>-4.51822227932328E-2</v>
          </cell>
        </row>
        <row r="128">
          <cell r="EG128">
            <v>-8.1253361574432553E-2</v>
          </cell>
        </row>
        <row r="129">
          <cell r="EG129">
            <v>9.8939947854903648E-2</v>
          </cell>
        </row>
        <row r="130">
          <cell r="EG130">
            <v>-2.9229638314938366E-2</v>
          </cell>
        </row>
        <row r="131">
          <cell r="EG131">
            <v>9.0662276500996827E-2</v>
          </cell>
        </row>
        <row r="132">
          <cell r="EG132">
            <v>-6.6111025112062474E-2</v>
          </cell>
        </row>
        <row r="133">
          <cell r="EG133">
            <v>-7.2727593290799206E-3</v>
          </cell>
        </row>
        <row r="134">
          <cell r="EG134">
            <v>-6.0240080377356703E-2</v>
          </cell>
        </row>
        <row r="135">
          <cell r="EG135">
            <v>0.30147539458411676</v>
          </cell>
        </row>
        <row r="136">
          <cell r="EG136">
            <v>7.2253639696956334E-2</v>
          </cell>
        </row>
        <row r="137">
          <cell r="EG137">
            <v>0.2356593592460404</v>
          </cell>
        </row>
        <row r="138">
          <cell r="EG138">
            <v>-6.359110278153135E-2</v>
          </cell>
        </row>
        <row r="139">
          <cell r="EG139">
            <v>0.23601006190745993</v>
          </cell>
        </row>
        <row r="140">
          <cell r="EG140">
            <v>-5.9162924658968663E-2</v>
          </cell>
        </row>
        <row r="141">
          <cell r="EG141">
            <v>-3.3488669754043972E-2</v>
          </cell>
        </row>
        <row r="142">
          <cell r="EG142">
            <v>7.7873509425991111E-2</v>
          </cell>
        </row>
        <row r="143">
          <cell r="EG143">
            <v>2.7856954502966279E-2</v>
          </cell>
        </row>
        <row r="144">
          <cell r="EG144">
            <v>-0.11104900347503921</v>
          </cell>
        </row>
        <row r="145">
          <cell r="EG145">
            <v>-1.4285957247476428E-2</v>
          </cell>
        </row>
        <row r="146">
          <cell r="EG146">
            <v>-1.2270092591814359E-2</v>
          </cell>
        </row>
        <row r="147">
          <cell r="EG147">
            <v>-4.0351295523567345E-2</v>
          </cell>
        </row>
        <row r="148">
          <cell r="EG148">
            <v>2.735732921153371E-2</v>
          </cell>
        </row>
        <row r="149">
          <cell r="EG149">
            <v>6.0908753086992728E-2</v>
          </cell>
        </row>
        <row r="150">
          <cell r="EG150">
            <v>2.5502292810936043E-2</v>
          </cell>
        </row>
        <row r="151">
          <cell r="EG151">
            <v>4.1426041654296732E-2</v>
          </cell>
        </row>
        <row r="152">
          <cell r="EG152">
            <v>-9.9010709827115698E-3</v>
          </cell>
        </row>
        <row r="153">
          <cell r="EG153">
            <v>6.5934194776545899E-2</v>
          </cell>
        </row>
        <row r="154">
          <cell r="EG154">
            <v>0.16772275737280198</v>
          </cell>
        </row>
        <row r="155">
          <cell r="EG155">
            <v>6.4881868780429175E-2</v>
          </cell>
        </row>
        <row r="156">
          <cell r="EG156">
            <v>-0.1173572319454577</v>
          </cell>
        </row>
        <row r="157">
          <cell r="EG157">
            <v>8.9153636579523288E-3</v>
          </cell>
        </row>
        <row r="158">
          <cell r="EG158">
            <v>-8.8455420561863313E-2</v>
          </cell>
        </row>
        <row r="159">
          <cell r="EG159">
            <v>-1.5848192240023616E-2</v>
          </cell>
        </row>
        <row r="160">
          <cell r="EG160">
            <v>2.6964361638355201E-2</v>
          </cell>
        </row>
        <row r="161">
          <cell r="EG161">
            <v>4.5462374076757198E-2</v>
          </cell>
        </row>
        <row r="162">
          <cell r="EG162">
            <v>0.1515964000221616</v>
          </cell>
        </row>
        <row r="163">
          <cell r="EG163">
            <v>9.2965990788118652E-2</v>
          </cell>
        </row>
        <row r="164">
          <cell r="EG164">
            <v>-2.7128667388252699E-2</v>
          </cell>
        </row>
        <row r="165">
          <cell r="EG165">
            <v>5.9423420470800806E-2</v>
          </cell>
        </row>
        <row r="166">
          <cell r="EG166">
            <v>5.4808236494994951E-2</v>
          </cell>
        </row>
        <row r="167">
          <cell r="EG167">
            <v>-3.9867162438214565E-3</v>
          </cell>
        </row>
        <row r="168">
          <cell r="EG168">
            <v>-0.13650316301368021</v>
          </cell>
        </row>
        <row r="169">
          <cell r="EG169">
            <v>-3.8839833316264012E-2</v>
          </cell>
        </row>
        <row r="170">
          <cell r="EG170">
            <v>7.020425867324856E-2</v>
          </cell>
        </row>
        <row r="171">
          <cell r="EG171">
            <v>0.14505970812600621</v>
          </cell>
        </row>
        <row r="172">
          <cell r="EG172">
            <v>2.9558802241544429E-2</v>
          </cell>
        </row>
        <row r="173">
          <cell r="EG173">
            <v>-3.5718082602079232E-2</v>
          </cell>
        </row>
        <row r="174">
          <cell r="EG174">
            <v>-1.3986241974739839E-2</v>
          </cell>
        </row>
        <row r="175">
          <cell r="EG175">
            <v>-1.5936592262812754E-2</v>
          </cell>
        </row>
        <row r="176">
          <cell r="EG176">
            <v>-4.55313848079534E-2</v>
          </cell>
        </row>
        <row r="177">
          <cell r="EG177">
            <v>-1.9088596562522625E-2</v>
          </cell>
        </row>
        <row r="178">
          <cell r="EG178">
            <v>-3.0771658666753545E-2</v>
          </cell>
        </row>
        <row r="179">
          <cell r="EG179">
            <v>3.6701366850427963E-2</v>
          </cell>
        </row>
        <row r="180">
          <cell r="EG180">
            <v>1.9593693900401284E-2</v>
          </cell>
        </row>
        <row r="181">
          <cell r="EG181">
            <v>-5.8546339114796668E-2</v>
          </cell>
        </row>
        <row r="182">
          <cell r="EG182">
            <v>-1.1897681355886845E-3</v>
          </cell>
        </row>
        <row r="183">
          <cell r="EG183">
            <v>0.18026182383094405</v>
          </cell>
        </row>
        <row r="184">
          <cell r="EG184">
            <v>-3.3057881344995439E-3</v>
          </cell>
        </row>
        <row r="185">
          <cell r="EG185">
            <v>1.4815085785140682E-2</v>
          </cell>
        </row>
        <row r="186">
          <cell r="EG186">
            <v>4.7402238894583899E-2</v>
          </cell>
        </row>
        <row r="187">
          <cell r="EG187">
            <v>2.129926257824849E-3</v>
          </cell>
        </row>
        <row r="188">
          <cell r="EG188">
            <v>7.4347636624611468E-2</v>
          </cell>
        </row>
        <row r="189">
          <cell r="EG189">
            <v>-2.4460297570160577E-2</v>
          </cell>
        </row>
        <row r="190">
          <cell r="EG190">
            <v>0</v>
          </cell>
        </row>
        <row r="191">
          <cell r="EG191">
            <v>-3.2326047017149265E-2</v>
          </cell>
        </row>
        <row r="192">
          <cell r="EG192">
            <v>-0.11241770796782524</v>
          </cell>
        </row>
        <row r="193">
          <cell r="EG193">
            <v>-2.7506645789833473E-2</v>
          </cell>
        </row>
        <row r="194">
          <cell r="EG194">
            <v>7.1663892514036848E-2</v>
          </cell>
        </row>
        <row r="195">
          <cell r="EG195">
            <v>0.18761858015182467</v>
          </cell>
        </row>
        <row r="196">
          <cell r="EG196">
            <v>-1.478379618423698E-2</v>
          </cell>
        </row>
        <row r="197">
          <cell r="EG197">
            <v>-9.6276830435419833E-2</v>
          </cell>
        </row>
        <row r="198">
          <cell r="EG198">
            <v>1.5070252920998173E-2</v>
          </cell>
        </row>
        <row r="199">
          <cell r="EG199">
            <v>-1.4184634991956413E-2</v>
          </cell>
        </row>
        <row r="200">
          <cell r="EG200">
            <v>-5.3267029181487444E-2</v>
          </cell>
        </row>
        <row r="201">
          <cell r="EG201">
            <v>-3.2789822822990838E-2</v>
          </cell>
        </row>
        <row r="202">
          <cell r="EG202">
            <v>-0.11836460008103279</v>
          </cell>
        </row>
        <row r="203">
          <cell r="EG203">
            <v>-4.6091107200266976E-2</v>
          </cell>
        </row>
        <row r="204">
          <cell r="EG204">
            <v>-3.386451395275631E-2</v>
          </cell>
        </row>
        <row r="205">
          <cell r="EG205">
            <v>-8.7543150466665193E-2</v>
          </cell>
        </row>
        <row r="206">
          <cell r="EG206">
            <v>7.2925239904672548E-2</v>
          </cell>
        </row>
        <row r="207">
          <cell r="EG207">
            <v>6.1181156475081162E-2</v>
          </cell>
        </row>
        <row r="208">
          <cell r="EG208">
            <v>1.4781968693109652E-3</v>
          </cell>
        </row>
        <row r="209">
          <cell r="EG209">
            <v>-4.6251017650755698E-2</v>
          </cell>
        </row>
        <row r="210">
          <cell r="EG210">
            <v>-4.932506656250156E-2</v>
          </cell>
        </row>
        <row r="211">
          <cell r="EG211">
            <v>-3.0636969461889801E-2</v>
          </cell>
        </row>
        <row r="212">
          <cell r="EG212">
            <v>-1.0889399799268319E-2</v>
          </cell>
        </row>
        <row r="213">
          <cell r="EG213">
            <v>4.0311225802247094E-2</v>
          </cell>
        </row>
        <row r="214">
          <cell r="EG214">
            <v>3.8685142311237333E-2</v>
          </cell>
        </row>
        <row r="215">
          <cell r="EG215">
            <v>-3.8387763071657129E-3</v>
          </cell>
        </row>
        <row r="216">
          <cell r="EG216">
            <v>0.22741402043766218</v>
          </cell>
        </row>
        <row r="217">
          <cell r="EG217">
            <v>0.24477457144050432</v>
          </cell>
        </row>
        <row r="218">
          <cell r="EG218">
            <v>-5.9488575197723971E-3</v>
          </cell>
        </row>
        <row r="219">
          <cell r="EG219">
            <v>0.21435504528113042</v>
          </cell>
        </row>
        <row r="220">
          <cell r="EG220">
            <v>-5.1761934558589573E-2</v>
          </cell>
        </row>
        <row r="221">
          <cell r="EG221">
            <v>0.17185025692665923</v>
          </cell>
        </row>
        <row r="222">
          <cell r="EG222">
            <v>3.9029343905735293E-2</v>
          </cell>
        </row>
        <row r="223">
          <cell r="EG223">
            <v>1.4737108819496924E-2</v>
          </cell>
        </row>
        <row r="224">
          <cell r="EG224">
            <v>4.6520015634893122E-2</v>
          </cell>
        </row>
        <row r="225">
          <cell r="EG225">
            <v>-2.4571260730505317E-2</v>
          </cell>
        </row>
        <row r="226">
          <cell r="EG226">
            <v>9.0628017459818175E-2</v>
          </cell>
        </row>
        <row r="227">
          <cell r="EG227">
            <v>7.6961041136128394E-2</v>
          </cell>
        </row>
        <row r="228">
          <cell r="EG228">
            <v>-5.2413742684040164E-2</v>
          </cell>
        </row>
        <row r="229">
          <cell r="EG229">
            <v>1.5945668155426633E-2</v>
          </cell>
        </row>
        <row r="230">
          <cell r="EG230">
            <v>5.3877197516735031E-2</v>
          </cell>
        </row>
        <row r="231">
          <cell r="EG231">
            <v>0.1969982712098875</v>
          </cell>
        </row>
        <row r="232">
          <cell r="EG232">
            <v>9.4787439545437387E-3</v>
          </cell>
        </row>
        <row r="233">
          <cell r="EG233">
            <v>-3.4071431910524627E-2</v>
          </cell>
        </row>
        <row r="234">
          <cell r="EG234">
            <v>4.8661896511729063E-3</v>
          </cell>
        </row>
        <row r="235">
          <cell r="EG235">
            <v>-4.1281658973303874E-2</v>
          </cell>
        </row>
        <row r="236">
          <cell r="EG236">
            <v>-7.2701831776732062E-2</v>
          </cell>
        </row>
        <row r="237">
          <cell r="EG237">
            <v>0</v>
          </cell>
        </row>
        <row r="238">
          <cell r="EG238">
            <v>-4.6162041763162603E-2</v>
          </cell>
        </row>
        <row r="239">
          <cell r="EG239">
            <v>-6.378973787532996E-2</v>
          </cell>
        </row>
        <row r="240">
          <cell r="EG240">
            <v>-0.11477551459242818</v>
          </cell>
        </row>
        <row r="241">
          <cell r="EG241">
            <v>1.8837122086444242E-2</v>
          </cell>
        </row>
        <row r="242">
          <cell r="EG242">
            <v>0.11815961257666874</v>
          </cell>
        </row>
        <row r="243">
          <cell r="EG243">
            <v>7.2984892756488826E-2</v>
          </cell>
        </row>
        <row r="244">
          <cell r="EG244">
            <v>-3.7271394797231537E-2</v>
          </cell>
        </row>
        <row r="245">
          <cell r="EG245">
            <v>2.7398974188114562E-2</v>
          </cell>
        </row>
        <row r="246">
          <cell r="EG246">
            <v>0.24183568432636235</v>
          </cell>
        </row>
        <row r="247">
          <cell r="EG247">
            <v>4.1045433243115166E-2</v>
          </cell>
        </row>
        <row r="248">
          <cell r="EG248">
            <v>-8.4494678342531507E-2</v>
          </cell>
        </row>
        <row r="249">
          <cell r="EG249">
            <v>0.11730605019539635</v>
          </cell>
        </row>
        <row r="250">
          <cell r="EG250">
            <v>-5.5240867710676864E-2</v>
          </cell>
        </row>
        <row r="251">
          <cell r="EG251">
            <v>5.4945193176407798E-3</v>
          </cell>
        </row>
        <row r="252">
          <cell r="EG252">
            <v>9.8100955645022261E-2</v>
          </cell>
        </row>
        <row r="253">
          <cell r="EG253">
            <v>1.0291686036547724E-2</v>
          </cell>
        </row>
        <row r="254">
          <cell r="EG254">
            <v>-1.7544309650909508E-2</v>
          </cell>
        </row>
        <row r="255">
          <cell r="EG255">
            <v>2.3461486678997966E-2</v>
          </cell>
        </row>
        <row r="256">
          <cell r="EG256">
            <v>-5.4322681739157656E-2</v>
          </cell>
        </row>
        <row r="257">
          <cell r="EG257">
            <v>5.7859370670439265E-3</v>
          </cell>
        </row>
        <row r="258">
          <cell r="EG258">
            <v>5.0741091478397907E-2</v>
          </cell>
        </row>
        <row r="259">
          <cell r="EG259">
            <v>-6.0138358738533418E-2</v>
          </cell>
        </row>
        <row r="260">
          <cell r="EG260">
            <v>-2.5001302205417384E-2</v>
          </cell>
        </row>
        <row r="261">
          <cell r="EG261">
            <v>0.14581034791103939</v>
          </cell>
        </row>
        <row r="262">
          <cell r="EG262">
            <v>-0.16097213877947616</v>
          </cell>
        </row>
        <row r="263">
          <cell r="EG263">
            <v>0.173555063581772</v>
          </cell>
        </row>
        <row r="264">
          <cell r="EG264">
            <v>2.616971773338482E-2</v>
          </cell>
        </row>
        <row r="265">
          <cell r="EG265">
            <v>0.40060483122591173</v>
          </cell>
        </row>
        <row r="266">
          <cell r="EG266">
            <v>0.12353844722700416</v>
          </cell>
        </row>
        <row r="267">
          <cell r="EG267">
            <v>-1.5190165493975007E-2</v>
          </cell>
        </row>
        <row r="268">
          <cell r="EG268">
            <v>0</v>
          </cell>
        </row>
        <row r="269">
          <cell r="EG269">
            <v>0.21786649421336601</v>
          </cell>
        </row>
        <row r="270">
          <cell r="EG270">
            <v>-3.8052564535794441E-2</v>
          </cell>
        </row>
        <row r="271">
          <cell r="EG271">
            <v>0.13856715711864467</v>
          </cell>
        </row>
        <row r="272">
          <cell r="EG272">
            <v>-1.1904902506318314E-2</v>
          </cell>
        </row>
        <row r="273">
          <cell r="EG273">
            <v>-4.2439183275156715E-2</v>
          </cell>
        </row>
        <row r="274">
          <cell r="EG274">
            <v>-1.9310944913087512E-2</v>
          </cell>
        </row>
        <row r="275">
          <cell r="EG275">
            <v>3.278982282299097E-2</v>
          </cell>
        </row>
        <row r="276">
          <cell r="EG276">
            <v>-2.5933382026504543E-2</v>
          </cell>
        </row>
        <row r="277">
          <cell r="EG277">
            <v>9.086382555957442E-3</v>
          </cell>
        </row>
        <row r="278">
          <cell r="EG278">
            <v>4.1883377956177283E-2</v>
          </cell>
        </row>
        <row r="279">
          <cell r="EG279">
            <v>-1.5748356968139168E-2</v>
          </cell>
        </row>
        <row r="280">
          <cell r="EG280">
            <v>2.1528533611010927E-3</v>
          </cell>
        </row>
        <row r="281">
          <cell r="EG281">
            <v>1.0362787035546658E-2</v>
          </cell>
        </row>
        <row r="282">
          <cell r="EG282">
            <v>-9.4187215059701193E-2</v>
          </cell>
        </row>
        <row r="283">
          <cell r="EG283">
            <v>-6.5040879691764886E-3</v>
          </cell>
        </row>
        <row r="284">
          <cell r="EG284">
            <v>-6.849523524876433E-2</v>
          </cell>
        </row>
        <row r="285">
          <cell r="EG285">
            <v>-9.4452178893688163E-2</v>
          </cell>
        </row>
        <row r="286">
          <cell r="EG286">
            <v>-9.1521984546979782E-2</v>
          </cell>
        </row>
        <row r="287">
          <cell r="EG287">
            <v>1.3755375068485419E-2</v>
          </cell>
        </row>
        <row r="288">
          <cell r="EG288">
            <v>-9.7088141269609379E-3</v>
          </cell>
        </row>
        <row r="289">
          <cell r="EG289">
            <v>0.11860574240784701</v>
          </cell>
        </row>
        <row r="290">
          <cell r="EG290">
            <v>-2.409755157906053E-2</v>
          </cell>
        </row>
        <row r="291">
          <cell r="EG291">
            <v>-3.8986404156571976E-3</v>
          </cell>
        </row>
        <row r="292">
          <cell r="EG292">
            <v>4.1995121036603238E-2</v>
          </cell>
        </row>
        <row r="293">
          <cell r="EG293">
            <v>-9.7638469563916058E-2</v>
          </cell>
        </row>
        <row r="294">
          <cell r="EG294">
            <v>-7.5757938084576558E-3</v>
          </cell>
        </row>
        <row r="295">
          <cell r="EG295">
            <v>-8.0761356644458465E-2</v>
          </cell>
        </row>
        <row r="296">
          <cell r="EG296">
            <v>-8.3788030403698394E-2</v>
          </cell>
        </row>
        <row r="297">
          <cell r="EG297">
            <v>-0.20942987555203271</v>
          </cell>
        </row>
        <row r="298">
          <cell r="EG298">
            <v>-4.9382816405826773E-3</v>
          </cell>
        </row>
        <row r="299">
          <cell r="EG299">
            <v>-7.9137320558723856E-2</v>
          </cell>
        </row>
        <row r="300">
          <cell r="EG300">
            <v>-4.8998085991576165E-2</v>
          </cell>
        </row>
        <row r="301">
          <cell r="EG301">
            <v>-2.7651531330510008E-2</v>
          </cell>
        </row>
        <row r="302">
          <cell r="EG302">
            <v>-0.29987734554559914</v>
          </cell>
        </row>
        <row r="303">
          <cell r="EG303">
            <v>0.27394376641166612</v>
          </cell>
        </row>
        <row r="304">
          <cell r="EG304">
            <v>-0.14389417966006918</v>
          </cell>
        </row>
        <row r="305">
          <cell r="EG305">
            <v>5.5512709930258759E-2</v>
          </cell>
        </row>
        <row r="306">
          <cell r="EG306">
            <v>-0.10328582611696588</v>
          </cell>
        </row>
        <row r="307">
          <cell r="EG307">
            <v>-9.4947926585366063E-2</v>
          </cell>
        </row>
        <row r="308">
          <cell r="EG308">
            <v>-4.184710993550049E-2</v>
          </cell>
        </row>
        <row r="309">
          <cell r="EG309">
            <v>-3.4514518733964376E-2</v>
          </cell>
        </row>
        <row r="310">
          <cell r="EG310">
            <v>4.0989344533196949E-2</v>
          </cell>
        </row>
        <row r="311">
          <cell r="EG311">
            <v>6.7972983586205848E-2</v>
          </cell>
        </row>
        <row r="312">
          <cell r="EG312">
            <v>-7.8643127319113229E-2</v>
          </cell>
        </row>
        <row r="313">
          <cell r="EG313">
            <v>-5.6695343676545176E-2</v>
          </cell>
        </row>
        <row r="314">
          <cell r="EG314">
            <v>-2.9558802241544391E-2</v>
          </cell>
        </row>
        <row r="315">
          <cell r="EG315">
            <v>1.0080730528356729E-2</v>
          </cell>
        </row>
        <row r="316">
          <cell r="EG316">
            <v>-0.1437699637726976</v>
          </cell>
        </row>
        <row r="317">
          <cell r="EG317">
            <v>2.8129413766146577E-3</v>
          </cell>
        </row>
        <row r="318">
          <cell r="EG318">
            <v>-3.1338970192719702E-2</v>
          </cell>
        </row>
        <row r="319">
          <cell r="EG319">
            <v>-8.5869172410852762E-2</v>
          </cell>
        </row>
        <row r="320">
          <cell r="EG320">
            <v>0.12564916969504372</v>
          </cell>
        </row>
        <row r="321">
          <cell r="EG321">
            <v>5.9347355198145265E-3</v>
          </cell>
        </row>
        <row r="322">
          <cell r="EG322">
            <v>4.4997365930735722E-2</v>
          </cell>
        </row>
        <row r="323">
          <cell r="EG323">
            <v>0.10387518304163459</v>
          </cell>
        </row>
        <row r="324">
          <cell r="EG324">
            <v>-0.10379679368164367</v>
          </cell>
        </row>
        <row r="325">
          <cell r="EG325">
            <v>-0.14669437915080349</v>
          </cell>
        </row>
        <row r="326">
          <cell r="EG326">
            <v>0</v>
          </cell>
        </row>
        <row r="327">
          <cell r="EG327">
            <v>-0.1330631182071621</v>
          </cell>
        </row>
        <row r="328">
          <cell r="EG328">
            <v>-4.2626816461763327E-2</v>
          </cell>
        </row>
        <row r="329">
          <cell r="EG329">
            <v>-4.8077015681032322E-3</v>
          </cell>
        </row>
        <row r="330">
          <cell r="EG330">
            <v>0.30022142170451621</v>
          </cell>
        </row>
        <row r="331">
          <cell r="EG331">
            <v>0.26856767642846541</v>
          </cell>
        </row>
        <row r="332">
          <cell r="EG332">
            <v>-0.13511643020474462</v>
          </cell>
        </row>
        <row r="333">
          <cell r="EG333">
            <v>6.4538521137571164E-2</v>
          </cell>
        </row>
        <row r="334">
          <cell r="EG334">
            <v>0.18298402783507575</v>
          </cell>
        </row>
        <row r="335">
          <cell r="EG335">
            <v>-6.6445099408152741E-2</v>
          </cell>
        </row>
        <row r="336">
          <cell r="EG336">
            <v>-5.3940390145747738E-2</v>
          </cell>
        </row>
        <row r="337">
          <cell r="EG337">
            <v>-9.4169603689800124E-2</v>
          </cell>
        </row>
        <row r="338">
          <cell r="EG338">
            <v>0</v>
          </cell>
        </row>
        <row r="339">
          <cell r="EG339">
            <v>-1.5748356968139282E-2</v>
          </cell>
        </row>
        <row r="340">
          <cell r="EG340">
            <v>-4.2439183275156715E-2</v>
          </cell>
        </row>
        <row r="341">
          <cell r="EG341">
            <v>6.8259650703998906E-3</v>
          </cell>
        </row>
        <row r="342">
          <cell r="EG342">
            <v>-0.11904010684643465</v>
          </cell>
        </row>
        <row r="343">
          <cell r="EG343">
            <v>3.2538755786773829E-2</v>
          </cell>
        </row>
        <row r="344">
          <cell r="EG344">
            <v>-2.8528083614538052E-2</v>
          </cell>
        </row>
        <row r="345">
          <cell r="EG345">
            <v>-6.3356863953307821E-2</v>
          </cell>
        </row>
        <row r="346">
          <cell r="EG346">
            <v>-2.6597312519265854E-2</v>
          </cell>
        </row>
        <row r="347">
          <cell r="EG347">
            <v>4.2559614418795903E-2</v>
          </cell>
        </row>
        <row r="348">
          <cell r="EG348">
            <v>-0.10701204369629939</v>
          </cell>
        </row>
        <row r="349">
          <cell r="EG349">
            <v>-8.1678031014267238E-2</v>
          </cell>
        </row>
        <row r="350">
          <cell r="EG350">
            <v>1.8723399558873945</v>
          </cell>
        </row>
        <row r="351">
          <cell r="EG351">
            <v>6.9146824223765405E-2</v>
          </cell>
        </row>
        <row r="352">
          <cell r="EG352">
            <v>0.132351451484674</v>
          </cell>
        </row>
        <row r="353">
          <cell r="EG353">
            <v>-4.5635294706619228E-2</v>
          </cell>
        </row>
        <row r="354">
          <cell r="EG354">
            <v>-3.7383221106072153E-3</v>
          </cell>
        </row>
        <row r="355">
          <cell r="EG355">
            <v>-8.810629682154807E-3</v>
          </cell>
        </row>
        <row r="356">
          <cell r="EG356">
            <v>-0.28427159411562503</v>
          </cell>
        </row>
        <row r="357">
          <cell r="EG357">
            <v>0.12188981760903679</v>
          </cell>
        </row>
        <row r="358">
          <cell r="EG358">
            <v>3.4662079764861075E-3</v>
          </cell>
        </row>
        <row r="359">
          <cell r="EG359">
            <v>-9.6460266187562108E-2</v>
          </cell>
        </row>
        <row r="360">
          <cell r="EG360">
            <v>-1.6960615307045315E-2</v>
          </cell>
        </row>
        <row r="361">
          <cell r="EG361">
            <v>-4.9841965475969488E-2</v>
          </cell>
        </row>
        <row r="362">
          <cell r="EG362">
            <v>-2.2658023892583989E-2</v>
          </cell>
        </row>
        <row r="363">
          <cell r="EG363">
            <v>-5.6512210263342334E-2</v>
          </cell>
        </row>
        <row r="364">
          <cell r="EG364">
            <v>0.11195032533688204</v>
          </cell>
        </row>
        <row r="365">
          <cell r="EG365">
            <v>-2.0834086902842025E-2</v>
          </cell>
        </row>
        <row r="366">
          <cell r="EG366">
            <v>0.12814582269193003</v>
          </cell>
        </row>
        <row r="367">
          <cell r="EG367">
            <v>-1.3495481474884621E-2</v>
          </cell>
        </row>
        <row r="368">
          <cell r="EG368">
            <v>1.069528911674795E-2</v>
          </cell>
        </row>
        <row r="369">
          <cell r="EG369">
            <v>-9.5466118835798881E-3</v>
          </cell>
        </row>
        <row r="370">
          <cell r="EG370">
            <v>0.1949003390008146</v>
          </cell>
        </row>
        <row r="371">
          <cell r="EG371">
            <v>-6.9619634277760731E-2</v>
          </cell>
        </row>
        <row r="372">
          <cell r="EG372">
            <v>-7.5884697524872688E-2</v>
          </cell>
        </row>
        <row r="373">
          <cell r="EG373">
            <v>0.13795944414025474</v>
          </cell>
        </row>
        <row r="374">
          <cell r="EG374">
            <v>2.5667746748577813E-2</v>
          </cell>
        </row>
        <row r="375">
          <cell r="EG375">
            <v>1.9718948788955425E-2</v>
          </cell>
        </row>
        <row r="376">
          <cell r="EG376">
            <v>1.2511333889107929E-2</v>
          </cell>
        </row>
        <row r="377">
          <cell r="EG377">
            <v>3.1581572050298837E-2</v>
          </cell>
        </row>
        <row r="378">
          <cell r="EG378">
            <v>4.9325066562501491E-2</v>
          </cell>
        </row>
        <row r="379">
          <cell r="EG379">
            <v>4.0433569578490459E-2</v>
          </cell>
        </row>
        <row r="380">
          <cell r="EG380">
            <v>7.5793839369533725E-2</v>
          </cell>
        </row>
        <row r="381">
          <cell r="EG381">
            <v>7.4680764532150917E-2</v>
          </cell>
        </row>
        <row r="382">
          <cell r="EG382">
            <v>8.6366977325915643E-3</v>
          </cell>
        </row>
        <row r="383">
          <cell r="EG383">
            <v>1.0810916104215456E-2</v>
          </cell>
        </row>
        <row r="384">
          <cell r="EG384">
            <v>-2.2814677766171399E-2</v>
          </cell>
        </row>
        <row r="385">
          <cell r="EG385">
            <v>-6.2964956690140558E-2</v>
          </cell>
        </row>
        <row r="386">
          <cell r="EG386">
            <v>8.0688911250142659E-2</v>
          </cell>
        </row>
        <row r="387">
          <cell r="EG387">
            <v>0.1479740079355292</v>
          </cell>
        </row>
        <row r="388">
          <cell r="EG388">
            <v>-3.8839833316263894E-2</v>
          </cell>
        </row>
        <row r="389">
          <cell r="EG389">
            <v>4.8780584534329936E-3</v>
          </cell>
        </row>
        <row r="390">
          <cell r="EG390">
            <v>-1.3908430046132E-2</v>
          </cell>
        </row>
        <row r="391">
          <cell r="EG391">
            <v>5.5210731972354765E-2</v>
          </cell>
        </row>
        <row r="392">
          <cell r="EG392">
            <v>9.0971778205726592E-2</v>
          </cell>
        </row>
        <row r="393">
          <cell r="EG393">
            <v>0</v>
          </cell>
        </row>
        <row r="394">
          <cell r="EG394">
            <v>-3.6429912785009805E-3</v>
          </cell>
        </row>
        <row r="395">
          <cell r="EG395">
            <v>9.8649081069839634E-2</v>
          </cell>
        </row>
        <row r="396">
          <cell r="EG396">
            <v>-1.5037877364540559E-2</v>
          </cell>
        </row>
        <row r="397">
          <cell r="EG397">
            <v>-4.9655590445860834E-2</v>
          </cell>
        </row>
        <row r="398">
          <cell r="EG398">
            <v>4.3196611445163796E-3</v>
          </cell>
        </row>
        <row r="399">
          <cell r="EG399">
            <v>-1.3869847864150502E-2</v>
          </cell>
        </row>
        <row r="400">
          <cell r="EG400">
            <v>-5.3755743304823342E-2</v>
          </cell>
        </row>
        <row r="401">
          <cell r="EG401">
            <v>6.5437397602588376E-2</v>
          </cell>
        </row>
        <row r="402">
          <cell r="EG402">
            <v>-1.7513582492708357E-2</v>
          </cell>
        </row>
        <row r="403">
          <cell r="EG403">
            <v>3.3314855910034193E-3</v>
          </cell>
        </row>
        <row r="404">
          <cell r="EG404">
            <v>3.8374012881615044E-2</v>
          </cell>
        </row>
        <row r="405">
          <cell r="EG405">
            <v>-5.1989107937600143E-2</v>
          </cell>
        </row>
        <row r="406">
          <cell r="EG406">
            <v>0</v>
          </cell>
        </row>
        <row r="407">
          <cell r="EG407">
            <v>7.2072384049493869E-3</v>
          </cell>
        </row>
        <row r="408">
          <cell r="EG408">
            <v>3.5693077751204364E-3</v>
          </cell>
        </row>
        <row r="409">
          <cell r="EG409">
            <v>-1.834913866819643E-2</v>
          </cell>
        </row>
        <row r="410">
          <cell r="EG410">
            <v>-2.0236778287352934E-2</v>
          </cell>
        </row>
        <row r="411">
          <cell r="EG411">
            <v>0</v>
          </cell>
        </row>
        <row r="412">
          <cell r="EG412">
            <v>0.1322778232703089</v>
          </cell>
        </row>
        <row r="413">
          <cell r="EG413">
            <v>0.1266648057911639</v>
          </cell>
        </row>
        <row r="414">
          <cell r="EG414">
            <v>1.5267472130788381E-2</v>
          </cell>
        </row>
        <row r="415">
          <cell r="EG415">
            <v>3.8535693159899723E-3</v>
          </cell>
        </row>
        <row r="416">
          <cell r="EG416">
            <v>3.4809404665861153E-2</v>
          </cell>
        </row>
        <row r="417">
          <cell r="EG417">
            <v>-5.0076337980176092E-2</v>
          </cell>
        </row>
        <row r="418">
          <cell r="EG418">
            <v>-2.5940351770466466E-3</v>
          </cell>
        </row>
        <row r="419">
          <cell r="EG419">
            <v>-4.8318577270807683E-2</v>
          </cell>
        </row>
        <row r="420">
          <cell r="EG420">
            <v>-1.6807118316381289E-2</v>
          </cell>
        </row>
        <row r="421">
          <cell r="EG421">
            <v>8.5713518274029926E-2</v>
          </cell>
        </row>
        <row r="422">
          <cell r="EG422">
            <v>-1.0554187678690145E-2</v>
          </cell>
        </row>
        <row r="423">
          <cell r="EG423">
            <v>0</v>
          </cell>
        </row>
        <row r="424">
          <cell r="EG424">
            <v>-5.5791359628415658E-2</v>
          </cell>
        </row>
        <row r="425">
          <cell r="EG425">
            <v>-2.8399474521698002E-2</v>
          </cell>
        </row>
        <row r="426">
          <cell r="EG426">
            <v>-4.962789342128902E-3</v>
          </cell>
        </row>
        <row r="427">
          <cell r="EG427">
            <v>-4.9896971144623159E-2</v>
          </cell>
        </row>
        <row r="428">
          <cell r="EG428">
            <v>-1.1173300598125189E-2</v>
          </cell>
        </row>
        <row r="429">
          <cell r="EG429">
            <v>-5.7471422555678475E-3</v>
          </cell>
        </row>
        <row r="430">
          <cell r="EG430">
            <v>-3.4037319783961253E-2</v>
          </cell>
        </row>
        <row r="431">
          <cell r="EG431">
            <v>7.3292865465473062E-2</v>
          </cell>
        </row>
        <row r="432">
          <cell r="EG432">
            <v>-5.3704178971861097E-2</v>
          </cell>
        </row>
        <row r="433">
          <cell r="EG433">
            <v>-4.55313848079534E-2</v>
          </cell>
        </row>
        <row r="434">
          <cell r="EG434">
            <v>0.2336148511815051</v>
          </cell>
        </row>
        <row r="435">
          <cell r="EG435">
            <v>-1.0695289116747919E-2</v>
          </cell>
        </row>
        <row r="436">
          <cell r="EG436">
            <v>-6.6298585386695766E-3</v>
          </cell>
        </row>
        <row r="437">
          <cell r="EG437">
            <v>3.6779251503296487E-2</v>
          </cell>
        </row>
        <row r="438">
          <cell r="EG438">
            <v>0.1278333715098848</v>
          </cell>
        </row>
        <row r="439">
          <cell r="EG439">
            <v>-0.10929642177906482</v>
          </cell>
        </row>
        <row r="440">
          <cell r="EG440">
            <v>6.4279151404564791E-2</v>
          </cell>
        </row>
        <row r="441">
          <cell r="EG441">
            <v>-7.6372978784573969E-2</v>
          </cell>
        </row>
        <row r="442">
          <cell r="EG442">
            <v>8.0754140055453311E-3</v>
          </cell>
        </row>
        <row r="443">
          <cell r="EG443">
            <v>0.54584014161109273</v>
          </cell>
        </row>
        <row r="444">
          <cell r="EG444">
            <v>-7.7496557348291195E-2</v>
          </cell>
        </row>
        <row r="445">
          <cell r="EG445">
            <v>0.30110509278392161</v>
          </cell>
        </row>
        <row r="446">
          <cell r="EG446">
            <v>8.5264651654688134E-2</v>
          </cell>
        </row>
        <row r="447">
          <cell r="EG447">
            <v>9.2577076032151331E-2</v>
          </cell>
        </row>
        <row r="448">
          <cell r="EG448">
            <v>0</v>
          </cell>
        </row>
        <row r="449">
          <cell r="EG449">
            <v>2.3302025202844329E-2</v>
          </cell>
        </row>
        <row r="450">
          <cell r="EG450">
            <v>-8.3738051644660624E-2</v>
          </cell>
        </row>
        <row r="451">
          <cell r="EG451">
            <v>1.0785005676562572E-2</v>
          </cell>
        </row>
        <row r="452">
          <cell r="EG452">
            <v>-0.14330223322951235</v>
          </cell>
        </row>
        <row r="453">
          <cell r="EG453">
            <v>6.8267971129002875E-2</v>
          </cell>
        </row>
        <row r="454">
          <cell r="EG454">
            <v>-9.4028949648276336E-2</v>
          </cell>
        </row>
        <row r="455">
          <cell r="EG455">
            <v>-0.1452802851136055</v>
          </cell>
        </row>
        <row r="456">
          <cell r="EG456">
            <v>1.5228720701824683E-2</v>
          </cell>
        </row>
        <row r="457">
          <cell r="EG457">
            <v>9.0492828055280902E-2</v>
          </cell>
        </row>
        <row r="458">
          <cell r="EG458">
            <v>1.980262729617973E-2</v>
          </cell>
        </row>
        <row r="459">
          <cell r="EG459">
            <v>7.4297923716644634E-2</v>
          </cell>
        </row>
        <row r="460">
          <cell r="EG460">
            <v>-6.2964956690140558E-2</v>
          </cell>
        </row>
        <row r="461">
          <cell r="EG461">
            <v>-3.789087371139626E-2</v>
          </cell>
        </row>
        <row r="462">
          <cell r="EG462">
            <v>4.2655175601916111E-2</v>
          </cell>
        </row>
        <row r="463">
          <cell r="EG463">
            <v>6.5402456806099747E-3</v>
          </cell>
        </row>
        <row r="464">
          <cell r="EG464">
            <v>2.1882711249507587E-2</v>
          </cell>
        </row>
        <row r="465">
          <cell r="EG465">
            <v>5.7770235769223008E-3</v>
          </cell>
        </row>
        <row r="466">
          <cell r="EG466">
            <v>-7.388884209915822E-2</v>
          </cell>
        </row>
        <row r="467">
          <cell r="EG467">
            <v>8.9746287856275475E-2</v>
          </cell>
        </row>
        <row r="468">
          <cell r="EG468">
            <v>9.1630322845924372E-2</v>
          </cell>
        </row>
        <row r="469">
          <cell r="EG469">
            <v>-6.2957850152481371E-2</v>
          </cell>
        </row>
        <row r="470">
          <cell r="EG470">
            <v>0.31237468504215243</v>
          </cell>
        </row>
        <row r="471">
          <cell r="EG471">
            <v>0.15432594930452753</v>
          </cell>
        </row>
        <row r="472">
          <cell r="EG472">
            <v>0.11009069003322783</v>
          </cell>
        </row>
        <row r="473">
          <cell r="EG473">
            <v>-5.9057749643600943E-2</v>
          </cell>
        </row>
        <row r="474">
          <cell r="EG474">
            <v>-9.6686642513048218E-2</v>
          </cell>
        </row>
        <row r="475">
          <cell r="EG475">
            <v>-6.6815198173917095E-2</v>
          </cell>
        </row>
        <row r="476">
          <cell r="EG476">
            <v>0.23041631064328949</v>
          </cell>
        </row>
        <row r="477">
          <cell r="EG477">
            <v>9.2593254127967262E-3</v>
          </cell>
        </row>
        <row r="478">
          <cell r="EG478">
            <v>6.6666913581892974E-3</v>
          </cell>
        </row>
        <row r="479">
          <cell r="EG479">
            <v>-0.1431008436406733</v>
          </cell>
        </row>
        <row r="480">
          <cell r="EG480">
            <v>-0.10919929196499197</v>
          </cell>
        </row>
        <row r="481">
          <cell r="EG481">
            <v>-2.7285146532040625E-3</v>
          </cell>
        </row>
        <row r="482">
          <cell r="EG482">
            <v>-0.15554343771256171</v>
          </cell>
        </row>
        <row r="483">
          <cell r="EG483">
            <v>-7.0204258673248462E-2</v>
          </cell>
        </row>
        <row r="484">
          <cell r="EG484">
            <v>0.10008345855698243</v>
          </cell>
        </row>
        <row r="485">
          <cell r="EG485">
            <v>6.1300525863795877E-2</v>
          </cell>
        </row>
        <row r="486">
          <cell r="EG486">
            <v>-2.9726180265200734E-2</v>
          </cell>
        </row>
        <row r="487">
          <cell r="EG487">
            <v>5.7357161728906571E-2</v>
          </cell>
        </row>
        <row r="488">
          <cell r="EG488">
            <v>0.11638736201740872</v>
          </cell>
        </row>
        <row r="489">
          <cell r="EG489">
            <v>-6.682249624540175E-2</v>
          </cell>
        </row>
        <row r="490">
          <cell r="EG490">
            <v>2.0834086902842053E-2</v>
          </cell>
        </row>
        <row r="491">
          <cell r="EG491">
            <v>-5.8948924613736763E-2</v>
          </cell>
        </row>
        <row r="492">
          <cell r="EG492">
            <v>-5.5125066250396197E-2</v>
          </cell>
        </row>
        <row r="493">
          <cell r="EG493">
            <v>-1.4848930741399244E-2</v>
          </cell>
        </row>
        <row r="494">
          <cell r="EG494">
            <v>-0.16073798512678011</v>
          </cell>
        </row>
        <row r="495">
          <cell r="EG495">
            <v>-0.10303222589823519</v>
          </cell>
        </row>
        <row r="496">
          <cell r="EG496">
            <v>-0.16999887206728198</v>
          </cell>
        </row>
        <row r="497">
          <cell r="EG497">
            <v>-7.6372978784573969E-2</v>
          </cell>
        </row>
        <row r="498">
          <cell r="EG498">
            <v>-2.462504730538918E-2</v>
          </cell>
        </row>
        <row r="499">
          <cell r="EG499">
            <v>0.11275667728329462</v>
          </cell>
        </row>
        <row r="500">
          <cell r="EG500">
            <v>-0.21046911041748181</v>
          </cell>
        </row>
        <row r="501">
          <cell r="EG501">
            <v>3.1182927436687845E-2</v>
          </cell>
        </row>
        <row r="502">
          <cell r="EG502">
            <v>4.8127733022989776E-2</v>
          </cell>
        </row>
        <row r="503">
          <cell r="EG503">
            <v>-4.5542020446916187E-2</v>
          </cell>
        </row>
        <row r="504">
          <cell r="EG504">
            <v>-5.9898141581068959E-2</v>
          </cell>
        </row>
        <row r="505">
          <cell r="EG505">
            <v>-5.96124028015153E-2</v>
          </cell>
        </row>
        <row r="506">
          <cell r="EG506">
            <v>-1.2092045765028633E-2</v>
          </cell>
        </row>
        <row r="507">
          <cell r="EG507">
            <v>-2.8208763416413406E-3</v>
          </cell>
        </row>
        <row r="508">
          <cell r="EG508">
            <v>0.19706383853115803</v>
          </cell>
        </row>
        <row r="509">
          <cell r="EG509">
            <v>2.7973852042406162E-2</v>
          </cell>
        </row>
        <row r="510">
          <cell r="EG510">
            <v>-4.7798823737776885E-2</v>
          </cell>
        </row>
        <row r="511">
          <cell r="EG511">
            <v>1.0489606671019443E-2</v>
          </cell>
        </row>
        <row r="512">
          <cell r="EG512">
            <v>-2.8437935320533625E-2</v>
          </cell>
        </row>
        <row r="513">
          <cell r="EG513">
            <v>-3.1648210950781734E-2</v>
          </cell>
        </row>
        <row r="514">
          <cell r="EG514">
            <v>0.13528219552287546</v>
          </cell>
        </row>
        <row r="515">
          <cell r="EG515">
            <v>0.37605122290187121</v>
          </cell>
        </row>
        <row r="516">
          <cell r="EG516">
            <v>5.2332615458067437E-2</v>
          </cell>
        </row>
        <row r="517">
          <cell r="EG517">
            <v>8.8292607145678215E-2</v>
          </cell>
        </row>
        <row r="518">
          <cell r="EG518">
            <v>0.35826941677188984</v>
          </cell>
        </row>
        <row r="519">
          <cell r="EG519">
            <v>0.14518200984449789</v>
          </cell>
        </row>
        <row r="520">
          <cell r="EG520">
            <v>-0.12501533421824082</v>
          </cell>
        </row>
        <row r="521">
          <cell r="EG521">
            <v>0.1204893972541263</v>
          </cell>
        </row>
        <row r="522">
          <cell r="EG522">
            <v>3.5268138837457837E-2</v>
          </cell>
        </row>
        <row r="523">
          <cell r="EG523">
            <v>0.15906469462968728</v>
          </cell>
        </row>
        <row r="524">
          <cell r="EG524">
            <v>7.8471615441495099E-2</v>
          </cell>
        </row>
        <row r="525">
          <cell r="EG525">
            <v>0.30582985896211862</v>
          </cell>
        </row>
        <row r="526">
          <cell r="EG526">
            <v>-3.9565600206191251E-2</v>
          </cell>
        </row>
        <row r="527">
          <cell r="EG527">
            <v>9.9338565242906747E-3</v>
          </cell>
        </row>
        <row r="528">
          <cell r="EG528">
            <v>-0.24826183814859593</v>
          </cell>
        </row>
        <row r="529">
          <cell r="EG529">
            <v>6.3699242867576347E-2</v>
          </cell>
        </row>
        <row r="530">
          <cell r="EG530">
            <v>-7.3287795769832229E-2</v>
          </cell>
        </row>
        <row r="531">
          <cell r="EG531">
            <v>9.600693989820766E-2</v>
          </cell>
        </row>
        <row r="532">
          <cell r="EG532">
            <v>7.9796916840297008E-2</v>
          </cell>
        </row>
        <row r="533">
          <cell r="EG533">
            <v>-3.6285159739764483E-2</v>
          </cell>
        </row>
        <row r="534">
          <cell r="EG534">
            <v>0.18270998173571926</v>
          </cell>
        </row>
        <row r="535">
          <cell r="EG535">
            <v>0.28897993116738091</v>
          </cell>
        </row>
        <row r="536">
          <cell r="EG536">
            <v>0.16332505610329945</v>
          </cell>
        </row>
        <row r="537">
          <cell r="EG537">
            <v>0.3290672886146353</v>
          </cell>
        </row>
        <row r="538">
          <cell r="EG538">
            <v>9.1644589911117916E-2</v>
          </cell>
        </row>
        <row r="539">
          <cell r="EG539">
            <v>-1.4803851704342195E-3</v>
          </cell>
        </row>
        <row r="540">
          <cell r="EG540">
            <v>-8.8731726804865702E-3</v>
          </cell>
        </row>
        <row r="541">
          <cell r="EG541">
            <v>8.5837436913916553E-3</v>
          </cell>
        </row>
        <row r="542">
          <cell r="EG542">
            <v>-1.3187004281953688E-2</v>
          </cell>
        </row>
        <row r="543">
          <cell r="EG543">
            <v>-2.4875634718017465E-3</v>
          </cell>
        </row>
        <row r="544">
          <cell r="EG544">
            <v>2.3842188962759872E-2</v>
          </cell>
        </row>
        <row r="545">
          <cell r="EG545">
            <v>-0.11674191114797298</v>
          </cell>
        </row>
        <row r="546">
          <cell r="EG546">
            <v>-7.1428875123802247E-3</v>
          </cell>
        </row>
        <row r="547">
          <cell r="EG547">
            <v>-8.2836005579149052E-2</v>
          </cell>
        </row>
        <row r="548">
          <cell r="EG548">
            <v>4.0622969741013162E-2</v>
          </cell>
        </row>
        <row r="549">
          <cell r="EG549">
            <v>2.7587956518828963E-2</v>
          </cell>
        </row>
        <row r="550">
          <cell r="EG550">
            <v>-9.0294067193941521E-3</v>
          </cell>
        </row>
        <row r="551">
          <cell r="EG551">
            <v>2.3438572972017381E-2</v>
          </cell>
        </row>
        <row r="552">
          <cell r="EG552">
            <v>0.3262157364540238</v>
          </cell>
        </row>
        <row r="553">
          <cell r="EG553">
            <v>0.28355835526791878</v>
          </cell>
        </row>
        <row r="554">
          <cell r="EG554">
            <v>0.23195418099636469</v>
          </cell>
        </row>
        <row r="555">
          <cell r="EG555">
            <v>0.24526135656782874</v>
          </cell>
        </row>
        <row r="556">
          <cell r="EG556">
            <v>-1.6992357529598016E-3</v>
          </cell>
        </row>
        <row r="557">
          <cell r="EG557">
            <v>2.895396236301738E-2</v>
          </cell>
        </row>
        <row r="558">
          <cell r="EG558">
            <v>5.7798004523728484E-2</v>
          </cell>
        </row>
        <row r="559">
          <cell r="EG559">
            <v>-3.2789822822990838E-2</v>
          </cell>
        </row>
        <row r="560">
          <cell r="EG560">
            <v>5.9316577156419505E-2</v>
          </cell>
        </row>
        <row r="561">
          <cell r="EG561">
            <v>-0.18010180005564178</v>
          </cell>
        </row>
        <row r="562">
          <cell r="EG562">
            <v>0.20067069546215124</v>
          </cell>
        </row>
        <row r="563">
          <cell r="EG563">
            <v>9.2249733651218802E-2</v>
          </cell>
        </row>
        <row r="564">
          <cell r="EG564">
            <v>0.35197642315717803</v>
          </cell>
        </row>
        <row r="565">
          <cell r="EG565">
            <v>7.4634981388580698E-2</v>
          </cell>
        </row>
        <row r="566">
          <cell r="EG566">
            <v>-0.17614167048104634</v>
          </cell>
        </row>
        <row r="567">
          <cell r="EG567">
            <v>9.9254958095341267E-2</v>
          </cell>
        </row>
        <row r="568">
          <cell r="EG568">
            <v>4.6520015634892907E-2</v>
          </cell>
        </row>
        <row r="569">
          <cell r="EG569">
            <v>0.15054273845105912</v>
          </cell>
        </row>
        <row r="570">
          <cell r="EG570">
            <v>7.1176278467894954E-2</v>
          </cell>
        </row>
        <row r="571">
          <cell r="EG571">
            <v>-8.2789571820766766E-2</v>
          </cell>
        </row>
        <row r="572">
          <cell r="EG572">
            <v>3.5026305512020745E-3</v>
          </cell>
        </row>
        <row r="573">
          <cell r="EG573">
            <v>0.15895453213990365</v>
          </cell>
        </row>
        <row r="574">
          <cell r="EG574">
            <v>0.26298945986140942</v>
          </cell>
        </row>
        <row r="575">
          <cell r="EG575">
            <v>0.11068721267491431</v>
          </cell>
        </row>
        <row r="576">
          <cell r="EG576">
            <v>-0.1196229625783907</v>
          </cell>
        </row>
        <row r="577">
          <cell r="EG577">
            <v>0.19936982183510063</v>
          </cell>
        </row>
        <row r="578">
          <cell r="EG578">
            <v>0.19435953535343381</v>
          </cell>
        </row>
        <row r="579">
          <cell r="EG579">
            <v>-7.5637414205619952E-2</v>
          </cell>
        </row>
        <row r="580">
          <cell r="EG580">
            <v>7.3803974583361381E-2</v>
          </cell>
        </row>
        <row r="581">
          <cell r="EG581">
            <v>0.16829002598969675</v>
          </cell>
        </row>
        <row r="582">
          <cell r="EG582">
            <v>0.25614146902922186</v>
          </cell>
        </row>
        <row r="583">
          <cell r="EG583">
            <v>-5.5940015882339447E-2</v>
          </cell>
        </row>
        <row r="584">
          <cell r="EG584">
            <v>-0.10836803672178152</v>
          </cell>
        </row>
        <row r="585">
          <cell r="EG585">
            <v>-3.8099846232270293E-2</v>
          </cell>
        </row>
        <row r="586">
          <cell r="EG586">
            <v>3.6813973122716184E-2</v>
          </cell>
        </row>
        <row r="587">
          <cell r="EG587">
            <v>6.5574005461590396E-3</v>
          </cell>
        </row>
        <row r="588">
          <cell r="EG588">
            <v>5.1672010544320857E-2</v>
          </cell>
        </row>
        <row r="589">
          <cell r="EG589">
            <v>-2.3623145763435827E-2</v>
          </cell>
        </row>
        <row r="590">
          <cell r="EG590">
            <v>0.23474909743451763</v>
          </cell>
        </row>
        <row r="591">
          <cell r="EG591">
            <v>-5.4351675830578115E-2</v>
          </cell>
        </row>
        <row r="592">
          <cell r="EG592">
            <v>-3.0153038170687558E-2</v>
          </cell>
        </row>
        <row r="593">
          <cell r="EG593">
            <v>2.763561017208634E-2</v>
          </cell>
        </row>
        <row r="594">
          <cell r="EG594">
            <v>-2.6433257068155597E-2</v>
          </cell>
        </row>
        <row r="595">
          <cell r="EG595">
            <v>0.30469341827831758</v>
          </cell>
        </row>
        <row r="596">
          <cell r="EG596">
            <v>0.11255479129185356</v>
          </cell>
        </row>
        <row r="597">
          <cell r="EG597">
            <v>-1.7391742711869222E-2</v>
          </cell>
        </row>
        <row r="598">
          <cell r="EG598">
            <v>5.1439911204762039E-2</v>
          </cell>
        </row>
        <row r="599">
          <cell r="EG599">
            <v>0.21948150170769531</v>
          </cell>
        </row>
        <row r="600">
          <cell r="EG600">
            <v>0.27412910604707741</v>
          </cell>
        </row>
        <row r="601">
          <cell r="EG601">
            <v>8.6831375189125828E-2</v>
          </cell>
        </row>
        <row r="602">
          <cell r="EG602">
            <v>-1.365208916832732E-2</v>
          </cell>
        </row>
        <row r="603">
          <cell r="EG603">
            <v>1.2539186595936812E-3</v>
          </cell>
        </row>
        <row r="604">
          <cell r="EG604">
            <v>0.15040395382564978</v>
          </cell>
        </row>
        <row r="605">
          <cell r="EG605">
            <v>7.4239390712822666E-3</v>
          </cell>
        </row>
        <row r="606">
          <cell r="EG606">
            <v>0.13016249555841777</v>
          </cell>
        </row>
        <row r="607">
          <cell r="EG607">
            <v>0.22381222402384554</v>
          </cell>
        </row>
        <row r="608">
          <cell r="EG608">
            <v>9.3023926623134103E-3</v>
          </cell>
        </row>
        <row r="609">
          <cell r="EG609">
            <v>0</v>
          </cell>
        </row>
        <row r="610">
          <cell r="EG610">
            <v>0.1252378841626062</v>
          </cell>
        </row>
        <row r="611">
          <cell r="EG611">
            <v>-3.0583423372080278E-2</v>
          </cell>
        </row>
        <row r="612">
          <cell r="EG612">
            <v>9.0596895352226647E-2</v>
          </cell>
        </row>
        <row r="613">
          <cell r="EG613">
            <v>-0.12244070593036432</v>
          </cell>
        </row>
        <row r="614">
          <cell r="EG614">
            <v>8.8266082298526255E-2</v>
          </cell>
        </row>
        <row r="615">
          <cell r="EG615">
            <v>-8.0000426670761519E-3</v>
          </cell>
        </row>
        <row r="616">
          <cell r="EG616">
            <v>0.20983958568784697</v>
          </cell>
        </row>
        <row r="617">
          <cell r="EG617">
            <v>-2.1309786586750985E-2</v>
          </cell>
        </row>
        <row r="618">
          <cell r="EG618">
            <v>0.13414470144472854</v>
          </cell>
        </row>
        <row r="619">
          <cell r="EG619">
            <v>-2.7939368689241538E-2</v>
          </cell>
        </row>
        <row r="620">
          <cell r="EG620">
            <v>0.26884912411868872</v>
          </cell>
        </row>
        <row r="621">
          <cell r="EG621">
            <v>-2.2989518224698833E-2</v>
          </cell>
        </row>
        <row r="622">
          <cell r="EG622">
            <v>-5.2463569535740766E-2</v>
          </cell>
        </row>
        <row r="623">
          <cell r="EG623">
            <v>0.16541108464563831</v>
          </cell>
        </row>
        <row r="624">
          <cell r="EG624">
            <v>-4.7104469187473463E-2</v>
          </cell>
        </row>
        <row r="625">
          <cell r="EG625">
            <v>7.3687715791159125E-2</v>
          </cell>
        </row>
        <row r="626">
          <cell r="EG626">
            <v>1.8814680997055703E-3</v>
          </cell>
        </row>
        <row r="627">
          <cell r="EG627">
            <v>0</v>
          </cell>
        </row>
        <row r="628">
          <cell r="EG628">
            <v>-8.7011376989629685E-2</v>
          </cell>
        </row>
        <row r="629">
          <cell r="EG629">
            <v>0.48199577829099954</v>
          </cell>
        </row>
        <row r="630">
          <cell r="EG630">
            <v>-0.14235429638688876</v>
          </cell>
        </row>
        <row r="631">
          <cell r="EG631">
            <v>6.4469151361954677E-2</v>
          </cell>
        </row>
        <row r="632">
          <cell r="EG632">
            <v>3.0526590659155427E-2</v>
          </cell>
        </row>
        <row r="633">
          <cell r="EG633">
            <v>-2.6907452919924382E-2</v>
          </cell>
        </row>
        <row r="634">
          <cell r="EG634">
            <v>-2.8987536873252298E-2</v>
          </cell>
        </row>
        <row r="635">
          <cell r="EG635">
            <v>-0.14080726465357396</v>
          </cell>
        </row>
        <row r="636">
          <cell r="EG636">
            <v>3.8614836127779516E-2</v>
          </cell>
        </row>
        <row r="637">
          <cell r="EG637">
            <v>-0.17036796998101295</v>
          </cell>
        </row>
        <row r="638">
          <cell r="EG638">
            <v>-0.34498718914536319</v>
          </cell>
        </row>
        <row r="639">
          <cell r="EG639">
            <v>-0.13580154115906176</v>
          </cell>
        </row>
        <row r="640">
          <cell r="EG640">
            <v>1.7926216268151895E-2</v>
          </cell>
        </row>
        <row r="641">
          <cell r="EG641">
            <v>-0.10536051565782628</v>
          </cell>
        </row>
        <row r="642">
          <cell r="EG642">
            <v>-3.0991753308337776E-2</v>
          </cell>
        </row>
        <row r="643">
          <cell r="EG643">
            <v>5.4005531800002888E-3</v>
          </cell>
        </row>
        <row r="644">
          <cell r="EG644">
            <v>0.18165732561709189</v>
          </cell>
        </row>
        <row r="645">
          <cell r="EG645">
            <v>-5.8683501828090297E-2</v>
          </cell>
        </row>
        <row r="646">
          <cell r="EG646">
            <v>-0.24832712210117075</v>
          </cell>
        </row>
        <row r="647">
          <cell r="EG647">
            <v>-0.15891346589593985</v>
          </cell>
        </row>
        <row r="648">
          <cell r="EG648">
            <v>-3.484673133016819E-2</v>
          </cell>
        </row>
        <row r="649">
          <cell r="EG649">
            <v>9.732834396056203E-2</v>
          </cell>
        </row>
        <row r="650">
          <cell r="EG650">
            <v>5.4067221270275793E-2</v>
          </cell>
        </row>
        <row r="651">
          <cell r="EG651">
            <v>-6.3239458135916984E-2</v>
          </cell>
        </row>
        <row r="652">
          <cell r="EG652">
            <v>0.12799887505479693</v>
          </cell>
        </row>
        <row r="653">
          <cell r="EG653">
            <v>-4.8246833539385435E-2</v>
          </cell>
        </row>
        <row r="654">
          <cell r="EG654">
            <v>-3.5993602647905368E-2</v>
          </cell>
        </row>
        <row r="655">
          <cell r="EG655">
            <v>-1.6321768485694447E-2</v>
          </cell>
        </row>
        <row r="656">
          <cell r="EG656">
            <v>-0.15956097255550597</v>
          </cell>
        </row>
        <row r="657">
          <cell r="EG657">
            <v>6.1748007068447033E-2</v>
          </cell>
        </row>
        <row r="658">
          <cell r="EG658">
            <v>0.13636827395972226</v>
          </cell>
        </row>
        <row r="659">
          <cell r="EG659">
            <v>0.13664181503891498</v>
          </cell>
        </row>
        <row r="660">
          <cell r="EG660">
            <v>-6.4949620835036054E-2</v>
          </cell>
        </row>
        <row r="661">
          <cell r="EG661">
            <v>-8.7180053721074666E-2</v>
          </cell>
        </row>
        <row r="662">
          <cell r="EG662">
            <v>9.1169387138293465E-2</v>
          </cell>
        </row>
        <row r="663">
          <cell r="EG663">
            <v>-0.18885447783557757</v>
          </cell>
        </row>
        <row r="664">
          <cell r="EG664">
            <v>2.9778875355611172E-2</v>
          </cell>
        </row>
        <row r="665">
          <cell r="EG665">
            <v>0.18859116980754997</v>
          </cell>
        </row>
        <row r="666">
          <cell r="EG666">
            <v>-5.1293294387550578E-2</v>
          </cell>
        </row>
        <row r="667">
          <cell r="EG667">
            <v>-2.6386755173194887E-2</v>
          </cell>
        </row>
        <row r="668">
          <cell r="EG668">
            <v>-5.3662280993432412E-2</v>
          </cell>
        </row>
        <row r="669">
          <cell r="EG669">
            <v>2.3953241022492796E-2</v>
          </cell>
        </row>
        <row r="670">
          <cell r="EG670">
            <v>-3.8343355197647394E-2</v>
          </cell>
        </row>
        <row r="671">
          <cell r="EG671">
            <v>8.4634385140709353E-2</v>
          </cell>
        </row>
        <row r="672">
          <cell r="EG672">
            <v>2.435844383204044E-2</v>
          </cell>
        </row>
        <row r="673">
          <cell r="EG673">
            <v>0.17848278048678884</v>
          </cell>
        </row>
        <row r="674">
          <cell r="EG674">
            <v>-9.9529595347033054E-2</v>
          </cell>
        </row>
        <row r="675">
          <cell r="EG675">
            <v>-2.1422435587406832E-2</v>
          </cell>
        </row>
        <row r="676">
          <cell r="EG676">
            <v>4.0491361354736993E-2</v>
          </cell>
        </row>
        <row r="677">
          <cell r="EG677">
            <v>-8.9153636579522803E-3</v>
          </cell>
        </row>
        <row r="678">
          <cell r="EG678">
            <v>-0.11332868530700312</v>
          </cell>
        </row>
        <row r="679">
          <cell r="EG679">
            <v>-2.3739987303073057E-2</v>
          </cell>
        </row>
        <row r="680">
          <cell r="EG680">
            <v>4.6956983087771083E-2</v>
          </cell>
        </row>
        <row r="681">
          <cell r="EG681">
            <v>0.12712200743933907</v>
          </cell>
        </row>
        <row r="682">
          <cell r="EG682">
            <v>-4.6792161506758939E-2</v>
          </cell>
        </row>
        <row r="683">
          <cell r="EG683">
            <v>-1.2024192966801701E-2</v>
          </cell>
        </row>
        <row r="684">
          <cell r="EG684">
            <v>0.13309192876335185</v>
          </cell>
        </row>
        <row r="685">
          <cell r="EG685">
            <v>0.16220441463435506</v>
          </cell>
        </row>
        <row r="686">
          <cell r="EG686">
            <v>8.9185628506210715E-2</v>
          </cell>
        </row>
        <row r="687">
          <cell r="EG687">
            <v>-8.23049913651548E-3</v>
          </cell>
        </row>
        <row r="688">
          <cell r="EG688">
            <v>-3.8976094756758249E-2</v>
          </cell>
        </row>
        <row r="689">
          <cell r="EG689">
            <v>4.7628048989254664E-2</v>
          </cell>
        </row>
        <row r="690">
          <cell r="EG690">
            <v>-0.13333544866386834</v>
          </cell>
        </row>
        <row r="691">
          <cell r="EG691">
            <v>-2.5105921131076243E-2</v>
          </cell>
        </row>
        <row r="692">
          <cell r="EG692">
            <v>2.2111453607430966E-2</v>
          </cell>
        </row>
        <row r="693">
          <cell r="EG693">
            <v>-2.1053409197832267E-2</v>
          </cell>
        </row>
        <row r="694">
          <cell r="EG694">
            <v>-1.74469136037207E-2</v>
          </cell>
        </row>
        <row r="695">
          <cell r="EG695">
            <v>-4.2022989774847926E-2</v>
          </cell>
        </row>
        <row r="696">
          <cell r="EG696">
            <v>5.3244514518812285E-2</v>
          </cell>
        </row>
        <row r="697">
          <cell r="EG697">
            <v>4.5909701304077948E-2</v>
          </cell>
        </row>
        <row r="698">
          <cell r="EG698">
            <v>-5.7748001735100855E-2</v>
          </cell>
        </row>
        <row r="699">
          <cell r="EG699">
            <v>-8.9516597506567055E-2</v>
          </cell>
        </row>
        <row r="700">
          <cell r="EG700">
            <v>-1.224277951567744E-2</v>
          </cell>
        </row>
        <row r="701">
          <cell r="EG701">
            <v>-3.8839833316264012E-2</v>
          </cell>
        </row>
        <row r="702">
          <cell r="EG702">
            <v>0</v>
          </cell>
        </row>
        <row r="703">
          <cell r="EG703">
            <v>5.5401803756153509E-3</v>
          </cell>
        </row>
        <row r="704">
          <cell r="EG704">
            <v>0.27180872329549083</v>
          </cell>
        </row>
        <row r="705">
          <cell r="EG705">
            <v>-0.11820542214629585</v>
          </cell>
        </row>
        <row r="706">
          <cell r="EG706">
            <v>-9.554088692266284E-2</v>
          </cell>
        </row>
        <row r="707">
          <cell r="EG707">
            <v>-0.10601819407679704</v>
          </cell>
        </row>
        <row r="708">
          <cell r="EG708">
            <v>0.1274230309214435</v>
          </cell>
        </row>
        <row r="709">
          <cell r="EG709">
            <v>2.4692612590371414E-2</v>
          </cell>
        </row>
        <row r="710">
          <cell r="EG710">
            <v>-2.4881666376736548E-2</v>
          </cell>
        </row>
        <row r="711">
          <cell r="EG711">
            <v>0.33998717872865741</v>
          </cell>
        </row>
        <row r="712">
          <cell r="EG712">
            <v>1.3958352250706855E-2</v>
          </cell>
        </row>
        <row r="713">
          <cell r="EG713">
            <v>-2.1721823146835684E-2</v>
          </cell>
        </row>
        <row r="714">
          <cell r="EG714">
            <v>-7.4107972153721849E-2</v>
          </cell>
        </row>
        <row r="715">
          <cell r="EG715">
            <v>-0.11159106540846223</v>
          </cell>
        </row>
        <row r="716">
          <cell r="EG716">
            <v>-0.15848908142585647</v>
          </cell>
        </row>
        <row r="717">
          <cell r="EG717">
            <v>0.12900097888170017</v>
          </cell>
        </row>
        <row r="718">
          <cell r="EG718">
            <v>4.8527040894660381E-2</v>
          </cell>
        </row>
        <row r="719">
          <cell r="EG719">
            <v>1.4706147389695487E-2</v>
          </cell>
        </row>
        <row r="720">
          <cell r="EG720">
            <v>-3.1416196233379039E-2</v>
          </cell>
        </row>
        <row r="721">
          <cell r="EG721">
            <v>0.29764607861213066</v>
          </cell>
        </row>
        <row r="722">
          <cell r="EG722">
            <v>-6.7282007083321937E-2</v>
          </cell>
        </row>
        <row r="723">
          <cell r="EG723">
            <v>-1.2931214672248779E-2</v>
          </cell>
        </row>
        <row r="724">
          <cell r="EG724">
            <v>5.1523153025500826E-2</v>
          </cell>
        </row>
        <row r="725">
          <cell r="EG725">
            <v>1.5037877364540502E-2</v>
          </cell>
        </row>
        <row r="726">
          <cell r="EG726">
            <v>-7.5162268508627991E-2</v>
          </cell>
        </row>
        <row r="727">
          <cell r="EG727">
            <v>2.1528533611010927E-3</v>
          </cell>
        </row>
        <row r="728">
          <cell r="EG728">
            <v>1.4388737452099452E-2</v>
          </cell>
        </row>
        <row r="729">
          <cell r="EG729">
            <v>-7.6453555715442253E-2</v>
          </cell>
        </row>
        <row r="730">
          <cell r="EG730">
            <v>-3.0607845086241561E-2</v>
          </cell>
        </row>
        <row r="731">
          <cell r="EG731">
            <v>-0.1062417393568242</v>
          </cell>
        </row>
        <row r="732">
          <cell r="EG732">
            <v>3.9758492139084362E-2</v>
          </cell>
        </row>
        <row r="733">
          <cell r="EG733">
            <v>0.30448919076816211</v>
          </cell>
        </row>
        <row r="734">
          <cell r="EG734">
            <v>-2.4949319047948615E-2</v>
          </cell>
        </row>
        <row r="735">
          <cell r="EG735">
            <v>1.398624197473987E-2</v>
          </cell>
        </row>
        <row r="736">
          <cell r="EG736">
            <v>-0.14021843600485553</v>
          </cell>
        </row>
        <row r="737">
          <cell r="EG737">
            <v>0.712449932814474</v>
          </cell>
        </row>
        <row r="738">
          <cell r="EG738">
            <v>5.7922647732704301E-2</v>
          </cell>
        </row>
        <row r="739">
          <cell r="EG739">
            <v>0.22314355131420976</v>
          </cell>
        </row>
        <row r="740">
          <cell r="EG740">
            <v>-2.3975911875711305E-2</v>
          </cell>
        </row>
        <row r="741">
          <cell r="EG741">
            <v>9.3943333209867905E-2</v>
          </cell>
        </row>
        <row r="742">
          <cell r="EG742">
            <v>4.7790663836348481E-2</v>
          </cell>
        </row>
        <row r="743">
          <cell r="EG743">
            <v>-4.5985113241823382E-2</v>
          </cell>
        </row>
        <row r="744">
          <cell r="EG744">
            <v>7.4107972153721835E-2</v>
          </cell>
        </row>
        <row r="745">
          <cell r="EG745">
            <v>-8.8425471026827643E-2</v>
          </cell>
        </row>
        <row r="746">
          <cell r="EG746">
            <v>7.9681696491768813E-3</v>
          </cell>
        </row>
        <row r="747">
          <cell r="EG747">
            <v>-1.5839064029746181E-2</v>
          </cell>
        </row>
        <row r="748">
          <cell r="EG748">
            <v>-6.4538521137571178E-2</v>
          </cell>
        </row>
        <row r="749">
          <cell r="EG749">
            <v>0</v>
          </cell>
        </row>
        <row r="750">
          <cell r="EG750">
            <v>5.5688905860588632E-2</v>
          </cell>
        </row>
        <row r="751">
          <cell r="EG751">
            <v>-5.8443595870074548E-2</v>
          </cell>
        </row>
        <row r="752">
          <cell r="EG752">
            <v>-7.0780182061047234E-2</v>
          </cell>
        </row>
        <row r="753">
          <cell r="EG753">
            <v>0.23211222129697015</v>
          </cell>
        </row>
        <row r="754">
          <cell r="EG754">
            <v>0.26121549926361765</v>
          </cell>
        </row>
        <row r="755">
          <cell r="EG755">
            <v>-1.6652793190612089E-3</v>
          </cell>
        </row>
        <row r="756">
          <cell r="EG756">
            <v>6.506203822738278E-3</v>
          </cell>
        </row>
        <row r="757">
          <cell r="EG757">
            <v>-4.7954393122035865E-2</v>
          </cell>
        </row>
        <row r="758">
          <cell r="EG758">
            <v>-0.13376676981755939</v>
          </cell>
        </row>
        <row r="759">
          <cell r="EG759">
            <v>7.7220460939103185E-3</v>
          </cell>
        </row>
        <row r="760">
          <cell r="EG760">
            <v>-7.7030009031600316E-2</v>
          </cell>
        </row>
        <row r="761">
          <cell r="EG761">
            <v>-1.4815085785140587E-2</v>
          </cell>
        </row>
        <row r="762">
          <cell r="EG762">
            <v>0.10178269430994238</v>
          </cell>
        </row>
        <row r="763">
          <cell r="EG763">
            <v>8.2058042419182228E-2</v>
          </cell>
        </row>
        <row r="764">
          <cell r="EG764">
            <v>-2.8882874148786052E-2</v>
          </cell>
        </row>
        <row r="765">
          <cell r="EG765">
            <v>-0.15415067982725836</v>
          </cell>
        </row>
        <row r="766">
          <cell r="EG766">
            <v>4.9132688577644808E-2</v>
          </cell>
        </row>
        <row r="767">
          <cell r="EG767">
            <v>-4.1714091412475084E-2</v>
          </cell>
        </row>
        <row r="768">
          <cell r="EG768">
            <v>1.6807118316381407E-2</v>
          </cell>
        </row>
        <row r="769">
          <cell r="EG769">
            <v>0.10975086395911909</v>
          </cell>
        </row>
        <row r="770">
          <cell r="EG770">
            <v>6.0240080377356717E-2</v>
          </cell>
        </row>
        <row r="771">
          <cell r="EG771">
            <v>-4.4632154020768262E-2</v>
          </cell>
        </row>
        <row r="772">
          <cell r="EG772">
            <v>-4.9950930405394313E-2</v>
          </cell>
        </row>
        <row r="773">
          <cell r="EG773">
            <v>-5.4371403782126917E-2</v>
          </cell>
        </row>
        <row r="774">
          <cell r="EG774">
            <v>8.1282633436856766E-2</v>
          </cell>
        </row>
        <row r="775">
          <cell r="EG775">
            <v>2.3669744085904922E-2</v>
          </cell>
        </row>
        <row r="776">
          <cell r="EG776">
            <v>-7.9365495957363034E-3</v>
          </cell>
        </row>
        <row r="777">
          <cell r="EG777">
            <v>1.898245091229003E-2</v>
          </cell>
        </row>
        <row r="778">
          <cell r="EG778">
            <v>-3.9560164699833027E-2</v>
          </cell>
        </row>
        <row r="779">
          <cell r="EG779">
            <v>0.13921489640965617</v>
          </cell>
        </row>
        <row r="780">
          <cell r="EG780">
            <v>1.4815085785140682E-2</v>
          </cell>
        </row>
        <row r="781">
          <cell r="EG781">
            <v>-0.16936241215144945</v>
          </cell>
        </row>
        <row r="782">
          <cell r="EG782">
            <v>-0.11230356989175794</v>
          </cell>
        </row>
        <row r="783">
          <cell r="EG783">
            <v>-9.015109699429745E-2</v>
          </cell>
        </row>
        <row r="784">
          <cell r="EG784">
            <v>-7.8629098236825345E-2</v>
          </cell>
        </row>
        <row r="785">
          <cell r="EG785">
            <v>5.8872000550569854E-2</v>
          </cell>
        </row>
        <row r="786">
          <cell r="EG786">
            <v>3.0068410742887585E-2</v>
          </cell>
        </row>
        <row r="787">
          <cell r="EG787">
            <v>-3.2051309489484468E-3</v>
          </cell>
        </row>
        <row r="788">
          <cell r="EG788">
            <v>-4.5891993256655141E-2</v>
          </cell>
        </row>
        <row r="789">
          <cell r="EG789">
            <v>6.5427805322455401E-2</v>
          </cell>
        </row>
        <row r="790">
          <cell r="EG790">
            <v>0.14049036294882628</v>
          </cell>
        </row>
        <row r="791">
          <cell r="EG791">
            <v>6.8467799277460828E-2</v>
          </cell>
        </row>
        <row r="792">
          <cell r="EG792">
            <v>0.1591216925492786</v>
          </cell>
        </row>
        <row r="793">
          <cell r="EG793">
            <v>0.22027776364996748</v>
          </cell>
        </row>
        <row r="794">
          <cell r="EG794">
            <v>4.2559614418795903E-2</v>
          </cell>
        </row>
        <row r="795">
          <cell r="EG795">
            <v>5.9612402801515224E-2</v>
          </cell>
        </row>
        <row r="796">
          <cell r="EG796">
            <v>-4.2819997182928185E-2</v>
          </cell>
        </row>
        <row r="797">
          <cell r="EG797">
            <v>-5.7652851427277378E-2</v>
          </cell>
        </row>
        <row r="798">
          <cell r="EG798">
            <v>-2.5718529287989234E-2</v>
          </cell>
        </row>
        <row r="799">
          <cell r="EG799">
            <v>0.21668452271245153</v>
          </cell>
        </row>
        <row r="800">
          <cell r="EG800">
            <v>2.7169905351927856E-2</v>
          </cell>
        </row>
        <row r="801">
          <cell r="EG801">
            <v>5.8475469903895703E-2</v>
          </cell>
        </row>
        <row r="802">
          <cell r="EG802">
            <v>6.8618969818732986E-2</v>
          </cell>
        </row>
        <row r="803">
          <cell r="EG803">
            <v>0.27211755591066933</v>
          </cell>
        </row>
        <row r="804">
          <cell r="EG804">
            <v>0.3216952250427057</v>
          </cell>
        </row>
        <row r="805">
          <cell r="EG805">
            <v>0</v>
          </cell>
        </row>
        <row r="806">
          <cell r="EG806">
            <v>5.3652713492320002E-2</v>
          </cell>
        </row>
        <row r="807">
          <cell r="EG807">
            <v>-0.21148161156636672</v>
          </cell>
        </row>
        <row r="808">
          <cell r="EG808">
            <v>5.0985554732867741E-2</v>
          </cell>
        </row>
        <row r="809">
          <cell r="EG809">
            <v>0.12912286233975653</v>
          </cell>
        </row>
        <row r="810">
          <cell r="EG810">
            <v>8.5655444578493806E-2</v>
          </cell>
        </row>
        <row r="811">
          <cell r="EG811">
            <v>5.9638266319731244E-2</v>
          </cell>
        </row>
        <row r="812">
          <cell r="EG812">
            <v>-1.499278458614128E-2</v>
          </cell>
        </row>
        <row r="813">
          <cell r="EG813">
            <v>-8.0364509768027031E-2</v>
          </cell>
        </row>
        <row r="814">
          <cell r="EG814">
            <v>-0.14432816035473986</v>
          </cell>
        </row>
        <row r="815">
          <cell r="EG815">
            <v>-6.0292230256120009E-2</v>
          </cell>
        </row>
        <row r="816">
          <cell r="EG816">
            <v>-0.12211719134008256</v>
          </cell>
        </row>
        <row r="817">
          <cell r="EG817">
            <v>-0.1458518770125633</v>
          </cell>
        </row>
        <row r="818">
          <cell r="EG818">
            <v>-0.16063332240231382</v>
          </cell>
        </row>
        <row r="819">
          <cell r="EG819">
            <v>-4.4150182091168312E-3</v>
          </cell>
        </row>
        <row r="820">
          <cell r="EG820">
            <v>-0.31524001651543881</v>
          </cell>
        </row>
        <row r="821">
          <cell r="EG821">
            <v>1.1834457647002798E-2</v>
          </cell>
        </row>
        <row r="822">
          <cell r="EG822">
            <v>0.20964173188033813</v>
          </cell>
        </row>
        <row r="823">
          <cell r="EG823">
            <v>-6.8755595415129961E-2</v>
          </cell>
        </row>
        <row r="824">
          <cell r="EG824">
            <v>-0.17347194151697204</v>
          </cell>
        </row>
        <row r="825">
          <cell r="EG825">
            <v>-8.8653683156100505E-2</v>
          </cell>
        </row>
        <row r="826">
          <cell r="EG826">
            <v>4.1158072493507551E-2</v>
          </cell>
        </row>
        <row r="827">
          <cell r="EG827">
            <v>-0.13161139203469832</v>
          </cell>
        </row>
        <row r="828">
          <cell r="EG828">
            <v>0.16492981408208537</v>
          </cell>
        </row>
        <row r="829">
          <cell r="EG829">
            <v>-5.0010420574661305E-2</v>
          </cell>
        </row>
        <row r="830">
          <cell r="EG830">
            <v>0</v>
          </cell>
        </row>
        <row r="831">
          <cell r="EG831">
            <v>-3.559094510270263E-2</v>
          </cell>
        </row>
        <row r="832">
          <cell r="EG832">
            <v>-0.21559634567882674</v>
          </cell>
        </row>
        <row r="833">
          <cell r="EG833">
            <v>-6.8467799277460717E-2</v>
          </cell>
        </row>
        <row r="834">
          <cell r="EG834">
            <v>0.16833531481921474</v>
          </cell>
        </row>
        <row r="835">
          <cell r="EG835">
            <v>-8.866563708565639E-2</v>
          </cell>
        </row>
        <row r="836">
          <cell r="EG836">
            <v>-9.8217628145446129E-2</v>
          </cell>
        </row>
        <row r="837">
          <cell r="EG837">
            <v>1.2270092591814401E-2</v>
          </cell>
        </row>
        <row r="838">
          <cell r="EG838">
            <v>-8.7705580419105575E-2</v>
          </cell>
        </row>
        <row r="839">
          <cell r="EG839">
            <v>-6.309169193264721E-3</v>
          </cell>
        </row>
        <row r="840">
          <cell r="EG840">
            <v>3.1278269954756167E-2</v>
          </cell>
        </row>
        <row r="841">
          <cell r="EG841">
            <v>3.6367644170874791E-2</v>
          </cell>
        </row>
        <row r="842">
          <cell r="EG842">
            <v>0.14132251557314626</v>
          </cell>
        </row>
        <row r="843">
          <cell r="EG843">
            <v>-8.9904257421134559E-2</v>
          </cell>
        </row>
        <row r="844">
          <cell r="EG844">
            <v>0.13478899077811229</v>
          </cell>
        </row>
        <row r="845">
          <cell r="EG845">
            <v>0.11737595240223742</v>
          </cell>
        </row>
        <row r="846">
          <cell r="EG846">
            <v>-1.7544309650909508E-2</v>
          </cell>
        </row>
        <row r="847">
          <cell r="EG847">
            <v>7.6592445481383664E-2</v>
          </cell>
        </row>
        <row r="848">
          <cell r="EG848">
            <v>0.10354067894084036</v>
          </cell>
        </row>
        <row r="849">
          <cell r="EG849">
            <v>0.23820201518841111</v>
          </cell>
        </row>
        <row r="850">
          <cell r="EG850">
            <v>-0.2108230669261692</v>
          </cell>
        </row>
        <row r="851">
          <cell r="EG851">
            <v>-1.081091610421573E-2</v>
          </cell>
        </row>
        <row r="852">
          <cell r="EG852">
            <v>-2.1841741915048753E-2</v>
          </cell>
        </row>
        <row r="853">
          <cell r="EG853">
            <v>-4.1637988037584464E-2</v>
          </cell>
        </row>
        <row r="854">
          <cell r="EG854">
            <v>0.78552050069096058</v>
          </cell>
        </row>
        <row r="855">
          <cell r="EG855">
            <v>1.4057739490231511E-2</v>
          </cell>
        </row>
        <row r="856">
          <cell r="EG856">
            <v>0.32626806644697126</v>
          </cell>
        </row>
        <row r="857">
          <cell r="EG857">
            <v>-1.7108644036294301E-3</v>
          </cell>
        </row>
        <row r="858">
          <cell r="EG858">
            <v>-5.6441310904951733E-2</v>
          </cell>
        </row>
        <row r="859">
          <cell r="EG859">
            <v>0.20027536041055044</v>
          </cell>
        </row>
        <row r="860">
          <cell r="EG860">
            <v>2.3065272930995969E-2</v>
          </cell>
        </row>
        <row r="861">
          <cell r="EG861">
            <v>0.18232155679395459</v>
          </cell>
        </row>
        <row r="862">
          <cell r="EG862">
            <v>-4.1294058459965338E-2</v>
          </cell>
        </row>
        <row r="863">
          <cell r="EG863">
            <v>0.12505277376897039</v>
          </cell>
        </row>
        <row r="864">
          <cell r="EG864">
            <v>5.2185753170570247E-2</v>
          </cell>
        </row>
        <row r="865">
          <cell r="EG865">
            <v>0.21588838043303776</v>
          </cell>
        </row>
        <row r="866">
          <cell r="EG866">
            <v>1.5748356968139331E-2</v>
          </cell>
        </row>
        <row r="867">
          <cell r="EG867">
            <v>-0.1113471787141419</v>
          </cell>
        </row>
        <row r="868">
          <cell r="EG868">
            <v>-5.4558984250434366E-2</v>
          </cell>
        </row>
        <row r="869">
          <cell r="EG869">
            <v>2.8987536873252406E-2</v>
          </cell>
        </row>
        <row r="870">
          <cell r="EG870">
            <v>3.243527575315374E-2</v>
          </cell>
        </row>
        <row r="871">
          <cell r="EG871">
            <v>-4.8790164169431945E-2</v>
          </cell>
        </row>
        <row r="872">
          <cell r="EG872">
            <v>-0.13486739816726495</v>
          </cell>
        </row>
        <row r="873">
          <cell r="EG873">
            <v>6.3994895138860849E-2</v>
          </cell>
        </row>
        <row r="874">
          <cell r="EG874">
            <v>-8.3985656073092829E-2</v>
          </cell>
        </row>
        <row r="875">
          <cell r="EG875">
            <v>-0.13755554292424799</v>
          </cell>
        </row>
        <row r="876">
          <cell r="EG876">
            <v>-0.11197367154954363</v>
          </cell>
        </row>
        <row r="877">
          <cell r="EG877">
            <v>-4.8318577270807683E-2</v>
          </cell>
        </row>
        <row r="878">
          <cell r="EG878">
            <v>-1.2959144642505228E-2</v>
          </cell>
        </row>
        <row r="879">
          <cell r="EG879">
            <v>-0.15906469462968739</v>
          </cell>
        </row>
        <row r="880">
          <cell r="EG880">
            <v>-7.7650934230065874E-2</v>
          </cell>
        </row>
        <row r="881">
          <cell r="EG881">
            <v>-2.9241849594497417E-2</v>
          </cell>
        </row>
        <row r="882">
          <cell r="EG882">
            <v>0.15786125922379404</v>
          </cell>
        </row>
        <row r="883">
          <cell r="EG883">
            <v>3.4305350967892222E-3</v>
          </cell>
        </row>
        <row r="884">
          <cell r="EG884">
            <v>1.777824602128375E-2</v>
          </cell>
        </row>
        <row r="885">
          <cell r="EG885">
            <v>0.22314355131420976</v>
          </cell>
        </row>
        <row r="886">
          <cell r="EG886">
            <v>-0.11000089521432846</v>
          </cell>
        </row>
        <row r="887">
          <cell r="EG887">
            <v>7.6409469142001182E-2</v>
          </cell>
        </row>
        <row r="888">
          <cell r="EG888">
            <v>1.4084739881739023E-2</v>
          </cell>
        </row>
        <row r="889">
          <cell r="EG889">
            <v>-6.2800901239030468E-2</v>
          </cell>
        </row>
        <row r="890">
          <cell r="EG890">
            <v>1.1299555253933466E-2</v>
          </cell>
        </row>
        <row r="891">
          <cell r="EG891">
            <v>-4.4543503493803087E-3</v>
          </cell>
        </row>
        <row r="892">
          <cell r="EG892">
            <v>-6.2613592727986764E-2</v>
          </cell>
        </row>
        <row r="893">
          <cell r="EG893">
            <v>7.2727593290798781E-3</v>
          </cell>
        </row>
        <row r="894">
          <cell r="EG894">
            <v>0.12900649802623293</v>
          </cell>
        </row>
        <row r="895">
          <cell r="EG895">
            <v>-5.5262678675049415E-2</v>
          </cell>
        </row>
        <row r="896">
          <cell r="EG896">
            <v>0.19938167953926286</v>
          </cell>
        </row>
        <row r="897">
          <cell r="EG897">
            <v>4.2559614418795903E-2</v>
          </cell>
        </row>
        <row r="898">
          <cell r="EG898">
            <v>-0.12880325142857663</v>
          </cell>
        </row>
        <row r="899">
          <cell r="EG899">
            <v>-0.12783337150988502</v>
          </cell>
        </row>
        <row r="900">
          <cell r="EG900">
            <v>-0.17843805676755697</v>
          </cell>
        </row>
        <row r="901">
          <cell r="EG901">
            <v>7.4349784875179905E-3</v>
          </cell>
        </row>
        <row r="902">
          <cell r="EG902">
            <v>3.2789822822990755E-2</v>
          </cell>
        </row>
        <row r="903">
          <cell r="EG903">
            <v>-2.6879088551242339E-2</v>
          </cell>
        </row>
        <row r="904">
          <cell r="EG904">
            <v>0.11441035117774412</v>
          </cell>
        </row>
        <row r="905">
          <cell r="EG905">
            <v>0.10536051565782635</v>
          </cell>
        </row>
        <row r="906">
          <cell r="EG906">
            <v>-5.2643733485422027E-2</v>
          </cell>
        </row>
        <row r="907">
          <cell r="EG907">
            <v>-3.797924806521645E-2</v>
          </cell>
        </row>
        <row r="908">
          <cell r="EG908">
            <v>0.10447024183984355</v>
          </cell>
        </row>
        <row r="909">
          <cell r="EG909">
            <v>7.843177461026099E-3</v>
          </cell>
        </row>
        <row r="910">
          <cell r="EG910">
            <v>0.18947033620762191</v>
          </cell>
        </row>
        <row r="911">
          <cell r="EG911">
            <v>4.0433569578490459E-2</v>
          </cell>
        </row>
        <row r="912">
          <cell r="EG912">
            <v>2.9027596579614102E-3</v>
          </cell>
        </row>
        <row r="913">
          <cell r="EG913">
            <v>-0.11179140598811668</v>
          </cell>
        </row>
        <row r="914">
          <cell r="EG914">
            <v>0</v>
          </cell>
        </row>
        <row r="915">
          <cell r="EG915">
            <v>-3.1875208530448951E-2</v>
          </cell>
        </row>
        <row r="916">
          <cell r="EG916">
            <v>1.6584128015535261E-2</v>
          </cell>
        </row>
        <row r="917">
          <cell r="EG917">
            <v>0.10467062256388859</v>
          </cell>
        </row>
        <row r="918">
          <cell r="EG918">
            <v>0.28768207245178085</v>
          </cell>
        </row>
        <row r="919">
          <cell r="EG919">
            <v>-1.3793322132335648E-2</v>
          </cell>
        </row>
        <row r="920">
          <cell r="EG920">
            <v>-8.7675167256286282E-2</v>
          </cell>
        </row>
        <row r="921">
          <cell r="EG921">
            <v>-4.7466537238923724E-2</v>
          </cell>
        </row>
        <row r="922">
          <cell r="EG922">
            <v>9.497466562570353E-2</v>
          </cell>
        </row>
        <row r="923">
          <cell r="EG923">
            <v>-7.0721656175412928E-2</v>
          </cell>
        </row>
        <row r="924">
          <cell r="EG924">
            <v>9.7374164025176374E-2</v>
          </cell>
        </row>
        <row r="925">
          <cell r="EG925">
            <v>0.1279809620938735</v>
          </cell>
        </row>
        <row r="926">
          <cell r="EG926">
            <v>-8.3230654149723776E-2</v>
          </cell>
        </row>
        <row r="927">
          <cell r="EG927">
            <v>8.0688911250142659E-2</v>
          </cell>
        </row>
        <row r="928">
          <cell r="EG928">
            <v>3.7811687743108426E-2</v>
          </cell>
        </row>
        <row r="929">
          <cell r="EG929">
            <v>-7.6881044335957743E-2</v>
          </cell>
        </row>
        <row r="930">
          <cell r="EG930">
            <v>-0.26875406256626216</v>
          </cell>
        </row>
        <row r="931">
          <cell r="EG931">
            <v>8.8349169831289737E-2</v>
          </cell>
        </row>
        <row r="932">
          <cell r="EG932">
            <v>-2.1978906718775115E-2</v>
          </cell>
        </row>
        <row r="933">
          <cell r="EG933">
            <v>0.12145545990864724</v>
          </cell>
        </row>
        <row r="934">
          <cell r="EG934">
            <v>3.0371097876298769E-2</v>
          </cell>
        </row>
        <row r="935">
          <cell r="EG935">
            <v>4.5043438167823191E-2</v>
          </cell>
        </row>
        <row r="936">
          <cell r="EG936">
            <v>-2.0682530640590683E-3</v>
          </cell>
        </row>
        <row r="937">
          <cell r="EG937">
            <v>3.929278139889557E-3</v>
          </cell>
        </row>
        <row r="938">
          <cell r="EG938">
            <v>-1.7346058122083075E-3</v>
          </cell>
        </row>
        <row r="939">
          <cell r="EG939">
            <v>-6.8992871486951435E-2</v>
          </cell>
        </row>
        <row r="940">
          <cell r="EG940">
            <v>3.3104998536058486E-2</v>
          </cell>
        </row>
        <row r="941">
          <cell r="EG941">
            <v>2.4242436115062545E-3</v>
          </cell>
        </row>
        <row r="942">
          <cell r="EG942">
            <v>0</v>
          </cell>
        </row>
        <row r="943">
          <cell r="EG943">
            <v>3.1396854060672073E-2</v>
          </cell>
        </row>
        <row r="944">
          <cell r="EG944">
            <v>-1.892098738895116E-2</v>
          </cell>
        </row>
        <row r="945">
          <cell r="EG945">
            <v>-6.1154423153330695E-2</v>
          </cell>
        </row>
        <row r="946">
          <cell r="EG946">
            <v>3.4732806918891905E-2</v>
          </cell>
        </row>
        <row r="947">
          <cell r="EG947">
            <v>3.6607728496811558E-3</v>
          </cell>
        </row>
        <row r="948">
          <cell r="EG948">
            <v>9.2166551049240476E-3</v>
          </cell>
        </row>
        <row r="949">
          <cell r="EG949">
            <v>1.1994146785819242E-2</v>
          </cell>
        </row>
        <row r="950">
          <cell r="EG950">
            <v>9.504354868689395E-2</v>
          </cell>
        </row>
        <row r="951">
          <cell r="EG951">
            <v>0.25862974985727899</v>
          </cell>
        </row>
        <row r="952">
          <cell r="EG952">
            <v>3.8167176778144483E-2</v>
          </cell>
        </row>
        <row r="953">
          <cell r="EG953">
            <v>8.3837778642088009E-2</v>
          </cell>
        </row>
        <row r="954">
          <cell r="EG954">
            <v>2.1613476420537171E-2</v>
          </cell>
        </row>
        <row r="955">
          <cell r="EG955">
            <v>6.483004878078312E-3</v>
          </cell>
        </row>
        <row r="956">
          <cell r="EG956">
            <v>0.10285738543970782</v>
          </cell>
        </row>
        <row r="957">
          <cell r="EG957">
            <v>0.175806875772761</v>
          </cell>
        </row>
        <row r="958">
          <cell r="EG958">
            <v>-1.5504186535965199E-2</v>
          </cell>
        </row>
        <row r="959">
          <cell r="EG959">
            <v>3.4685557987889894E-2</v>
          </cell>
        </row>
        <row r="960">
          <cell r="EG960">
            <v>0.13879529174406366</v>
          </cell>
        </row>
        <row r="961">
          <cell r="EG961">
            <v>-6.6350862024112806E-2</v>
          </cell>
        </row>
        <row r="962">
          <cell r="EG962">
            <v>1.2391732295163457E-2</v>
          </cell>
        </row>
        <row r="963">
          <cell r="EG963">
            <v>-5.391376465983129E-2</v>
          </cell>
        </row>
        <row r="964">
          <cell r="EG964">
            <v>-3.6367644170874715E-2</v>
          </cell>
        </row>
        <row r="965">
          <cell r="EG965">
            <v>-4.069419082655442E-2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26"/>
  <sheetViews>
    <sheetView topLeftCell="A2" zoomScale="91" zoomScaleNormal="139" workbookViewId="0">
      <selection activeCell="A2" sqref="A1:XFD1048576"/>
    </sheetView>
  </sheetViews>
  <sheetFormatPr defaultRowHeight="15" x14ac:dyDescent="0.3"/>
  <sheetData>
    <row r="1" spans="1:138" x14ac:dyDescent="0.3">
      <c r="A1" t="s">
        <v>0</v>
      </c>
    </row>
    <row r="2" spans="1:138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</row>
    <row r="3" spans="1:138" x14ac:dyDescent="0.3">
      <c r="B3" s="1" t="s">
        <v>136</v>
      </c>
      <c r="C3" s="9">
        <v>0.10910583</v>
      </c>
      <c r="D3" s="9">
        <v>1.457658E-2</v>
      </c>
      <c r="E3" s="9">
        <v>-3.6154400000000003E-2</v>
      </c>
      <c r="F3" s="9">
        <v>-4.7425999999999996E-3</v>
      </c>
      <c r="G3" s="9">
        <v>-5.7478E-3</v>
      </c>
      <c r="H3" s="9">
        <v>4.9378020000000002E-2</v>
      </c>
      <c r="I3" s="9">
        <v>0.18325177000000001</v>
      </c>
      <c r="J3" s="9">
        <v>0.11648631</v>
      </c>
      <c r="K3" s="9">
        <v>-3.0594900000000001E-2</v>
      </c>
      <c r="L3" s="9">
        <v>1.982805E-2</v>
      </c>
      <c r="M3" s="9">
        <v>-2.0999E-2</v>
      </c>
      <c r="N3" s="9">
        <v>0.14977942</v>
      </c>
      <c r="O3" s="9">
        <v>1.546341E-2</v>
      </c>
      <c r="P3" s="9">
        <v>-9.1792299999999993E-2</v>
      </c>
      <c r="Q3" s="9">
        <v>-7.7409000000000006E-2</v>
      </c>
      <c r="R3" s="9">
        <v>5.4776600000000002E-2</v>
      </c>
      <c r="S3" s="9">
        <v>-0.12533440000000001</v>
      </c>
      <c r="T3" s="9">
        <v>-0.1190534</v>
      </c>
      <c r="U3" s="9">
        <v>-3.7770100000000001E-2</v>
      </c>
      <c r="V3" s="9">
        <v>8.1183820000000004E-2</v>
      </c>
      <c r="W3" s="9">
        <v>8.4008970000000002E-2</v>
      </c>
      <c r="X3" s="9">
        <v>0.14701136000000001</v>
      </c>
      <c r="Y3" s="9">
        <v>-0.12536050000000001</v>
      </c>
      <c r="Z3" s="9">
        <v>0.19195355</v>
      </c>
      <c r="AA3" s="9">
        <v>-8.4370799999999996E-2</v>
      </c>
      <c r="AB3" s="9">
        <v>7.2897610000000002E-2</v>
      </c>
      <c r="AC3" s="9">
        <v>0.10260456</v>
      </c>
      <c r="AD3" s="9">
        <v>1.577017E-2</v>
      </c>
      <c r="AE3" s="9">
        <v>-0.15200720000000001</v>
      </c>
      <c r="AF3" s="9">
        <v>5.9250249999999997E-2</v>
      </c>
      <c r="AG3" s="9">
        <v>0.13005884000000001</v>
      </c>
      <c r="AH3" s="9">
        <v>0.11525639999999999</v>
      </c>
      <c r="AI3" s="9">
        <v>3.2606620000000003E-2</v>
      </c>
      <c r="AJ3" s="9">
        <v>2.7999110000000001E-2</v>
      </c>
      <c r="AK3" s="9">
        <v>0.14657042000000001</v>
      </c>
      <c r="AL3" s="9">
        <v>4.0841919999999997E-2</v>
      </c>
      <c r="AM3" s="9">
        <v>0.13137636999999999</v>
      </c>
      <c r="AN3" s="9">
        <v>0.22143296000000001</v>
      </c>
      <c r="AO3" s="9">
        <v>-2.0941000000000001E-2</v>
      </c>
      <c r="AP3" s="9">
        <v>-0.13716</v>
      </c>
      <c r="AQ3" s="9">
        <v>-2.4882899999999999E-2</v>
      </c>
      <c r="AR3" s="9">
        <v>1.551397E-2</v>
      </c>
      <c r="AS3" s="9">
        <v>3.4373040000000001E-2</v>
      </c>
      <c r="AT3" s="9">
        <v>6.3095689999999996E-2</v>
      </c>
      <c r="AU3" s="9">
        <v>4.3237699999999997E-2</v>
      </c>
      <c r="AV3" s="9">
        <v>-7.4230400000000002E-2</v>
      </c>
      <c r="AW3" s="9">
        <v>2.7994829999999998E-2</v>
      </c>
      <c r="AX3" s="9">
        <v>0.11986442</v>
      </c>
      <c r="AY3" s="9">
        <v>7.6559569999999993E-2</v>
      </c>
      <c r="AZ3" s="9">
        <v>-2.17304E-2</v>
      </c>
      <c r="BA3" s="9">
        <v>-1.2465E-3</v>
      </c>
      <c r="BB3" s="9">
        <v>0.10099582</v>
      </c>
      <c r="BC3" s="9">
        <v>2.9826930000000001E-2</v>
      </c>
      <c r="BD3" s="9">
        <v>8.6757699999999993E-3</v>
      </c>
      <c r="BE3" s="9">
        <v>6.8557209999999993E-2</v>
      </c>
      <c r="BF3" s="9">
        <v>0.15691260000000001</v>
      </c>
      <c r="BG3" s="9">
        <v>0.15920372999999999</v>
      </c>
      <c r="BH3" s="9">
        <v>6.1121670000000003E-2</v>
      </c>
      <c r="BI3" s="9">
        <v>9.6912849999999995E-2</v>
      </c>
      <c r="BJ3" s="9">
        <v>-5.4746200000000002E-2</v>
      </c>
      <c r="BK3" s="9">
        <v>-8.7493000000000001E-2</v>
      </c>
      <c r="BL3" s="9">
        <v>9.4426750000000004E-2</v>
      </c>
      <c r="BM3" s="9">
        <v>-2.2191099999999998E-2</v>
      </c>
      <c r="BN3" s="9">
        <v>1.5628610000000001E-2</v>
      </c>
      <c r="BO3" s="9">
        <v>8.1418240000000003E-2</v>
      </c>
      <c r="BP3" s="9">
        <v>-1.8508899999999998E-2</v>
      </c>
      <c r="BQ3" s="9">
        <v>6.8729570000000004E-2</v>
      </c>
      <c r="BR3" s="9">
        <v>3.1023600000000002E-3</v>
      </c>
      <c r="BS3" s="9">
        <v>7.4964420000000004E-2</v>
      </c>
      <c r="BT3" s="9">
        <v>4.520159E-2</v>
      </c>
      <c r="BU3" s="9">
        <v>2.5677330000000002E-2</v>
      </c>
      <c r="BV3" s="9">
        <v>9.1804029999999995E-2</v>
      </c>
      <c r="BW3" s="9">
        <v>-2.6353999999999999E-2</v>
      </c>
      <c r="BX3" s="9">
        <v>1.9394829999999998E-2</v>
      </c>
      <c r="BY3" s="9">
        <v>-7.6838900000000002E-2</v>
      </c>
      <c r="BZ3" s="9">
        <v>0.11330931</v>
      </c>
      <c r="CA3" s="9">
        <v>-0.1073549</v>
      </c>
      <c r="CB3" s="9">
        <v>4.0844789999999999E-2</v>
      </c>
      <c r="CC3" s="9">
        <v>-1.9801699999999998E-2</v>
      </c>
      <c r="CD3" s="9">
        <v>0.18837709</v>
      </c>
      <c r="CE3" s="9">
        <v>5.5574909999999998E-2</v>
      </c>
      <c r="CF3" s="9">
        <v>7.4872069999999999E-2</v>
      </c>
      <c r="CG3" s="9">
        <v>0.10000019</v>
      </c>
      <c r="CH3" s="9">
        <v>0.13602172000000001</v>
      </c>
      <c r="CI3" s="9">
        <v>-9.3741000000000005E-2</v>
      </c>
      <c r="CJ3" s="9">
        <v>3.9306000000000002E-3</v>
      </c>
      <c r="CK3" s="9">
        <v>5.6507780000000001E-2</v>
      </c>
      <c r="CL3" s="9">
        <v>0.26354578000000001</v>
      </c>
      <c r="CM3" s="9">
        <v>-9.5554000000000004E-3</v>
      </c>
      <c r="CN3" s="9">
        <v>-3.1511900000000002E-2</v>
      </c>
      <c r="CO3" s="9">
        <v>-2.2619E-2</v>
      </c>
      <c r="CP3" s="9">
        <v>0.13265561000000001</v>
      </c>
      <c r="CQ3" s="9">
        <v>0.13307278</v>
      </c>
      <c r="CR3" s="9">
        <v>-1.49564E-2</v>
      </c>
      <c r="CS3" s="9">
        <v>-3.3419900000000002E-2</v>
      </c>
      <c r="CT3" s="9">
        <v>1.2281210000000001E-2</v>
      </c>
      <c r="CU3" s="9">
        <v>0.11681498</v>
      </c>
      <c r="CV3" s="9">
        <v>-3.1589000000000001E-3</v>
      </c>
      <c r="CW3" s="9">
        <v>3.8217760000000003E-2</v>
      </c>
      <c r="CX3" s="9">
        <v>0.13917409</v>
      </c>
      <c r="CY3" s="9">
        <v>-2.3712299999999999E-2</v>
      </c>
      <c r="CZ3" s="9">
        <v>0.21835291000000001</v>
      </c>
      <c r="DA3" s="9">
        <v>-5.7967400000000002E-2</v>
      </c>
      <c r="DB3" s="9">
        <v>-1.4104200000000001E-2</v>
      </c>
      <c r="DC3" s="9">
        <v>0.11395608</v>
      </c>
      <c r="DD3" s="9">
        <v>7.4472259999999998E-2</v>
      </c>
      <c r="DE3" s="9">
        <v>-8.9970000000000002E-4</v>
      </c>
      <c r="DF3" s="9">
        <v>9.7707000000000002E-4</v>
      </c>
      <c r="DG3" s="9">
        <v>-7.2980100000000006E-2</v>
      </c>
      <c r="DH3" s="9">
        <v>-2.38453E-2</v>
      </c>
      <c r="DI3" s="9">
        <v>-0.1015307</v>
      </c>
      <c r="DJ3" s="9">
        <v>2.7692540000000002E-2</v>
      </c>
      <c r="DK3" s="9">
        <v>-4.9335200000000003E-2</v>
      </c>
      <c r="DL3" s="9">
        <v>-5.6994000000000003E-3</v>
      </c>
      <c r="DM3" s="9">
        <v>-3.6981800000000002E-2</v>
      </c>
      <c r="DN3" s="9">
        <v>0.10981299</v>
      </c>
      <c r="DO3" s="9">
        <v>4.2036829999999997E-2</v>
      </c>
      <c r="DP3" s="9">
        <v>8.4566669999999997E-2</v>
      </c>
      <c r="DQ3" s="9">
        <v>-0.1102798</v>
      </c>
      <c r="DR3" s="9">
        <v>9.4328709999999996E-2</v>
      </c>
      <c r="DS3" s="9">
        <v>-7.1906899999999996E-2</v>
      </c>
      <c r="DT3" s="9">
        <v>-9.62364E-2</v>
      </c>
      <c r="DU3" s="9">
        <v>2.3455500000000001E-3</v>
      </c>
      <c r="DV3" s="9">
        <v>0.13401742</v>
      </c>
      <c r="DW3" s="9">
        <v>9.4732520000000001E-2</v>
      </c>
      <c r="DX3" s="9">
        <v>-0.1037732</v>
      </c>
      <c r="DY3" s="9">
        <v>7.576215E-2</v>
      </c>
      <c r="DZ3" s="9">
        <v>-3.1829700000000002E-2</v>
      </c>
      <c r="EA3" s="9">
        <v>0.16130802</v>
      </c>
      <c r="EB3" s="9">
        <v>1.0203530000000001E-2</v>
      </c>
      <c r="EC3" s="9">
        <v>7.3988429999999994E-2</v>
      </c>
      <c r="ED3" s="9">
        <v>-0.15737689999999999</v>
      </c>
      <c r="EE3" s="9">
        <v>7.9137550000000001E-2</v>
      </c>
      <c r="EF3" s="9">
        <v>7.2528549999999997E-2</v>
      </c>
      <c r="EG3" s="10">
        <f>CORREL([1]bm補值!EG$2:EG$972,[1]下個月月報酬補值!EG$2:EG$972)</f>
        <v>0.14231065676311483</v>
      </c>
    </row>
    <row r="4" spans="1:138" x14ac:dyDescent="0.3">
      <c r="B4" s="1" t="s">
        <v>137</v>
      </c>
      <c r="C4" s="9">
        <v>-0.24758869999999999</v>
      </c>
      <c r="D4" s="9">
        <v>-0.27469329999999997</v>
      </c>
      <c r="E4" s="9">
        <v>-8.4648399999999999E-2</v>
      </c>
      <c r="F4" s="9">
        <v>2.2644629999999999E-2</v>
      </c>
      <c r="G4" s="9">
        <v>-4.9680000000000002E-2</v>
      </c>
      <c r="H4" s="9">
        <v>-0.1007596</v>
      </c>
      <c r="I4" s="9">
        <v>-1.2522699999999999E-2</v>
      </c>
      <c r="J4" s="9">
        <v>7.8736539999999994E-2</v>
      </c>
      <c r="K4" s="9">
        <v>-3.4185100000000003E-2</v>
      </c>
      <c r="L4" s="9">
        <v>8.8406789999999999E-2</v>
      </c>
      <c r="M4" s="9">
        <v>-3.0634999999999998E-3</v>
      </c>
      <c r="N4" s="9">
        <v>-0.21221799999999999</v>
      </c>
      <c r="O4" s="9">
        <v>-3.6805400000000002E-2</v>
      </c>
      <c r="P4" s="9">
        <v>7.1033120000000005E-2</v>
      </c>
      <c r="Q4" s="9">
        <v>-7.1261099999999994E-2</v>
      </c>
      <c r="R4" s="9">
        <v>2.1560449999999998E-2</v>
      </c>
      <c r="S4" s="9">
        <v>0.10111125999999999</v>
      </c>
      <c r="T4" s="9">
        <v>4.3224730000000003E-2</v>
      </c>
      <c r="U4" s="9">
        <v>1.488195E-2</v>
      </c>
      <c r="V4" s="9">
        <v>6.3260199999999999E-3</v>
      </c>
      <c r="W4" s="9">
        <v>-0.14355299999999999</v>
      </c>
      <c r="X4" s="9">
        <v>-6.4282199999999998E-2</v>
      </c>
      <c r="Y4" s="9">
        <v>-1.9034200000000001E-2</v>
      </c>
      <c r="Z4" s="9">
        <v>-2.0644599999999999E-2</v>
      </c>
      <c r="AA4" s="9">
        <v>3.3059529999999997E-2</v>
      </c>
      <c r="AB4" s="9">
        <v>-1.94182E-2</v>
      </c>
      <c r="AC4" s="9">
        <v>-6.3126799999999997E-2</v>
      </c>
      <c r="AD4" s="9">
        <v>-6.5629699999999999E-2</v>
      </c>
      <c r="AE4" s="9">
        <v>0.13799568000000001</v>
      </c>
      <c r="AF4" s="9">
        <v>-0.1005679</v>
      </c>
      <c r="AG4" s="9">
        <v>-3.7969099999999999E-2</v>
      </c>
      <c r="AH4" s="9">
        <v>-4.5839499999999998E-2</v>
      </c>
      <c r="AI4" s="9">
        <v>-5.1034099999999999E-2</v>
      </c>
      <c r="AJ4" s="9">
        <v>-3.2204E-3</v>
      </c>
      <c r="AK4" s="9">
        <v>4.8952000000000002E-4</v>
      </c>
      <c r="AL4" s="9">
        <v>-0.10644670000000001</v>
      </c>
      <c r="AM4" s="9">
        <v>-1.3724E-2</v>
      </c>
      <c r="AN4" s="9">
        <v>-0.1219647</v>
      </c>
      <c r="AO4" s="9">
        <v>-4.85897E-2</v>
      </c>
      <c r="AP4" s="9">
        <v>-1.9032000000000001E-3</v>
      </c>
      <c r="AQ4" s="9">
        <v>2.9067490000000001E-2</v>
      </c>
      <c r="AR4" s="9">
        <v>5.2635769999999998E-2</v>
      </c>
      <c r="AS4" s="9">
        <v>-1.28933E-2</v>
      </c>
      <c r="AT4" s="9">
        <v>-2.1310999999999999E-3</v>
      </c>
      <c r="AU4" s="9">
        <v>-0.15538440000000001</v>
      </c>
      <c r="AV4" s="9">
        <v>1.268178E-2</v>
      </c>
      <c r="AW4" s="9">
        <v>-1.1942299999999999E-2</v>
      </c>
      <c r="AX4" s="9">
        <v>-4.2538000000000003E-3</v>
      </c>
      <c r="AY4" s="9">
        <v>2.930087E-2</v>
      </c>
      <c r="AZ4" s="9">
        <v>-0.13412750000000001</v>
      </c>
      <c r="BA4" s="9">
        <v>-0.1371115</v>
      </c>
      <c r="BB4" s="9">
        <v>1.7546599999999999E-3</v>
      </c>
      <c r="BC4" s="9">
        <v>2.511712E-2</v>
      </c>
      <c r="BD4" s="9">
        <v>-0.1196019</v>
      </c>
      <c r="BE4" s="9">
        <v>0.13576165000000001</v>
      </c>
      <c r="BF4" s="9">
        <v>4.7091170000000002E-2</v>
      </c>
      <c r="BG4" s="9">
        <v>-2.60501E-2</v>
      </c>
      <c r="BH4" s="9">
        <v>4.3752760000000002E-2</v>
      </c>
      <c r="BI4" s="9">
        <v>-8.13918E-2</v>
      </c>
      <c r="BJ4" s="9">
        <v>-0.1006008</v>
      </c>
      <c r="BK4" s="9">
        <v>9.0490070000000006E-2</v>
      </c>
      <c r="BL4" s="9">
        <v>-3.0898499999999999E-2</v>
      </c>
      <c r="BM4" s="9">
        <v>5.8814169999999999E-2</v>
      </c>
      <c r="BN4" s="9">
        <v>8.1345630000000002E-2</v>
      </c>
      <c r="BO4" s="9">
        <v>-7.7164E-3</v>
      </c>
      <c r="BP4" s="9">
        <v>0.10673487</v>
      </c>
      <c r="BQ4" s="9">
        <v>-2.7156300000000001E-2</v>
      </c>
      <c r="BR4" s="9">
        <v>-5.4431E-2</v>
      </c>
      <c r="BS4" s="9">
        <v>-6.8229300000000007E-2</v>
      </c>
      <c r="BT4" s="9">
        <v>9.861222E-2</v>
      </c>
      <c r="BU4" s="9">
        <v>0.12839854000000001</v>
      </c>
      <c r="BV4" s="9">
        <v>-7.84025E-2</v>
      </c>
      <c r="BW4" s="9">
        <v>-0.1191337</v>
      </c>
      <c r="BX4" s="9">
        <v>-4.6890099999999997E-2</v>
      </c>
      <c r="BY4" s="9">
        <v>0.10169835000000001</v>
      </c>
      <c r="BZ4" s="9">
        <v>-2.5680100000000001E-2</v>
      </c>
      <c r="CA4" s="9">
        <v>-8.3301799999999995E-2</v>
      </c>
      <c r="CB4" s="9">
        <v>-0.15782760000000001</v>
      </c>
      <c r="CC4" s="9">
        <v>-7.1052599999999994E-2</v>
      </c>
      <c r="CD4" s="9">
        <v>-7.3875499999999997E-2</v>
      </c>
      <c r="CE4" s="9">
        <v>-0.23678650000000001</v>
      </c>
      <c r="CF4" s="9">
        <v>3.2627709999999997E-2</v>
      </c>
      <c r="CG4" s="9">
        <v>1.342309E-2</v>
      </c>
      <c r="CH4" s="9">
        <v>-2.7967000000000001E-3</v>
      </c>
      <c r="CI4" s="9">
        <v>4.7925700000000002E-2</v>
      </c>
      <c r="CJ4" s="9">
        <v>-3.2520000000000001E-3</v>
      </c>
      <c r="CK4" s="9">
        <v>-7.5708200000000003E-2</v>
      </c>
      <c r="CL4" s="9">
        <v>-4.4397300000000001E-2</v>
      </c>
      <c r="CM4" s="9">
        <v>0.17898859</v>
      </c>
      <c r="CN4" s="9">
        <v>5.7994270000000001E-2</v>
      </c>
      <c r="CO4" s="9">
        <v>-0.13939019999999999</v>
      </c>
      <c r="CP4" s="9">
        <v>6.4714670000000002E-2</v>
      </c>
      <c r="CQ4" s="9">
        <v>-0.18118790000000001</v>
      </c>
      <c r="CR4" s="9">
        <v>-8.8633500000000004E-2</v>
      </c>
      <c r="CS4" s="9">
        <v>-2.5321799999999998E-2</v>
      </c>
      <c r="CT4" s="9">
        <v>-0.1130791</v>
      </c>
      <c r="CU4" s="9">
        <v>8.0959599999999993E-3</v>
      </c>
      <c r="CV4" s="9">
        <v>-4.5200200000000003E-2</v>
      </c>
      <c r="CW4" s="9">
        <v>-5.8941199999999999E-2</v>
      </c>
      <c r="CX4" s="9">
        <v>-0.1077283</v>
      </c>
      <c r="CY4" s="9">
        <v>-9.6503500000000006E-2</v>
      </c>
      <c r="CZ4" s="9">
        <v>-0.21035429999999999</v>
      </c>
      <c r="DA4" s="9">
        <v>-0.10996110000000001</v>
      </c>
      <c r="DB4" s="9">
        <v>-0.1908205</v>
      </c>
      <c r="DC4" s="9">
        <v>-2.0727300000000001E-2</v>
      </c>
      <c r="DD4" s="9">
        <v>8.7029090000000003E-2</v>
      </c>
      <c r="DE4" s="9">
        <v>8.2024589999999994E-2</v>
      </c>
      <c r="DF4" s="9">
        <v>-0.16687669999999999</v>
      </c>
      <c r="DG4" s="9">
        <v>0.22243809</v>
      </c>
      <c r="DH4" s="9">
        <v>-0.1442978</v>
      </c>
      <c r="DI4" s="9">
        <v>-0.1196199</v>
      </c>
      <c r="DJ4" s="9">
        <v>-0.1015928</v>
      </c>
      <c r="DK4" s="9">
        <v>9.2855060000000003E-2</v>
      </c>
      <c r="DL4" s="9">
        <v>-4.2630500000000002E-2</v>
      </c>
      <c r="DM4" s="9">
        <v>8.2732070000000005E-2</v>
      </c>
      <c r="DN4" s="9">
        <v>-3.1049500000000001E-2</v>
      </c>
      <c r="DO4" s="9">
        <v>-9.8141999999999993E-2</v>
      </c>
      <c r="DP4" s="9">
        <v>-0.13058890000000001</v>
      </c>
      <c r="DQ4" s="9">
        <v>4.865572E-2</v>
      </c>
      <c r="DR4" s="9">
        <v>-3.9251899999999999E-2</v>
      </c>
      <c r="DS4" s="9">
        <v>-0.16103020000000001</v>
      </c>
      <c r="DT4" s="9">
        <v>-7.8883999999999996E-2</v>
      </c>
      <c r="DU4" s="9">
        <v>0.16407715</v>
      </c>
      <c r="DV4" s="9">
        <v>7.5052599999999997E-3</v>
      </c>
      <c r="DW4" s="9">
        <v>-0.1016452</v>
      </c>
      <c r="DX4" s="9">
        <v>-5.6040300000000001E-2</v>
      </c>
      <c r="DY4" s="9">
        <v>-0.10665669999999999</v>
      </c>
      <c r="DZ4" s="9">
        <v>-6.9186600000000001E-2</v>
      </c>
      <c r="EA4" s="9">
        <v>-0.12618869999999999</v>
      </c>
      <c r="EB4" s="9">
        <v>-6.4737100000000006E-2</v>
      </c>
      <c r="EC4" s="9">
        <v>5.1426090000000001E-2</v>
      </c>
      <c r="ED4" s="9">
        <v>3.4496730000000003E-2</v>
      </c>
      <c r="EE4" s="9">
        <v>0.1576776</v>
      </c>
      <c r="EF4" s="9">
        <v>-0.12717999999999999</v>
      </c>
      <c r="EG4" s="10">
        <f>CORREL([2]size補值!EG$2:EG$965,[2]下個月月報酬補值!EG$2:EG$965)</f>
        <v>-0.15895948868776608</v>
      </c>
    </row>
    <row r="5" spans="1:138" x14ac:dyDescent="0.3">
      <c r="B5" s="1" t="s">
        <v>138</v>
      </c>
      <c r="C5" s="9">
        <v>-5.4239999999999997E-2</v>
      </c>
      <c r="D5" s="9">
        <v>4.5377000000000001E-2</v>
      </c>
      <c r="E5" s="9">
        <v>-1.7749999999999998E-2</v>
      </c>
      <c r="F5" s="9">
        <v>-8.7690000000000004E-2</v>
      </c>
      <c r="G5" s="9">
        <v>0.102759</v>
      </c>
      <c r="H5" s="9">
        <v>2.5110000000000002E-3</v>
      </c>
      <c r="I5" s="9">
        <v>-1.83E-2</v>
      </c>
      <c r="J5" s="9">
        <v>2.2110999999999999E-2</v>
      </c>
      <c r="K5" s="9">
        <v>7.7257999999999993E-2</v>
      </c>
      <c r="L5" s="9">
        <v>9.3439999999999999E-3</v>
      </c>
      <c r="M5" s="9">
        <v>5.3601999999999997E-2</v>
      </c>
      <c r="N5" s="9">
        <v>-6.7879999999999996E-2</v>
      </c>
      <c r="O5" s="9">
        <v>6.4930000000000002E-2</v>
      </c>
      <c r="P5" s="9">
        <v>4.8809999999999999E-3</v>
      </c>
      <c r="Q5" s="9">
        <v>1.9198E-2</v>
      </c>
      <c r="R5" s="9">
        <v>-5.47E-3</v>
      </c>
      <c r="S5" s="9">
        <v>3.6551E-2</v>
      </c>
      <c r="T5" s="9">
        <v>0.12918499999999999</v>
      </c>
      <c r="U5" s="9">
        <v>1.3691999999999999E-2</v>
      </c>
      <c r="V5" s="9">
        <v>1.5295E-2</v>
      </c>
      <c r="W5" s="9">
        <v>-0.10469000000000001</v>
      </c>
      <c r="X5" s="9">
        <v>-0.29385</v>
      </c>
      <c r="Y5" s="9">
        <v>5.9212000000000001E-2</v>
      </c>
      <c r="Z5" s="9">
        <v>-0.18495</v>
      </c>
      <c r="AA5" s="9">
        <v>9.8247000000000001E-2</v>
      </c>
      <c r="AB5" s="9">
        <v>-6.6E-4</v>
      </c>
      <c r="AC5" s="9">
        <v>-0.10369</v>
      </c>
      <c r="AD5" s="9">
        <v>3.545E-3</v>
      </c>
      <c r="AE5" s="9">
        <v>0.17560100000000001</v>
      </c>
      <c r="AF5" s="9">
        <v>-0.15503</v>
      </c>
      <c r="AG5" s="9">
        <v>-2.6329999999999999E-2</v>
      </c>
      <c r="AH5" s="9">
        <v>-5.0000000000000001E-3</v>
      </c>
      <c r="AI5" s="9">
        <v>2.8067999999999999E-2</v>
      </c>
      <c r="AJ5" s="9">
        <v>-2.2380000000000001E-2</v>
      </c>
      <c r="AK5" s="9">
        <v>-4.7019999999999999E-2</v>
      </c>
      <c r="AL5" s="9">
        <v>-0.10156</v>
      </c>
      <c r="AM5" s="9">
        <v>2.3525000000000001E-2</v>
      </c>
      <c r="AN5" s="9">
        <v>5.2525000000000002E-2</v>
      </c>
      <c r="AO5" s="9">
        <v>5.8502999999999999E-2</v>
      </c>
      <c r="AP5" s="9">
        <v>3.3446999999999998E-2</v>
      </c>
      <c r="AQ5" s="9">
        <v>1.43E-2</v>
      </c>
      <c r="AR5" s="9">
        <v>3.5903999999999998E-2</v>
      </c>
      <c r="AS5" s="9">
        <v>3.9781999999999998E-2</v>
      </c>
      <c r="AT5" s="9">
        <v>0.148456</v>
      </c>
      <c r="AU5" s="9">
        <v>-4.079E-2</v>
      </c>
      <c r="AV5" s="9">
        <v>0.138959</v>
      </c>
      <c r="AW5" s="9">
        <v>5.9863E-2</v>
      </c>
      <c r="AX5" s="9">
        <v>-0.14979000000000001</v>
      </c>
      <c r="AY5" s="9">
        <v>6.1595999999999998E-2</v>
      </c>
      <c r="AZ5" s="9">
        <v>-6.1949999999999998E-2</v>
      </c>
      <c r="BA5" s="9">
        <v>-2.3900000000000002E-3</v>
      </c>
      <c r="BB5" s="9">
        <v>-0.14887</v>
      </c>
      <c r="BC5" s="9">
        <v>6.0351000000000002E-2</v>
      </c>
      <c r="BD5" s="9">
        <v>-1.469E-2</v>
      </c>
      <c r="BE5" s="9">
        <v>-0.14652000000000001</v>
      </c>
      <c r="BF5" s="9">
        <v>-0.20876</v>
      </c>
      <c r="BG5" s="9">
        <v>-0.20144000000000001</v>
      </c>
      <c r="BH5" s="9">
        <v>-0.11805</v>
      </c>
      <c r="BI5" s="9">
        <v>-7.7030000000000001E-2</v>
      </c>
      <c r="BJ5" s="9">
        <v>-3.6220000000000002E-2</v>
      </c>
      <c r="BK5" s="9">
        <v>-1.891E-2</v>
      </c>
      <c r="BL5" s="9">
        <v>-0.17126</v>
      </c>
      <c r="BM5" s="9">
        <v>0.13291700000000001</v>
      </c>
      <c r="BN5" s="9">
        <v>-3.5909999999999997E-2</v>
      </c>
      <c r="BO5" s="9">
        <v>2.1344999999999999E-2</v>
      </c>
      <c r="BP5" s="9">
        <v>4.9634999999999999E-2</v>
      </c>
      <c r="BQ5" s="9">
        <v>-1.721E-2</v>
      </c>
      <c r="BR5" s="9">
        <v>0.189827</v>
      </c>
      <c r="BS5" s="9">
        <v>-9.7610000000000002E-2</v>
      </c>
      <c r="BT5" s="9">
        <v>3.7830999999999997E-2</v>
      </c>
      <c r="BU5" s="9">
        <v>5.6008000000000002E-2</v>
      </c>
      <c r="BV5" s="9">
        <v>-0.11674</v>
      </c>
      <c r="BW5" s="9">
        <v>-0.14132</v>
      </c>
      <c r="BX5" s="9">
        <v>-3.3800000000000002E-3</v>
      </c>
      <c r="BY5" s="9">
        <v>0.13033600000000001</v>
      </c>
      <c r="BZ5" s="9">
        <v>3.1697999999999997E-2</v>
      </c>
      <c r="CA5" s="9">
        <v>4.0555000000000001E-2</v>
      </c>
      <c r="CB5" s="9">
        <v>-4.2040000000000001E-2</v>
      </c>
      <c r="CC5" s="9">
        <v>5.0014000000000003E-2</v>
      </c>
      <c r="CD5" s="9">
        <v>-6.8459999999999993E-2</v>
      </c>
      <c r="CE5" s="9">
        <v>-8.0829999999999999E-2</v>
      </c>
      <c r="CF5" s="9">
        <v>-1.9499999999999999E-3</v>
      </c>
      <c r="CG5" s="9">
        <v>-0.11821</v>
      </c>
      <c r="CH5" s="9">
        <v>-3.6720000000000003E-2</v>
      </c>
      <c r="CI5" s="9">
        <v>-8.3330000000000001E-2</v>
      </c>
      <c r="CJ5" s="9">
        <v>0.23067299999999999</v>
      </c>
      <c r="CK5" s="9">
        <v>0.13277900000000001</v>
      </c>
      <c r="CL5" s="9">
        <v>0.141287</v>
      </c>
      <c r="CM5" s="9">
        <v>-0.11269</v>
      </c>
      <c r="CN5" s="9">
        <v>0.22348899999999999</v>
      </c>
      <c r="CO5" s="9">
        <v>-0.10442</v>
      </c>
      <c r="CP5" s="9">
        <v>-1.443E-2</v>
      </c>
      <c r="CQ5" s="9">
        <v>-0.20723</v>
      </c>
      <c r="CR5" s="9">
        <v>-0.13486000000000001</v>
      </c>
      <c r="CS5" s="9">
        <v>7.3008000000000003E-2</v>
      </c>
      <c r="CT5" s="9">
        <v>-3.022E-2</v>
      </c>
      <c r="CU5" s="9">
        <v>-0.28688999999999998</v>
      </c>
      <c r="CV5" s="9">
        <v>0.23073099999999999</v>
      </c>
      <c r="CW5" s="9">
        <v>9.1076000000000004E-2</v>
      </c>
      <c r="CX5" s="9">
        <v>-0.12249</v>
      </c>
      <c r="CY5" s="9">
        <v>7.8381999999999993E-2</v>
      </c>
      <c r="CZ5" s="9">
        <v>-4.5949999999999998E-2</v>
      </c>
      <c r="DA5" s="9">
        <v>8.2669999999999993E-2</v>
      </c>
      <c r="DB5" s="9">
        <v>0.14934900000000001</v>
      </c>
      <c r="DC5" s="9">
        <v>-4.7800000000000002E-2</v>
      </c>
      <c r="DD5" s="9">
        <v>-0.16450999999999999</v>
      </c>
      <c r="DE5" s="9">
        <v>-0.11057</v>
      </c>
      <c r="DF5" s="9">
        <v>5.7417000000000003E-2</v>
      </c>
      <c r="DG5" s="9">
        <v>-0.21489</v>
      </c>
      <c r="DH5" s="9">
        <v>6.2996999999999997E-2</v>
      </c>
      <c r="DI5" s="9">
        <v>6.7721000000000003E-2</v>
      </c>
      <c r="DJ5" s="9">
        <v>0.118802</v>
      </c>
      <c r="DK5" s="9">
        <v>7.2830000000000004E-3</v>
      </c>
      <c r="DL5" s="9">
        <v>7.1320999999999996E-2</v>
      </c>
      <c r="DM5" s="9">
        <v>2.1021999999999999E-2</v>
      </c>
      <c r="DN5" s="9">
        <v>-3.04E-2</v>
      </c>
      <c r="DO5" s="9">
        <v>-9.6949999999999995E-2</v>
      </c>
      <c r="DP5" s="9">
        <v>-0.23068</v>
      </c>
      <c r="DQ5" s="9">
        <v>0.23818400000000001</v>
      </c>
      <c r="DR5" s="9">
        <v>3.5750000000000001E-3</v>
      </c>
      <c r="DS5" s="9">
        <v>0.13395599999999999</v>
      </c>
      <c r="DT5" s="9">
        <v>0.115106</v>
      </c>
      <c r="DU5" s="9">
        <v>0.10408000000000001</v>
      </c>
      <c r="DV5" s="9">
        <v>-5.4609999999999999E-2</v>
      </c>
      <c r="DW5" s="9">
        <v>-3.329E-2</v>
      </c>
      <c r="DX5" s="9">
        <v>5.5094999999999998E-2</v>
      </c>
      <c r="DY5" s="9">
        <v>6.8793999999999994E-2</v>
      </c>
      <c r="DZ5" s="9">
        <v>1.4481000000000001E-2</v>
      </c>
      <c r="EA5" s="9">
        <v>-0.29314000000000001</v>
      </c>
      <c r="EB5" s="9">
        <v>-0.14097999999999999</v>
      </c>
      <c r="EC5" s="9">
        <v>-1.221E-2</v>
      </c>
      <c r="ED5" s="9">
        <v>5.8167999999999997E-2</v>
      </c>
      <c r="EE5" s="9">
        <v>-0.1444</v>
      </c>
      <c r="EF5" s="9">
        <v>-9.7009999999999999E-2</v>
      </c>
      <c r="EG5" s="10"/>
    </row>
    <row r="6" spans="1:138" x14ac:dyDescent="0.3">
      <c r="A6" s="22" t="s">
        <v>139</v>
      </c>
      <c r="B6" s="23"/>
      <c r="C6" s="11">
        <f t="array" ref="C6">MATCH(MAX(ABS(C3:C5)), ABS(C3:C5), 0)</f>
        <v>2</v>
      </c>
      <c r="D6" s="11">
        <f t="array" ref="D6">MATCH(MAX(ABS(D3:D5)), ABS(D3:D5), 0)</f>
        <v>2</v>
      </c>
      <c r="E6" s="11">
        <f t="array" ref="E6">MATCH(MAX(ABS(E3:E5)), ABS(E3:E5), 0)</f>
        <v>2</v>
      </c>
      <c r="F6" s="11">
        <f t="array" ref="F6">MATCH(MAX(ABS(F3:F5)), ABS(F3:F5), 0)</f>
        <v>3</v>
      </c>
      <c r="G6" s="11">
        <f t="array" ref="G6">MATCH(MAX(ABS(G3:G5)), ABS(G3:G5), 0)</f>
        <v>3</v>
      </c>
      <c r="H6" s="11">
        <f t="array" ref="H6">MATCH(MAX(ABS(H3:H5)), ABS(H3:H5), 0)</f>
        <v>2</v>
      </c>
      <c r="I6" s="11">
        <f t="array" ref="I6">MATCH(MAX(ABS(I3:I5)), ABS(I3:I5), 0)</f>
        <v>1</v>
      </c>
      <c r="J6" s="11">
        <f t="array" ref="J6">MATCH(MAX(ABS(J3:J5)), ABS(J3:J5), 0)</f>
        <v>1</v>
      </c>
      <c r="K6" s="11">
        <f t="array" ref="K6">MATCH(MAX(ABS(K3:K5)), ABS(K3:K5), 0)</f>
        <v>3</v>
      </c>
      <c r="L6" s="11">
        <f t="array" ref="L6">MATCH(MAX(ABS(L3:L5)), ABS(L3:L5), 0)</f>
        <v>2</v>
      </c>
      <c r="M6" s="11">
        <f t="array" ref="M6">MATCH(MAX(ABS(M3:M5)), ABS(M3:M5), 0)</f>
        <v>3</v>
      </c>
      <c r="N6" s="11">
        <f t="array" ref="N6">MATCH(MAX(ABS(N3:N5)), ABS(N3:N5), 0)</f>
        <v>2</v>
      </c>
      <c r="O6" s="11">
        <f t="array" ref="O6">MATCH(MAX(ABS(O3:O5)), ABS(O3:O5), 0)</f>
        <v>3</v>
      </c>
      <c r="P6" s="11">
        <f t="array" ref="P6">MATCH(MAX(ABS(P3:P5)), ABS(P3:P5), 0)</f>
        <v>1</v>
      </c>
      <c r="Q6" s="11">
        <f t="array" ref="Q6">MATCH(MAX(ABS(Q3:Q5)), ABS(Q3:Q5), 0)</f>
        <v>1</v>
      </c>
      <c r="R6" s="11">
        <f t="array" ref="R6">MATCH(MAX(ABS(R3:R5)), ABS(R3:R5), 0)</f>
        <v>1</v>
      </c>
      <c r="S6" s="11">
        <f t="array" ref="S6">MATCH(MAX(ABS(S3:S5)), ABS(S3:S5), 0)</f>
        <v>1</v>
      </c>
      <c r="T6" s="11">
        <f t="array" ref="T6">MATCH(MAX(ABS(T3:T5)), ABS(T3:T5), 0)</f>
        <v>3</v>
      </c>
      <c r="U6" s="11">
        <f t="array" ref="U6">MATCH(MAX(ABS(U3:U5)), ABS(U3:U5), 0)</f>
        <v>1</v>
      </c>
      <c r="V6" s="11">
        <f t="array" ref="V6">MATCH(MAX(ABS(V3:V5)), ABS(V3:V5), 0)</f>
        <v>1</v>
      </c>
      <c r="W6" s="11">
        <f t="array" ref="W6">MATCH(MAX(ABS(W3:W5)), ABS(W3:W5), 0)</f>
        <v>2</v>
      </c>
      <c r="X6" s="11">
        <f t="array" ref="X6">MATCH(MAX(ABS(X3:X5)), ABS(X3:X5), 0)</f>
        <v>3</v>
      </c>
      <c r="Y6" s="11">
        <f t="array" ref="Y6">MATCH(MAX(ABS(Y3:Y5)), ABS(Y3:Y5), 0)</f>
        <v>1</v>
      </c>
      <c r="Z6" s="11">
        <f t="array" ref="Z6">MATCH(MAX(ABS(Z3:Z5)), ABS(Z3:Z5), 0)</f>
        <v>1</v>
      </c>
      <c r="AA6" s="11">
        <f t="array" ref="AA6">MATCH(MAX(ABS(AA3:AA5)), ABS(AA3:AA5), 0)</f>
        <v>3</v>
      </c>
      <c r="AB6" s="11">
        <f t="array" ref="AB6">MATCH(MAX(ABS(AB3:AB5)), ABS(AB3:AB5), 0)</f>
        <v>1</v>
      </c>
      <c r="AC6" s="11">
        <f t="array" ref="AC6">MATCH(MAX(ABS(AC3:AC5)), ABS(AC3:AC5), 0)</f>
        <v>3</v>
      </c>
      <c r="AD6" s="11">
        <f t="array" ref="AD6">MATCH(MAX(ABS(AD3:AD5)), ABS(AD3:AD5), 0)</f>
        <v>2</v>
      </c>
      <c r="AE6" s="11">
        <f t="array" ref="AE6">MATCH(MAX(ABS(AE3:AE5)), ABS(AE3:AE5), 0)</f>
        <v>3</v>
      </c>
      <c r="AF6" s="11">
        <f t="array" ref="AF6">MATCH(MAX(ABS(AF3:AF5)), ABS(AF3:AF5), 0)</f>
        <v>3</v>
      </c>
      <c r="AG6" s="11">
        <f t="array" ref="AG6">MATCH(MAX(ABS(AG3:AG5)), ABS(AG3:AG5), 0)</f>
        <v>1</v>
      </c>
      <c r="AH6" s="11">
        <f t="array" ref="AH6">MATCH(MAX(ABS(AH3:AH5)), ABS(AH3:AH5), 0)</f>
        <v>1</v>
      </c>
      <c r="AI6" s="11">
        <f t="array" ref="AI6">MATCH(MAX(ABS(AI3:AI5)), ABS(AI3:AI5), 0)</f>
        <v>2</v>
      </c>
      <c r="AJ6" s="11">
        <f t="array" ref="AJ6">MATCH(MAX(ABS(AJ3:AJ5)), ABS(AJ3:AJ5), 0)</f>
        <v>1</v>
      </c>
      <c r="AK6" s="11">
        <f t="array" ref="AK6">MATCH(MAX(ABS(AK3:AK5)), ABS(AK3:AK5), 0)</f>
        <v>1</v>
      </c>
      <c r="AL6" s="11">
        <f t="array" ref="AL6">MATCH(MAX(ABS(AL3:AL5)), ABS(AL3:AL5), 0)</f>
        <v>2</v>
      </c>
      <c r="AM6" s="11">
        <f t="array" ref="AM6">MATCH(MAX(ABS(AM3:AM5)), ABS(AM3:AM5), 0)</f>
        <v>1</v>
      </c>
      <c r="AN6" s="11">
        <f t="array" ref="AN6">MATCH(MAX(ABS(AN3:AN5)), ABS(AN3:AN5), 0)</f>
        <v>1</v>
      </c>
      <c r="AO6" s="11">
        <f t="array" ref="AO6">MATCH(MAX(ABS(AO3:AO5)), ABS(AO3:AO5), 0)</f>
        <v>3</v>
      </c>
      <c r="AP6" s="11">
        <f t="array" ref="AP6">MATCH(MAX(ABS(AP3:AP5)), ABS(AP3:AP5), 0)</f>
        <v>1</v>
      </c>
      <c r="AQ6" s="11">
        <f t="array" ref="AQ6">MATCH(MAX(ABS(AQ3:AQ5)), ABS(AQ3:AQ5), 0)</f>
        <v>2</v>
      </c>
      <c r="AR6" s="11">
        <f t="array" ref="AR6">MATCH(MAX(ABS(AR3:AR5)), ABS(AR3:AR5), 0)</f>
        <v>2</v>
      </c>
      <c r="AS6" s="11">
        <f t="array" ref="AS6">MATCH(MAX(ABS(AS3:AS5)), ABS(AS3:AS5), 0)</f>
        <v>3</v>
      </c>
      <c r="AT6" s="11">
        <f t="array" ref="AT6">MATCH(MAX(ABS(AT3:AT5)), ABS(AT3:AT5), 0)</f>
        <v>3</v>
      </c>
      <c r="AU6" s="11">
        <f t="array" ref="AU6">MATCH(MAX(ABS(AU3:AU5)), ABS(AU3:AU5), 0)</f>
        <v>2</v>
      </c>
      <c r="AV6" s="11">
        <f t="array" ref="AV6">MATCH(MAX(ABS(AV3:AV5)), ABS(AV3:AV5), 0)</f>
        <v>3</v>
      </c>
      <c r="AW6" s="11">
        <f t="array" ref="AW6">MATCH(MAX(ABS(AW3:AW5)), ABS(AW3:AW5), 0)</f>
        <v>3</v>
      </c>
      <c r="AX6" s="11">
        <f t="array" ref="AX6">MATCH(MAX(ABS(AX3:AX5)), ABS(AX3:AX5), 0)</f>
        <v>3</v>
      </c>
      <c r="AY6" s="11">
        <f t="array" ref="AY6">MATCH(MAX(ABS(AY3:AY5)), ABS(AY3:AY5), 0)</f>
        <v>1</v>
      </c>
      <c r="AZ6" s="11">
        <f t="array" ref="AZ6">MATCH(MAX(ABS(AZ3:AZ5)), ABS(AZ3:AZ5), 0)</f>
        <v>2</v>
      </c>
      <c r="BA6" s="11">
        <f t="array" ref="BA6">MATCH(MAX(ABS(BA3:BA5)), ABS(BA3:BA5), 0)</f>
        <v>2</v>
      </c>
      <c r="BB6" s="11">
        <f t="array" ref="BB6">MATCH(MAX(ABS(BB3:BB5)), ABS(BB3:BB5), 0)</f>
        <v>3</v>
      </c>
      <c r="BC6" s="11">
        <f t="array" ref="BC6">MATCH(MAX(ABS(BC3:BC5)), ABS(BC3:BC5), 0)</f>
        <v>3</v>
      </c>
      <c r="BD6" s="11">
        <f t="array" ref="BD6">MATCH(MAX(ABS(BD3:BD5)), ABS(BD3:BD5), 0)</f>
        <v>2</v>
      </c>
      <c r="BE6" s="11">
        <f t="array" ref="BE6">MATCH(MAX(ABS(BE3:BE5)), ABS(BE3:BE5), 0)</f>
        <v>3</v>
      </c>
      <c r="BF6" s="11">
        <f t="array" ref="BF6">MATCH(MAX(ABS(BF3:BF5)), ABS(BF3:BF5), 0)</f>
        <v>3</v>
      </c>
      <c r="BG6" s="11">
        <f t="array" ref="BG6">MATCH(MAX(ABS(BG3:BG5)), ABS(BG3:BG5), 0)</f>
        <v>3</v>
      </c>
      <c r="BH6" s="11">
        <f t="array" ref="BH6">MATCH(MAX(ABS(BH3:BH5)), ABS(BH3:BH5), 0)</f>
        <v>3</v>
      </c>
      <c r="BI6" s="11">
        <f t="array" ref="BI6">MATCH(MAX(ABS(BI3:BI5)), ABS(BI3:BI5), 0)</f>
        <v>1</v>
      </c>
      <c r="BJ6" s="11">
        <f t="array" ref="BJ6">MATCH(MAX(ABS(BJ3:BJ5)), ABS(BJ3:BJ5), 0)</f>
        <v>2</v>
      </c>
      <c r="BK6" s="11">
        <f t="array" ref="BK6">MATCH(MAX(ABS(BK3:BK5)), ABS(BK3:BK5), 0)</f>
        <v>2</v>
      </c>
      <c r="BL6" s="11">
        <f t="array" ref="BL6">MATCH(MAX(ABS(BL3:BL5)), ABS(BL3:BL5), 0)</f>
        <v>3</v>
      </c>
      <c r="BM6" s="11">
        <f t="array" ref="BM6">MATCH(MAX(ABS(BM3:BM5)), ABS(BM3:BM5), 0)</f>
        <v>3</v>
      </c>
      <c r="BN6" s="11">
        <f t="array" ref="BN6">MATCH(MAX(ABS(BN3:BN5)), ABS(BN3:BN5), 0)</f>
        <v>2</v>
      </c>
      <c r="BO6" s="11">
        <f t="array" ref="BO6">MATCH(MAX(ABS(BO3:BO5)), ABS(BO3:BO5), 0)</f>
        <v>1</v>
      </c>
      <c r="BP6" s="11">
        <f t="array" ref="BP6">MATCH(MAX(ABS(BP3:BP5)), ABS(BP3:BP5), 0)</f>
        <v>2</v>
      </c>
      <c r="BQ6" s="11">
        <f t="array" ref="BQ6">MATCH(MAX(ABS(BQ3:BQ5)), ABS(BQ3:BQ5), 0)</f>
        <v>1</v>
      </c>
      <c r="BR6" s="11">
        <f t="array" ref="BR6">MATCH(MAX(ABS(BR3:BR5)), ABS(BR3:BR5), 0)</f>
        <v>3</v>
      </c>
      <c r="BS6" s="11">
        <f t="array" ref="BS6">MATCH(MAX(ABS(BS3:BS5)), ABS(BS3:BS5), 0)</f>
        <v>3</v>
      </c>
      <c r="BT6" s="11">
        <f t="array" ref="BT6">MATCH(MAX(ABS(BT3:BT5)), ABS(BT3:BT5), 0)</f>
        <v>2</v>
      </c>
      <c r="BU6" s="11">
        <f t="array" ref="BU6">MATCH(MAX(ABS(BU3:BU5)), ABS(BU3:BU5), 0)</f>
        <v>2</v>
      </c>
      <c r="BV6" s="11">
        <f t="array" ref="BV6">MATCH(MAX(ABS(BV3:BV5)), ABS(BV3:BV5), 0)</f>
        <v>3</v>
      </c>
      <c r="BW6" s="11">
        <f t="array" ref="BW6">MATCH(MAX(ABS(BW3:BW5)), ABS(BW3:BW5), 0)</f>
        <v>3</v>
      </c>
      <c r="BX6" s="11">
        <f t="array" ref="BX6">MATCH(MAX(ABS(BX3:BX5)), ABS(BX3:BX5), 0)</f>
        <v>2</v>
      </c>
      <c r="BY6" s="11">
        <f t="array" ref="BY6">MATCH(MAX(ABS(BY3:BY5)), ABS(BY3:BY5), 0)</f>
        <v>3</v>
      </c>
      <c r="BZ6" s="11">
        <f t="array" ref="BZ6">MATCH(MAX(ABS(BZ3:BZ5)), ABS(BZ3:BZ5), 0)</f>
        <v>1</v>
      </c>
      <c r="CA6" s="11">
        <f t="array" ref="CA6">MATCH(MAX(ABS(CA3:CA5)), ABS(CA3:CA5), 0)</f>
        <v>1</v>
      </c>
      <c r="CB6" s="11">
        <f t="array" ref="CB6">MATCH(MAX(ABS(CB3:CB5)), ABS(CB3:CB5), 0)</f>
        <v>2</v>
      </c>
      <c r="CC6" s="11">
        <f t="array" ref="CC6">MATCH(MAX(ABS(CC3:CC5)), ABS(CC3:CC5), 0)</f>
        <v>2</v>
      </c>
      <c r="CD6" s="11">
        <f t="array" ref="CD6">MATCH(MAX(ABS(CD3:CD5)), ABS(CD3:CD5), 0)</f>
        <v>1</v>
      </c>
      <c r="CE6" s="11">
        <f t="array" ref="CE6">MATCH(MAX(ABS(CE3:CE5)), ABS(CE3:CE5), 0)</f>
        <v>2</v>
      </c>
      <c r="CF6" s="11">
        <f t="array" ref="CF6">MATCH(MAX(ABS(CF3:CF5)), ABS(CF3:CF5), 0)</f>
        <v>1</v>
      </c>
      <c r="CG6" s="11">
        <f t="array" ref="CG6">MATCH(MAX(ABS(CG3:CG5)), ABS(CG3:CG5), 0)</f>
        <v>3</v>
      </c>
      <c r="CH6" s="11">
        <f t="array" ref="CH6">MATCH(MAX(ABS(CH3:CH5)), ABS(CH3:CH5), 0)</f>
        <v>1</v>
      </c>
      <c r="CI6" s="11">
        <f t="array" ref="CI6">MATCH(MAX(ABS(CI3:CI5)), ABS(CI3:CI5), 0)</f>
        <v>1</v>
      </c>
      <c r="CJ6" s="11">
        <f t="array" ref="CJ6">MATCH(MAX(ABS(CJ3:CJ5)), ABS(CJ3:CJ5), 0)</f>
        <v>3</v>
      </c>
      <c r="CK6" s="11">
        <f t="array" ref="CK6">MATCH(MAX(ABS(CK3:CK5)), ABS(CK3:CK5), 0)</f>
        <v>3</v>
      </c>
      <c r="CL6" s="11">
        <f t="array" ref="CL6">MATCH(MAX(ABS(CL3:CL5)), ABS(CL3:CL5), 0)</f>
        <v>1</v>
      </c>
      <c r="CM6" s="11">
        <f t="array" ref="CM6">MATCH(MAX(ABS(CM3:CM5)), ABS(CM3:CM5), 0)</f>
        <v>2</v>
      </c>
      <c r="CN6" s="11">
        <f t="array" ref="CN6">MATCH(MAX(ABS(CN3:CN5)), ABS(CN3:CN5), 0)</f>
        <v>3</v>
      </c>
      <c r="CO6" s="11">
        <f t="array" ref="CO6">MATCH(MAX(ABS(CO3:CO5)), ABS(CO3:CO5), 0)</f>
        <v>2</v>
      </c>
      <c r="CP6" s="11">
        <f t="array" ref="CP6">MATCH(MAX(ABS(CP3:CP5)), ABS(CP3:CP5), 0)</f>
        <v>1</v>
      </c>
      <c r="CQ6" s="11">
        <f t="array" ref="CQ6">MATCH(MAX(ABS(CQ3:CQ5)), ABS(CQ3:CQ5), 0)</f>
        <v>3</v>
      </c>
      <c r="CR6" s="11">
        <f t="array" ref="CR6">MATCH(MAX(ABS(CR3:CR5)), ABS(CR3:CR5), 0)</f>
        <v>3</v>
      </c>
      <c r="CS6" s="11">
        <f t="array" ref="CS6">MATCH(MAX(ABS(CS3:CS5)), ABS(CS3:CS5), 0)</f>
        <v>3</v>
      </c>
      <c r="CT6" s="11">
        <f t="array" ref="CT6">MATCH(MAX(ABS(CT3:CT5)), ABS(CT3:CT5), 0)</f>
        <v>2</v>
      </c>
      <c r="CU6" s="11">
        <f t="array" ref="CU6">MATCH(MAX(ABS(CU3:CU5)), ABS(CU3:CU5), 0)</f>
        <v>3</v>
      </c>
      <c r="CV6" s="11">
        <f t="array" ref="CV6">MATCH(MAX(ABS(CV3:CV5)), ABS(CV3:CV5), 0)</f>
        <v>3</v>
      </c>
      <c r="CW6" s="11">
        <f t="array" ref="CW6">MATCH(MAX(ABS(CW3:CW5)), ABS(CW3:CW5), 0)</f>
        <v>3</v>
      </c>
      <c r="CX6" s="11">
        <f t="array" ref="CX6">MATCH(MAX(ABS(CX3:CX5)), ABS(CX3:CX5), 0)</f>
        <v>1</v>
      </c>
      <c r="CY6" s="11">
        <f t="array" ref="CY6">MATCH(MAX(ABS(CY3:CY5)), ABS(CY3:CY5), 0)</f>
        <v>2</v>
      </c>
      <c r="CZ6" s="11">
        <f t="array" ref="CZ6">MATCH(MAX(ABS(CZ3:CZ5)), ABS(CZ3:CZ5), 0)</f>
        <v>1</v>
      </c>
      <c r="DA6" s="11">
        <f t="array" ref="DA6">MATCH(MAX(ABS(DA3:DA5)), ABS(DA3:DA5), 0)</f>
        <v>2</v>
      </c>
      <c r="DB6" s="11">
        <f t="array" ref="DB6">MATCH(MAX(ABS(DB3:DB5)), ABS(DB3:DB5), 0)</f>
        <v>2</v>
      </c>
      <c r="DC6" s="11">
        <f t="array" ref="DC6">MATCH(MAX(ABS(DC3:DC5)), ABS(DC3:DC5), 0)</f>
        <v>1</v>
      </c>
      <c r="DD6" s="11">
        <f t="array" ref="DD6">MATCH(MAX(ABS(DD3:DD5)), ABS(DD3:DD5), 0)</f>
        <v>3</v>
      </c>
      <c r="DE6" s="11">
        <f t="array" ref="DE6">MATCH(MAX(ABS(DE3:DE5)), ABS(DE3:DE5), 0)</f>
        <v>3</v>
      </c>
      <c r="DF6" s="11">
        <f t="array" ref="DF6">MATCH(MAX(ABS(DF3:DF5)), ABS(DF3:DF5), 0)</f>
        <v>2</v>
      </c>
      <c r="DG6" s="11">
        <f t="array" ref="DG6">MATCH(MAX(ABS(DG3:DG5)), ABS(DG3:DG5), 0)</f>
        <v>2</v>
      </c>
      <c r="DH6" s="11">
        <f t="array" ref="DH6">MATCH(MAX(ABS(DH3:DH5)), ABS(DH3:DH5), 0)</f>
        <v>2</v>
      </c>
      <c r="DI6" s="11">
        <f t="array" ref="DI6">MATCH(MAX(ABS(DI3:DI5)), ABS(DI3:DI5), 0)</f>
        <v>2</v>
      </c>
      <c r="DJ6" s="11">
        <f t="array" ref="DJ6">MATCH(MAX(ABS(DJ3:DJ5)), ABS(DJ3:DJ5), 0)</f>
        <v>3</v>
      </c>
      <c r="DK6" s="11">
        <f t="array" ref="DK6">MATCH(MAX(ABS(DK3:DK5)), ABS(DK3:DK5), 0)</f>
        <v>2</v>
      </c>
      <c r="DL6" s="11">
        <f t="array" ref="DL6">MATCH(MAX(ABS(DL3:DL5)), ABS(DL3:DL5), 0)</f>
        <v>3</v>
      </c>
      <c r="DM6" s="11">
        <f t="array" ref="DM6">MATCH(MAX(ABS(DM3:DM5)), ABS(DM3:DM5), 0)</f>
        <v>2</v>
      </c>
      <c r="DN6" s="11">
        <f t="array" ref="DN6">MATCH(MAX(ABS(DN3:DN5)), ABS(DN3:DN5), 0)</f>
        <v>1</v>
      </c>
      <c r="DO6" s="11">
        <f t="array" ref="DO6">MATCH(MAX(ABS(DO3:DO5)), ABS(DO3:DO5), 0)</f>
        <v>2</v>
      </c>
      <c r="DP6" s="11">
        <f t="array" ref="DP6">MATCH(MAX(ABS(DP3:DP5)), ABS(DP3:DP5), 0)</f>
        <v>3</v>
      </c>
      <c r="DQ6" s="11">
        <f t="array" ref="DQ6">MATCH(MAX(ABS(DQ3:DQ5)), ABS(DQ3:DQ5), 0)</f>
        <v>3</v>
      </c>
      <c r="DR6" s="11">
        <f t="array" ref="DR6">MATCH(MAX(ABS(DR3:DR5)), ABS(DR3:DR5), 0)</f>
        <v>1</v>
      </c>
      <c r="DS6" s="11">
        <f t="array" ref="DS6">MATCH(MAX(ABS(DS3:DS5)), ABS(DS3:DS5), 0)</f>
        <v>2</v>
      </c>
      <c r="DT6" s="11">
        <f t="array" ref="DT6">MATCH(MAX(ABS(DT3:DT5)), ABS(DT3:DT5), 0)</f>
        <v>3</v>
      </c>
      <c r="DU6" s="11">
        <f t="array" ref="DU6">MATCH(MAX(ABS(DU3:DU5)), ABS(DU3:DU5), 0)</f>
        <v>2</v>
      </c>
      <c r="DV6" s="11">
        <f t="array" ref="DV6">MATCH(MAX(ABS(DV3:DV5)), ABS(DV3:DV5), 0)</f>
        <v>1</v>
      </c>
      <c r="DW6" s="11">
        <f t="array" ref="DW6">MATCH(MAX(ABS(DW3:DW5)), ABS(DW3:DW5), 0)</f>
        <v>2</v>
      </c>
      <c r="DX6" s="11">
        <f t="array" ref="DX6">MATCH(MAX(ABS(DX3:DX5)), ABS(DX3:DX5), 0)</f>
        <v>1</v>
      </c>
      <c r="DY6" s="11">
        <f t="array" ref="DY6">MATCH(MAX(ABS(DY3:DY5)), ABS(DY3:DY5), 0)</f>
        <v>2</v>
      </c>
      <c r="DZ6" s="11">
        <f t="array" ref="DZ6">MATCH(MAX(ABS(DZ3:DZ5)), ABS(DZ3:DZ5), 0)</f>
        <v>2</v>
      </c>
      <c r="EA6" s="11">
        <f t="array" ref="EA6">MATCH(MAX(ABS(EA3:EA5)), ABS(EA3:EA5), 0)</f>
        <v>3</v>
      </c>
      <c r="EB6" s="11">
        <f t="array" ref="EB6">MATCH(MAX(ABS(EB3:EB5)), ABS(EB3:EB5), 0)</f>
        <v>3</v>
      </c>
      <c r="EC6" s="11">
        <f t="array" ref="EC6">MATCH(MAX(ABS(EC3:EC5)), ABS(EC3:EC5), 0)</f>
        <v>1</v>
      </c>
      <c r="ED6" s="11">
        <f t="array" ref="ED6">MATCH(MAX(ABS(ED3:ED5)), ABS(ED3:ED5), 0)</f>
        <v>1</v>
      </c>
      <c r="EE6" s="11">
        <f t="array" ref="EE6">MATCH(MAX(ABS(EE3:EE5)), ABS(EE3:EE5), 0)</f>
        <v>2</v>
      </c>
      <c r="EF6" s="11">
        <f t="array" ref="EF6">MATCH(MAX(ABS(EF3:EF5)), ABS(EF3:EF5), 0)</f>
        <v>2</v>
      </c>
      <c r="EG6" s="11">
        <f t="array" ref="EG6">MATCH(MAX(ABS(EG3:EG5)), ABS(EG3:EG5), 0)</f>
        <v>2</v>
      </c>
    </row>
    <row r="7" spans="1:138" x14ac:dyDescent="0.3">
      <c r="C7" s="11" t="str">
        <f t="shared" ref="C7:AH7" si="0">IF(C6=1,"bm",IF(C6=2,"size",IF(C6=3,"mom")))</f>
        <v>size</v>
      </c>
      <c r="D7" s="11" t="str">
        <f t="shared" si="0"/>
        <v>size</v>
      </c>
      <c r="E7" s="11" t="str">
        <f t="shared" si="0"/>
        <v>size</v>
      </c>
      <c r="F7" s="11" t="str">
        <f t="shared" si="0"/>
        <v>mom</v>
      </c>
      <c r="G7" s="11" t="str">
        <f t="shared" si="0"/>
        <v>mom</v>
      </c>
      <c r="H7" s="11" t="str">
        <f t="shared" si="0"/>
        <v>size</v>
      </c>
      <c r="I7" s="11" t="str">
        <f t="shared" si="0"/>
        <v>bm</v>
      </c>
      <c r="J7" s="11" t="str">
        <f t="shared" si="0"/>
        <v>bm</v>
      </c>
      <c r="K7" s="11" t="str">
        <f t="shared" si="0"/>
        <v>mom</v>
      </c>
      <c r="L7" s="11" t="str">
        <f t="shared" si="0"/>
        <v>size</v>
      </c>
      <c r="M7" s="11" t="str">
        <f t="shared" si="0"/>
        <v>mom</v>
      </c>
      <c r="N7" s="11" t="str">
        <f t="shared" si="0"/>
        <v>size</v>
      </c>
      <c r="O7" s="11" t="str">
        <f t="shared" si="0"/>
        <v>mom</v>
      </c>
      <c r="P7" s="11" t="str">
        <f t="shared" si="0"/>
        <v>bm</v>
      </c>
      <c r="Q7" s="11" t="str">
        <f t="shared" si="0"/>
        <v>bm</v>
      </c>
      <c r="R7" s="11" t="str">
        <f t="shared" si="0"/>
        <v>bm</v>
      </c>
      <c r="S7" s="11" t="str">
        <f t="shared" si="0"/>
        <v>bm</v>
      </c>
      <c r="T7" s="11" t="str">
        <f t="shared" si="0"/>
        <v>mom</v>
      </c>
      <c r="U7" s="11" t="str">
        <f t="shared" si="0"/>
        <v>bm</v>
      </c>
      <c r="V7" s="11" t="str">
        <f t="shared" si="0"/>
        <v>bm</v>
      </c>
      <c r="W7" s="11" t="str">
        <f t="shared" si="0"/>
        <v>size</v>
      </c>
      <c r="X7" s="11" t="str">
        <f t="shared" si="0"/>
        <v>mom</v>
      </c>
      <c r="Y7" s="11" t="str">
        <f t="shared" si="0"/>
        <v>bm</v>
      </c>
      <c r="Z7" s="11" t="str">
        <f t="shared" si="0"/>
        <v>bm</v>
      </c>
      <c r="AA7" s="11" t="str">
        <f t="shared" si="0"/>
        <v>mom</v>
      </c>
      <c r="AB7" s="11" t="str">
        <f t="shared" si="0"/>
        <v>bm</v>
      </c>
      <c r="AC7" s="11" t="str">
        <f t="shared" si="0"/>
        <v>mom</v>
      </c>
      <c r="AD7" s="11" t="str">
        <f t="shared" si="0"/>
        <v>size</v>
      </c>
      <c r="AE7" s="11" t="str">
        <f t="shared" si="0"/>
        <v>mom</v>
      </c>
      <c r="AF7" s="11" t="str">
        <f t="shared" si="0"/>
        <v>mom</v>
      </c>
      <c r="AG7" s="11" t="str">
        <f t="shared" si="0"/>
        <v>bm</v>
      </c>
      <c r="AH7" s="11" t="str">
        <f t="shared" si="0"/>
        <v>bm</v>
      </c>
      <c r="AI7" s="11" t="str">
        <f t="shared" ref="AI7:BN7" si="1">IF(AI6=1,"bm",IF(AI6=2,"size",IF(AI6=3,"mom")))</f>
        <v>size</v>
      </c>
      <c r="AJ7" s="11" t="str">
        <f t="shared" si="1"/>
        <v>bm</v>
      </c>
      <c r="AK7" s="11" t="str">
        <f t="shared" si="1"/>
        <v>bm</v>
      </c>
      <c r="AL7" s="11" t="str">
        <f t="shared" si="1"/>
        <v>size</v>
      </c>
      <c r="AM7" s="11" t="str">
        <f t="shared" si="1"/>
        <v>bm</v>
      </c>
      <c r="AN7" s="11" t="str">
        <f t="shared" si="1"/>
        <v>bm</v>
      </c>
      <c r="AO7" s="11" t="str">
        <f t="shared" si="1"/>
        <v>mom</v>
      </c>
      <c r="AP7" s="11" t="str">
        <f t="shared" si="1"/>
        <v>bm</v>
      </c>
      <c r="AQ7" s="11" t="str">
        <f t="shared" si="1"/>
        <v>size</v>
      </c>
      <c r="AR7" s="11" t="str">
        <f t="shared" si="1"/>
        <v>size</v>
      </c>
      <c r="AS7" s="11" t="str">
        <f t="shared" si="1"/>
        <v>mom</v>
      </c>
      <c r="AT7" s="11" t="str">
        <f t="shared" si="1"/>
        <v>mom</v>
      </c>
      <c r="AU7" s="11" t="str">
        <f t="shared" si="1"/>
        <v>size</v>
      </c>
      <c r="AV7" s="11" t="str">
        <f t="shared" si="1"/>
        <v>mom</v>
      </c>
      <c r="AW7" s="11" t="str">
        <f t="shared" si="1"/>
        <v>mom</v>
      </c>
      <c r="AX7" s="11" t="str">
        <f t="shared" si="1"/>
        <v>mom</v>
      </c>
      <c r="AY7" s="11" t="str">
        <f t="shared" si="1"/>
        <v>bm</v>
      </c>
      <c r="AZ7" s="11" t="str">
        <f t="shared" si="1"/>
        <v>size</v>
      </c>
      <c r="BA7" s="11" t="str">
        <f t="shared" si="1"/>
        <v>size</v>
      </c>
      <c r="BB7" s="11" t="str">
        <f t="shared" si="1"/>
        <v>mom</v>
      </c>
      <c r="BC7" s="11" t="str">
        <f t="shared" si="1"/>
        <v>mom</v>
      </c>
      <c r="BD7" s="11" t="str">
        <f t="shared" si="1"/>
        <v>size</v>
      </c>
      <c r="BE7" s="11" t="str">
        <f t="shared" si="1"/>
        <v>mom</v>
      </c>
      <c r="BF7" s="11" t="str">
        <f t="shared" si="1"/>
        <v>mom</v>
      </c>
      <c r="BG7" s="11" t="str">
        <f t="shared" si="1"/>
        <v>mom</v>
      </c>
      <c r="BH7" s="11" t="str">
        <f t="shared" si="1"/>
        <v>mom</v>
      </c>
      <c r="BI7" s="11" t="str">
        <f t="shared" si="1"/>
        <v>bm</v>
      </c>
      <c r="BJ7" s="11" t="str">
        <f t="shared" si="1"/>
        <v>size</v>
      </c>
      <c r="BK7" s="11" t="str">
        <f t="shared" si="1"/>
        <v>size</v>
      </c>
      <c r="BL7" s="11" t="str">
        <f t="shared" si="1"/>
        <v>mom</v>
      </c>
      <c r="BM7" s="11" t="str">
        <f t="shared" si="1"/>
        <v>mom</v>
      </c>
      <c r="BN7" s="11" t="str">
        <f t="shared" si="1"/>
        <v>size</v>
      </c>
      <c r="BO7" s="11" t="str">
        <f t="shared" ref="BO7:CT7" si="2">IF(BO6=1,"bm",IF(BO6=2,"size",IF(BO6=3,"mom")))</f>
        <v>bm</v>
      </c>
      <c r="BP7" s="11" t="str">
        <f t="shared" si="2"/>
        <v>size</v>
      </c>
      <c r="BQ7" s="11" t="str">
        <f t="shared" si="2"/>
        <v>bm</v>
      </c>
      <c r="BR7" s="11" t="str">
        <f t="shared" si="2"/>
        <v>mom</v>
      </c>
      <c r="BS7" s="11" t="str">
        <f t="shared" si="2"/>
        <v>mom</v>
      </c>
      <c r="BT7" s="11" t="str">
        <f t="shared" si="2"/>
        <v>size</v>
      </c>
      <c r="BU7" s="11" t="str">
        <f t="shared" si="2"/>
        <v>size</v>
      </c>
      <c r="BV7" s="11" t="str">
        <f t="shared" si="2"/>
        <v>mom</v>
      </c>
      <c r="BW7" s="11" t="str">
        <f t="shared" si="2"/>
        <v>mom</v>
      </c>
      <c r="BX7" s="11" t="str">
        <f t="shared" si="2"/>
        <v>size</v>
      </c>
      <c r="BY7" s="11" t="str">
        <f t="shared" si="2"/>
        <v>mom</v>
      </c>
      <c r="BZ7" s="11" t="str">
        <f t="shared" si="2"/>
        <v>bm</v>
      </c>
      <c r="CA7" s="11" t="str">
        <f t="shared" si="2"/>
        <v>bm</v>
      </c>
      <c r="CB7" s="11" t="str">
        <f t="shared" si="2"/>
        <v>size</v>
      </c>
      <c r="CC7" s="11" t="str">
        <f t="shared" si="2"/>
        <v>size</v>
      </c>
      <c r="CD7" s="11" t="str">
        <f t="shared" si="2"/>
        <v>bm</v>
      </c>
      <c r="CE7" s="11" t="str">
        <f t="shared" si="2"/>
        <v>size</v>
      </c>
      <c r="CF7" s="11" t="str">
        <f t="shared" si="2"/>
        <v>bm</v>
      </c>
      <c r="CG7" s="11" t="str">
        <f t="shared" si="2"/>
        <v>mom</v>
      </c>
      <c r="CH7" s="11" t="str">
        <f t="shared" si="2"/>
        <v>bm</v>
      </c>
      <c r="CI7" s="11" t="str">
        <f t="shared" si="2"/>
        <v>bm</v>
      </c>
      <c r="CJ7" s="11" t="str">
        <f t="shared" si="2"/>
        <v>mom</v>
      </c>
      <c r="CK7" s="11" t="str">
        <f t="shared" si="2"/>
        <v>mom</v>
      </c>
      <c r="CL7" s="11" t="str">
        <f t="shared" si="2"/>
        <v>bm</v>
      </c>
      <c r="CM7" s="11" t="str">
        <f t="shared" si="2"/>
        <v>size</v>
      </c>
      <c r="CN7" s="11" t="str">
        <f t="shared" si="2"/>
        <v>mom</v>
      </c>
      <c r="CO7" s="11" t="str">
        <f t="shared" si="2"/>
        <v>size</v>
      </c>
      <c r="CP7" s="11" t="str">
        <f t="shared" si="2"/>
        <v>bm</v>
      </c>
      <c r="CQ7" s="11" t="str">
        <f t="shared" si="2"/>
        <v>mom</v>
      </c>
      <c r="CR7" s="11" t="str">
        <f t="shared" si="2"/>
        <v>mom</v>
      </c>
      <c r="CS7" s="11" t="str">
        <f t="shared" si="2"/>
        <v>mom</v>
      </c>
      <c r="CT7" s="11" t="str">
        <f t="shared" si="2"/>
        <v>size</v>
      </c>
      <c r="CU7" s="11" t="str">
        <f t="shared" ref="CU7:DZ7" si="3">IF(CU6=1,"bm",IF(CU6=2,"size",IF(CU6=3,"mom")))</f>
        <v>mom</v>
      </c>
      <c r="CV7" s="11" t="str">
        <f t="shared" si="3"/>
        <v>mom</v>
      </c>
      <c r="CW7" s="11" t="str">
        <f t="shared" si="3"/>
        <v>mom</v>
      </c>
      <c r="CX7" s="11" t="str">
        <f t="shared" si="3"/>
        <v>bm</v>
      </c>
      <c r="CY7" s="11" t="str">
        <f t="shared" si="3"/>
        <v>size</v>
      </c>
      <c r="CZ7" s="11" t="str">
        <f t="shared" si="3"/>
        <v>bm</v>
      </c>
      <c r="DA7" s="11" t="str">
        <f t="shared" si="3"/>
        <v>size</v>
      </c>
      <c r="DB7" s="11" t="str">
        <f t="shared" si="3"/>
        <v>size</v>
      </c>
      <c r="DC7" s="11" t="str">
        <f t="shared" si="3"/>
        <v>bm</v>
      </c>
      <c r="DD7" s="11" t="str">
        <f t="shared" si="3"/>
        <v>mom</v>
      </c>
      <c r="DE7" s="11" t="str">
        <f t="shared" si="3"/>
        <v>mom</v>
      </c>
      <c r="DF7" s="11" t="str">
        <f t="shared" si="3"/>
        <v>size</v>
      </c>
      <c r="DG7" s="11" t="str">
        <f t="shared" si="3"/>
        <v>size</v>
      </c>
      <c r="DH7" s="11" t="str">
        <f t="shared" si="3"/>
        <v>size</v>
      </c>
      <c r="DI7" s="11" t="str">
        <f t="shared" si="3"/>
        <v>size</v>
      </c>
      <c r="DJ7" s="11" t="str">
        <f t="shared" si="3"/>
        <v>mom</v>
      </c>
      <c r="DK7" s="11" t="str">
        <f t="shared" si="3"/>
        <v>size</v>
      </c>
      <c r="DL7" s="11" t="str">
        <f t="shared" si="3"/>
        <v>mom</v>
      </c>
      <c r="DM7" s="11" t="str">
        <f t="shared" si="3"/>
        <v>size</v>
      </c>
      <c r="DN7" s="11" t="str">
        <f t="shared" si="3"/>
        <v>bm</v>
      </c>
      <c r="DO7" s="11" t="str">
        <f t="shared" si="3"/>
        <v>size</v>
      </c>
      <c r="DP7" s="11" t="str">
        <f t="shared" si="3"/>
        <v>mom</v>
      </c>
      <c r="DQ7" s="11" t="str">
        <f t="shared" si="3"/>
        <v>mom</v>
      </c>
      <c r="DR7" s="11" t="str">
        <f t="shared" si="3"/>
        <v>bm</v>
      </c>
      <c r="DS7" s="11" t="str">
        <f t="shared" si="3"/>
        <v>size</v>
      </c>
      <c r="DT7" s="11" t="str">
        <f t="shared" si="3"/>
        <v>mom</v>
      </c>
      <c r="DU7" s="11" t="str">
        <f t="shared" si="3"/>
        <v>size</v>
      </c>
      <c r="DV7" s="11" t="str">
        <f t="shared" si="3"/>
        <v>bm</v>
      </c>
      <c r="DW7" s="11" t="str">
        <f t="shared" si="3"/>
        <v>size</v>
      </c>
      <c r="DX7" s="11" t="str">
        <f t="shared" si="3"/>
        <v>bm</v>
      </c>
      <c r="DY7" s="11" t="str">
        <f t="shared" si="3"/>
        <v>size</v>
      </c>
      <c r="DZ7" s="11" t="str">
        <f t="shared" si="3"/>
        <v>size</v>
      </c>
      <c r="EA7" s="11" t="str">
        <f t="shared" ref="EA7:EG7" si="4">IF(EA6=1,"bm",IF(EA6=2,"size",IF(EA6=3,"mom")))</f>
        <v>mom</v>
      </c>
      <c r="EB7" s="11" t="str">
        <f t="shared" si="4"/>
        <v>mom</v>
      </c>
      <c r="EC7" s="11" t="str">
        <f t="shared" si="4"/>
        <v>bm</v>
      </c>
      <c r="ED7" s="11" t="str">
        <f t="shared" si="4"/>
        <v>bm</v>
      </c>
      <c r="EE7" s="11" t="str">
        <f t="shared" si="4"/>
        <v>size</v>
      </c>
      <c r="EF7" s="11" t="str">
        <f t="shared" si="4"/>
        <v>size</v>
      </c>
      <c r="EG7" s="11" t="str">
        <f t="shared" si="4"/>
        <v>size</v>
      </c>
    </row>
    <row r="8" spans="1:138" x14ac:dyDescent="0.3">
      <c r="C8" s="11">
        <f t="shared" ref="C8:AH8" si="5">IF(C6=1,C3,IF(C6=2,C4,IF(C6=3,C5)))</f>
        <v>-0.24758869999999999</v>
      </c>
      <c r="D8" s="11">
        <f t="shared" si="5"/>
        <v>-0.27469329999999997</v>
      </c>
      <c r="E8" s="11">
        <f t="shared" si="5"/>
        <v>-8.4648399999999999E-2</v>
      </c>
      <c r="F8" s="11">
        <f t="shared" si="5"/>
        <v>-8.7690000000000004E-2</v>
      </c>
      <c r="G8" s="11">
        <f t="shared" si="5"/>
        <v>0.102759</v>
      </c>
      <c r="H8" s="11">
        <f t="shared" si="5"/>
        <v>-0.1007596</v>
      </c>
      <c r="I8" s="11">
        <f t="shared" si="5"/>
        <v>0.18325177000000001</v>
      </c>
      <c r="J8" s="11">
        <f t="shared" si="5"/>
        <v>0.11648631</v>
      </c>
      <c r="K8" s="11">
        <f t="shared" si="5"/>
        <v>7.7257999999999993E-2</v>
      </c>
      <c r="L8" s="11">
        <f t="shared" si="5"/>
        <v>8.8406789999999999E-2</v>
      </c>
      <c r="M8" s="11">
        <f t="shared" si="5"/>
        <v>5.3601999999999997E-2</v>
      </c>
      <c r="N8" s="11">
        <f t="shared" si="5"/>
        <v>-0.21221799999999999</v>
      </c>
      <c r="O8" s="11">
        <f t="shared" si="5"/>
        <v>6.4930000000000002E-2</v>
      </c>
      <c r="P8" s="11">
        <f t="shared" si="5"/>
        <v>-9.1792299999999993E-2</v>
      </c>
      <c r="Q8" s="11">
        <f t="shared" si="5"/>
        <v>-7.7409000000000006E-2</v>
      </c>
      <c r="R8" s="11">
        <f t="shared" si="5"/>
        <v>5.4776600000000002E-2</v>
      </c>
      <c r="S8" s="11">
        <f t="shared" si="5"/>
        <v>-0.12533440000000001</v>
      </c>
      <c r="T8" s="11">
        <f t="shared" si="5"/>
        <v>0.12918499999999999</v>
      </c>
      <c r="U8" s="11">
        <f t="shared" si="5"/>
        <v>-3.7770100000000001E-2</v>
      </c>
      <c r="V8" s="11">
        <f t="shared" si="5"/>
        <v>8.1183820000000004E-2</v>
      </c>
      <c r="W8" s="11">
        <f t="shared" si="5"/>
        <v>-0.14355299999999999</v>
      </c>
      <c r="X8" s="11">
        <f t="shared" si="5"/>
        <v>-0.29385</v>
      </c>
      <c r="Y8" s="11">
        <f t="shared" si="5"/>
        <v>-0.12536050000000001</v>
      </c>
      <c r="Z8" s="11">
        <f t="shared" si="5"/>
        <v>0.19195355</v>
      </c>
      <c r="AA8" s="11">
        <f t="shared" si="5"/>
        <v>9.8247000000000001E-2</v>
      </c>
      <c r="AB8" s="11">
        <f t="shared" si="5"/>
        <v>7.2897610000000002E-2</v>
      </c>
      <c r="AC8" s="11">
        <f t="shared" si="5"/>
        <v>-0.10369</v>
      </c>
      <c r="AD8" s="11">
        <f t="shared" si="5"/>
        <v>-6.5629699999999999E-2</v>
      </c>
      <c r="AE8" s="11">
        <f t="shared" si="5"/>
        <v>0.17560100000000001</v>
      </c>
      <c r="AF8" s="11">
        <f t="shared" si="5"/>
        <v>-0.15503</v>
      </c>
      <c r="AG8" s="11">
        <f t="shared" si="5"/>
        <v>0.13005884000000001</v>
      </c>
      <c r="AH8" s="11">
        <f t="shared" si="5"/>
        <v>0.11525639999999999</v>
      </c>
      <c r="AI8" s="11">
        <f t="shared" ref="AI8:BN8" si="6">IF(AI6=1,AI3,IF(AI6=2,AI4,IF(AI6=3,AI5)))</f>
        <v>-5.1034099999999999E-2</v>
      </c>
      <c r="AJ8" s="11">
        <f t="shared" si="6"/>
        <v>2.7999110000000001E-2</v>
      </c>
      <c r="AK8" s="11">
        <f t="shared" si="6"/>
        <v>0.14657042000000001</v>
      </c>
      <c r="AL8" s="11">
        <f t="shared" si="6"/>
        <v>-0.10644670000000001</v>
      </c>
      <c r="AM8" s="11">
        <f t="shared" si="6"/>
        <v>0.13137636999999999</v>
      </c>
      <c r="AN8" s="11">
        <f t="shared" si="6"/>
        <v>0.22143296000000001</v>
      </c>
      <c r="AO8" s="11">
        <f t="shared" si="6"/>
        <v>5.8502999999999999E-2</v>
      </c>
      <c r="AP8" s="11">
        <f t="shared" si="6"/>
        <v>-0.13716</v>
      </c>
      <c r="AQ8" s="11">
        <f t="shared" si="6"/>
        <v>2.9067490000000001E-2</v>
      </c>
      <c r="AR8" s="11">
        <f t="shared" si="6"/>
        <v>5.2635769999999998E-2</v>
      </c>
      <c r="AS8" s="11">
        <f t="shared" si="6"/>
        <v>3.9781999999999998E-2</v>
      </c>
      <c r="AT8" s="11">
        <f t="shared" si="6"/>
        <v>0.148456</v>
      </c>
      <c r="AU8" s="11">
        <f t="shared" si="6"/>
        <v>-0.15538440000000001</v>
      </c>
      <c r="AV8" s="11">
        <f t="shared" si="6"/>
        <v>0.138959</v>
      </c>
      <c r="AW8" s="11">
        <f t="shared" si="6"/>
        <v>5.9863E-2</v>
      </c>
      <c r="AX8" s="11">
        <f t="shared" si="6"/>
        <v>-0.14979000000000001</v>
      </c>
      <c r="AY8" s="11">
        <f t="shared" si="6"/>
        <v>7.6559569999999993E-2</v>
      </c>
      <c r="AZ8" s="11">
        <f t="shared" si="6"/>
        <v>-0.13412750000000001</v>
      </c>
      <c r="BA8" s="11">
        <f t="shared" si="6"/>
        <v>-0.1371115</v>
      </c>
      <c r="BB8" s="11">
        <f t="shared" si="6"/>
        <v>-0.14887</v>
      </c>
      <c r="BC8" s="11">
        <f t="shared" si="6"/>
        <v>6.0351000000000002E-2</v>
      </c>
      <c r="BD8" s="11">
        <f t="shared" si="6"/>
        <v>-0.1196019</v>
      </c>
      <c r="BE8" s="11">
        <f t="shared" si="6"/>
        <v>-0.14652000000000001</v>
      </c>
      <c r="BF8" s="11">
        <f t="shared" si="6"/>
        <v>-0.20876</v>
      </c>
      <c r="BG8" s="11">
        <f t="shared" si="6"/>
        <v>-0.20144000000000001</v>
      </c>
      <c r="BH8" s="11">
        <f t="shared" si="6"/>
        <v>-0.11805</v>
      </c>
      <c r="BI8" s="11">
        <f t="shared" si="6"/>
        <v>9.6912849999999995E-2</v>
      </c>
      <c r="BJ8" s="11">
        <f t="shared" si="6"/>
        <v>-0.1006008</v>
      </c>
      <c r="BK8" s="11">
        <f t="shared" si="6"/>
        <v>9.0490070000000006E-2</v>
      </c>
      <c r="BL8" s="11">
        <f t="shared" si="6"/>
        <v>-0.17126</v>
      </c>
      <c r="BM8" s="11">
        <f t="shared" si="6"/>
        <v>0.13291700000000001</v>
      </c>
      <c r="BN8" s="11">
        <f t="shared" si="6"/>
        <v>8.1345630000000002E-2</v>
      </c>
      <c r="BO8" s="11">
        <f t="shared" ref="BO8:CT8" si="7">IF(BO6=1,BO3,IF(BO6=2,BO4,IF(BO6=3,BO5)))</f>
        <v>8.1418240000000003E-2</v>
      </c>
      <c r="BP8" s="11">
        <f t="shared" si="7"/>
        <v>0.10673487</v>
      </c>
      <c r="BQ8" s="11">
        <f t="shared" si="7"/>
        <v>6.8729570000000004E-2</v>
      </c>
      <c r="BR8" s="11">
        <f t="shared" si="7"/>
        <v>0.189827</v>
      </c>
      <c r="BS8" s="11">
        <f t="shared" si="7"/>
        <v>-9.7610000000000002E-2</v>
      </c>
      <c r="BT8" s="11">
        <f t="shared" si="7"/>
        <v>9.861222E-2</v>
      </c>
      <c r="BU8" s="11">
        <f t="shared" si="7"/>
        <v>0.12839854000000001</v>
      </c>
      <c r="BV8" s="11">
        <f t="shared" si="7"/>
        <v>-0.11674</v>
      </c>
      <c r="BW8" s="11">
        <f t="shared" si="7"/>
        <v>-0.14132</v>
      </c>
      <c r="BX8" s="11">
        <f t="shared" si="7"/>
        <v>-4.6890099999999997E-2</v>
      </c>
      <c r="BY8" s="11">
        <f t="shared" si="7"/>
        <v>0.13033600000000001</v>
      </c>
      <c r="BZ8" s="11">
        <f t="shared" si="7"/>
        <v>0.11330931</v>
      </c>
      <c r="CA8" s="11">
        <f t="shared" si="7"/>
        <v>-0.1073549</v>
      </c>
      <c r="CB8" s="11">
        <f t="shared" si="7"/>
        <v>-0.15782760000000001</v>
      </c>
      <c r="CC8" s="11">
        <f t="shared" si="7"/>
        <v>-7.1052599999999994E-2</v>
      </c>
      <c r="CD8" s="11">
        <f t="shared" si="7"/>
        <v>0.18837709</v>
      </c>
      <c r="CE8" s="11">
        <f t="shared" si="7"/>
        <v>-0.23678650000000001</v>
      </c>
      <c r="CF8" s="11">
        <f t="shared" si="7"/>
        <v>7.4872069999999999E-2</v>
      </c>
      <c r="CG8" s="11">
        <f t="shared" si="7"/>
        <v>-0.11821</v>
      </c>
      <c r="CH8" s="11">
        <f t="shared" si="7"/>
        <v>0.13602172000000001</v>
      </c>
      <c r="CI8" s="11">
        <f t="shared" si="7"/>
        <v>-9.3741000000000005E-2</v>
      </c>
      <c r="CJ8" s="11">
        <f t="shared" si="7"/>
        <v>0.23067299999999999</v>
      </c>
      <c r="CK8" s="11">
        <f t="shared" si="7"/>
        <v>0.13277900000000001</v>
      </c>
      <c r="CL8" s="11">
        <f t="shared" si="7"/>
        <v>0.26354578000000001</v>
      </c>
      <c r="CM8" s="11">
        <f t="shared" si="7"/>
        <v>0.17898859</v>
      </c>
      <c r="CN8" s="11">
        <f t="shared" si="7"/>
        <v>0.22348899999999999</v>
      </c>
      <c r="CO8" s="11">
        <f t="shared" si="7"/>
        <v>-0.13939019999999999</v>
      </c>
      <c r="CP8" s="11">
        <f t="shared" si="7"/>
        <v>0.13265561000000001</v>
      </c>
      <c r="CQ8" s="11">
        <f t="shared" si="7"/>
        <v>-0.20723</v>
      </c>
      <c r="CR8" s="11">
        <f t="shared" si="7"/>
        <v>-0.13486000000000001</v>
      </c>
      <c r="CS8" s="11">
        <f t="shared" si="7"/>
        <v>7.3008000000000003E-2</v>
      </c>
      <c r="CT8" s="11">
        <f t="shared" si="7"/>
        <v>-0.1130791</v>
      </c>
      <c r="CU8" s="11">
        <f t="shared" ref="CU8:DZ8" si="8">IF(CU6=1,CU3,IF(CU6=2,CU4,IF(CU6=3,CU5)))</f>
        <v>-0.28688999999999998</v>
      </c>
      <c r="CV8" s="11">
        <f t="shared" si="8"/>
        <v>0.23073099999999999</v>
      </c>
      <c r="CW8" s="11">
        <f t="shared" si="8"/>
        <v>9.1076000000000004E-2</v>
      </c>
      <c r="CX8" s="11">
        <f t="shared" si="8"/>
        <v>0.13917409</v>
      </c>
      <c r="CY8" s="11">
        <f t="shared" si="8"/>
        <v>-9.6503500000000006E-2</v>
      </c>
      <c r="CZ8" s="11">
        <f t="shared" si="8"/>
        <v>0.21835291000000001</v>
      </c>
      <c r="DA8" s="11">
        <f t="shared" si="8"/>
        <v>-0.10996110000000001</v>
      </c>
      <c r="DB8" s="11">
        <f t="shared" si="8"/>
        <v>-0.1908205</v>
      </c>
      <c r="DC8" s="11">
        <f t="shared" si="8"/>
        <v>0.11395608</v>
      </c>
      <c r="DD8" s="11">
        <f t="shared" si="8"/>
        <v>-0.16450999999999999</v>
      </c>
      <c r="DE8" s="11">
        <f t="shared" si="8"/>
        <v>-0.11057</v>
      </c>
      <c r="DF8" s="11">
        <f t="shared" si="8"/>
        <v>-0.16687669999999999</v>
      </c>
      <c r="DG8" s="11">
        <f t="shared" si="8"/>
        <v>0.22243809</v>
      </c>
      <c r="DH8" s="11">
        <f t="shared" si="8"/>
        <v>-0.1442978</v>
      </c>
      <c r="DI8" s="11">
        <f t="shared" si="8"/>
        <v>-0.1196199</v>
      </c>
      <c r="DJ8" s="11">
        <f t="shared" si="8"/>
        <v>0.118802</v>
      </c>
      <c r="DK8" s="11">
        <f t="shared" si="8"/>
        <v>9.2855060000000003E-2</v>
      </c>
      <c r="DL8" s="11">
        <f t="shared" si="8"/>
        <v>7.1320999999999996E-2</v>
      </c>
      <c r="DM8" s="11">
        <f t="shared" si="8"/>
        <v>8.2732070000000005E-2</v>
      </c>
      <c r="DN8" s="11">
        <f t="shared" si="8"/>
        <v>0.10981299</v>
      </c>
      <c r="DO8" s="11">
        <f t="shared" si="8"/>
        <v>-9.8141999999999993E-2</v>
      </c>
      <c r="DP8" s="11">
        <f t="shared" si="8"/>
        <v>-0.23068</v>
      </c>
      <c r="DQ8" s="11">
        <f t="shared" si="8"/>
        <v>0.23818400000000001</v>
      </c>
      <c r="DR8" s="11">
        <f t="shared" si="8"/>
        <v>9.4328709999999996E-2</v>
      </c>
      <c r="DS8" s="11">
        <f t="shared" si="8"/>
        <v>-0.16103020000000001</v>
      </c>
      <c r="DT8" s="11">
        <f t="shared" si="8"/>
        <v>0.115106</v>
      </c>
      <c r="DU8" s="11">
        <f t="shared" si="8"/>
        <v>0.16407715</v>
      </c>
      <c r="DV8" s="11">
        <f t="shared" si="8"/>
        <v>0.13401742</v>
      </c>
      <c r="DW8" s="11">
        <f t="shared" si="8"/>
        <v>-0.1016452</v>
      </c>
      <c r="DX8" s="11">
        <f t="shared" si="8"/>
        <v>-0.1037732</v>
      </c>
      <c r="DY8" s="11">
        <f t="shared" si="8"/>
        <v>-0.10665669999999999</v>
      </c>
      <c r="DZ8" s="11">
        <f t="shared" si="8"/>
        <v>-6.9186600000000001E-2</v>
      </c>
      <c r="EA8" s="11">
        <f t="shared" ref="EA8:EG8" si="9">IF(EA6=1,EA3,IF(EA6=2,EA4,IF(EA6=3,EA5)))</f>
        <v>-0.29314000000000001</v>
      </c>
      <c r="EB8" s="11">
        <f t="shared" si="9"/>
        <v>-0.14097999999999999</v>
      </c>
      <c r="EC8" s="11">
        <f t="shared" si="9"/>
        <v>7.3988429999999994E-2</v>
      </c>
      <c r="ED8" s="11">
        <f t="shared" si="9"/>
        <v>-0.15737689999999999</v>
      </c>
      <c r="EE8" s="11">
        <f t="shared" si="9"/>
        <v>0.1576776</v>
      </c>
      <c r="EF8" s="11">
        <f t="shared" si="9"/>
        <v>-0.12717999999999999</v>
      </c>
      <c r="EG8" s="11">
        <f t="shared" si="9"/>
        <v>-0.15895948868776608</v>
      </c>
    </row>
    <row r="10" spans="1:138" x14ac:dyDescent="0.3">
      <c r="A10" s="22" t="s">
        <v>140</v>
      </c>
      <c r="B10" s="23"/>
      <c r="C10" s="1" t="s">
        <v>141</v>
      </c>
      <c r="D10" s="2">
        <v>964</v>
      </c>
    </row>
    <row r="11" spans="1:138" x14ac:dyDescent="0.3">
      <c r="A11" s="1" t="s">
        <v>142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144</v>
      </c>
      <c r="EG11" t="s">
        <v>145</v>
      </c>
      <c r="EH11" t="s">
        <v>146</v>
      </c>
    </row>
    <row r="12" spans="1:138" x14ac:dyDescent="0.3">
      <c r="A12" s="1">
        <v>10</v>
      </c>
      <c r="B12" s="1">
        <v>96</v>
      </c>
      <c r="C12" s="11">
        <v>8.4653346747999555E-2</v>
      </c>
      <c r="D12" s="11">
        <v>0.11468862904522351</v>
      </c>
      <c r="E12" s="11">
        <v>4.802682338720253E-2</v>
      </c>
      <c r="F12" s="11">
        <v>5.5959384784458728E-2</v>
      </c>
      <c r="G12" s="11">
        <v>3.1947448518630461E-2</v>
      </c>
      <c r="H12" s="11">
        <v>3.8530512249887933E-2</v>
      </c>
      <c r="I12" s="11">
        <v>3.6303936849052011E-2</v>
      </c>
      <c r="J12" s="11">
        <v>4.3784578744871523E-2</v>
      </c>
      <c r="K12" s="11">
        <v>2.918799813369918E-2</v>
      </c>
      <c r="L12" s="11">
        <v>4.1890941049973679E-2</v>
      </c>
      <c r="M12" s="11">
        <v>2.688917383320695E-2</v>
      </c>
      <c r="N12" s="11">
        <v>6.9326986778352848E-2</v>
      </c>
      <c r="O12" s="11">
        <v>2.7914759067240381E-2</v>
      </c>
      <c r="P12" s="11">
        <v>2.1420421204462348E-2</v>
      </c>
      <c r="Q12" s="11">
        <v>3.3792784120907728E-2</v>
      </c>
      <c r="R12" s="11">
        <v>1.3397506239935729E-2</v>
      </c>
      <c r="S12" s="11">
        <v>7.1053897094607049E-2</v>
      </c>
      <c r="T12" s="11">
        <v>4.7867716345524697E-2</v>
      </c>
      <c r="U12" s="11">
        <v>2.0367220553130991E-2</v>
      </c>
      <c r="V12" s="11">
        <v>4.5029990802848717E-2</v>
      </c>
      <c r="W12" s="11">
        <v>6.4039414985380988E-2</v>
      </c>
      <c r="X12" s="11">
        <v>0.10964075134733541</v>
      </c>
      <c r="Y12" s="11">
        <v>1.6788377251816099E-2</v>
      </c>
      <c r="Z12" s="11">
        <v>6.362368331557397E-2</v>
      </c>
      <c r="AA12" s="11">
        <v>2.691847942081162E-2</v>
      </c>
      <c r="AB12" s="11">
        <v>3.4689110551478157E-2</v>
      </c>
      <c r="AC12" s="11">
        <v>4.6772945626311249E-2</v>
      </c>
      <c r="AD12" s="11">
        <v>9.3922433316797477E-3</v>
      </c>
      <c r="AE12" s="11">
        <v>4.6437716666984021E-2</v>
      </c>
      <c r="AF12" s="11">
        <v>5.2012102776767682E-2</v>
      </c>
      <c r="AG12" s="11">
        <v>2.998214493272441E-2</v>
      </c>
      <c r="AH12" s="11">
        <v>1.3405804649633229E-2</v>
      </c>
      <c r="AI12" s="11">
        <v>2.324645917886457E-2</v>
      </c>
      <c r="AJ12" s="11">
        <v>1.298374754605458E-2</v>
      </c>
      <c r="AK12" s="11">
        <v>4.8123704152134412E-2</v>
      </c>
      <c r="AL12" s="11">
        <v>3.4105621243576391E-2</v>
      </c>
      <c r="AM12" s="11">
        <v>3.0086115612597931E-2</v>
      </c>
      <c r="AN12" s="11">
        <v>6.9233234313428524E-2</v>
      </c>
      <c r="AO12" s="11">
        <v>1.499547084312732E-2</v>
      </c>
      <c r="AP12" s="11">
        <v>3.3718344781849152E-2</v>
      </c>
      <c r="AQ12" s="11">
        <v>6.6823427857980316E-3</v>
      </c>
      <c r="AR12" s="11">
        <v>7.5044280887600658E-3</v>
      </c>
      <c r="AS12" s="11">
        <v>1.9976272910371209E-2</v>
      </c>
      <c r="AT12" s="11">
        <v>7.2195382352435097E-2</v>
      </c>
      <c r="AU12" s="11">
        <v>6.3410262054371502E-2</v>
      </c>
      <c r="AV12" s="11">
        <v>5.3715630656719707E-2</v>
      </c>
      <c r="AW12" s="11">
        <v>1.7169704763403071E-2</v>
      </c>
      <c r="AX12" s="11">
        <v>4.4696011972897853E-2</v>
      </c>
      <c r="AY12" s="11">
        <v>2.4955293067673249E-2</v>
      </c>
      <c r="AZ12" s="11">
        <v>6.6563803179291892E-2</v>
      </c>
      <c r="BA12" s="11">
        <v>7.1276156280934935E-2</v>
      </c>
      <c r="BB12" s="11">
        <v>2.9036654569641791E-2</v>
      </c>
      <c r="BC12" s="11">
        <v>2.669096629233754E-2</v>
      </c>
      <c r="BD12" s="11">
        <v>4.9233621620970898E-2</v>
      </c>
      <c r="BE12" s="11">
        <v>3.5368545142518727E-2</v>
      </c>
      <c r="BF12" s="11">
        <v>6.7616949247695318E-2</v>
      </c>
      <c r="BG12" s="11">
        <v>4.6757753881283733E-2</v>
      </c>
      <c r="BH12" s="11">
        <v>3.5079589029917008E-2</v>
      </c>
      <c r="BI12" s="11">
        <v>5.002125303099076E-2</v>
      </c>
      <c r="BJ12" s="11">
        <v>4.3422499107672333E-2</v>
      </c>
      <c r="BK12" s="11">
        <v>2.0075652003278099E-2</v>
      </c>
      <c r="BL12" s="11">
        <v>3.2129098300494131E-2</v>
      </c>
      <c r="BM12" s="11">
        <v>5.030568452332447E-2</v>
      </c>
      <c r="BN12" s="11">
        <v>1.9502538210119671E-2</v>
      </c>
      <c r="BO12" s="11">
        <v>2.4246310256236889E-2</v>
      </c>
      <c r="BP12" s="11">
        <v>2.642195733416729E-2</v>
      </c>
      <c r="BQ12" s="11">
        <v>1.3896749618746689E-2</v>
      </c>
      <c r="BR12" s="11">
        <v>6.8693615147113224E-2</v>
      </c>
      <c r="BS12" s="11">
        <v>3.2642854888392712E-2</v>
      </c>
      <c r="BT12" s="11">
        <v>2.1288097232098721E-2</v>
      </c>
      <c r="BU12" s="11">
        <v>4.8083369576175698E-2</v>
      </c>
      <c r="BV12" s="11">
        <v>4.2282389085929989E-2</v>
      </c>
      <c r="BW12" s="11">
        <v>4.4477003891650199E-2</v>
      </c>
      <c r="BX12" s="11">
        <v>1.5984151640729919E-2</v>
      </c>
      <c r="BY12" s="11">
        <v>5.8929916357564061E-2</v>
      </c>
      <c r="BZ12" s="11">
        <v>4.5356945691272972E-2</v>
      </c>
      <c r="CA12" s="11">
        <v>3.4400287440342493E-2</v>
      </c>
      <c r="CB12" s="11">
        <v>7.2475876072179299E-2</v>
      </c>
      <c r="CC12" s="11">
        <v>6.5566612627689883E-2</v>
      </c>
      <c r="CD12" s="11">
        <v>0.1109336335844525</v>
      </c>
      <c r="CE12" s="11">
        <v>0.15400701288974189</v>
      </c>
      <c r="CF12" s="11">
        <v>2.776758341377213E-2</v>
      </c>
      <c r="CG12" s="11">
        <v>4.9277959963080598E-2</v>
      </c>
      <c r="CH12" s="11">
        <v>6.3297372377959904E-2</v>
      </c>
      <c r="CI12" s="11">
        <v>3.4655912412205718E-2</v>
      </c>
      <c r="CJ12" s="11">
        <v>5.4120066914195013E-2</v>
      </c>
      <c r="CK12" s="11">
        <v>5.6101440647790157E-2</v>
      </c>
      <c r="CL12" s="11">
        <v>0.1180156076696104</v>
      </c>
      <c r="CM12" s="11">
        <v>7.1708388017212202E-2</v>
      </c>
      <c r="CN12" s="11">
        <v>7.8465204010806394E-2</v>
      </c>
      <c r="CO12" s="11">
        <v>7.129224287359176E-2</v>
      </c>
      <c r="CP12" s="11">
        <v>4.5299021467493747E-2</v>
      </c>
      <c r="CQ12" s="11">
        <v>6.2684347003574781E-2</v>
      </c>
      <c r="CR12" s="11">
        <v>5.7159986521513537E-2</v>
      </c>
      <c r="CS12" s="11">
        <v>9.7857359485265666E-4</v>
      </c>
      <c r="CT12" s="11">
        <v>3.2114010608049227E-2</v>
      </c>
      <c r="CU12" s="11">
        <v>7.4779529281356727E-2</v>
      </c>
      <c r="CV12" s="11">
        <v>6.5033306495688795E-2</v>
      </c>
      <c r="CW12" s="11">
        <v>1.303666937857764E-2</v>
      </c>
      <c r="CX12" s="11">
        <v>6.098988253699178E-2</v>
      </c>
      <c r="CY12" s="11">
        <v>4.6072977665454977E-2</v>
      </c>
      <c r="CZ12" s="11">
        <v>7.7792327339500603E-2</v>
      </c>
      <c r="DA12" s="11">
        <v>3.6978661359195177E-2</v>
      </c>
      <c r="DB12" s="11">
        <v>8.8981816498044985E-2</v>
      </c>
      <c r="DC12" s="11">
        <v>3.3973202874774677E-2</v>
      </c>
      <c r="DD12" s="11">
        <v>6.9960545734343321E-2</v>
      </c>
      <c r="DE12" s="11">
        <v>2.473764441509502E-2</v>
      </c>
      <c r="DF12" s="11">
        <v>5.5485734082072982E-2</v>
      </c>
      <c r="DG12" s="11">
        <v>4.6409817779524638E-2</v>
      </c>
      <c r="DH12" s="11">
        <v>6.1195154788316941E-2</v>
      </c>
      <c r="DI12" s="11">
        <v>5.9749067779748727E-2</v>
      </c>
      <c r="DJ12" s="11">
        <v>4.1378042935671558E-2</v>
      </c>
      <c r="DK12" s="11">
        <v>3.1928199332595573E-2</v>
      </c>
      <c r="DL12" s="11">
        <v>1.8669833333803058E-2</v>
      </c>
      <c r="DM12" s="11">
        <v>1.9237693580560919E-2</v>
      </c>
      <c r="DN12" s="11">
        <v>4.2410365386064831E-2</v>
      </c>
      <c r="DO12" s="11">
        <v>3.055694210149083E-2</v>
      </c>
      <c r="DP12" s="11">
        <v>5.9408694556660431E-2</v>
      </c>
      <c r="DQ12" s="11">
        <v>7.454064748047276E-2</v>
      </c>
      <c r="DR12" s="11">
        <v>1.8778943279386909E-2</v>
      </c>
      <c r="DS12" s="11">
        <v>6.9650552069699723E-2</v>
      </c>
      <c r="DT12" s="11">
        <v>2.481384156258671E-2</v>
      </c>
      <c r="DU12" s="11">
        <v>5.7230283144308662E-2</v>
      </c>
      <c r="DV12" s="11">
        <v>4.8550824477530688E-2</v>
      </c>
      <c r="DW12" s="11">
        <v>4.4967834212525502E-2</v>
      </c>
      <c r="DX12" s="11">
        <v>5.0152080542361532E-2</v>
      </c>
      <c r="DY12" s="11">
        <v>5.3145310887610077E-2</v>
      </c>
      <c r="DZ12" s="11">
        <v>6.2271493484882473E-3</v>
      </c>
      <c r="EA12" s="11">
        <v>0.113127041749137</v>
      </c>
      <c r="EB12" s="11">
        <v>3.052577681784165E-2</v>
      </c>
      <c r="EC12" s="11">
        <v>2.6651509579665299E-2</v>
      </c>
      <c r="ED12" s="11">
        <v>6.050815280848415E-2</v>
      </c>
      <c r="EE12" s="11">
        <v>2.6506892161147658E-2</v>
      </c>
      <c r="EF12" s="11">
        <v>2.923376575523141E-2</v>
      </c>
      <c r="EG12">
        <f t="shared" ref="EG12:EG24" si="10">SUM(C12:EF12)</f>
        <v>6.1316168370944508</v>
      </c>
      <c r="EH12" s="12">
        <f t="shared" ref="EH12:EH24" si="11">SUM(C12:EE12)/134</f>
        <v>4.5540172174173277E-2</v>
      </c>
    </row>
    <row r="13" spans="1:138" x14ac:dyDescent="0.3">
      <c r="A13" s="1">
        <v>20</v>
      </c>
      <c r="B13" s="1">
        <v>48</v>
      </c>
      <c r="C13" s="11">
        <v>0.104112750252762</v>
      </c>
      <c r="D13" s="11">
        <v>0.1237450287927723</v>
      </c>
      <c r="E13" s="11">
        <v>6.9861556352806456E-2</v>
      </c>
      <c r="F13" s="11">
        <v>5.9986526692922967E-2</v>
      </c>
      <c r="G13" s="11">
        <v>1.2047404300105931E-2</v>
      </c>
      <c r="H13" s="11">
        <v>2.9989631725721271E-2</v>
      </c>
      <c r="I13" s="11">
        <v>3.2682862984722338E-2</v>
      </c>
      <c r="J13" s="11">
        <v>3.4549891969644697E-2</v>
      </c>
      <c r="K13" s="11">
        <v>6.0326139227570137E-2</v>
      </c>
      <c r="L13" s="11">
        <v>6.0251612936536372E-3</v>
      </c>
      <c r="M13" s="11">
        <v>3.2797582260047169E-3</v>
      </c>
      <c r="N13" s="11">
        <v>9.9806916956670585E-2</v>
      </c>
      <c r="O13" s="11">
        <v>1.7422698810949939E-2</v>
      </c>
      <c r="P13" s="11">
        <v>2.0856913061405559E-2</v>
      </c>
      <c r="Q13" s="11">
        <v>4.4218264227970053E-2</v>
      </c>
      <c r="R13" s="11">
        <v>6.4899101760743979E-3</v>
      </c>
      <c r="S13" s="11">
        <v>0.1229152980035506</v>
      </c>
      <c r="T13" s="11">
        <v>7.4234081511722602E-2</v>
      </c>
      <c r="U13" s="11">
        <v>5.4161075041694179E-2</v>
      </c>
      <c r="V13" s="11">
        <v>5.2779738900233658E-2</v>
      </c>
      <c r="W13" s="11">
        <v>7.5476561860150226E-2</v>
      </c>
      <c r="X13" s="11">
        <v>0.1211277708527381</v>
      </c>
      <c r="Y13" s="11">
        <v>2.6471883217342521E-2</v>
      </c>
      <c r="Z13" s="11">
        <v>7.842443480518356E-2</v>
      </c>
      <c r="AA13" s="11">
        <v>4.7712648450258188E-2</v>
      </c>
      <c r="AB13" s="11">
        <v>4.6678220121377283E-2</v>
      </c>
      <c r="AC13" s="11">
        <v>6.6771700381929838E-2</v>
      </c>
      <c r="AD13" s="11">
        <v>2.1543689785275402E-2</v>
      </c>
      <c r="AE13" s="11">
        <v>7.7071416726800679E-2</v>
      </c>
      <c r="AF13" s="11">
        <v>7.3281160828311181E-2</v>
      </c>
      <c r="AG13" s="11">
        <v>3.1681783055002889E-2</v>
      </c>
      <c r="AH13" s="11">
        <v>9.6413392395163916E-3</v>
      </c>
      <c r="AI13" s="11">
        <v>1.9909910220413461E-2</v>
      </c>
      <c r="AJ13" s="11">
        <v>-1.628046998827572E-2</v>
      </c>
      <c r="AK13" s="11">
        <v>6.5987912810655996E-2</v>
      </c>
      <c r="AL13" s="11">
        <v>2.255035758653684E-2</v>
      </c>
      <c r="AM13" s="11">
        <v>4.6282443536828928E-2</v>
      </c>
      <c r="AN13" s="11">
        <v>0.10533023813603409</v>
      </c>
      <c r="AO13" s="11">
        <v>-1.7088466886353789E-3</v>
      </c>
      <c r="AP13" s="11">
        <v>5.9550840361997717E-2</v>
      </c>
      <c r="AQ13" s="11">
        <v>1.108299446312281E-2</v>
      </c>
      <c r="AR13" s="11">
        <v>-9.2507324832761875E-3</v>
      </c>
      <c r="AS13" s="11">
        <v>2.340496354159733E-2</v>
      </c>
      <c r="AT13" s="11">
        <v>8.6422914727599456E-2</v>
      </c>
      <c r="AU13" s="11">
        <v>7.6784333628374363E-2</v>
      </c>
      <c r="AV13" s="11">
        <v>7.9665975648470139E-2</v>
      </c>
      <c r="AW13" s="11">
        <v>2.682123797038095E-2</v>
      </c>
      <c r="AX13" s="11">
        <v>3.2799832135855793E-2</v>
      </c>
      <c r="AY13" s="11">
        <v>1.756434634862496E-2</v>
      </c>
      <c r="AZ13" s="11">
        <v>5.5449775955565078E-2</v>
      </c>
      <c r="BA13" s="11">
        <v>7.9829120343788335E-2</v>
      </c>
      <c r="BB13" s="11">
        <v>2.2547400974778999E-2</v>
      </c>
      <c r="BC13" s="11">
        <v>1.9110867274842121E-2</v>
      </c>
      <c r="BD13" s="11">
        <v>4.1676313746669753E-2</v>
      </c>
      <c r="BE13" s="11">
        <v>4.3773789385783142E-2</v>
      </c>
      <c r="BF13" s="11">
        <v>0.1216571432659557</v>
      </c>
      <c r="BG13" s="11">
        <v>8.8397545856320814E-2</v>
      </c>
      <c r="BH13" s="11">
        <v>4.1023656192191983E-2</v>
      </c>
      <c r="BI13" s="11">
        <v>5.2409132456701382E-2</v>
      </c>
      <c r="BJ13" s="11">
        <v>5.1451918959922252E-2</v>
      </c>
      <c r="BK13" s="11">
        <v>2.5125773363192039E-2</v>
      </c>
      <c r="BL13" s="11">
        <v>3.4460040448450822E-2</v>
      </c>
      <c r="BM13" s="11">
        <v>5.3371768695190711E-2</v>
      </c>
      <c r="BN13" s="11">
        <v>-4.8576030584132172E-3</v>
      </c>
      <c r="BO13" s="11">
        <v>3.0878716233474109E-2</v>
      </c>
      <c r="BP13" s="11">
        <v>7.9511464177745989E-3</v>
      </c>
      <c r="BQ13" s="11">
        <v>4.1653063789425779E-2</v>
      </c>
      <c r="BR13" s="11">
        <v>7.9831456823332952E-2</v>
      </c>
      <c r="BS13" s="11">
        <v>4.0180514361416918E-2</v>
      </c>
      <c r="BT13" s="11">
        <v>3.3667769757919193E-2</v>
      </c>
      <c r="BU13" s="11">
        <v>7.4658168009773873E-2</v>
      </c>
      <c r="BV13" s="11">
        <v>7.9930834101057502E-2</v>
      </c>
      <c r="BW13" s="11">
        <v>7.5714005636679529E-2</v>
      </c>
      <c r="BX13" s="11">
        <v>1.477434776242115E-3</v>
      </c>
      <c r="BY13" s="11">
        <v>3.9201956575141389E-2</v>
      </c>
      <c r="BZ13" s="11">
        <v>7.6138123059050211E-2</v>
      </c>
      <c r="CA13" s="11">
        <v>3.3531565600396843E-2</v>
      </c>
      <c r="CB13" s="11">
        <v>0.1204269717320352</v>
      </c>
      <c r="CC13" s="11">
        <v>0.12011817373823321</v>
      </c>
      <c r="CD13" s="11">
        <v>0.1050858328923274</v>
      </c>
      <c r="CE13" s="11">
        <v>0.18382783645560871</v>
      </c>
      <c r="CF13" s="11">
        <v>4.4514266725069238E-2</v>
      </c>
      <c r="CG13" s="11">
        <v>5.8014967807239318E-2</v>
      </c>
      <c r="CH13" s="11">
        <v>5.8334611827207158E-2</v>
      </c>
      <c r="CI13" s="11">
        <v>5.1853509134263308E-2</v>
      </c>
      <c r="CJ13" s="11">
        <v>5.481018067884004E-2</v>
      </c>
      <c r="CK13" s="11">
        <v>6.568712626679736E-2</v>
      </c>
      <c r="CL13" s="11">
        <v>8.1453366102180805E-2</v>
      </c>
      <c r="CM13" s="11">
        <v>0.1014522187140186</v>
      </c>
      <c r="CN13" s="11">
        <v>0.1009941666481943</v>
      </c>
      <c r="CO13" s="11">
        <v>8.556623930807658E-2</v>
      </c>
      <c r="CP13" s="11">
        <v>6.9726540277734339E-2</v>
      </c>
      <c r="CQ13" s="11">
        <v>7.1178864968403879E-2</v>
      </c>
      <c r="CR13" s="11">
        <v>0.11164488638047471</v>
      </c>
      <c r="CS13" s="11">
        <v>9.5676536651352929E-3</v>
      </c>
      <c r="CT13" s="11">
        <v>4.3462267969052268E-2</v>
      </c>
      <c r="CU13" s="11">
        <v>0.1070909617136373</v>
      </c>
      <c r="CV13" s="11">
        <v>7.7656051256972655E-2</v>
      </c>
      <c r="CW13" s="11">
        <v>3.6309119756433333E-2</v>
      </c>
      <c r="CX13" s="11">
        <v>6.0033255240053027E-2</v>
      </c>
      <c r="CY13" s="11">
        <v>6.2296947005362549E-2</v>
      </c>
      <c r="CZ13" s="11">
        <v>5.7224220353485122E-2</v>
      </c>
      <c r="DA13" s="11">
        <v>4.9446033684879001E-2</v>
      </c>
      <c r="DB13" s="11">
        <v>0.1062353213029536</v>
      </c>
      <c r="DC13" s="11">
        <v>2.9775565878292928E-2</v>
      </c>
      <c r="DD13" s="11">
        <v>6.8977058924383453E-2</v>
      </c>
      <c r="DE13" s="11">
        <v>2.2441996429236069E-2</v>
      </c>
      <c r="DF13" s="11">
        <v>8.3122187068030415E-2</v>
      </c>
      <c r="DG13" s="11">
        <v>4.7729083606459478E-2</v>
      </c>
      <c r="DH13" s="11">
        <v>8.8720600946307043E-2</v>
      </c>
      <c r="DI13" s="11">
        <v>8.9748563547494165E-2</v>
      </c>
      <c r="DJ13" s="11">
        <v>7.0211236155579941E-3</v>
      </c>
      <c r="DK13" s="11">
        <v>1.938663386385895E-2</v>
      </c>
      <c r="DL13" s="11">
        <v>2.2050690678088229E-2</v>
      </c>
      <c r="DM13" s="11">
        <v>-5.3162261047299056E-4</v>
      </c>
      <c r="DN13" s="11">
        <v>1.1499577922513139E-2</v>
      </c>
      <c r="DO13" s="11">
        <v>3.7863465084792783E-2</v>
      </c>
      <c r="DP13" s="11">
        <v>5.8032308890701628E-2</v>
      </c>
      <c r="DQ13" s="11">
        <v>8.712901139257051E-2</v>
      </c>
      <c r="DR13" s="11">
        <v>1.377120927231194E-2</v>
      </c>
      <c r="DS13" s="11">
        <v>6.8596852640390879E-2</v>
      </c>
      <c r="DT13" s="11">
        <v>2.9845809161003281E-2</v>
      </c>
      <c r="DU13" s="11">
        <v>3.3006159442618463E-2</v>
      </c>
      <c r="DV13" s="11">
        <v>7.9620144024188558E-2</v>
      </c>
      <c r="DW13" s="11">
        <v>4.2028685712200517E-2</v>
      </c>
      <c r="DX13" s="11">
        <v>6.4523379578496173E-2</v>
      </c>
      <c r="DY13" s="11">
        <v>5.6981339047558921E-2</v>
      </c>
      <c r="DZ13" s="11">
        <v>1.8302124146301689E-2</v>
      </c>
      <c r="EA13" s="11">
        <v>0.1244689581490709</v>
      </c>
      <c r="EB13" s="11">
        <v>5.7205292748389078E-2</v>
      </c>
      <c r="EC13" s="11">
        <v>4.1659753435228923E-2</v>
      </c>
      <c r="ED13" s="11">
        <v>6.5682093659234955E-2</v>
      </c>
      <c r="EE13" s="11">
        <v>4.1234383995911589E-2</v>
      </c>
      <c r="EF13" s="11">
        <v>4.4513609552720032E-2</v>
      </c>
      <c r="EG13">
        <f t="shared" si="10"/>
        <v>7.2409515001998841</v>
      </c>
      <c r="EH13" s="12">
        <f t="shared" si="11"/>
        <v>5.3704760377963914E-2</v>
      </c>
    </row>
    <row r="14" spans="1:138" x14ac:dyDescent="0.3">
      <c r="A14" s="1">
        <v>50</v>
      </c>
      <c r="B14" s="1">
        <v>19</v>
      </c>
      <c r="C14" s="11">
        <v>0.1199414897527061</v>
      </c>
      <c r="D14" s="11">
        <v>0.22230844854062601</v>
      </c>
      <c r="E14" s="11">
        <v>9.8768248142222112E-2</v>
      </c>
      <c r="F14" s="11">
        <v>6.0341904906032563E-2</v>
      </c>
      <c r="G14" s="11">
        <v>5.3656630442780677E-2</v>
      </c>
      <c r="H14" s="11">
        <v>5.9587806435440108E-2</v>
      </c>
      <c r="I14" s="11">
        <v>4.3787359823142302E-2</v>
      </c>
      <c r="J14" s="11">
        <v>2.330997196491089E-2</v>
      </c>
      <c r="K14" s="11">
        <v>5.0827466260847963E-2</v>
      </c>
      <c r="L14" s="11">
        <v>8.4804475655485129E-3</v>
      </c>
      <c r="M14" s="11">
        <v>-1.902171446498398E-2</v>
      </c>
      <c r="N14" s="11">
        <v>0.20483257514122591</v>
      </c>
      <c r="O14" s="11">
        <v>1.4944079385485289E-3</v>
      </c>
      <c r="P14" s="11">
        <v>5.8345921898241233E-2</v>
      </c>
      <c r="Q14" s="11">
        <v>0.12410387117144869</v>
      </c>
      <c r="R14" s="11">
        <v>-1.5941187297101821E-2</v>
      </c>
      <c r="S14" s="11">
        <v>0.1658932271847087</v>
      </c>
      <c r="T14" s="11">
        <v>3.5019554834400057E-2</v>
      </c>
      <c r="U14" s="11">
        <v>0.1042666646356476</v>
      </c>
      <c r="V14" s="11">
        <v>2.0089127185378371E-2</v>
      </c>
      <c r="W14" s="11">
        <v>0.1161657905318967</v>
      </c>
      <c r="X14" s="11">
        <v>0.1866856956103469</v>
      </c>
      <c r="Y14" s="11">
        <v>5.2198745955319217E-3</v>
      </c>
      <c r="Z14" s="11">
        <v>3.8511926280307661E-2</v>
      </c>
      <c r="AA14" s="11">
        <v>9.9905879497324754E-2</v>
      </c>
      <c r="AB14" s="11">
        <v>7.0769377347230211E-2</v>
      </c>
      <c r="AC14" s="11">
        <v>-3.086562338789272E-3</v>
      </c>
      <c r="AD14" s="11">
        <v>3.9327892190029898E-2</v>
      </c>
      <c r="AE14" s="11">
        <v>0.11683691983956609</v>
      </c>
      <c r="AF14" s="11">
        <v>9.6080095456633624E-2</v>
      </c>
      <c r="AG14" s="11">
        <v>2.0520894646562499E-2</v>
      </c>
      <c r="AH14" s="11">
        <v>5.250277930506024E-3</v>
      </c>
      <c r="AI14" s="11">
        <v>1.096457068257391E-2</v>
      </c>
      <c r="AJ14" s="11">
        <v>1.505903608315101E-2</v>
      </c>
      <c r="AK14" s="11">
        <v>7.6911430858302002E-2</v>
      </c>
      <c r="AL14" s="11">
        <v>1.8559542258206829E-2</v>
      </c>
      <c r="AM14" s="11">
        <v>6.1242166378625243E-2</v>
      </c>
      <c r="AN14" s="11">
        <v>9.8594666769543718E-2</v>
      </c>
      <c r="AO14" s="11">
        <v>-3.804435254206133E-2</v>
      </c>
      <c r="AP14" s="11">
        <v>6.9976525152084204E-2</v>
      </c>
      <c r="AQ14" s="11">
        <v>8.1284167078287568E-3</v>
      </c>
      <c r="AR14" s="11">
        <v>-1.817082301888524E-2</v>
      </c>
      <c r="AS14" s="11">
        <v>-6.6693383896894304E-3</v>
      </c>
      <c r="AT14" s="11">
        <v>7.9403479710638047E-2</v>
      </c>
      <c r="AU14" s="11">
        <v>0.1378524760527356</v>
      </c>
      <c r="AV14" s="11">
        <v>6.6258749216258558E-2</v>
      </c>
      <c r="AW14" s="11">
        <v>5.3928681229427317E-2</v>
      </c>
      <c r="AX14" s="11">
        <v>1.9370213375490559E-2</v>
      </c>
      <c r="AY14" s="11">
        <v>1.5068118771761551E-2</v>
      </c>
      <c r="AZ14" s="11">
        <v>2.5628927509464609E-2</v>
      </c>
      <c r="BA14" s="11">
        <v>9.6337325355973988E-2</v>
      </c>
      <c r="BB14" s="11">
        <v>0.1103112489011205</v>
      </c>
      <c r="BC14" s="11">
        <v>-2.8505683499306111E-2</v>
      </c>
      <c r="BD14" s="11">
        <v>1.641750981094553E-2</v>
      </c>
      <c r="BE14" s="11">
        <v>7.0081770149328954E-2</v>
      </c>
      <c r="BF14" s="11">
        <v>0.15382926157400831</v>
      </c>
      <c r="BG14" s="11">
        <v>0.12530530643958979</v>
      </c>
      <c r="BH14" s="11">
        <v>7.3413464178725074E-2</v>
      </c>
      <c r="BI14" s="11">
        <v>5.0185212890853773E-2</v>
      </c>
      <c r="BJ14" s="11">
        <v>2.4016933685636149E-2</v>
      </c>
      <c r="BK14" s="11">
        <v>-3.323738197833094E-2</v>
      </c>
      <c r="BL14" s="11">
        <v>5.9996895527440267E-2</v>
      </c>
      <c r="BM14" s="11">
        <v>4.6278325003000387E-2</v>
      </c>
      <c r="BN14" s="11">
        <v>-4.6576644196415717E-2</v>
      </c>
      <c r="BO14" s="11">
        <v>3.3609045677264478E-2</v>
      </c>
      <c r="BP14" s="11">
        <v>-5.0332283327745371E-2</v>
      </c>
      <c r="BQ14" s="11">
        <v>1.584352386995078E-2</v>
      </c>
      <c r="BR14" s="11">
        <v>0.10005242307538641</v>
      </c>
      <c r="BS14" s="11">
        <v>3.033272398677064E-2</v>
      </c>
      <c r="BT14" s="11">
        <v>-1.5287927903372821E-2</v>
      </c>
      <c r="BU14" s="11">
        <v>0.1111594543137446</v>
      </c>
      <c r="BV14" s="11">
        <v>0.10798163319999469</v>
      </c>
      <c r="BW14" s="11">
        <v>0.13089750855718521</v>
      </c>
      <c r="BX14" s="11">
        <v>-3.071342246663937E-4</v>
      </c>
      <c r="BY14" s="11">
        <v>-4.2604489653349287E-2</v>
      </c>
      <c r="BZ14" s="11">
        <v>6.0034056828782267E-2</v>
      </c>
      <c r="CA14" s="11">
        <v>2.446526611493707E-2</v>
      </c>
      <c r="CB14" s="11">
        <v>0.16446550132190679</v>
      </c>
      <c r="CC14" s="11">
        <v>0.1205961585891825</v>
      </c>
      <c r="CD14" s="11">
        <v>9.8016709932197757E-2</v>
      </c>
      <c r="CE14" s="11">
        <v>0.1705553024885505</v>
      </c>
      <c r="CF14" s="11">
        <v>9.2330683282061565E-2</v>
      </c>
      <c r="CG14" s="11">
        <v>5.7320663667820577E-2</v>
      </c>
      <c r="CH14" s="11">
        <v>6.46613922782171E-2</v>
      </c>
      <c r="CI14" s="11">
        <v>0.1058847773633588</v>
      </c>
      <c r="CJ14" s="11">
        <v>1.7796116349141359E-2</v>
      </c>
      <c r="CK14" s="11">
        <v>5.3792086513992962E-2</v>
      </c>
      <c r="CL14" s="11">
        <v>6.2269954878836478E-2</v>
      </c>
      <c r="CM14" s="11">
        <v>0.11006897297270959</v>
      </c>
      <c r="CN14" s="11">
        <v>0.17459567468505729</v>
      </c>
      <c r="CO14" s="11">
        <v>0.17324915395395429</v>
      </c>
      <c r="CP14" s="11">
        <v>9.9809331481752833E-2</v>
      </c>
      <c r="CQ14" s="11">
        <v>3.2227899887387702E-2</v>
      </c>
      <c r="CR14" s="11">
        <v>0.207719712590648</v>
      </c>
      <c r="CS14" s="11">
        <v>-4.4126335332496502E-3</v>
      </c>
      <c r="CT14" s="11">
        <v>6.1872352391601541E-2</v>
      </c>
      <c r="CU14" s="11">
        <v>0.1015449999567145</v>
      </c>
      <c r="CV14" s="11">
        <v>0.1513968411576333</v>
      </c>
      <c r="CW14" s="11">
        <v>4.476388444326003E-2</v>
      </c>
      <c r="CX14" s="11">
        <v>3.6299408888239168E-2</v>
      </c>
      <c r="CY14" s="11">
        <v>5.0137743473948983E-2</v>
      </c>
      <c r="CZ14" s="11">
        <v>6.4063563350383365E-2</v>
      </c>
      <c r="DA14" s="11">
        <v>6.5393327424540099E-2</v>
      </c>
      <c r="DB14" s="11">
        <v>0.1046074411002299</v>
      </c>
      <c r="DC14" s="11">
        <v>2.3632609204847509E-2</v>
      </c>
      <c r="DD14" s="11">
        <v>7.920535184818453E-2</v>
      </c>
      <c r="DE14" s="11">
        <v>6.2526924006459011E-2</v>
      </c>
      <c r="DF14" s="11">
        <v>0.20156283946711201</v>
      </c>
      <c r="DG14" s="11">
        <v>4.5583395726898353E-2</v>
      </c>
      <c r="DH14" s="11">
        <v>5.8741194166373682E-2</v>
      </c>
      <c r="DI14" s="11">
        <v>8.6646448298485237E-2</v>
      </c>
      <c r="DJ14" s="11">
        <v>8.7940293873207658E-3</v>
      </c>
      <c r="DK14" s="11">
        <v>8.1621549503858692E-2</v>
      </c>
      <c r="DL14" s="11">
        <v>4.0754871831899041E-2</v>
      </c>
      <c r="DM14" s="11">
        <v>1.12114973776048E-3</v>
      </c>
      <c r="DN14" s="11">
        <v>4.2662495893264311E-2</v>
      </c>
      <c r="DO14" s="11">
        <v>0.1025921893632338</v>
      </c>
      <c r="DP14" s="11">
        <v>6.2914808070300282E-2</v>
      </c>
      <c r="DQ14" s="11">
        <v>7.1172564581132955E-2</v>
      </c>
      <c r="DR14" s="11">
        <v>5.2622519458999567E-2</v>
      </c>
      <c r="DS14" s="11">
        <v>5.6051819928563652E-2</v>
      </c>
      <c r="DT14" s="11">
        <v>7.7542903390828534E-3</v>
      </c>
      <c r="DU14" s="11">
        <v>6.8795273192164358E-2</v>
      </c>
      <c r="DV14" s="11">
        <v>0.1082623545301073</v>
      </c>
      <c r="DW14" s="11">
        <v>1.809309508516085E-3</v>
      </c>
      <c r="DX14" s="11">
        <v>0.1019315055524211</v>
      </c>
      <c r="DY14" s="11">
        <v>7.4258700078750628E-2</v>
      </c>
      <c r="DZ14" s="11">
        <v>3.5030999863780207E-2</v>
      </c>
      <c r="EA14" s="11">
        <v>6.2912684572741601E-2</v>
      </c>
      <c r="EB14" s="11">
        <v>7.8179830700263173E-2</v>
      </c>
      <c r="EC14" s="11">
        <v>6.0793821481329897E-3</v>
      </c>
      <c r="ED14" s="11">
        <v>0.102629709186187</v>
      </c>
      <c r="EE14" s="11">
        <v>-3.3992535180725199E-3</v>
      </c>
      <c r="EF14" s="11">
        <v>2.5525355201881251E-2</v>
      </c>
      <c r="EG14">
        <f t="shared" si="10"/>
        <v>8.3590440375325539</v>
      </c>
      <c r="EH14" s="14">
        <f t="shared" si="11"/>
        <v>6.2190437927840847E-2</v>
      </c>
    </row>
    <row r="15" spans="1:138" x14ac:dyDescent="0.3">
      <c r="A15" s="1">
        <v>100</v>
      </c>
      <c r="B15" s="1">
        <v>10</v>
      </c>
      <c r="C15" s="11">
        <v>0.22764465877785839</v>
      </c>
      <c r="D15" s="11">
        <v>0.37270921560992559</v>
      </c>
      <c r="E15" s="11">
        <v>6.204568011695779E-2</v>
      </c>
      <c r="F15" s="11">
        <v>-3.4921436556697362E-2</v>
      </c>
      <c r="G15" s="11">
        <v>3.4403920967036511E-2</v>
      </c>
      <c r="H15" s="11">
        <v>0.1188437037073593</v>
      </c>
      <c r="I15" s="11">
        <v>5.843144427986554E-2</v>
      </c>
      <c r="J15" s="11">
        <v>4.9961465247389647E-2</v>
      </c>
      <c r="K15" s="11">
        <v>9.4514797591930877E-2</v>
      </c>
      <c r="L15" s="11">
        <v>-1.296708496104035E-2</v>
      </c>
      <c r="M15" s="11">
        <v>-2.1330164362876949E-3</v>
      </c>
      <c r="N15" s="11">
        <v>0.33030933686480701</v>
      </c>
      <c r="O15" s="11">
        <v>-1.227079575915271E-2</v>
      </c>
      <c r="P15" s="11">
        <v>6.4116183021661763E-2</v>
      </c>
      <c r="Q15" s="11">
        <v>0.15553684210781249</v>
      </c>
      <c r="R15" s="11">
        <v>-5.2129690105117463E-2</v>
      </c>
      <c r="S15" s="11">
        <v>0.27000789508215378</v>
      </c>
      <c r="T15" s="11">
        <v>4.589107711718423E-2</v>
      </c>
      <c r="U15" s="11">
        <v>0.1369680616672688</v>
      </c>
      <c r="V15" s="11">
        <v>-1.713185334811276E-2</v>
      </c>
      <c r="W15" s="11">
        <v>0.10693455515793331</v>
      </c>
      <c r="X15" s="11">
        <v>0.2111863273303817</v>
      </c>
      <c r="Y15" s="11">
        <v>-2.0629974365819839E-2</v>
      </c>
      <c r="Z15" s="11">
        <v>4.6719972053358677E-2</v>
      </c>
      <c r="AA15" s="11">
        <v>0.16085038421306441</v>
      </c>
      <c r="AB15" s="11">
        <v>8.370017251583052E-2</v>
      </c>
      <c r="AC15" s="11">
        <v>4.3176688480551298E-3</v>
      </c>
      <c r="AD15" s="11">
        <v>3.9690481127708267E-2</v>
      </c>
      <c r="AE15" s="11">
        <v>0.21179264304727199</v>
      </c>
      <c r="AF15" s="11">
        <v>0.13772628717765439</v>
      </c>
      <c r="AG15" s="11">
        <v>1.012347826165556E-2</v>
      </c>
      <c r="AH15" s="11">
        <v>-3.3604373357676472E-2</v>
      </c>
      <c r="AI15" s="11">
        <v>7.4276960210081885E-2</v>
      </c>
      <c r="AJ15" s="11">
        <v>9.4648599674757375E-3</v>
      </c>
      <c r="AK15" s="11">
        <v>6.1759619658444932E-2</v>
      </c>
      <c r="AL15" s="11">
        <v>-6.8817591114361167E-3</v>
      </c>
      <c r="AM15" s="11">
        <v>5.5122622134627111E-2</v>
      </c>
      <c r="AN15" s="11">
        <v>0.10168870591238351</v>
      </c>
      <c r="AO15" s="11">
        <v>-5.1384520239967417E-2</v>
      </c>
      <c r="AP15" s="11">
        <v>7.8285693892754235E-2</v>
      </c>
      <c r="AQ15" s="11">
        <v>1.9750987228359849E-2</v>
      </c>
      <c r="AR15" s="11">
        <v>-2.4550819698278721E-2</v>
      </c>
      <c r="AS15" s="11">
        <v>-4.8733221354101797E-2</v>
      </c>
      <c r="AT15" s="11">
        <v>7.098981260370496E-2</v>
      </c>
      <c r="AU15" s="11">
        <v>0.16710843106943049</v>
      </c>
      <c r="AV15" s="11">
        <v>3.7297928699110451E-2</v>
      </c>
      <c r="AW15" s="11">
        <v>9.1727472793350737E-2</v>
      </c>
      <c r="AX15" s="11">
        <v>8.1360565954768135E-2</v>
      </c>
      <c r="AY15" s="11">
        <v>2.8017064110032911E-2</v>
      </c>
      <c r="AZ15" s="11">
        <v>3.6847351752602571E-2</v>
      </c>
      <c r="BA15" s="11">
        <v>0.15768794840833861</v>
      </c>
      <c r="BB15" s="11">
        <v>0.1977131495043408</v>
      </c>
      <c r="BC15" s="11">
        <v>-3.0936691622350049E-2</v>
      </c>
      <c r="BD15" s="11">
        <v>7.3629159627057288E-3</v>
      </c>
      <c r="BE15" s="11">
        <v>4.1397970696908107E-2</v>
      </c>
      <c r="BF15" s="11">
        <v>0.2108720874899874</v>
      </c>
      <c r="BG15" s="11">
        <v>0.16605121546459681</v>
      </c>
      <c r="BH15" s="11">
        <v>9.8649046406420665E-2</v>
      </c>
      <c r="BI15" s="11">
        <v>6.8586659114969639E-2</v>
      </c>
      <c r="BJ15" s="11">
        <v>7.5153898113675566E-2</v>
      </c>
      <c r="BK15" s="11">
        <v>-7.2869418882588896E-2</v>
      </c>
      <c r="BL15" s="11">
        <v>5.9755420974320878E-2</v>
      </c>
      <c r="BM15" s="11">
        <v>4.8219004487744091E-2</v>
      </c>
      <c r="BN15" s="11">
        <v>-6.6054035225581897E-2</v>
      </c>
      <c r="BO15" s="11">
        <v>2.773447595493098E-2</v>
      </c>
      <c r="BP15" s="11">
        <v>-5.1616854472064641E-2</v>
      </c>
      <c r="BQ15" s="11">
        <v>1.280293129032776E-2</v>
      </c>
      <c r="BR15" s="11">
        <v>0.1237621364364551</v>
      </c>
      <c r="BS15" s="11">
        <v>1.1865910908611719E-2</v>
      </c>
      <c r="BT15" s="11">
        <v>3.6633666195559952E-2</v>
      </c>
      <c r="BU15" s="11">
        <v>8.5545733721440226E-2</v>
      </c>
      <c r="BV15" s="11">
        <v>0.1046400442936901</v>
      </c>
      <c r="BW15" s="11">
        <v>0.29887898957592779</v>
      </c>
      <c r="BX15" s="11">
        <v>2.3949431437341431E-2</v>
      </c>
      <c r="BY15" s="11">
        <v>-0.12602357357708691</v>
      </c>
      <c r="BZ15" s="11">
        <v>0.1029064689773473</v>
      </c>
      <c r="CA15" s="11">
        <v>1.859202079644226E-2</v>
      </c>
      <c r="CB15" s="11">
        <v>0.13109140278406139</v>
      </c>
      <c r="CC15" s="11">
        <v>0.17365170572211991</v>
      </c>
      <c r="CD15" s="11">
        <v>0.1201520839630844</v>
      </c>
      <c r="CE15" s="11">
        <v>7.3368120048450503E-2</v>
      </c>
      <c r="CF15" s="11">
        <v>9.435665039342013E-2</v>
      </c>
      <c r="CG15" s="11">
        <v>8.5886021530163809E-2</v>
      </c>
      <c r="CH15" s="11">
        <v>6.2885958283701332E-2</v>
      </c>
      <c r="CI15" s="11">
        <v>3.8798414894980787E-2</v>
      </c>
      <c r="CJ15" s="11">
        <v>4.0671716947061162E-2</v>
      </c>
      <c r="CK15" s="11">
        <v>9.5640748172705348E-2</v>
      </c>
      <c r="CL15" s="11">
        <v>3.1421974993248308E-2</v>
      </c>
      <c r="CM15" s="11">
        <v>0.1081197557129227</v>
      </c>
      <c r="CN15" s="11">
        <v>0.14314981697124041</v>
      </c>
      <c r="CO15" s="11">
        <v>0.17335998923904941</v>
      </c>
      <c r="CP15" s="11">
        <v>0.12753583543294969</v>
      </c>
      <c r="CQ15" s="11">
        <v>-2.49633604564388E-2</v>
      </c>
      <c r="CR15" s="11">
        <v>0.18148893223573509</v>
      </c>
      <c r="CS15" s="11">
        <v>6.4830510990456294E-3</v>
      </c>
      <c r="CT15" s="11">
        <v>3.2216556445051982E-2</v>
      </c>
      <c r="CU15" s="11">
        <v>0.12404993141386809</v>
      </c>
      <c r="CV15" s="11">
        <v>0.18261154771691629</v>
      </c>
      <c r="CW15" s="11">
        <v>2.6072090903126711E-2</v>
      </c>
      <c r="CX15" s="11">
        <v>2.4039607053330959E-2</v>
      </c>
      <c r="CY15" s="11">
        <v>5.5732710824827947E-2</v>
      </c>
      <c r="CZ15" s="11">
        <v>7.9886947944342257E-2</v>
      </c>
      <c r="DA15" s="11">
        <v>8.8862212197355878E-2</v>
      </c>
      <c r="DB15" s="11">
        <v>9.7048241525465193E-2</v>
      </c>
      <c r="DC15" s="11">
        <v>3.5075149974582137E-2</v>
      </c>
      <c r="DD15" s="11">
        <v>1.450672613144627E-2</v>
      </c>
      <c r="DE15" s="11">
        <v>5.7163634731252508E-2</v>
      </c>
      <c r="DF15" s="11">
        <v>0.30272044964278222</v>
      </c>
      <c r="DG15" s="11">
        <v>4.7917484974342339E-2</v>
      </c>
      <c r="DH15" s="11">
        <v>0.1296219356678569</v>
      </c>
      <c r="DI15" s="11">
        <v>4.2811767213113319E-2</v>
      </c>
      <c r="DJ15" s="11">
        <v>6.0023776691057282E-2</v>
      </c>
      <c r="DK15" s="11">
        <v>0.1003289268680829</v>
      </c>
      <c r="DL15" s="11">
        <v>-3.0399320282783332E-4</v>
      </c>
      <c r="DM15" s="11">
        <v>-1.773264737208499E-3</v>
      </c>
      <c r="DN15" s="11">
        <v>4.3996497423619649E-2</v>
      </c>
      <c r="DO15" s="11">
        <v>0.15954541135927219</v>
      </c>
      <c r="DP15" s="11">
        <v>0.1343049473653663</v>
      </c>
      <c r="DQ15" s="11">
        <v>3.7038688952197418E-2</v>
      </c>
      <c r="DR15" s="11">
        <v>7.0010566617938433E-2</v>
      </c>
      <c r="DS15" s="11">
        <v>3.7530143777968331E-2</v>
      </c>
      <c r="DT15" s="11">
        <v>5.271878998906962E-2</v>
      </c>
      <c r="DU15" s="11">
        <v>0.1171276535106479</v>
      </c>
      <c r="DV15" s="11">
        <v>0.13976835694087139</v>
      </c>
      <c r="DW15" s="11">
        <v>-6.0826326337380818E-2</v>
      </c>
      <c r="DX15" s="11">
        <v>0.1186162506499864</v>
      </c>
      <c r="DY15" s="11">
        <v>0.14360957438078251</v>
      </c>
      <c r="DZ15" s="11">
        <v>4.0455653304009277E-2</v>
      </c>
      <c r="EA15" s="11">
        <v>4.3451220280325303E-2</v>
      </c>
      <c r="EB15" s="11">
        <v>8.8087449527254891E-2</v>
      </c>
      <c r="EC15" s="11">
        <v>6.6081856047946447E-2</v>
      </c>
      <c r="ED15" s="11">
        <v>0.1133570559353114</v>
      </c>
      <c r="EE15" s="11">
        <v>3.1907205015268242E-3</v>
      </c>
      <c r="EF15" s="11">
        <v>2.964605507200602E-2</v>
      </c>
      <c r="EG15">
        <f t="shared" si="10"/>
        <v>9.8014681582629599</v>
      </c>
      <c r="EH15" s="12">
        <f t="shared" si="11"/>
        <v>7.2924045546201161E-2</v>
      </c>
    </row>
    <row r="16" spans="1:138" x14ac:dyDescent="0.3">
      <c r="A16" s="1">
        <v>107</v>
      </c>
      <c r="B16" s="1">
        <v>9</v>
      </c>
      <c r="C16" s="11">
        <v>0.20787477708292909</v>
      </c>
      <c r="D16" s="11">
        <v>0.40819497873258059</v>
      </c>
      <c r="E16" s="11">
        <v>6.500657711132822E-2</v>
      </c>
      <c r="F16" s="11">
        <v>-7.871547190433098E-2</v>
      </c>
      <c r="G16" s="11">
        <v>8.1465506589492725E-3</v>
      </c>
      <c r="H16" s="11">
        <v>7.2848056287647484E-2</v>
      </c>
      <c r="I16" s="11">
        <v>5.7530618665621432E-2</v>
      </c>
      <c r="J16" s="11">
        <v>4.6709926042666168E-2</v>
      </c>
      <c r="K16" s="11">
        <v>8.642089158239058E-2</v>
      </c>
      <c r="L16" s="11">
        <v>-3.1027150965473069E-2</v>
      </c>
      <c r="M16" s="11">
        <v>-1.3987435861917089E-2</v>
      </c>
      <c r="N16" s="11">
        <v>0.36698760912258638</v>
      </c>
      <c r="O16" s="11">
        <v>-2.8587076878979191E-2</v>
      </c>
      <c r="P16" s="11">
        <v>6.1045231791422308E-2</v>
      </c>
      <c r="Q16" s="11">
        <v>0.15790307042433799</v>
      </c>
      <c r="R16" s="11">
        <v>-4.899097828292652E-2</v>
      </c>
      <c r="S16" s="11">
        <v>0.28706302039879478</v>
      </c>
      <c r="T16" s="11">
        <v>3.8406673293611998E-2</v>
      </c>
      <c r="U16" s="11">
        <v>0.1300624714297445</v>
      </c>
      <c r="V16" s="11">
        <v>-6.0221453329656824E-3</v>
      </c>
      <c r="W16" s="11">
        <v>7.8373488027637842E-2</v>
      </c>
      <c r="X16" s="11">
        <v>0.24053196162716611</v>
      </c>
      <c r="Y16" s="11">
        <v>-2.0180588419635579E-2</v>
      </c>
      <c r="Z16" s="11">
        <v>4.3057930884211712E-2</v>
      </c>
      <c r="AA16" s="11">
        <v>0.16615889129731709</v>
      </c>
      <c r="AB16" s="11">
        <v>7.4985041637980393E-2</v>
      </c>
      <c r="AC16" s="11">
        <v>-1.27654480354167E-2</v>
      </c>
      <c r="AD16" s="11">
        <v>3.481117185725148E-2</v>
      </c>
      <c r="AE16" s="11">
        <v>0.20962824117691051</v>
      </c>
      <c r="AF16" s="11">
        <v>0.14791561026442651</v>
      </c>
      <c r="AG16" s="11">
        <v>1.32907530365354E-2</v>
      </c>
      <c r="AH16" s="11">
        <v>-3.1765400449440553E-2</v>
      </c>
      <c r="AI16" s="11">
        <v>9.0522649217154846E-2</v>
      </c>
      <c r="AJ16" s="11">
        <v>-7.0259660718760518E-3</v>
      </c>
      <c r="AK16" s="11">
        <v>6.4421400832372078E-2</v>
      </c>
      <c r="AL16" s="11">
        <v>-1.4472511517458609E-2</v>
      </c>
      <c r="AM16" s="11">
        <v>6.6076730601797973E-2</v>
      </c>
      <c r="AN16" s="11">
        <v>0.1064562000896756</v>
      </c>
      <c r="AO16" s="11">
        <v>-4.1090153361741252E-2</v>
      </c>
      <c r="AP16" s="11">
        <v>7.779836814558852E-2</v>
      </c>
      <c r="AQ16" s="11">
        <v>2.4036053854552351E-2</v>
      </c>
      <c r="AR16" s="11">
        <v>-3.2492759720063692E-2</v>
      </c>
      <c r="AS16" s="11">
        <v>-5.2642718238233757E-2</v>
      </c>
      <c r="AT16" s="11">
        <v>0.1225640433502848</v>
      </c>
      <c r="AU16" s="11">
        <v>0.17023588881714</v>
      </c>
      <c r="AV16" s="11">
        <v>5.2080835436737513E-2</v>
      </c>
      <c r="AW16" s="11">
        <v>0.10898493864152869</v>
      </c>
      <c r="AX16" s="11">
        <v>0.1006213291014028</v>
      </c>
      <c r="AY16" s="11">
        <v>3.3812589844345937E-2</v>
      </c>
      <c r="AZ16" s="11">
        <v>4.6826876003376768E-2</v>
      </c>
      <c r="BA16" s="11">
        <v>0.15999070017462089</v>
      </c>
      <c r="BB16" s="11">
        <v>0.22547356307573951</v>
      </c>
      <c r="BC16" s="11">
        <v>-3.8999391922231702E-2</v>
      </c>
      <c r="BD16" s="11">
        <v>6.2821844248834016E-3</v>
      </c>
      <c r="BE16" s="11">
        <v>6.1197643926459287E-2</v>
      </c>
      <c r="BF16" s="11">
        <v>0.24778685910046011</v>
      </c>
      <c r="BG16" s="11">
        <v>0.16122956958435061</v>
      </c>
      <c r="BH16" s="11">
        <v>9.6162034507733696E-2</v>
      </c>
      <c r="BI16" s="11">
        <v>4.1443807763261883E-2</v>
      </c>
      <c r="BJ16" s="11">
        <v>8.1428118775973987E-2</v>
      </c>
      <c r="BK16" s="11">
        <v>-0.1047732029205687</v>
      </c>
      <c r="BL16" s="11">
        <v>6.1173599484470167E-2</v>
      </c>
      <c r="BM16" s="11">
        <v>3.9497985491106162E-2</v>
      </c>
      <c r="BN16" s="11">
        <v>-6.7197970404689056E-2</v>
      </c>
      <c r="BO16" s="11">
        <v>2.1890359953657689E-2</v>
      </c>
      <c r="BP16" s="11">
        <v>-5.7750060680455823E-2</v>
      </c>
      <c r="BQ16" s="11">
        <v>1.6478016254928601E-2</v>
      </c>
      <c r="BR16" s="11">
        <v>0.13058296822502161</v>
      </c>
      <c r="BS16" s="11">
        <v>3.2006987192883168E-2</v>
      </c>
      <c r="BT16" s="11">
        <v>3.8066078212245447E-2</v>
      </c>
      <c r="BU16" s="11">
        <v>0.1015365742283048</v>
      </c>
      <c r="BV16" s="11">
        <v>3.658563792374666E-2</v>
      </c>
      <c r="BW16" s="11">
        <v>0.31797083453836722</v>
      </c>
      <c r="BX16" s="11">
        <v>2.4078271829347249E-2</v>
      </c>
      <c r="BY16" s="11">
        <v>-0.13255840925737919</v>
      </c>
      <c r="BZ16" s="11">
        <v>0.11152584850164921</v>
      </c>
      <c r="CA16" s="11">
        <v>2.971438975556321E-2</v>
      </c>
      <c r="CB16" s="11">
        <v>0.13930873593333401</v>
      </c>
      <c r="CC16" s="11">
        <v>4.4388153170205821E-2</v>
      </c>
      <c r="CD16" s="11">
        <v>0.15507127162636181</v>
      </c>
      <c r="CE16" s="11">
        <v>9.3614230467915741E-2</v>
      </c>
      <c r="CF16" s="11">
        <v>0.10520126400975099</v>
      </c>
      <c r="CG16" s="11">
        <v>6.1727878146666561E-2</v>
      </c>
      <c r="CH16" s="11">
        <v>4.1697414703027062E-2</v>
      </c>
      <c r="CI16" s="11">
        <v>3.8709881828517527E-2</v>
      </c>
      <c r="CJ16" s="11">
        <v>2.970338549376331E-2</v>
      </c>
      <c r="CK16" s="11">
        <v>8.8422689781607638E-2</v>
      </c>
      <c r="CL16" s="11">
        <v>1.5878682334709331E-2</v>
      </c>
      <c r="CM16" s="11">
        <v>0.11305583839137461</v>
      </c>
      <c r="CN16" s="11">
        <v>0.16035991631652741</v>
      </c>
      <c r="CO16" s="11">
        <v>0.20954751845975189</v>
      </c>
      <c r="CP16" s="11">
        <v>0.13663168948209131</v>
      </c>
      <c r="CQ16" s="11">
        <v>-2.0333779820360921E-2</v>
      </c>
      <c r="CR16" s="11">
        <v>0.1892865334673984</v>
      </c>
      <c r="CS16" s="11">
        <v>4.0852187594743329E-2</v>
      </c>
      <c r="CT16" s="11">
        <v>4.890352583142879E-2</v>
      </c>
      <c r="CU16" s="11">
        <v>0.1354717008642061</v>
      </c>
      <c r="CV16" s="11">
        <v>0.17225152263848631</v>
      </c>
      <c r="CW16" s="11">
        <v>4.7341659174279828E-2</v>
      </c>
      <c r="CX16" s="11">
        <v>1.224028475424996E-2</v>
      </c>
      <c r="CY16" s="11">
        <v>5.8554306171252721E-2</v>
      </c>
      <c r="CZ16" s="11">
        <v>0.1026332591781325</v>
      </c>
      <c r="DA16" s="11">
        <v>0.1181813303624494</v>
      </c>
      <c r="DB16" s="11">
        <v>9.8017282885796683E-2</v>
      </c>
      <c r="DC16" s="11">
        <v>4.2942362320500277E-2</v>
      </c>
      <c r="DD16" s="11">
        <v>3.1743710487280023E-2</v>
      </c>
      <c r="DE16" s="11">
        <v>3.4552400358790022E-2</v>
      </c>
      <c r="DF16" s="11">
        <v>0.32557955091715263</v>
      </c>
      <c r="DG16" s="11">
        <v>4.5676915028892429E-2</v>
      </c>
      <c r="DH16" s="11">
        <v>0.13714776041250831</v>
      </c>
      <c r="DI16" s="11">
        <v>4.7829607716987632E-2</v>
      </c>
      <c r="DJ16" s="11">
        <v>7.0955052436885546E-2</v>
      </c>
      <c r="DK16" s="11">
        <v>9.6254624799197414E-2</v>
      </c>
      <c r="DL16" s="11">
        <v>-2.187287424977424E-2</v>
      </c>
      <c r="DM16" s="11">
        <v>-3.8134995560551693E-2</v>
      </c>
      <c r="DN16" s="11">
        <v>4.2437853359407113E-2</v>
      </c>
      <c r="DO16" s="11">
        <v>0.16959094638807429</v>
      </c>
      <c r="DP16" s="11">
        <v>0.16033399447581251</v>
      </c>
      <c r="DQ16" s="11">
        <v>4.7070156004531787E-2</v>
      </c>
      <c r="DR16" s="11">
        <v>5.5191251649515209E-2</v>
      </c>
      <c r="DS16" s="11">
        <v>2.144067271249302E-2</v>
      </c>
      <c r="DT16" s="11">
        <v>5.9112975078185963E-2</v>
      </c>
      <c r="DU16" s="11">
        <v>0.1227720465229642</v>
      </c>
      <c r="DV16" s="11">
        <v>0.13695373201779351</v>
      </c>
      <c r="DW16" s="11">
        <v>-7.1302574123356402E-2</v>
      </c>
      <c r="DX16" s="11">
        <v>0.1252847063239774</v>
      </c>
      <c r="DY16" s="11">
        <v>0.15757213273537249</v>
      </c>
      <c r="DZ16" s="11">
        <v>5.8810748191046001E-2</v>
      </c>
      <c r="EA16" s="11">
        <v>4.205152402439738E-4</v>
      </c>
      <c r="EB16" s="11">
        <v>0.1006791006772017</v>
      </c>
      <c r="EC16" s="11">
        <v>6.3532066634569728E-2</v>
      </c>
      <c r="ED16" s="11">
        <v>0.1154167474989211</v>
      </c>
      <c r="EE16" s="11">
        <v>4.3966753067597054E-3</v>
      </c>
      <c r="EF16" s="11">
        <v>3.455063597997958E-2</v>
      </c>
      <c r="EG16">
        <f t="shared" si="10"/>
        <v>9.9021054996580258</v>
      </c>
      <c r="EH16" s="14">
        <f t="shared" si="11"/>
        <v>7.3638469131925718E-2</v>
      </c>
    </row>
    <row r="17" spans="1:138" x14ac:dyDescent="0.3">
      <c r="A17" s="1">
        <v>120</v>
      </c>
      <c r="B17" s="1">
        <v>8</v>
      </c>
      <c r="C17" s="11">
        <v>0.2060921883792059</v>
      </c>
      <c r="D17" s="11">
        <v>0.43958848862462141</v>
      </c>
      <c r="E17" s="11">
        <v>7.9589849390753017E-2</v>
      </c>
      <c r="F17" s="11">
        <v>-8.0752164152319103E-2</v>
      </c>
      <c r="G17" s="11">
        <v>0.10538707466373071</v>
      </c>
      <c r="H17" s="11">
        <v>0.104994053627741</v>
      </c>
      <c r="I17" s="11">
        <v>0.1137250278021875</v>
      </c>
      <c r="J17" s="11">
        <v>4.1858395118229183E-2</v>
      </c>
      <c r="K17" s="11">
        <v>0.1015600797223099</v>
      </c>
      <c r="L17" s="11">
        <v>-3.3775929538638137E-2</v>
      </c>
      <c r="M17" s="11">
        <v>1.4659142090288421E-2</v>
      </c>
      <c r="N17" s="11">
        <v>0.40510800893946219</v>
      </c>
      <c r="O17" s="11">
        <v>-1.1306676064132231E-2</v>
      </c>
      <c r="P17" s="11">
        <v>6.6339369138831011E-2</v>
      </c>
      <c r="Q17" s="11">
        <v>0.16180129461512691</v>
      </c>
      <c r="R17" s="11">
        <v>-5.2057608904527208E-2</v>
      </c>
      <c r="S17" s="11">
        <v>0.31065343265529821</v>
      </c>
      <c r="T17" s="11">
        <v>2.3342585510940761E-2</v>
      </c>
      <c r="U17" s="11">
        <v>0.14127114253855691</v>
      </c>
      <c r="V17" s="11">
        <v>4.0111898296984957E-3</v>
      </c>
      <c r="W17" s="11">
        <v>7.9141988802017282E-2</v>
      </c>
      <c r="X17" s="11">
        <v>0.2379894313203148</v>
      </c>
      <c r="Y17" s="11">
        <v>-2.2928011062654879E-2</v>
      </c>
      <c r="Z17" s="11">
        <v>5.3868489290865788E-2</v>
      </c>
      <c r="AA17" s="11">
        <v>0.19128343691540939</v>
      </c>
      <c r="AB17" s="11">
        <v>8.4852062878172319E-2</v>
      </c>
      <c r="AC17" s="11">
        <v>-2.008625473802152E-2</v>
      </c>
      <c r="AD17" s="11">
        <v>6.8619823236846789E-2</v>
      </c>
      <c r="AE17" s="11">
        <v>0.22212270442845089</v>
      </c>
      <c r="AF17" s="11">
        <v>0.1202863246558465</v>
      </c>
      <c r="AG17" s="11">
        <v>2.2740980787790199E-2</v>
      </c>
      <c r="AH17" s="11">
        <v>-3.5472619172888853E-2</v>
      </c>
      <c r="AI17" s="11">
        <v>0.11486444539828659</v>
      </c>
      <c r="AJ17" s="11">
        <v>-4.2602630518956887E-2</v>
      </c>
      <c r="AK17" s="11">
        <v>7.3716274739036441E-2</v>
      </c>
      <c r="AL17" s="11">
        <v>-9.9837333349987543E-3</v>
      </c>
      <c r="AM17" s="11">
        <v>7.5369367587656971E-2</v>
      </c>
      <c r="AN17" s="11">
        <v>0.1132871203459177</v>
      </c>
      <c r="AO17" s="11">
        <v>-7.6694527622622979E-2</v>
      </c>
      <c r="AP17" s="11">
        <v>7.7242814419585484E-2</v>
      </c>
      <c r="AQ17" s="11">
        <v>9.2339934757894385E-3</v>
      </c>
      <c r="AR17" s="11">
        <v>-3.4997281035057427E-2</v>
      </c>
      <c r="AS17" s="11">
        <v>-5.8802956944234333E-2</v>
      </c>
      <c r="AT17" s="11">
        <v>0.1270717931072517</v>
      </c>
      <c r="AU17" s="11">
        <v>0.17756202574817151</v>
      </c>
      <c r="AV17" s="11">
        <v>5.8529449334631382E-2</v>
      </c>
      <c r="AW17" s="11">
        <v>7.6189610229816601E-2</v>
      </c>
      <c r="AX17" s="11">
        <v>9.7619105117607935E-2</v>
      </c>
      <c r="AY17" s="11">
        <v>2.742369669060089E-2</v>
      </c>
      <c r="AZ17" s="11">
        <v>4.798043380917294E-2</v>
      </c>
      <c r="BA17" s="11">
        <v>0.1628064098097628</v>
      </c>
      <c r="BB17" s="11">
        <v>0.2304420449478701</v>
      </c>
      <c r="BC17" s="11">
        <v>-2.729282438048998E-2</v>
      </c>
      <c r="BD17" s="11">
        <v>1.9411871892876801E-2</v>
      </c>
      <c r="BE17" s="11">
        <v>4.4110253344838493E-2</v>
      </c>
      <c r="BF17" s="11">
        <v>0.14777683028015831</v>
      </c>
      <c r="BG17" s="11">
        <v>0.18575157813088089</v>
      </c>
      <c r="BH17" s="11">
        <v>0.1331911133253291</v>
      </c>
      <c r="BI17" s="11">
        <v>8.7111945439947241E-2</v>
      </c>
      <c r="BJ17" s="11">
        <v>8.9191477556659224E-2</v>
      </c>
      <c r="BK17" s="11">
        <v>-0.11481579199951759</v>
      </c>
      <c r="BL17" s="11">
        <v>3.4152447324294427E-2</v>
      </c>
      <c r="BM17" s="11">
        <v>2.905901115235426E-2</v>
      </c>
      <c r="BN17" s="11">
        <v>-7.3656767936365913E-2</v>
      </c>
      <c r="BO17" s="11">
        <v>3.5179615416723611E-2</v>
      </c>
      <c r="BP17" s="11">
        <v>-6.0638146909917152E-2</v>
      </c>
      <c r="BQ17" s="11">
        <v>1.1376510446451601E-2</v>
      </c>
      <c r="BR17" s="11">
        <v>0.1150223530257518</v>
      </c>
      <c r="BS17" s="11">
        <v>2.0906018213695501E-2</v>
      </c>
      <c r="BT17" s="11">
        <v>3.3647573246358371E-2</v>
      </c>
      <c r="BU17" s="11">
        <v>0.1045242995328607</v>
      </c>
      <c r="BV17" s="11">
        <v>3.8240956502194168E-2</v>
      </c>
      <c r="BW17" s="11">
        <v>0.2083368255173885</v>
      </c>
      <c r="BX17" s="11">
        <v>7.0957898414668631E-3</v>
      </c>
      <c r="BY17" s="11">
        <v>-0.14247737512646691</v>
      </c>
      <c r="BZ17" s="11">
        <v>0.12057815588108529</v>
      </c>
      <c r="CA17" s="11">
        <v>2.7934832358489561E-2</v>
      </c>
      <c r="CB17" s="11">
        <v>0.1496331576928896</v>
      </c>
      <c r="CC17" s="11">
        <v>4.1760252474235628E-2</v>
      </c>
      <c r="CD17" s="11">
        <v>0.17295974121914859</v>
      </c>
      <c r="CE17" s="11">
        <v>9.5708073661495086E-2</v>
      </c>
      <c r="CF17" s="11">
        <v>9.8746197426198501E-2</v>
      </c>
      <c r="CG17" s="11">
        <v>7.4714988628731105E-2</v>
      </c>
      <c r="CH17" s="11">
        <v>5.8636446607050002E-2</v>
      </c>
      <c r="CI17" s="11">
        <v>1.4531184989588509E-2</v>
      </c>
      <c r="CJ17" s="11">
        <v>2.0950827481348411E-2</v>
      </c>
      <c r="CK17" s="11">
        <v>8.3955848259630761E-2</v>
      </c>
      <c r="CL17" s="11">
        <v>-9.426344769031314E-3</v>
      </c>
      <c r="CM17" s="11">
        <v>9.5493870816553639E-2</v>
      </c>
      <c r="CN17" s="11">
        <v>0.1765312785813869</v>
      </c>
      <c r="CO17" s="11">
        <v>0.19808041988978861</v>
      </c>
      <c r="CP17" s="11">
        <v>0.1481592691973436</v>
      </c>
      <c r="CQ17" s="11">
        <v>5.1907103341726511E-2</v>
      </c>
      <c r="CR17" s="11">
        <v>0.19640263176228931</v>
      </c>
      <c r="CS17" s="11">
        <v>3.1345818395718227E-2</v>
      </c>
      <c r="CT17" s="11">
        <v>5.8653796602614071E-2</v>
      </c>
      <c r="CU17" s="11">
        <v>0.15535189279975939</v>
      </c>
      <c r="CV17" s="11">
        <v>0.15147138486135439</v>
      </c>
      <c r="CW17" s="11">
        <v>6.3393218804487977E-2</v>
      </c>
      <c r="CX17" s="11">
        <v>1.0772394523947831E-2</v>
      </c>
      <c r="CY17" s="11">
        <v>5.9497951859822741E-2</v>
      </c>
      <c r="CZ17" s="11">
        <v>0.1242488378476205</v>
      </c>
      <c r="DA17" s="11">
        <v>9.4496399219490587E-2</v>
      </c>
      <c r="DB17" s="11">
        <v>0.1042716259030833</v>
      </c>
      <c r="DC17" s="11">
        <v>4.3363468977499313E-2</v>
      </c>
      <c r="DD17" s="11">
        <v>2.9155420882880739E-2</v>
      </c>
      <c r="DE17" s="11">
        <v>2.4124863346722019E-2</v>
      </c>
      <c r="DF17" s="11">
        <v>0.35222555427147212</v>
      </c>
      <c r="DG17" s="11">
        <v>4.7210988428523781E-2</v>
      </c>
      <c r="DH17" s="11">
        <v>0.163431801211989</v>
      </c>
      <c r="DI17" s="11">
        <v>7.0182390070728226E-2</v>
      </c>
      <c r="DJ17" s="11">
        <v>0.12892505978600949</v>
      </c>
      <c r="DK17" s="11">
        <v>0.1027812687483064</v>
      </c>
      <c r="DL17" s="11">
        <v>-3.929731691128693E-3</v>
      </c>
      <c r="DM17" s="11">
        <v>-4.2563608711752209E-2</v>
      </c>
      <c r="DN17" s="11">
        <v>3.5489032714339008E-2</v>
      </c>
      <c r="DO17" s="11">
        <v>0.17976292609872879</v>
      </c>
      <c r="DP17" s="11">
        <v>0.14203415825063481</v>
      </c>
      <c r="DQ17" s="11">
        <v>7.2654005106024863E-2</v>
      </c>
      <c r="DR17" s="11">
        <v>5.5884814876328279E-2</v>
      </c>
      <c r="DS17" s="11">
        <v>3.7354088755102308E-2</v>
      </c>
      <c r="DT17" s="11">
        <v>5.9811935234976271E-2</v>
      </c>
      <c r="DU17" s="11">
        <v>0.12949295631998961</v>
      </c>
      <c r="DV17" s="11">
        <v>0.11776539811095429</v>
      </c>
      <c r="DW17" s="11">
        <v>-7.659891303599646E-2</v>
      </c>
      <c r="DX17" s="11">
        <v>0.12953898259647401</v>
      </c>
      <c r="DY17" s="11">
        <v>0.10728289560185179</v>
      </c>
      <c r="DZ17" s="11">
        <v>4.9212629169808252E-2</v>
      </c>
      <c r="EA17" s="11">
        <v>-4.6325242167246112E-3</v>
      </c>
      <c r="EB17" s="11">
        <v>0.1072853267537575</v>
      </c>
      <c r="EC17" s="11">
        <v>1.6425217216060651E-2</v>
      </c>
      <c r="ED17" s="11">
        <v>0.12832444392891271</v>
      </c>
      <c r="EE17" s="11">
        <v>-1.9352114607941879E-4</v>
      </c>
      <c r="EF17" s="11">
        <v>4.0987205423901073E-2</v>
      </c>
      <c r="EG17">
        <f t="shared" si="10"/>
        <v>10.229520109870409</v>
      </c>
      <c r="EH17" s="14">
        <f t="shared" si="11"/>
        <v>7.6033827645123189E-2</v>
      </c>
    </row>
    <row r="18" spans="1:138" x14ac:dyDescent="0.3">
      <c r="A18" s="1">
        <v>137</v>
      </c>
      <c r="B18" s="1">
        <v>7</v>
      </c>
      <c r="C18" s="11">
        <v>0.18975112249235829</v>
      </c>
      <c r="D18" s="11">
        <v>0.40188368142206798</v>
      </c>
      <c r="E18" s="11">
        <v>5.3439350267724013E-2</v>
      </c>
      <c r="F18" s="11">
        <v>-0.11938296010218979</v>
      </c>
      <c r="G18" s="11">
        <v>0.10831637328507999</v>
      </c>
      <c r="H18" s="11">
        <v>0.12853956177457129</v>
      </c>
      <c r="I18" s="11">
        <v>0.13550018022324109</v>
      </c>
      <c r="J18" s="11">
        <v>4.3411515751641608E-2</v>
      </c>
      <c r="K18" s="11">
        <v>0.13564788877763229</v>
      </c>
      <c r="L18" s="11">
        <v>-4.6672720340673143E-2</v>
      </c>
      <c r="M18" s="11">
        <v>2.9051464376457319E-2</v>
      </c>
      <c r="N18" s="11">
        <v>0.46182001807061318</v>
      </c>
      <c r="O18" s="11">
        <v>3.1737941097498189E-2</v>
      </c>
      <c r="P18" s="11">
        <v>8.2552611569947768E-2</v>
      </c>
      <c r="Q18" s="11">
        <v>0.18897541868948989</v>
      </c>
      <c r="R18" s="11">
        <v>-6.149223787197499E-2</v>
      </c>
      <c r="S18" s="11">
        <v>0.3837326289318943</v>
      </c>
      <c r="T18" s="11">
        <v>5.2309697550730873E-2</v>
      </c>
      <c r="U18" s="11">
        <v>0.132495024429819</v>
      </c>
      <c r="V18" s="11">
        <v>1.2895135069850801E-2</v>
      </c>
      <c r="W18" s="11">
        <v>7.7296280059738612E-2</v>
      </c>
      <c r="X18" s="11">
        <v>0.21512105739995169</v>
      </c>
      <c r="Y18" s="11">
        <v>-1.923233435743554E-2</v>
      </c>
      <c r="Z18" s="11">
        <v>8.9234363440522865E-2</v>
      </c>
      <c r="AA18" s="11">
        <v>0.17257065753452869</v>
      </c>
      <c r="AB18" s="11">
        <v>8.4698299730484178E-2</v>
      </c>
      <c r="AC18" s="11">
        <v>1.3654204768322529E-3</v>
      </c>
      <c r="AD18" s="11">
        <v>9.6285845185419314E-2</v>
      </c>
      <c r="AE18" s="11">
        <v>0.25839134891520849</v>
      </c>
      <c r="AF18" s="11">
        <v>0.1505436398240734</v>
      </c>
      <c r="AG18" s="11">
        <v>3.2493116097876071E-2</v>
      </c>
      <c r="AH18" s="11">
        <v>-4.0197460968514703E-2</v>
      </c>
      <c r="AI18" s="11">
        <v>0.1180857345580002</v>
      </c>
      <c r="AJ18" s="11">
        <v>-4.7393756166449127E-2</v>
      </c>
      <c r="AK18" s="11">
        <v>3.0152480597625989E-2</v>
      </c>
      <c r="AL18" s="11">
        <v>-8.5555505437218517E-4</v>
      </c>
      <c r="AM18" s="11">
        <v>6.6643405424771207E-2</v>
      </c>
      <c r="AN18" s="11">
        <v>7.9294639955201793E-2</v>
      </c>
      <c r="AO18" s="11">
        <v>2.4584280444806969E-2</v>
      </c>
      <c r="AP18" s="11">
        <v>7.8278591933806971E-2</v>
      </c>
      <c r="AQ18" s="11">
        <v>-1.6785141569115699E-2</v>
      </c>
      <c r="AR18" s="11">
        <v>-6.1694523600781571E-2</v>
      </c>
      <c r="AS18" s="11">
        <v>-8.3253127889185943E-2</v>
      </c>
      <c r="AT18" s="11">
        <v>0.16638580942405889</v>
      </c>
      <c r="AU18" s="11">
        <v>0.1966597311386786</v>
      </c>
      <c r="AV18" s="11">
        <v>6.0235664706469842E-2</v>
      </c>
      <c r="AW18" s="11">
        <v>9.7766861821235188E-2</v>
      </c>
      <c r="AX18" s="11">
        <v>0.12606433742612741</v>
      </c>
      <c r="AY18" s="11">
        <v>3.4783278641148073E-2</v>
      </c>
      <c r="AZ18" s="11">
        <v>6.6341275737421684E-2</v>
      </c>
      <c r="BA18" s="11">
        <v>0.18047976466954649</v>
      </c>
      <c r="BB18" s="11">
        <v>0.31745742566411261</v>
      </c>
      <c r="BC18" s="11">
        <v>2.7942050701969749E-2</v>
      </c>
      <c r="BD18" s="11">
        <v>2.0275139657027021E-2</v>
      </c>
      <c r="BE18" s="11">
        <v>9.117285285592254E-2</v>
      </c>
      <c r="BF18" s="11">
        <v>0.1649864946960074</v>
      </c>
      <c r="BG18" s="11">
        <v>0.1467139748282886</v>
      </c>
      <c r="BH18" s="11">
        <v>0.1378982651501425</v>
      </c>
      <c r="BI18" s="11">
        <v>0.1090000069186657</v>
      </c>
      <c r="BJ18" s="11">
        <v>9.9531519273147392E-2</v>
      </c>
      <c r="BK18" s="11">
        <v>-7.3455626824005624E-2</v>
      </c>
      <c r="BL18" s="11">
        <v>5.5787880861779937E-2</v>
      </c>
      <c r="BM18" s="11">
        <v>2.8081356373095352E-2</v>
      </c>
      <c r="BN18" s="11">
        <v>-7.8208699482375382E-2</v>
      </c>
      <c r="BO18" s="11">
        <v>2.0227496106374639E-2</v>
      </c>
      <c r="BP18" s="11">
        <v>-6.2463432036451667E-2</v>
      </c>
      <c r="BQ18" s="11">
        <v>1.916784109848992E-3</v>
      </c>
      <c r="BR18" s="11">
        <v>0.1209618178824758</v>
      </c>
      <c r="BS18" s="11">
        <v>3.2873256576031823E-2</v>
      </c>
      <c r="BT18" s="11">
        <v>1.329915077767777E-2</v>
      </c>
      <c r="BU18" s="11">
        <v>0.1114615455291026</v>
      </c>
      <c r="BV18" s="11">
        <v>3.96244261241478E-2</v>
      </c>
      <c r="BW18" s="11">
        <v>0.21837549913098869</v>
      </c>
      <c r="BX18" s="11">
        <v>-1.5811923945792471E-2</v>
      </c>
      <c r="BY18" s="11">
        <v>-8.7465268272101659E-2</v>
      </c>
      <c r="BZ18" s="11">
        <v>0.15331998780259809</v>
      </c>
      <c r="CA18" s="11">
        <v>1.6076543892860819E-2</v>
      </c>
      <c r="CB18" s="11">
        <v>0.1068460604700732</v>
      </c>
      <c r="CC18" s="11">
        <v>0.1046606238416451</v>
      </c>
      <c r="CD18" s="11">
        <v>0.19371681864683071</v>
      </c>
      <c r="CE18" s="11">
        <v>7.7260394878222755E-2</v>
      </c>
      <c r="CF18" s="11">
        <v>7.1817591700374064E-2</v>
      </c>
      <c r="CG18" s="11">
        <v>9.1609255563919342E-2</v>
      </c>
      <c r="CH18" s="11">
        <v>0.16265704668723319</v>
      </c>
      <c r="CI18" s="11">
        <v>3.8869139877689488E-2</v>
      </c>
      <c r="CJ18" s="11">
        <v>-3.772366500397611E-3</v>
      </c>
      <c r="CK18" s="11">
        <v>9.6058031665523097E-2</v>
      </c>
      <c r="CL18" s="11">
        <v>-3.0989545058193121E-2</v>
      </c>
      <c r="CM18" s="11">
        <v>0.1027696116279509</v>
      </c>
      <c r="CN18" s="11">
        <v>0.1209431335415747</v>
      </c>
      <c r="CO18" s="11">
        <v>0.22828208587546131</v>
      </c>
      <c r="CP18" s="11">
        <v>0.16283910894801071</v>
      </c>
      <c r="CQ18" s="11">
        <v>3.8242675594942703E-2</v>
      </c>
      <c r="CR18" s="11">
        <v>0.19372240765220919</v>
      </c>
      <c r="CS18" s="11">
        <v>5.7690648651415453E-2</v>
      </c>
      <c r="CT18" s="11">
        <v>7.6870226772222966E-2</v>
      </c>
      <c r="CU18" s="11">
        <v>0.14456482117613489</v>
      </c>
      <c r="CV18" s="11">
        <v>0.1270222681330069</v>
      </c>
      <c r="CW18" s="11">
        <v>6.6558574498316259E-2</v>
      </c>
      <c r="CX18" s="11">
        <v>6.1560185833778078E-2</v>
      </c>
      <c r="CY18" s="11">
        <v>7.1432458912374111E-2</v>
      </c>
      <c r="CZ18" s="11">
        <v>0.13284286330177139</v>
      </c>
      <c r="DA18" s="11">
        <v>7.8358630907432503E-2</v>
      </c>
      <c r="DB18" s="11">
        <v>0.1181147182852117</v>
      </c>
      <c r="DC18" s="11">
        <v>3.6408781495506221E-2</v>
      </c>
      <c r="DD18" s="11">
        <v>4.1014187319333921E-2</v>
      </c>
      <c r="DE18" s="11">
        <v>3.8420587486450893E-2</v>
      </c>
      <c r="DF18" s="11">
        <v>0.36669200961401482</v>
      </c>
      <c r="DG18" s="11">
        <v>5.4770484126873797E-2</v>
      </c>
      <c r="DH18" s="11">
        <v>0.19240138195914119</v>
      </c>
      <c r="DI18" s="11">
        <v>9.7963127478955317E-2</v>
      </c>
      <c r="DJ18" s="11">
        <v>0.14619607609941229</v>
      </c>
      <c r="DK18" s="11">
        <v>0.1065272620024338</v>
      </c>
      <c r="DL18" s="11">
        <v>-3.830274067592157E-3</v>
      </c>
      <c r="DM18" s="11">
        <v>-5.8457164290175813E-2</v>
      </c>
      <c r="DN18" s="11">
        <v>-1.6722064078021251E-2</v>
      </c>
      <c r="DO18" s="11">
        <v>0.22032021179129849</v>
      </c>
      <c r="DP18" s="11">
        <v>0.13348647227708049</v>
      </c>
      <c r="DQ18" s="11">
        <v>6.5749458183898837E-2</v>
      </c>
      <c r="DR18" s="11">
        <v>7.6840654771961045E-2</v>
      </c>
      <c r="DS18" s="11">
        <v>1.1277982255682851E-2</v>
      </c>
      <c r="DT18" s="11">
        <v>2.2601034841107401E-2</v>
      </c>
      <c r="DU18" s="11">
        <v>0.15871482271667761</v>
      </c>
      <c r="DV18" s="11">
        <v>0.1056406088000619</v>
      </c>
      <c r="DW18" s="11">
        <v>-6.8636949952117263E-2</v>
      </c>
      <c r="DX18" s="11">
        <v>0.1536029774624818</v>
      </c>
      <c r="DY18" s="11">
        <v>0.1368331149382522</v>
      </c>
      <c r="DZ18" s="11">
        <v>5.4630374156582083E-2</v>
      </c>
      <c r="EA18" s="11">
        <v>-4.7382972382447363E-3</v>
      </c>
      <c r="EB18" s="11">
        <v>0.1099643544501954</v>
      </c>
      <c r="EC18" s="11">
        <v>2.764115425371385E-3</v>
      </c>
      <c r="ED18" s="11">
        <v>0.11047802186576559</v>
      </c>
      <c r="EE18" s="11">
        <v>1.111287672357628E-3</v>
      </c>
      <c r="EF18" s="11">
        <v>6.3954333689144396E-2</v>
      </c>
      <c r="EG18">
        <f t="shared" si="10"/>
        <v>11.234960650093626</v>
      </c>
      <c r="EH18" s="14">
        <f t="shared" si="11"/>
        <v>8.3365718779137926E-2</v>
      </c>
    </row>
    <row r="19" spans="1:138" x14ac:dyDescent="0.3">
      <c r="A19" s="1">
        <v>160</v>
      </c>
      <c r="B19" s="1">
        <v>6</v>
      </c>
      <c r="C19" s="11">
        <v>0.19660026531165431</v>
      </c>
      <c r="D19" s="11">
        <v>0.40752071008946927</v>
      </c>
      <c r="E19" s="11">
        <v>6.5814207330017804E-2</v>
      </c>
      <c r="F19" s="11">
        <v>-0.1776886618055605</v>
      </c>
      <c r="G19" s="11">
        <v>9.6065971857177412E-2</v>
      </c>
      <c r="H19" s="11">
        <v>0.17761031882265199</v>
      </c>
      <c r="I19" s="11">
        <v>0.1346543328914665</v>
      </c>
      <c r="J19" s="11">
        <v>3.5429584520191022E-2</v>
      </c>
      <c r="K19" s="11">
        <v>0.23878941472391671</v>
      </c>
      <c r="L19" s="11">
        <v>-3.036283305602917E-2</v>
      </c>
      <c r="M19" s="11">
        <v>-4.3690236156307287E-2</v>
      </c>
      <c r="N19" s="11">
        <v>0.53237403768824121</v>
      </c>
      <c r="O19" s="11">
        <v>3.1561874488915911E-2</v>
      </c>
      <c r="P19" s="11">
        <v>9.2534186186697107E-2</v>
      </c>
      <c r="Q19" s="11">
        <v>0.19716308826451989</v>
      </c>
      <c r="R19" s="11">
        <v>-9.0299090630856282E-2</v>
      </c>
      <c r="S19" s="11">
        <v>0.18416011669760801</v>
      </c>
      <c r="T19" s="11">
        <v>5.1464717245309592E-2</v>
      </c>
      <c r="U19" s="11">
        <v>0.13569833863192321</v>
      </c>
      <c r="V19" s="11">
        <v>3.6618687785451319E-2</v>
      </c>
      <c r="W19" s="11">
        <v>7.2415569319498968E-2</v>
      </c>
      <c r="X19" s="11">
        <v>0.14939987335272731</v>
      </c>
      <c r="Y19" s="11">
        <v>-2.5628637528156511E-2</v>
      </c>
      <c r="Z19" s="11">
        <v>9.1619110576023566E-2</v>
      </c>
      <c r="AA19" s="11">
        <v>0.131832899481091</v>
      </c>
      <c r="AB19" s="11">
        <v>0.10225360588394269</v>
      </c>
      <c r="AC19" s="11">
        <v>1.4141542708609799E-2</v>
      </c>
      <c r="AD19" s="11">
        <v>9.5993377798068158E-2</v>
      </c>
      <c r="AE19" s="11">
        <v>0.30849285792536868</v>
      </c>
      <c r="AF19" s="11">
        <v>0.1688305807080431</v>
      </c>
      <c r="AG19" s="11">
        <v>2.2136219072547821E-2</v>
      </c>
      <c r="AH19" s="11">
        <v>-5.6557715221703553E-2</v>
      </c>
      <c r="AI19" s="11">
        <v>9.1548662924674465E-2</v>
      </c>
      <c r="AJ19" s="11">
        <v>-5.1545290327262273E-2</v>
      </c>
      <c r="AK19" s="11">
        <v>7.5520425059527104E-3</v>
      </c>
      <c r="AL19" s="11">
        <v>-1.136262181352635E-3</v>
      </c>
      <c r="AM19" s="11">
        <v>4.3106011811404943E-2</v>
      </c>
      <c r="AN19" s="11">
        <v>8.3568294365682083E-2</v>
      </c>
      <c r="AO19" s="11">
        <v>5.5890126129114689E-2</v>
      </c>
      <c r="AP19" s="11">
        <v>8.757412027285208E-2</v>
      </c>
      <c r="AQ19" s="11">
        <v>-5.4925492373613188E-2</v>
      </c>
      <c r="AR19" s="11">
        <v>-7.4616897634658869E-2</v>
      </c>
      <c r="AS19" s="11">
        <v>-0.1091988760530663</v>
      </c>
      <c r="AT19" s="11">
        <v>0.18459366381005801</v>
      </c>
      <c r="AU19" s="11">
        <v>0.23884423839901431</v>
      </c>
      <c r="AV19" s="11">
        <v>-3.0326096026080519E-3</v>
      </c>
      <c r="AW19" s="11">
        <v>0.13669339712891271</v>
      </c>
      <c r="AX19" s="11">
        <v>0.2241237953008561</v>
      </c>
      <c r="AY19" s="11">
        <v>2.9528970393379841E-2</v>
      </c>
      <c r="AZ19" s="11">
        <v>8.4032472273639608E-2</v>
      </c>
      <c r="BA19" s="11">
        <v>0.18699677755478061</v>
      </c>
      <c r="BB19" s="11">
        <v>0.36416093179321912</v>
      </c>
      <c r="BC19" s="11">
        <v>0.18457178940642721</v>
      </c>
      <c r="BD19" s="11">
        <v>-7.3706967887407146E-5</v>
      </c>
      <c r="BE19" s="11">
        <v>8.948072176037114E-2</v>
      </c>
      <c r="BF19" s="11">
        <v>0.14180943496374171</v>
      </c>
      <c r="BG19" s="11">
        <v>0.15330875116978829</v>
      </c>
      <c r="BH19" s="11">
        <v>0.14049690595357331</v>
      </c>
      <c r="BI19" s="11">
        <v>0.12779862881921869</v>
      </c>
      <c r="BJ19" s="11">
        <v>5.1819308428669691E-2</v>
      </c>
      <c r="BK19" s="11">
        <v>-9.7038422945385686E-2</v>
      </c>
      <c r="BL19" s="11">
        <v>6.3164533747019302E-2</v>
      </c>
      <c r="BM19" s="11">
        <v>3.1786264869145278E-2</v>
      </c>
      <c r="BN19" s="11">
        <v>-8.141326020016787E-2</v>
      </c>
      <c r="BO19" s="11">
        <v>2.5728961265115379E-2</v>
      </c>
      <c r="BP19" s="11">
        <v>-1.2410341277600779E-2</v>
      </c>
      <c r="BQ19" s="11">
        <v>9.9340444543230683E-3</v>
      </c>
      <c r="BR19" s="11">
        <v>0.1368392355431455</v>
      </c>
      <c r="BS19" s="11">
        <v>-3.4999319396389061E-3</v>
      </c>
      <c r="BT19" s="11">
        <v>-1.3193669203137359E-2</v>
      </c>
      <c r="BU19" s="11">
        <v>0.13067063489138789</v>
      </c>
      <c r="BV19" s="11">
        <v>3.0350791965897218E-2</v>
      </c>
      <c r="BW19" s="11">
        <v>0.30745300680973342</v>
      </c>
      <c r="BX19" s="11">
        <v>-3.6398889558793571E-2</v>
      </c>
      <c r="BY19" s="11">
        <v>-7.9866927068945853E-2</v>
      </c>
      <c r="BZ19" s="11">
        <v>6.8702124822053873E-2</v>
      </c>
      <c r="CA19" s="11">
        <v>2.932875522377449E-2</v>
      </c>
      <c r="CB19" s="11">
        <v>0.12783820910089719</v>
      </c>
      <c r="CC19" s="11">
        <v>2.2506232898517449E-2</v>
      </c>
      <c r="CD19" s="11">
        <v>0.21561919809371791</v>
      </c>
      <c r="CE19" s="11">
        <v>8.8474858937667905E-2</v>
      </c>
      <c r="CF19" s="11">
        <v>7.9904397206049291E-2</v>
      </c>
      <c r="CG19" s="11">
        <v>5.7117624866957151E-2</v>
      </c>
      <c r="CH19" s="11">
        <v>0.1528898670499263</v>
      </c>
      <c r="CI19" s="11">
        <v>3.7066946160195187E-2</v>
      </c>
      <c r="CJ19" s="11">
        <v>-1.1811922761994231E-2</v>
      </c>
      <c r="CK19" s="11">
        <v>0.1187972629573345</v>
      </c>
      <c r="CL19" s="11">
        <v>-4.3240279974789908E-2</v>
      </c>
      <c r="CM19" s="11">
        <v>0.1102358787373677</v>
      </c>
      <c r="CN19" s="11">
        <v>0.14319321046953429</v>
      </c>
      <c r="CO19" s="11">
        <v>0.25123563122031478</v>
      </c>
      <c r="CP19" s="11">
        <v>0.15903259898233271</v>
      </c>
      <c r="CQ19" s="11">
        <v>3.2394607516418629E-2</v>
      </c>
      <c r="CR19" s="11">
        <v>0.17630672424619201</v>
      </c>
      <c r="CS19" s="11">
        <v>5.4250449548333517E-2</v>
      </c>
      <c r="CT19" s="11">
        <v>2.6421201288258939E-2</v>
      </c>
      <c r="CU19" s="11">
        <v>0.146607543260939</v>
      </c>
      <c r="CV19" s="11">
        <v>9.4553007971378916E-2</v>
      </c>
      <c r="CW19" s="11">
        <v>6.0515878573037342E-2</v>
      </c>
      <c r="CX19" s="11">
        <v>5.7634726368184938E-2</v>
      </c>
      <c r="CY19" s="11">
        <v>7.3151337307962833E-2</v>
      </c>
      <c r="CZ19" s="11">
        <v>0.11285182864146399</v>
      </c>
      <c r="DA19" s="11">
        <v>7.5182477103680007E-2</v>
      </c>
      <c r="DB19" s="11">
        <v>0.14796184676961621</v>
      </c>
      <c r="DC19" s="11">
        <v>-3.5179399902094073E-2</v>
      </c>
      <c r="DD19" s="11">
        <v>6.2011252548289514E-3</v>
      </c>
      <c r="DE19" s="11">
        <v>3.3018414655792E-2</v>
      </c>
      <c r="DF19" s="11">
        <v>0.20550174559429629</v>
      </c>
      <c r="DG19" s="11">
        <v>6.6374264994436313E-2</v>
      </c>
      <c r="DH19" s="11">
        <v>0.22458978071948801</v>
      </c>
      <c r="DI19" s="11">
        <v>0.1084614388347602</v>
      </c>
      <c r="DJ19" s="11">
        <v>0.16525046895907189</v>
      </c>
      <c r="DK19" s="11">
        <v>0.1214423095104508</v>
      </c>
      <c r="DL19" s="11">
        <v>-1.198278590897381E-2</v>
      </c>
      <c r="DM19" s="11">
        <v>-5.7300431238330417E-2</v>
      </c>
      <c r="DN19" s="11">
        <v>2.4751230976385011E-3</v>
      </c>
      <c r="DO19" s="11">
        <v>0.2492619517097443</v>
      </c>
      <c r="DP19" s="11">
        <v>0.17026813067996199</v>
      </c>
      <c r="DQ19" s="11">
        <v>8.0374171838075048E-2</v>
      </c>
      <c r="DR19" s="11">
        <v>7.5962353325048193E-2</v>
      </c>
      <c r="DS19" s="11">
        <v>-5.6773135189909819E-3</v>
      </c>
      <c r="DT19" s="11">
        <v>5.0332465201051654E-3</v>
      </c>
      <c r="DU19" s="11">
        <v>0.15058192195631251</v>
      </c>
      <c r="DV19" s="11">
        <v>0.1115247064406045</v>
      </c>
      <c r="DW19" s="11">
        <v>-0.1012959689486648</v>
      </c>
      <c r="DX19" s="11">
        <v>0.1383651342381777</v>
      </c>
      <c r="DY19" s="11">
        <v>0.1392486786855984</v>
      </c>
      <c r="DZ19" s="11">
        <v>7.8537947622533175E-2</v>
      </c>
      <c r="EA19" s="11">
        <v>3.2919727195015271E-2</v>
      </c>
      <c r="EB19" s="11">
        <v>0.1087535096382525</v>
      </c>
      <c r="EC19" s="11">
        <v>-1.2190043223702179E-2</v>
      </c>
      <c r="ED19" s="11">
        <v>0.15093531699015689</v>
      </c>
      <c r="EE19" s="11">
        <v>-7.3065266771277096E-3</v>
      </c>
      <c r="EF19" s="11">
        <v>7.402291939750516E-2</v>
      </c>
      <c r="EG19">
        <f t="shared" si="10"/>
        <v>11.104918397364791</v>
      </c>
      <c r="EH19" s="12">
        <f t="shared" si="11"/>
        <v>8.2320115507218558E-2</v>
      </c>
    </row>
    <row r="20" spans="1:138" x14ac:dyDescent="0.3">
      <c r="A20" s="1">
        <v>192</v>
      </c>
      <c r="B20" s="1">
        <v>5</v>
      </c>
      <c r="C20" s="11">
        <v>0.2015510478639157</v>
      </c>
      <c r="D20" s="11">
        <v>0.38202502004734989</v>
      </c>
      <c r="E20" s="11">
        <v>5.7336350326780597E-2</v>
      </c>
      <c r="F20" s="11">
        <v>-0.2055312643331742</v>
      </c>
      <c r="G20" s="11">
        <v>0.1171831412889391</v>
      </c>
      <c r="H20" s="11">
        <v>0.14393228225567539</v>
      </c>
      <c r="I20" s="11">
        <v>0.15814956260110169</v>
      </c>
      <c r="J20" s="11">
        <v>3.4471258726856233E-2</v>
      </c>
      <c r="K20" s="11">
        <v>0.21472450376108179</v>
      </c>
      <c r="L20" s="11">
        <v>-3.069548300109538E-2</v>
      </c>
      <c r="M20" s="11">
        <v>-7.7718228291273506E-2</v>
      </c>
      <c r="N20" s="11">
        <v>0.5000114780094741</v>
      </c>
      <c r="O20" s="11">
        <v>4.9864886069274132E-2</v>
      </c>
      <c r="P20" s="11">
        <v>9.1169927668525261E-2</v>
      </c>
      <c r="Q20" s="11">
        <v>0.21672573900297851</v>
      </c>
      <c r="R20" s="11">
        <v>-0.1092530556374688</v>
      </c>
      <c r="S20" s="11">
        <v>0.15518261832774261</v>
      </c>
      <c r="T20" s="11">
        <v>8.5465455737815402E-2</v>
      </c>
      <c r="U20" s="11">
        <v>0.14864968011777491</v>
      </c>
      <c r="V20" s="11">
        <v>1.2644103117188939E-2</v>
      </c>
      <c r="W20" s="11">
        <v>9.1084869432544818E-2</v>
      </c>
      <c r="X20" s="11">
        <v>0.21038641292278501</v>
      </c>
      <c r="Y20" s="11">
        <v>-4.2067489538597257E-2</v>
      </c>
      <c r="Z20" s="11">
        <v>0.1056169604836593</v>
      </c>
      <c r="AA20" s="11">
        <v>0.13048336848064571</v>
      </c>
      <c r="AB20" s="11">
        <v>8.4759840726173208E-2</v>
      </c>
      <c r="AC20" s="11">
        <v>4.7248262727967477E-2</v>
      </c>
      <c r="AD20" s="11">
        <v>0.12984341871366439</v>
      </c>
      <c r="AE20" s="11">
        <v>0.16122120715511101</v>
      </c>
      <c r="AF20" s="11">
        <v>0.22349781963637269</v>
      </c>
      <c r="AG20" s="11">
        <v>2.7659218539892259E-2</v>
      </c>
      <c r="AH20" s="11">
        <v>-9.0178200714782636E-2</v>
      </c>
      <c r="AI20" s="11">
        <v>0.11633675505532361</v>
      </c>
      <c r="AJ20" s="11">
        <v>-6.1990034547547639E-2</v>
      </c>
      <c r="AK20" s="11">
        <v>-1.359511549600285E-2</v>
      </c>
      <c r="AL20" s="11">
        <v>-5.6166263617408981E-3</v>
      </c>
      <c r="AM20" s="11">
        <v>3.3095980748802607E-2</v>
      </c>
      <c r="AN20" s="11">
        <v>7.5470193518998266E-2</v>
      </c>
      <c r="AO20" s="11">
        <v>4.9108294639399641E-2</v>
      </c>
      <c r="AP20" s="11">
        <v>0.13173046125538779</v>
      </c>
      <c r="AQ20" s="11">
        <v>7.2900746140221323E-2</v>
      </c>
      <c r="AR20" s="11">
        <v>-1.328927308983413E-2</v>
      </c>
      <c r="AS20" s="11">
        <v>-4.2291716448975919E-2</v>
      </c>
      <c r="AT20" s="11">
        <v>0.23912374744507051</v>
      </c>
      <c r="AU20" s="11">
        <v>0.28169787258320111</v>
      </c>
      <c r="AV20" s="11">
        <v>-3.2246612786763357E-2</v>
      </c>
      <c r="AW20" s="11">
        <v>0.2249978407783445</v>
      </c>
      <c r="AX20" s="11">
        <v>0.20433921996054669</v>
      </c>
      <c r="AY20" s="11">
        <v>3.8674698442909439E-2</v>
      </c>
      <c r="AZ20" s="11">
        <v>9.9804303272323425E-2</v>
      </c>
      <c r="BA20" s="11">
        <v>0.15133772550591279</v>
      </c>
      <c r="BB20" s="11">
        <v>0.3784467853093445</v>
      </c>
      <c r="BC20" s="11">
        <v>0.24014067499041369</v>
      </c>
      <c r="BD20" s="11">
        <v>8.3601733665197644E-3</v>
      </c>
      <c r="BE20" s="11">
        <v>9.8278374734355731E-2</v>
      </c>
      <c r="BF20" s="11">
        <v>0.13797126306897531</v>
      </c>
      <c r="BG20" s="11">
        <v>9.4062055608340231E-2</v>
      </c>
      <c r="BH20" s="11">
        <v>0.1500573005634544</v>
      </c>
      <c r="BI20" s="11">
        <v>0.13174526708517489</v>
      </c>
      <c r="BJ20" s="11">
        <v>5.5155920618856692E-2</v>
      </c>
      <c r="BK20" s="11">
        <v>-0.11765037240502189</v>
      </c>
      <c r="BL20" s="11">
        <v>6.9859441937220601E-2</v>
      </c>
      <c r="BM20" s="11">
        <v>4.7468551464188873E-2</v>
      </c>
      <c r="BN20" s="11">
        <v>1.8638027253166291E-2</v>
      </c>
      <c r="BO20" s="11">
        <v>-3.8461717515979203E-2</v>
      </c>
      <c r="BP20" s="11">
        <v>7.2822475063245764E-3</v>
      </c>
      <c r="BQ20" s="11">
        <v>1.5451706960843021E-2</v>
      </c>
      <c r="BR20" s="11">
        <v>0.18112708147166159</v>
      </c>
      <c r="BS20" s="11">
        <v>-3.2536197724856143E-2</v>
      </c>
      <c r="BT20" s="11">
        <v>-5.2467623281905747E-2</v>
      </c>
      <c r="BU20" s="11">
        <v>0.14944100404532221</v>
      </c>
      <c r="BV20" s="11">
        <v>-8.154344176059905E-2</v>
      </c>
      <c r="BW20" s="11">
        <v>0.35182955004840472</v>
      </c>
      <c r="BX20" s="11">
        <v>-5.2861421730525368E-2</v>
      </c>
      <c r="BY20" s="11">
        <v>-4.6393591496685094E-3</v>
      </c>
      <c r="BZ20" s="11">
        <v>9.02714042602836E-2</v>
      </c>
      <c r="CA20" s="11">
        <v>4.0102728051752932E-2</v>
      </c>
      <c r="CB20" s="11">
        <v>0.1264950457700191</v>
      </c>
      <c r="CC20" s="11">
        <v>1.291514747808061E-2</v>
      </c>
      <c r="CD20" s="11">
        <v>0.1810274974905971</v>
      </c>
      <c r="CE20" s="11">
        <v>8.5778172602440458E-2</v>
      </c>
      <c r="CF20" s="11">
        <v>8.0957937198676569E-2</v>
      </c>
      <c r="CG20" s="11">
        <v>7.597024074310807E-2</v>
      </c>
      <c r="CH20" s="11">
        <v>7.1864025597138351E-2</v>
      </c>
      <c r="CI20" s="11">
        <v>3.0394673769081951E-2</v>
      </c>
      <c r="CJ20" s="11">
        <v>-4.1509984783928693E-2</v>
      </c>
      <c r="CK20" s="11">
        <v>8.0589623940621552E-2</v>
      </c>
      <c r="CL20" s="11">
        <v>-9.2184934189128986E-2</v>
      </c>
      <c r="CM20" s="11">
        <v>9.6775805849237839E-2</v>
      </c>
      <c r="CN20" s="11">
        <v>0.20489183364110261</v>
      </c>
      <c r="CO20" s="11">
        <v>0.29657330510502922</v>
      </c>
      <c r="CP20" s="11">
        <v>0.1920312051090273</v>
      </c>
      <c r="CQ20" s="11">
        <v>2.3118045300283038E-2</v>
      </c>
      <c r="CR20" s="11">
        <v>0.1954861104849421</v>
      </c>
      <c r="CS20" s="11">
        <v>9.7137098734322067E-2</v>
      </c>
      <c r="CT20" s="11">
        <v>2.841440739658805E-2</v>
      </c>
      <c r="CU20" s="11">
        <v>0.14672800907162681</v>
      </c>
      <c r="CV20" s="11">
        <v>0.11921412821268471</v>
      </c>
      <c r="CW20" s="11">
        <v>6.7903708174845409E-2</v>
      </c>
      <c r="CX20" s="11">
        <v>9.0298550867764463E-2</v>
      </c>
      <c r="CY20" s="11">
        <v>0.108732838402072</v>
      </c>
      <c r="CZ20" s="11">
        <v>0.15516164514919831</v>
      </c>
      <c r="DA20" s="11">
        <v>7.7081696653549386E-2</v>
      </c>
      <c r="DB20" s="11">
        <v>7.696806977078402E-2</v>
      </c>
      <c r="DC20" s="11">
        <v>-4.9613069235555772E-2</v>
      </c>
      <c r="DD20" s="11">
        <v>3.597184756950339E-3</v>
      </c>
      <c r="DE20" s="11">
        <v>1.0418721606852799E-2</v>
      </c>
      <c r="DF20" s="11">
        <v>0.24557420527758439</v>
      </c>
      <c r="DG20" s="11">
        <v>5.2344813299819028E-2</v>
      </c>
      <c r="DH20" s="11">
        <v>0.27829885316894232</v>
      </c>
      <c r="DI20" s="11">
        <v>0.1375957593126734</v>
      </c>
      <c r="DJ20" s="11">
        <v>0.1365580924326974</v>
      </c>
      <c r="DK20" s="11">
        <v>8.5187540020503633E-2</v>
      </c>
      <c r="DL20" s="11">
        <v>-1.9465373333619789E-2</v>
      </c>
      <c r="DM20" s="11">
        <v>-6.9336106675116957E-2</v>
      </c>
      <c r="DN20" s="11">
        <v>5.8019206654199171E-2</v>
      </c>
      <c r="DO20" s="11">
        <v>0.25800136345901148</v>
      </c>
      <c r="DP20" s="11">
        <v>0.20015543475438921</v>
      </c>
      <c r="DQ20" s="11">
        <v>5.7460181624700082E-2</v>
      </c>
      <c r="DR20" s="11">
        <v>7.8512660028290493E-2</v>
      </c>
      <c r="DS20" s="11">
        <v>-7.4906957537590798E-3</v>
      </c>
      <c r="DT20" s="11">
        <v>-2.968533879884255E-2</v>
      </c>
      <c r="DU20" s="11">
        <v>0.17637516893039651</v>
      </c>
      <c r="DV20" s="11">
        <v>0.12934547183885869</v>
      </c>
      <c r="DW20" s="11">
        <v>-0.1035461681398053</v>
      </c>
      <c r="DX20" s="11">
        <v>0.15386632960631469</v>
      </c>
      <c r="DY20" s="11">
        <v>0.1215914577754016</v>
      </c>
      <c r="DZ20" s="11">
        <v>9.0199646158974578E-2</v>
      </c>
      <c r="EA20" s="11">
        <v>-5.9255992733342772E-3</v>
      </c>
      <c r="EB20" s="11">
        <v>8.2407142444419712E-2</v>
      </c>
      <c r="EC20" s="11">
        <v>3.4049581413941779E-2</v>
      </c>
      <c r="ED20" s="11">
        <v>0.17691886106701021</v>
      </c>
      <c r="EE20" s="11">
        <v>-1.7409797518545299E-3</v>
      </c>
      <c r="EF20" s="11">
        <v>8.580306084224959E-2</v>
      </c>
      <c r="EG20">
        <f t="shared" si="10"/>
        <v>11.614853906668577</v>
      </c>
      <c r="EH20" s="12">
        <f t="shared" si="11"/>
        <v>8.603769287930095E-2</v>
      </c>
    </row>
    <row r="21" spans="1:138" x14ac:dyDescent="0.3">
      <c r="A21" s="1">
        <v>241</v>
      </c>
      <c r="B21" s="1">
        <v>4</v>
      </c>
      <c r="C21" s="11">
        <v>0.21462957980695321</v>
      </c>
      <c r="D21" s="11">
        <v>0.12638791676682359</v>
      </c>
      <c r="E21" s="11">
        <v>-1.3690170285790599E-2</v>
      </c>
      <c r="F21" s="11">
        <v>-0.18403858160612999</v>
      </c>
      <c r="G21" s="11">
        <v>0.14384215111256449</v>
      </c>
      <c r="H21" s="11">
        <v>0.1621640877938379</v>
      </c>
      <c r="I21" s="11">
        <v>0.14725560812747299</v>
      </c>
      <c r="J21" s="11">
        <v>6.0435325691642318E-2</v>
      </c>
      <c r="K21" s="11">
        <v>0.2068800260033955</v>
      </c>
      <c r="L21" s="11">
        <v>5.0291533060606367E-3</v>
      </c>
      <c r="M21" s="11">
        <v>-9.9684593408211258E-2</v>
      </c>
      <c r="N21" s="11">
        <v>0.58489126462072527</v>
      </c>
      <c r="O21" s="11">
        <v>3.4351989460690638E-2</v>
      </c>
      <c r="P21" s="11">
        <v>0.14477260088968491</v>
      </c>
      <c r="Q21" s="11">
        <v>0.25731007409425227</v>
      </c>
      <c r="R21" s="11">
        <v>-9.5575311106630215E-2</v>
      </c>
      <c r="S21" s="11">
        <v>0.12859028544995699</v>
      </c>
      <c r="T21" s="11">
        <v>9.846167275679743E-2</v>
      </c>
      <c r="U21" s="11">
        <v>8.6278417611758002E-2</v>
      </c>
      <c r="V21" s="11">
        <v>5.3557619366031213E-2</v>
      </c>
      <c r="W21" s="11">
        <v>0.124498618828508</v>
      </c>
      <c r="X21" s="11">
        <v>0.21363094220511639</v>
      </c>
      <c r="Y21" s="11">
        <v>-2.0833082892434851E-2</v>
      </c>
      <c r="Z21" s="11">
        <v>0.1142039872227245</v>
      </c>
      <c r="AA21" s="11">
        <v>0.1106359070024788</v>
      </c>
      <c r="AB21" s="11">
        <v>0.1298395823970698</v>
      </c>
      <c r="AC21" s="11">
        <v>1.882773670680014E-2</v>
      </c>
      <c r="AD21" s="11">
        <v>0.1288246656475579</v>
      </c>
      <c r="AE21" s="11">
        <v>0.12810497879624591</v>
      </c>
      <c r="AF21" s="11">
        <v>0.29514425808336342</v>
      </c>
      <c r="AG21" s="11">
        <v>4.4302777789794079E-2</v>
      </c>
      <c r="AH21" s="11">
        <v>-0.10758136256479831</v>
      </c>
      <c r="AI21" s="11">
        <v>0.10212367551148389</v>
      </c>
      <c r="AJ21" s="11">
        <v>-7.0405341946468691E-2</v>
      </c>
      <c r="AK21" s="11">
        <v>-3.5803167618110053E-2</v>
      </c>
      <c r="AL21" s="11">
        <v>1.9780813559851541E-2</v>
      </c>
      <c r="AM21" s="11">
        <v>6.8535807447630548E-2</v>
      </c>
      <c r="AN21" s="11">
        <v>0.11195605606309431</v>
      </c>
      <c r="AO21" s="11">
        <v>8.5567774913887312E-2</v>
      </c>
      <c r="AP21" s="11">
        <v>7.2535143570019153E-2</v>
      </c>
      <c r="AQ21" s="11">
        <v>0.13322646020896919</v>
      </c>
      <c r="AR21" s="11">
        <v>4.798814140331014E-2</v>
      </c>
      <c r="AS21" s="11">
        <v>-4.5406682060008141E-2</v>
      </c>
      <c r="AT21" s="11">
        <v>0.26483825754799722</v>
      </c>
      <c r="AU21" s="11">
        <v>0.34648126396342699</v>
      </c>
      <c r="AV21" s="11">
        <v>-6.871391269647964E-2</v>
      </c>
      <c r="AW21" s="11">
        <v>0.26325491637381482</v>
      </c>
      <c r="AX21" s="11">
        <v>0.21771830251703739</v>
      </c>
      <c r="AY21" s="11">
        <v>4.7021290978038012E-2</v>
      </c>
      <c r="AZ21" s="11">
        <v>0.1085023584146062</v>
      </c>
      <c r="BA21" s="11">
        <v>0.1395926821613267</v>
      </c>
      <c r="BB21" s="11">
        <v>0.40443142813314931</v>
      </c>
      <c r="BC21" s="11">
        <v>0.1644605319288267</v>
      </c>
      <c r="BD21" s="11">
        <v>3.8219147267913818E-2</v>
      </c>
      <c r="BE21" s="11">
        <v>0.13674535590796441</v>
      </c>
      <c r="BF21" s="11">
        <v>0.19911721643060321</v>
      </c>
      <c r="BG21" s="11">
        <v>9.2285571507253639E-2</v>
      </c>
      <c r="BH21" s="11">
        <v>0.1068421096374302</v>
      </c>
      <c r="BI21" s="11">
        <v>0.1659695961783918</v>
      </c>
      <c r="BJ21" s="11">
        <v>2.239406236410954E-2</v>
      </c>
      <c r="BK21" s="11">
        <v>-7.2723114748713999E-2</v>
      </c>
      <c r="BL21" s="11">
        <v>8.7340790467698257E-2</v>
      </c>
      <c r="BM21" s="11">
        <v>4.0795286028720637E-2</v>
      </c>
      <c r="BN21" s="11">
        <v>2.5790766448446922E-2</v>
      </c>
      <c r="BO21" s="11">
        <v>-6.3857236413680254E-2</v>
      </c>
      <c r="BP21" s="11">
        <v>-4.1808023315929119E-3</v>
      </c>
      <c r="BQ21" s="11">
        <v>5.4542230834504879E-2</v>
      </c>
      <c r="BR21" s="11">
        <v>0.14206145591009539</v>
      </c>
      <c r="BS21" s="11">
        <v>-6.5741820960347419E-2</v>
      </c>
      <c r="BT21" s="11">
        <v>-6.0820742542524793E-2</v>
      </c>
      <c r="BU21" s="11">
        <v>0.1707385105504178</v>
      </c>
      <c r="BV21" s="11">
        <v>-4.4339980041273437E-2</v>
      </c>
      <c r="BW21" s="11">
        <v>0.18446067072040909</v>
      </c>
      <c r="BX21" s="11">
        <v>-7.7165002520596909E-2</v>
      </c>
      <c r="BY21" s="11">
        <v>-5.5666292242237493E-2</v>
      </c>
      <c r="BZ21" s="11">
        <v>4.7662928720715619E-2</v>
      </c>
      <c r="CA21" s="11">
        <v>6.0517603302398457E-2</v>
      </c>
      <c r="CB21" s="11">
        <v>0.2078698479015878</v>
      </c>
      <c r="CC21" s="11">
        <v>-8.0189542709663136E-3</v>
      </c>
      <c r="CD21" s="11">
        <v>0.28805606436247322</v>
      </c>
      <c r="CE21" s="11">
        <v>6.1514882354154247E-2</v>
      </c>
      <c r="CF21" s="11">
        <v>0.13126567680107229</v>
      </c>
      <c r="CG21" s="11">
        <v>8.508533547413108E-2</v>
      </c>
      <c r="CH21" s="11">
        <v>8.0100321076211733E-2</v>
      </c>
      <c r="CI21" s="11">
        <v>8.0499616390982326E-2</v>
      </c>
      <c r="CJ21" s="11">
        <v>-5.5140848561157058E-2</v>
      </c>
      <c r="CK21" s="11">
        <v>6.7159630296855705E-2</v>
      </c>
      <c r="CL21" s="11">
        <v>-0.13389042462296469</v>
      </c>
      <c r="CM21" s="11">
        <v>0.1162318191805591</v>
      </c>
      <c r="CN21" s="11">
        <v>8.0851508829433677E-2</v>
      </c>
      <c r="CO21" s="11">
        <v>0.3354837581948798</v>
      </c>
      <c r="CP21" s="11">
        <v>0.22270006087791269</v>
      </c>
      <c r="CQ21" s="11">
        <v>2.2912194169496192E-2</v>
      </c>
      <c r="CR21" s="11">
        <v>0.23905996636126789</v>
      </c>
      <c r="CS21" s="11">
        <v>6.1269036219330789E-2</v>
      </c>
      <c r="CT21" s="11">
        <v>4.7993104073004042E-2</v>
      </c>
      <c r="CU21" s="11">
        <v>0.1589166223174501</v>
      </c>
      <c r="CV21" s="11">
        <v>0.1543318447745724</v>
      </c>
      <c r="CW21" s="11">
        <v>3.8345516871682743E-2</v>
      </c>
      <c r="CX21" s="11">
        <v>0.1021221756574071</v>
      </c>
      <c r="CY21" s="11">
        <v>0.102505161081563</v>
      </c>
      <c r="CZ21" s="11">
        <v>0.2374513708258302</v>
      </c>
      <c r="DA21" s="11">
        <v>4.1709064063925938E-2</v>
      </c>
      <c r="DB21" s="11">
        <v>7.1461213773998111E-2</v>
      </c>
      <c r="DC21" s="11">
        <v>-4.5047559223290658E-2</v>
      </c>
      <c r="DD21" s="11">
        <v>2.8187943910707451E-3</v>
      </c>
      <c r="DE21" s="11">
        <v>2.897773706032665E-2</v>
      </c>
      <c r="DF21" s="11">
        <v>0.30115021168204381</v>
      </c>
      <c r="DG21" s="11">
        <v>5.9409518844913557E-2</v>
      </c>
      <c r="DH21" s="11">
        <v>8.1436188280027383E-2</v>
      </c>
      <c r="DI21" s="11">
        <v>0.1798398251674036</v>
      </c>
      <c r="DJ21" s="11">
        <v>0.1566057184636416</v>
      </c>
      <c r="DK21" s="11">
        <v>9.0895590906945836E-2</v>
      </c>
      <c r="DL21" s="11">
        <v>-1.273699150101321E-2</v>
      </c>
      <c r="DM21" s="11">
        <v>-2.4988802442145672E-2</v>
      </c>
      <c r="DN21" s="11">
        <v>7.1197612493993062E-2</v>
      </c>
      <c r="DO21" s="11">
        <v>0.33162680487864599</v>
      </c>
      <c r="DP21" s="11">
        <v>0.22901988968023471</v>
      </c>
      <c r="DQ21" s="11">
        <v>7.0422698808183373E-2</v>
      </c>
      <c r="DR21" s="11">
        <v>5.0170859037080733E-2</v>
      </c>
      <c r="DS21" s="11">
        <v>-1.6720946793213241E-3</v>
      </c>
      <c r="DT21" s="11">
        <v>-5.2151903466792276E-3</v>
      </c>
      <c r="DU21" s="11">
        <v>0.1486147166384135</v>
      </c>
      <c r="DV21" s="11">
        <v>0.140275976869878</v>
      </c>
      <c r="DW21" s="11">
        <v>-0.1035344925963028</v>
      </c>
      <c r="DX21" s="11">
        <v>0.18596621403118341</v>
      </c>
      <c r="DY21" s="11">
        <v>0.16673097108859181</v>
      </c>
      <c r="DZ21" s="11">
        <v>9.893057365990536E-2</v>
      </c>
      <c r="EA21" s="11">
        <v>-3.5066457185236648E-2</v>
      </c>
      <c r="EB21" s="11">
        <v>2.6302193998533951E-2</v>
      </c>
      <c r="EC21" s="11">
        <v>1.403705509804205E-2</v>
      </c>
      <c r="ED21" s="11">
        <v>5.4498856348180663E-2</v>
      </c>
      <c r="EE21" s="11">
        <v>2.1310592307867391E-2</v>
      </c>
      <c r="EF21" s="11">
        <v>2.879722641967087E-2</v>
      </c>
      <c r="EG21">
        <f t="shared" si="10"/>
        <v>11.898742039181309</v>
      </c>
      <c r="EH21" s="12">
        <f t="shared" si="11"/>
        <v>8.8581677707176398E-2</v>
      </c>
    </row>
    <row r="22" spans="1:138" x14ac:dyDescent="0.3">
      <c r="A22" s="1">
        <v>321</v>
      </c>
      <c r="B22" s="1">
        <v>3</v>
      </c>
      <c r="C22" s="11">
        <v>0.20528030103697539</v>
      </c>
      <c r="D22" s="11">
        <v>0.1424278520773985</v>
      </c>
      <c r="E22" s="11">
        <v>-1.7355098916458981E-2</v>
      </c>
      <c r="F22" s="11">
        <v>-6.7831060921277567E-2</v>
      </c>
      <c r="G22" s="11">
        <v>0.1038843632903341</v>
      </c>
      <c r="H22" s="11">
        <v>0.1241780629606463</v>
      </c>
      <c r="I22" s="11">
        <v>0.12349316933806979</v>
      </c>
      <c r="J22" s="11">
        <v>5.2598589265342909E-2</v>
      </c>
      <c r="K22" s="11">
        <v>0.2453659126827557</v>
      </c>
      <c r="L22" s="11">
        <v>-1.427320868498227E-2</v>
      </c>
      <c r="M22" s="11">
        <v>-7.4100058770572547E-2</v>
      </c>
      <c r="N22" s="11">
        <v>0.75614344311733894</v>
      </c>
      <c r="O22" s="11">
        <v>-6.7158783113674958E-3</v>
      </c>
      <c r="P22" s="11">
        <v>7.2782884128816977E-2</v>
      </c>
      <c r="Q22" s="11">
        <v>0.27677689383305182</v>
      </c>
      <c r="R22" s="11">
        <v>-3.6628434271588052E-2</v>
      </c>
      <c r="S22" s="11">
        <v>0.16964655555794059</v>
      </c>
      <c r="T22" s="11">
        <v>0.1288124219831229</v>
      </c>
      <c r="U22" s="11">
        <v>0.11059002340250421</v>
      </c>
      <c r="V22" s="11">
        <v>3.8286776519855507E-2</v>
      </c>
      <c r="W22" s="11">
        <v>0.1580477531639507</v>
      </c>
      <c r="X22" s="11">
        <v>0.22178675903387041</v>
      </c>
      <c r="Y22" s="11">
        <v>-1.5732208413521059E-2</v>
      </c>
      <c r="Z22" s="11">
        <v>7.5548269145846045E-2</v>
      </c>
      <c r="AA22" s="11">
        <v>8.2524425578113014E-2</v>
      </c>
      <c r="AB22" s="11">
        <v>0.13443621271332551</v>
      </c>
      <c r="AC22" s="11">
        <v>8.5776460715432462E-2</v>
      </c>
      <c r="AD22" s="11">
        <v>1.357278877236134E-2</v>
      </c>
      <c r="AE22" s="11">
        <v>0.13082384281633419</v>
      </c>
      <c r="AF22" s="11">
        <v>0.42991676804861201</v>
      </c>
      <c r="AG22" s="11">
        <v>5.2841540175733892E-2</v>
      </c>
      <c r="AH22" s="11">
        <v>-0.10586595942047269</v>
      </c>
      <c r="AI22" s="11">
        <v>0.11100371122694901</v>
      </c>
      <c r="AJ22" s="11">
        <v>-3.1699849326408271E-2</v>
      </c>
      <c r="AK22" s="11">
        <v>0.1012885607403957</v>
      </c>
      <c r="AL22" s="11">
        <v>-9.4397384737102564E-3</v>
      </c>
      <c r="AM22" s="11">
        <v>8.4088903467703563E-2</v>
      </c>
      <c r="AN22" s="11">
        <v>0.1111328096635593</v>
      </c>
      <c r="AO22" s="11">
        <v>0.1581528752937269</v>
      </c>
      <c r="AP22" s="11">
        <v>6.2536353887992696E-2</v>
      </c>
      <c r="AQ22" s="11">
        <v>0.11013171229127849</v>
      </c>
      <c r="AR22" s="11">
        <v>6.7924487703603389E-2</v>
      </c>
      <c r="AS22" s="11">
        <v>7.3843702685833568E-2</v>
      </c>
      <c r="AT22" s="11">
        <v>1.7728370994436651E-2</v>
      </c>
      <c r="AU22" s="11">
        <v>0.42935378467834612</v>
      </c>
      <c r="AV22" s="11">
        <v>-8.9753981871632596E-2</v>
      </c>
      <c r="AW22" s="11">
        <v>0.37079927869117352</v>
      </c>
      <c r="AX22" s="11">
        <v>-9.875186005693877E-3</v>
      </c>
      <c r="AY22" s="11">
        <v>7.1733385334230598E-2</v>
      </c>
      <c r="AZ22" s="11">
        <v>0.1551884040435336</v>
      </c>
      <c r="BA22" s="11">
        <v>4.9774957584186978E-2</v>
      </c>
      <c r="BB22" s="11">
        <v>0.51826404945003746</v>
      </c>
      <c r="BC22" s="11">
        <v>0.19562603535051759</v>
      </c>
      <c r="BD22" s="11">
        <v>7.9259544919436403E-2</v>
      </c>
      <c r="BE22" s="11">
        <v>0.12806788396565999</v>
      </c>
      <c r="BF22" s="11">
        <v>0.1991024485484385</v>
      </c>
      <c r="BG22" s="11">
        <v>-4.1231469152780448E-2</v>
      </c>
      <c r="BH22" s="11">
        <v>0.12770700939641619</v>
      </c>
      <c r="BI22" s="11">
        <v>0.111088719409907</v>
      </c>
      <c r="BJ22" s="11">
        <v>4.0890331679524251E-2</v>
      </c>
      <c r="BK22" s="11">
        <v>-4.831524105166432E-2</v>
      </c>
      <c r="BL22" s="11">
        <v>0.13947139040086359</v>
      </c>
      <c r="BM22" s="11">
        <v>2.4304832455331882E-3</v>
      </c>
      <c r="BN22" s="11">
        <v>8.2937899200322518E-2</v>
      </c>
      <c r="BO22" s="11">
        <v>-5.0484429112750417E-2</v>
      </c>
      <c r="BP22" s="11">
        <v>-5.4100012453170681E-4</v>
      </c>
      <c r="BQ22" s="11">
        <v>2.7830097398312589E-2</v>
      </c>
      <c r="BR22" s="11">
        <v>0.10656678196769021</v>
      </c>
      <c r="BS22" s="11">
        <v>-9.7047589704545023E-2</v>
      </c>
      <c r="BT22" s="11">
        <v>8.8726194332783462E-2</v>
      </c>
      <c r="BU22" s="11">
        <v>0.1043505830823649</v>
      </c>
      <c r="BV22" s="11">
        <v>-4.8603534589078061E-2</v>
      </c>
      <c r="BW22" s="11">
        <v>0.1321717915357814</v>
      </c>
      <c r="BX22" s="11">
        <v>-0.1130288989043652</v>
      </c>
      <c r="BY22" s="11">
        <v>-5.5597049970371022E-2</v>
      </c>
      <c r="BZ22" s="11">
        <v>4.725773586289217E-2</v>
      </c>
      <c r="CA22" s="11">
        <v>2.749007848032349E-2</v>
      </c>
      <c r="CB22" s="11">
        <v>0.25473925571486122</v>
      </c>
      <c r="CC22" s="11">
        <v>-0.12510399532003291</v>
      </c>
      <c r="CD22" s="11">
        <v>0.33387803671272293</v>
      </c>
      <c r="CE22" s="11">
        <v>6.6840145636817616E-2</v>
      </c>
      <c r="CF22" s="11">
        <v>0.18879978576027739</v>
      </c>
      <c r="CG22" s="11">
        <v>0.207085332633513</v>
      </c>
      <c r="CH22" s="11">
        <v>0.1159187712794482</v>
      </c>
      <c r="CI22" s="11">
        <v>0.1177797462783592</v>
      </c>
      <c r="CJ22" s="11">
        <v>-0.12632535927858729</v>
      </c>
      <c r="CK22" s="11">
        <v>0.1109235402867822</v>
      </c>
      <c r="CL22" s="11">
        <v>-0.2406517986250408</v>
      </c>
      <c r="CM22" s="11">
        <v>0.21983248519746329</v>
      </c>
      <c r="CN22" s="11">
        <v>0.15280391681020719</v>
      </c>
      <c r="CO22" s="11">
        <v>0.27205949814687491</v>
      </c>
      <c r="CP22" s="11">
        <v>0.25940855696940252</v>
      </c>
      <c r="CQ22" s="11">
        <v>1.7159615519123799E-2</v>
      </c>
      <c r="CR22" s="11">
        <v>0.24677276999188669</v>
      </c>
      <c r="CS22" s="11">
        <v>8.4781935884364376E-2</v>
      </c>
      <c r="CT22" s="11">
        <v>3.8262614575275293E-2</v>
      </c>
      <c r="CU22" s="11">
        <v>0.16735391118636819</v>
      </c>
      <c r="CV22" s="11">
        <v>0.16622267868955429</v>
      </c>
      <c r="CW22" s="11">
        <v>2.2884042331984721E-2</v>
      </c>
      <c r="CX22" s="11">
        <v>3.749593267848913E-3</v>
      </c>
      <c r="CY22" s="11">
        <v>0.1045108260680616</v>
      </c>
      <c r="CZ22" s="11">
        <v>0.26292048459923911</v>
      </c>
      <c r="DA22" s="11">
        <v>3.2453994810138623E-2</v>
      </c>
      <c r="DB22" s="11">
        <v>5.4041621710522049E-2</v>
      </c>
      <c r="DC22" s="11">
        <v>-2.0724784444157599E-2</v>
      </c>
      <c r="DD22" s="11">
        <v>3.1710169125825367E-2</v>
      </c>
      <c r="DE22" s="11">
        <v>-1.7756503501932811E-2</v>
      </c>
      <c r="DF22" s="11">
        <v>0.38966763369412349</v>
      </c>
      <c r="DG22" s="11">
        <v>7.1889499417003094E-2</v>
      </c>
      <c r="DH22" s="11">
        <v>8.1454381615908525E-2</v>
      </c>
      <c r="DI22" s="11">
        <v>6.0122111270589459E-2</v>
      </c>
      <c r="DJ22" s="11">
        <v>0.15369976283032971</v>
      </c>
      <c r="DK22" s="11">
        <v>9.1428405059511261E-2</v>
      </c>
      <c r="DL22" s="11">
        <v>-3.213330743138731E-3</v>
      </c>
      <c r="DM22" s="11">
        <v>-3.1884709289730702E-2</v>
      </c>
      <c r="DN22" s="11">
        <v>4.6763328204007498E-2</v>
      </c>
      <c r="DO22" s="11">
        <v>7.5715816054906154E-2</v>
      </c>
      <c r="DP22" s="11">
        <v>0.16956243214073041</v>
      </c>
      <c r="DQ22" s="11">
        <v>0.16540416654463991</v>
      </c>
      <c r="DR22" s="11">
        <v>-6.0925526153180337E-3</v>
      </c>
      <c r="DS22" s="11">
        <v>-3.6346262249535841E-2</v>
      </c>
      <c r="DT22" s="11">
        <v>2.712875397817005E-2</v>
      </c>
      <c r="DU22" s="11">
        <v>0.16154691088272999</v>
      </c>
      <c r="DV22" s="11">
        <v>0.12570511767817799</v>
      </c>
      <c r="DW22" s="11">
        <v>-8.1415413379923474E-2</v>
      </c>
      <c r="DX22" s="11">
        <v>0.22244260844829469</v>
      </c>
      <c r="DY22" s="11">
        <v>0.11995602471866181</v>
      </c>
      <c r="DZ22" s="11">
        <v>0.11083450478771149</v>
      </c>
      <c r="EA22" s="11">
        <v>-3.4191242409873077E-2</v>
      </c>
      <c r="EB22" s="11">
        <v>0.12976595030606911</v>
      </c>
      <c r="EC22" s="11">
        <v>2.1495101575638179E-2</v>
      </c>
      <c r="ED22" s="11">
        <v>7.7413567057607463E-2</v>
      </c>
      <c r="EE22" s="11">
        <v>4.7636659384698889E-2</v>
      </c>
      <c r="EF22" s="11">
        <v>3.6595469131778337E-2</v>
      </c>
      <c r="EG22">
        <f t="shared" si="10"/>
        <v>12.330758131984656</v>
      </c>
      <c r="EH22" s="12">
        <f t="shared" si="11"/>
        <v>9.1747482558603558E-2</v>
      </c>
    </row>
    <row r="23" spans="1:138" x14ac:dyDescent="0.3">
      <c r="A23" s="1">
        <v>482</v>
      </c>
      <c r="B23" s="1">
        <v>2</v>
      </c>
      <c r="C23" s="11">
        <v>0.28298926569632887</v>
      </c>
      <c r="D23" s="11">
        <v>0.25409262745146127</v>
      </c>
      <c r="E23" s="11">
        <v>0.13300519405617101</v>
      </c>
      <c r="F23" s="11">
        <v>-0.1823960753208787</v>
      </c>
      <c r="G23" s="11">
        <v>-2.6971568524368019E-2</v>
      </c>
      <c r="H23" s="11">
        <v>-1.8188470841484668E-2</v>
      </c>
      <c r="I23" s="11">
        <v>0.148152028600294</v>
      </c>
      <c r="J23" s="11">
        <v>-9.8162291146452377E-2</v>
      </c>
      <c r="K23" s="11">
        <v>0.14260757512465491</v>
      </c>
      <c r="L23" s="11">
        <v>-5.0770833705182927E-2</v>
      </c>
      <c r="M23" s="11">
        <v>-0.2584499163586424</v>
      </c>
      <c r="N23" s="11">
        <v>0.97590144327128003</v>
      </c>
      <c r="O23" s="11">
        <v>-1.9407711266769139E-2</v>
      </c>
      <c r="P23" s="11">
        <v>9.040171118212538E-2</v>
      </c>
      <c r="Q23" s="11">
        <v>-5.95680169005205E-2</v>
      </c>
      <c r="R23" s="11">
        <v>-5.6211143313255052E-2</v>
      </c>
      <c r="S23" s="11">
        <v>0.1137245328272621</v>
      </c>
      <c r="T23" s="11">
        <v>0.15460269332742849</v>
      </c>
      <c r="U23" s="11">
        <v>9.3757422440794366E-2</v>
      </c>
      <c r="V23" s="11">
        <v>-2.302945710979112E-2</v>
      </c>
      <c r="W23" s="11">
        <v>0.25954732367705918</v>
      </c>
      <c r="X23" s="11">
        <v>0.1817811857978229</v>
      </c>
      <c r="Y23" s="11">
        <v>-1.4659801530490259E-2</v>
      </c>
      <c r="Z23" s="11">
        <v>3.3032515443875303E-2</v>
      </c>
      <c r="AA23" s="11">
        <v>-5.6748445960110291E-2</v>
      </c>
      <c r="AB23" s="11">
        <v>6.4039779876783498E-2</v>
      </c>
      <c r="AC23" s="11">
        <v>0.1687547996369127</v>
      </c>
      <c r="AD23" s="11">
        <v>7.1628868085674022E-2</v>
      </c>
      <c r="AE23" s="11">
        <v>0.13721198875766</v>
      </c>
      <c r="AF23" s="11">
        <v>0.32465932564021122</v>
      </c>
      <c r="AG23" s="11">
        <v>9.1873657646360199E-2</v>
      </c>
      <c r="AH23" s="11">
        <v>-8.417158452318324E-2</v>
      </c>
      <c r="AI23" s="11">
        <v>0.2091515986202637</v>
      </c>
      <c r="AJ23" s="11">
        <v>5.6431378481542303E-3</v>
      </c>
      <c r="AK23" s="11">
        <v>0.11411109934719101</v>
      </c>
      <c r="AL23" s="11">
        <v>-1.4066593107004361E-2</v>
      </c>
      <c r="AM23" s="11">
        <v>7.769489004865255E-3</v>
      </c>
      <c r="AN23" s="11">
        <v>0.24231469935730071</v>
      </c>
      <c r="AO23" s="11">
        <v>9.078247952961746E-2</v>
      </c>
      <c r="AP23" s="11">
        <v>-3.1210993523056942E-3</v>
      </c>
      <c r="AQ23" s="11">
        <v>9.9380639012752223E-2</v>
      </c>
      <c r="AR23" s="11">
        <v>0.1461361643393671</v>
      </c>
      <c r="AS23" s="11">
        <v>8.1663620780570226E-2</v>
      </c>
      <c r="AT23" s="11">
        <v>0.1095059029649002</v>
      </c>
      <c r="AU23" s="11">
        <v>0.60833204424947662</v>
      </c>
      <c r="AV23" s="11">
        <v>-4.9150066629292007E-2</v>
      </c>
      <c r="AW23" s="11">
        <v>0.58225997417421493</v>
      </c>
      <c r="AX23" s="11">
        <v>-1.4812779008540821E-2</v>
      </c>
      <c r="AY23" s="11">
        <v>0.17023398084058211</v>
      </c>
      <c r="AZ23" s="11">
        <v>7.8071576521207053E-2</v>
      </c>
      <c r="BA23" s="11">
        <v>5.3998338629857423E-2</v>
      </c>
      <c r="BB23" s="11">
        <v>0.68602332967973401</v>
      </c>
      <c r="BC23" s="11">
        <v>0.25286918189993951</v>
      </c>
      <c r="BD23" s="11">
        <v>0.12597278447449581</v>
      </c>
      <c r="BE23" s="11">
        <v>0.1242921430258994</v>
      </c>
      <c r="BF23" s="11">
        <v>0.21000911286045121</v>
      </c>
      <c r="BG23" s="11">
        <v>3.8322827419145812E-2</v>
      </c>
      <c r="BH23" s="11">
        <v>6.3365195703238231E-2</v>
      </c>
      <c r="BI23" s="11">
        <v>0.1911120793231991</v>
      </c>
      <c r="BJ23" s="11">
        <v>5.7493860805491029E-2</v>
      </c>
      <c r="BK23" s="11">
        <v>-4.7849323301188178E-2</v>
      </c>
      <c r="BL23" s="11">
        <v>0.11436629014166901</v>
      </c>
      <c r="BM23" s="11">
        <v>-6.9495462024450616E-2</v>
      </c>
      <c r="BN23" s="11">
        <v>3.8453237240273198E-2</v>
      </c>
      <c r="BO23" s="11">
        <v>3.6524941745999073E-2</v>
      </c>
      <c r="BP23" s="11">
        <v>-2.2475721392681891E-2</v>
      </c>
      <c r="BQ23" s="11">
        <v>7.2047901435266168E-2</v>
      </c>
      <c r="BR23" s="11">
        <v>0.1028225901803507</v>
      </c>
      <c r="BS23" s="11">
        <v>-0.2205670944023907</v>
      </c>
      <c r="BT23" s="11">
        <v>0.2181866761329041</v>
      </c>
      <c r="BU23" s="11">
        <v>0.1056852737934032</v>
      </c>
      <c r="BV23" s="11">
        <v>-5.326905055788838E-2</v>
      </c>
      <c r="BW23" s="11">
        <v>1.536251504309036E-2</v>
      </c>
      <c r="BX23" s="11">
        <v>-6.8735089330797944E-2</v>
      </c>
      <c r="BY23" s="11">
        <v>0.1182492339269558</v>
      </c>
      <c r="BZ23" s="11">
        <v>7.6697624318448621E-3</v>
      </c>
      <c r="CA23" s="11">
        <v>7.5653199746629096E-2</v>
      </c>
      <c r="CB23" s="11">
        <v>0.31616676175875003</v>
      </c>
      <c r="CC23" s="11">
        <v>-8.4544614715775346E-2</v>
      </c>
      <c r="CD23" s="11">
        <v>0.19167645501478511</v>
      </c>
      <c r="CE23" s="11">
        <v>5.9602301837717461E-2</v>
      </c>
      <c r="CF23" s="11">
        <v>0.15713490979116501</v>
      </c>
      <c r="CG23" s="11">
        <v>0.21663724162720299</v>
      </c>
      <c r="CH23" s="11">
        <v>0.18019644892142839</v>
      </c>
      <c r="CI23" s="11">
        <v>0.30989941712809688</v>
      </c>
      <c r="CJ23" s="11">
        <v>-0.15651589641790081</v>
      </c>
      <c r="CK23" s="11">
        <v>7.1856390536544607E-2</v>
      </c>
      <c r="CL23" s="11">
        <v>-0.40866101266741839</v>
      </c>
      <c r="CM23" s="11">
        <v>0.23470497261609899</v>
      </c>
      <c r="CN23" s="11">
        <v>0.27710426195606819</v>
      </c>
      <c r="CO23" s="11">
        <v>0.26615853772710141</v>
      </c>
      <c r="CP23" s="11">
        <v>0.31136074316275669</v>
      </c>
      <c r="CQ23" s="11">
        <v>-2.4702270079380868E-2</v>
      </c>
      <c r="CR23" s="11">
        <v>0.15099817047394759</v>
      </c>
      <c r="CS23" s="11">
        <v>6.5159884293212025E-2</v>
      </c>
      <c r="CT23" s="11">
        <v>6.539021537994999E-2</v>
      </c>
      <c r="CU23" s="11">
        <v>0.20210388498715681</v>
      </c>
      <c r="CV23" s="11">
        <v>0.15333096827157461</v>
      </c>
      <c r="CW23" s="11">
        <v>-2.418628778900123E-2</v>
      </c>
      <c r="CX23" s="11">
        <v>-8.8716994096526336E-2</v>
      </c>
      <c r="CY23" s="11">
        <v>0.15375033367153881</v>
      </c>
      <c r="CZ23" s="11">
        <v>0.18199879385735121</v>
      </c>
      <c r="DA23" s="11">
        <v>6.4644882448389021E-2</v>
      </c>
      <c r="DB23" s="11">
        <v>1.8747066443219641E-2</v>
      </c>
      <c r="DC23" s="11">
        <v>0.1191904860704142</v>
      </c>
      <c r="DD23" s="11">
        <v>9.2798674677153081E-2</v>
      </c>
      <c r="DE23" s="11">
        <v>-6.0085947510171572E-2</v>
      </c>
      <c r="DF23" s="11">
        <v>0.40879492056092032</v>
      </c>
      <c r="DG23" s="11">
        <v>6.7620427406409236E-2</v>
      </c>
      <c r="DH23" s="11">
        <v>0.1392268935121084</v>
      </c>
      <c r="DI23" s="11">
        <v>9.6040550870895677E-2</v>
      </c>
      <c r="DJ23" s="11">
        <v>0.1200325818239187</v>
      </c>
      <c r="DK23" s="11">
        <v>9.1244988740826746E-2</v>
      </c>
      <c r="DL23" s="11">
        <v>2.6242652104624471E-2</v>
      </c>
      <c r="DM23" s="11">
        <v>-4.6477315989241888E-2</v>
      </c>
      <c r="DN23" s="11">
        <v>6.4971960439702253E-3</v>
      </c>
      <c r="DO23" s="11">
        <v>0.124068441987729</v>
      </c>
      <c r="DP23" s="11">
        <v>0.17683961848490651</v>
      </c>
      <c r="DQ23" s="11">
        <v>0.24594610755878629</v>
      </c>
      <c r="DR23" s="11">
        <v>-8.9886002731306744E-2</v>
      </c>
      <c r="DS23" s="11">
        <v>-0.1165759916669394</v>
      </c>
      <c r="DT23" s="11">
        <v>-2.2296457069757209E-2</v>
      </c>
      <c r="DU23" s="11">
        <v>5.5639478708282321E-2</v>
      </c>
      <c r="DV23" s="11">
        <v>0.27627160832943959</v>
      </c>
      <c r="DW23" s="11">
        <v>2.3051820755061941E-2</v>
      </c>
      <c r="DX23" s="11">
        <v>0.31349320637896622</v>
      </c>
      <c r="DY23" s="11">
        <v>-5.3926224537590731E-2</v>
      </c>
      <c r="DZ23" s="11">
        <v>-0.21717398775244159</v>
      </c>
      <c r="EA23" s="11">
        <v>-9.3362079468968795E-2</v>
      </c>
      <c r="EB23" s="11">
        <v>0.24428465812392219</v>
      </c>
      <c r="EC23" s="11">
        <v>-3.6584316325813361E-2</v>
      </c>
      <c r="ED23" s="11">
        <v>9.1425904619781034E-2</v>
      </c>
      <c r="EE23" s="11">
        <v>6.9212075984992683E-2</v>
      </c>
      <c r="EF23" s="11">
        <v>9.3415857913687922E-2</v>
      </c>
      <c r="EG23">
        <f t="shared" si="10"/>
        <v>12.469588618905412</v>
      </c>
      <c r="EH23" s="12">
        <f t="shared" si="11"/>
        <v>9.235949821635614E-2</v>
      </c>
    </row>
    <row r="24" spans="1:138" x14ac:dyDescent="0.3">
      <c r="A24" s="1">
        <v>964</v>
      </c>
      <c r="B24" s="1">
        <v>1</v>
      </c>
      <c r="C24" s="11">
        <v>9.9113364206882743E-2</v>
      </c>
      <c r="D24" s="11">
        <v>0.1006099128992286</v>
      </c>
      <c r="E24" s="11">
        <v>0.28451249769050191</v>
      </c>
      <c r="F24" s="11">
        <v>-0.20154571887164621</v>
      </c>
      <c r="G24" s="11">
        <v>-2.2622388562617651E-2</v>
      </c>
      <c r="H24" s="11">
        <v>3.5855796654956661E-2</v>
      </c>
      <c r="I24" s="11">
        <v>-2.111933203143501E-3</v>
      </c>
      <c r="J24" s="11">
        <v>-9.9972192910136135E-2</v>
      </c>
      <c r="K24" s="11">
        <v>5.0444335993488708E-2</v>
      </c>
      <c r="L24" s="11">
        <v>-9.3799693256750388E-2</v>
      </c>
      <c r="M24" s="11">
        <v>-0.14681933889950849</v>
      </c>
      <c r="N24" s="11">
        <v>1.769031369112569</v>
      </c>
      <c r="O24" s="11">
        <v>3.6648790739543732E-2</v>
      </c>
      <c r="P24" s="11">
        <v>0.1042484144089995</v>
      </c>
      <c r="Q24" s="11">
        <v>-6.096496164670627E-2</v>
      </c>
      <c r="R24" s="11">
        <v>-0.24569737077925971</v>
      </c>
      <c r="S24" s="11">
        <v>0.35251446106016437</v>
      </c>
      <c r="T24" s="11">
        <v>-0.27048671467401741</v>
      </c>
      <c r="U24" s="11">
        <v>0.14851867422391801</v>
      </c>
      <c r="V24" s="11">
        <v>-6.7139302837628506E-2</v>
      </c>
      <c r="W24" s="11">
        <v>-0.16456451758688009</v>
      </c>
      <c r="X24" s="11">
        <v>-3.6157896361251968E-2</v>
      </c>
      <c r="Y24" s="11">
        <v>-9.4770149264170878E-3</v>
      </c>
      <c r="Z24" s="11">
        <v>0.10584232727880701</v>
      </c>
      <c r="AA24" s="11">
        <v>0.21854457969115479</v>
      </c>
      <c r="AB24" s="11">
        <v>0.1953396226752438</v>
      </c>
      <c r="AC24" s="11">
        <v>0.4017473338469546</v>
      </c>
      <c r="AD24" s="11">
        <v>0.1011752992567229</v>
      </c>
      <c r="AE24" s="11">
        <v>0.19314178971175811</v>
      </c>
      <c r="AF24" s="11">
        <v>0.49538941280416188</v>
      </c>
      <c r="AG24" s="11">
        <v>0.13873571762663761</v>
      </c>
      <c r="AH24" s="11">
        <v>-5.6697360067789589E-2</v>
      </c>
      <c r="AI24" s="11">
        <v>0.31041423522934231</v>
      </c>
      <c r="AJ24" s="11">
        <v>-8.089124399937539E-2</v>
      </c>
      <c r="AK24" s="11">
        <v>8.4883953068192297E-2</v>
      </c>
      <c r="AL24" s="11">
        <v>8.7173701476634946E-2</v>
      </c>
      <c r="AM24" s="11">
        <v>-1.89192814205267E-2</v>
      </c>
      <c r="AN24" s="11">
        <v>0.22118946514543131</v>
      </c>
      <c r="AO24" s="11">
        <v>0.1029057025777895</v>
      </c>
      <c r="AP24" s="11">
        <v>2.28517154890964E-2</v>
      </c>
      <c r="AQ24" s="11">
        <v>0.21712720312806419</v>
      </c>
      <c r="AR24" s="11">
        <v>0.1708334061708256</v>
      </c>
      <c r="AS24" s="11">
        <v>3.2867737066227462E-3</v>
      </c>
      <c r="AT24" s="11">
        <v>0.15076897992568081</v>
      </c>
      <c r="AU24" s="11">
        <v>0.47705418724240228</v>
      </c>
      <c r="AV24" s="11">
        <v>0.24768466023032751</v>
      </c>
      <c r="AW24" s="11">
        <v>-0.14871095653144009</v>
      </c>
      <c r="AX24" s="11">
        <v>0.1114913369162155</v>
      </c>
      <c r="AY24" s="11">
        <v>0.16812729388488939</v>
      </c>
      <c r="AZ24" s="11">
        <v>0.11862372507117649</v>
      </c>
      <c r="BA24" s="11">
        <v>5.0491305412012258E-2</v>
      </c>
      <c r="BB24" s="11">
        <v>0.87270314910649027</v>
      </c>
      <c r="BC24" s="11">
        <v>-4.366869614383373E-3</v>
      </c>
      <c r="BD24" s="11">
        <v>1.8631034086863729E-2</v>
      </c>
      <c r="BE24" s="11">
        <v>-5.7380537985080138E-2</v>
      </c>
      <c r="BF24" s="11">
        <v>-6.4370420949463519E-2</v>
      </c>
      <c r="BG24" s="11">
        <v>-9.0984227707435611E-2</v>
      </c>
      <c r="BH24" s="11">
        <v>0.14767356525171971</v>
      </c>
      <c r="BI24" s="11">
        <v>0.2236291060700471</v>
      </c>
      <c r="BJ24" s="11">
        <v>0.19964003317045101</v>
      </c>
      <c r="BK24" s="11">
        <v>-3.4827647172774007E-2</v>
      </c>
      <c r="BL24" s="11">
        <v>0.1061069201511666</v>
      </c>
      <c r="BM24" s="11">
        <v>8.4782939838988242E-2</v>
      </c>
      <c r="BN24" s="11">
        <v>0.10891326031654749</v>
      </c>
      <c r="BO24" s="11">
        <v>-0.16110969109564191</v>
      </c>
      <c r="BP24" s="11">
        <v>3.1794104329889807E-2</v>
      </c>
      <c r="BQ24" s="11">
        <v>-6.4169633330115036E-2</v>
      </c>
      <c r="BR24" s="11">
        <v>9.8920889185241626E-2</v>
      </c>
      <c r="BS24" s="11">
        <v>-0.1216210365296066</v>
      </c>
      <c r="BT24" s="11">
        <v>0.27671901614020838</v>
      </c>
      <c r="BU24" s="11">
        <v>8.7484923148454363E-3</v>
      </c>
      <c r="BV24" s="11">
        <v>-4.625870574066291E-2</v>
      </c>
      <c r="BW24" s="11">
        <v>0.15102744542241939</v>
      </c>
      <c r="BX24" s="11">
        <v>-0.1039550340490914</v>
      </c>
      <c r="BY24" s="11">
        <v>0.11840823105030179</v>
      </c>
      <c r="BZ24" s="11">
        <v>0.25889289884999689</v>
      </c>
      <c r="CA24" s="11">
        <v>0.1152216807734147</v>
      </c>
      <c r="CB24" s="11">
        <v>0.639698133634515</v>
      </c>
      <c r="CC24" s="11">
        <v>-0.18246987988756161</v>
      </c>
      <c r="CD24" s="11">
        <v>0.14430631074219491</v>
      </c>
      <c r="CE24" s="11">
        <v>0.16556487399111461</v>
      </c>
      <c r="CF24" s="11">
        <v>0.2217213622453883</v>
      </c>
      <c r="CG24" s="11">
        <v>0.51996896607392207</v>
      </c>
      <c r="CH24" s="11">
        <v>0.35427729684250298</v>
      </c>
      <c r="CI24" s="11">
        <v>-0.3284518207092646</v>
      </c>
      <c r="CJ24" s="11">
        <v>-0.3001868935902553</v>
      </c>
      <c r="CK24" s="11">
        <v>0.32305926532838408</v>
      </c>
      <c r="CL24" s="11">
        <v>0.1417553333725407</v>
      </c>
      <c r="CM24" s="11">
        <v>0.63643326435951064</v>
      </c>
      <c r="CN24" s="11">
        <v>0.60967719726707426</v>
      </c>
      <c r="CO24" s="11">
        <v>0.45247744179045318</v>
      </c>
      <c r="CP24" s="11">
        <v>0.1603442048148421</v>
      </c>
      <c r="CQ24" s="11">
        <v>-0.1601896466275006</v>
      </c>
      <c r="CR24" s="11">
        <v>0.1377874560487031</v>
      </c>
      <c r="CS24" s="11">
        <v>0.1079742359390275</v>
      </c>
      <c r="CT24" s="11">
        <v>-0.1195443883358397</v>
      </c>
      <c r="CU24" s="11">
        <v>5.2729044813654813E-2</v>
      </c>
      <c r="CV24" s="11">
        <v>0.182864094907223</v>
      </c>
      <c r="CW24" s="11">
        <v>-0.234993215272846</v>
      </c>
      <c r="CX24" s="11">
        <v>5.5207193708687041E-2</v>
      </c>
      <c r="CY24" s="11">
        <v>0.32114775220674069</v>
      </c>
      <c r="CZ24" s="11">
        <v>0.11220662844456721</v>
      </c>
      <c r="DA24" s="11">
        <v>3.3979585092453302E-2</v>
      </c>
      <c r="DB24" s="11">
        <v>-1.6501865848996312E-2</v>
      </c>
      <c r="DC24" s="11">
        <v>0.19117575817053481</v>
      </c>
      <c r="DD24" s="11">
        <v>-0.19584472218244131</v>
      </c>
      <c r="DE24" s="11">
        <v>0.13158559129553279</v>
      </c>
      <c r="DF24" s="11">
        <v>0.52558500614449799</v>
      </c>
      <c r="DG24" s="11">
        <v>0.11954528640013271</v>
      </c>
      <c r="DH24" s="11">
        <v>0.26580267599251223</v>
      </c>
      <c r="DI24" s="11">
        <v>3.7184908274380812E-2</v>
      </c>
      <c r="DJ24" s="11">
        <v>0.2293698745310894</v>
      </c>
      <c r="DK24" s="11">
        <v>0.1196801812081898</v>
      </c>
      <c r="DL24" s="11">
        <v>6.1360513215416877E-2</v>
      </c>
      <c r="DM24" s="11">
        <v>-4.1344524506759309E-4</v>
      </c>
      <c r="DN24" s="11">
        <v>0.23333457077469619</v>
      </c>
      <c r="DO24" s="11">
        <v>0.1156119550234804</v>
      </c>
      <c r="DP24" s="11">
        <v>0.22357182348369681</v>
      </c>
      <c r="DQ24" s="11">
        <v>0.35907130209664839</v>
      </c>
      <c r="DR24" s="11">
        <v>-2.0515630212029241E-2</v>
      </c>
      <c r="DS24" s="11">
        <v>-6.7362545713944635E-2</v>
      </c>
      <c r="DT24" s="11">
        <v>-2.9435726388863388E-2</v>
      </c>
      <c r="DU24" s="11">
        <v>-2.1781395361230051E-2</v>
      </c>
      <c r="DV24" s="11">
        <v>0.1582246986438143</v>
      </c>
      <c r="DW24" s="11">
        <v>0.10118249665524411</v>
      </c>
      <c r="DX24" s="11">
        <v>0.31159312779250392</v>
      </c>
      <c r="DY24" s="11">
        <v>-3.239876608542996E-3</v>
      </c>
      <c r="DZ24" s="11">
        <v>-0.43350657873669168</v>
      </c>
      <c r="EA24" s="11">
        <v>-2.3171501846674901E-2</v>
      </c>
      <c r="EB24" s="11">
        <v>0.58969791699909047</v>
      </c>
      <c r="EC24" s="11">
        <v>-1.4309918770678909E-2</v>
      </c>
      <c r="ED24" s="11">
        <v>5.6172845298362112E-2</v>
      </c>
      <c r="EE24" s="11">
        <v>0.10748065723441801</v>
      </c>
      <c r="EF24" s="11">
        <v>0.13408707635021461</v>
      </c>
      <c r="EG24">
        <f t="shared" si="10"/>
        <v>15.015091275775166</v>
      </c>
      <c r="EH24" s="12">
        <f t="shared" si="11"/>
        <v>0.11105227014496233</v>
      </c>
    </row>
    <row r="26" spans="1:138" x14ac:dyDescent="0.3">
      <c r="A26" t="s">
        <v>147</v>
      </c>
      <c r="B26" t="s">
        <v>148</v>
      </c>
      <c r="C26" s="19">
        <v>-1.7399999999999999E-2</v>
      </c>
      <c r="D26" s="19">
        <v>2.07E-2</v>
      </c>
      <c r="E26" s="19">
        <v>2.4E-2</v>
      </c>
      <c r="F26" s="19">
        <v>-6.6E-3</v>
      </c>
      <c r="G26" s="19">
        <v>3.1800000000000002E-2</v>
      </c>
      <c r="H26" s="19">
        <v>3.4299999999999997E-2</v>
      </c>
      <c r="I26" s="19">
        <v>-8.3000000000000001E-3</v>
      </c>
      <c r="J26" s="19">
        <v>1.2800000000000001E-2</v>
      </c>
      <c r="K26" s="19">
        <v>-5.0999999999999997E-2</v>
      </c>
      <c r="L26" s="19">
        <v>8.9999999999999998E-4</v>
      </c>
      <c r="M26" s="19">
        <v>2.3400000000000001E-2</v>
      </c>
      <c r="N26" s="19">
        <v>1.2999999999999999E-2</v>
      </c>
      <c r="O26" s="19">
        <v>5.8999999999999999E-3</v>
      </c>
      <c r="P26" s="19">
        <v>2.7400000000000001E-2</v>
      </c>
      <c r="Q26" s="19">
        <v>-3.7000000000000002E-3</v>
      </c>
      <c r="R26" s="19">
        <v>2.41E-2</v>
      </c>
      <c r="S26" s="19">
        <v>-1.2200000000000001E-2</v>
      </c>
      <c r="T26" s="19">
        <v>-3.9699999999999999E-2</v>
      </c>
      <c r="U26" s="19">
        <v>-7.3200000000000001E-2</v>
      </c>
      <c r="V26" s="19">
        <v>-5.8299999999999998E-2</v>
      </c>
      <c r="W26" s="19">
        <v>8.0000000000000004E-4</v>
      </c>
      <c r="X26" s="19">
        <v>4.4600000000000001E-2</v>
      </c>
      <c r="Y26" s="19">
        <v>-2.7699999999999999E-2</v>
      </c>
      <c r="Z26" s="19">
        <v>2.0999999999999999E-3</v>
      </c>
      <c r="AA26" s="19">
        <v>-2.3400000000000001E-2</v>
      </c>
      <c r="AB26" s="19">
        <v>3.2099999999999997E-2</v>
      </c>
      <c r="AC26" s="19">
        <v>3.8899999999999997E-2</v>
      </c>
      <c r="AD26" s="19">
        <v>-4.2900000000000001E-2</v>
      </c>
      <c r="AE26" s="19">
        <v>1.8599999999999998E-2</v>
      </c>
      <c r="AF26" s="19">
        <v>1.52E-2</v>
      </c>
      <c r="AG26" s="19">
        <v>3.5999999999999997E-2</v>
      </c>
      <c r="AH26" s="19">
        <v>9.4000000000000004E-3</v>
      </c>
      <c r="AI26" s="19">
        <v>1.0699999999999999E-2</v>
      </c>
      <c r="AJ26" s="19">
        <v>1.34E-2</v>
      </c>
      <c r="AK26" s="19">
        <v>-5.3E-3</v>
      </c>
      <c r="AL26" s="19">
        <v>1.4E-3</v>
      </c>
      <c r="AM26" s="19">
        <v>2.0799999999999999E-2</v>
      </c>
      <c r="AN26" s="19">
        <v>3.15E-2</v>
      </c>
      <c r="AO26" s="19">
        <v>6.1999999999999998E-3</v>
      </c>
      <c r="AP26" s="19">
        <v>6.1000000000000004E-3</v>
      </c>
      <c r="AQ26" s="19">
        <v>1.6899999999999998E-2</v>
      </c>
      <c r="AR26" s="19">
        <v>3.4700000000000002E-2</v>
      </c>
      <c r="AS26" s="19">
        <v>3.0999999999999999E-3</v>
      </c>
      <c r="AT26" s="19">
        <v>1.5100000000000001E-2</v>
      </c>
      <c r="AU26" s="19">
        <v>-1.9300000000000001E-2</v>
      </c>
      <c r="AV26" s="19">
        <v>3.8699999999999998E-2</v>
      </c>
      <c r="AW26" s="19">
        <v>-2.1899999999999999E-2</v>
      </c>
      <c r="AX26" s="19">
        <v>7.7999999999999996E-3</v>
      </c>
      <c r="AY26" s="19">
        <v>4.24E-2</v>
      </c>
      <c r="AZ26" s="19">
        <v>-2.63E-2</v>
      </c>
      <c r="BA26" s="19">
        <v>9.5999999999999992E-3</v>
      </c>
      <c r="BB26" s="19">
        <v>-2.4199999999999999E-2</v>
      </c>
      <c r="BC26" s="19">
        <v>2.0199999999999999E-2</v>
      </c>
      <c r="BD26" s="19">
        <v>-3.5000000000000001E-3</v>
      </c>
      <c r="BE26" s="19">
        <v>2.0199999999999999E-2</v>
      </c>
      <c r="BF26" s="19">
        <v>5.9999999999999995E-4</v>
      </c>
      <c r="BG26" s="19">
        <v>-5.1999999999999998E-3</v>
      </c>
      <c r="BH26" s="19">
        <v>-0.1159</v>
      </c>
      <c r="BI26" s="19">
        <v>8.6999999999999994E-3</v>
      </c>
      <c r="BJ26" s="19">
        <v>-1.6400000000000001E-2</v>
      </c>
      <c r="BK26" s="19">
        <v>2.0799999999999999E-2</v>
      </c>
      <c r="BL26" s="19">
        <v>4.4999999999999998E-2</v>
      </c>
      <c r="BM26" s="19">
        <v>2.4E-2</v>
      </c>
      <c r="BN26" s="19">
        <v>3.0200000000000001E-2</v>
      </c>
      <c r="BO26" s="19">
        <v>-4.3700000000000003E-2</v>
      </c>
      <c r="BP26" s="19">
        <v>2.1899999999999999E-2</v>
      </c>
      <c r="BQ26" s="19">
        <v>8.6E-3</v>
      </c>
      <c r="BR26" s="19">
        <v>-1.9199999999999998E-2</v>
      </c>
      <c r="BS26" s="19">
        <v>1.9699999999999999E-2</v>
      </c>
      <c r="BT26" s="19">
        <v>4.7699999999999999E-2</v>
      </c>
      <c r="BU26" s="19">
        <v>1.15E-2</v>
      </c>
      <c r="BV26" s="19">
        <v>4.3200000000000002E-2</v>
      </c>
      <c r="BW26" s="19">
        <v>-4.2700000000000002E-2</v>
      </c>
      <c r="BX26" s="19">
        <v>-1.78E-2</v>
      </c>
      <c r="BY26" s="19">
        <v>-0.1512</v>
      </c>
      <c r="BZ26" s="19">
        <v>0.1242</v>
      </c>
      <c r="CA26" s="19">
        <v>-4.5999999999999999E-3</v>
      </c>
      <c r="CB26" s="19">
        <v>6.0199999999999997E-2</v>
      </c>
      <c r="CC26" s="19">
        <v>8.5999999999999993E-2</v>
      </c>
      <c r="CD26" s="19">
        <v>-5.7999999999999996E-3</v>
      </c>
      <c r="CE26" s="19">
        <v>-6.0000000000000001E-3</v>
      </c>
      <c r="CF26" s="19">
        <v>2.5000000000000001E-3</v>
      </c>
      <c r="CG26" s="19">
        <v>8.9599999999999999E-2</v>
      </c>
      <c r="CH26" s="19">
        <v>7.0999999999999994E-2</v>
      </c>
      <c r="CI26" s="19">
        <v>2.7199999999999998E-2</v>
      </c>
      <c r="CJ26" s="19">
        <v>5.2499999999999998E-2</v>
      </c>
      <c r="CK26" s="19">
        <v>2.9499999999999998E-2</v>
      </c>
      <c r="CL26" s="19">
        <v>6.6799999999999998E-2</v>
      </c>
      <c r="CM26" s="19">
        <v>-2.8799999999999999E-2</v>
      </c>
      <c r="CN26" s="19">
        <v>3.95E-2</v>
      </c>
      <c r="CO26" s="19">
        <v>-2.9000000000000001E-2</v>
      </c>
      <c r="CP26" s="19">
        <v>1.4E-2</v>
      </c>
      <c r="CQ26" s="19">
        <v>-3.2300000000000002E-2</v>
      </c>
      <c r="CR26" s="19">
        <v>3.0999999999999999E-3</v>
      </c>
      <c r="CS26" s="19">
        <v>2.5600000000000001E-2</v>
      </c>
      <c r="CT26" s="19">
        <v>4.4400000000000002E-2</v>
      </c>
      <c r="CU26" s="19">
        <v>-3.0300000000000001E-2</v>
      </c>
      <c r="CV26" s="19">
        <v>-1.2999999999999999E-3</v>
      </c>
      <c r="CW26" s="19">
        <v>2.3E-3</v>
      </c>
      <c r="CX26" s="19">
        <v>-6.4299999999999996E-2</v>
      </c>
      <c r="CY26" s="19">
        <v>1.29E-2</v>
      </c>
      <c r="CZ26" s="19">
        <v>-0.1255</v>
      </c>
      <c r="DA26" s="19">
        <v>1.17E-2</v>
      </c>
      <c r="DB26" s="19">
        <v>6.3E-3</v>
      </c>
      <c r="DC26" s="19">
        <v>-0.1173</v>
      </c>
      <c r="DD26" s="19">
        <v>-3.5999999999999997E-2</v>
      </c>
      <c r="DE26" s="19">
        <v>0.1389</v>
      </c>
      <c r="DF26" s="19">
        <v>-5.11E-2</v>
      </c>
      <c r="DG26" s="19">
        <v>7.6700000000000004E-2</v>
      </c>
      <c r="DH26" s="19">
        <v>1.55E-2</v>
      </c>
      <c r="DI26" s="19">
        <v>2.3199999999999998E-2</v>
      </c>
      <c r="DJ26" s="19">
        <v>-1.84E-2</v>
      </c>
      <c r="DK26" s="19">
        <v>6.2199999999999998E-2</v>
      </c>
      <c r="DL26" s="19">
        <v>2.01E-2</v>
      </c>
      <c r="DM26" s="19">
        <v>1.35E-2</v>
      </c>
      <c r="DN26" s="19">
        <v>-3.0300000000000001E-2</v>
      </c>
      <c r="DO26" s="19">
        <v>-1.7000000000000001E-2</v>
      </c>
      <c r="DP26" s="19">
        <v>-2.18E-2</v>
      </c>
      <c r="DQ26" s="19">
        <v>8.5699999999999998E-2</v>
      </c>
      <c r="DR26" s="19">
        <v>2.81E-2</v>
      </c>
      <c r="DS26" s="19">
        <v>-2.3E-3</v>
      </c>
      <c r="DT26" s="19">
        <v>5.8500000000000003E-2</v>
      </c>
      <c r="DU26" s="19">
        <v>6.7699999999999996E-2</v>
      </c>
      <c r="DV26" s="19">
        <v>5.0000000000000001E-3</v>
      </c>
      <c r="DW26" s="19">
        <v>3.7400000000000003E-2</v>
      </c>
      <c r="DX26" s="19">
        <v>8.4099999999999994E-2</v>
      </c>
      <c r="DY26" s="19">
        <v>-3.6799999999999999E-2</v>
      </c>
      <c r="DZ26" s="19">
        <v>3.0999999999999999E-3</v>
      </c>
      <c r="EA26" s="19">
        <v>-2E-3</v>
      </c>
      <c r="EB26" s="19">
        <v>2.6499999999999999E-2</v>
      </c>
      <c r="EC26" s="19">
        <v>-2.4799999999999999E-2</v>
      </c>
      <c r="ED26" s="19">
        <v>3.4099999999999998E-2</v>
      </c>
      <c r="EE26" s="19">
        <v>2.1100000000000001E-2</v>
      </c>
      <c r="EF26" s="19">
        <v>-2.0277393000000001E-2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G25"/>
  <sheetViews>
    <sheetView topLeftCell="A10" zoomScale="96" workbookViewId="0">
      <selection activeCell="A10" sqref="A1:XFD1048576"/>
    </sheetView>
  </sheetViews>
  <sheetFormatPr defaultRowHeight="15" x14ac:dyDescent="0.3"/>
  <sheetData>
    <row r="1" spans="1:137" x14ac:dyDescent="0.3">
      <c r="A1" t="s">
        <v>149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144</v>
      </c>
    </row>
    <row r="3" spans="1:137" x14ac:dyDescent="0.3">
      <c r="B3" s="1" t="s">
        <v>136</v>
      </c>
      <c r="C3" s="7">
        <v>7.8798868708971931E-2</v>
      </c>
      <c r="D3" s="7">
        <v>0.1797330866000155</v>
      </c>
      <c r="E3" s="7">
        <v>1.5489078774061971E-2</v>
      </c>
      <c r="F3" s="7">
        <v>-2.2168251176828441E-2</v>
      </c>
      <c r="G3" s="7">
        <v>-8.1037288150826448E-3</v>
      </c>
      <c r="H3" s="7">
        <v>-1.5401268795349249E-2</v>
      </c>
      <c r="I3" s="7">
        <v>-0.196765586355543</v>
      </c>
      <c r="J3" s="7">
        <v>0.27883034253821021</v>
      </c>
      <c r="K3" s="7">
        <v>-5.6931615083873344E-3</v>
      </c>
      <c r="L3" s="7">
        <v>-4.7889749224815682E-2</v>
      </c>
      <c r="M3" s="7">
        <v>-5.2700847804917073E-3</v>
      </c>
      <c r="N3" s="7">
        <v>-0.1910696506679144</v>
      </c>
      <c r="O3" s="7">
        <v>0.31084678168383018</v>
      </c>
      <c r="P3" s="7">
        <v>0.113770913143069</v>
      </c>
      <c r="Q3" s="7">
        <v>-0.12307050339382571</v>
      </c>
      <c r="R3" s="7">
        <v>-0.1125584938483795</v>
      </c>
      <c r="S3" s="7">
        <v>0.1046658927019708</v>
      </c>
      <c r="T3" s="7">
        <v>-0.14458476697667119</v>
      </c>
      <c r="U3" s="7">
        <v>-0.26280780822848671</v>
      </c>
      <c r="V3" s="7">
        <v>3.0188655456815931E-3</v>
      </c>
      <c r="W3" s="7">
        <v>0.13196040423464189</v>
      </c>
      <c r="X3" s="7">
        <v>-8.9415173838412076E-2</v>
      </c>
      <c r="Y3" s="7">
        <v>0.27906324575998881</v>
      </c>
      <c r="Z3" s="7">
        <v>0.1030897419422631</v>
      </c>
      <c r="AA3" s="7">
        <v>0.48637748963693123</v>
      </c>
      <c r="AB3" s="7">
        <v>-0.23481983175156351</v>
      </c>
      <c r="AC3" s="7">
        <v>1.209651139005685E-2</v>
      </c>
      <c r="AD3" s="7">
        <v>2.4631762383159009E-2</v>
      </c>
      <c r="AE3" s="7">
        <v>-5.6680955135345323E-3</v>
      </c>
      <c r="AF3" s="7">
        <v>-5.6269213313917182E-2</v>
      </c>
      <c r="AG3" s="7">
        <v>0.1224049331936681</v>
      </c>
      <c r="AH3" s="7">
        <v>4.3996774628333513E-2</v>
      </c>
      <c r="AI3" s="7">
        <v>0.16226838670026769</v>
      </c>
      <c r="AJ3" s="7">
        <v>6.8930166950288974E-2</v>
      </c>
      <c r="AK3" s="7">
        <v>8.7359955926435195E-2</v>
      </c>
      <c r="AL3" s="7">
        <v>0.1873807232887153</v>
      </c>
      <c r="AM3" s="7">
        <v>9.6837349683265961E-2</v>
      </c>
      <c r="AN3" s="7">
        <v>0.2075736584826228</v>
      </c>
      <c r="AO3" s="7">
        <v>0.1179758622033649</v>
      </c>
      <c r="AP3" s="7">
        <v>-2.8503518413618201E-2</v>
      </c>
      <c r="AQ3" s="7">
        <v>-0.2114396427417905</v>
      </c>
      <c r="AR3" s="7">
        <v>-3.2302566009505602E-2</v>
      </c>
      <c r="AS3" s="7">
        <v>0.14111009314114389</v>
      </c>
      <c r="AT3" s="7">
        <v>-3.480751243628416E-2</v>
      </c>
      <c r="AU3" s="7">
        <v>4.4456114444751893E-2</v>
      </c>
      <c r="AV3" s="7">
        <v>2.116273888563508E-2</v>
      </c>
      <c r="AW3" s="7">
        <v>-0.1741550037979904</v>
      </c>
      <c r="AX3" s="7">
        <v>7.6317816973352492E-2</v>
      </c>
      <c r="AY3" s="7">
        <v>9.0306432388433944E-3</v>
      </c>
      <c r="AZ3" s="7">
        <v>1.6638949885503629E-2</v>
      </c>
      <c r="BA3" s="7">
        <v>0.16049954912817649</v>
      </c>
      <c r="BB3" s="7">
        <v>-0.123740953293938</v>
      </c>
      <c r="BC3" s="7">
        <v>0.1567368975950931</v>
      </c>
      <c r="BD3" s="7">
        <v>0.16688346547535879</v>
      </c>
      <c r="BE3" s="7">
        <v>-0.13147229447438241</v>
      </c>
      <c r="BF3" s="7">
        <v>9.9500132775893202E-3</v>
      </c>
      <c r="BG3" s="7">
        <v>0.31531123716866039</v>
      </c>
      <c r="BH3" s="7">
        <v>0.27010117711850462</v>
      </c>
      <c r="BI3" s="7">
        <v>5.6315448743319063E-2</v>
      </c>
      <c r="BJ3" s="7">
        <v>-2.409816856997149E-3</v>
      </c>
      <c r="BK3" s="7">
        <v>7.9800375711835514E-2</v>
      </c>
      <c r="BL3" s="7">
        <v>-2.3392393936945088E-2</v>
      </c>
      <c r="BM3" s="7">
        <v>9.4008939681696324E-2</v>
      </c>
      <c r="BN3" s="7">
        <v>1.764390595780152E-2</v>
      </c>
      <c r="BO3" s="7">
        <v>-0.149287939972541</v>
      </c>
      <c r="BP3" s="7">
        <v>4.1225940656230857E-2</v>
      </c>
      <c r="BQ3" s="7">
        <v>-8.2741207352384993E-2</v>
      </c>
      <c r="BR3" s="7">
        <v>0.21346470331308601</v>
      </c>
      <c r="BS3" s="7">
        <v>-6.7985397750362997E-2</v>
      </c>
      <c r="BT3" s="7">
        <v>0.14435039701784511</v>
      </c>
      <c r="BU3" s="7">
        <v>0.1137793780847101</v>
      </c>
      <c r="BV3" s="7">
        <v>5.6009583131789156E-3</v>
      </c>
      <c r="BW3" s="7">
        <v>0.1131466357554793</v>
      </c>
      <c r="BX3" s="7">
        <v>-9.0571156630968819E-2</v>
      </c>
      <c r="BY3" s="7">
        <v>0.1185697363729489</v>
      </c>
      <c r="BZ3" s="7">
        <v>-0.14071284467671319</v>
      </c>
      <c r="CA3" s="7">
        <v>7.3472777058867567E-2</v>
      </c>
      <c r="CB3" s="7">
        <v>-0.1710256064919487</v>
      </c>
      <c r="CC3" s="7">
        <v>8.6731635966007636E-2</v>
      </c>
      <c r="CD3" s="7">
        <v>3.1267715866912023E-2</v>
      </c>
      <c r="CE3" s="7">
        <v>0.21879703659667429</v>
      </c>
      <c r="CF3" s="7">
        <v>-0.14159470736568711</v>
      </c>
      <c r="CG3" s="7">
        <v>9.9731607421901125E-2</v>
      </c>
      <c r="CH3" s="7">
        <v>4.5308069873117418E-2</v>
      </c>
      <c r="CI3" s="7">
        <v>8.9441140161070076E-2</v>
      </c>
      <c r="CJ3" s="7">
        <v>-0.39111281147264998</v>
      </c>
      <c r="CK3" s="7">
        <v>-0.1097911700085549</v>
      </c>
      <c r="CL3" s="7">
        <v>-4.3456184080796323E-2</v>
      </c>
      <c r="CM3" s="7">
        <v>0.18311247425732111</v>
      </c>
      <c r="CN3" s="7">
        <v>-0.39746167912504499</v>
      </c>
      <c r="CO3" s="7">
        <v>-9.6930225730283204E-2</v>
      </c>
      <c r="CP3" s="7">
        <v>-9.5682049872747255E-2</v>
      </c>
      <c r="CQ3" s="7">
        <v>0.1719749674179798</v>
      </c>
      <c r="CR3" s="7">
        <v>6.193948475943406E-2</v>
      </c>
      <c r="CS3" s="7">
        <v>-4.766403897443855E-2</v>
      </c>
      <c r="CT3" s="7">
        <v>-1.0473980040770331E-2</v>
      </c>
      <c r="CU3" s="7">
        <v>-3.4400594909697269E-2</v>
      </c>
      <c r="CV3" s="7">
        <v>-2.258422919649378E-2</v>
      </c>
      <c r="CW3" s="7">
        <v>3.9676013642423347E-2</v>
      </c>
      <c r="CX3" s="7">
        <v>-5.3904732790442063E-2</v>
      </c>
      <c r="CY3" s="7">
        <v>2.7221884648997659E-2</v>
      </c>
      <c r="CZ3" s="7">
        <v>9.887843547877545E-2</v>
      </c>
      <c r="DA3" s="7">
        <v>0.31254073484350059</v>
      </c>
      <c r="DB3" s="7">
        <v>-0.15564612733519101</v>
      </c>
      <c r="DC3" s="7">
        <v>-0.1869585274246745</v>
      </c>
      <c r="DD3" s="7">
        <v>-0.1685228634155537</v>
      </c>
      <c r="DE3" s="7">
        <v>0.167797614048632</v>
      </c>
      <c r="DF3" s="7">
        <v>-9.1638386466207117E-2</v>
      </c>
      <c r="DG3" s="7">
        <v>-7.5708963031610038E-2</v>
      </c>
      <c r="DH3" s="7">
        <v>7.7960520930383534E-3</v>
      </c>
      <c r="DI3" s="7">
        <v>-2.550037968045427E-3</v>
      </c>
      <c r="DJ3" s="7">
        <v>-6.8988362574604056E-2</v>
      </c>
      <c r="DK3" s="7">
        <v>4.6125318624910372E-2</v>
      </c>
      <c r="DL3" s="7">
        <v>-5.8337699674184812E-2</v>
      </c>
      <c r="DM3" s="7">
        <v>-7.0566061856034673E-2</v>
      </c>
      <c r="DN3" s="7">
        <v>2.8092871036590469E-2</v>
      </c>
      <c r="DO3" s="7">
        <v>-7.0883392118803512E-2</v>
      </c>
      <c r="DP3" s="7">
        <v>0.16113140194021491</v>
      </c>
      <c r="DQ3" s="7">
        <v>0.1547440050249741</v>
      </c>
      <c r="DR3" s="7">
        <v>-0.1074253347743111</v>
      </c>
      <c r="DS3" s="7">
        <v>0.1128417239921658</v>
      </c>
      <c r="DT3" s="7">
        <v>-9.1401515312696358E-2</v>
      </c>
      <c r="DU3" s="7">
        <v>-6.5441570505782948E-2</v>
      </c>
      <c r="DV3" s="7">
        <v>-7.3758705524151646E-2</v>
      </c>
      <c r="DW3" s="7">
        <v>6.6155769939567149E-2</v>
      </c>
      <c r="DX3" s="7">
        <v>6.9417132083775007E-2</v>
      </c>
      <c r="DY3" s="7">
        <v>-0.1029921683468592</v>
      </c>
      <c r="DZ3" s="7">
        <v>0.26391340422439702</v>
      </c>
      <c r="EA3" s="7">
        <v>-8.9759100562535832E-2</v>
      </c>
      <c r="EB3" s="7">
        <v>0.1943247699855464</v>
      </c>
      <c r="EC3" s="7">
        <v>-3.0097119912413432E-2</v>
      </c>
      <c r="ED3" s="7">
        <v>2.8618294955548351E-2</v>
      </c>
      <c r="EE3" s="7">
        <v>-8.7371804917649953E-2</v>
      </c>
      <c r="EF3" s="7">
        <v>-2.097644515945218E-2</v>
      </c>
      <c r="EG3" s="1"/>
    </row>
    <row r="4" spans="1:137" x14ac:dyDescent="0.3">
      <c r="B4" s="1" t="s">
        <v>137</v>
      </c>
      <c r="C4" s="7">
        <v>-0.20373737278850079</v>
      </c>
      <c r="D4" s="7">
        <v>-0.19625335237819111</v>
      </c>
      <c r="E4" s="7">
        <v>-0.25415940811056359</v>
      </c>
      <c r="F4" s="7">
        <v>4.6203751390931913E-2</v>
      </c>
      <c r="G4" s="7">
        <v>3.0789039449800271E-2</v>
      </c>
      <c r="H4" s="7">
        <v>-5.1609232396986122E-2</v>
      </c>
      <c r="I4" s="7">
        <v>1.151272534425374E-3</v>
      </c>
      <c r="J4" s="7">
        <v>4.8762634606076112E-2</v>
      </c>
      <c r="K4" s="7">
        <v>-0.1019817977011339</v>
      </c>
      <c r="L4" s="7">
        <v>-1.8321503973252721E-2</v>
      </c>
      <c r="M4" s="7">
        <v>-5.4833735050777932E-2</v>
      </c>
      <c r="N4" s="7">
        <v>-3.0149620485337539E-2</v>
      </c>
      <c r="O4" s="7">
        <v>-0.18672650958156109</v>
      </c>
      <c r="P4" s="7">
        <v>3.0188496442265841E-2</v>
      </c>
      <c r="Q4" s="7">
        <v>9.7889818288440011E-2</v>
      </c>
      <c r="R4" s="7">
        <v>-9.380784496339345E-2</v>
      </c>
      <c r="S4" s="7">
        <v>2.2756317670806329E-2</v>
      </c>
      <c r="T4" s="7">
        <v>7.3507175756873266E-2</v>
      </c>
      <c r="U4" s="7">
        <v>6.8550642870981449E-3</v>
      </c>
      <c r="V4" s="7">
        <v>-2.1638526708681379E-2</v>
      </c>
      <c r="W4" s="7">
        <v>-6.0385491305918748E-3</v>
      </c>
      <c r="X4" s="7">
        <v>-0.16973075948726549</v>
      </c>
      <c r="Y4" s="7">
        <v>-0.2336530995268635</v>
      </c>
      <c r="Z4" s="7">
        <v>-9.998148525383499E-3</v>
      </c>
      <c r="AA4" s="7">
        <v>-2.4349471614097951E-3</v>
      </c>
      <c r="AB4" s="7">
        <v>-0.16380781721638549</v>
      </c>
      <c r="AC4" s="7">
        <v>-6.5405588207859466E-2</v>
      </c>
      <c r="AD4" s="7">
        <v>-5.3691935268133761E-2</v>
      </c>
      <c r="AE4" s="7">
        <v>4.3446009950345747E-2</v>
      </c>
      <c r="AF4" s="7">
        <v>8.0856156973185378E-2</v>
      </c>
      <c r="AG4" s="7">
        <v>-0.1008200200700493</v>
      </c>
      <c r="AH4" s="7">
        <v>0.1185484902349838</v>
      </c>
      <c r="AI4" s="7">
        <v>-8.6917583432359891E-2</v>
      </c>
      <c r="AJ4" s="7">
        <v>-9.6714761437004526E-2</v>
      </c>
      <c r="AK4" s="7">
        <v>7.7115472579782463E-2</v>
      </c>
      <c r="AL4" s="7">
        <v>1.9375682024094228E-2</v>
      </c>
      <c r="AM4" s="7">
        <v>-6.6846435244087843E-3</v>
      </c>
      <c r="AN4" s="7">
        <v>1.143271994558326E-2</v>
      </c>
      <c r="AO4" s="7">
        <v>-4.4564575721720352E-2</v>
      </c>
      <c r="AP4" s="7">
        <v>7.9750638168698984E-2</v>
      </c>
      <c r="AQ4" s="7">
        <v>-9.0693006788388431E-2</v>
      </c>
      <c r="AR4" s="7">
        <v>0.1144314103616733</v>
      </c>
      <c r="AS4" s="7">
        <v>8.2295799616039389E-2</v>
      </c>
      <c r="AT4" s="7">
        <v>1.0311530981850231E-2</v>
      </c>
      <c r="AU4" s="7">
        <v>-3.3710155553132282E-2</v>
      </c>
      <c r="AV4" s="7">
        <v>-0.21769900369851489</v>
      </c>
      <c r="AW4" s="7">
        <v>5.245717031440833E-2</v>
      </c>
      <c r="AX4" s="7">
        <v>1.3927468226748729E-2</v>
      </c>
      <c r="AY4" s="7">
        <v>0.1050107086686278</v>
      </c>
      <c r="AZ4" s="7">
        <v>1.7528918973958699E-2</v>
      </c>
      <c r="BA4" s="7">
        <v>-0.15432648292571119</v>
      </c>
      <c r="BB4" s="7">
        <v>-0.25246377965845751</v>
      </c>
      <c r="BC4" s="7">
        <v>-0.14987217699416711</v>
      </c>
      <c r="BD4" s="7">
        <v>-2.2774061820067359E-2</v>
      </c>
      <c r="BE4" s="7">
        <v>-3.1425095001580423E-2</v>
      </c>
      <c r="BF4" s="7">
        <v>0.1232771881685419</v>
      </c>
      <c r="BG4" s="7">
        <v>-7.5330977107530117E-2</v>
      </c>
      <c r="BH4" s="7">
        <v>-6.4736813987872566E-2</v>
      </c>
      <c r="BI4" s="7">
        <v>1.821390966158987E-2</v>
      </c>
      <c r="BJ4" s="7">
        <v>-0.1508508871203755</v>
      </c>
      <c r="BK4" s="7">
        <v>-5.8953203032860557E-2</v>
      </c>
      <c r="BL4" s="7">
        <v>-4.7773781438463558E-2</v>
      </c>
      <c r="BM4" s="7">
        <v>2.034180601101987E-2</v>
      </c>
      <c r="BN4" s="7">
        <v>4.0714107422102692E-2</v>
      </c>
      <c r="BO4" s="7">
        <v>4.5214638741134287E-2</v>
      </c>
      <c r="BP4" s="7">
        <v>8.3627121253362802E-2</v>
      </c>
      <c r="BQ4" s="7">
        <v>3.0825396788037199E-2</v>
      </c>
      <c r="BR4" s="7">
        <v>-0.11545472065009039</v>
      </c>
      <c r="BS4" s="7">
        <v>-1.926452999418871E-2</v>
      </c>
      <c r="BT4" s="7">
        <v>-3.4111549917248851E-2</v>
      </c>
      <c r="BU4" s="7">
        <v>-4.5269937245304703E-2</v>
      </c>
      <c r="BV4" s="7">
        <v>0.17197266141593739</v>
      </c>
      <c r="BW4" s="7">
        <v>-0.10029050755647261</v>
      </c>
      <c r="BX4" s="7">
        <v>-6.8044962494687056E-2</v>
      </c>
      <c r="BY4" s="7">
        <v>-0.1826948620902353</v>
      </c>
      <c r="BZ4" s="7">
        <v>8.5574019762324482E-2</v>
      </c>
      <c r="CA4" s="7">
        <v>9.9907862663961566E-3</v>
      </c>
      <c r="CB4" s="7">
        <v>0.19801890737320349</v>
      </c>
      <c r="CC4" s="7">
        <v>-0.29446404903659129</v>
      </c>
      <c r="CD4" s="7">
        <v>-0.13184913857205419</v>
      </c>
      <c r="CE4" s="7">
        <v>-5.9049425825826063E-2</v>
      </c>
      <c r="CF4" s="7">
        <v>-0.11382074234660421</v>
      </c>
      <c r="CG4" s="7">
        <v>5.6476011311058727E-2</v>
      </c>
      <c r="CH4" s="7">
        <v>-4.7278812128794812E-3</v>
      </c>
      <c r="CI4" s="7">
        <v>8.4060042745477404E-2</v>
      </c>
      <c r="CJ4" s="7">
        <v>2.860589104349032E-2</v>
      </c>
      <c r="CK4" s="7">
        <v>-2.196015758338277E-2</v>
      </c>
      <c r="CL4" s="7">
        <v>-6.7870860352922335E-2</v>
      </c>
      <c r="CM4" s="7">
        <v>4.0070082430315068E-2</v>
      </c>
      <c r="CN4" s="7">
        <v>0.18816019391077179</v>
      </c>
      <c r="CO4" s="7">
        <v>2.367017674917093E-3</v>
      </c>
      <c r="CP4" s="7">
        <v>1.9450901205715351E-2</v>
      </c>
      <c r="CQ4" s="7">
        <v>-3.0616705499888042E-2</v>
      </c>
      <c r="CR4" s="7">
        <v>-0.28761057639089671</v>
      </c>
      <c r="CS4" s="7">
        <v>-0.27901111949972451</v>
      </c>
      <c r="CT4" s="7">
        <v>8.2166791936902683E-2</v>
      </c>
      <c r="CU4" s="7">
        <v>-0.1044948676458937</v>
      </c>
      <c r="CV4" s="7">
        <v>0.1117497704879042</v>
      </c>
      <c r="CW4" s="7">
        <v>-5.0011486829184548E-2</v>
      </c>
      <c r="CX4" s="7">
        <v>5.9209700317154557E-2</v>
      </c>
      <c r="CY4" s="7">
        <v>-0.17471118648177961</v>
      </c>
      <c r="CZ4" s="7">
        <v>-0.13109686697720241</v>
      </c>
      <c r="DA4" s="7">
        <v>-0.2203257151296327</v>
      </c>
      <c r="DB4" s="7">
        <v>-5.1224388631531781E-2</v>
      </c>
      <c r="DC4" s="7">
        <v>-0.14279358769975301</v>
      </c>
      <c r="DD4" s="7">
        <v>0.1020904846945818</v>
      </c>
      <c r="DE4" s="7">
        <v>4.4656291464193032E-2</v>
      </c>
      <c r="DF4" s="7">
        <v>5.6233135690451519E-2</v>
      </c>
      <c r="DG4" s="7">
        <v>-0.1416822717519004</v>
      </c>
      <c r="DH4" s="7">
        <v>0.15762567020768259</v>
      </c>
      <c r="DI4" s="7">
        <v>-6.2035901643650249E-2</v>
      </c>
      <c r="DJ4" s="7">
        <v>-0.1196792904639139</v>
      </c>
      <c r="DK4" s="7">
        <v>-0.1636929902628452</v>
      </c>
      <c r="DL4" s="7">
        <v>9.4429634312145794E-2</v>
      </c>
      <c r="DM4" s="7">
        <v>0.23372019522840051</v>
      </c>
      <c r="DN4" s="7">
        <v>7.3797400786563827E-2</v>
      </c>
      <c r="DO4" s="7">
        <v>-4.5812944635489572E-2</v>
      </c>
      <c r="DP4" s="7">
        <v>-6.8308325202590225E-2</v>
      </c>
      <c r="DQ4" s="7">
        <v>-0.16930629268172481</v>
      </c>
      <c r="DR4" s="7">
        <v>-0.1292436792863576</v>
      </c>
      <c r="DS4" s="7">
        <v>-7.3886793403296736E-2</v>
      </c>
      <c r="DT4" s="7">
        <v>-0.20370624475922131</v>
      </c>
      <c r="DU4" s="7">
        <v>-5.4891500526604631E-2</v>
      </c>
      <c r="DV4" s="7">
        <v>1.2036945748828741E-2</v>
      </c>
      <c r="DW4" s="7">
        <v>-6.1300239407735546E-3</v>
      </c>
      <c r="DX4" s="7">
        <v>-8.4900404469877344E-2</v>
      </c>
      <c r="DY4" s="7">
        <v>0.1000065013622802</v>
      </c>
      <c r="DZ4" s="7">
        <v>-0.1310602433648711</v>
      </c>
      <c r="EA4" s="7">
        <v>-0.1948807812701929</v>
      </c>
      <c r="EB4" s="7">
        <v>-0.31979832241280798</v>
      </c>
      <c r="EC4" s="7">
        <v>4.9837267550007169E-2</v>
      </c>
      <c r="ED4" s="7">
        <v>5.4627759739140913E-2</v>
      </c>
      <c r="EE4" s="7">
        <v>0.1200464788195035</v>
      </c>
      <c r="EF4" s="7">
        <v>0.24381115553913091</v>
      </c>
      <c r="EG4" s="1"/>
    </row>
    <row r="5" spans="1:137" x14ac:dyDescent="0.3">
      <c r="B5" s="1" t="s">
        <v>138</v>
      </c>
      <c r="C5" s="7">
        <v>-0.20935792122733929</v>
      </c>
      <c r="D5" s="7">
        <v>-0.1073627692333063</v>
      </c>
      <c r="E5" s="7">
        <v>0.52484760680152232</v>
      </c>
      <c r="F5" s="7">
        <v>4.6837059958046809E-2</v>
      </c>
      <c r="G5" s="7">
        <v>-0.2104714261735883</v>
      </c>
      <c r="H5" s="7">
        <v>0.4744149628629204</v>
      </c>
      <c r="I5" s="7">
        <v>0.14678498763585299</v>
      </c>
      <c r="J5" s="7">
        <v>-5.6231752728838222E-2</v>
      </c>
      <c r="K5" s="7">
        <v>0.27552845629080469</v>
      </c>
      <c r="L5" s="7">
        <v>-0.43004286310886081</v>
      </c>
      <c r="M5" s="7">
        <v>0.32376774959305898</v>
      </c>
      <c r="N5" s="7">
        <v>-0.34824165047033961</v>
      </c>
      <c r="O5" s="7">
        <v>-9.7528911512976074E-2</v>
      </c>
      <c r="P5" s="7">
        <v>0.39546612391174241</v>
      </c>
      <c r="Q5" s="7">
        <v>4.8467491330228173E-2</v>
      </c>
      <c r="R5" s="7">
        <v>-9.8851331549351315E-2</v>
      </c>
      <c r="S5" s="7">
        <v>0.3057921371194337</v>
      </c>
      <c r="T5" s="7">
        <v>7.2071946189346189E-2</v>
      </c>
      <c r="U5" s="7">
        <v>-4.7890408561752917E-4</v>
      </c>
      <c r="V5" s="7">
        <v>-0.13936695356286269</v>
      </c>
      <c r="W5" s="7">
        <v>-0.39469012652483237</v>
      </c>
      <c r="X5" s="7">
        <v>-0.12947787244850251</v>
      </c>
      <c r="Y5" s="7">
        <v>-0.68127295831176804</v>
      </c>
      <c r="Z5" s="7">
        <v>-4.1720386960932424E-3</v>
      </c>
      <c r="AA5" s="7">
        <v>1.8198047382592619E-2</v>
      </c>
      <c r="AB5" s="7">
        <v>0.20112165888415301</v>
      </c>
      <c r="AC5" s="7">
        <v>-8.9163225286403025E-2</v>
      </c>
      <c r="AD5" s="7">
        <v>0.14514145822358679</v>
      </c>
      <c r="AE5" s="7">
        <v>7.4669147590605167E-2</v>
      </c>
      <c r="AF5" s="7">
        <v>0.17577042279847119</v>
      </c>
      <c r="AG5" s="7">
        <v>-0.30336041259100399</v>
      </c>
      <c r="AH5" s="7">
        <v>-0.3482499081721625</v>
      </c>
      <c r="AI5" s="7">
        <v>0.25872371710226461</v>
      </c>
      <c r="AJ5" s="7">
        <v>-0.48889196953357</v>
      </c>
      <c r="AK5" s="7">
        <v>0.13254842946584691</v>
      </c>
      <c r="AL5" s="7">
        <v>-2.3789775596635129E-2</v>
      </c>
      <c r="AM5" s="7">
        <v>1.17524054827144E-2</v>
      </c>
      <c r="AN5" s="7">
        <v>-7.4933432869098024E-2</v>
      </c>
      <c r="AO5" s="7">
        <v>0.1844633194704077</v>
      </c>
      <c r="AP5" s="7">
        <v>3.2348031051998787E-2</v>
      </c>
      <c r="AQ5" s="7">
        <v>0.1511984265546954</v>
      </c>
      <c r="AR5" s="7">
        <v>-9.5283109587288514E-2</v>
      </c>
      <c r="AS5" s="7">
        <v>-0.1260043749729467</v>
      </c>
      <c r="AT5" s="7">
        <v>0.1516447920969482</v>
      </c>
      <c r="AU5" s="7">
        <v>-0.20083705233961571</v>
      </c>
      <c r="AV5" s="7">
        <v>7.890636801828628E-2</v>
      </c>
      <c r="AW5" s="7">
        <v>6.7935762483271878E-4</v>
      </c>
      <c r="AX5" s="7">
        <v>0.1122931240608864</v>
      </c>
      <c r="AY5" s="7">
        <v>-0.118056117907044</v>
      </c>
      <c r="AZ5" s="7">
        <v>0.20621977214253931</v>
      </c>
      <c r="BA5" s="7">
        <v>-3.9691918773370187E-2</v>
      </c>
      <c r="BB5" s="7">
        <v>8.2995939761629778E-2</v>
      </c>
      <c r="BC5" s="7">
        <v>-0.13000542995066139</v>
      </c>
      <c r="BD5" s="7">
        <v>-0.1063161628626854</v>
      </c>
      <c r="BE5" s="7">
        <v>0.1159333959862182</v>
      </c>
      <c r="BF5" s="7">
        <v>-0.28526227318364472</v>
      </c>
      <c r="BG5" s="7">
        <v>-0.15093334040887121</v>
      </c>
      <c r="BH5" s="7">
        <v>2.919940093087194E-3</v>
      </c>
      <c r="BI5" s="7">
        <v>5.812657406460206E-2</v>
      </c>
      <c r="BJ5" s="7">
        <v>-0.25986983403483388</v>
      </c>
      <c r="BK5" s="7">
        <v>0.18487944696901781</v>
      </c>
      <c r="BL5" s="7">
        <v>-0.26913172790454543</v>
      </c>
      <c r="BM5" s="7">
        <v>0.1717381908649544</v>
      </c>
      <c r="BN5" s="7">
        <v>-0.18092216130584951</v>
      </c>
      <c r="BO5" s="7">
        <v>-6.3203737577877367E-2</v>
      </c>
      <c r="BP5" s="7">
        <v>7.1867500126512024E-2</v>
      </c>
      <c r="BQ5" s="7">
        <v>-0.16861046240236999</v>
      </c>
      <c r="BR5" s="7">
        <v>-2.5447831594333319E-2</v>
      </c>
      <c r="BS5" s="7">
        <v>0.1244241075337672</v>
      </c>
      <c r="BT5" s="7">
        <v>0.20772231279415901</v>
      </c>
      <c r="BU5" s="7">
        <v>-6.0051294436158628E-2</v>
      </c>
      <c r="BV5" s="7">
        <v>-5.1700003009333508E-2</v>
      </c>
      <c r="BW5" s="7">
        <v>-0.1268015683060742</v>
      </c>
      <c r="BX5" s="7">
        <v>-0.10582029087279909</v>
      </c>
      <c r="BY5" s="7">
        <v>5.3607320437496067E-2</v>
      </c>
      <c r="BZ5" s="7">
        <v>-3.4479447424122608E-2</v>
      </c>
      <c r="CA5" s="7">
        <v>-2.0066210971329639E-2</v>
      </c>
      <c r="CB5" s="7">
        <v>8.4589606751002688E-2</v>
      </c>
      <c r="CC5" s="7">
        <v>-0.1103836570393476</v>
      </c>
      <c r="CD5" s="7">
        <v>0.32742328506094998</v>
      </c>
      <c r="CE5" s="7">
        <v>-1.486719718236725E-2</v>
      </c>
      <c r="CF5" s="7">
        <v>-0.14937324914413941</v>
      </c>
      <c r="CG5" s="7">
        <v>0.16320028060313421</v>
      </c>
      <c r="CH5" s="7">
        <v>-6.9038325074175663E-2</v>
      </c>
      <c r="CI5" s="7">
        <v>-0.11536214708505139</v>
      </c>
      <c r="CJ5" s="7">
        <v>-0.26301723908525793</v>
      </c>
      <c r="CK5" s="7">
        <v>0.37897350211797709</v>
      </c>
      <c r="CL5" s="7">
        <v>-7.6383453932209341E-2</v>
      </c>
      <c r="CM5" s="7">
        <v>4.2833444041791832E-2</v>
      </c>
      <c r="CN5" s="7">
        <v>-0.15161552738072651</v>
      </c>
      <c r="CO5" s="7">
        <v>0.43716796518582229</v>
      </c>
      <c r="CP5" s="7">
        <v>-4.1833927507883796E-3</v>
      </c>
      <c r="CQ5" s="7">
        <v>-0.49935244279872992</v>
      </c>
      <c r="CR5" s="7">
        <v>0.3398570382696095</v>
      </c>
      <c r="CS5" s="7">
        <v>-0.18988696947799641</v>
      </c>
      <c r="CT5" s="7">
        <v>0.2246197528310597</v>
      </c>
      <c r="CU5" s="7">
        <v>-0.25171771168640761</v>
      </c>
      <c r="CV5" s="7">
        <v>-6.0587944319075937E-2</v>
      </c>
      <c r="CW5" s="7">
        <v>0.2108770628752098</v>
      </c>
      <c r="CX5" s="7">
        <v>0.25016150139728283</v>
      </c>
      <c r="CY5" s="7">
        <v>-0.52413353929587791</v>
      </c>
      <c r="CZ5" s="7">
        <v>0.8216183061041753</v>
      </c>
      <c r="DA5" s="7">
        <v>-0.17652298417539669</v>
      </c>
      <c r="DB5" s="7">
        <v>0.13115957739194459</v>
      </c>
      <c r="DC5" s="7">
        <v>0.1757366545058428</v>
      </c>
      <c r="DD5" s="7">
        <v>-0.42083892435479142</v>
      </c>
      <c r="DE5" s="7">
        <v>-0.2279724207651195</v>
      </c>
      <c r="DF5" s="7">
        <v>-0.33715973842927388</v>
      </c>
      <c r="DG5" s="7">
        <v>-0.44400370439279008</v>
      </c>
      <c r="DH5" s="7">
        <v>-4.293279443633978E-2</v>
      </c>
      <c r="DI5" s="7">
        <v>0.30896916307249689</v>
      </c>
      <c r="DJ5" s="7">
        <v>-0.28669247758290828</v>
      </c>
      <c r="DK5" s="7">
        <v>0.84621248517861269</v>
      </c>
      <c r="DL5" s="7">
        <v>-0.16924034367306559</v>
      </c>
      <c r="DM5" s="7">
        <v>-0.43945016692248923</v>
      </c>
      <c r="DN5" s="7">
        <v>0.74751336560070059</v>
      </c>
      <c r="DO5" s="7">
        <v>-0.39996426308914668</v>
      </c>
      <c r="DP5" s="7">
        <v>-4.4863264481034962E-2</v>
      </c>
      <c r="DQ5" s="7">
        <v>-0.58863430244229409</v>
      </c>
      <c r="DR5" s="7">
        <v>-6.5627469319089037E-3</v>
      </c>
      <c r="DS5" s="7">
        <v>-0.19878519438361211</v>
      </c>
      <c r="DT5" s="7">
        <v>0.4132117833889476</v>
      </c>
      <c r="DU5" s="7">
        <v>-0.17065403209770361</v>
      </c>
      <c r="DV5" s="7">
        <v>0.68828031734213269</v>
      </c>
      <c r="DW5" s="7">
        <v>4.0806005098273937E-2</v>
      </c>
      <c r="DX5" s="7">
        <v>-0.1999347157162332</v>
      </c>
      <c r="DY5" s="7">
        <v>0.56631420698904078</v>
      </c>
      <c r="DZ5" s="7">
        <v>0.47362880432099852</v>
      </c>
      <c r="EA5" s="7">
        <v>9.5444977871898054E-2</v>
      </c>
      <c r="EB5" s="7">
        <v>-1.076360940060376</v>
      </c>
      <c r="EC5" s="7">
        <v>-0.13610628648279391</v>
      </c>
      <c r="ED5" s="7">
        <v>-0.27349656344743889</v>
      </c>
      <c r="EE5" s="7">
        <v>0.60134859370029736</v>
      </c>
      <c r="EF5" s="7">
        <v>6.7468790588863341E-3</v>
      </c>
      <c r="EG5" s="1"/>
    </row>
    <row r="6" spans="1:137" x14ac:dyDescent="0.3">
      <c r="A6" s="22" t="s">
        <v>139</v>
      </c>
      <c r="B6" s="23"/>
      <c r="C6" s="7">
        <f t="array" ref="C6">MATCH(MAX(ABS(C3:C5)), ABS(C3:C5), 0)</f>
        <v>3</v>
      </c>
      <c r="D6" s="7">
        <f t="array" ref="D6">MATCH(MAX(ABS(D3:D5)), ABS(D3:D5), 0)</f>
        <v>2</v>
      </c>
      <c r="E6" s="7">
        <f t="array" ref="E6">MATCH(MAX(ABS(E3:E5)), ABS(E3:E5), 0)</f>
        <v>3</v>
      </c>
      <c r="F6" s="7">
        <f t="array" ref="F6">MATCH(MAX(ABS(F3:F5)), ABS(F3:F5), 0)</f>
        <v>3</v>
      </c>
      <c r="G6" s="7">
        <f t="array" ref="G6">MATCH(MAX(ABS(G3:G5)), ABS(G3:G5), 0)</f>
        <v>3</v>
      </c>
      <c r="H6" s="7">
        <f t="array" ref="H6">MATCH(MAX(ABS(H3:H5)), ABS(H3:H5), 0)</f>
        <v>3</v>
      </c>
      <c r="I6" s="7">
        <f t="array" ref="I6">MATCH(MAX(ABS(I3:I5)), ABS(I3:I5), 0)</f>
        <v>1</v>
      </c>
      <c r="J6" s="7">
        <f t="array" ref="J6">MATCH(MAX(ABS(J3:J5)), ABS(J3:J5), 0)</f>
        <v>1</v>
      </c>
      <c r="K6" s="7">
        <f t="array" ref="K6">MATCH(MAX(ABS(K3:K5)), ABS(K3:K5), 0)</f>
        <v>3</v>
      </c>
      <c r="L6" s="7">
        <f t="array" ref="L6">MATCH(MAX(ABS(L3:L5)), ABS(L3:L5), 0)</f>
        <v>3</v>
      </c>
      <c r="M6" s="7">
        <f t="array" ref="M6">MATCH(MAX(ABS(M3:M5)), ABS(M3:M5), 0)</f>
        <v>3</v>
      </c>
      <c r="N6" s="7">
        <f t="array" ref="N6">MATCH(MAX(ABS(N3:N5)), ABS(N3:N5), 0)</f>
        <v>3</v>
      </c>
      <c r="O6" s="7">
        <f t="array" ref="O6">MATCH(MAX(ABS(O3:O5)), ABS(O3:O5), 0)</f>
        <v>1</v>
      </c>
      <c r="P6" s="7">
        <f t="array" ref="P6">MATCH(MAX(ABS(P3:P5)), ABS(P3:P5), 0)</f>
        <v>3</v>
      </c>
      <c r="Q6" s="7">
        <f t="array" ref="Q6">MATCH(MAX(ABS(Q3:Q5)), ABS(Q3:Q5), 0)</f>
        <v>1</v>
      </c>
      <c r="R6" s="7">
        <f t="array" ref="R6">MATCH(MAX(ABS(R3:R5)), ABS(R3:R5), 0)</f>
        <v>1</v>
      </c>
      <c r="S6" s="7">
        <f t="array" ref="S6">MATCH(MAX(ABS(S3:S5)), ABS(S3:S5), 0)</f>
        <v>3</v>
      </c>
      <c r="T6" s="7">
        <f t="array" ref="T6">MATCH(MAX(ABS(T3:T5)), ABS(T3:T5), 0)</f>
        <v>1</v>
      </c>
      <c r="U6" s="7">
        <f t="array" ref="U6">MATCH(MAX(ABS(U3:U5)), ABS(U3:U5), 0)</f>
        <v>1</v>
      </c>
      <c r="V6" s="7">
        <f t="array" ref="V6">MATCH(MAX(ABS(V3:V5)), ABS(V3:V5), 0)</f>
        <v>3</v>
      </c>
      <c r="W6" s="7">
        <f t="array" ref="W6">MATCH(MAX(ABS(W3:W5)), ABS(W3:W5), 0)</f>
        <v>3</v>
      </c>
      <c r="X6" s="7">
        <f t="array" ref="X6">MATCH(MAX(ABS(X3:X5)), ABS(X3:X5), 0)</f>
        <v>2</v>
      </c>
      <c r="Y6" s="7">
        <f t="array" ref="Y6">MATCH(MAX(ABS(Y3:Y5)), ABS(Y3:Y5), 0)</f>
        <v>3</v>
      </c>
      <c r="Z6" s="7">
        <f t="array" ref="Z6">MATCH(MAX(ABS(Z3:Z5)), ABS(Z3:Z5), 0)</f>
        <v>1</v>
      </c>
      <c r="AA6" s="7">
        <f t="array" ref="AA6">MATCH(MAX(ABS(AA3:AA5)), ABS(AA3:AA5), 0)</f>
        <v>1</v>
      </c>
      <c r="AB6" s="7">
        <f t="array" ref="AB6">MATCH(MAX(ABS(AB3:AB5)), ABS(AB3:AB5), 0)</f>
        <v>1</v>
      </c>
      <c r="AC6" s="7">
        <f t="array" ref="AC6">MATCH(MAX(ABS(AC3:AC5)), ABS(AC3:AC5), 0)</f>
        <v>3</v>
      </c>
      <c r="AD6" s="7">
        <f t="array" ref="AD6">MATCH(MAX(ABS(AD3:AD5)), ABS(AD3:AD5), 0)</f>
        <v>3</v>
      </c>
      <c r="AE6" s="7">
        <f t="array" ref="AE6">MATCH(MAX(ABS(AE3:AE5)), ABS(AE3:AE5), 0)</f>
        <v>3</v>
      </c>
      <c r="AF6" s="7">
        <f t="array" ref="AF6">MATCH(MAX(ABS(AF3:AF5)), ABS(AF3:AF5), 0)</f>
        <v>3</v>
      </c>
      <c r="AG6" s="7">
        <f t="array" ref="AG6">MATCH(MAX(ABS(AG3:AG5)), ABS(AG3:AG5), 0)</f>
        <v>3</v>
      </c>
      <c r="AH6" s="7">
        <f t="array" ref="AH6">MATCH(MAX(ABS(AH3:AH5)), ABS(AH3:AH5), 0)</f>
        <v>3</v>
      </c>
      <c r="AI6" s="7">
        <f t="array" ref="AI6">MATCH(MAX(ABS(AI3:AI5)), ABS(AI3:AI5), 0)</f>
        <v>3</v>
      </c>
      <c r="AJ6" s="7">
        <f t="array" ref="AJ6">MATCH(MAX(ABS(AJ3:AJ5)), ABS(AJ3:AJ5), 0)</f>
        <v>3</v>
      </c>
      <c r="AK6" s="7">
        <f t="array" ref="AK6">MATCH(MAX(ABS(AK3:AK5)), ABS(AK3:AK5), 0)</f>
        <v>3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3</v>
      </c>
      <c r="AP6" s="7">
        <f t="array" ref="AP6">MATCH(MAX(ABS(AP3:AP5)), ABS(AP3:AP5), 0)</f>
        <v>2</v>
      </c>
      <c r="AQ6" s="7">
        <f t="array" ref="AQ6">MATCH(MAX(ABS(AQ3:AQ5)), ABS(AQ3:AQ5), 0)</f>
        <v>1</v>
      </c>
      <c r="AR6" s="7">
        <f t="array" ref="AR6">MATCH(MAX(ABS(AR3:AR5)), ABS(AR3:AR5), 0)</f>
        <v>2</v>
      </c>
      <c r="AS6" s="7">
        <f t="array" ref="AS6">MATCH(MAX(ABS(AS3:AS5)), ABS(AS3:AS5), 0)</f>
        <v>1</v>
      </c>
      <c r="AT6" s="7">
        <f t="array" ref="AT6">MATCH(MAX(ABS(AT3:AT5)), ABS(AT3:AT5), 0)</f>
        <v>3</v>
      </c>
      <c r="AU6" s="7">
        <f t="array" ref="AU6">MATCH(MAX(ABS(AU3:AU5)), ABS(AU3:AU5), 0)</f>
        <v>3</v>
      </c>
      <c r="AV6" s="7">
        <f t="array" ref="AV6">MATCH(MAX(ABS(AV3:AV5)), ABS(AV3:AV5), 0)</f>
        <v>2</v>
      </c>
      <c r="AW6" s="7">
        <f t="array" ref="AW6">MATCH(MAX(ABS(AW3:AW5)), ABS(AW3:AW5), 0)</f>
        <v>1</v>
      </c>
      <c r="AX6" s="7">
        <f t="array" ref="AX6">MATCH(MAX(ABS(AX3:AX5)), ABS(AX3:AX5), 0)</f>
        <v>3</v>
      </c>
      <c r="AY6" s="7">
        <f t="array" ref="AY6">MATCH(MAX(ABS(AY3:AY5)), ABS(AY3:AY5), 0)</f>
        <v>3</v>
      </c>
      <c r="AZ6" s="7">
        <f t="array" ref="AZ6">MATCH(MAX(ABS(AZ3:AZ5)), ABS(AZ3:AZ5), 0)</f>
        <v>3</v>
      </c>
      <c r="BA6" s="7">
        <f t="array" ref="BA6">MATCH(MAX(ABS(BA3:BA5)), ABS(BA3:BA5), 0)</f>
        <v>1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3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3</v>
      </c>
      <c r="BJ6" s="7">
        <f t="array" ref="BJ6">MATCH(MAX(ABS(BJ3:BJ5)), ABS(BJ3:BJ5), 0)</f>
        <v>3</v>
      </c>
      <c r="BK6" s="7">
        <f t="array" ref="BK6">MATCH(MAX(ABS(BK3:BK5)), ABS(BK3:BK5), 0)</f>
        <v>3</v>
      </c>
      <c r="BL6" s="7">
        <f t="array" ref="BL6">MATCH(MAX(ABS(BL3:BL5)), ABS(BL3:BL5), 0)</f>
        <v>3</v>
      </c>
      <c r="BM6" s="7">
        <f t="array" ref="BM6">MATCH(MAX(ABS(BM3:BM5)), ABS(BM3:BM5), 0)</f>
        <v>3</v>
      </c>
      <c r="BN6" s="7">
        <f t="array" ref="BN6">MATCH(MAX(ABS(BN3:BN5)), ABS(BN3:BN5), 0)</f>
        <v>3</v>
      </c>
      <c r="BO6" s="7">
        <f t="array" ref="BO6">MATCH(MAX(ABS(BO3:BO5)), ABS(BO3:BO5), 0)</f>
        <v>1</v>
      </c>
      <c r="BP6" s="7">
        <f t="array" ref="BP6">MATCH(MAX(ABS(BP3:BP5)), ABS(BP3:BP5), 0)</f>
        <v>2</v>
      </c>
      <c r="BQ6" s="7">
        <f t="array" ref="BQ6">MATCH(MAX(ABS(BQ3:BQ5)), ABS(BQ3:BQ5), 0)</f>
        <v>3</v>
      </c>
      <c r="BR6" s="7">
        <f t="array" ref="BR6">MATCH(MAX(ABS(BR3:BR5)), ABS(BR3:BR5), 0)</f>
        <v>1</v>
      </c>
      <c r="BS6" s="7">
        <f t="array" ref="BS6">MATCH(MAX(ABS(BS3:BS5)), ABS(BS3:BS5), 0)</f>
        <v>3</v>
      </c>
      <c r="BT6" s="7">
        <f t="array" ref="BT6">MATCH(MAX(ABS(BT3:BT5)), ABS(BT3:BT5), 0)</f>
        <v>3</v>
      </c>
      <c r="BU6" s="7">
        <f t="array" ref="BU6">MATCH(MAX(ABS(BU3:BU5)), ABS(BU3:BU5), 0)</f>
        <v>1</v>
      </c>
      <c r="BV6" s="7">
        <f t="array" ref="BV6">MATCH(MAX(ABS(BV3:BV5)), ABS(BV3:BV5), 0)</f>
        <v>2</v>
      </c>
      <c r="BW6" s="7">
        <f t="array" ref="BW6">MATCH(MAX(ABS(BW3:BW5)), ABS(BW3:BW5), 0)</f>
        <v>3</v>
      </c>
      <c r="BX6" s="7">
        <f t="array" ref="BX6">MATCH(MAX(ABS(BX3:BX5)), ABS(BX3:BX5), 0)</f>
        <v>3</v>
      </c>
      <c r="BY6" s="7">
        <f t="array" ref="BY6">MATCH(MAX(ABS(BY3:BY5)), ABS(BY3:BY5), 0)</f>
        <v>2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2</v>
      </c>
      <c r="CC6" s="7">
        <f t="array" ref="CC6">MATCH(MAX(ABS(CC3:CC5)), ABS(CC3:CC5), 0)</f>
        <v>2</v>
      </c>
      <c r="CD6" s="7">
        <f t="array" ref="CD6">MATCH(MAX(ABS(CD3:CD5)), ABS(CD3:CD5), 0)</f>
        <v>3</v>
      </c>
      <c r="CE6" s="7">
        <f t="array" ref="CE6">MATCH(MAX(ABS(CE3:CE5)), ABS(CE3:CE5), 0)</f>
        <v>1</v>
      </c>
      <c r="CF6" s="7">
        <f t="array" ref="CF6">MATCH(MAX(ABS(CF3:CF5)), ABS(CF3:CF5), 0)</f>
        <v>3</v>
      </c>
      <c r="CG6" s="7">
        <f t="array" ref="CG6">MATCH(MAX(ABS(CG3:CG5)), ABS(CG3:CG5), 0)</f>
        <v>3</v>
      </c>
      <c r="CH6" s="7">
        <f t="array" ref="CH6">MATCH(MAX(ABS(CH3:CH5)), ABS(CH3:CH5), 0)</f>
        <v>3</v>
      </c>
      <c r="CI6" s="7">
        <f t="array" ref="CI6">MATCH(MAX(ABS(CI3:CI5)), ABS(CI3:CI5), 0)</f>
        <v>3</v>
      </c>
      <c r="CJ6" s="7">
        <f t="array" ref="CJ6">MATCH(MAX(ABS(CJ3:CJ5)), ABS(CJ3:CJ5), 0)</f>
        <v>1</v>
      </c>
      <c r="CK6" s="7">
        <f t="array" ref="CK6">MATCH(MAX(ABS(CK3:CK5)), ABS(CK3:CK5), 0)</f>
        <v>3</v>
      </c>
      <c r="CL6" s="7">
        <f t="array" ref="CL6">MATCH(MAX(ABS(CL3:CL5)), ABS(CL3:CL5), 0)</f>
        <v>3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3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3</v>
      </c>
      <c r="CS6" s="7">
        <f t="array" ref="CS6">MATCH(MAX(ABS(CS3:CS5)), ABS(CS3:CS5), 0)</f>
        <v>2</v>
      </c>
      <c r="CT6" s="7">
        <f t="array" ref="CT6">MATCH(MAX(ABS(CT3:CT5)), ABS(CT3:CT5), 0)</f>
        <v>3</v>
      </c>
      <c r="CU6" s="7">
        <f t="array" ref="CU6">MATCH(MAX(ABS(CU3:CU5)), ABS(CU3:CU5), 0)</f>
        <v>3</v>
      </c>
      <c r="CV6" s="7">
        <f t="array" ref="CV6">MATCH(MAX(ABS(CV3:CV5)), ABS(CV3:CV5), 0)</f>
        <v>2</v>
      </c>
      <c r="CW6" s="7">
        <f t="array" ref="CW6">MATCH(MAX(ABS(CW3:CW5)), ABS(CW3:CW5), 0)</f>
        <v>3</v>
      </c>
      <c r="CX6" s="7">
        <f t="array" ref="CX6">MATCH(MAX(ABS(CX3:CX5)), ABS(CX3:CX5), 0)</f>
        <v>3</v>
      </c>
      <c r="CY6" s="7">
        <f t="array" ref="CY6">MATCH(MAX(ABS(CY3:CY5)), ABS(CY3:CY5), 0)</f>
        <v>3</v>
      </c>
      <c r="CZ6" s="7">
        <f t="array" ref="CZ6">MATCH(MAX(ABS(CZ3:CZ5)), ABS(CZ3:CZ5), 0)</f>
        <v>3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1</v>
      </c>
      <c r="DD6" s="7">
        <f t="array" ref="DD6">MATCH(MAX(ABS(DD3:DD5)), ABS(DD3:DD5), 0)</f>
        <v>3</v>
      </c>
      <c r="DE6" s="7">
        <f t="array" ref="DE6">MATCH(MAX(ABS(DE3:DE5)), ABS(DE3:DE5), 0)</f>
        <v>3</v>
      </c>
      <c r="DF6" s="7">
        <f t="array" ref="DF6">MATCH(MAX(ABS(DF3:DF5)), ABS(DF3:DF5), 0)</f>
        <v>3</v>
      </c>
      <c r="DG6" s="7">
        <f t="array" ref="DG6">MATCH(MAX(ABS(DG3:DG5)), ABS(DG3:DG5), 0)</f>
        <v>3</v>
      </c>
      <c r="DH6" s="7">
        <f t="array" ref="DH6">MATCH(MAX(ABS(DH3:DH5)), ABS(DH3:DH5), 0)</f>
        <v>2</v>
      </c>
      <c r="DI6" s="7">
        <f t="array" ref="DI6">MATCH(MAX(ABS(DI3:DI5)), ABS(DI3:DI5), 0)</f>
        <v>3</v>
      </c>
      <c r="DJ6" s="7">
        <f t="array" ref="DJ6">MATCH(MAX(ABS(DJ3:DJ5)), ABS(DJ3:DJ5), 0)</f>
        <v>3</v>
      </c>
      <c r="DK6" s="7">
        <f t="array" ref="DK6">MATCH(MAX(ABS(DK3:DK5)), ABS(DK3:DK5), 0)</f>
        <v>3</v>
      </c>
      <c r="DL6" s="7">
        <f t="array" ref="DL6">MATCH(MAX(ABS(DL3:DL5)), ABS(DL3:DL5), 0)</f>
        <v>3</v>
      </c>
      <c r="DM6" s="7">
        <f t="array" ref="DM6">MATCH(MAX(ABS(DM3:DM5)), ABS(DM3:DM5), 0)</f>
        <v>3</v>
      </c>
      <c r="DN6" s="7">
        <f t="array" ref="DN6">MATCH(MAX(ABS(DN3:DN5)), ABS(DN3:DN5), 0)</f>
        <v>3</v>
      </c>
      <c r="DO6" s="7">
        <f t="array" ref="DO6">MATCH(MAX(ABS(DO3:DO5)), ABS(DO3:DO5), 0)</f>
        <v>3</v>
      </c>
      <c r="DP6" s="7">
        <f t="array" ref="DP6">MATCH(MAX(ABS(DP3:DP5)), ABS(DP3:DP5), 0)</f>
        <v>1</v>
      </c>
      <c r="DQ6" s="7">
        <f t="array" ref="DQ6">MATCH(MAX(ABS(DQ3:DQ5)), ABS(DQ3:DQ5), 0)</f>
        <v>3</v>
      </c>
      <c r="DR6" s="7">
        <f t="array" ref="DR6">MATCH(MAX(ABS(DR3:DR5)), ABS(DR3:DR5), 0)</f>
        <v>2</v>
      </c>
      <c r="DS6" s="7">
        <f t="array" ref="DS6">MATCH(MAX(ABS(DS3:DS5)), ABS(DS3:DS5), 0)</f>
        <v>3</v>
      </c>
      <c r="DT6" s="7">
        <f t="array" ref="DT6">MATCH(MAX(ABS(DT3:DT5)), ABS(DT3:DT5), 0)</f>
        <v>3</v>
      </c>
      <c r="DU6" s="7">
        <f t="array" ref="DU6">MATCH(MAX(ABS(DU3:DU5)), ABS(DU3:DU5), 0)</f>
        <v>3</v>
      </c>
      <c r="DV6" s="7">
        <f t="array" ref="DV6">MATCH(MAX(ABS(DV3:DV5)), ABS(DV3:DV5), 0)</f>
        <v>3</v>
      </c>
      <c r="DW6" s="7">
        <f t="array" ref="DW6">MATCH(MAX(ABS(DW3:DW5)), ABS(DW3:DW5), 0)</f>
        <v>1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3</v>
      </c>
      <c r="EC6" s="7">
        <f t="array" ref="EC6">MATCH(MAX(ABS(EC3:EC5)), ABS(EC3:EC5), 0)</f>
        <v>3</v>
      </c>
      <c r="ED6" s="7">
        <f t="array" ref="ED6">MATCH(MAX(ABS(ED3:ED5)), ABS(ED3:ED5), 0)</f>
        <v>3</v>
      </c>
      <c r="EE6" s="7">
        <f t="array" ref="EE6">MATCH(MAX(ABS(EE3:EE5)), ABS(EE3:EE5), 0)</f>
        <v>3</v>
      </c>
      <c r="EF6" s="7">
        <f t="array" ref="EF6">MATCH(MAX(ABS(EF3:EF5)), ABS(EF3:EF5), 0)</f>
        <v>2</v>
      </c>
      <c r="EG6" s="1">
        <f t="array" ref="EG6">MATCH(MAX(ABS(EG3:EG5)), ABS(EG3:EG5), 0)</f>
        <v>1</v>
      </c>
    </row>
    <row r="7" spans="1:137" x14ac:dyDescent="0.3">
      <c r="C7" s="7" t="str">
        <f t="shared" ref="C7:AH7" si="0">IF(C6=1,"bm",IF(C6=2,"size",IF(C6=3,"mom")))</f>
        <v>mom</v>
      </c>
      <c r="D7" s="7" t="str">
        <f t="shared" si="0"/>
        <v>size</v>
      </c>
      <c r="E7" s="7" t="str">
        <f t="shared" si="0"/>
        <v>mom</v>
      </c>
      <c r="F7" s="7" t="str">
        <f t="shared" si="0"/>
        <v>mom</v>
      </c>
      <c r="G7" s="7" t="str">
        <f t="shared" si="0"/>
        <v>mom</v>
      </c>
      <c r="H7" s="7" t="str">
        <f t="shared" si="0"/>
        <v>mom</v>
      </c>
      <c r="I7" s="7" t="str">
        <f t="shared" si="0"/>
        <v>bm</v>
      </c>
      <c r="J7" s="7" t="str">
        <f t="shared" si="0"/>
        <v>bm</v>
      </c>
      <c r="K7" s="7" t="str">
        <f t="shared" si="0"/>
        <v>mom</v>
      </c>
      <c r="L7" s="7" t="str">
        <f t="shared" si="0"/>
        <v>mom</v>
      </c>
      <c r="M7" s="7" t="str">
        <f t="shared" si="0"/>
        <v>mom</v>
      </c>
      <c r="N7" s="7" t="str">
        <f t="shared" si="0"/>
        <v>mom</v>
      </c>
      <c r="O7" s="7" t="str">
        <f t="shared" si="0"/>
        <v>bm</v>
      </c>
      <c r="P7" s="7" t="str">
        <f t="shared" si="0"/>
        <v>mom</v>
      </c>
      <c r="Q7" s="7" t="str">
        <f t="shared" si="0"/>
        <v>bm</v>
      </c>
      <c r="R7" s="7" t="str">
        <f t="shared" si="0"/>
        <v>bm</v>
      </c>
      <c r="S7" s="7" t="str">
        <f t="shared" si="0"/>
        <v>mom</v>
      </c>
      <c r="T7" s="7" t="str">
        <f t="shared" si="0"/>
        <v>bm</v>
      </c>
      <c r="U7" s="7" t="str">
        <f t="shared" si="0"/>
        <v>bm</v>
      </c>
      <c r="V7" s="7" t="str">
        <f t="shared" si="0"/>
        <v>mom</v>
      </c>
      <c r="W7" s="7" t="str">
        <f t="shared" si="0"/>
        <v>mom</v>
      </c>
      <c r="X7" s="7" t="str">
        <f t="shared" si="0"/>
        <v>size</v>
      </c>
      <c r="Y7" s="7" t="str">
        <f t="shared" si="0"/>
        <v>mom</v>
      </c>
      <c r="Z7" s="7" t="str">
        <f t="shared" si="0"/>
        <v>bm</v>
      </c>
      <c r="AA7" s="7" t="str">
        <f t="shared" si="0"/>
        <v>bm</v>
      </c>
      <c r="AB7" s="7" t="str">
        <f t="shared" si="0"/>
        <v>bm</v>
      </c>
      <c r="AC7" s="7" t="str">
        <f t="shared" si="0"/>
        <v>mom</v>
      </c>
      <c r="AD7" s="7" t="str">
        <f t="shared" si="0"/>
        <v>mom</v>
      </c>
      <c r="AE7" s="7" t="str">
        <f t="shared" si="0"/>
        <v>mom</v>
      </c>
      <c r="AF7" s="7" t="str">
        <f t="shared" si="0"/>
        <v>mom</v>
      </c>
      <c r="AG7" s="7" t="str">
        <f t="shared" si="0"/>
        <v>mom</v>
      </c>
      <c r="AH7" s="7" t="str">
        <f t="shared" si="0"/>
        <v>mom</v>
      </c>
      <c r="AI7" s="7" t="str">
        <f t="shared" ref="AI7:BN7" si="1">IF(AI6=1,"bm",IF(AI6=2,"size",IF(AI6=3,"mom")))</f>
        <v>mom</v>
      </c>
      <c r="AJ7" s="7" t="str">
        <f t="shared" si="1"/>
        <v>mom</v>
      </c>
      <c r="AK7" s="7" t="str">
        <f t="shared" si="1"/>
        <v>mom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mom</v>
      </c>
      <c r="AP7" s="7" t="str">
        <f t="shared" si="1"/>
        <v>size</v>
      </c>
      <c r="AQ7" s="7" t="str">
        <f t="shared" si="1"/>
        <v>bm</v>
      </c>
      <c r="AR7" s="7" t="str">
        <f t="shared" si="1"/>
        <v>size</v>
      </c>
      <c r="AS7" s="7" t="str">
        <f t="shared" si="1"/>
        <v>bm</v>
      </c>
      <c r="AT7" s="7" t="str">
        <f t="shared" si="1"/>
        <v>mom</v>
      </c>
      <c r="AU7" s="7" t="str">
        <f t="shared" si="1"/>
        <v>mom</v>
      </c>
      <c r="AV7" s="7" t="str">
        <f t="shared" si="1"/>
        <v>size</v>
      </c>
      <c r="AW7" s="7" t="str">
        <f t="shared" si="1"/>
        <v>bm</v>
      </c>
      <c r="AX7" s="7" t="str">
        <f t="shared" si="1"/>
        <v>mom</v>
      </c>
      <c r="AY7" s="7" t="str">
        <f t="shared" si="1"/>
        <v>mom</v>
      </c>
      <c r="AZ7" s="7" t="str">
        <f t="shared" si="1"/>
        <v>mom</v>
      </c>
      <c r="BA7" s="7" t="str">
        <f t="shared" si="1"/>
        <v>bm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mom</v>
      </c>
      <c r="BG7" s="7" t="str">
        <f t="shared" si="1"/>
        <v>bm</v>
      </c>
      <c r="BH7" s="7" t="str">
        <f t="shared" si="1"/>
        <v>bm</v>
      </c>
      <c r="BI7" s="7" t="str">
        <f t="shared" si="1"/>
        <v>mom</v>
      </c>
      <c r="BJ7" s="7" t="str">
        <f t="shared" si="1"/>
        <v>mom</v>
      </c>
      <c r="BK7" s="7" t="str">
        <f t="shared" si="1"/>
        <v>mom</v>
      </c>
      <c r="BL7" s="7" t="str">
        <f t="shared" si="1"/>
        <v>mom</v>
      </c>
      <c r="BM7" s="7" t="str">
        <f t="shared" si="1"/>
        <v>mom</v>
      </c>
      <c r="BN7" s="7" t="str">
        <f t="shared" si="1"/>
        <v>mom</v>
      </c>
      <c r="BO7" s="7" t="str">
        <f t="shared" ref="BO7:CT7" si="2">IF(BO6=1,"bm",IF(BO6=2,"size",IF(BO6=3,"mom")))</f>
        <v>bm</v>
      </c>
      <c r="BP7" s="7" t="str">
        <f t="shared" si="2"/>
        <v>size</v>
      </c>
      <c r="BQ7" s="7" t="str">
        <f t="shared" si="2"/>
        <v>mom</v>
      </c>
      <c r="BR7" s="7" t="str">
        <f t="shared" si="2"/>
        <v>bm</v>
      </c>
      <c r="BS7" s="7" t="str">
        <f t="shared" si="2"/>
        <v>mom</v>
      </c>
      <c r="BT7" s="7" t="str">
        <f t="shared" si="2"/>
        <v>mom</v>
      </c>
      <c r="BU7" s="7" t="str">
        <f t="shared" si="2"/>
        <v>bm</v>
      </c>
      <c r="BV7" s="7" t="str">
        <f t="shared" si="2"/>
        <v>size</v>
      </c>
      <c r="BW7" s="7" t="str">
        <f t="shared" si="2"/>
        <v>mom</v>
      </c>
      <c r="BX7" s="7" t="str">
        <f t="shared" si="2"/>
        <v>mom</v>
      </c>
      <c r="BY7" s="7" t="str">
        <f t="shared" si="2"/>
        <v>size</v>
      </c>
      <c r="BZ7" s="7" t="str">
        <f t="shared" si="2"/>
        <v>bm</v>
      </c>
      <c r="CA7" s="7" t="str">
        <f t="shared" si="2"/>
        <v>bm</v>
      </c>
      <c r="CB7" s="7" t="str">
        <f t="shared" si="2"/>
        <v>size</v>
      </c>
      <c r="CC7" s="7" t="str">
        <f t="shared" si="2"/>
        <v>size</v>
      </c>
      <c r="CD7" s="7" t="str">
        <f t="shared" si="2"/>
        <v>mom</v>
      </c>
      <c r="CE7" s="7" t="str">
        <f t="shared" si="2"/>
        <v>bm</v>
      </c>
      <c r="CF7" s="7" t="str">
        <f t="shared" si="2"/>
        <v>mom</v>
      </c>
      <c r="CG7" s="7" t="str">
        <f t="shared" si="2"/>
        <v>mom</v>
      </c>
      <c r="CH7" s="7" t="str">
        <f t="shared" si="2"/>
        <v>mom</v>
      </c>
      <c r="CI7" s="7" t="str">
        <f t="shared" si="2"/>
        <v>mom</v>
      </c>
      <c r="CJ7" s="7" t="str">
        <f t="shared" si="2"/>
        <v>bm</v>
      </c>
      <c r="CK7" s="7" t="str">
        <f t="shared" si="2"/>
        <v>mom</v>
      </c>
      <c r="CL7" s="7" t="str">
        <f t="shared" si="2"/>
        <v>mom</v>
      </c>
      <c r="CM7" s="7" t="str">
        <f t="shared" si="2"/>
        <v>bm</v>
      </c>
      <c r="CN7" s="7" t="str">
        <f t="shared" si="2"/>
        <v>bm</v>
      </c>
      <c r="CO7" s="7" t="str">
        <f t="shared" si="2"/>
        <v>mom</v>
      </c>
      <c r="CP7" s="7" t="str">
        <f t="shared" si="2"/>
        <v>bm</v>
      </c>
      <c r="CQ7" s="7" t="str">
        <f t="shared" si="2"/>
        <v>mom</v>
      </c>
      <c r="CR7" s="7" t="str">
        <f t="shared" si="2"/>
        <v>mom</v>
      </c>
      <c r="CS7" s="7" t="str">
        <f t="shared" si="2"/>
        <v>size</v>
      </c>
      <c r="CT7" s="7" t="str">
        <f t="shared" si="2"/>
        <v>mom</v>
      </c>
      <c r="CU7" s="7" t="str">
        <f t="shared" ref="CU7:DZ7" si="3">IF(CU6=1,"bm",IF(CU6=2,"size",IF(CU6=3,"mom")))</f>
        <v>mom</v>
      </c>
      <c r="CV7" s="7" t="str">
        <f t="shared" si="3"/>
        <v>size</v>
      </c>
      <c r="CW7" s="7" t="str">
        <f t="shared" si="3"/>
        <v>mom</v>
      </c>
      <c r="CX7" s="7" t="str">
        <f t="shared" si="3"/>
        <v>mom</v>
      </c>
      <c r="CY7" s="7" t="str">
        <f t="shared" si="3"/>
        <v>mom</v>
      </c>
      <c r="CZ7" s="7" t="str">
        <f t="shared" si="3"/>
        <v>mom</v>
      </c>
      <c r="DA7" s="7" t="str">
        <f t="shared" si="3"/>
        <v>bm</v>
      </c>
      <c r="DB7" s="7" t="str">
        <f t="shared" si="3"/>
        <v>bm</v>
      </c>
      <c r="DC7" s="7" t="str">
        <f t="shared" si="3"/>
        <v>bm</v>
      </c>
      <c r="DD7" s="7" t="str">
        <f t="shared" si="3"/>
        <v>mom</v>
      </c>
      <c r="DE7" s="7" t="str">
        <f t="shared" si="3"/>
        <v>mom</v>
      </c>
      <c r="DF7" s="7" t="str">
        <f t="shared" si="3"/>
        <v>mom</v>
      </c>
      <c r="DG7" s="7" t="str">
        <f t="shared" si="3"/>
        <v>mom</v>
      </c>
      <c r="DH7" s="7" t="str">
        <f t="shared" si="3"/>
        <v>size</v>
      </c>
      <c r="DI7" s="7" t="str">
        <f t="shared" si="3"/>
        <v>mom</v>
      </c>
      <c r="DJ7" s="7" t="str">
        <f t="shared" si="3"/>
        <v>mom</v>
      </c>
      <c r="DK7" s="7" t="str">
        <f t="shared" si="3"/>
        <v>mom</v>
      </c>
      <c r="DL7" s="7" t="str">
        <f t="shared" si="3"/>
        <v>mom</v>
      </c>
      <c r="DM7" s="7" t="str">
        <f t="shared" si="3"/>
        <v>mom</v>
      </c>
      <c r="DN7" s="7" t="str">
        <f t="shared" si="3"/>
        <v>mom</v>
      </c>
      <c r="DO7" s="7" t="str">
        <f t="shared" si="3"/>
        <v>mom</v>
      </c>
      <c r="DP7" s="7" t="str">
        <f t="shared" si="3"/>
        <v>bm</v>
      </c>
      <c r="DQ7" s="7" t="str">
        <f t="shared" si="3"/>
        <v>mom</v>
      </c>
      <c r="DR7" s="7" t="str">
        <f t="shared" si="3"/>
        <v>size</v>
      </c>
      <c r="DS7" s="7" t="str">
        <f t="shared" si="3"/>
        <v>mom</v>
      </c>
      <c r="DT7" s="7" t="str">
        <f t="shared" si="3"/>
        <v>mom</v>
      </c>
      <c r="DU7" s="7" t="str">
        <f t="shared" si="3"/>
        <v>mom</v>
      </c>
      <c r="DV7" s="7" t="str">
        <f t="shared" si="3"/>
        <v>mom</v>
      </c>
      <c r="DW7" s="7" t="str">
        <f t="shared" si="3"/>
        <v>bm</v>
      </c>
      <c r="DX7" s="7" t="str">
        <f t="shared" si="3"/>
        <v>mom</v>
      </c>
      <c r="DY7" s="7" t="str">
        <f t="shared" si="3"/>
        <v>mom</v>
      </c>
      <c r="DZ7" s="7" t="str">
        <f t="shared" si="3"/>
        <v>mom</v>
      </c>
      <c r="EA7" s="7" t="str">
        <f t="shared" ref="EA7:EG7" si="4">IF(EA6=1,"bm",IF(EA6=2,"size",IF(EA6=3,"mom")))</f>
        <v>size</v>
      </c>
      <c r="EB7" s="7" t="str">
        <f t="shared" si="4"/>
        <v>mom</v>
      </c>
      <c r="EC7" s="7" t="str">
        <f t="shared" si="4"/>
        <v>mom</v>
      </c>
      <c r="ED7" s="7" t="str">
        <f t="shared" si="4"/>
        <v>mom</v>
      </c>
      <c r="EE7" s="7" t="str">
        <f t="shared" si="4"/>
        <v>mom</v>
      </c>
      <c r="EF7" s="7" t="str">
        <f t="shared" si="4"/>
        <v>size</v>
      </c>
      <c r="EG7" s="1" t="str">
        <f t="shared" si="4"/>
        <v>bm</v>
      </c>
    </row>
    <row r="8" spans="1:137" x14ac:dyDescent="0.3">
      <c r="C8" s="7">
        <f t="shared" ref="C8:AH8" si="5">IF(C6=1,C3,IF(C6=2,C4,IF(C6=3,C5)))</f>
        <v>-0.20935792122733929</v>
      </c>
      <c r="D8" s="7">
        <f t="shared" si="5"/>
        <v>-0.19625335237819111</v>
      </c>
      <c r="E8" s="7">
        <f t="shared" si="5"/>
        <v>0.52484760680152232</v>
      </c>
      <c r="F8" s="7">
        <f t="shared" si="5"/>
        <v>4.6837059958046809E-2</v>
      </c>
      <c r="G8" s="7">
        <f t="shared" si="5"/>
        <v>-0.2104714261735883</v>
      </c>
      <c r="H8" s="7">
        <f t="shared" si="5"/>
        <v>0.4744149628629204</v>
      </c>
      <c r="I8" s="7">
        <f t="shared" si="5"/>
        <v>-0.196765586355543</v>
      </c>
      <c r="J8" s="7">
        <f t="shared" si="5"/>
        <v>0.27883034253821021</v>
      </c>
      <c r="K8" s="7">
        <f t="shared" si="5"/>
        <v>0.27552845629080469</v>
      </c>
      <c r="L8" s="7">
        <f t="shared" si="5"/>
        <v>-0.43004286310886081</v>
      </c>
      <c r="M8" s="7">
        <f t="shared" si="5"/>
        <v>0.32376774959305898</v>
      </c>
      <c r="N8" s="7">
        <f t="shared" si="5"/>
        <v>-0.34824165047033961</v>
      </c>
      <c r="O8" s="7">
        <f t="shared" si="5"/>
        <v>0.31084678168383018</v>
      </c>
      <c r="P8" s="7">
        <f t="shared" si="5"/>
        <v>0.39546612391174241</v>
      </c>
      <c r="Q8" s="7">
        <f t="shared" si="5"/>
        <v>-0.12307050339382571</v>
      </c>
      <c r="R8" s="7">
        <f t="shared" si="5"/>
        <v>-0.1125584938483795</v>
      </c>
      <c r="S8" s="7">
        <f t="shared" si="5"/>
        <v>0.3057921371194337</v>
      </c>
      <c r="T8" s="7">
        <f t="shared" si="5"/>
        <v>-0.14458476697667119</v>
      </c>
      <c r="U8" s="7">
        <f t="shared" si="5"/>
        <v>-0.26280780822848671</v>
      </c>
      <c r="V8" s="7">
        <f t="shared" si="5"/>
        <v>-0.13936695356286269</v>
      </c>
      <c r="W8" s="7">
        <f t="shared" si="5"/>
        <v>-0.39469012652483237</v>
      </c>
      <c r="X8" s="7">
        <f t="shared" si="5"/>
        <v>-0.16973075948726549</v>
      </c>
      <c r="Y8" s="7">
        <f t="shared" si="5"/>
        <v>-0.68127295831176804</v>
      </c>
      <c r="Z8" s="7">
        <f t="shared" si="5"/>
        <v>0.1030897419422631</v>
      </c>
      <c r="AA8" s="7">
        <f t="shared" si="5"/>
        <v>0.48637748963693123</v>
      </c>
      <c r="AB8" s="7">
        <f t="shared" si="5"/>
        <v>-0.23481983175156351</v>
      </c>
      <c r="AC8" s="7">
        <f t="shared" si="5"/>
        <v>-8.9163225286403025E-2</v>
      </c>
      <c r="AD8" s="7">
        <f t="shared" si="5"/>
        <v>0.14514145822358679</v>
      </c>
      <c r="AE8" s="7">
        <f t="shared" si="5"/>
        <v>7.4669147590605167E-2</v>
      </c>
      <c r="AF8" s="7">
        <f t="shared" si="5"/>
        <v>0.17577042279847119</v>
      </c>
      <c r="AG8" s="7">
        <f t="shared" si="5"/>
        <v>-0.30336041259100399</v>
      </c>
      <c r="AH8" s="7">
        <f t="shared" si="5"/>
        <v>-0.3482499081721625</v>
      </c>
      <c r="AI8" s="7">
        <f t="shared" ref="AI8:BN8" si="6">IF(AI6=1,AI3,IF(AI6=2,AI4,IF(AI6=3,AI5)))</f>
        <v>0.25872371710226461</v>
      </c>
      <c r="AJ8" s="7">
        <f t="shared" si="6"/>
        <v>-0.48889196953357</v>
      </c>
      <c r="AK8" s="7">
        <f t="shared" si="6"/>
        <v>0.13254842946584691</v>
      </c>
      <c r="AL8" s="7">
        <f t="shared" si="6"/>
        <v>0.1873807232887153</v>
      </c>
      <c r="AM8" s="7">
        <f t="shared" si="6"/>
        <v>9.6837349683265961E-2</v>
      </c>
      <c r="AN8" s="7">
        <f t="shared" si="6"/>
        <v>0.2075736584826228</v>
      </c>
      <c r="AO8" s="7">
        <f t="shared" si="6"/>
        <v>0.1844633194704077</v>
      </c>
      <c r="AP8" s="7">
        <f t="shared" si="6"/>
        <v>7.9750638168698984E-2</v>
      </c>
      <c r="AQ8" s="7">
        <f t="shared" si="6"/>
        <v>-0.2114396427417905</v>
      </c>
      <c r="AR8" s="7">
        <f t="shared" si="6"/>
        <v>0.1144314103616733</v>
      </c>
      <c r="AS8" s="7">
        <f t="shared" si="6"/>
        <v>0.14111009314114389</v>
      </c>
      <c r="AT8" s="7">
        <f t="shared" si="6"/>
        <v>0.1516447920969482</v>
      </c>
      <c r="AU8" s="7">
        <f t="shared" si="6"/>
        <v>-0.20083705233961571</v>
      </c>
      <c r="AV8" s="7">
        <f t="shared" si="6"/>
        <v>-0.21769900369851489</v>
      </c>
      <c r="AW8" s="7">
        <f t="shared" si="6"/>
        <v>-0.1741550037979904</v>
      </c>
      <c r="AX8" s="7">
        <f t="shared" si="6"/>
        <v>0.1122931240608864</v>
      </c>
      <c r="AY8" s="7">
        <f t="shared" si="6"/>
        <v>-0.118056117907044</v>
      </c>
      <c r="AZ8" s="7">
        <f t="shared" si="6"/>
        <v>0.20621977214253931</v>
      </c>
      <c r="BA8" s="7">
        <f t="shared" si="6"/>
        <v>0.16049954912817649</v>
      </c>
      <c r="BB8" s="7">
        <f t="shared" si="6"/>
        <v>-0.25246377965845751</v>
      </c>
      <c r="BC8" s="7">
        <f t="shared" si="6"/>
        <v>0.1567368975950931</v>
      </c>
      <c r="BD8" s="7">
        <f t="shared" si="6"/>
        <v>0.16688346547535879</v>
      </c>
      <c r="BE8" s="7">
        <f t="shared" si="6"/>
        <v>-0.13147229447438241</v>
      </c>
      <c r="BF8" s="7">
        <f t="shared" si="6"/>
        <v>-0.28526227318364472</v>
      </c>
      <c r="BG8" s="7">
        <f t="shared" si="6"/>
        <v>0.31531123716866039</v>
      </c>
      <c r="BH8" s="7">
        <f t="shared" si="6"/>
        <v>0.27010117711850462</v>
      </c>
      <c r="BI8" s="7">
        <f t="shared" si="6"/>
        <v>5.812657406460206E-2</v>
      </c>
      <c r="BJ8" s="7">
        <f t="shared" si="6"/>
        <v>-0.25986983403483388</v>
      </c>
      <c r="BK8" s="7">
        <f t="shared" si="6"/>
        <v>0.18487944696901781</v>
      </c>
      <c r="BL8" s="7">
        <f t="shared" si="6"/>
        <v>-0.26913172790454543</v>
      </c>
      <c r="BM8" s="7">
        <f t="shared" si="6"/>
        <v>0.1717381908649544</v>
      </c>
      <c r="BN8" s="7">
        <f t="shared" si="6"/>
        <v>-0.18092216130584951</v>
      </c>
      <c r="BO8" s="7">
        <f t="shared" ref="BO8:CT8" si="7">IF(BO6=1,BO3,IF(BO6=2,BO4,IF(BO6=3,BO5)))</f>
        <v>-0.149287939972541</v>
      </c>
      <c r="BP8" s="7">
        <f t="shared" si="7"/>
        <v>8.3627121253362802E-2</v>
      </c>
      <c r="BQ8" s="7">
        <f t="shared" si="7"/>
        <v>-0.16861046240236999</v>
      </c>
      <c r="BR8" s="7">
        <f t="shared" si="7"/>
        <v>0.21346470331308601</v>
      </c>
      <c r="BS8" s="7">
        <f t="shared" si="7"/>
        <v>0.1244241075337672</v>
      </c>
      <c r="BT8" s="7">
        <f t="shared" si="7"/>
        <v>0.20772231279415901</v>
      </c>
      <c r="BU8" s="7">
        <f t="shared" si="7"/>
        <v>0.1137793780847101</v>
      </c>
      <c r="BV8" s="7">
        <f t="shared" si="7"/>
        <v>0.17197266141593739</v>
      </c>
      <c r="BW8" s="7">
        <f t="shared" si="7"/>
        <v>-0.1268015683060742</v>
      </c>
      <c r="BX8" s="7">
        <f t="shared" si="7"/>
        <v>-0.10582029087279909</v>
      </c>
      <c r="BY8" s="7">
        <f t="shared" si="7"/>
        <v>-0.1826948620902353</v>
      </c>
      <c r="BZ8" s="7">
        <f t="shared" si="7"/>
        <v>-0.14071284467671319</v>
      </c>
      <c r="CA8" s="7">
        <f t="shared" si="7"/>
        <v>7.3472777058867567E-2</v>
      </c>
      <c r="CB8" s="7">
        <f t="shared" si="7"/>
        <v>0.19801890737320349</v>
      </c>
      <c r="CC8" s="7">
        <f t="shared" si="7"/>
        <v>-0.29446404903659129</v>
      </c>
      <c r="CD8" s="7">
        <f t="shared" si="7"/>
        <v>0.32742328506094998</v>
      </c>
      <c r="CE8" s="7">
        <f t="shared" si="7"/>
        <v>0.21879703659667429</v>
      </c>
      <c r="CF8" s="7">
        <f t="shared" si="7"/>
        <v>-0.14937324914413941</v>
      </c>
      <c r="CG8" s="7">
        <f t="shared" si="7"/>
        <v>0.16320028060313421</v>
      </c>
      <c r="CH8" s="7">
        <f t="shared" si="7"/>
        <v>-6.9038325074175663E-2</v>
      </c>
      <c r="CI8" s="7">
        <f t="shared" si="7"/>
        <v>-0.11536214708505139</v>
      </c>
      <c r="CJ8" s="7">
        <f t="shared" si="7"/>
        <v>-0.39111281147264998</v>
      </c>
      <c r="CK8" s="7">
        <f t="shared" si="7"/>
        <v>0.37897350211797709</v>
      </c>
      <c r="CL8" s="7">
        <f t="shared" si="7"/>
        <v>-7.6383453932209341E-2</v>
      </c>
      <c r="CM8" s="7">
        <f t="shared" si="7"/>
        <v>0.18311247425732111</v>
      </c>
      <c r="CN8" s="7">
        <f t="shared" si="7"/>
        <v>-0.39746167912504499</v>
      </c>
      <c r="CO8" s="7">
        <f t="shared" si="7"/>
        <v>0.43716796518582229</v>
      </c>
      <c r="CP8" s="7">
        <f t="shared" si="7"/>
        <v>-9.5682049872747255E-2</v>
      </c>
      <c r="CQ8" s="7">
        <f t="shared" si="7"/>
        <v>-0.49935244279872992</v>
      </c>
      <c r="CR8" s="7">
        <f t="shared" si="7"/>
        <v>0.3398570382696095</v>
      </c>
      <c r="CS8" s="7">
        <f t="shared" si="7"/>
        <v>-0.27901111949972451</v>
      </c>
      <c r="CT8" s="7">
        <f t="shared" si="7"/>
        <v>0.2246197528310597</v>
      </c>
      <c r="CU8" s="7">
        <f t="shared" ref="CU8:DZ8" si="8">IF(CU6=1,CU3,IF(CU6=2,CU4,IF(CU6=3,CU5)))</f>
        <v>-0.25171771168640761</v>
      </c>
      <c r="CV8" s="7">
        <f t="shared" si="8"/>
        <v>0.1117497704879042</v>
      </c>
      <c r="CW8" s="7">
        <f t="shared" si="8"/>
        <v>0.2108770628752098</v>
      </c>
      <c r="CX8" s="7">
        <f t="shared" si="8"/>
        <v>0.25016150139728283</v>
      </c>
      <c r="CY8" s="7">
        <f t="shared" si="8"/>
        <v>-0.52413353929587791</v>
      </c>
      <c r="CZ8" s="7">
        <f t="shared" si="8"/>
        <v>0.8216183061041753</v>
      </c>
      <c r="DA8" s="7">
        <f t="shared" si="8"/>
        <v>0.31254073484350059</v>
      </c>
      <c r="DB8" s="7">
        <f t="shared" si="8"/>
        <v>-0.15564612733519101</v>
      </c>
      <c r="DC8" s="7">
        <f t="shared" si="8"/>
        <v>-0.1869585274246745</v>
      </c>
      <c r="DD8" s="7">
        <f t="shared" si="8"/>
        <v>-0.42083892435479142</v>
      </c>
      <c r="DE8" s="7">
        <f t="shared" si="8"/>
        <v>-0.2279724207651195</v>
      </c>
      <c r="DF8" s="7">
        <f t="shared" si="8"/>
        <v>-0.33715973842927388</v>
      </c>
      <c r="DG8" s="7">
        <f t="shared" si="8"/>
        <v>-0.44400370439279008</v>
      </c>
      <c r="DH8" s="7">
        <f t="shared" si="8"/>
        <v>0.15762567020768259</v>
      </c>
      <c r="DI8" s="7">
        <f t="shared" si="8"/>
        <v>0.30896916307249689</v>
      </c>
      <c r="DJ8" s="7">
        <f t="shared" si="8"/>
        <v>-0.28669247758290828</v>
      </c>
      <c r="DK8" s="7">
        <f t="shared" si="8"/>
        <v>0.84621248517861269</v>
      </c>
      <c r="DL8" s="7">
        <f t="shared" si="8"/>
        <v>-0.16924034367306559</v>
      </c>
      <c r="DM8" s="7">
        <f t="shared" si="8"/>
        <v>-0.43945016692248923</v>
      </c>
      <c r="DN8" s="7">
        <f t="shared" si="8"/>
        <v>0.74751336560070059</v>
      </c>
      <c r="DO8" s="7">
        <f t="shared" si="8"/>
        <v>-0.39996426308914668</v>
      </c>
      <c r="DP8" s="7">
        <f t="shared" si="8"/>
        <v>0.16113140194021491</v>
      </c>
      <c r="DQ8" s="7">
        <f t="shared" si="8"/>
        <v>-0.58863430244229409</v>
      </c>
      <c r="DR8" s="7">
        <f t="shared" si="8"/>
        <v>-0.1292436792863576</v>
      </c>
      <c r="DS8" s="7">
        <f t="shared" si="8"/>
        <v>-0.19878519438361211</v>
      </c>
      <c r="DT8" s="7">
        <f t="shared" si="8"/>
        <v>0.4132117833889476</v>
      </c>
      <c r="DU8" s="7">
        <f t="shared" si="8"/>
        <v>-0.17065403209770361</v>
      </c>
      <c r="DV8" s="7">
        <f t="shared" si="8"/>
        <v>0.68828031734213269</v>
      </c>
      <c r="DW8" s="7">
        <f t="shared" si="8"/>
        <v>6.6155769939567149E-2</v>
      </c>
      <c r="DX8" s="7">
        <f t="shared" si="8"/>
        <v>-0.1999347157162332</v>
      </c>
      <c r="DY8" s="7">
        <f t="shared" si="8"/>
        <v>0.56631420698904078</v>
      </c>
      <c r="DZ8" s="7">
        <f t="shared" si="8"/>
        <v>0.47362880432099852</v>
      </c>
      <c r="EA8" s="7">
        <f t="shared" ref="EA8:EG8" si="9">IF(EA6=1,EA3,IF(EA6=2,EA4,IF(EA6=3,EA5)))</f>
        <v>-0.1948807812701929</v>
      </c>
      <c r="EB8" s="7">
        <f t="shared" si="9"/>
        <v>-1.076360940060376</v>
      </c>
      <c r="EC8" s="7">
        <f t="shared" si="9"/>
        <v>-0.13610628648279391</v>
      </c>
      <c r="ED8" s="7">
        <f t="shared" si="9"/>
        <v>-0.27349656344743889</v>
      </c>
      <c r="EE8" s="7">
        <f t="shared" si="9"/>
        <v>0.60134859370029736</v>
      </c>
      <c r="EF8" s="7">
        <f t="shared" si="9"/>
        <v>0.24381115553913091</v>
      </c>
      <c r="EG8" s="1">
        <f t="shared" si="9"/>
        <v>0</v>
      </c>
    </row>
    <row r="10" spans="1:137" x14ac:dyDescent="0.3">
      <c r="A10" s="22" t="s">
        <v>140</v>
      </c>
      <c r="B10" s="23"/>
      <c r="C10" s="1" t="s">
        <v>141</v>
      </c>
      <c r="D10" s="2">
        <v>964</v>
      </c>
    </row>
    <row r="11" spans="1:137" x14ac:dyDescent="0.3">
      <c r="A11" s="1" t="s">
        <v>142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144</v>
      </c>
    </row>
    <row r="12" spans="1:137" x14ac:dyDescent="0.3">
      <c r="A12" s="1">
        <v>10</v>
      </c>
      <c r="B12" s="1">
        <v>96</v>
      </c>
      <c r="C12" s="7">
        <v>1.44992469840961E-2</v>
      </c>
      <c r="D12" s="7">
        <v>0.11468862904522351</v>
      </c>
      <c r="E12" s="7">
        <v>-1.3937245408664461E-3</v>
      </c>
      <c r="F12" s="7">
        <v>-5.5959384784458728E-2</v>
      </c>
      <c r="G12" s="7">
        <v>-3.1947448518630461E-2</v>
      </c>
      <c r="H12" s="7">
        <v>9.5992583565995809E-3</v>
      </c>
      <c r="I12" s="7">
        <v>-3.6303936849052011E-2</v>
      </c>
      <c r="J12" s="7">
        <v>4.3784578744871523E-2</v>
      </c>
      <c r="K12" s="7">
        <v>2.918799813369918E-2</v>
      </c>
      <c r="L12" s="7">
        <v>-8.7585559641662342E-3</v>
      </c>
      <c r="M12" s="7">
        <v>2.688917383320695E-2</v>
      </c>
      <c r="N12" s="7">
        <v>3.4703354243462818E-2</v>
      </c>
      <c r="O12" s="7">
        <v>1.8629888645978979E-2</v>
      </c>
      <c r="P12" s="7">
        <v>-2.5432810815711028E-4</v>
      </c>
      <c r="Q12" s="7">
        <v>3.3792784120907728E-2</v>
      </c>
      <c r="R12" s="7">
        <v>-1.3397506239935729E-2</v>
      </c>
      <c r="S12" s="7">
        <v>1.105502977333921E-2</v>
      </c>
      <c r="T12" s="7">
        <v>4.3243488819513169E-2</v>
      </c>
      <c r="U12" s="7">
        <v>2.0367220553130991E-2</v>
      </c>
      <c r="V12" s="7">
        <v>-9.5109536536482214E-3</v>
      </c>
      <c r="W12" s="7">
        <v>2.8417662858163131E-2</v>
      </c>
      <c r="X12" s="7">
        <v>2.7073890424547119E-2</v>
      </c>
      <c r="Y12" s="7">
        <v>-2.0598393527691269E-2</v>
      </c>
      <c r="Z12" s="7">
        <v>6.362368331557397E-2</v>
      </c>
      <c r="AA12" s="7">
        <v>-3.9403661401111782E-2</v>
      </c>
      <c r="AB12" s="7">
        <v>-3.4689110551478157E-2</v>
      </c>
      <c r="AC12" s="7">
        <v>4.6772945626311249E-2</v>
      </c>
      <c r="AD12" s="7">
        <v>-2.5304298312235208E-3</v>
      </c>
      <c r="AE12" s="7">
        <v>4.6437716666984021E-2</v>
      </c>
      <c r="AF12" s="7">
        <v>-5.2012102776767682E-2</v>
      </c>
      <c r="AG12" s="7">
        <v>3.814930420809846E-3</v>
      </c>
      <c r="AH12" s="7">
        <v>1.5713033769280859E-2</v>
      </c>
      <c r="AI12" s="7">
        <v>8.79379249226157E-3</v>
      </c>
      <c r="AJ12" s="7">
        <v>1.8723296332934201E-2</v>
      </c>
      <c r="AK12" s="7">
        <v>-1.6475368224135679E-2</v>
      </c>
      <c r="AL12" s="7">
        <v>1.7859003021922081E-2</v>
      </c>
      <c r="AM12" s="7">
        <v>3.0086115612597931E-2</v>
      </c>
      <c r="AN12" s="7">
        <v>6.9233234313428524E-2</v>
      </c>
      <c r="AO12" s="7">
        <v>1.499547084312732E-2</v>
      </c>
      <c r="AP12" s="7">
        <v>4.633936527829138E-3</v>
      </c>
      <c r="AQ12" s="7">
        <v>7.6219363885838051E-3</v>
      </c>
      <c r="AR12" s="7">
        <v>7.5044280887600658E-3</v>
      </c>
      <c r="AS12" s="7">
        <v>1.9099718454700602E-2</v>
      </c>
      <c r="AT12" s="7">
        <v>7.2195382352435097E-2</v>
      </c>
      <c r="AU12" s="7">
        <v>-3.713536440044597E-3</v>
      </c>
      <c r="AV12" s="7">
        <v>-2.1789895224426498E-2</v>
      </c>
      <c r="AW12" s="7">
        <v>-6.2147701801607523E-4</v>
      </c>
      <c r="AX12" s="7">
        <v>-4.4696011972897853E-2</v>
      </c>
      <c r="AY12" s="7">
        <v>-1.749132165900753E-2</v>
      </c>
      <c r="AZ12" s="7">
        <v>-2.361455316530062E-2</v>
      </c>
      <c r="BA12" s="7">
        <v>4.9378881832418033E-3</v>
      </c>
      <c r="BB12" s="7">
        <v>5.7853949142751861E-3</v>
      </c>
      <c r="BC12" s="7">
        <v>1.227278903847649E-2</v>
      </c>
      <c r="BD12" s="7">
        <v>1.3630556941652629E-2</v>
      </c>
      <c r="BE12" s="7">
        <v>-1.860880983938528E-2</v>
      </c>
      <c r="BF12" s="7">
        <v>6.7616949247695318E-2</v>
      </c>
      <c r="BG12" s="7">
        <v>3.3670862441262807E-2</v>
      </c>
      <c r="BH12" s="7">
        <v>1.422336001132196E-2</v>
      </c>
      <c r="BI12" s="7">
        <v>-4.3756064379844611E-2</v>
      </c>
      <c r="BJ12" s="7">
        <v>2.4663126175119381E-2</v>
      </c>
      <c r="BK12" s="7">
        <v>-6.5738349503457333E-4</v>
      </c>
      <c r="BL12" s="7">
        <v>3.2129098300494131E-2</v>
      </c>
      <c r="BM12" s="7">
        <v>5.030568452332447E-2</v>
      </c>
      <c r="BN12" s="7">
        <v>1.1575967172940649E-2</v>
      </c>
      <c r="BO12" s="7">
        <v>-2.4246310256236889E-2</v>
      </c>
      <c r="BP12" s="7">
        <v>2.642195733416729E-2</v>
      </c>
      <c r="BQ12" s="7">
        <v>1.8715508904754308E-2</v>
      </c>
      <c r="BR12" s="7">
        <v>-2.2610084533988121E-3</v>
      </c>
      <c r="BS12" s="7">
        <v>-3.2642854888392712E-2</v>
      </c>
      <c r="BT12" s="7">
        <v>1.636478331442541E-2</v>
      </c>
      <c r="BU12" s="7">
        <v>8.7815171400964752E-3</v>
      </c>
      <c r="BV12" s="7">
        <v>-3.2053226170394557E-2</v>
      </c>
      <c r="BW12" s="7">
        <v>4.4477003891650199E-2</v>
      </c>
      <c r="BX12" s="7">
        <v>6.985153858139255E-3</v>
      </c>
      <c r="BY12" s="7">
        <v>-4.5815986232830307E-2</v>
      </c>
      <c r="BZ12" s="7">
        <v>-4.5356945691272972E-2</v>
      </c>
      <c r="CA12" s="7">
        <v>-3.4400287440342493E-2</v>
      </c>
      <c r="CB12" s="7">
        <v>-7.2475876072179299E-2</v>
      </c>
      <c r="CC12" s="7">
        <v>6.5566612627689883E-2</v>
      </c>
      <c r="CD12" s="7">
        <v>-4.435526335668457E-2</v>
      </c>
      <c r="CE12" s="7">
        <v>1.161940844222922E-2</v>
      </c>
      <c r="CF12" s="7">
        <v>-8.0212745139300254E-3</v>
      </c>
      <c r="CG12" s="7">
        <v>-4.9277959963080598E-2</v>
      </c>
      <c r="CH12" s="7">
        <v>1.6463112378785821E-2</v>
      </c>
      <c r="CI12" s="7">
        <v>3.5598030901105832E-2</v>
      </c>
      <c r="CJ12" s="7">
        <v>-1.544518047868886E-2</v>
      </c>
      <c r="CK12" s="7">
        <v>5.6101440647790157E-2</v>
      </c>
      <c r="CL12" s="7">
        <v>-7.8440280286020903E-2</v>
      </c>
      <c r="CM12" s="7">
        <v>-1.5219726167340819E-2</v>
      </c>
      <c r="CN12" s="7">
        <v>2.7083701214559368E-2</v>
      </c>
      <c r="CO12" s="7">
        <v>-2.4819785255212591E-2</v>
      </c>
      <c r="CP12" s="7">
        <v>-4.5299021467493747E-2</v>
      </c>
      <c r="CQ12" s="7">
        <v>6.2684347003574781E-2</v>
      </c>
      <c r="CR12" s="7">
        <v>-5.7159986521513537E-2</v>
      </c>
      <c r="CS12" s="7">
        <v>-1.450965043846953E-2</v>
      </c>
      <c r="CT12" s="7">
        <v>-9.3290632299768764E-3</v>
      </c>
      <c r="CU12" s="7">
        <v>7.4779529281356727E-2</v>
      </c>
      <c r="CV12" s="7">
        <v>-4.4033581151781296E-3</v>
      </c>
      <c r="CW12" s="7">
        <v>1.303666937857764E-2</v>
      </c>
      <c r="CX12" s="7">
        <v>-3.0752638267462981E-2</v>
      </c>
      <c r="CY12" s="7">
        <v>-1.6420596247805602E-2</v>
      </c>
      <c r="CZ12" s="7">
        <v>-1.2324262059916619E-2</v>
      </c>
      <c r="DA12" s="7">
        <v>5.6037840703605252E-3</v>
      </c>
      <c r="DB12" s="7">
        <v>2.298187595412704E-2</v>
      </c>
      <c r="DC12" s="7">
        <v>-3.3973202874774677E-2</v>
      </c>
      <c r="DD12" s="7">
        <v>6.9960545734343321E-2</v>
      </c>
      <c r="DE12" s="7">
        <v>2.473764441509502E-2</v>
      </c>
      <c r="DF12" s="7">
        <v>-1.1624319687869001E-2</v>
      </c>
      <c r="DG12" s="7">
        <v>4.7394421629824317E-2</v>
      </c>
      <c r="DH12" s="7">
        <v>-6.1195154788316941E-2</v>
      </c>
      <c r="DI12" s="7">
        <v>2.9979254557499689E-2</v>
      </c>
      <c r="DJ12" s="7">
        <v>-4.1378042935671558E-2</v>
      </c>
      <c r="DK12" s="7">
        <v>1.0711986285806619E-3</v>
      </c>
      <c r="DL12" s="7">
        <v>-1.8669833333803058E-2</v>
      </c>
      <c r="DM12" s="7">
        <v>-9.143493333529153E-3</v>
      </c>
      <c r="DN12" s="7">
        <v>-1.854144345861243E-2</v>
      </c>
      <c r="DO12" s="7">
        <v>1.9030728267897829E-2</v>
      </c>
      <c r="DP12" s="7">
        <v>3.2584449600297112E-2</v>
      </c>
      <c r="DQ12" s="7">
        <v>-7.454064748047276E-2</v>
      </c>
      <c r="DR12" s="7">
        <v>1.7064979450118169E-2</v>
      </c>
      <c r="DS12" s="7">
        <v>-4.6024279005124763E-2</v>
      </c>
      <c r="DT12" s="7">
        <v>2.481384156258671E-2</v>
      </c>
      <c r="DU12" s="7">
        <v>-4.5787141974466997E-2</v>
      </c>
      <c r="DV12" s="7">
        <v>-1.6751441513820589E-2</v>
      </c>
      <c r="DW12" s="7">
        <v>4.3725564220037427E-2</v>
      </c>
      <c r="DX12" s="7">
        <v>-1.8099136778333389E-2</v>
      </c>
      <c r="DY12" s="7">
        <v>6.2728222094769928E-2</v>
      </c>
      <c r="DZ12" s="7">
        <v>2.0038890123589111E-2</v>
      </c>
      <c r="EA12" s="7">
        <v>5.1097632537531287E-2</v>
      </c>
      <c r="EB12" s="7">
        <v>3.052577681784165E-2</v>
      </c>
      <c r="EC12" s="7">
        <v>-1.48839181295192E-2</v>
      </c>
      <c r="ED12" s="7">
        <v>-2.344457524294118E-2</v>
      </c>
      <c r="EE12" s="7">
        <v>-2.821628026780338E-2</v>
      </c>
      <c r="EF12" s="8">
        <v>-2.923376575523141E-2</v>
      </c>
    </row>
    <row r="13" spans="1:137" x14ac:dyDescent="0.3">
      <c r="A13" s="1">
        <v>20</v>
      </c>
      <c r="B13" s="1">
        <v>48</v>
      </c>
      <c r="C13" s="7">
        <v>-7.4773642018864783E-3</v>
      </c>
      <c r="D13" s="7">
        <v>0.1237450287927723</v>
      </c>
      <c r="E13" s="7">
        <v>-5.52362670328634E-3</v>
      </c>
      <c r="F13" s="7">
        <v>-5.9986526692922967E-2</v>
      </c>
      <c r="G13" s="7">
        <v>-1.2047404300105931E-2</v>
      </c>
      <c r="H13" s="7">
        <v>1.7388387027498991E-2</v>
      </c>
      <c r="I13" s="7">
        <v>-3.2682862984722338E-2</v>
      </c>
      <c r="J13" s="7">
        <v>3.4549891969644697E-2</v>
      </c>
      <c r="K13" s="7">
        <v>6.0326139227570137E-2</v>
      </c>
      <c r="L13" s="7">
        <v>-2.1980470378722781E-2</v>
      </c>
      <c r="M13" s="7">
        <v>3.2797582260047169E-3</v>
      </c>
      <c r="N13" s="7">
        <v>4.3392417465696789E-2</v>
      </c>
      <c r="O13" s="7">
        <v>3.6273275719922483E-2</v>
      </c>
      <c r="P13" s="7">
        <v>-6.2776476607329448E-3</v>
      </c>
      <c r="Q13" s="7">
        <v>4.4218264227970053E-2</v>
      </c>
      <c r="R13" s="7">
        <v>-6.4899101760743979E-3</v>
      </c>
      <c r="S13" s="7">
        <v>-6.0138030070422746E-3</v>
      </c>
      <c r="T13" s="7">
        <v>5.2899802908693339E-2</v>
      </c>
      <c r="U13" s="7">
        <v>5.4161075041694179E-2</v>
      </c>
      <c r="V13" s="7">
        <v>-2.216639903053957E-3</v>
      </c>
      <c r="W13" s="7">
        <v>3.096890407148287E-2</v>
      </c>
      <c r="X13" s="7">
        <v>5.327689472594363E-2</v>
      </c>
      <c r="Y13" s="7">
        <v>6.6833587265454353E-3</v>
      </c>
      <c r="Z13" s="7">
        <v>7.842443480518356E-2</v>
      </c>
      <c r="AA13" s="7">
        <v>-3.2119510338471283E-2</v>
      </c>
      <c r="AB13" s="7">
        <v>-4.6678220121377283E-2</v>
      </c>
      <c r="AC13" s="7">
        <v>6.6771700381929838E-2</v>
      </c>
      <c r="AD13" s="7">
        <v>-2.0440228373792429E-2</v>
      </c>
      <c r="AE13" s="7">
        <v>7.7071416726800679E-2</v>
      </c>
      <c r="AF13" s="7">
        <v>-7.3281160828311181E-2</v>
      </c>
      <c r="AG13" s="7">
        <v>-9.9052077270740842E-3</v>
      </c>
      <c r="AH13" s="7">
        <v>2.4955206549866871E-2</v>
      </c>
      <c r="AI13" s="7">
        <v>1.8646046379966041E-2</v>
      </c>
      <c r="AJ13" s="7">
        <v>1.707450838618965E-3</v>
      </c>
      <c r="AK13" s="7">
        <v>-3.8359390282872087E-2</v>
      </c>
      <c r="AL13" s="7">
        <v>2.3151428595171029E-2</v>
      </c>
      <c r="AM13" s="7">
        <v>4.6282443536828928E-2</v>
      </c>
      <c r="AN13" s="7">
        <v>0.10533023813603409</v>
      </c>
      <c r="AO13" s="7">
        <v>-1.7088466886353789E-3</v>
      </c>
      <c r="AP13" s="7">
        <v>6.5879899076427646E-3</v>
      </c>
      <c r="AQ13" s="7">
        <v>6.0492887688996834E-3</v>
      </c>
      <c r="AR13" s="7">
        <v>-9.2507324832761875E-3</v>
      </c>
      <c r="AS13" s="7">
        <v>4.1313118484234093E-2</v>
      </c>
      <c r="AT13" s="7">
        <v>8.6422914727599456E-2</v>
      </c>
      <c r="AU13" s="7">
        <v>1.5695418426472509E-2</v>
      </c>
      <c r="AV13" s="7">
        <v>-1.0958910230300529E-2</v>
      </c>
      <c r="AW13" s="7">
        <v>-4.0800135830634E-3</v>
      </c>
      <c r="AX13" s="7">
        <v>-3.2799832135855793E-2</v>
      </c>
      <c r="AY13" s="7">
        <v>-1.42622039071387E-2</v>
      </c>
      <c r="AZ13" s="7">
        <v>-3.1220536093770089E-2</v>
      </c>
      <c r="BA13" s="7">
        <v>6.5409376070610318E-3</v>
      </c>
      <c r="BB13" s="7">
        <v>2.6046345532896049E-2</v>
      </c>
      <c r="BC13" s="7">
        <v>1.128376711165765E-2</v>
      </c>
      <c r="BD13" s="7">
        <v>3.344428383681335E-3</v>
      </c>
      <c r="BE13" s="7">
        <v>-2.7391806305641558E-2</v>
      </c>
      <c r="BF13" s="7">
        <v>0.1216571432659557</v>
      </c>
      <c r="BG13" s="7">
        <v>4.6566462338711673E-2</v>
      </c>
      <c r="BH13" s="7">
        <v>8.4757298116190372E-3</v>
      </c>
      <c r="BI13" s="7">
        <v>-2.1601559102932929E-2</v>
      </c>
      <c r="BJ13" s="7">
        <v>2.4266087613108871E-2</v>
      </c>
      <c r="BK13" s="7">
        <v>-8.8783959160913702E-3</v>
      </c>
      <c r="BL13" s="7">
        <v>3.4460040448450822E-2</v>
      </c>
      <c r="BM13" s="7">
        <v>5.3371768695190711E-2</v>
      </c>
      <c r="BN13" s="7">
        <v>3.5552713412407247E-2</v>
      </c>
      <c r="BO13" s="7">
        <v>-3.0878716233474109E-2</v>
      </c>
      <c r="BP13" s="7">
        <v>7.9511464177745989E-3</v>
      </c>
      <c r="BQ13" s="7">
        <v>-1.1508192254020789E-3</v>
      </c>
      <c r="BR13" s="7">
        <v>-6.6814174835574522E-3</v>
      </c>
      <c r="BS13" s="7">
        <v>-4.0180514361416918E-2</v>
      </c>
      <c r="BT13" s="7">
        <v>5.2107167580298965E-4</v>
      </c>
      <c r="BU13" s="7">
        <v>1.7706555036553769E-2</v>
      </c>
      <c r="BV13" s="7">
        <v>-3.1440738435612722E-2</v>
      </c>
      <c r="BW13" s="7">
        <v>7.5714005636679529E-2</v>
      </c>
      <c r="BX13" s="7">
        <v>7.4563880601007104E-4</v>
      </c>
      <c r="BY13" s="7">
        <v>-3.0827759664373209E-2</v>
      </c>
      <c r="BZ13" s="7">
        <v>-7.6138123059050211E-2</v>
      </c>
      <c r="CA13" s="7">
        <v>-3.3531565600396843E-2</v>
      </c>
      <c r="CB13" s="7">
        <v>-0.1204269717320352</v>
      </c>
      <c r="CC13" s="7">
        <v>0.12011817373823321</v>
      </c>
      <c r="CD13" s="7">
        <v>-2.1204143880606541E-2</v>
      </c>
      <c r="CE13" s="7">
        <v>9.2209843254137634E-3</v>
      </c>
      <c r="CF13" s="7">
        <v>1.2043667015059319E-2</v>
      </c>
      <c r="CG13" s="7">
        <v>-5.8014967807239318E-2</v>
      </c>
      <c r="CH13" s="7">
        <v>4.0295060582103241E-3</v>
      </c>
      <c r="CI13" s="7">
        <v>1.4533303233279799E-2</v>
      </c>
      <c r="CJ13" s="7">
        <v>3.106087971951194E-3</v>
      </c>
      <c r="CK13" s="7">
        <v>6.568712626679736E-2</v>
      </c>
      <c r="CL13" s="7">
        <v>-7.2724175153218551E-2</v>
      </c>
      <c r="CM13" s="7">
        <v>-1.0296803756394969E-2</v>
      </c>
      <c r="CN13" s="7">
        <v>2.688756599885234E-2</v>
      </c>
      <c r="CO13" s="7">
        <v>-3.5334344080657359E-2</v>
      </c>
      <c r="CP13" s="7">
        <v>-6.9726540277734339E-2</v>
      </c>
      <c r="CQ13" s="7">
        <v>7.1178864968403879E-2</v>
      </c>
      <c r="CR13" s="7">
        <v>-0.11164488638047471</v>
      </c>
      <c r="CS13" s="7">
        <v>3.947650662960555E-3</v>
      </c>
      <c r="CT13" s="7">
        <v>4.0854011561625853E-4</v>
      </c>
      <c r="CU13" s="7">
        <v>0.1070909617136373</v>
      </c>
      <c r="CV13" s="7">
        <v>-2.431898301869664E-2</v>
      </c>
      <c r="CW13" s="7">
        <v>3.6309119756433333E-2</v>
      </c>
      <c r="CX13" s="7">
        <v>-3.0582841479689871E-2</v>
      </c>
      <c r="CY13" s="7">
        <v>-4.1201751884096749E-2</v>
      </c>
      <c r="CZ13" s="7">
        <v>-4.8982161600653051E-3</v>
      </c>
      <c r="DA13" s="7">
        <v>-5.583676925821391E-3</v>
      </c>
      <c r="DB13" s="7">
        <v>4.1761569716784581E-2</v>
      </c>
      <c r="DC13" s="7">
        <v>-2.9775565878292928E-2</v>
      </c>
      <c r="DD13" s="7">
        <v>6.8977058924383453E-2</v>
      </c>
      <c r="DE13" s="7">
        <v>2.2441996429236069E-2</v>
      </c>
      <c r="DF13" s="7">
        <v>-1.727163202818234E-2</v>
      </c>
      <c r="DG13" s="7">
        <v>7.1335760214919608E-2</v>
      </c>
      <c r="DH13" s="7">
        <v>-8.8720600946307043E-2</v>
      </c>
      <c r="DI13" s="7">
        <v>2.957041963442816E-2</v>
      </c>
      <c r="DJ13" s="7">
        <v>-7.0211236155579941E-3</v>
      </c>
      <c r="DK13" s="7">
        <v>-2.3400891895590289E-2</v>
      </c>
      <c r="DL13" s="7">
        <v>-2.2050690678088229E-2</v>
      </c>
      <c r="DM13" s="7">
        <v>1.1655894415520189E-2</v>
      </c>
      <c r="DN13" s="7">
        <v>-1.277588948620326E-2</v>
      </c>
      <c r="DO13" s="7">
        <v>4.4325139422202869E-2</v>
      </c>
      <c r="DP13" s="7">
        <v>4.8786635856269467E-2</v>
      </c>
      <c r="DQ13" s="7">
        <v>-8.712901139257051E-2</v>
      </c>
      <c r="DR13" s="7">
        <v>1.5168550145961031E-2</v>
      </c>
      <c r="DS13" s="7">
        <v>-2.991519389132713E-2</v>
      </c>
      <c r="DT13" s="7">
        <v>2.9845809161003281E-2</v>
      </c>
      <c r="DU13" s="7">
        <v>-2.369885378120147E-2</v>
      </c>
      <c r="DV13" s="7">
        <v>-9.8528047622480752E-3</v>
      </c>
      <c r="DW13" s="7">
        <v>4.4417789624350307E-2</v>
      </c>
      <c r="DX13" s="7">
        <v>-2.3229609548966131E-2</v>
      </c>
      <c r="DY13" s="7">
        <v>9.5046248038774313E-3</v>
      </c>
      <c r="DZ13" s="7">
        <v>3.028525147494129E-2</v>
      </c>
      <c r="EA13" s="7">
        <v>6.2118677176029868E-2</v>
      </c>
      <c r="EB13" s="7">
        <v>5.7205292748389078E-2</v>
      </c>
      <c r="EC13" s="7">
        <v>-2.198485253152441E-2</v>
      </c>
      <c r="ED13" s="7">
        <v>-5.3978019629255351E-2</v>
      </c>
      <c r="EE13" s="7">
        <v>-3.58674799008201E-2</v>
      </c>
      <c r="EF13" s="8">
        <v>-4.4513609552720032E-2</v>
      </c>
    </row>
    <row r="14" spans="1:137" x14ac:dyDescent="0.3">
      <c r="A14" s="1">
        <v>50</v>
      </c>
      <c r="B14" s="1">
        <v>19</v>
      </c>
      <c r="C14" s="7">
        <v>-3.3228977675766179E-2</v>
      </c>
      <c r="D14" s="7">
        <v>0.22230844854062601</v>
      </c>
      <c r="E14" s="7">
        <v>-4.7920746013269233E-2</v>
      </c>
      <c r="F14" s="7">
        <v>-6.0341904906032563E-2</v>
      </c>
      <c r="G14" s="7">
        <v>-5.3656630442780677E-2</v>
      </c>
      <c r="H14" s="7">
        <v>-1.1508260862123591E-2</v>
      </c>
      <c r="I14" s="7">
        <v>-4.3787359823142302E-2</v>
      </c>
      <c r="J14" s="7">
        <v>2.330997196491089E-2</v>
      </c>
      <c r="K14" s="7">
        <v>5.0827466260847963E-2</v>
      </c>
      <c r="L14" s="7">
        <v>-5.6271084976235522E-2</v>
      </c>
      <c r="M14" s="7">
        <v>-1.902171446498398E-2</v>
      </c>
      <c r="N14" s="7">
        <v>5.7369426657022049E-2</v>
      </c>
      <c r="O14" s="7">
        <v>3.7475787013006502E-2</v>
      </c>
      <c r="P14" s="7">
        <v>6.5414209581504002E-3</v>
      </c>
      <c r="Q14" s="7">
        <v>0.12410387117144869</v>
      </c>
      <c r="R14" s="7">
        <v>1.5941187297101821E-2</v>
      </c>
      <c r="S14" s="7">
        <v>-2.480674609276777E-2</v>
      </c>
      <c r="T14" s="7">
        <v>6.9841479520895866E-2</v>
      </c>
      <c r="U14" s="7">
        <v>0.1042666646356476</v>
      </c>
      <c r="V14" s="7">
        <v>5.2421300158885083E-2</v>
      </c>
      <c r="W14" s="7">
        <v>4.779500273352006E-2</v>
      </c>
      <c r="X14" s="7">
        <v>5.3581708514183243E-2</v>
      </c>
      <c r="Y14" s="7">
        <v>5.5190991412221717E-2</v>
      </c>
      <c r="Z14" s="7">
        <v>3.8511926280307661E-2</v>
      </c>
      <c r="AA14" s="7">
        <v>-3.9450180302082173E-2</v>
      </c>
      <c r="AB14" s="7">
        <v>-7.0769377347230211E-2</v>
      </c>
      <c r="AC14" s="7">
        <v>-3.086562338789272E-3</v>
      </c>
      <c r="AD14" s="7">
        <v>-6.9874591735142114E-2</v>
      </c>
      <c r="AE14" s="7">
        <v>0.11683691983956609</v>
      </c>
      <c r="AF14" s="7">
        <v>-9.6080095456633624E-2</v>
      </c>
      <c r="AG14" s="7">
        <v>-2.5329295010953049E-2</v>
      </c>
      <c r="AH14" s="7">
        <v>8.0952184423801643E-2</v>
      </c>
      <c r="AI14" s="7">
        <v>-3.5462643898611923E-2</v>
      </c>
      <c r="AJ14" s="7">
        <v>-2.4505575101084909E-2</v>
      </c>
      <c r="AK14" s="7">
        <v>-7.7475339022454029E-2</v>
      </c>
      <c r="AL14" s="7">
        <v>3.7969189722460717E-2</v>
      </c>
      <c r="AM14" s="7">
        <v>6.1242166378625243E-2</v>
      </c>
      <c r="AN14" s="7">
        <v>9.8594666769543718E-2</v>
      </c>
      <c r="AO14" s="7">
        <v>-3.804435254206133E-2</v>
      </c>
      <c r="AP14" s="7">
        <v>-7.0548285367649016E-3</v>
      </c>
      <c r="AQ14" s="7">
        <v>3.6796773775995059E-4</v>
      </c>
      <c r="AR14" s="7">
        <v>-1.817082301888524E-2</v>
      </c>
      <c r="AS14" s="7">
        <v>8.5376985953046783E-2</v>
      </c>
      <c r="AT14" s="7">
        <v>7.9403479710638047E-2</v>
      </c>
      <c r="AU14" s="7">
        <v>5.7421613114133872E-2</v>
      </c>
      <c r="AV14" s="7">
        <v>8.4264533049733317E-3</v>
      </c>
      <c r="AW14" s="7">
        <v>1.8362931505957501E-2</v>
      </c>
      <c r="AX14" s="7">
        <v>-1.9370213375490559E-2</v>
      </c>
      <c r="AY14" s="7">
        <v>-1.6905718250070641E-3</v>
      </c>
      <c r="AZ14" s="7">
        <v>-6.107058048123927E-2</v>
      </c>
      <c r="BA14" s="7">
        <v>1.7621645544243138E-2</v>
      </c>
      <c r="BB14" s="7">
        <v>0.101898340258458</v>
      </c>
      <c r="BC14" s="7">
        <v>-9.8209989552774171E-3</v>
      </c>
      <c r="BD14" s="7">
        <v>4.3327781667405418E-2</v>
      </c>
      <c r="BE14" s="7">
        <v>-4.3787062535487017E-2</v>
      </c>
      <c r="BF14" s="7">
        <v>0.15382926157400831</v>
      </c>
      <c r="BG14" s="7">
        <v>4.1374264073932777E-2</v>
      </c>
      <c r="BH14" s="7">
        <v>5.3427555686006711E-3</v>
      </c>
      <c r="BI14" s="7">
        <v>4.1031067933231892E-2</v>
      </c>
      <c r="BJ14" s="7">
        <v>6.8604195602302687E-2</v>
      </c>
      <c r="BK14" s="7">
        <v>-3.3691419870768569E-2</v>
      </c>
      <c r="BL14" s="7">
        <v>5.9996895527440267E-2</v>
      </c>
      <c r="BM14" s="7">
        <v>4.6278325003000387E-2</v>
      </c>
      <c r="BN14" s="7">
        <v>2.6087960275579629E-2</v>
      </c>
      <c r="BO14" s="7">
        <v>-3.3609045677264478E-2</v>
      </c>
      <c r="BP14" s="7">
        <v>-5.0332283327745371E-2</v>
      </c>
      <c r="BQ14" s="7">
        <v>-5.0884482194080573E-2</v>
      </c>
      <c r="BR14" s="7">
        <v>-2.7929429532617921E-2</v>
      </c>
      <c r="BS14" s="7">
        <v>-3.033272398677064E-2</v>
      </c>
      <c r="BT14" s="7">
        <v>-3.0726476125764419E-2</v>
      </c>
      <c r="BU14" s="7">
        <v>-8.8548353580308568E-3</v>
      </c>
      <c r="BV14" s="7">
        <v>-4.1282488857898411E-2</v>
      </c>
      <c r="BW14" s="7">
        <v>0.13089750855718521</v>
      </c>
      <c r="BX14" s="7">
        <v>-1.4335295277300691E-2</v>
      </c>
      <c r="BY14" s="7">
        <v>-8.0399768583761216E-2</v>
      </c>
      <c r="BZ14" s="7">
        <v>-6.0034056828782267E-2</v>
      </c>
      <c r="CA14" s="7">
        <v>-2.446526611493707E-2</v>
      </c>
      <c r="CB14" s="7">
        <v>-0.16446550132190679</v>
      </c>
      <c r="CC14" s="7">
        <v>0.1205961585891825</v>
      </c>
      <c r="CD14" s="7">
        <v>3.2926387352783637E-2</v>
      </c>
      <c r="CE14" s="7">
        <v>-7.2156719211697945E-2</v>
      </c>
      <c r="CF14" s="7">
        <v>4.2877410075316917E-2</v>
      </c>
      <c r="CG14" s="7">
        <v>-5.7320663667820577E-2</v>
      </c>
      <c r="CH14" s="7">
        <v>4.8879670456065782E-2</v>
      </c>
      <c r="CI14" s="7">
        <v>1.470161201144274E-2</v>
      </c>
      <c r="CJ14" s="7">
        <v>2.866785494417454E-2</v>
      </c>
      <c r="CK14" s="7">
        <v>5.3792086513992962E-2</v>
      </c>
      <c r="CL14" s="7">
        <v>-0.13734357045347451</v>
      </c>
      <c r="CM14" s="7">
        <v>3.2040010368317121E-2</v>
      </c>
      <c r="CN14" s="7">
        <v>2.3026688670926061E-2</v>
      </c>
      <c r="CO14" s="7">
        <v>-7.8763758718324112E-2</v>
      </c>
      <c r="CP14" s="7">
        <v>-9.9809331481752833E-2</v>
      </c>
      <c r="CQ14" s="7">
        <v>3.2227899887387702E-2</v>
      </c>
      <c r="CR14" s="7">
        <v>-0.207719712590648</v>
      </c>
      <c r="CS14" s="7">
        <v>-3.8161133435199359E-3</v>
      </c>
      <c r="CT14" s="7">
        <v>-9.6618862820552417E-3</v>
      </c>
      <c r="CU14" s="7">
        <v>0.1015449999567145</v>
      </c>
      <c r="CV14" s="7">
        <v>-3.9399433901219798E-2</v>
      </c>
      <c r="CW14" s="7">
        <v>4.476388444326003E-2</v>
      </c>
      <c r="CX14" s="7">
        <v>-9.0639227349923676E-2</v>
      </c>
      <c r="CY14" s="7">
        <v>-9.6361130127283909E-2</v>
      </c>
      <c r="CZ14" s="7">
        <v>-1.030139965842336E-2</v>
      </c>
      <c r="DA14" s="7">
        <v>-2.4304289170584491E-2</v>
      </c>
      <c r="DB14" s="7">
        <v>2.356107318819085E-2</v>
      </c>
      <c r="DC14" s="7">
        <v>-2.3632609204847509E-2</v>
      </c>
      <c r="DD14" s="7">
        <v>7.920535184818453E-2</v>
      </c>
      <c r="DE14" s="7">
        <v>6.2526924006459011E-2</v>
      </c>
      <c r="DF14" s="7">
        <v>-6.4180407871054571E-2</v>
      </c>
      <c r="DG14" s="7">
        <v>8.7324805758533047E-2</v>
      </c>
      <c r="DH14" s="7">
        <v>-5.8741194166373682E-2</v>
      </c>
      <c r="DI14" s="7">
        <v>4.0659134635571623E-2</v>
      </c>
      <c r="DJ14" s="7">
        <v>-8.7940293873207658E-3</v>
      </c>
      <c r="DK14" s="7">
        <v>-7.7413284290136219E-2</v>
      </c>
      <c r="DL14" s="7">
        <v>-4.0754871831899041E-2</v>
      </c>
      <c r="DM14" s="7">
        <v>3.2421916741778967E-2</v>
      </c>
      <c r="DN14" s="7">
        <v>4.4935740608495638E-2</v>
      </c>
      <c r="DO14" s="7">
        <v>7.0288548944531612E-2</v>
      </c>
      <c r="DP14" s="7">
        <v>4.3539716357652018E-2</v>
      </c>
      <c r="DQ14" s="7">
        <v>-7.1172564581132955E-2</v>
      </c>
      <c r="DR14" s="7">
        <v>7.7944218090853119E-3</v>
      </c>
      <c r="DS14" s="7">
        <v>-8.9437754388967186E-2</v>
      </c>
      <c r="DT14" s="7">
        <v>7.7542903390828534E-3</v>
      </c>
      <c r="DU14" s="7">
        <v>-0.11891758656757311</v>
      </c>
      <c r="DV14" s="7">
        <v>-4.5153223904483022E-2</v>
      </c>
      <c r="DW14" s="7">
        <v>9.8344367017777726E-2</v>
      </c>
      <c r="DX14" s="7">
        <v>-2.7689697360398641E-2</v>
      </c>
      <c r="DY14" s="7">
        <v>4.7660986602341179E-2</v>
      </c>
      <c r="DZ14" s="7">
        <v>2.1697589256116791E-2</v>
      </c>
      <c r="EA14" s="7">
        <v>0.10752548319752379</v>
      </c>
      <c r="EB14" s="7">
        <v>7.8179830700263173E-2</v>
      </c>
      <c r="EC14" s="7">
        <v>-4.3260017529307637E-2</v>
      </c>
      <c r="ED14" s="7">
        <v>-7.8399264145063485E-2</v>
      </c>
      <c r="EE14" s="7">
        <v>-4.2505739301358231E-2</v>
      </c>
      <c r="EF14" s="8">
        <v>-2.5525355201881251E-2</v>
      </c>
    </row>
    <row r="15" spans="1:137" x14ac:dyDescent="0.3">
      <c r="A15" s="1">
        <v>100</v>
      </c>
      <c r="B15" s="1">
        <v>10</v>
      </c>
      <c r="C15" s="7">
        <v>-3.6350225217569622E-2</v>
      </c>
      <c r="D15" s="7">
        <v>0.37270921560992559</v>
      </c>
      <c r="E15" s="7">
        <v>-9.5344605470970442E-2</v>
      </c>
      <c r="F15" s="7">
        <v>3.4921436556697362E-2</v>
      </c>
      <c r="G15" s="7">
        <v>-3.4403920967036511E-2</v>
      </c>
      <c r="H15" s="7">
        <v>-1.2437260581051001E-3</v>
      </c>
      <c r="I15" s="7">
        <v>-5.843144427986554E-2</v>
      </c>
      <c r="J15" s="7">
        <v>4.9961465247389647E-2</v>
      </c>
      <c r="K15" s="7">
        <v>9.4514797591930877E-2</v>
      </c>
      <c r="L15" s="7">
        <v>-8.1171060568646272E-2</v>
      </c>
      <c r="M15" s="7">
        <v>-2.1330164362876949E-3</v>
      </c>
      <c r="N15" s="7">
        <v>0.10979619442513371</v>
      </c>
      <c r="O15" s="7">
        <v>7.375734424631461E-2</v>
      </c>
      <c r="P15" s="7">
        <v>2.1896569845224052E-2</v>
      </c>
      <c r="Q15" s="7">
        <v>0.15553684210781249</v>
      </c>
      <c r="R15" s="7">
        <v>5.2129690105117463E-2</v>
      </c>
      <c r="S15" s="7">
        <v>8.5487890205940886E-2</v>
      </c>
      <c r="T15" s="7">
        <v>6.6800124943112091E-2</v>
      </c>
      <c r="U15" s="7">
        <v>0.1369680616672688</v>
      </c>
      <c r="V15" s="7">
        <v>0.1101270063308359</v>
      </c>
      <c r="W15" s="7">
        <v>5.0671424244990583E-2</v>
      </c>
      <c r="X15" s="7">
        <v>7.8436412445587397E-2</v>
      </c>
      <c r="Y15" s="7">
        <v>5.202879805714216E-2</v>
      </c>
      <c r="Z15" s="7">
        <v>4.6719972053358677E-2</v>
      </c>
      <c r="AA15" s="7">
        <v>-5.4081147028033669E-2</v>
      </c>
      <c r="AB15" s="7">
        <v>-8.370017251583052E-2</v>
      </c>
      <c r="AC15" s="7">
        <v>4.3176688480551298E-3</v>
      </c>
      <c r="AD15" s="7">
        <v>-8.171337488818238E-2</v>
      </c>
      <c r="AE15" s="7">
        <v>0.21179264304727199</v>
      </c>
      <c r="AF15" s="7">
        <v>-0.13772628717765439</v>
      </c>
      <c r="AG15" s="7">
        <v>-4.4324544215075819E-2</v>
      </c>
      <c r="AH15" s="7">
        <v>0.13296736500972281</v>
      </c>
      <c r="AI15" s="7">
        <v>-2.4849257132530979E-2</v>
      </c>
      <c r="AJ15" s="7">
        <v>-3.3717922119173148E-2</v>
      </c>
      <c r="AK15" s="7">
        <v>-6.9361451191916404E-2</v>
      </c>
      <c r="AL15" s="7">
        <v>4.4431662495814539E-2</v>
      </c>
      <c r="AM15" s="7">
        <v>5.5122622134627111E-2</v>
      </c>
      <c r="AN15" s="7">
        <v>0.10168870591238351</v>
      </c>
      <c r="AO15" s="7">
        <v>-5.1384520239967417E-2</v>
      </c>
      <c r="AP15" s="7">
        <v>-1.2581944955645789E-2</v>
      </c>
      <c r="AQ15" s="7">
        <v>3.7367126796121669E-2</v>
      </c>
      <c r="AR15" s="7">
        <v>-2.4550819698278721E-2</v>
      </c>
      <c r="AS15" s="7">
        <v>5.3821179037114017E-2</v>
      </c>
      <c r="AT15" s="7">
        <v>7.098981260370496E-2</v>
      </c>
      <c r="AU15" s="7">
        <v>7.7174077249961781E-2</v>
      </c>
      <c r="AV15" s="7">
        <v>3.3225302218378612E-2</v>
      </c>
      <c r="AW15" s="7">
        <v>-1.5659939254580951E-2</v>
      </c>
      <c r="AX15" s="7">
        <v>-8.1360565954768135E-2</v>
      </c>
      <c r="AY15" s="7">
        <v>-2.9005659300491791E-2</v>
      </c>
      <c r="AZ15" s="7">
        <v>-6.7846329118650434E-2</v>
      </c>
      <c r="BA15" s="7">
        <v>1.061351480765297E-2</v>
      </c>
      <c r="BB15" s="7">
        <v>0.1087890998161227</v>
      </c>
      <c r="BC15" s="7">
        <v>6.2155143667830287E-2</v>
      </c>
      <c r="BD15" s="7">
        <v>5.3043273904796059E-2</v>
      </c>
      <c r="BE15" s="7">
        <v>-4.8442721017663122E-2</v>
      </c>
      <c r="BF15" s="7">
        <v>0.2108720874899874</v>
      </c>
      <c r="BG15" s="7">
        <v>2.489538734565238E-3</v>
      </c>
      <c r="BH15" s="7">
        <v>3.4441845481689458E-2</v>
      </c>
      <c r="BI15" s="7">
        <v>2.115911440673959E-2</v>
      </c>
      <c r="BJ15" s="7">
        <v>0.13011025503616941</v>
      </c>
      <c r="BK15" s="7">
        <v>4.5604932300413459E-2</v>
      </c>
      <c r="BL15" s="7">
        <v>5.9755420974320878E-2</v>
      </c>
      <c r="BM15" s="7">
        <v>4.8219004487744091E-2</v>
      </c>
      <c r="BN15" s="7">
        <v>6.3720727411011702E-2</v>
      </c>
      <c r="BO15" s="7">
        <v>-2.773447595493098E-2</v>
      </c>
      <c r="BP15" s="7">
        <v>-5.1616854472064641E-2</v>
      </c>
      <c r="BQ15" s="7">
        <v>-4.3431253492895713E-2</v>
      </c>
      <c r="BR15" s="7">
        <v>-5.0157429122059692E-2</v>
      </c>
      <c r="BS15" s="7">
        <v>-1.1865910908611719E-2</v>
      </c>
      <c r="BT15" s="7">
        <v>-5.9850936091850722E-2</v>
      </c>
      <c r="BU15" s="7">
        <v>1.9476419795793471E-2</v>
      </c>
      <c r="BV15" s="7">
        <v>-8.6180136715920008E-2</v>
      </c>
      <c r="BW15" s="7">
        <v>0.29887898957592779</v>
      </c>
      <c r="BX15" s="7">
        <v>-5.385156894446378E-2</v>
      </c>
      <c r="BY15" s="7">
        <v>-9.333839246383685E-2</v>
      </c>
      <c r="BZ15" s="7">
        <v>-0.1029064689773473</v>
      </c>
      <c r="CA15" s="7">
        <v>-1.859202079644226E-2</v>
      </c>
      <c r="CB15" s="7">
        <v>-0.13109140278406139</v>
      </c>
      <c r="CC15" s="7">
        <v>0.17365170572211991</v>
      </c>
      <c r="CD15" s="7">
        <v>-4.7114468128673648E-2</v>
      </c>
      <c r="CE15" s="7">
        <v>-0.1165165690701207</v>
      </c>
      <c r="CF15" s="7">
        <v>4.1349429867967538E-2</v>
      </c>
      <c r="CG15" s="7">
        <v>-8.5886021530163809E-2</v>
      </c>
      <c r="CH15" s="7">
        <v>8.1342607983328249E-2</v>
      </c>
      <c r="CI15" s="7">
        <v>-2.5109387803323689E-3</v>
      </c>
      <c r="CJ15" s="7">
        <v>8.7044356072718085E-2</v>
      </c>
      <c r="CK15" s="7">
        <v>9.5640748172705348E-2</v>
      </c>
      <c r="CL15" s="7">
        <v>-0.16165447304317659</v>
      </c>
      <c r="CM15" s="7">
        <v>7.4631116128453773E-2</v>
      </c>
      <c r="CN15" s="7">
        <v>4.2634115799160301E-2</v>
      </c>
      <c r="CO15" s="7">
        <v>-0.1069792441995681</v>
      </c>
      <c r="CP15" s="7">
        <v>-0.12753583543294969</v>
      </c>
      <c r="CQ15" s="7">
        <v>-2.49633604564388E-2</v>
      </c>
      <c r="CR15" s="7">
        <v>-0.18148893223573509</v>
      </c>
      <c r="CS15" s="7">
        <v>1.6910986704255612E-2</v>
      </c>
      <c r="CT15" s="7">
        <v>4.9416703656119249E-3</v>
      </c>
      <c r="CU15" s="7">
        <v>0.12404993141386809</v>
      </c>
      <c r="CV15" s="7">
        <v>-6.0444495689389921E-2</v>
      </c>
      <c r="CW15" s="7">
        <v>2.6072090903126711E-2</v>
      </c>
      <c r="CX15" s="7">
        <v>-0.15238777889156799</v>
      </c>
      <c r="CY15" s="7">
        <v>-9.2947904335357948E-2</v>
      </c>
      <c r="CZ15" s="7">
        <v>-2.3763335140482119E-2</v>
      </c>
      <c r="DA15" s="7">
        <v>-2.6375835441876511E-2</v>
      </c>
      <c r="DB15" s="7">
        <v>3.0226618214123681E-2</v>
      </c>
      <c r="DC15" s="7">
        <v>-3.5075149974582137E-2</v>
      </c>
      <c r="DD15" s="7">
        <v>1.450672613144627E-2</v>
      </c>
      <c r="DE15" s="7">
        <v>5.7163634731252508E-2</v>
      </c>
      <c r="DF15" s="7">
        <v>6.0545262726041799E-3</v>
      </c>
      <c r="DG15" s="7">
        <v>0.11309156284035971</v>
      </c>
      <c r="DH15" s="7">
        <v>-0.1296219356678569</v>
      </c>
      <c r="DI15" s="7">
        <v>5.4108318657130297E-2</v>
      </c>
      <c r="DJ15" s="7">
        <v>-6.0023776691057282E-2</v>
      </c>
      <c r="DK15" s="7">
        <v>-7.2188597805797533E-2</v>
      </c>
      <c r="DL15" s="7">
        <v>3.0399320282783332E-4</v>
      </c>
      <c r="DM15" s="7">
        <v>3.9052116693665768E-2</v>
      </c>
      <c r="DN15" s="7">
        <v>8.1730712251129128E-2</v>
      </c>
      <c r="DO15" s="7">
        <v>3.4104415749097068E-2</v>
      </c>
      <c r="DP15" s="7">
        <v>2.3735602006892551E-2</v>
      </c>
      <c r="DQ15" s="7">
        <v>-3.7038688952197418E-2</v>
      </c>
      <c r="DR15" s="7">
        <v>-2.2035264994874001E-2</v>
      </c>
      <c r="DS15" s="7">
        <v>-9.5715424587646258E-3</v>
      </c>
      <c r="DT15" s="7">
        <v>5.271878998906962E-2</v>
      </c>
      <c r="DU15" s="7">
        <v>-0.18864064490238791</v>
      </c>
      <c r="DV15" s="7">
        <v>-4.6727729353239662E-2</v>
      </c>
      <c r="DW15" s="7">
        <v>2.5538627146832551E-2</v>
      </c>
      <c r="DX15" s="7">
        <v>-2.1545670320480031E-2</v>
      </c>
      <c r="DY15" s="7">
        <v>-8.3673634692538773E-2</v>
      </c>
      <c r="DZ15" s="7">
        <v>3.6596497763803963E-2</v>
      </c>
      <c r="EA15" s="7">
        <v>0.10917693290987859</v>
      </c>
      <c r="EB15" s="7">
        <v>8.8087449527254891E-2</v>
      </c>
      <c r="EC15" s="7">
        <v>-7.6157076796619858E-2</v>
      </c>
      <c r="ED15" s="7">
        <v>-0.1106600344882203</v>
      </c>
      <c r="EE15" s="7">
        <v>-4.9344179940159598E-2</v>
      </c>
      <c r="EF15" s="8">
        <v>-2.964605507200602E-2</v>
      </c>
    </row>
    <row r="16" spans="1:137" x14ac:dyDescent="0.3">
      <c r="A16" s="1">
        <v>107</v>
      </c>
      <c r="B16" s="1">
        <v>9</v>
      </c>
      <c r="C16" s="7">
        <v>-3.9435389831589431E-2</v>
      </c>
      <c r="D16" s="7">
        <v>0.40819497873258059</v>
      </c>
      <c r="E16" s="7">
        <v>-8.6704171428553314E-2</v>
      </c>
      <c r="F16" s="7">
        <v>7.871547190433098E-2</v>
      </c>
      <c r="G16" s="7">
        <v>-8.1465506589492725E-3</v>
      </c>
      <c r="H16" s="7">
        <v>-6.4934945682303775E-4</v>
      </c>
      <c r="I16" s="7">
        <v>-5.7530618665621432E-2</v>
      </c>
      <c r="J16" s="7">
        <v>4.6709926042666168E-2</v>
      </c>
      <c r="K16" s="7">
        <v>8.642089158239058E-2</v>
      </c>
      <c r="L16" s="7">
        <v>-8.5161604114211434E-2</v>
      </c>
      <c r="M16" s="7">
        <v>-1.3987435861917089E-2</v>
      </c>
      <c r="N16" s="7">
        <v>0.1202424982791967</v>
      </c>
      <c r="O16" s="7">
        <v>7.9826860571117084E-2</v>
      </c>
      <c r="P16" s="7">
        <v>8.1881795143319731E-3</v>
      </c>
      <c r="Q16" s="7">
        <v>0.15790307042433799</v>
      </c>
      <c r="R16" s="7">
        <v>4.899097828292652E-2</v>
      </c>
      <c r="S16" s="7">
        <v>0.1098590443348066</v>
      </c>
      <c r="T16" s="7">
        <v>6.7219060157601318E-2</v>
      </c>
      <c r="U16" s="7">
        <v>0.1300624714297445</v>
      </c>
      <c r="V16" s="7">
        <v>7.5571486108906974E-2</v>
      </c>
      <c r="W16" s="7">
        <v>0.1016313571311754</v>
      </c>
      <c r="X16" s="7">
        <v>7.3678277657467109E-2</v>
      </c>
      <c r="Y16" s="7">
        <v>5.0278834461062571E-2</v>
      </c>
      <c r="Z16" s="7">
        <v>4.3057930884211712E-2</v>
      </c>
      <c r="AA16" s="7">
        <v>-4.3487635835992113E-2</v>
      </c>
      <c r="AB16" s="7">
        <v>-7.4985041637980393E-2</v>
      </c>
      <c r="AC16" s="7">
        <v>-1.27654480354167E-2</v>
      </c>
      <c r="AD16" s="7">
        <v>-5.3136055547856789E-2</v>
      </c>
      <c r="AE16" s="7">
        <v>0.20962824117691051</v>
      </c>
      <c r="AF16" s="7">
        <v>-0.14791561026442651</v>
      </c>
      <c r="AG16" s="7">
        <v>-4.3776159735772403E-2</v>
      </c>
      <c r="AH16" s="7">
        <v>0.1484016251671525</v>
      </c>
      <c r="AI16" s="7">
        <v>-3.3383255671647301E-2</v>
      </c>
      <c r="AJ16" s="7">
        <v>-4.812047853633028E-2</v>
      </c>
      <c r="AK16" s="7">
        <v>-3.7433452981487869E-2</v>
      </c>
      <c r="AL16" s="7">
        <v>4.8688933104523248E-2</v>
      </c>
      <c r="AM16" s="7">
        <v>6.6076730601797973E-2</v>
      </c>
      <c r="AN16" s="7">
        <v>0.1064562000896756</v>
      </c>
      <c r="AO16" s="7">
        <v>-4.1090153361741252E-2</v>
      </c>
      <c r="AP16" s="7">
        <v>-5.239889563344962E-3</v>
      </c>
      <c r="AQ16" s="7">
        <v>3.8466200146068608E-2</v>
      </c>
      <c r="AR16" s="7">
        <v>-3.2492759720063692E-2</v>
      </c>
      <c r="AS16" s="7">
        <v>6.5068225473969343E-2</v>
      </c>
      <c r="AT16" s="7">
        <v>0.1225640433502848</v>
      </c>
      <c r="AU16" s="7">
        <v>8.2090271843001925E-2</v>
      </c>
      <c r="AV16" s="7">
        <v>2.360887634805886E-2</v>
      </c>
      <c r="AW16" s="7">
        <v>-3.9252930074650652E-2</v>
      </c>
      <c r="AX16" s="7">
        <v>-0.1006213291014028</v>
      </c>
      <c r="AY16" s="7">
        <v>-1.9601853599139189E-2</v>
      </c>
      <c r="AZ16" s="7">
        <v>-8.8150181520572649E-2</v>
      </c>
      <c r="BA16" s="7">
        <v>1.4923105057586089E-2</v>
      </c>
      <c r="BB16" s="7">
        <v>0.1324747375965718</v>
      </c>
      <c r="BC16" s="7">
        <v>6.712146610769186E-2</v>
      </c>
      <c r="BD16" s="7">
        <v>3.5936711545904013E-2</v>
      </c>
      <c r="BE16" s="7">
        <v>-5.1410994394474947E-2</v>
      </c>
      <c r="BF16" s="7">
        <v>0.24778685910046011</v>
      </c>
      <c r="BG16" s="7">
        <v>1.347328204795663E-2</v>
      </c>
      <c r="BH16" s="7">
        <v>-1.377561448396186E-2</v>
      </c>
      <c r="BI16" s="7">
        <v>4.8989940432910987E-2</v>
      </c>
      <c r="BJ16" s="7">
        <v>9.6566803525538036E-2</v>
      </c>
      <c r="BK16" s="7">
        <v>5.137162452601142E-2</v>
      </c>
      <c r="BL16" s="7">
        <v>6.1173599484470167E-2</v>
      </c>
      <c r="BM16" s="7">
        <v>3.9497985491106162E-2</v>
      </c>
      <c r="BN16" s="7">
        <v>6.1304749909884763E-2</v>
      </c>
      <c r="BO16" s="7">
        <v>-2.1890359953657689E-2</v>
      </c>
      <c r="BP16" s="7">
        <v>-5.7750060680455823E-2</v>
      </c>
      <c r="BQ16" s="7">
        <v>-2.3690718667247399E-2</v>
      </c>
      <c r="BR16" s="7">
        <v>-2.6296848021444389E-2</v>
      </c>
      <c r="BS16" s="7">
        <v>-3.2006987192883168E-2</v>
      </c>
      <c r="BT16" s="7">
        <v>-4.6660882493518303E-2</v>
      </c>
      <c r="BU16" s="7">
        <v>5.7765110184800447E-2</v>
      </c>
      <c r="BV16" s="7">
        <v>-9.4510468466925304E-2</v>
      </c>
      <c r="BW16" s="7">
        <v>0.31797083453836722</v>
      </c>
      <c r="BX16" s="7">
        <v>-6.6559519118082902E-2</v>
      </c>
      <c r="BY16" s="7">
        <v>-0.1189947080532785</v>
      </c>
      <c r="BZ16" s="7">
        <v>-0.11152584850164921</v>
      </c>
      <c r="CA16" s="7">
        <v>-2.971438975556321E-2</v>
      </c>
      <c r="CB16" s="7">
        <v>-0.13930873593333401</v>
      </c>
      <c r="CC16" s="7">
        <v>4.4388153170205821E-2</v>
      </c>
      <c r="CD16" s="7">
        <v>-6.0988525873729958E-2</v>
      </c>
      <c r="CE16" s="7">
        <v>-0.13259506079351141</v>
      </c>
      <c r="CF16" s="7">
        <v>5.280008433528089E-2</v>
      </c>
      <c r="CG16" s="7">
        <v>-6.1727878146666561E-2</v>
      </c>
      <c r="CH16" s="7">
        <v>5.0448724703996098E-2</v>
      </c>
      <c r="CI16" s="7">
        <v>-4.2406681121506702E-3</v>
      </c>
      <c r="CJ16" s="7">
        <v>4.5523550787666608E-2</v>
      </c>
      <c r="CK16" s="7">
        <v>8.8422689781607638E-2</v>
      </c>
      <c r="CL16" s="7">
        <v>-0.19674043815921369</v>
      </c>
      <c r="CM16" s="7">
        <v>8.8988628149511667E-2</v>
      </c>
      <c r="CN16" s="7">
        <v>3.3057515140949983E-2</v>
      </c>
      <c r="CO16" s="7">
        <v>-0.13464020879390531</v>
      </c>
      <c r="CP16" s="7">
        <v>-0.13663168948209131</v>
      </c>
      <c r="CQ16" s="7">
        <v>-2.0333779820360921E-2</v>
      </c>
      <c r="CR16" s="7">
        <v>-0.1892865334673984</v>
      </c>
      <c r="CS16" s="7">
        <v>2.1807008909622099E-2</v>
      </c>
      <c r="CT16" s="7">
        <v>2.5557377960834651E-2</v>
      </c>
      <c r="CU16" s="7">
        <v>0.1354717008642061</v>
      </c>
      <c r="CV16" s="7">
        <v>-5.9453992785835928E-2</v>
      </c>
      <c r="CW16" s="7">
        <v>4.7341659174279828E-2</v>
      </c>
      <c r="CX16" s="7">
        <v>-0.16226597530261619</v>
      </c>
      <c r="CY16" s="7">
        <v>-8.1280637874214245E-2</v>
      </c>
      <c r="CZ16" s="7">
        <v>-3.2724822242144208E-2</v>
      </c>
      <c r="DA16" s="7">
        <v>-2.9804793967235531E-2</v>
      </c>
      <c r="DB16" s="7">
        <v>4.2712169780226052E-2</v>
      </c>
      <c r="DC16" s="7">
        <v>-4.2942362320500277E-2</v>
      </c>
      <c r="DD16" s="7">
        <v>3.1743710487280023E-2</v>
      </c>
      <c r="DE16" s="7">
        <v>3.4552400358790022E-2</v>
      </c>
      <c r="DF16" s="7">
        <v>2.6980135523259619E-3</v>
      </c>
      <c r="DG16" s="7">
        <v>0.12637191985047269</v>
      </c>
      <c r="DH16" s="7">
        <v>-0.13714776041250831</v>
      </c>
      <c r="DI16" s="7">
        <v>4.5399497901261208E-2</v>
      </c>
      <c r="DJ16" s="7">
        <v>-7.0955052436885546E-2</v>
      </c>
      <c r="DK16" s="7">
        <v>-5.7685769347259337E-2</v>
      </c>
      <c r="DL16" s="7">
        <v>2.187287424977424E-2</v>
      </c>
      <c r="DM16" s="7">
        <v>1.8910374168543239E-2</v>
      </c>
      <c r="DN16" s="7">
        <v>0.1158867317449916</v>
      </c>
      <c r="DO16" s="7">
        <v>4.656386647977797E-2</v>
      </c>
      <c r="DP16" s="7">
        <v>1.9841948579226051E-2</v>
      </c>
      <c r="DQ16" s="7">
        <v>-4.7070156004531787E-2</v>
      </c>
      <c r="DR16" s="7">
        <v>-1.11781676491013E-2</v>
      </c>
      <c r="DS16" s="7">
        <v>1.042302437651493E-2</v>
      </c>
      <c r="DT16" s="7">
        <v>5.9112975078185963E-2</v>
      </c>
      <c r="DU16" s="7">
        <v>-0.1901082424459184</v>
      </c>
      <c r="DV16" s="7">
        <v>-4.5728317172487008E-2</v>
      </c>
      <c r="DW16" s="7">
        <v>4.0917729699690833E-2</v>
      </c>
      <c r="DX16" s="7">
        <v>-2.1947727776040898E-2</v>
      </c>
      <c r="DY16" s="7">
        <v>-9.4984864221236961E-2</v>
      </c>
      <c r="DZ16" s="7">
        <v>1.264917158578936E-2</v>
      </c>
      <c r="EA16" s="7">
        <v>0.13979901874338971</v>
      </c>
      <c r="EB16" s="7">
        <v>0.1006791006772017</v>
      </c>
      <c r="EC16" s="7">
        <v>-6.8501480567839029E-2</v>
      </c>
      <c r="ED16" s="7">
        <v>-0.11469922764091681</v>
      </c>
      <c r="EE16" s="7">
        <v>-5.9240996655185861E-2</v>
      </c>
      <c r="EF16" s="8">
        <v>-3.455063597997958E-2</v>
      </c>
    </row>
    <row r="17" spans="1:136" x14ac:dyDescent="0.3">
      <c r="A17" s="1">
        <v>120</v>
      </c>
      <c r="B17" s="1">
        <v>8</v>
      </c>
      <c r="C17" s="7">
        <v>-3.8913468982799751E-2</v>
      </c>
      <c r="D17" s="7">
        <v>0.43958848862462141</v>
      </c>
      <c r="E17" s="7">
        <v>-9.6671109192610821E-2</v>
      </c>
      <c r="F17" s="7">
        <v>8.0752164152319103E-2</v>
      </c>
      <c r="G17" s="7">
        <v>-0.10538707466373071</v>
      </c>
      <c r="H17" s="7">
        <v>7.9428568480016878E-3</v>
      </c>
      <c r="I17" s="7">
        <v>-0.1137250278021875</v>
      </c>
      <c r="J17" s="7">
        <v>4.1858395118229183E-2</v>
      </c>
      <c r="K17" s="7">
        <v>0.1015600797223099</v>
      </c>
      <c r="L17" s="7">
        <v>-4.2234791145342128E-2</v>
      </c>
      <c r="M17" s="7">
        <v>1.4659142090288421E-2</v>
      </c>
      <c r="N17" s="7">
        <v>0.1092778268298058</v>
      </c>
      <c r="O17" s="7">
        <v>0.1012267692723357</v>
      </c>
      <c r="P17" s="7">
        <v>1.338294674336832E-2</v>
      </c>
      <c r="Q17" s="7">
        <v>0.16180129461512691</v>
      </c>
      <c r="R17" s="7">
        <v>5.2057608904527208E-2</v>
      </c>
      <c r="S17" s="7">
        <v>0.1190543893253307</v>
      </c>
      <c r="T17" s="7">
        <v>7.120201453280707E-2</v>
      </c>
      <c r="U17" s="7">
        <v>0.14127114253855691</v>
      </c>
      <c r="V17" s="7">
        <v>9.7259655852603044E-2</v>
      </c>
      <c r="W17" s="7">
        <v>0.1286672543576686</v>
      </c>
      <c r="X17" s="7">
        <v>0.1001859670039883</v>
      </c>
      <c r="Y17" s="7">
        <v>7.3623131490407626E-2</v>
      </c>
      <c r="Z17" s="7">
        <v>5.3868489290865788E-2</v>
      </c>
      <c r="AA17" s="7">
        <v>-3.5209789582199093E-2</v>
      </c>
      <c r="AB17" s="7">
        <v>-8.4852062878172319E-2</v>
      </c>
      <c r="AC17" s="7">
        <v>-2.008625473802152E-2</v>
      </c>
      <c r="AD17" s="7">
        <v>-4.9777375460754107E-2</v>
      </c>
      <c r="AE17" s="7">
        <v>0.22212270442845089</v>
      </c>
      <c r="AF17" s="7">
        <v>-0.1202863246558465</v>
      </c>
      <c r="AG17" s="7">
        <v>-6.2640141571138702E-2</v>
      </c>
      <c r="AH17" s="7">
        <v>0.14702488925580459</v>
      </c>
      <c r="AI17" s="7">
        <v>-5.7037975655486538E-2</v>
      </c>
      <c r="AJ17" s="7">
        <v>-6.1612618608742321E-2</v>
      </c>
      <c r="AK17" s="7">
        <v>-2.937588960957525E-2</v>
      </c>
      <c r="AL17" s="7">
        <v>5.0724405748556509E-2</v>
      </c>
      <c r="AM17" s="7">
        <v>7.5369367587656971E-2</v>
      </c>
      <c r="AN17" s="7">
        <v>0.1132871203459177</v>
      </c>
      <c r="AO17" s="7">
        <v>-7.6694527622622979E-2</v>
      </c>
      <c r="AP17" s="7">
        <v>-3.7580715888505642E-3</v>
      </c>
      <c r="AQ17" s="7">
        <v>6.052713740149903E-2</v>
      </c>
      <c r="AR17" s="7">
        <v>-3.4997281035057427E-2</v>
      </c>
      <c r="AS17" s="7">
        <v>5.6323562034475708E-2</v>
      </c>
      <c r="AT17" s="7">
        <v>0.1270717931072517</v>
      </c>
      <c r="AU17" s="7">
        <v>0.11569960953410489</v>
      </c>
      <c r="AV17" s="7">
        <v>2.7563054075277468E-2</v>
      </c>
      <c r="AW17" s="7">
        <v>-8.4218880418367916E-3</v>
      </c>
      <c r="AX17" s="7">
        <v>-9.7619105117607935E-2</v>
      </c>
      <c r="AY17" s="7">
        <v>-1.547804570524644E-2</v>
      </c>
      <c r="AZ17" s="7">
        <v>-7.0494230916434586E-2</v>
      </c>
      <c r="BA17" s="7">
        <v>9.8251791071129642E-3</v>
      </c>
      <c r="BB17" s="7">
        <v>0.15327128427838471</v>
      </c>
      <c r="BC17" s="7">
        <v>8.386319517781364E-2</v>
      </c>
      <c r="BD17" s="7">
        <v>2.235648224620481E-2</v>
      </c>
      <c r="BE17" s="7">
        <v>-7.7350242238060404E-2</v>
      </c>
      <c r="BF17" s="7">
        <v>0.14777683028015831</v>
      </c>
      <c r="BG17" s="7">
        <v>-3.5394236088037288E-2</v>
      </c>
      <c r="BH17" s="7">
        <v>1.351946085175304E-2</v>
      </c>
      <c r="BI17" s="7">
        <v>8.073839955835159E-2</v>
      </c>
      <c r="BJ17" s="7">
        <v>9.7868244368423979E-2</v>
      </c>
      <c r="BK17" s="7">
        <v>1.67513267503808E-2</v>
      </c>
      <c r="BL17" s="7">
        <v>3.4152447324294427E-2</v>
      </c>
      <c r="BM17" s="7">
        <v>2.905901115235426E-2</v>
      </c>
      <c r="BN17" s="7">
        <v>5.3470180947152127E-2</v>
      </c>
      <c r="BO17" s="7">
        <v>-3.5179615416723611E-2</v>
      </c>
      <c r="BP17" s="7">
        <v>-6.0638146909917152E-2</v>
      </c>
      <c r="BQ17" s="7">
        <v>-2.5601715515448219E-2</v>
      </c>
      <c r="BR17" s="7">
        <v>-9.6463751247498966E-3</v>
      </c>
      <c r="BS17" s="7">
        <v>-2.0906018213695501E-2</v>
      </c>
      <c r="BT17" s="7">
        <v>-5.2650160261977733E-2</v>
      </c>
      <c r="BU17" s="7">
        <v>7.1127818750752414E-2</v>
      </c>
      <c r="BV17" s="7">
        <v>-0.1066439176333919</v>
      </c>
      <c r="BW17" s="7">
        <v>0.2083368255173885</v>
      </c>
      <c r="BX17" s="7">
        <v>-8.2640989537648424E-2</v>
      </c>
      <c r="BY17" s="7">
        <v>-9.5860871919991084E-2</v>
      </c>
      <c r="BZ17" s="7">
        <v>-0.12057815588108529</v>
      </c>
      <c r="CA17" s="7">
        <v>-2.7934832358489561E-2</v>
      </c>
      <c r="CB17" s="7">
        <v>-0.1496331576928896</v>
      </c>
      <c r="CC17" s="7">
        <v>4.1760252474235628E-2</v>
      </c>
      <c r="CD17" s="7">
        <v>-7.6385115279474114E-2</v>
      </c>
      <c r="CE17" s="7">
        <v>-0.17511624550605151</v>
      </c>
      <c r="CF17" s="7">
        <v>5.8238796594696537E-2</v>
      </c>
      <c r="CG17" s="7">
        <v>-7.4714988628731105E-2</v>
      </c>
      <c r="CH17" s="7">
        <v>3.296907217045305E-2</v>
      </c>
      <c r="CI17" s="7">
        <v>-3.7017833748845611E-3</v>
      </c>
      <c r="CJ17" s="7">
        <v>5.0742321484442049E-2</v>
      </c>
      <c r="CK17" s="7">
        <v>8.3955848259630761E-2</v>
      </c>
      <c r="CL17" s="7">
        <v>-0.13683909896473681</v>
      </c>
      <c r="CM17" s="7">
        <v>0.13456934443157431</v>
      </c>
      <c r="CN17" s="7">
        <v>2.6718061150986971E-2</v>
      </c>
      <c r="CO17" s="7">
        <v>-0.13741287532952509</v>
      </c>
      <c r="CP17" s="7">
        <v>-0.1481592691973436</v>
      </c>
      <c r="CQ17" s="7">
        <v>5.1907103341726511E-2</v>
      </c>
      <c r="CR17" s="7">
        <v>-0.19640263176228931</v>
      </c>
      <c r="CS17" s="7">
        <v>1.1545515717005199E-2</v>
      </c>
      <c r="CT17" s="7">
        <v>1.7339280405090751E-2</v>
      </c>
      <c r="CU17" s="7">
        <v>0.15535189279975939</v>
      </c>
      <c r="CV17" s="7">
        <v>-6.7891017071279425E-2</v>
      </c>
      <c r="CW17" s="7">
        <v>6.3393218804487977E-2</v>
      </c>
      <c r="CX17" s="7">
        <v>-0.1250098553997174</v>
      </c>
      <c r="CY17" s="7">
        <v>-7.5608913409805675E-2</v>
      </c>
      <c r="CZ17" s="7">
        <v>-3.1592684380340692E-2</v>
      </c>
      <c r="DA17" s="7">
        <v>-4.3895859145134192E-2</v>
      </c>
      <c r="DB17" s="7">
        <v>3.4883010792467917E-2</v>
      </c>
      <c r="DC17" s="7">
        <v>-4.3363468977499313E-2</v>
      </c>
      <c r="DD17" s="7">
        <v>2.9155420882880739E-2</v>
      </c>
      <c r="DE17" s="7">
        <v>2.4124863346722019E-2</v>
      </c>
      <c r="DF17" s="7">
        <v>1.5674444936529901E-2</v>
      </c>
      <c r="DG17" s="7">
        <v>0.12321246613063939</v>
      </c>
      <c r="DH17" s="7">
        <v>-0.163431801211989</v>
      </c>
      <c r="DI17" s="7">
        <v>3.5044536065945063E-2</v>
      </c>
      <c r="DJ17" s="7">
        <v>-0.12892505978600949</v>
      </c>
      <c r="DK17" s="7">
        <v>-6.8118111488885122E-2</v>
      </c>
      <c r="DL17" s="7">
        <v>3.929731691128693E-3</v>
      </c>
      <c r="DM17" s="7">
        <v>3.7227475515992328E-2</v>
      </c>
      <c r="DN17" s="7">
        <v>0.1064799626072864</v>
      </c>
      <c r="DO17" s="7">
        <v>6.5250544351453679E-2</v>
      </c>
      <c r="DP17" s="7">
        <v>-1.651850825662354E-2</v>
      </c>
      <c r="DQ17" s="7">
        <v>-7.2654005106024863E-2</v>
      </c>
      <c r="DR17" s="7">
        <v>-2.572643946627351E-2</v>
      </c>
      <c r="DS17" s="7">
        <v>6.5055362314722226E-3</v>
      </c>
      <c r="DT17" s="7">
        <v>5.9811935234976271E-2</v>
      </c>
      <c r="DU17" s="7">
        <v>-0.15955509947844379</v>
      </c>
      <c r="DV17" s="7">
        <v>-4.5148836149058763E-2</v>
      </c>
      <c r="DW17" s="7">
        <v>4.8681483414150163E-2</v>
      </c>
      <c r="DX17" s="7">
        <v>2.3035180169188669E-2</v>
      </c>
      <c r="DY17" s="7">
        <v>-0.12601053790105471</v>
      </c>
      <c r="DZ17" s="7">
        <v>-4.7910532459885732E-3</v>
      </c>
      <c r="EA17" s="7">
        <v>0.1645715232321148</v>
      </c>
      <c r="EB17" s="7">
        <v>0.1072853267537575</v>
      </c>
      <c r="EC17" s="7">
        <v>-0.1215120172680231</v>
      </c>
      <c r="ED17" s="7">
        <v>-0.10329067393702911</v>
      </c>
      <c r="EE17" s="7">
        <v>-6.4278699968889033E-2</v>
      </c>
      <c r="EF17" s="8">
        <v>-4.0987205423901073E-2</v>
      </c>
    </row>
    <row r="18" spans="1:136" x14ac:dyDescent="0.3">
      <c r="A18" s="1">
        <v>137</v>
      </c>
      <c r="B18" s="1">
        <v>7</v>
      </c>
      <c r="C18" s="7">
        <v>-5.9146797802220617E-2</v>
      </c>
      <c r="D18" s="7">
        <v>0.40188368142206798</v>
      </c>
      <c r="E18" s="7">
        <v>-0.10047562300309219</v>
      </c>
      <c r="F18" s="7">
        <v>0.11938296010218979</v>
      </c>
      <c r="G18" s="7">
        <v>-0.10831637328507999</v>
      </c>
      <c r="H18" s="7">
        <v>8.6222277544443261E-3</v>
      </c>
      <c r="I18" s="7">
        <v>-0.13550018022324109</v>
      </c>
      <c r="J18" s="7">
        <v>4.3411515751641608E-2</v>
      </c>
      <c r="K18" s="7">
        <v>0.13564788877763229</v>
      </c>
      <c r="L18" s="7">
        <v>-5.0758207106719029E-2</v>
      </c>
      <c r="M18" s="7">
        <v>2.9051464376457319E-2</v>
      </c>
      <c r="N18" s="7">
        <v>0.14120748849629611</v>
      </c>
      <c r="O18" s="7">
        <v>0.10367048962961919</v>
      </c>
      <c r="P18" s="7">
        <v>8.3280858539089599E-3</v>
      </c>
      <c r="Q18" s="7">
        <v>0.18897541868948989</v>
      </c>
      <c r="R18" s="7">
        <v>6.149223787197499E-2</v>
      </c>
      <c r="S18" s="7">
        <v>0.14380522729889919</v>
      </c>
      <c r="T18" s="7">
        <v>5.4244440031608693E-2</v>
      </c>
      <c r="U18" s="7">
        <v>0.132495024429819</v>
      </c>
      <c r="V18" s="7">
        <v>0.1213914614259257</v>
      </c>
      <c r="W18" s="7">
        <v>0.16613482926929909</v>
      </c>
      <c r="X18" s="7">
        <v>0.1271228086254903</v>
      </c>
      <c r="Y18" s="7">
        <v>0.1038792439088113</v>
      </c>
      <c r="Z18" s="7">
        <v>8.9234363440522865E-2</v>
      </c>
      <c r="AA18" s="7">
        <v>-4.1705245182724067E-2</v>
      </c>
      <c r="AB18" s="7">
        <v>-8.4698299730484178E-2</v>
      </c>
      <c r="AC18" s="7">
        <v>1.3654204768322529E-3</v>
      </c>
      <c r="AD18" s="7">
        <v>-7.2443789088531399E-2</v>
      </c>
      <c r="AE18" s="7">
        <v>0.25839134891520849</v>
      </c>
      <c r="AF18" s="7">
        <v>-0.1505436398240734</v>
      </c>
      <c r="AG18" s="7">
        <v>-8.1719979892753619E-2</v>
      </c>
      <c r="AH18" s="7">
        <v>0.16306850482484961</v>
      </c>
      <c r="AI18" s="7">
        <v>-8.1423750051169697E-2</v>
      </c>
      <c r="AJ18" s="7">
        <v>-7.0867217661602505E-2</v>
      </c>
      <c r="AK18" s="7">
        <v>-2.283288536199644E-2</v>
      </c>
      <c r="AL18" s="7">
        <v>4.7527763632257733E-2</v>
      </c>
      <c r="AM18" s="7">
        <v>6.6643405424771207E-2</v>
      </c>
      <c r="AN18" s="7">
        <v>7.9294639955201793E-2</v>
      </c>
      <c r="AO18" s="7">
        <v>2.4584280444806969E-2</v>
      </c>
      <c r="AP18" s="7">
        <v>-2.0144314479082388E-3</v>
      </c>
      <c r="AQ18" s="7">
        <v>7.6230845326449942E-2</v>
      </c>
      <c r="AR18" s="7">
        <v>-6.1694523600781571E-2</v>
      </c>
      <c r="AS18" s="7">
        <v>8.5826551553969135E-2</v>
      </c>
      <c r="AT18" s="7">
        <v>0.16638580942405889</v>
      </c>
      <c r="AU18" s="7">
        <v>0.13889821464621971</v>
      </c>
      <c r="AV18" s="7">
        <v>3.5057687575876399E-2</v>
      </c>
      <c r="AW18" s="7">
        <v>-2.4538034241107461E-2</v>
      </c>
      <c r="AX18" s="7">
        <v>-0.12606433742612741</v>
      </c>
      <c r="AY18" s="7">
        <v>-3.0189358728490181E-2</v>
      </c>
      <c r="AZ18" s="7">
        <v>-5.1646327393508343E-2</v>
      </c>
      <c r="BA18" s="7">
        <v>6.3231092468556214E-4</v>
      </c>
      <c r="BB18" s="7">
        <v>0.16725801848079261</v>
      </c>
      <c r="BC18" s="7">
        <v>8.3201572593320602E-2</v>
      </c>
      <c r="BD18" s="7">
        <v>-2.4016271687300441E-2</v>
      </c>
      <c r="BE18" s="7">
        <v>-6.8361213238162841E-2</v>
      </c>
      <c r="BF18" s="7">
        <v>0.1649864946960074</v>
      </c>
      <c r="BG18" s="7">
        <v>-1.680624122620418E-2</v>
      </c>
      <c r="BH18" s="7">
        <v>2.0503853063805449E-2</v>
      </c>
      <c r="BI18" s="7">
        <v>7.5991093740458621E-2</v>
      </c>
      <c r="BJ18" s="7">
        <v>9.8533856685421792E-2</v>
      </c>
      <c r="BK18" s="7">
        <v>9.810839031169187E-4</v>
      </c>
      <c r="BL18" s="7">
        <v>5.5787880861779937E-2</v>
      </c>
      <c r="BM18" s="7">
        <v>2.8081356373095352E-2</v>
      </c>
      <c r="BN18" s="7">
        <v>4.2191588804803559E-2</v>
      </c>
      <c r="BO18" s="7">
        <v>-2.0227496106374639E-2</v>
      </c>
      <c r="BP18" s="7">
        <v>-6.2463432036451667E-2</v>
      </c>
      <c r="BQ18" s="7">
        <v>-8.6459690912229228E-2</v>
      </c>
      <c r="BR18" s="7">
        <v>-5.7481935839547244E-3</v>
      </c>
      <c r="BS18" s="7">
        <v>-3.2873256576031823E-2</v>
      </c>
      <c r="BT18" s="7">
        <v>-6.1545322892704799E-2</v>
      </c>
      <c r="BU18" s="7">
        <v>8.0677444040040805E-2</v>
      </c>
      <c r="BV18" s="7">
        <v>-0.11550551871264431</v>
      </c>
      <c r="BW18" s="7">
        <v>0.21837549913098869</v>
      </c>
      <c r="BX18" s="7">
        <v>-7.4580863414598103E-2</v>
      </c>
      <c r="BY18" s="7">
        <v>-6.2686744450084916E-2</v>
      </c>
      <c r="BZ18" s="7">
        <v>-0.15331998780259809</v>
      </c>
      <c r="CA18" s="7">
        <v>-1.6076543892860819E-2</v>
      </c>
      <c r="CB18" s="7">
        <v>-0.1068460604700732</v>
      </c>
      <c r="CC18" s="7">
        <v>0.1046606238416451</v>
      </c>
      <c r="CD18" s="7">
        <v>-0.1215952231687642</v>
      </c>
      <c r="CE18" s="7">
        <v>-0.1779263563088774</v>
      </c>
      <c r="CF18" s="7">
        <v>-4.3957743386608697E-2</v>
      </c>
      <c r="CG18" s="7">
        <v>-9.1609255563919342E-2</v>
      </c>
      <c r="CH18" s="7">
        <v>4.5365648959158789E-2</v>
      </c>
      <c r="CI18" s="7">
        <v>0.1150593108091785</v>
      </c>
      <c r="CJ18" s="7">
        <v>6.2313677824909687E-2</v>
      </c>
      <c r="CK18" s="7">
        <v>9.6058031665523097E-2</v>
      </c>
      <c r="CL18" s="7">
        <v>-0.15291394380948509</v>
      </c>
      <c r="CM18" s="7">
        <v>0.14364854316439371</v>
      </c>
      <c r="CN18" s="7">
        <v>3.5086253978176607E-2</v>
      </c>
      <c r="CO18" s="7">
        <v>-0.1505975096222473</v>
      </c>
      <c r="CP18" s="7">
        <v>-0.16283910894801071</v>
      </c>
      <c r="CQ18" s="7">
        <v>3.8242675594942703E-2</v>
      </c>
      <c r="CR18" s="7">
        <v>-0.19372240765220919</v>
      </c>
      <c r="CS18" s="7">
        <v>2.8128560414088639E-2</v>
      </c>
      <c r="CT18" s="7">
        <v>-1.6272494200008831E-2</v>
      </c>
      <c r="CU18" s="7">
        <v>0.14456482117613489</v>
      </c>
      <c r="CV18" s="7">
        <v>-6.2944622044462925E-2</v>
      </c>
      <c r="CW18" s="7">
        <v>6.6558574498316259E-2</v>
      </c>
      <c r="CX18" s="7">
        <v>-0.1530756896091533</v>
      </c>
      <c r="CY18" s="7">
        <v>-9.3178383907907517E-2</v>
      </c>
      <c r="CZ18" s="7">
        <v>-9.1459213412702536E-2</v>
      </c>
      <c r="DA18" s="7">
        <v>-4.7380939518693557E-2</v>
      </c>
      <c r="DB18" s="7">
        <v>4.5735208678759381E-2</v>
      </c>
      <c r="DC18" s="7">
        <v>-3.6408781495506221E-2</v>
      </c>
      <c r="DD18" s="7">
        <v>4.1014187319333921E-2</v>
      </c>
      <c r="DE18" s="7">
        <v>3.8420587486450893E-2</v>
      </c>
      <c r="DF18" s="7">
        <v>2.8071975077961529E-2</v>
      </c>
      <c r="DG18" s="7">
        <v>0.11821709327359541</v>
      </c>
      <c r="DH18" s="7">
        <v>-0.19240138195914119</v>
      </c>
      <c r="DI18" s="7">
        <v>1.8613248030418191E-2</v>
      </c>
      <c r="DJ18" s="7">
        <v>-0.14619607609941229</v>
      </c>
      <c r="DK18" s="7">
        <v>-5.7250589986626008E-2</v>
      </c>
      <c r="DL18" s="7">
        <v>3.830274067592157E-3</v>
      </c>
      <c r="DM18" s="7">
        <v>5.250678742263995E-3</v>
      </c>
      <c r="DN18" s="7">
        <v>0.1251086832695307</v>
      </c>
      <c r="DO18" s="7">
        <v>3.019901746158983E-2</v>
      </c>
      <c r="DP18" s="7">
        <v>-2.0604686466865741E-2</v>
      </c>
      <c r="DQ18" s="7">
        <v>-6.5749458183898837E-2</v>
      </c>
      <c r="DR18" s="7">
        <v>-1.045124881951652E-2</v>
      </c>
      <c r="DS18" s="7">
        <v>2.5385651257138282E-2</v>
      </c>
      <c r="DT18" s="7">
        <v>2.2601034841107401E-2</v>
      </c>
      <c r="DU18" s="7">
        <v>-0.16258878442425009</v>
      </c>
      <c r="DV18" s="7">
        <v>-7.0527692506077544E-2</v>
      </c>
      <c r="DW18" s="7">
        <v>8.1908692284373169E-2</v>
      </c>
      <c r="DX18" s="7">
        <v>6.8177293521735294E-2</v>
      </c>
      <c r="DY18" s="7">
        <v>-0.16576310466200311</v>
      </c>
      <c r="DZ18" s="7">
        <v>-4.3227854869441883E-2</v>
      </c>
      <c r="EA18" s="7">
        <v>0.19894574816433719</v>
      </c>
      <c r="EB18" s="7">
        <v>0.1099643544501954</v>
      </c>
      <c r="EC18" s="7">
        <v>-0.14304023059278551</v>
      </c>
      <c r="ED18" s="7">
        <v>-8.2759101388566583E-2</v>
      </c>
      <c r="EE18" s="7">
        <v>-5.3015040315364213E-2</v>
      </c>
      <c r="EF18" s="8">
        <v>-6.3954333689144396E-2</v>
      </c>
    </row>
    <row r="19" spans="1:136" x14ac:dyDescent="0.3">
      <c r="A19" s="1">
        <v>160</v>
      </c>
      <c r="B19" s="1">
        <v>6</v>
      </c>
      <c r="C19" s="7">
        <v>-7.386192988077088E-2</v>
      </c>
      <c r="D19" s="7">
        <v>0.40752071008946927</v>
      </c>
      <c r="E19" s="7">
        <v>-0.1405836765913312</v>
      </c>
      <c r="F19" s="7">
        <v>0.1776886618055605</v>
      </c>
      <c r="G19" s="7">
        <v>-9.6065971857177412E-2</v>
      </c>
      <c r="H19" s="7">
        <v>-1.2068788462484921E-2</v>
      </c>
      <c r="I19" s="7">
        <v>-0.1346543328914665</v>
      </c>
      <c r="J19" s="7">
        <v>3.5429584520191022E-2</v>
      </c>
      <c r="K19" s="7">
        <v>0.23878941472391671</v>
      </c>
      <c r="L19" s="7">
        <v>-2.032664964034506E-2</v>
      </c>
      <c r="M19" s="7">
        <v>-4.3690236156307287E-2</v>
      </c>
      <c r="N19" s="7">
        <v>0.15184358114798011</v>
      </c>
      <c r="O19" s="7">
        <v>9.2221383019457218E-2</v>
      </c>
      <c r="P19" s="7">
        <v>2.3513160824520051E-2</v>
      </c>
      <c r="Q19" s="7">
        <v>0.19716308826451989</v>
      </c>
      <c r="R19" s="7">
        <v>9.0299090630856282E-2</v>
      </c>
      <c r="S19" s="7">
        <v>0.1226918763357415</v>
      </c>
      <c r="T19" s="7">
        <v>2.7154277986299109E-2</v>
      </c>
      <c r="U19" s="7">
        <v>0.13569833863192321</v>
      </c>
      <c r="V19" s="7">
        <v>9.2688319725313148E-2</v>
      </c>
      <c r="W19" s="7">
        <v>0.1747347633022315</v>
      </c>
      <c r="X19" s="7">
        <v>0.122923146245717</v>
      </c>
      <c r="Y19" s="7">
        <v>0.10313023893043829</v>
      </c>
      <c r="Z19" s="7">
        <v>9.1619110576023566E-2</v>
      </c>
      <c r="AA19" s="7">
        <v>-4.1570184538155738E-2</v>
      </c>
      <c r="AB19" s="7">
        <v>-0.10225360588394269</v>
      </c>
      <c r="AC19" s="7">
        <v>1.4141542708609799E-2</v>
      </c>
      <c r="AD19" s="7">
        <v>-2.399745726106059E-2</v>
      </c>
      <c r="AE19" s="7">
        <v>0.30849285792536868</v>
      </c>
      <c r="AF19" s="7">
        <v>-0.1688305807080431</v>
      </c>
      <c r="AG19" s="7">
        <v>-4.1487103444311647E-2</v>
      </c>
      <c r="AH19" s="7">
        <v>0.20415628716520959</v>
      </c>
      <c r="AI19" s="7">
        <v>-4.7766352759796363E-2</v>
      </c>
      <c r="AJ19" s="7">
        <v>-7.720270964457146E-2</v>
      </c>
      <c r="AK19" s="7">
        <v>-4.0581523113162987E-2</v>
      </c>
      <c r="AL19" s="7">
        <v>7.0270945670805551E-2</v>
      </c>
      <c r="AM19" s="7">
        <v>4.3106011811404943E-2</v>
      </c>
      <c r="AN19" s="7">
        <v>8.3568294365682083E-2</v>
      </c>
      <c r="AO19" s="7">
        <v>5.5890126129114689E-2</v>
      </c>
      <c r="AP19" s="7">
        <v>-9.7121209416000734E-3</v>
      </c>
      <c r="AQ19" s="7">
        <v>8.8252757060650652E-2</v>
      </c>
      <c r="AR19" s="7">
        <v>-7.4616897634658869E-2</v>
      </c>
      <c r="AS19" s="7">
        <v>9.7796955268314459E-2</v>
      </c>
      <c r="AT19" s="7">
        <v>0.18459366381005801</v>
      </c>
      <c r="AU19" s="7">
        <v>0.1530146264742607</v>
      </c>
      <c r="AV19" s="7">
        <v>4.2677295724337212E-2</v>
      </c>
      <c r="AW19" s="7">
        <v>-2.2356168154136491E-2</v>
      </c>
      <c r="AX19" s="7">
        <v>-0.2241237953008561</v>
      </c>
      <c r="AY19" s="7">
        <v>-6.6273242712472244E-2</v>
      </c>
      <c r="AZ19" s="7">
        <v>-0.11561152836942371</v>
      </c>
      <c r="BA19" s="7">
        <v>-3.4363883954073027E-2</v>
      </c>
      <c r="BB19" s="7">
        <v>0.2018019106632078</v>
      </c>
      <c r="BC19" s="7">
        <v>6.4055486346185769E-2</v>
      </c>
      <c r="BD19" s="7">
        <v>-3.2343926300681461E-3</v>
      </c>
      <c r="BE19" s="7">
        <v>-5.1131873963666558E-2</v>
      </c>
      <c r="BF19" s="7">
        <v>0.14180943496374171</v>
      </c>
      <c r="BG19" s="7">
        <v>-1.6343658332842171E-2</v>
      </c>
      <c r="BH19" s="7">
        <v>2.0182017014309939E-3</v>
      </c>
      <c r="BI19" s="7">
        <v>0.1012842299592162</v>
      </c>
      <c r="BJ19" s="7">
        <v>5.8912217172455733E-2</v>
      </c>
      <c r="BK19" s="7">
        <v>-6.9519036629441727E-2</v>
      </c>
      <c r="BL19" s="7">
        <v>6.3164533747019302E-2</v>
      </c>
      <c r="BM19" s="7">
        <v>3.1786264869145278E-2</v>
      </c>
      <c r="BN19" s="7">
        <v>7.2185099722501103E-2</v>
      </c>
      <c r="BO19" s="7">
        <v>-2.5728961265115379E-2</v>
      </c>
      <c r="BP19" s="7">
        <v>-1.2410341277600779E-2</v>
      </c>
      <c r="BQ19" s="7">
        <v>-0.10965313493305689</v>
      </c>
      <c r="BR19" s="7">
        <v>6.6752460235200081E-3</v>
      </c>
      <c r="BS19" s="7">
        <v>3.4999319396389061E-3</v>
      </c>
      <c r="BT19" s="7">
        <v>-8.2323403677311308E-2</v>
      </c>
      <c r="BU19" s="7">
        <v>7.5936251234238056E-2</v>
      </c>
      <c r="BV19" s="7">
        <v>-0.1000852655816153</v>
      </c>
      <c r="BW19" s="7">
        <v>0.30745300680973342</v>
      </c>
      <c r="BX19" s="7">
        <v>-5.4830281560316878E-2</v>
      </c>
      <c r="BY19" s="7">
        <v>-2.7675492411660479E-2</v>
      </c>
      <c r="BZ19" s="7">
        <v>-6.8702124822053873E-2</v>
      </c>
      <c r="CA19" s="7">
        <v>-2.932875522377449E-2</v>
      </c>
      <c r="CB19" s="7">
        <v>-0.12783820910089719</v>
      </c>
      <c r="CC19" s="7">
        <v>2.2506232898517449E-2</v>
      </c>
      <c r="CD19" s="7">
        <v>-0.14873191328840721</v>
      </c>
      <c r="CE19" s="7">
        <v>-0.1982658291769592</v>
      </c>
      <c r="CF19" s="7">
        <v>-7.9051524970814385E-2</v>
      </c>
      <c r="CG19" s="7">
        <v>-5.7117624866957151E-2</v>
      </c>
      <c r="CH19" s="7">
        <v>4.271504374273416E-2</v>
      </c>
      <c r="CI19" s="7">
        <v>0.11073420775370441</v>
      </c>
      <c r="CJ19" s="7">
        <v>6.194049996603615E-2</v>
      </c>
      <c r="CK19" s="7">
        <v>0.1187972629573345</v>
      </c>
      <c r="CL19" s="7">
        <v>-0.1153477816387375</v>
      </c>
      <c r="CM19" s="7">
        <v>0.17534764158171501</v>
      </c>
      <c r="CN19" s="7">
        <v>7.6932654667303466E-2</v>
      </c>
      <c r="CO19" s="7">
        <v>-0.16614655777528059</v>
      </c>
      <c r="CP19" s="7">
        <v>-0.15903259898233271</v>
      </c>
      <c r="CQ19" s="7">
        <v>3.2394607516418629E-2</v>
      </c>
      <c r="CR19" s="7">
        <v>-0.17630672424619201</v>
      </c>
      <c r="CS19" s="7">
        <v>4.3774986978304217E-2</v>
      </c>
      <c r="CT19" s="7">
        <v>-2.794063718499688E-2</v>
      </c>
      <c r="CU19" s="7">
        <v>0.146607543260939</v>
      </c>
      <c r="CV19" s="7">
        <v>-7.6142494479096948E-2</v>
      </c>
      <c r="CW19" s="7">
        <v>6.0515878573037342E-2</v>
      </c>
      <c r="CX19" s="7">
        <v>-0.1481502908045049</v>
      </c>
      <c r="CY19" s="7">
        <v>-0.107892119457191</v>
      </c>
      <c r="CZ19" s="7">
        <v>-5.7499263088511957E-2</v>
      </c>
      <c r="DA19" s="7">
        <v>-5.8223876703236761E-2</v>
      </c>
      <c r="DB19" s="7">
        <v>3.572089902521567E-2</v>
      </c>
      <c r="DC19" s="7">
        <v>3.5179399902094073E-2</v>
      </c>
      <c r="DD19" s="7">
        <v>6.2011252548289514E-3</v>
      </c>
      <c r="DE19" s="7">
        <v>3.3018414655792E-2</v>
      </c>
      <c r="DF19" s="7">
        <v>2.1296342427166989E-2</v>
      </c>
      <c r="DG19" s="7">
        <v>0.12649079783752129</v>
      </c>
      <c r="DH19" s="7">
        <v>-0.22458978071948801</v>
      </c>
      <c r="DI19" s="7">
        <v>5.8647033011268501E-2</v>
      </c>
      <c r="DJ19" s="7">
        <v>-0.16525046895907189</v>
      </c>
      <c r="DK19" s="7">
        <v>-1.598428957466394E-2</v>
      </c>
      <c r="DL19" s="7">
        <v>1.198278590897381E-2</v>
      </c>
      <c r="DM19" s="7">
        <v>-4.6097902485627673E-2</v>
      </c>
      <c r="DN19" s="7">
        <v>0.17392830172854831</v>
      </c>
      <c r="DO19" s="7">
        <v>4.8705519860593828E-2</v>
      </c>
      <c r="DP19" s="7">
        <v>2.783801448299373E-2</v>
      </c>
      <c r="DQ19" s="7">
        <v>-8.0374171838075048E-2</v>
      </c>
      <c r="DR19" s="7">
        <v>-1.7544799275808199E-2</v>
      </c>
      <c r="DS19" s="7">
        <v>4.4918963151879987E-2</v>
      </c>
      <c r="DT19" s="7">
        <v>5.0332465201051654E-3</v>
      </c>
      <c r="DU19" s="7">
        <v>-0.1945194394629792</v>
      </c>
      <c r="DV19" s="7">
        <v>-7.1593386597402109E-2</v>
      </c>
      <c r="DW19" s="7">
        <v>6.0609139340684293E-2</v>
      </c>
      <c r="DX19" s="7">
        <v>9.4614193357537776E-2</v>
      </c>
      <c r="DY19" s="7">
        <v>-0.15211940960448689</v>
      </c>
      <c r="DZ19" s="7">
        <v>-7.9643568138435011E-2</v>
      </c>
      <c r="EA19" s="7">
        <v>0.23304583030528039</v>
      </c>
      <c r="EB19" s="7">
        <v>0.1087535096382525</v>
      </c>
      <c r="EC19" s="7">
        <v>-0.14377420282500911</v>
      </c>
      <c r="ED19" s="7">
        <v>-8.0285258276375129E-2</v>
      </c>
      <c r="EE19" s="7">
        <v>-2.2815885843912861E-2</v>
      </c>
      <c r="EF19" s="8">
        <v>-7.402291939750516E-2</v>
      </c>
    </row>
    <row r="20" spans="1:136" x14ac:dyDescent="0.3">
      <c r="A20" s="1">
        <v>192</v>
      </c>
      <c r="B20" s="1">
        <v>5</v>
      </c>
      <c r="C20" s="7">
        <v>1.1241331728202891E-2</v>
      </c>
      <c r="D20" s="7">
        <v>0.38202502004734989</v>
      </c>
      <c r="E20" s="7">
        <v>-0.1461249052642459</v>
      </c>
      <c r="F20" s="7">
        <v>0.2055312643331742</v>
      </c>
      <c r="G20" s="7">
        <v>-0.1171831412889391</v>
      </c>
      <c r="H20" s="7">
        <v>1.158302607857771E-2</v>
      </c>
      <c r="I20" s="7">
        <v>-0.15814956260110169</v>
      </c>
      <c r="J20" s="7">
        <v>3.4471258726856233E-2</v>
      </c>
      <c r="K20" s="7">
        <v>0.21472450376108179</v>
      </c>
      <c r="L20" s="7">
        <v>-8.9997713411883729E-3</v>
      </c>
      <c r="M20" s="7">
        <v>-7.7718228291273506E-2</v>
      </c>
      <c r="N20" s="7">
        <v>0.16814358818954389</v>
      </c>
      <c r="O20" s="7">
        <v>9.9101484144473756E-2</v>
      </c>
      <c r="P20" s="7">
        <v>4.3138678888527522E-2</v>
      </c>
      <c r="Q20" s="7">
        <v>0.21672573900297851</v>
      </c>
      <c r="R20" s="7">
        <v>0.1092530556374688</v>
      </c>
      <c r="S20" s="7">
        <v>8.2562610707287917E-2</v>
      </c>
      <c r="T20" s="7">
        <v>-1.566291051925937E-2</v>
      </c>
      <c r="U20" s="7">
        <v>0.14864968011777491</v>
      </c>
      <c r="V20" s="7">
        <v>0.1035176032046175</v>
      </c>
      <c r="W20" s="7">
        <v>0.22644366208310149</v>
      </c>
      <c r="X20" s="7">
        <v>0.15004231162753859</v>
      </c>
      <c r="Y20" s="7">
        <v>0.12896503888237379</v>
      </c>
      <c r="Z20" s="7">
        <v>0.1056169604836593</v>
      </c>
      <c r="AA20" s="7">
        <v>-2.159455338729711E-2</v>
      </c>
      <c r="AB20" s="7">
        <v>-8.4759840726173208E-2</v>
      </c>
      <c r="AC20" s="7">
        <v>4.7248262727967477E-2</v>
      </c>
      <c r="AD20" s="7">
        <v>-2.698730357067794E-2</v>
      </c>
      <c r="AE20" s="7">
        <v>0.16122120715511101</v>
      </c>
      <c r="AF20" s="7">
        <v>-0.22349781963637269</v>
      </c>
      <c r="AG20" s="7">
        <v>-3.216324888167648E-2</v>
      </c>
      <c r="AH20" s="7">
        <v>0.21664245264836079</v>
      </c>
      <c r="AI20" s="7">
        <v>-8.3279353750723401E-2</v>
      </c>
      <c r="AJ20" s="7">
        <v>-6.0725684660784138E-2</v>
      </c>
      <c r="AK20" s="7">
        <v>-8.2485150626129544E-3</v>
      </c>
      <c r="AL20" s="7">
        <v>7.2893452036976947E-2</v>
      </c>
      <c r="AM20" s="7">
        <v>3.3095980748802607E-2</v>
      </c>
      <c r="AN20" s="7">
        <v>7.5470193518998266E-2</v>
      </c>
      <c r="AO20" s="7">
        <v>4.9108294639399641E-2</v>
      </c>
      <c r="AP20" s="7">
        <v>-1.26045159631665E-2</v>
      </c>
      <c r="AQ20" s="7">
        <v>-2.7452485332951051E-2</v>
      </c>
      <c r="AR20" s="7">
        <v>-1.328927308983413E-2</v>
      </c>
      <c r="AS20" s="7">
        <v>0.112095809682817</v>
      </c>
      <c r="AT20" s="7">
        <v>0.23912374744507051</v>
      </c>
      <c r="AU20" s="7">
        <v>0.14307264092716551</v>
      </c>
      <c r="AV20" s="7">
        <v>7.1473185653933402E-2</v>
      </c>
      <c r="AW20" s="7">
        <v>-6.8652681791509596E-3</v>
      </c>
      <c r="AX20" s="7">
        <v>-0.20433921996054669</v>
      </c>
      <c r="AY20" s="7">
        <v>8.2057636017566535E-2</v>
      </c>
      <c r="AZ20" s="7">
        <v>-0.15627400770666389</v>
      </c>
      <c r="BA20" s="7">
        <v>-3.6798864860540501E-2</v>
      </c>
      <c r="BB20" s="7">
        <v>0.2312136261880767</v>
      </c>
      <c r="BC20" s="7">
        <v>7.0605567677740205E-2</v>
      </c>
      <c r="BD20" s="7">
        <v>-5.3429813221597323E-2</v>
      </c>
      <c r="BE20" s="7">
        <v>5.9467971392603326E-3</v>
      </c>
      <c r="BF20" s="7">
        <v>0.13797126306897531</v>
      </c>
      <c r="BG20" s="7">
        <v>-6.9261427086933884E-3</v>
      </c>
      <c r="BH20" s="7">
        <v>-7.1606447114111002E-2</v>
      </c>
      <c r="BI20" s="7">
        <v>0.1142556657345235</v>
      </c>
      <c r="BJ20" s="7">
        <v>4.9139783811273992E-2</v>
      </c>
      <c r="BK20" s="7">
        <v>-0.1025982841544454</v>
      </c>
      <c r="BL20" s="7">
        <v>6.9859441937220601E-2</v>
      </c>
      <c r="BM20" s="7">
        <v>4.7468551464188873E-2</v>
      </c>
      <c r="BN20" s="7">
        <v>8.5664631441180417E-2</v>
      </c>
      <c r="BO20" s="7">
        <v>3.8461717515979203E-2</v>
      </c>
      <c r="BP20" s="7">
        <v>7.2822475063245764E-3</v>
      </c>
      <c r="BQ20" s="7">
        <v>-0.1086002675592522</v>
      </c>
      <c r="BR20" s="7">
        <v>1.207363173047259E-2</v>
      </c>
      <c r="BS20" s="7">
        <v>3.2536197724856143E-2</v>
      </c>
      <c r="BT20" s="7">
        <v>-9.6530501214455888E-2</v>
      </c>
      <c r="BU20" s="7">
        <v>9.8754949367706665E-2</v>
      </c>
      <c r="BV20" s="7">
        <v>-0.13370992447700669</v>
      </c>
      <c r="BW20" s="7">
        <v>0.35182955004840472</v>
      </c>
      <c r="BX20" s="7">
        <v>-5.7988018276030777E-2</v>
      </c>
      <c r="BY20" s="7">
        <v>-4.3183482687236242E-2</v>
      </c>
      <c r="BZ20" s="7">
        <v>-9.02714042602836E-2</v>
      </c>
      <c r="CA20" s="7">
        <v>-4.0102728051752932E-2</v>
      </c>
      <c r="CB20" s="7">
        <v>-0.1264950457700191</v>
      </c>
      <c r="CC20" s="7">
        <v>1.291514747808061E-2</v>
      </c>
      <c r="CD20" s="7">
        <v>-0.1888595125433957</v>
      </c>
      <c r="CE20" s="7">
        <v>-0.2439637954697331</v>
      </c>
      <c r="CF20" s="7">
        <v>-0.1057848892760917</v>
      </c>
      <c r="CG20" s="7">
        <v>-7.597024074310807E-2</v>
      </c>
      <c r="CH20" s="7">
        <v>2.219522902413288E-2</v>
      </c>
      <c r="CI20" s="7">
        <v>8.5208202435075389E-2</v>
      </c>
      <c r="CJ20" s="7">
        <v>0.123440319887351</v>
      </c>
      <c r="CK20" s="7">
        <v>8.0589623940621552E-2</v>
      </c>
      <c r="CL20" s="7">
        <v>-0.14931315063025169</v>
      </c>
      <c r="CM20" s="7">
        <v>0.18905116517062071</v>
      </c>
      <c r="CN20" s="7">
        <v>-2.215941137048465E-2</v>
      </c>
      <c r="CO20" s="7">
        <v>-0.22851820318154101</v>
      </c>
      <c r="CP20" s="7">
        <v>-0.1920312051090273</v>
      </c>
      <c r="CQ20" s="7">
        <v>2.3118045300283038E-2</v>
      </c>
      <c r="CR20" s="7">
        <v>-0.1954861104849421</v>
      </c>
      <c r="CS20" s="7">
        <v>2.2293038159359669E-2</v>
      </c>
      <c r="CT20" s="7">
        <v>-1.807671077983496E-2</v>
      </c>
      <c r="CU20" s="7">
        <v>0.14672800907162681</v>
      </c>
      <c r="CV20" s="7">
        <v>-9.7003954321720084E-2</v>
      </c>
      <c r="CW20" s="7">
        <v>6.7903708174845409E-2</v>
      </c>
      <c r="CX20" s="7">
        <v>-0.14515418799986671</v>
      </c>
      <c r="CY20" s="7">
        <v>-0.1009666571118235</v>
      </c>
      <c r="CZ20" s="7">
        <v>-1.306263386233056E-2</v>
      </c>
      <c r="DA20" s="7">
        <v>-4.7471893155177573E-2</v>
      </c>
      <c r="DB20" s="7">
        <v>5.6902709757134122E-2</v>
      </c>
      <c r="DC20" s="7">
        <v>4.9613069235555772E-2</v>
      </c>
      <c r="DD20" s="7">
        <v>3.597184756950339E-3</v>
      </c>
      <c r="DE20" s="7">
        <v>1.0418721606852799E-2</v>
      </c>
      <c r="DF20" s="7">
        <v>4.5499958490798388E-2</v>
      </c>
      <c r="DG20" s="7">
        <v>0.1240733079841211</v>
      </c>
      <c r="DH20" s="7">
        <v>-0.27829885316894232</v>
      </c>
      <c r="DI20" s="7">
        <v>7.4248335592093345E-2</v>
      </c>
      <c r="DJ20" s="7">
        <v>-0.1365580924326974</v>
      </c>
      <c r="DK20" s="7">
        <v>-2.0765658487994779E-2</v>
      </c>
      <c r="DL20" s="7">
        <v>1.9465373333619789E-2</v>
      </c>
      <c r="DM20" s="7">
        <v>4.2864774108345972E-2</v>
      </c>
      <c r="DN20" s="7">
        <v>0.18323473362116879</v>
      </c>
      <c r="DO20" s="7">
        <v>4.9820854676895968E-2</v>
      </c>
      <c r="DP20" s="7">
        <v>9.8305313908873052E-3</v>
      </c>
      <c r="DQ20" s="7">
        <v>-5.7460181624700082E-2</v>
      </c>
      <c r="DR20" s="7">
        <v>-5.5557992226731322E-2</v>
      </c>
      <c r="DS20" s="7">
        <v>-6.9792757898282515E-2</v>
      </c>
      <c r="DT20" s="7">
        <v>-2.968533879884255E-2</v>
      </c>
      <c r="DU20" s="7">
        <v>-0.27264432784194559</v>
      </c>
      <c r="DV20" s="7">
        <v>-0.10204218118247529</v>
      </c>
      <c r="DW20" s="7">
        <v>6.9060203958039607E-2</v>
      </c>
      <c r="DX20" s="7">
        <v>9.7851218204725254E-2</v>
      </c>
      <c r="DY20" s="7">
        <v>-0.1874018300391932</v>
      </c>
      <c r="DZ20" s="7">
        <v>1.8115126512382701E-2</v>
      </c>
      <c r="EA20" s="7">
        <v>0.29368998396417129</v>
      </c>
      <c r="EB20" s="7">
        <v>8.2407142444419712E-2</v>
      </c>
      <c r="EC20" s="7">
        <v>-0.13100614576206751</v>
      </c>
      <c r="ED20" s="7">
        <v>-5.7827564200198737E-2</v>
      </c>
      <c r="EE20" s="7">
        <v>-2.0017587297018819E-2</v>
      </c>
      <c r="EF20" s="8">
        <v>-8.580306084224959E-2</v>
      </c>
    </row>
    <row r="21" spans="1:136" x14ac:dyDescent="0.3">
      <c r="A21" s="1">
        <v>241</v>
      </c>
      <c r="B21" s="1">
        <v>4</v>
      </c>
      <c r="C21" s="7">
        <v>1.038483447742689E-2</v>
      </c>
      <c r="D21" s="7">
        <v>0.12638791676682359</v>
      </c>
      <c r="E21" s="7">
        <v>-4.3717554879721017E-2</v>
      </c>
      <c r="F21" s="7">
        <v>0.18403858160612999</v>
      </c>
      <c r="G21" s="7">
        <v>-0.14384215111256449</v>
      </c>
      <c r="H21" s="7">
        <v>-3.7844077028292407E-2</v>
      </c>
      <c r="I21" s="7">
        <v>-0.14725560812747299</v>
      </c>
      <c r="J21" s="7">
        <v>6.0435325691642318E-2</v>
      </c>
      <c r="K21" s="7">
        <v>0.2068800260033955</v>
      </c>
      <c r="L21" s="7">
        <v>-5.7226166864944403E-2</v>
      </c>
      <c r="M21" s="7">
        <v>-9.9684593408211258E-2</v>
      </c>
      <c r="N21" s="7">
        <v>0.13905067586079981</v>
      </c>
      <c r="O21" s="7">
        <v>0.1297824585303535</v>
      </c>
      <c r="P21" s="7">
        <v>3.9891722860102737E-2</v>
      </c>
      <c r="Q21" s="7">
        <v>0.25731007409425227</v>
      </c>
      <c r="R21" s="7">
        <v>9.5575311106630215E-2</v>
      </c>
      <c r="S21" s="7">
        <v>0.2091594754749645</v>
      </c>
      <c r="T21" s="7">
        <v>1.4040364340204919E-2</v>
      </c>
      <c r="U21" s="7">
        <v>8.6278417611758002E-2</v>
      </c>
      <c r="V21" s="7">
        <v>0.10537077038935461</v>
      </c>
      <c r="W21" s="7">
        <v>0.32292054868818693</v>
      </c>
      <c r="X21" s="7">
        <v>0.20780126735333779</v>
      </c>
      <c r="Y21" s="7">
        <v>9.2729223946204448E-2</v>
      </c>
      <c r="Z21" s="7">
        <v>0.1142039872227245</v>
      </c>
      <c r="AA21" s="7">
        <v>1.9491043540093941E-2</v>
      </c>
      <c r="AB21" s="7">
        <v>-0.1298395823970698</v>
      </c>
      <c r="AC21" s="7">
        <v>1.882773670680014E-2</v>
      </c>
      <c r="AD21" s="7">
        <v>2.593327599743489E-2</v>
      </c>
      <c r="AE21" s="7">
        <v>0.12810497879624591</v>
      </c>
      <c r="AF21" s="7">
        <v>-0.29514425808336342</v>
      </c>
      <c r="AG21" s="7">
        <v>-1.10465721064439E-2</v>
      </c>
      <c r="AH21" s="7">
        <v>0.2403512556587668</v>
      </c>
      <c r="AI21" s="7">
        <v>-6.7729680595151026E-2</v>
      </c>
      <c r="AJ21" s="7">
        <v>-7.8941164011699164E-2</v>
      </c>
      <c r="AK21" s="7">
        <v>1.8318368909312599E-2</v>
      </c>
      <c r="AL21" s="7">
        <v>6.5379822733110632E-2</v>
      </c>
      <c r="AM21" s="7">
        <v>6.8535807447630548E-2</v>
      </c>
      <c r="AN21" s="7">
        <v>0.11195605606309431</v>
      </c>
      <c r="AO21" s="7">
        <v>8.5567774913887312E-2</v>
      </c>
      <c r="AP21" s="7">
        <v>-1.8942378916172939E-2</v>
      </c>
      <c r="AQ21" s="7">
        <v>-7.6865507010547632E-2</v>
      </c>
      <c r="AR21" s="7">
        <v>4.798814140331014E-2</v>
      </c>
      <c r="AS21" s="7">
        <v>6.4455868646629361E-2</v>
      </c>
      <c r="AT21" s="7">
        <v>0.26483825754799722</v>
      </c>
      <c r="AU21" s="7">
        <v>6.3455329613280029E-2</v>
      </c>
      <c r="AV21" s="7">
        <v>5.0897567971442279E-2</v>
      </c>
      <c r="AW21" s="7">
        <v>-9.7910299540974015E-3</v>
      </c>
      <c r="AX21" s="7">
        <v>-0.21771830251703739</v>
      </c>
      <c r="AY21" s="7">
        <v>6.5722294732506903E-2</v>
      </c>
      <c r="AZ21" s="7">
        <v>-9.3059394128593209E-2</v>
      </c>
      <c r="BA21" s="7">
        <v>-7.1032181648085849E-2</v>
      </c>
      <c r="BB21" s="7">
        <v>0.29451263697732177</v>
      </c>
      <c r="BC21" s="7">
        <v>3.8321147725193863E-2</v>
      </c>
      <c r="BD21" s="7">
        <v>-2.1750863370627919E-2</v>
      </c>
      <c r="BE21" s="7">
        <v>-6.3505333974014731E-3</v>
      </c>
      <c r="BF21" s="7">
        <v>0.19911721643060321</v>
      </c>
      <c r="BG21" s="7">
        <v>3.6635189216812601E-2</v>
      </c>
      <c r="BH21" s="7">
        <v>-7.6321363138755302E-2</v>
      </c>
      <c r="BI21" s="7">
        <v>0.15387464609225671</v>
      </c>
      <c r="BJ21" s="7">
        <v>3.1982514410992063E-2</v>
      </c>
      <c r="BK21" s="7">
        <v>-8.2973161890065844E-2</v>
      </c>
      <c r="BL21" s="7">
        <v>8.7340790467698257E-2</v>
      </c>
      <c r="BM21" s="7">
        <v>4.0795286028720637E-2</v>
      </c>
      <c r="BN21" s="7">
        <v>0.18824750259238801</v>
      </c>
      <c r="BO21" s="7">
        <v>6.3857236413680254E-2</v>
      </c>
      <c r="BP21" s="7">
        <v>-4.1808023315929119E-3</v>
      </c>
      <c r="BQ21" s="7">
        <v>-7.2890743034343203E-2</v>
      </c>
      <c r="BR21" s="7">
        <v>1.232386218386442E-2</v>
      </c>
      <c r="BS21" s="7">
        <v>6.5741820960347419E-2</v>
      </c>
      <c r="BT21" s="7">
        <v>-9.2952203348257254E-2</v>
      </c>
      <c r="BU21" s="7">
        <v>0.1354964621985692</v>
      </c>
      <c r="BV21" s="7">
        <v>-1.9240488152239291E-2</v>
      </c>
      <c r="BW21" s="7">
        <v>0.18446067072040909</v>
      </c>
      <c r="BX21" s="7">
        <v>-8.8379334787638542E-2</v>
      </c>
      <c r="BY21" s="7">
        <v>-1.491637891683696E-2</v>
      </c>
      <c r="BZ21" s="7">
        <v>-4.7662928720715619E-2</v>
      </c>
      <c r="CA21" s="7">
        <v>-6.0517603302398457E-2</v>
      </c>
      <c r="CB21" s="7">
        <v>-0.2078698479015878</v>
      </c>
      <c r="CC21" s="7">
        <v>-8.0189542709663136E-3</v>
      </c>
      <c r="CD21" s="7">
        <v>-0.15078839020228069</v>
      </c>
      <c r="CE21" s="7">
        <v>-0.39507594246504552</v>
      </c>
      <c r="CF21" s="7">
        <v>-0.1145261576111684</v>
      </c>
      <c r="CG21" s="7">
        <v>-8.508533547413108E-2</v>
      </c>
      <c r="CH21" s="7">
        <v>0.15662644062696859</v>
      </c>
      <c r="CI21" s="7">
        <v>7.3182727074998788E-2</v>
      </c>
      <c r="CJ21" s="7">
        <v>8.5627757016502298E-2</v>
      </c>
      <c r="CK21" s="7">
        <v>6.7159630296855705E-2</v>
      </c>
      <c r="CL21" s="7">
        <v>-0.18743312154072689</v>
      </c>
      <c r="CM21" s="7">
        <v>0.2255029884033713</v>
      </c>
      <c r="CN21" s="7">
        <v>-3.05388902037756E-2</v>
      </c>
      <c r="CO21" s="7">
        <v>-0.23779198113939251</v>
      </c>
      <c r="CP21" s="7">
        <v>-0.22270006087791269</v>
      </c>
      <c r="CQ21" s="7">
        <v>2.2912194169496192E-2</v>
      </c>
      <c r="CR21" s="7">
        <v>-0.23905996636126789</v>
      </c>
      <c r="CS21" s="7">
        <v>3.0907745682497659E-2</v>
      </c>
      <c r="CT21" s="7">
        <v>-8.6072556871396061E-2</v>
      </c>
      <c r="CU21" s="7">
        <v>0.1589166223174501</v>
      </c>
      <c r="CV21" s="7">
        <v>-0.13162753116195661</v>
      </c>
      <c r="CW21" s="7">
        <v>3.8345516871682743E-2</v>
      </c>
      <c r="CX21" s="7">
        <v>-0.15696884691161159</v>
      </c>
      <c r="CY21" s="7">
        <v>-0.15245230624531919</v>
      </c>
      <c r="CZ21" s="7">
        <v>-1.3847206411700621E-2</v>
      </c>
      <c r="DA21" s="7">
        <v>1.192256456731756E-3</v>
      </c>
      <c r="DB21" s="7">
        <v>5.1624433676154581E-2</v>
      </c>
      <c r="DC21" s="7">
        <v>4.5047559223290658E-2</v>
      </c>
      <c r="DD21" s="7">
        <v>2.8187943910707451E-3</v>
      </c>
      <c r="DE21" s="7">
        <v>2.897773706032665E-2</v>
      </c>
      <c r="DF21" s="7">
        <v>0.1488089024897431</v>
      </c>
      <c r="DG21" s="7">
        <v>0.14818493113172959</v>
      </c>
      <c r="DH21" s="7">
        <v>-8.1436188280027383E-2</v>
      </c>
      <c r="DI21" s="7">
        <v>9.0149202717820648E-2</v>
      </c>
      <c r="DJ21" s="7">
        <v>-0.1566057184636416</v>
      </c>
      <c r="DK21" s="7">
        <v>-2.0966062152018541E-2</v>
      </c>
      <c r="DL21" s="7">
        <v>1.273699150101321E-2</v>
      </c>
      <c r="DM21" s="7">
        <v>-4.2545640208855387E-3</v>
      </c>
      <c r="DN21" s="7">
        <v>0.22029564086452741</v>
      </c>
      <c r="DO21" s="7">
        <v>-1.8558809057787451E-2</v>
      </c>
      <c r="DP21" s="7">
        <v>2.426615509356601E-2</v>
      </c>
      <c r="DQ21" s="7">
        <v>-7.0422698808183373E-2</v>
      </c>
      <c r="DR21" s="7">
        <v>-5.3556989806694252E-2</v>
      </c>
      <c r="DS21" s="7">
        <v>-8.4605433605535907E-2</v>
      </c>
      <c r="DT21" s="7">
        <v>-5.2151903466792276E-3</v>
      </c>
      <c r="DU21" s="7">
        <v>-0.3398066388575679</v>
      </c>
      <c r="DV21" s="7">
        <v>-0.15489825112990471</v>
      </c>
      <c r="DW21" s="7">
        <v>0.12824786866412111</v>
      </c>
      <c r="DX21" s="7">
        <v>0.1168288898747825</v>
      </c>
      <c r="DY21" s="7">
        <v>-0.22566188118798919</v>
      </c>
      <c r="DZ21" s="7">
        <v>0.17989102172490029</v>
      </c>
      <c r="EA21" s="7">
        <v>0.26605683227934601</v>
      </c>
      <c r="EB21" s="7">
        <v>2.6302193998533951E-2</v>
      </c>
      <c r="EC21" s="7">
        <v>-0.14009401795222581</v>
      </c>
      <c r="ED21" s="7">
        <v>0.12915520333718639</v>
      </c>
      <c r="EE21" s="7">
        <v>1.095594540687448E-2</v>
      </c>
      <c r="EF21" s="8">
        <v>-2.879722641967087E-2</v>
      </c>
    </row>
    <row r="22" spans="1:136" x14ac:dyDescent="0.3">
      <c r="A22" s="1">
        <v>321</v>
      </c>
      <c r="B22" s="1">
        <v>3</v>
      </c>
      <c r="C22" s="7">
        <v>2.5922326608526759E-2</v>
      </c>
      <c r="D22" s="7">
        <v>0.1424278520773985</v>
      </c>
      <c r="E22" s="7">
        <v>-2.2230412259238129E-2</v>
      </c>
      <c r="F22" s="7">
        <v>6.7831060921277567E-2</v>
      </c>
      <c r="G22" s="7">
        <v>-0.1038843632903341</v>
      </c>
      <c r="H22" s="7">
        <v>-0.22980554449140059</v>
      </c>
      <c r="I22" s="7">
        <v>-0.12349316933806979</v>
      </c>
      <c r="J22" s="7">
        <v>5.2598589265342909E-2</v>
      </c>
      <c r="K22" s="7">
        <v>0.2453659126827557</v>
      </c>
      <c r="L22" s="7">
        <v>-0.1074871686512418</v>
      </c>
      <c r="M22" s="7">
        <v>-7.4100058770572547E-2</v>
      </c>
      <c r="N22" s="7">
        <v>9.8030860807632764E-2</v>
      </c>
      <c r="O22" s="7">
        <v>0.1434803460042724</v>
      </c>
      <c r="P22" s="7">
        <v>4.28584885189899E-2</v>
      </c>
      <c r="Q22" s="7">
        <v>0.27677689383305182</v>
      </c>
      <c r="R22" s="7">
        <v>3.6628434271588052E-2</v>
      </c>
      <c r="S22" s="7">
        <v>0.24705662952972959</v>
      </c>
      <c r="T22" s="7">
        <v>2.023861247683403E-2</v>
      </c>
      <c r="U22" s="7">
        <v>0.11059002340250421</v>
      </c>
      <c r="V22" s="7">
        <v>5.7024134634289667E-2</v>
      </c>
      <c r="W22" s="7">
        <v>0.34619348529924859</v>
      </c>
      <c r="X22" s="7">
        <v>0.25720235121349699</v>
      </c>
      <c r="Y22" s="7">
        <v>4.7938332179768291E-2</v>
      </c>
      <c r="Z22" s="7">
        <v>7.5548269145846045E-2</v>
      </c>
      <c r="AA22" s="7">
        <v>7.0480168868567589E-3</v>
      </c>
      <c r="AB22" s="7">
        <v>-0.13443621271332551</v>
      </c>
      <c r="AC22" s="7">
        <v>8.5776460715432462E-2</v>
      </c>
      <c r="AD22" s="7">
        <v>1.859374921466125E-2</v>
      </c>
      <c r="AE22" s="7">
        <v>0.13082384281633419</v>
      </c>
      <c r="AF22" s="7">
        <v>-0.42991676804861201</v>
      </c>
      <c r="AG22" s="7">
        <v>-1.0812100566842311E-2</v>
      </c>
      <c r="AH22" s="7">
        <v>0.24762224616340131</v>
      </c>
      <c r="AI22" s="7">
        <v>-6.7392901011186057E-2</v>
      </c>
      <c r="AJ22" s="7">
        <v>-4.586612949815471E-2</v>
      </c>
      <c r="AK22" s="7">
        <v>7.8575768704914215E-2</v>
      </c>
      <c r="AL22" s="7">
        <v>4.0340966806900407E-2</v>
      </c>
      <c r="AM22" s="7">
        <v>8.4088903467703563E-2</v>
      </c>
      <c r="AN22" s="7">
        <v>0.1111328096635593</v>
      </c>
      <c r="AO22" s="7">
        <v>0.1581528752937269</v>
      </c>
      <c r="AP22" s="7">
        <v>-2.0492728517978578E-2</v>
      </c>
      <c r="AQ22" s="7">
        <v>-7.9426117478593142E-2</v>
      </c>
      <c r="AR22" s="7">
        <v>6.7924487703603389E-2</v>
      </c>
      <c r="AS22" s="7">
        <v>8.2810438898549957E-2</v>
      </c>
      <c r="AT22" s="7">
        <v>1.7728370994436651E-2</v>
      </c>
      <c r="AU22" s="7">
        <v>0.1099145973181844</v>
      </c>
      <c r="AV22" s="7">
        <v>5.9646140173665471E-2</v>
      </c>
      <c r="AW22" s="7">
        <v>3.014938920700894E-2</v>
      </c>
      <c r="AX22" s="7">
        <v>9.875186005693877E-3</v>
      </c>
      <c r="AY22" s="7">
        <v>9.8456276129363446E-2</v>
      </c>
      <c r="AZ22" s="7">
        <v>-0.2274854962334536</v>
      </c>
      <c r="BA22" s="7">
        <v>-4.5598425167461952E-2</v>
      </c>
      <c r="BB22" s="7">
        <v>0.36955058329648782</v>
      </c>
      <c r="BC22" s="7">
        <v>-0.13083693812295519</v>
      </c>
      <c r="BD22" s="7">
        <v>-2.2174181465828179E-2</v>
      </c>
      <c r="BE22" s="7">
        <v>-2.221618339448047E-2</v>
      </c>
      <c r="BF22" s="7">
        <v>0.1991024485484385</v>
      </c>
      <c r="BG22" s="7">
        <v>4.6279512168386029E-2</v>
      </c>
      <c r="BH22" s="7">
        <v>-0.12796054233813189</v>
      </c>
      <c r="BI22" s="7">
        <v>8.731805917717568E-2</v>
      </c>
      <c r="BJ22" s="7">
        <v>-1.023397544910358E-2</v>
      </c>
      <c r="BK22" s="7">
        <v>-2.085475532976656E-2</v>
      </c>
      <c r="BL22" s="7">
        <v>0.13947139040086359</v>
      </c>
      <c r="BM22" s="7">
        <v>2.4304832455331882E-3</v>
      </c>
      <c r="BN22" s="7">
        <v>-2.851880646397522E-2</v>
      </c>
      <c r="BO22" s="7">
        <v>5.0484429112750417E-2</v>
      </c>
      <c r="BP22" s="7">
        <v>-5.4100012453170681E-4</v>
      </c>
      <c r="BQ22" s="7">
        <v>-9.1228191194409197E-2</v>
      </c>
      <c r="BR22" s="7">
        <v>2.081360946645289E-2</v>
      </c>
      <c r="BS22" s="7">
        <v>9.7047589704545023E-2</v>
      </c>
      <c r="BT22" s="7">
        <v>6.7143215417725319E-2</v>
      </c>
      <c r="BU22" s="7">
        <v>0.21294876613801031</v>
      </c>
      <c r="BV22" s="7">
        <v>-6.8176016755736729E-4</v>
      </c>
      <c r="BW22" s="7">
        <v>0.1321717915357814</v>
      </c>
      <c r="BX22" s="7">
        <v>-0.15293737024999199</v>
      </c>
      <c r="BY22" s="7">
        <v>3.2352875520499369E-2</v>
      </c>
      <c r="BZ22" s="7">
        <v>-4.725773586289217E-2</v>
      </c>
      <c r="CA22" s="7">
        <v>-2.749007848032349E-2</v>
      </c>
      <c r="CB22" s="7">
        <v>-0.25473925571486122</v>
      </c>
      <c r="CC22" s="7">
        <v>-0.12510399532003291</v>
      </c>
      <c r="CD22" s="7">
        <v>-0.31577166020284902</v>
      </c>
      <c r="CE22" s="7">
        <v>-0.39338733910427809</v>
      </c>
      <c r="CF22" s="7">
        <v>-0.1007703570340648</v>
      </c>
      <c r="CG22" s="7">
        <v>-0.207085332633513</v>
      </c>
      <c r="CH22" s="7">
        <v>0.1536062848095433</v>
      </c>
      <c r="CI22" s="7">
        <v>6.4617322810374245E-2</v>
      </c>
      <c r="CJ22" s="7">
        <v>0.1033795050895627</v>
      </c>
      <c r="CK22" s="7">
        <v>0.1109235402867822</v>
      </c>
      <c r="CL22" s="7">
        <v>-9.499701202354538E-2</v>
      </c>
      <c r="CM22" s="7">
        <v>0.32043200365782532</v>
      </c>
      <c r="CN22" s="7">
        <v>8.5467718209073992E-3</v>
      </c>
      <c r="CO22" s="7">
        <v>-0.18528575790522681</v>
      </c>
      <c r="CP22" s="7">
        <v>-0.25940855696940252</v>
      </c>
      <c r="CQ22" s="7">
        <v>1.7159615519123799E-2</v>
      </c>
      <c r="CR22" s="7">
        <v>-0.24677276999188669</v>
      </c>
      <c r="CS22" s="7">
        <v>2.4439586832032689E-2</v>
      </c>
      <c r="CT22" s="7">
        <v>-0.1260913781887717</v>
      </c>
      <c r="CU22" s="7">
        <v>0.16735391118636819</v>
      </c>
      <c r="CV22" s="7">
        <v>-0.18304654674469811</v>
      </c>
      <c r="CW22" s="7">
        <v>2.2884042331984721E-2</v>
      </c>
      <c r="CX22" s="7">
        <v>-5.4293295473803682E-2</v>
      </c>
      <c r="CY22" s="7">
        <v>-0.16243986871344671</v>
      </c>
      <c r="CZ22" s="7">
        <v>-7.58724644113902E-3</v>
      </c>
      <c r="DA22" s="7">
        <v>-3.9917538819241108E-3</v>
      </c>
      <c r="DB22" s="7">
        <v>5.8383506828492103E-2</v>
      </c>
      <c r="DC22" s="7">
        <v>2.0724784444157599E-2</v>
      </c>
      <c r="DD22" s="7">
        <v>3.1710169125825367E-2</v>
      </c>
      <c r="DE22" s="7">
        <v>-1.7756503501932811E-2</v>
      </c>
      <c r="DF22" s="7">
        <v>9.7071705636226913E-2</v>
      </c>
      <c r="DG22" s="7">
        <v>8.8121410503063616E-2</v>
      </c>
      <c r="DH22" s="7">
        <v>-8.1454381615908525E-2</v>
      </c>
      <c r="DI22" s="7">
        <v>8.1105543840270106E-2</v>
      </c>
      <c r="DJ22" s="7">
        <v>-0.15369976283032971</v>
      </c>
      <c r="DK22" s="7">
        <v>-2.3346176632961561E-2</v>
      </c>
      <c r="DL22" s="7">
        <v>3.213330743138731E-3</v>
      </c>
      <c r="DM22" s="7">
        <v>-4.2676549116040817E-2</v>
      </c>
      <c r="DN22" s="7">
        <v>0.30537502827220309</v>
      </c>
      <c r="DO22" s="7">
        <v>2.3768668287448849E-2</v>
      </c>
      <c r="DP22" s="7">
        <v>1.022725785290381E-2</v>
      </c>
      <c r="DQ22" s="7">
        <v>-0.16540416654463991</v>
      </c>
      <c r="DR22" s="7">
        <v>-7.1236299673135633E-2</v>
      </c>
      <c r="DS22" s="7">
        <v>-0.12952383936920511</v>
      </c>
      <c r="DT22" s="7">
        <v>2.712875397817005E-2</v>
      </c>
      <c r="DU22" s="7">
        <v>-0.37526887234197209</v>
      </c>
      <c r="DV22" s="7">
        <v>-0.15706236954975081</v>
      </c>
      <c r="DW22" s="7">
        <v>7.838972370699715E-2</v>
      </c>
      <c r="DX22" s="7">
        <v>0.1643521240415392</v>
      </c>
      <c r="DY22" s="7">
        <v>-0.31775437236448251</v>
      </c>
      <c r="DZ22" s="7">
        <v>0.16562624622575561</v>
      </c>
      <c r="EA22" s="7">
        <v>0.14035616200069359</v>
      </c>
      <c r="EB22" s="7">
        <v>0.12976595030606911</v>
      </c>
      <c r="EC22" s="7">
        <v>2.8428811778050931E-2</v>
      </c>
      <c r="ED22" s="7">
        <v>0.18368198650415579</v>
      </c>
      <c r="EE22" s="7">
        <v>3.5899357196068807E-2</v>
      </c>
      <c r="EF22" s="8">
        <v>-3.6595469131778337E-2</v>
      </c>
    </row>
    <row r="23" spans="1:136" x14ac:dyDescent="0.3">
      <c r="A23" s="1">
        <v>482</v>
      </c>
      <c r="B23" s="1">
        <v>2</v>
      </c>
      <c r="C23" s="7">
        <v>3.1325684581971477E-2</v>
      </c>
      <c r="D23" s="7">
        <v>0.25409262745146127</v>
      </c>
      <c r="E23" s="7">
        <v>-1.5061587686965401E-2</v>
      </c>
      <c r="F23" s="7">
        <v>0.1823960753208787</v>
      </c>
      <c r="G23" s="7">
        <v>2.6971568524368019E-2</v>
      </c>
      <c r="H23" s="7">
        <v>-0.2628102412014528</v>
      </c>
      <c r="I23" s="7">
        <v>-0.148152028600294</v>
      </c>
      <c r="J23" s="7">
        <v>-9.8162291146452377E-2</v>
      </c>
      <c r="K23" s="7">
        <v>0.14260757512465491</v>
      </c>
      <c r="L23" s="7">
        <v>-0.23244436104246219</v>
      </c>
      <c r="M23" s="7">
        <v>-0.2584499163586424</v>
      </c>
      <c r="N23" s="7">
        <v>0.12680001369232849</v>
      </c>
      <c r="O23" s="7">
        <v>0.20456437797300209</v>
      </c>
      <c r="P23" s="7">
        <v>1.068350475974675E-2</v>
      </c>
      <c r="Q23" s="7">
        <v>-5.95680169005205E-2</v>
      </c>
      <c r="R23" s="7">
        <v>5.6211143313255052E-2</v>
      </c>
      <c r="S23" s="7">
        <v>0.16929499991324401</v>
      </c>
      <c r="T23" s="7">
        <v>3.733692084787466E-4</v>
      </c>
      <c r="U23" s="7">
        <v>9.3757422440794366E-2</v>
      </c>
      <c r="V23" s="7">
        <v>-6.3357010979066042E-2</v>
      </c>
      <c r="W23" s="7">
        <v>0.50391933118531074</v>
      </c>
      <c r="X23" s="7">
        <v>0.1945564614576443</v>
      </c>
      <c r="Y23" s="7">
        <v>7.588763428678244E-3</v>
      </c>
      <c r="Z23" s="7">
        <v>3.3032515443875303E-2</v>
      </c>
      <c r="AA23" s="7">
        <v>6.6062919694702682E-3</v>
      </c>
      <c r="AB23" s="7">
        <v>-6.4039779876783498E-2</v>
      </c>
      <c r="AC23" s="7">
        <v>0.1687547996369127</v>
      </c>
      <c r="AD23" s="7">
        <v>2.9952915704841848E-3</v>
      </c>
      <c r="AE23" s="7">
        <v>0.13721198875766</v>
      </c>
      <c r="AF23" s="7">
        <v>-0.32465932564021122</v>
      </c>
      <c r="AG23" s="7">
        <v>0.145893892939672</v>
      </c>
      <c r="AH23" s="7">
        <v>-0.1356489203506672</v>
      </c>
      <c r="AI23" s="7">
        <v>-7.5450169739462281E-2</v>
      </c>
      <c r="AJ23" s="7">
        <v>1.6962455385149559E-2</v>
      </c>
      <c r="AK23" s="7">
        <v>9.1199224275259672E-2</v>
      </c>
      <c r="AL23" s="7">
        <v>0.1314317131925356</v>
      </c>
      <c r="AM23" s="7">
        <v>7.769489004865255E-3</v>
      </c>
      <c r="AN23" s="7">
        <v>0.24231469935730071</v>
      </c>
      <c r="AO23" s="7">
        <v>9.078247952961746E-2</v>
      </c>
      <c r="AP23" s="7">
        <v>0.16526637233349209</v>
      </c>
      <c r="AQ23" s="7">
        <v>-8.9424992259610633E-2</v>
      </c>
      <c r="AR23" s="7">
        <v>0.1461361643393671</v>
      </c>
      <c r="AS23" s="7">
        <v>-1.470688799737762E-2</v>
      </c>
      <c r="AT23" s="7">
        <v>0.1095059029649002</v>
      </c>
      <c r="AU23" s="7">
        <v>0.20359589118158589</v>
      </c>
      <c r="AV23" s="7">
        <v>-9.6757250400133471E-2</v>
      </c>
      <c r="AW23" s="7">
        <v>5.202690983840276E-2</v>
      </c>
      <c r="AX23" s="7">
        <v>1.4812779008540821E-2</v>
      </c>
      <c r="AY23" s="7">
        <v>5.8139600106789993E-2</v>
      </c>
      <c r="AZ23" s="7">
        <v>-0.31598452125580129</v>
      </c>
      <c r="BA23" s="7">
        <v>9.6467800801007808E-3</v>
      </c>
      <c r="BB23" s="7">
        <v>0.56682652604744033</v>
      </c>
      <c r="BC23" s="7">
        <v>-0.30082824917306578</v>
      </c>
      <c r="BD23" s="7">
        <v>9.4830881346450333E-2</v>
      </c>
      <c r="BE23" s="7">
        <v>7.1430762397296579E-2</v>
      </c>
      <c r="BF23" s="7">
        <v>0.21000911286045121</v>
      </c>
      <c r="BG23" s="7">
        <v>7.4761471196752541E-2</v>
      </c>
      <c r="BH23" s="7">
        <v>-0.2034839813552872</v>
      </c>
      <c r="BI23" s="7">
        <v>0.13821955522644711</v>
      </c>
      <c r="BJ23" s="7">
        <v>5.8020213544642429E-2</v>
      </c>
      <c r="BK23" s="7">
        <v>-5.0098634745350491E-3</v>
      </c>
      <c r="BL23" s="7">
        <v>0.11436629014166901</v>
      </c>
      <c r="BM23" s="7">
        <v>-6.9495462024450616E-2</v>
      </c>
      <c r="BN23" s="7">
        <v>-2.660347002197758E-2</v>
      </c>
      <c r="BO23" s="7">
        <v>-3.6524941745999073E-2</v>
      </c>
      <c r="BP23" s="7">
        <v>-2.2475721392681891E-2</v>
      </c>
      <c r="BQ23" s="7">
        <v>-5.9356424860417777E-2</v>
      </c>
      <c r="BR23" s="7">
        <v>1.7844321463962809E-2</v>
      </c>
      <c r="BS23" s="7">
        <v>0.2205670944023907</v>
      </c>
      <c r="BT23" s="7">
        <v>7.018926416463693E-2</v>
      </c>
      <c r="BU23" s="7">
        <v>0.20568773584594591</v>
      </c>
      <c r="BV23" s="7">
        <v>1.7018950875927849E-2</v>
      </c>
      <c r="BW23" s="7">
        <v>1.536251504309036E-2</v>
      </c>
      <c r="BX23" s="7">
        <v>-0.1242195235446351</v>
      </c>
      <c r="BY23" s="7">
        <v>3.9939448876130351E-2</v>
      </c>
      <c r="BZ23" s="7">
        <v>-7.6697624318448621E-3</v>
      </c>
      <c r="CA23" s="7">
        <v>-7.5653199746629096E-2</v>
      </c>
      <c r="CB23" s="7">
        <v>-0.31616676175875003</v>
      </c>
      <c r="CC23" s="7">
        <v>-8.4544614715775346E-2</v>
      </c>
      <c r="CD23" s="7">
        <v>-0.64074657751655262</v>
      </c>
      <c r="CE23" s="7">
        <v>-0.1166246067964614</v>
      </c>
      <c r="CF23" s="7">
        <v>-1.616083543008176E-2</v>
      </c>
      <c r="CG23" s="7">
        <v>-0.21663724162720299</v>
      </c>
      <c r="CH23" s="7">
        <v>0.16212257431707061</v>
      </c>
      <c r="CI23" s="7">
        <v>0.13522219665147919</v>
      </c>
      <c r="CJ23" s="7">
        <v>1.9875367550410569E-2</v>
      </c>
      <c r="CK23" s="7">
        <v>7.1856390536544607E-2</v>
      </c>
      <c r="CL23" s="7">
        <v>-0.1640494591789142</v>
      </c>
      <c r="CM23" s="7">
        <v>0.3867329465229094</v>
      </c>
      <c r="CN23" s="7">
        <v>5.3005178369803271E-2</v>
      </c>
      <c r="CO23" s="7">
        <v>-0.26845097690314912</v>
      </c>
      <c r="CP23" s="7">
        <v>-0.31136074316275669</v>
      </c>
      <c r="CQ23" s="7">
        <v>-2.4702270079380868E-2</v>
      </c>
      <c r="CR23" s="7">
        <v>-0.15099817047394759</v>
      </c>
      <c r="CS23" s="7">
        <v>6.901537085690515E-2</v>
      </c>
      <c r="CT23" s="7">
        <v>-3.2850224006144763E-2</v>
      </c>
      <c r="CU23" s="7">
        <v>0.20210388498715681</v>
      </c>
      <c r="CV23" s="7">
        <v>-0.20185146288687841</v>
      </c>
      <c r="CW23" s="7">
        <v>-2.418628778900123E-2</v>
      </c>
      <c r="CX23" s="7">
        <v>-6.1859993147280662E-2</v>
      </c>
      <c r="CY23" s="7">
        <v>-0.28171082747401988</v>
      </c>
      <c r="CZ23" s="7">
        <v>6.1281100514640897E-2</v>
      </c>
      <c r="DA23" s="7">
        <v>-3.0982136225910391E-2</v>
      </c>
      <c r="DB23" s="7">
        <v>1.5955156866996431E-2</v>
      </c>
      <c r="DC23" s="7">
        <v>-0.1191904860704142</v>
      </c>
      <c r="DD23" s="7">
        <v>9.2798674677153081E-2</v>
      </c>
      <c r="DE23" s="7">
        <v>-6.0085947510171572E-2</v>
      </c>
      <c r="DF23" s="7">
        <v>0.1913738738124513</v>
      </c>
      <c r="DG23" s="7">
        <v>0.15297665429505281</v>
      </c>
      <c r="DH23" s="7">
        <v>-0.1392268935121084</v>
      </c>
      <c r="DI23" s="7">
        <v>0.18491271354810521</v>
      </c>
      <c r="DJ23" s="7">
        <v>-0.1200325818239187</v>
      </c>
      <c r="DK23" s="7">
        <v>-4.7749797048578922E-2</v>
      </c>
      <c r="DL23" s="7">
        <v>-2.6242652104624471E-2</v>
      </c>
      <c r="DM23" s="7">
        <v>1.071033430682497E-2</v>
      </c>
      <c r="DN23" s="7">
        <v>0.26497485648399138</v>
      </c>
      <c r="DO23" s="7">
        <v>-8.4670827807182117E-2</v>
      </c>
      <c r="DP23" s="7">
        <v>4.7088232655722921E-2</v>
      </c>
      <c r="DQ23" s="7">
        <v>-0.24594610755878629</v>
      </c>
      <c r="DR23" s="7">
        <v>-0.1024257952350012</v>
      </c>
      <c r="DS23" s="7">
        <v>-0.24719455144246849</v>
      </c>
      <c r="DT23" s="7">
        <v>-2.2296457069757209E-2</v>
      </c>
      <c r="DU23" s="7">
        <v>-0.52524170665309988</v>
      </c>
      <c r="DV23" s="7">
        <v>-0.19274140121789701</v>
      </c>
      <c r="DW23" s="7">
        <v>0.14122823258283859</v>
      </c>
      <c r="DX23" s="7">
        <v>0.1710027869684545</v>
      </c>
      <c r="DY23" s="7">
        <v>-0.26822192937212391</v>
      </c>
      <c r="DZ23" s="7">
        <v>0.12933301555171881</v>
      </c>
      <c r="EA23" s="7">
        <v>-2.875877977640498E-2</v>
      </c>
      <c r="EB23" s="7">
        <v>0.24428465812392219</v>
      </c>
      <c r="EC23" s="7">
        <v>0.1232049429556647</v>
      </c>
      <c r="ED23" s="7">
        <v>0.194323278521919</v>
      </c>
      <c r="EE23" s="7">
        <v>6.9545558094986554E-2</v>
      </c>
      <c r="EF23" s="8">
        <v>-9.3415857913687922E-2</v>
      </c>
    </row>
    <row r="24" spans="1:136" x14ac:dyDescent="0.3">
      <c r="A24" s="1">
        <v>964</v>
      </c>
      <c r="B24" s="1">
        <v>1</v>
      </c>
      <c r="C24" s="7">
        <v>2.776696731044102E-2</v>
      </c>
      <c r="D24" s="7">
        <v>0.1006099128992286</v>
      </c>
      <c r="E24" s="7">
        <v>8.1880334610397495E-2</v>
      </c>
      <c r="F24" s="7">
        <v>0.20154571887164621</v>
      </c>
      <c r="G24" s="7">
        <v>2.2622388562617651E-2</v>
      </c>
      <c r="H24" s="7">
        <v>-0.35082219133103881</v>
      </c>
      <c r="I24" s="7">
        <v>2.111933203143501E-3</v>
      </c>
      <c r="J24" s="7">
        <v>-9.9972192910136135E-2</v>
      </c>
      <c r="K24" s="7">
        <v>5.0444335993488708E-2</v>
      </c>
      <c r="L24" s="7">
        <v>-0.33375944447564659</v>
      </c>
      <c r="M24" s="7">
        <v>-0.14681933889950849</v>
      </c>
      <c r="N24" s="7">
        <v>0.1051917107958454</v>
      </c>
      <c r="O24" s="7">
        <v>0.235309193405423</v>
      </c>
      <c r="P24" s="7">
        <v>7.7736485854057236E-2</v>
      </c>
      <c r="Q24" s="7">
        <v>-6.096496164670627E-2</v>
      </c>
      <c r="R24" s="7">
        <v>0.24569737077925971</v>
      </c>
      <c r="S24" s="7">
        <v>0.13988379956700059</v>
      </c>
      <c r="T24" s="7">
        <v>-0.1236910440917892</v>
      </c>
      <c r="U24" s="7">
        <v>0.14851867422391801</v>
      </c>
      <c r="V24" s="7">
        <v>-0.11654031671685081</v>
      </c>
      <c r="W24" s="7">
        <v>0.64293352860565944</v>
      </c>
      <c r="X24" s="7">
        <v>-8.988764650171982E-4</v>
      </c>
      <c r="Y24" s="7">
        <v>2.9398839580432611E-2</v>
      </c>
      <c r="Z24" s="7">
        <v>0.10584232727880701</v>
      </c>
      <c r="AA24" s="7">
        <v>1.354776823757727E-2</v>
      </c>
      <c r="AB24" s="7">
        <v>-0.1953396226752438</v>
      </c>
      <c r="AC24" s="7">
        <v>0.4017473338469546</v>
      </c>
      <c r="AD24" s="7">
        <v>5.9922146810819088E-2</v>
      </c>
      <c r="AE24" s="7">
        <v>0.19314178971175811</v>
      </c>
      <c r="AF24" s="7">
        <v>-0.49538941280416188</v>
      </c>
      <c r="AG24" s="7">
        <v>0.38005539258279603</v>
      </c>
      <c r="AH24" s="7">
        <v>-0.30212275660657528</v>
      </c>
      <c r="AI24" s="7">
        <v>-0.15191167478339729</v>
      </c>
      <c r="AJ24" s="7">
        <v>2.011236537319892E-2</v>
      </c>
      <c r="AK24" s="7">
        <v>0.11317916377562411</v>
      </c>
      <c r="AL24" s="7">
        <v>-5.4676935490635382E-2</v>
      </c>
      <c r="AM24" s="7">
        <v>-1.89192814205267E-2</v>
      </c>
      <c r="AN24" s="7">
        <v>0.22118946514543131</v>
      </c>
      <c r="AO24" s="7">
        <v>0.1029057025777895</v>
      </c>
      <c r="AP24" s="7">
        <v>0.16448668915792031</v>
      </c>
      <c r="AQ24" s="7">
        <v>-4.7076972834245667E-2</v>
      </c>
      <c r="AR24" s="7">
        <v>0.1708334061708256</v>
      </c>
      <c r="AS24" s="7">
        <v>-2.7956077266590069E-2</v>
      </c>
      <c r="AT24" s="7">
        <v>0.15076897992568081</v>
      </c>
      <c r="AU24" s="7">
        <v>0.22984101567941989</v>
      </c>
      <c r="AV24" s="7">
        <v>-1.952221442252405E-2</v>
      </c>
      <c r="AW24" s="7">
        <v>-4.9875415110391882E-3</v>
      </c>
      <c r="AX24" s="7">
        <v>-0.1114913369162155</v>
      </c>
      <c r="AY24" s="7">
        <v>0.26743574468647008</v>
      </c>
      <c r="AZ24" s="7">
        <v>-0.60989956018477687</v>
      </c>
      <c r="BA24" s="7">
        <v>-5.3794732084633153E-2</v>
      </c>
      <c r="BB24" s="7">
        <v>0.69077653138067185</v>
      </c>
      <c r="BC24" s="7">
        <v>-0.8032160130443774</v>
      </c>
      <c r="BD24" s="7">
        <v>0.18559521924643521</v>
      </c>
      <c r="BE24" s="7">
        <v>4.606435403168687E-2</v>
      </c>
      <c r="BF24" s="7">
        <v>-6.4370420949463519E-2</v>
      </c>
      <c r="BG24" s="7">
        <v>2.6835965866310919E-2</v>
      </c>
      <c r="BH24" s="7">
        <v>-0.38625533691353497</v>
      </c>
      <c r="BI24" s="7">
        <v>-2.8151632148178202E-2</v>
      </c>
      <c r="BJ24" s="7">
        <v>-6.0567254322459393E-2</v>
      </c>
      <c r="BK24" s="7">
        <v>-1.00197269490701E-2</v>
      </c>
      <c r="BL24" s="7">
        <v>0.1061069201511666</v>
      </c>
      <c r="BM24" s="7">
        <v>8.4782939838988242E-2</v>
      </c>
      <c r="BN24" s="7">
        <v>-1.989015847921969E-2</v>
      </c>
      <c r="BO24" s="7">
        <v>0.16110969109564191</v>
      </c>
      <c r="BP24" s="7">
        <v>3.1794104329889807E-2</v>
      </c>
      <c r="BQ24" s="7">
        <v>1.385746642413632E-2</v>
      </c>
      <c r="BR24" s="7">
        <v>4.2356223303417713E-2</v>
      </c>
      <c r="BS24" s="7">
        <v>0.1216210365296066</v>
      </c>
      <c r="BT24" s="7">
        <v>5.5799256308256592E-2</v>
      </c>
      <c r="BU24" s="7">
        <v>0.22832663155994071</v>
      </c>
      <c r="BV24" s="7">
        <v>0.20330415183045039</v>
      </c>
      <c r="BW24" s="7">
        <v>0.15102744542241939</v>
      </c>
      <c r="BX24" s="7">
        <v>-5.8043369649915091E-2</v>
      </c>
      <c r="BY24" s="7">
        <v>-0.29033687494541688</v>
      </c>
      <c r="BZ24" s="7">
        <v>-0.25889289884999689</v>
      </c>
      <c r="CA24" s="7">
        <v>-0.1152216807734147</v>
      </c>
      <c r="CB24" s="7">
        <v>-0.639698133634515</v>
      </c>
      <c r="CC24" s="7">
        <v>-0.18246987988756161</v>
      </c>
      <c r="CD24" s="7">
        <v>-0.69133196858938295</v>
      </c>
      <c r="CE24" s="7">
        <v>-0.21012143523608839</v>
      </c>
      <c r="CF24" s="7">
        <v>4.3964633996731547E-2</v>
      </c>
      <c r="CG24" s="7">
        <v>-0.51996896607392207</v>
      </c>
      <c r="CH24" s="7">
        <v>0.2129728840293183</v>
      </c>
      <c r="CI24" s="7">
        <v>0.29359964364968388</v>
      </c>
      <c r="CJ24" s="7">
        <v>-1.310948541941956E-2</v>
      </c>
      <c r="CK24" s="7">
        <v>0.32305926532838408</v>
      </c>
      <c r="CL24" s="7">
        <v>-1.5683747889366519E-2</v>
      </c>
      <c r="CM24" s="7">
        <v>0.54958710995910021</v>
      </c>
      <c r="CN24" s="7">
        <v>0.1077387664572132</v>
      </c>
      <c r="CO24" s="7">
        <v>-0.57240960973467503</v>
      </c>
      <c r="CP24" s="7">
        <v>-0.1603442048148421</v>
      </c>
      <c r="CQ24" s="7">
        <v>-0.1601896466275006</v>
      </c>
      <c r="CR24" s="7">
        <v>-0.1377874560487031</v>
      </c>
      <c r="CS24" s="7">
        <v>-2.6854922521108548E-2</v>
      </c>
      <c r="CT24" s="7">
        <v>0.1828965872921165</v>
      </c>
      <c r="CU24" s="7">
        <v>5.2729044813654813E-2</v>
      </c>
      <c r="CV24" s="7">
        <v>-0.36148029535141007</v>
      </c>
      <c r="CW24" s="7">
        <v>-0.234993215272846</v>
      </c>
      <c r="CX24" s="7">
        <v>-0.14669462567028749</v>
      </c>
      <c r="CY24" s="7">
        <v>-0.36022804676873771</v>
      </c>
      <c r="CZ24" s="7">
        <v>0.16210690987816029</v>
      </c>
      <c r="DA24" s="7">
        <v>2.451120416275485E-2</v>
      </c>
      <c r="DB24" s="7">
        <v>0.19546067251265431</v>
      </c>
      <c r="DC24" s="7">
        <v>-0.19117575817053481</v>
      </c>
      <c r="DD24" s="7">
        <v>-0.19584472218244131</v>
      </c>
      <c r="DE24" s="7">
        <v>0.13158559129553279</v>
      </c>
      <c r="DF24" s="7">
        <v>0.19463806375593051</v>
      </c>
      <c r="DG24" s="7">
        <v>0.24858898273322999</v>
      </c>
      <c r="DH24" s="7">
        <v>-0.26580267599251223</v>
      </c>
      <c r="DI24" s="7">
        <v>0.42309879972833903</v>
      </c>
      <c r="DJ24" s="7">
        <v>-0.2293698745310894</v>
      </c>
      <c r="DK24" s="7">
        <v>-0.16602172835425</v>
      </c>
      <c r="DL24" s="7">
        <v>-6.1360513215416877E-2</v>
      </c>
      <c r="DM24" s="7">
        <v>0.10831609512618499</v>
      </c>
      <c r="DN24" s="7">
        <v>0.51684793899753223</v>
      </c>
      <c r="DO24" s="7">
        <v>-8.3114289590005733E-2</v>
      </c>
      <c r="DP24" s="7">
        <v>0.1143734254860139</v>
      </c>
      <c r="DQ24" s="7">
        <v>-0.35907130209664839</v>
      </c>
      <c r="DR24" s="7">
        <v>-2.3391731273528969E-2</v>
      </c>
      <c r="DS24" s="7">
        <v>-0.14400697483881431</v>
      </c>
      <c r="DT24" s="7">
        <v>-2.9435726388863388E-2</v>
      </c>
      <c r="DU24" s="7">
        <v>-0.7705433077559587</v>
      </c>
      <c r="DV24" s="7">
        <v>-0.75045654918922122</v>
      </c>
      <c r="DW24" s="7">
        <v>0.10885708989133031</v>
      </c>
      <c r="DX24" s="7">
        <v>0.17373733044807921</v>
      </c>
      <c r="DY24" s="7">
        <v>-3.2066535729951551E-2</v>
      </c>
      <c r="DZ24" s="7">
        <v>-4.8904664258799802E-2</v>
      </c>
      <c r="EA24" s="7">
        <v>-5.4920183841502608E-2</v>
      </c>
      <c r="EB24" s="7">
        <v>0.58969791699909047</v>
      </c>
      <c r="EC24" s="7">
        <v>0.25665137996352638</v>
      </c>
      <c r="ED24" s="7">
        <v>8.4540092567264802E-2</v>
      </c>
      <c r="EE24" s="7">
        <v>-3.5663982870964749E-2</v>
      </c>
      <c r="EF24" s="8">
        <v>-0.13408707635021461</v>
      </c>
    </row>
    <row r="25" spans="1:136" s="5" customFormat="1" x14ac:dyDescent="0.3">
      <c r="A25" s="6" t="s">
        <v>147</v>
      </c>
      <c r="B25" s="6" t="s">
        <v>148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26"/>
  <sheetViews>
    <sheetView topLeftCell="ED7" workbookViewId="0">
      <selection activeCell="EH24" sqref="EH24"/>
    </sheetView>
  </sheetViews>
  <sheetFormatPr defaultRowHeight="15" x14ac:dyDescent="0.3"/>
  <sheetData>
    <row r="1" spans="1:138" x14ac:dyDescent="0.3">
      <c r="A1" t="s">
        <v>0</v>
      </c>
    </row>
    <row r="2" spans="1:138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144</v>
      </c>
    </row>
    <row r="3" spans="1:138" x14ac:dyDescent="0.3">
      <c r="B3" s="1" t="s">
        <v>136</v>
      </c>
      <c r="C3" s="9">
        <v>0.10910583</v>
      </c>
      <c r="D3" s="9">
        <v>1.457658E-2</v>
      </c>
      <c r="E3" s="9">
        <v>-3.6154400000000003E-2</v>
      </c>
      <c r="F3" s="9">
        <v>-4.7425999999999996E-3</v>
      </c>
      <c r="G3" s="9">
        <v>-5.7478E-3</v>
      </c>
      <c r="H3" s="9">
        <v>4.9378020000000002E-2</v>
      </c>
      <c r="I3" s="9">
        <v>0.18325177000000001</v>
      </c>
      <c r="J3" s="9">
        <v>0.11648631</v>
      </c>
      <c r="K3" s="9">
        <v>-3.0594900000000001E-2</v>
      </c>
      <c r="L3" s="9">
        <v>1.982805E-2</v>
      </c>
      <c r="M3" s="9">
        <v>-2.0999E-2</v>
      </c>
      <c r="N3" s="9">
        <v>0.14977942</v>
      </c>
      <c r="O3" s="9">
        <v>1.546341E-2</v>
      </c>
      <c r="P3" s="9">
        <v>-9.1792299999999993E-2</v>
      </c>
      <c r="Q3" s="9">
        <v>-7.7409000000000006E-2</v>
      </c>
      <c r="R3" s="9">
        <v>5.4776600000000002E-2</v>
      </c>
      <c r="S3" s="9">
        <v>-0.12533440000000001</v>
      </c>
      <c r="T3" s="9">
        <v>-0.1190534</v>
      </c>
      <c r="U3" s="9">
        <v>-3.7770100000000001E-2</v>
      </c>
      <c r="V3" s="9">
        <v>8.1183820000000004E-2</v>
      </c>
      <c r="W3" s="9">
        <v>8.4008970000000002E-2</v>
      </c>
      <c r="X3" s="9">
        <v>0.14701136000000001</v>
      </c>
      <c r="Y3" s="9">
        <v>-0.12536050000000001</v>
      </c>
      <c r="Z3" s="9">
        <v>0.19195355</v>
      </c>
      <c r="AA3" s="9">
        <v>-8.4370799999999996E-2</v>
      </c>
      <c r="AB3" s="9">
        <v>7.2897610000000002E-2</v>
      </c>
      <c r="AC3" s="9">
        <v>0.10260456</v>
      </c>
      <c r="AD3" s="9">
        <v>1.577017E-2</v>
      </c>
      <c r="AE3" s="9">
        <v>-0.15200720000000001</v>
      </c>
      <c r="AF3" s="9">
        <v>5.9250249999999997E-2</v>
      </c>
      <c r="AG3" s="9">
        <v>0.13005884000000001</v>
      </c>
      <c r="AH3" s="9">
        <v>0.11525639999999999</v>
      </c>
      <c r="AI3" s="9">
        <v>3.2606620000000003E-2</v>
      </c>
      <c r="AJ3" s="9">
        <v>2.7999110000000001E-2</v>
      </c>
      <c r="AK3" s="9">
        <v>0.14657042000000001</v>
      </c>
      <c r="AL3" s="9">
        <v>4.0841919999999997E-2</v>
      </c>
      <c r="AM3" s="9">
        <v>0.13137636999999999</v>
      </c>
      <c r="AN3" s="9">
        <v>0.22143296000000001</v>
      </c>
      <c r="AO3" s="9">
        <v>-2.0941000000000001E-2</v>
      </c>
      <c r="AP3" s="9">
        <v>-0.13716</v>
      </c>
      <c r="AQ3" s="9">
        <v>-2.4882899999999999E-2</v>
      </c>
      <c r="AR3" s="9">
        <v>1.551397E-2</v>
      </c>
      <c r="AS3" s="9">
        <v>3.4373040000000001E-2</v>
      </c>
      <c r="AT3" s="9">
        <v>6.3095689999999996E-2</v>
      </c>
      <c r="AU3" s="9">
        <v>4.3237699999999997E-2</v>
      </c>
      <c r="AV3" s="9">
        <v>-7.4230400000000002E-2</v>
      </c>
      <c r="AW3" s="9">
        <v>2.7994829999999998E-2</v>
      </c>
      <c r="AX3" s="9">
        <v>0.11986442</v>
      </c>
      <c r="AY3" s="9">
        <v>7.6559569999999993E-2</v>
      </c>
      <c r="AZ3" s="9">
        <v>-2.17304E-2</v>
      </c>
      <c r="BA3" s="9">
        <v>-1.2465E-3</v>
      </c>
      <c r="BB3" s="9">
        <v>0.10099582</v>
      </c>
      <c r="BC3" s="9">
        <v>2.9826930000000001E-2</v>
      </c>
      <c r="BD3" s="9">
        <v>8.6757699999999993E-3</v>
      </c>
      <c r="BE3" s="9">
        <v>6.8557209999999993E-2</v>
      </c>
      <c r="BF3" s="9">
        <v>0.15691260000000001</v>
      </c>
      <c r="BG3" s="9">
        <v>0.15920372999999999</v>
      </c>
      <c r="BH3" s="9">
        <v>6.1121670000000003E-2</v>
      </c>
      <c r="BI3" s="9">
        <v>9.6912849999999995E-2</v>
      </c>
      <c r="BJ3" s="9">
        <v>-5.4746200000000002E-2</v>
      </c>
      <c r="BK3" s="9">
        <v>-8.7493000000000001E-2</v>
      </c>
      <c r="BL3" s="9">
        <v>9.4426750000000004E-2</v>
      </c>
      <c r="BM3" s="9">
        <v>-2.2191099999999998E-2</v>
      </c>
      <c r="BN3" s="9">
        <v>1.5628610000000001E-2</v>
      </c>
      <c r="BO3" s="9">
        <v>8.1418240000000003E-2</v>
      </c>
      <c r="BP3" s="9">
        <v>-1.8508899999999998E-2</v>
      </c>
      <c r="BQ3" s="9">
        <v>6.8729570000000004E-2</v>
      </c>
      <c r="BR3" s="9">
        <v>3.1023600000000002E-3</v>
      </c>
      <c r="BS3" s="9">
        <v>7.4964420000000004E-2</v>
      </c>
      <c r="BT3" s="9">
        <v>4.520159E-2</v>
      </c>
      <c r="BU3" s="9">
        <v>2.5677330000000002E-2</v>
      </c>
      <c r="BV3" s="9">
        <v>9.1804029999999995E-2</v>
      </c>
      <c r="BW3" s="9">
        <v>-2.6353999999999999E-2</v>
      </c>
      <c r="BX3" s="9">
        <v>1.9394829999999998E-2</v>
      </c>
      <c r="BY3" s="9">
        <v>-7.6838900000000002E-2</v>
      </c>
      <c r="BZ3" s="9">
        <v>0.11330931</v>
      </c>
      <c r="CA3" s="9">
        <v>-0.1073549</v>
      </c>
      <c r="CB3" s="9">
        <v>4.0844789999999999E-2</v>
      </c>
      <c r="CC3" s="9">
        <v>-1.9801699999999998E-2</v>
      </c>
      <c r="CD3" s="9">
        <v>0.18837709</v>
      </c>
      <c r="CE3" s="9">
        <v>5.5574909999999998E-2</v>
      </c>
      <c r="CF3" s="9">
        <v>7.4872069999999999E-2</v>
      </c>
      <c r="CG3" s="9">
        <v>0.10000019</v>
      </c>
      <c r="CH3" s="9">
        <v>0.13602172000000001</v>
      </c>
      <c r="CI3" s="9">
        <v>-9.3741000000000005E-2</v>
      </c>
      <c r="CJ3" s="9">
        <v>3.9306000000000002E-3</v>
      </c>
      <c r="CK3" s="9">
        <v>5.6507780000000001E-2</v>
      </c>
      <c r="CL3" s="9">
        <v>0.26354578000000001</v>
      </c>
      <c r="CM3" s="9">
        <v>-9.5554000000000004E-3</v>
      </c>
      <c r="CN3" s="9">
        <v>-3.1511900000000002E-2</v>
      </c>
      <c r="CO3" s="9">
        <v>-2.2619E-2</v>
      </c>
      <c r="CP3" s="9">
        <v>0.13265561000000001</v>
      </c>
      <c r="CQ3" s="9">
        <v>0.13307278</v>
      </c>
      <c r="CR3" s="9">
        <v>-1.49564E-2</v>
      </c>
      <c r="CS3" s="9">
        <v>-3.3419900000000002E-2</v>
      </c>
      <c r="CT3" s="9">
        <v>1.2281210000000001E-2</v>
      </c>
      <c r="CU3" s="9">
        <v>0.11681498</v>
      </c>
      <c r="CV3" s="9">
        <v>-3.1589000000000001E-3</v>
      </c>
      <c r="CW3" s="9">
        <v>3.8217760000000003E-2</v>
      </c>
      <c r="CX3" s="9">
        <v>0.13917409</v>
      </c>
      <c r="CY3" s="9">
        <v>-2.3712299999999999E-2</v>
      </c>
      <c r="CZ3" s="9">
        <v>0.21835291000000001</v>
      </c>
      <c r="DA3" s="9">
        <v>-5.7967400000000002E-2</v>
      </c>
      <c r="DB3" s="9">
        <v>-1.4104200000000001E-2</v>
      </c>
      <c r="DC3" s="9">
        <v>0.11395608</v>
      </c>
      <c r="DD3" s="9">
        <v>7.4472259999999998E-2</v>
      </c>
      <c r="DE3" s="9">
        <v>-8.9970000000000002E-4</v>
      </c>
      <c r="DF3" s="9">
        <v>9.7707000000000002E-4</v>
      </c>
      <c r="DG3" s="9">
        <v>-7.2980100000000006E-2</v>
      </c>
      <c r="DH3" s="9">
        <v>-2.38453E-2</v>
      </c>
      <c r="DI3" s="9">
        <v>-0.1015307</v>
      </c>
      <c r="DJ3" s="9">
        <v>2.7692540000000002E-2</v>
      </c>
      <c r="DK3" s="9">
        <v>-4.9335200000000003E-2</v>
      </c>
      <c r="DL3" s="9">
        <v>-5.6994000000000003E-3</v>
      </c>
      <c r="DM3" s="9">
        <v>-3.6981800000000002E-2</v>
      </c>
      <c r="DN3" s="9">
        <v>0.10981299</v>
      </c>
      <c r="DO3" s="9">
        <v>4.2036829999999997E-2</v>
      </c>
      <c r="DP3" s="9">
        <v>8.4566669999999997E-2</v>
      </c>
      <c r="DQ3" s="9">
        <v>-0.1102798</v>
      </c>
      <c r="DR3" s="9">
        <v>9.4328709999999996E-2</v>
      </c>
      <c r="DS3" s="9">
        <v>-7.1906899999999996E-2</v>
      </c>
      <c r="DT3" s="9">
        <v>-9.62364E-2</v>
      </c>
      <c r="DU3" s="9">
        <v>2.3455500000000001E-3</v>
      </c>
      <c r="DV3" s="9">
        <v>0.13401742</v>
      </c>
      <c r="DW3" s="9">
        <v>9.4732520000000001E-2</v>
      </c>
      <c r="DX3" s="9">
        <v>-0.1037732</v>
      </c>
      <c r="DY3" s="9">
        <v>7.576215E-2</v>
      </c>
      <c r="DZ3" s="9">
        <v>-3.1829700000000002E-2</v>
      </c>
      <c r="EA3" s="9">
        <v>0.16130802</v>
      </c>
      <c r="EB3" s="9">
        <v>1.0203530000000001E-2</v>
      </c>
      <c r="EC3" s="9">
        <v>7.3988429999999994E-2</v>
      </c>
      <c r="ED3" s="9">
        <v>-0.15737689999999999</v>
      </c>
      <c r="EE3" s="9">
        <v>7.9137550000000001E-2</v>
      </c>
      <c r="EF3" s="9">
        <v>7.2528549999999997E-2</v>
      </c>
      <c r="EG3" s="10">
        <f>CORREL([1]bm補值!EG$2:EG$972,[1]下個月月報酬補值!EG$2:EG$972)</f>
        <v>0.14231065676311483</v>
      </c>
    </row>
    <row r="4" spans="1:138" x14ac:dyDescent="0.3">
      <c r="B4" s="1" t="s">
        <v>137</v>
      </c>
      <c r="C4" s="9">
        <v>-0.24758869999999999</v>
      </c>
      <c r="D4" s="9">
        <v>-0.27469329999999997</v>
      </c>
      <c r="E4" s="9">
        <v>-8.4648399999999999E-2</v>
      </c>
      <c r="F4" s="9">
        <v>2.2644629999999999E-2</v>
      </c>
      <c r="G4" s="9">
        <v>-4.9680000000000002E-2</v>
      </c>
      <c r="H4" s="9">
        <v>-0.1007596</v>
      </c>
      <c r="I4" s="9">
        <v>-1.2522699999999999E-2</v>
      </c>
      <c r="J4" s="9">
        <v>7.8736539999999994E-2</v>
      </c>
      <c r="K4" s="9">
        <v>-3.4185100000000003E-2</v>
      </c>
      <c r="L4" s="9">
        <v>8.8406789999999999E-2</v>
      </c>
      <c r="M4" s="9">
        <v>-3.0634999999999998E-3</v>
      </c>
      <c r="N4" s="9">
        <v>-0.21221799999999999</v>
      </c>
      <c r="O4" s="9">
        <v>-3.6805400000000002E-2</v>
      </c>
      <c r="P4" s="9">
        <v>7.1033120000000005E-2</v>
      </c>
      <c r="Q4" s="9">
        <v>-7.1261099999999994E-2</v>
      </c>
      <c r="R4" s="9">
        <v>2.1560449999999998E-2</v>
      </c>
      <c r="S4" s="9">
        <v>0.10111125999999999</v>
      </c>
      <c r="T4" s="9">
        <v>4.3224730000000003E-2</v>
      </c>
      <c r="U4" s="9">
        <v>1.488195E-2</v>
      </c>
      <c r="V4" s="9">
        <v>6.3260199999999999E-3</v>
      </c>
      <c r="W4" s="9">
        <v>-0.14355299999999999</v>
      </c>
      <c r="X4" s="9">
        <v>-6.4282199999999998E-2</v>
      </c>
      <c r="Y4" s="9">
        <v>-1.9034200000000001E-2</v>
      </c>
      <c r="Z4" s="9">
        <v>-2.0644599999999999E-2</v>
      </c>
      <c r="AA4" s="9">
        <v>3.3059529999999997E-2</v>
      </c>
      <c r="AB4" s="9">
        <v>-1.94182E-2</v>
      </c>
      <c r="AC4" s="9">
        <v>-6.3126799999999997E-2</v>
      </c>
      <c r="AD4" s="9">
        <v>-6.5629699999999999E-2</v>
      </c>
      <c r="AE4" s="9">
        <v>0.13799568000000001</v>
      </c>
      <c r="AF4" s="9">
        <v>-0.1005679</v>
      </c>
      <c r="AG4" s="9">
        <v>-3.7969099999999999E-2</v>
      </c>
      <c r="AH4" s="9">
        <v>-4.5839499999999998E-2</v>
      </c>
      <c r="AI4" s="9">
        <v>-5.1034099999999999E-2</v>
      </c>
      <c r="AJ4" s="9">
        <v>-3.2204E-3</v>
      </c>
      <c r="AK4" s="9">
        <v>4.8952000000000002E-4</v>
      </c>
      <c r="AL4" s="9">
        <v>-0.10644670000000001</v>
      </c>
      <c r="AM4" s="9">
        <v>-1.3724E-2</v>
      </c>
      <c r="AN4" s="9">
        <v>-0.1219647</v>
      </c>
      <c r="AO4" s="9">
        <v>-4.85897E-2</v>
      </c>
      <c r="AP4" s="9">
        <v>-1.9032000000000001E-3</v>
      </c>
      <c r="AQ4" s="9">
        <v>2.9067490000000001E-2</v>
      </c>
      <c r="AR4" s="9">
        <v>5.2635769999999998E-2</v>
      </c>
      <c r="AS4" s="9">
        <v>-1.28933E-2</v>
      </c>
      <c r="AT4" s="9">
        <v>-2.1310999999999999E-3</v>
      </c>
      <c r="AU4" s="9">
        <v>-0.15538440000000001</v>
      </c>
      <c r="AV4" s="9">
        <v>1.268178E-2</v>
      </c>
      <c r="AW4" s="9">
        <v>-1.1942299999999999E-2</v>
      </c>
      <c r="AX4" s="9">
        <v>-4.2538000000000003E-3</v>
      </c>
      <c r="AY4" s="9">
        <v>2.930087E-2</v>
      </c>
      <c r="AZ4" s="9">
        <v>-0.13412750000000001</v>
      </c>
      <c r="BA4" s="9">
        <v>-0.1371115</v>
      </c>
      <c r="BB4" s="9">
        <v>1.7546599999999999E-3</v>
      </c>
      <c r="BC4" s="9">
        <v>2.511712E-2</v>
      </c>
      <c r="BD4" s="9">
        <v>-0.1196019</v>
      </c>
      <c r="BE4" s="9">
        <v>0.13576165000000001</v>
      </c>
      <c r="BF4" s="9">
        <v>4.7091170000000002E-2</v>
      </c>
      <c r="BG4" s="9">
        <v>-2.60501E-2</v>
      </c>
      <c r="BH4" s="9">
        <v>4.3752760000000002E-2</v>
      </c>
      <c r="BI4" s="9">
        <v>-8.13918E-2</v>
      </c>
      <c r="BJ4" s="9">
        <v>-0.1006008</v>
      </c>
      <c r="BK4" s="9">
        <v>9.0490070000000006E-2</v>
      </c>
      <c r="BL4" s="9">
        <v>-3.0898499999999999E-2</v>
      </c>
      <c r="BM4" s="9">
        <v>5.8814169999999999E-2</v>
      </c>
      <c r="BN4" s="9">
        <v>8.1345630000000002E-2</v>
      </c>
      <c r="BO4" s="9">
        <v>-7.7164E-3</v>
      </c>
      <c r="BP4" s="9">
        <v>0.10673487</v>
      </c>
      <c r="BQ4" s="9">
        <v>-2.7156300000000001E-2</v>
      </c>
      <c r="BR4" s="9">
        <v>-5.4431E-2</v>
      </c>
      <c r="BS4" s="9">
        <v>-6.8229300000000007E-2</v>
      </c>
      <c r="BT4" s="9">
        <v>9.861222E-2</v>
      </c>
      <c r="BU4" s="9">
        <v>0.12839854000000001</v>
      </c>
      <c r="BV4" s="9">
        <v>-7.84025E-2</v>
      </c>
      <c r="BW4" s="9">
        <v>-0.1191337</v>
      </c>
      <c r="BX4" s="9">
        <v>-4.6890099999999997E-2</v>
      </c>
      <c r="BY4" s="9">
        <v>0.10169835000000001</v>
      </c>
      <c r="BZ4" s="9">
        <v>-2.5680100000000001E-2</v>
      </c>
      <c r="CA4" s="9">
        <v>-8.3301799999999995E-2</v>
      </c>
      <c r="CB4" s="9">
        <v>-0.15782760000000001</v>
      </c>
      <c r="CC4" s="9">
        <v>-7.1052599999999994E-2</v>
      </c>
      <c r="CD4" s="9">
        <v>-7.3875499999999997E-2</v>
      </c>
      <c r="CE4" s="9">
        <v>-0.23678650000000001</v>
      </c>
      <c r="CF4" s="9">
        <v>3.2627709999999997E-2</v>
      </c>
      <c r="CG4" s="9">
        <v>1.342309E-2</v>
      </c>
      <c r="CH4" s="9">
        <v>-2.7967000000000001E-3</v>
      </c>
      <c r="CI4" s="9">
        <v>4.7925700000000002E-2</v>
      </c>
      <c r="CJ4" s="9">
        <v>-3.2520000000000001E-3</v>
      </c>
      <c r="CK4" s="9">
        <v>-7.5708200000000003E-2</v>
      </c>
      <c r="CL4" s="9">
        <v>-4.4397300000000001E-2</v>
      </c>
      <c r="CM4" s="9">
        <v>0.17898859</v>
      </c>
      <c r="CN4" s="9">
        <v>5.7994270000000001E-2</v>
      </c>
      <c r="CO4" s="9">
        <v>-0.13939019999999999</v>
      </c>
      <c r="CP4" s="9">
        <v>6.4714670000000002E-2</v>
      </c>
      <c r="CQ4" s="9">
        <v>-0.18118790000000001</v>
      </c>
      <c r="CR4" s="9">
        <v>-8.8633500000000004E-2</v>
      </c>
      <c r="CS4" s="9">
        <v>-2.5321799999999998E-2</v>
      </c>
      <c r="CT4" s="9">
        <v>-0.1130791</v>
      </c>
      <c r="CU4" s="9">
        <v>8.0959599999999993E-3</v>
      </c>
      <c r="CV4" s="9">
        <v>-4.5200200000000003E-2</v>
      </c>
      <c r="CW4" s="9">
        <v>-5.8941199999999999E-2</v>
      </c>
      <c r="CX4" s="9">
        <v>-0.1077283</v>
      </c>
      <c r="CY4" s="9">
        <v>-9.6503500000000006E-2</v>
      </c>
      <c r="CZ4" s="9">
        <v>-0.21035429999999999</v>
      </c>
      <c r="DA4" s="9">
        <v>-0.10996110000000001</v>
      </c>
      <c r="DB4" s="9">
        <v>-0.1908205</v>
      </c>
      <c r="DC4" s="9">
        <v>-2.0727300000000001E-2</v>
      </c>
      <c r="DD4" s="9">
        <v>8.7029090000000003E-2</v>
      </c>
      <c r="DE4" s="9">
        <v>8.2024589999999994E-2</v>
      </c>
      <c r="DF4" s="9">
        <v>-0.16687669999999999</v>
      </c>
      <c r="DG4" s="9">
        <v>0.22243809</v>
      </c>
      <c r="DH4" s="9">
        <v>-0.1442978</v>
      </c>
      <c r="DI4" s="9">
        <v>-0.1196199</v>
      </c>
      <c r="DJ4" s="9">
        <v>-0.1015928</v>
      </c>
      <c r="DK4" s="9">
        <v>9.2855060000000003E-2</v>
      </c>
      <c r="DL4" s="9">
        <v>-4.2630500000000002E-2</v>
      </c>
      <c r="DM4" s="9">
        <v>8.2732070000000005E-2</v>
      </c>
      <c r="DN4" s="9">
        <v>-3.1049500000000001E-2</v>
      </c>
      <c r="DO4" s="9">
        <v>-9.8141999999999993E-2</v>
      </c>
      <c r="DP4" s="9">
        <v>-0.13058890000000001</v>
      </c>
      <c r="DQ4" s="9">
        <v>4.865572E-2</v>
      </c>
      <c r="DR4" s="9">
        <v>-3.9251899999999999E-2</v>
      </c>
      <c r="DS4" s="9">
        <v>-0.16103020000000001</v>
      </c>
      <c r="DT4" s="9">
        <v>-7.8883999999999996E-2</v>
      </c>
      <c r="DU4" s="9">
        <v>0.16407715</v>
      </c>
      <c r="DV4" s="9">
        <v>7.5052599999999997E-3</v>
      </c>
      <c r="DW4" s="9">
        <v>-0.1016452</v>
      </c>
      <c r="DX4" s="9">
        <v>-5.6040300000000001E-2</v>
      </c>
      <c r="DY4" s="9">
        <v>-0.10665669999999999</v>
      </c>
      <c r="DZ4" s="9">
        <v>-6.9186600000000001E-2</v>
      </c>
      <c r="EA4" s="9">
        <v>-0.12618869999999999</v>
      </c>
      <c r="EB4" s="9">
        <v>-6.4737100000000006E-2</v>
      </c>
      <c r="EC4" s="9">
        <v>5.1426090000000001E-2</v>
      </c>
      <c r="ED4" s="9">
        <v>3.4496730000000003E-2</v>
      </c>
      <c r="EE4" s="9">
        <v>0.1576776</v>
      </c>
      <c r="EF4" s="9">
        <v>-0.12717999999999999</v>
      </c>
      <c r="EG4" s="10">
        <f>CORREL([2]size補值!EG$2:EG$965,[2]下個月月報酬補值!EG$2:EG$965)</f>
        <v>-0.15895948868776608</v>
      </c>
    </row>
    <row r="5" spans="1:138" x14ac:dyDescent="0.3">
      <c r="B5" s="1" t="s">
        <v>138</v>
      </c>
      <c r="C5" s="9">
        <v>-5.4239999999999997E-2</v>
      </c>
      <c r="D5" s="9">
        <v>4.5377000000000001E-2</v>
      </c>
      <c r="E5" s="9">
        <v>-1.7749999999999998E-2</v>
      </c>
      <c r="F5" s="9">
        <v>-8.7690000000000004E-2</v>
      </c>
      <c r="G5" s="9">
        <v>0.102759</v>
      </c>
      <c r="H5" s="9">
        <v>2.5110000000000002E-3</v>
      </c>
      <c r="I5" s="9">
        <v>-1.83E-2</v>
      </c>
      <c r="J5" s="9">
        <v>2.2110999999999999E-2</v>
      </c>
      <c r="K5" s="9">
        <v>7.7257999999999993E-2</v>
      </c>
      <c r="L5" s="9">
        <v>9.3439999999999999E-3</v>
      </c>
      <c r="M5" s="9">
        <v>5.3601999999999997E-2</v>
      </c>
      <c r="N5" s="9">
        <v>-6.7879999999999996E-2</v>
      </c>
      <c r="O5" s="9">
        <v>6.4930000000000002E-2</v>
      </c>
      <c r="P5" s="9">
        <v>4.8809999999999999E-3</v>
      </c>
      <c r="Q5" s="9">
        <v>1.9198E-2</v>
      </c>
      <c r="R5" s="9">
        <v>-5.47E-3</v>
      </c>
      <c r="S5" s="9">
        <v>3.6551E-2</v>
      </c>
      <c r="T5" s="9">
        <v>0.12918499999999999</v>
      </c>
      <c r="U5" s="9">
        <v>1.3691999999999999E-2</v>
      </c>
      <c r="V5" s="9">
        <v>1.5295E-2</v>
      </c>
      <c r="W5" s="9">
        <v>-0.10469000000000001</v>
      </c>
      <c r="X5" s="9">
        <v>-0.29385</v>
      </c>
      <c r="Y5" s="9">
        <v>5.9212000000000001E-2</v>
      </c>
      <c r="Z5" s="9">
        <v>-0.18495</v>
      </c>
      <c r="AA5" s="9">
        <v>9.8247000000000001E-2</v>
      </c>
      <c r="AB5" s="9">
        <v>-6.6E-4</v>
      </c>
      <c r="AC5" s="9">
        <v>-0.10369</v>
      </c>
      <c r="AD5" s="9">
        <v>3.545E-3</v>
      </c>
      <c r="AE5" s="9">
        <v>0.17560100000000001</v>
      </c>
      <c r="AF5" s="9">
        <v>-0.15503</v>
      </c>
      <c r="AG5" s="9">
        <v>-2.6329999999999999E-2</v>
      </c>
      <c r="AH5" s="9">
        <v>-5.0000000000000001E-3</v>
      </c>
      <c r="AI5" s="9">
        <v>2.8067999999999999E-2</v>
      </c>
      <c r="AJ5" s="9">
        <v>-2.2380000000000001E-2</v>
      </c>
      <c r="AK5" s="9">
        <v>-4.7019999999999999E-2</v>
      </c>
      <c r="AL5" s="9">
        <v>-0.10156</v>
      </c>
      <c r="AM5" s="9">
        <v>2.3525000000000001E-2</v>
      </c>
      <c r="AN5" s="9">
        <v>5.2525000000000002E-2</v>
      </c>
      <c r="AO5" s="9">
        <v>5.8502999999999999E-2</v>
      </c>
      <c r="AP5" s="9">
        <v>3.3446999999999998E-2</v>
      </c>
      <c r="AQ5" s="9">
        <v>1.43E-2</v>
      </c>
      <c r="AR5" s="9">
        <v>3.5903999999999998E-2</v>
      </c>
      <c r="AS5" s="9">
        <v>3.9781999999999998E-2</v>
      </c>
      <c r="AT5" s="9">
        <v>0.148456</v>
      </c>
      <c r="AU5" s="9">
        <v>-4.079E-2</v>
      </c>
      <c r="AV5" s="9">
        <v>0.138959</v>
      </c>
      <c r="AW5" s="9">
        <v>5.9863E-2</v>
      </c>
      <c r="AX5" s="9">
        <v>-0.14979000000000001</v>
      </c>
      <c r="AY5" s="9">
        <v>6.1595999999999998E-2</v>
      </c>
      <c r="AZ5" s="9">
        <v>-6.1949999999999998E-2</v>
      </c>
      <c r="BA5" s="9">
        <v>-2.3900000000000002E-3</v>
      </c>
      <c r="BB5" s="9">
        <v>-0.14887</v>
      </c>
      <c r="BC5" s="9">
        <v>6.0351000000000002E-2</v>
      </c>
      <c r="BD5" s="9">
        <v>-1.469E-2</v>
      </c>
      <c r="BE5" s="9">
        <v>-0.14652000000000001</v>
      </c>
      <c r="BF5" s="9">
        <v>-0.20876</v>
      </c>
      <c r="BG5" s="9">
        <v>-0.20144000000000001</v>
      </c>
      <c r="BH5" s="9">
        <v>-0.11805</v>
      </c>
      <c r="BI5" s="9">
        <v>-7.7030000000000001E-2</v>
      </c>
      <c r="BJ5" s="9">
        <v>-3.6220000000000002E-2</v>
      </c>
      <c r="BK5" s="9">
        <v>-1.891E-2</v>
      </c>
      <c r="BL5" s="9">
        <v>-0.17126</v>
      </c>
      <c r="BM5" s="9">
        <v>0.13291700000000001</v>
      </c>
      <c r="BN5" s="9">
        <v>-3.5909999999999997E-2</v>
      </c>
      <c r="BO5" s="9">
        <v>2.1344999999999999E-2</v>
      </c>
      <c r="BP5" s="9">
        <v>4.9634999999999999E-2</v>
      </c>
      <c r="BQ5" s="9">
        <v>-1.721E-2</v>
      </c>
      <c r="BR5" s="9">
        <v>0.189827</v>
      </c>
      <c r="BS5" s="9">
        <v>-9.7610000000000002E-2</v>
      </c>
      <c r="BT5" s="9">
        <v>3.7830999999999997E-2</v>
      </c>
      <c r="BU5" s="9">
        <v>5.6008000000000002E-2</v>
      </c>
      <c r="BV5" s="9">
        <v>-0.11674</v>
      </c>
      <c r="BW5" s="9">
        <v>-0.14132</v>
      </c>
      <c r="BX5" s="9">
        <v>-3.3800000000000002E-3</v>
      </c>
      <c r="BY5" s="9">
        <v>0.13033600000000001</v>
      </c>
      <c r="BZ5" s="9">
        <v>3.1697999999999997E-2</v>
      </c>
      <c r="CA5" s="9">
        <v>4.0555000000000001E-2</v>
      </c>
      <c r="CB5" s="9">
        <v>-4.2040000000000001E-2</v>
      </c>
      <c r="CC5" s="9">
        <v>5.0014000000000003E-2</v>
      </c>
      <c r="CD5" s="9">
        <v>-6.8459999999999993E-2</v>
      </c>
      <c r="CE5" s="9">
        <v>-8.0829999999999999E-2</v>
      </c>
      <c r="CF5" s="9">
        <v>-1.9499999999999999E-3</v>
      </c>
      <c r="CG5" s="9">
        <v>-0.11821</v>
      </c>
      <c r="CH5" s="9">
        <v>-3.6720000000000003E-2</v>
      </c>
      <c r="CI5" s="9">
        <v>-8.3330000000000001E-2</v>
      </c>
      <c r="CJ5" s="9">
        <v>0.23067299999999999</v>
      </c>
      <c r="CK5" s="9">
        <v>0.13277900000000001</v>
      </c>
      <c r="CL5" s="9">
        <v>0.141287</v>
      </c>
      <c r="CM5" s="9">
        <v>-0.11269</v>
      </c>
      <c r="CN5" s="9">
        <v>0.22348899999999999</v>
      </c>
      <c r="CO5" s="9">
        <v>-0.10442</v>
      </c>
      <c r="CP5" s="9">
        <v>-1.443E-2</v>
      </c>
      <c r="CQ5" s="9">
        <v>-0.20723</v>
      </c>
      <c r="CR5" s="9">
        <v>-0.13486000000000001</v>
      </c>
      <c r="CS5" s="9">
        <v>7.3008000000000003E-2</v>
      </c>
      <c r="CT5" s="9">
        <v>-3.022E-2</v>
      </c>
      <c r="CU5" s="9">
        <v>-0.28688999999999998</v>
      </c>
      <c r="CV5" s="9">
        <v>0.23073099999999999</v>
      </c>
      <c r="CW5" s="9">
        <v>9.1076000000000004E-2</v>
      </c>
      <c r="CX5" s="9">
        <v>-0.12249</v>
      </c>
      <c r="CY5" s="9">
        <v>7.8381999999999993E-2</v>
      </c>
      <c r="CZ5" s="9">
        <v>-4.5949999999999998E-2</v>
      </c>
      <c r="DA5" s="9">
        <v>8.2669999999999993E-2</v>
      </c>
      <c r="DB5" s="9">
        <v>0.14934900000000001</v>
      </c>
      <c r="DC5" s="9">
        <v>-4.7800000000000002E-2</v>
      </c>
      <c r="DD5" s="9">
        <v>-0.16450999999999999</v>
      </c>
      <c r="DE5" s="9">
        <v>-0.11057</v>
      </c>
      <c r="DF5" s="9">
        <v>5.7417000000000003E-2</v>
      </c>
      <c r="DG5" s="9">
        <v>-0.21489</v>
      </c>
      <c r="DH5" s="9">
        <v>6.2996999999999997E-2</v>
      </c>
      <c r="DI5" s="9">
        <v>6.7721000000000003E-2</v>
      </c>
      <c r="DJ5" s="9">
        <v>0.118802</v>
      </c>
      <c r="DK5" s="9">
        <v>7.2830000000000004E-3</v>
      </c>
      <c r="DL5" s="9">
        <v>7.1320999999999996E-2</v>
      </c>
      <c r="DM5" s="9">
        <v>2.1021999999999999E-2</v>
      </c>
      <c r="DN5" s="9">
        <v>-3.04E-2</v>
      </c>
      <c r="DO5" s="9">
        <v>-9.6949999999999995E-2</v>
      </c>
      <c r="DP5" s="9">
        <v>-0.23068</v>
      </c>
      <c r="DQ5" s="9">
        <v>0.23818400000000001</v>
      </c>
      <c r="DR5" s="9">
        <v>3.5750000000000001E-3</v>
      </c>
      <c r="DS5" s="9">
        <v>0.13395599999999999</v>
      </c>
      <c r="DT5" s="9">
        <v>0.115106</v>
      </c>
      <c r="DU5" s="9">
        <v>0.10408000000000001</v>
      </c>
      <c r="DV5" s="9">
        <v>-5.4609999999999999E-2</v>
      </c>
      <c r="DW5" s="9">
        <v>-3.329E-2</v>
      </c>
      <c r="DX5" s="9">
        <v>5.5094999999999998E-2</v>
      </c>
      <c r="DY5" s="9">
        <v>6.8793999999999994E-2</v>
      </c>
      <c r="DZ5" s="9">
        <v>1.4481000000000001E-2</v>
      </c>
      <c r="EA5" s="9">
        <v>-0.29314000000000001</v>
      </c>
      <c r="EB5" s="9">
        <v>-0.14097999999999999</v>
      </c>
      <c r="EC5" s="9">
        <v>-1.221E-2</v>
      </c>
      <c r="ED5" s="9">
        <v>5.8167999999999997E-2</v>
      </c>
      <c r="EE5" s="9">
        <v>-0.1444</v>
      </c>
      <c r="EF5" s="9">
        <v>-9.7009999999999999E-2</v>
      </c>
      <c r="EG5" s="10"/>
    </row>
    <row r="6" spans="1:138" x14ac:dyDescent="0.3">
      <c r="A6" s="22" t="s">
        <v>139</v>
      </c>
      <c r="B6" s="23"/>
      <c r="C6" s="11">
        <f t="array" ref="C6">MATCH(MAX(ABS(C3:C5)), ABS(C3:C5), 0)</f>
        <v>2</v>
      </c>
      <c r="D6" s="11">
        <f t="array" ref="D6">MATCH(MAX(ABS(D3:D5)), ABS(D3:D5), 0)</f>
        <v>2</v>
      </c>
      <c r="E6" s="11">
        <f t="array" ref="E6">MATCH(MAX(ABS(E3:E5)), ABS(E3:E5), 0)</f>
        <v>2</v>
      </c>
      <c r="F6" s="11">
        <f t="array" ref="F6">MATCH(MAX(ABS(F3:F5)), ABS(F3:F5), 0)</f>
        <v>3</v>
      </c>
      <c r="G6" s="11">
        <f t="array" ref="G6">MATCH(MAX(ABS(G3:G5)), ABS(G3:G5), 0)</f>
        <v>3</v>
      </c>
      <c r="H6" s="11">
        <f t="array" ref="H6">MATCH(MAX(ABS(H3:H5)), ABS(H3:H5), 0)</f>
        <v>2</v>
      </c>
      <c r="I6" s="11">
        <f t="array" ref="I6">MATCH(MAX(ABS(I3:I5)), ABS(I3:I5), 0)</f>
        <v>1</v>
      </c>
      <c r="J6" s="11">
        <f t="array" ref="J6">MATCH(MAX(ABS(J3:J5)), ABS(J3:J5), 0)</f>
        <v>1</v>
      </c>
      <c r="K6" s="11">
        <f t="array" ref="K6">MATCH(MAX(ABS(K3:K5)), ABS(K3:K5), 0)</f>
        <v>3</v>
      </c>
      <c r="L6" s="11">
        <f t="array" ref="L6">MATCH(MAX(ABS(L3:L5)), ABS(L3:L5), 0)</f>
        <v>2</v>
      </c>
      <c r="M6" s="11">
        <f t="array" ref="M6">MATCH(MAX(ABS(M3:M5)), ABS(M3:M5), 0)</f>
        <v>3</v>
      </c>
      <c r="N6" s="11">
        <f t="array" ref="N6">MATCH(MAX(ABS(N3:N5)), ABS(N3:N5), 0)</f>
        <v>2</v>
      </c>
      <c r="O6" s="11">
        <f t="array" ref="O6">MATCH(MAX(ABS(O3:O5)), ABS(O3:O5), 0)</f>
        <v>3</v>
      </c>
      <c r="P6" s="11">
        <f t="array" ref="P6">MATCH(MAX(ABS(P3:P5)), ABS(P3:P5), 0)</f>
        <v>1</v>
      </c>
      <c r="Q6" s="11">
        <f t="array" ref="Q6">MATCH(MAX(ABS(Q3:Q5)), ABS(Q3:Q5), 0)</f>
        <v>1</v>
      </c>
      <c r="R6" s="11">
        <f t="array" ref="R6">MATCH(MAX(ABS(R3:R5)), ABS(R3:R5), 0)</f>
        <v>1</v>
      </c>
      <c r="S6" s="11">
        <f t="array" ref="S6">MATCH(MAX(ABS(S3:S5)), ABS(S3:S5), 0)</f>
        <v>1</v>
      </c>
      <c r="T6" s="11">
        <f t="array" ref="T6">MATCH(MAX(ABS(T3:T5)), ABS(T3:T5), 0)</f>
        <v>3</v>
      </c>
      <c r="U6" s="11">
        <f t="array" ref="U6">MATCH(MAX(ABS(U3:U5)), ABS(U3:U5), 0)</f>
        <v>1</v>
      </c>
      <c r="V6" s="11">
        <f t="array" ref="V6">MATCH(MAX(ABS(V3:V5)), ABS(V3:V5), 0)</f>
        <v>1</v>
      </c>
      <c r="W6" s="11">
        <f t="array" ref="W6">MATCH(MAX(ABS(W3:W5)), ABS(W3:W5), 0)</f>
        <v>2</v>
      </c>
      <c r="X6" s="11">
        <f t="array" ref="X6">MATCH(MAX(ABS(X3:X5)), ABS(X3:X5), 0)</f>
        <v>3</v>
      </c>
      <c r="Y6" s="11">
        <f t="array" ref="Y6">MATCH(MAX(ABS(Y3:Y5)), ABS(Y3:Y5), 0)</f>
        <v>1</v>
      </c>
      <c r="Z6" s="11">
        <f t="array" ref="Z6">MATCH(MAX(ABS(Z3:Z5)), ABS(Z3:Z5), 0)</f>
        <v>1</v>
      </c>
      <c r="AA6" s="11">
        <f t="array" ref="AA6">MATCH(MAX(ABS(AA3:AA5)), ABS(AA3:AA5), 0)</f>
        <v>3</v>
      </c>
      <c r="AB6" s="11">
        <f t="array" ref="AB6">MATCH(MAX(ABS(AB3:AB5)), ABS(AB3:AB5), 0)</f>
        <v>1</v>
      </c>
      <c r="AC6" s="11">
        <f t="array" ref="AC6">MATCH(MAX(ABS(AC3:AC5)), ABS(AC3:AC5), 0)</f>
        <v>3</v>
      </c>
      <c r="AD6" s="11">
        <f t="array" ref="AD6">MATCH(MAX(ABS(AD3:AD5)), ABS(AD3:AD5), 0)</f>
        <v>2</v>
      </c>
      <c r="AE6" s="11">
        <f t="array" ref="AE6">MATCH(MAX(ABS(AE3:AE5)), ABS(AE3:AE5), 0)</f>
        <v>3</v>
      </c>
      <c r="AF6" s="11">
        <f t="array" ref="AF6">MATCH(MAX(ABS(AF3:AF5)), ABS(AF3:AF5), 0)</f>
        <v>3</v>
      </c>
      <c r="AG6" s="11">
        <f t="array" ref="AG6">MATCH(MAX(ABS(AG3:AG5)), ABS(AG3:AG5), 0)</f>
        <v>1</v>
      </c>
      <c r="AH6" s="11">
        <f t="array" ref="AH6">MATCH(MAX(ABS(AH3:AH5)), ABS(AH3:AH5), 0)</f>
        <v>1</v>
      </c>
      <c r="AI6" s="11">
        <f t="array" ref="AI6">MATCH(MAX(ABS(AI3:AI5)), ABS(AI3:AI5), 0)</f>
        <v>2</v>
      </c>
      <c r="AJ6" s="11">
        <f t="array" ref="AJ6">MATCH(MAX(ABS(AJ3:AJ5)), ABS(AJ3:AJ5), 0)</f>
        <v>1</v>
      </c>
      <c r="AK6" s="11">
        <f t="array" ref="AK6">MATCH(MAX(ABS(AK3:AK5)), ABS(AK3:AK5), 0)</f>
        <v>1</v>
      </c>
      <c r="AL6" s="11">
        <f t="array" ref="AL6">MATCH(MAX(ABS(AL3:AL5)), ABS(AL3:AL5), 0)</f>
        <v>2</v>
      </c>
      <c r="AM6" s="11">
        <f t="array" ref="AM6">MATCH(MAX(ABS(AM3:AM5)), ABS(AM3:AM5), 0)</f>
        <v>1</v>
      </c>
      <c r="AN6" s="11">
        <f t="array" ref="AN6">MATCH(MAX(ABS(AN3:AN5)), ABS(AN3:AN5), 0)</f>
        <v>1</v>
      </c>
      <c r="AO6" s="11">
        <f t="array" ref="AO6">MATCH(MAX(ABS(AO3:AO5)), ABS(AO3:AO5), 0)</f>
        <v>3</v>
      </c>
      <c r="AP6" s="11">
        <f t="array" ref="AP6">MATCH(MAX(ABS(AP3:AP5)), ABS(AP3:AP5), 0)</f>
        <v>1</v>
      </c>
      <c r="AQ6" s="11">
        <f t="array" ref="AQ6">MATCH(MAX(ABS(AQ3:AQ5)), ABS(AQ3:AQ5), 0)</f>
        <v>2</v>
      </c>
      <c r="AR6" s="11">
        <f t="array" ref="AR6">MATCH(MAX(ABS(AR3:AR5)), ABS(AR3:AR5), 0)</f>
        <v>2</v>
      </c>
      <c r="AS6" s="11">
        <f t="array" ref="AS6">MATCH(MAX(ABS(AS3:AS5)), ABS(AS3:AS5), 0)</f>
        <v>3</v>
      </c>
      <c r="AT6" s="11">
        <f t="array" ref="AT6">MATCH(MAX(ABS(AT3:AT5)), ABS(AT3:AT5), 0)</f>
        <v>3</v>
      </c>
      <c r="AU6" s="11">
        <f t="array" ref="AU6">MATCH(MAX(ABS(AU3:AU5)), ABS(AU3:AU5), 0)</f>
        <v>2</v>
      </c>
      <c r="AV6" s="11">
        <f t="array" ref="AV6">MATCH(MAX(ABS(AV3:AV5)), ABS(AV3:AV5), 0)</f>
        <v>3</v>
      </c>
      <c r="AW6" s="11">
        <f t="array" ref="AW6">MATCH(MAX(ABS(AW3:AW5)), ABS(AW3:AW5), 0)</f>
        <v>3</v>
      </c>
      <c r="AX6" s="11">
        <f t="array" ref="AX6">MATCH(MAX(ABS(AX3:AX5)), ABS(AX3:AX5), 0)</f>
        <v>3</v>
      </c>
      <c r="AY6" s="11">
        <f t="array" ref="AY6">MATCH(MAX(ABS(AY3:AY5)), ABS(AY3:AY5), 0)</f>
        <v>1</v>
      </c>
      <c r="AZ6" s="11">
        <f t="array" ref="AZ6">MATCH(MAX(ABS(AZ3:AZ5)), ABS(AZ3:AZ5), 0)</f>
        <v>2</v>
      </c>
      <c r="BA6" s="11">
        <f t="array" ref="BA6">MATCH(MAX(ABS(BA3:BA5)), ABS(BA3:BA5), 0)</f>
        <v>2</v>
      </c>
      <c r="BB6" s="11">
        <f t="array" ref="BB6">MATCH(MAX(ABS(BB3:BB5)), ABS(BB3:BB5), 0)</f>
        <v>3</v>
      </c>
      <c r="BC6" s="11">
        <f t="array" ref="BC6">MATCH(MAX(ABS(BC3:BC5)), ABS(BC3:BC5), 0)</f>
        <v>3</v>
      </c>
      <c r="BD6" s="11">
        <f t="array" ref="BD6">MATCH(MAX(ABS(BD3:BD5)), ABS(BD3:BD5), 0)</f>
        <v>2</v>
      </c>
      <c r="BE6" s="11">
        <f t="array" ref="BE6">MATCH(MAX(ABS(BE3:BE5)), ABS(BE3:BE5), 0)</f>
        <v>3</v>
      </c>
      <c r="BF6" s="11">
        <f t="array" ref="BF6">MATCH(MAX(ABS(BF3:BF5)), ABS(BF3:BF5), 0)</f>
        <v>3</v>
      </c>
      <c r="BG6" s="11">
        <f t="array" ref="BG6">MATCH(MAX(ABS(BG3:BG5)), ABS(BG3:BG5), 0)</f>
        <v>3</v>
      </c>
      <c r="BH6" s="11">
        <f t="array" ref="BH6">MATCH(MAX(ABS(BH3:BH5)), ABS(BH3:BH5), 0)</f>
        <v>3</v>
      </c>
      <c r="BI6" s="11">
        <f t="array" ref="BI6">MATCH(MAX(ABS(BI3:BI5)), ABS(BI3:BI5), 0)</f>
        <v>1</v>
      </c>
      <c r="BJ6" s="11">
        <f t="array" ref="BJ6">MATCH(MAX(ABS(BJ3:BJ5)), ABS(BJ3:BJ5), 0)</f>
        <v>2</v>
      </c>
      <c r="BK6" s="11">
        <f t="array" ref="BK6">MATCH(MAX(ABS(BK3:BK5)), ABS(BK3:BK5), 0)</f>
        <v>2</v>
      </c>
      <c r="BL6" s="11">
        <f t="array" ref="BL6">MATCH(MAX(ABS(BL3:BL5)), ABS(BL3:BL5), 0)</f>
        <v>3</v>
      </c>
      <c r="BM6" s="11">
        <f t="array" ref="BM6">MATCH(MAX(ABS(BM3:BM5)), ABS(BM3:BM5), 0)</f>
        <v>3</v>
      </c>
      <c r="BN6" s="11">
        <f t="array" ref="BN6">MATCH(MAX(ABS(BN3:BN5)), ABS(BN3:BN5), 0)</f>
        <v>2</v>
      </c>
      <c r="BO6" s="11">
        <f t="array" ref="BO6">MATCH(MAX(ABS(BO3:BO5)), ABS(BO3:BO5), 0)</f>
        <v>1</v>
      </c>
      <c r="BP6" s="11">
        <f t="array" ref="BP6">MATCH(MAX(ABS(BP3:BP5)), ABS(BP3:BP5), 0)</f>
        <v>2</v>
      </c>
      <c r="BQ6" s="11">
        <f t="array" ref="BQ6">MATCH(MAX(ABS(BQ3:BQ5)), ABS(BQ3:BQ5), 0)</f>
        <v>1</v>
      </c>
      <c r="BR6" s="11">
        <f t="array" ref="BR6">MATCH(MAX(ABS(BR3:BR5)), ABS(BR3:BR5), 0)</f>
        <v>3</v>
      </c>
      <c r="BS6" s="11">
        <f t="array" ref="BS6">MATCH(MAX(ABS(BS3:BS5)), ABS(BS3:BS5), 0)</f>
        <v>3</v>
      </c>
      <c r="BT6" s="11">
        <f t="array" ref="BT6">MATCH(MAX(ABS(BT3:BT5)), ABS(BT3:BT5), 0)</f>
        <v>2</v>
      </c>
      <c r="BU6" s="11">
        <f t="array" ref="BU6">MATCH(MAX(ABS(BU3:BU5)), ABS(BU3:BU5), 0)</f>
        <v>2</v>
      </c>
      <c r="BV6" s="11">
        <f t="array" ref="BV6">MATCH(MAX(ABS(BV3:BV5)), ABS(BV3:BV5), 0)</f>
        <v>3</v>
      </c>
      <c r="BW6" s="11">
        <f t="array" ref="BW6">MATCH(MAX(ABS(BW3:BW5)), ABS(BW3:BW5), 0)</f>
        <v>3</v>
      </c>
      <c r="BX6" s="11">
        <f t="array" ref="BX6">MATCH(MAX(ABS(BX3:BX5)), ABS(BX3:BX5), 0)</f>
        <v>2</v>
      </c>
      <c r="BY6" s="11">
        <f t="array" ref="BY6">MATCH(MAX(ABS(BY3:BY5)), ABS(BY3:BY5), 0)</f>
        <v>3</v>
      </c>
      <c r="BZ6" s="11">
        <f t="array" ref="BZ6">MATCH(MAX(ABS(BZ3:BZ5)), ABS(BZ3:BZ5), 0)</f>
        <v>1</v>
      </c>
      <c r="CA6" s="11">
        <f t="array" ref="CA6">MATCH(MAX(ABS(CA3:CA5)), ABS(CA3:CA5), 0)</f>
        <v>1</v>
      </c>
      <c r="CB6" s="11">
        <f t="array" ref="CB6">MATCH(MAX(ABS(CB3:CB5)), ABS(CB3:CB5), 0)</f>
        <v>2</v>
      </c>
      <c r="CC6" s="11">
        <f t="array" ref="CC6">MATCH(MAX(ABS(CC3:CC5)), ABS(CC3:CC5), 0)</f>
        <v>2</v>
      </c>
      <c r="CD6" s="11">
        <f t="array" ref="CD6">MATCH(MAX(ABS(CD3:CD5)), ABS(CD3:CD5), 0)</f>
        <v>1</v>
      </c>
      <c r="CE6" s="11">
        <f t="array" ref="CE6">MATCH(MAX(ABS(CE3:CE5)), ABS(CE3:CE5), 0)</f>
        <v>2</v>
      </c>
      <c r="CF6" s="11">
        <f t="array" ref="CF6">MATCH(MAX(ABS(CF3:CF5)), ABS(CF3:CF5), 0)</f>
        <v>1</v>
      </c>
      <c r="CG6" s="11">
        <f t="array" ref="CG6">MATCH(MAX(ABS(CG3:CG5)), ABS(CG3:CG5), 0)</f>
        <v>3</v>
      </c>
      <c r="CH6" s="11">
        <f t="array" ref="CH6">MATCH(MAX(ABS(CH3:CH5)), ABS(CH3:CH5), 0)</f>
        <v>1</v>
      </c>
      <c r="CI6" s="11">
        <f t="array" ref="CI6">MATCH(MAX(ABS(CI3:CI5)), ABS(CI3:CI5), 0)</f>
        <v>1</v>
      </c>
      <c r="CJ6" s="11">
        <f t="array" ref="CJ6">MATCH(MAX(ABS(CJ3:CJ5)), ABS(CJ3:CJ5), 0)</f>
        <v>3</v>
      </c>
      <c r="CK6" s="11">
        <f t="array" ref="CK6">MATCH(MAX(ABS(CK3:CK5)), ABS(CK3:CK5), 0)</f>
        <v>3</v>
      </c>
      <c r="CL6" s="11">
        <f t="array" ref="CL6">MATCH(MAX(ABS(CL3:CL5)), ABS(CL3:CL5), 0)</f>
        <v>1</v>
      </c>
      <c r="CM6" s="11">
        <f t="array" ref="CM6">MATCH(MAX(ABS(CM3:CM5)), ABS(CM3:CM5), 0)</f>
        <v>2</v>
      </c>
      <c r="CN6" s="11">
        <f t="array" ref="CN6">MATCH(MAX(ABS(CN3:CN5)), ABS(CN3:CN5), 0)</f>
        <v>3</v>
      </c>
      <c r="CO6" s="11">
        <f t="array" ref="CO6">MATCH(MAX(ABS(CO3:CO5)), ABS(CO3:CO5), 0)</f>
        <v>2</v>
      </c>
      <c r="CP6" s="11">
        <f t="array" ref="CP6">MATCH(MAX(ABS(CP3:CP5)), ABS(CP3:CP5), 0)</f>
        <v>1</v>
      </c>
      <c r="CQ6" s="11">
        <f t="array" ref="CQ6">MATCH(MAX(ABS(CQ3:CQ5)), ABS(CQ3:CQ5), 0)</f>
        <v>3</v>
      </c>
      <c r="CR6" s="11">
        <f t="array" ref="CR6">MATCH(MAX(ABS(CR3:CR5)), ABS(CR3:CR5), 0)</f>
        <v>3</v>
      </c>
      <c r="CS6" s="11">
        <f t="array" ref="CS6">MATCH(MAX(ABS(CS3:CS5)), ABS(CS3:CS5), 0)</f>
        <v>3</v>
      </c>
      <c r="CT6" s="11">
        <f t="array" ref="CT6">MATCH(MAX(ABS(CT3:CT5)), ABS(CT3:CT5), 0)</f>
        <v>2</v>
      </c>
      <c r="CU6" s="11">
        <f t="array" ref="CU6">MATCH(MAX(ABS(CU3:CU5)), ABS(CU3:CU5), 0)</f>
        <v>3</v>
      </c>
      <c r="CV6" s="11">
        <f t="array" ref="CV6">MATCH(MAX(ABS(CV3:CV5)), ABS(CV3:CV5), 0)</f>
        <v>3</v>
      </c>
      <c r="CW6" s="11">
        <f t="array" ref="CW6">MATCH(MAX(ABS(CW3:CW5)), ABS(CW3:CW5), 0)</f>
        <v>3</v>
      </c>
      <c r="CX6" s="11">
        <f t="array" ref="CX6">MATCH(MAX(ABS(CX3:CX5)), ABS(CX3:CX5), 0)</f>
        <v>1</v>
      </c>
      <c r="CY6" s="11">
        <f t="array" ref="CY6">MATCH(MAX(ABS(CY3:CY5)), ABS(CY3:CY5), 0)</f>
        <v>2</v>
      </c>
      <c r="CZ6" s="11">
        <f t="array" ref="CZ6">MATCH(MAX(ABS(CZ3:CZ5)), ABS(CZ3:CZ5), 0)</f>
        <v>1</v>
      </c>
      <c r="DA6" s="11">
        <f t="array" ref="DA6">MATCH(MAX(ABS(DA3:DA5)), ABS(DA3:DA5), 0)</f>
        <v>2</v>
      </c>
      <c r="DB6" s="11">
        <f t="array" ref="DB6">MATCH(MAX(ABS(DB3:DB5)), ABS(DB3:DB5), 0)</f>
        <v>2</v>
      </c>
      <c r="DC6" s="11">
        <f t="array" ref="DC6">MATCH(MAX(ABS(DC3:DC5)), ABS(DC3:DC5), 0)</f>
        <v>1</v>
      </c>
      <c r="DD6" s="11">
        <f t="array" ref="DD6">MATCH(MAX(ABS(DD3:DD5)), ABS(DD3:DD5), 0)</f>
        <v>3</v>
      </c>
      <c r="DE6" s="11">
        <f t="array" ref="DE6">MATCH(MAX(ABS(DE3:DE5)), ABS(DE3:DE5), 0)</f>
        <v>3</v>
      </c>
      <c r="DF6" s="11">
        <f t="array" ref="DF6">MATCH(MAX(ABS(DF3:DF5)), ABS(DF3:DF5), 0)</f>
        <v>2</v>
      </c>
      <c r="DG6" s="11">
        <f t="array" ref="DG6">MATCH(MAX(ABS(DG3:DG5)), ABS(DG3:DG5), 0)</f>
        <v>2</v>
      </c>
      <c r="DH6" s="11">
        <f t="array" ref="DH6">MATCH(MAX(ABS(DH3:DH5)), ABS(DH3:DH5), 0)</f>
        <v>2</v>
      </c>
      <c r="DI6" s="11">
        <f t="array" ref="DI6">MATCH(MAX(ABS(DI3:DI5)), ABS(DI3:DI5), 0)</f>
        <v>2</v>
      </c>
      <c r="DJ6" s="11">
        <f t="array" ref="DJ6">MATCH(MAX(ABS(DJ3:DJ5)), ABS(DJ3:DJ5), 0)</f>
        <v>3</v>
      </c>
      <c r="DK6" s="11">
        <f t="array" ref="DK6">MATCH(MAX(ABS(DK3:DK5)), ABS(DK3:DK5), 0)</f>
        <v>2</v>
      </c>
      <c r="DL6" s="11">
        <f t="array" ref="DL6">MATCH(MAX(ABS(DL3:DL5)), ABS(DL3:DL5), 0)</f>
        <v>3</v>
      </c>
      <c r="DM6" s="11">
        <f t="array" ref="DM6">MATCH(MAX(ABS(DM3:DM5)), ABS(DM3:DM5), 0)</f>
        <v>2</v>
      </c>
      <c r="DN6" s="11">
        <f t="array" ref="DN6">MATCH(MAX(ABS(DN3:DN5)), ABS(DN3:DN5), 0)</f>
        <v>1</v>
      </c>
      <c r="DO6" s="11">
        <f t="array" ref="DO6">MATCH(MAX(ABS(DO3:DO5)), ABS(DO3:DO5), 0)</f>
        <v>2</v>
      </c>
      <c r="DP6" s="11">
        <f t="array" ref="DP6">MATCH(MAX(ABS(DP3:DP5)), ABS(DP3:DP5), 0)</f>
        <v>3</v>
      </c>
      <c r="DQ6" s="11">
        <f t="array" ref="DQ6">MATCH(MAX(ABS(DQ3:DQ5)), ABS(DQ3:DQ5), 0)</f>
        <v>3</v>
      </c>
      <c r="DR6" s="11">
        <f t="array" ref="DR6">MATCH(MAX(ABS(DR3:DR5)), ABS(DR3:DR5), 0)</f>
        <v>1</v>
      </c>
      <c r="DS6" s="11">
        <f t="array" ref="DS6">MATCH(MAX(ABS(DS3:DS5)), ABS(DS3:DS5), 0)</f>
        <v>2</v>
      </c>
      <c r="DT6" s="11">
        <f t="array" ref="DT6">MATCH(MAX(ABS(DT3:DT5)), ABS(DT3:DT5), 0)</f>
        <v>3</v>
      </c>
      <c r="DU6" s="11">
        <f t="array" ref="DU6">MATCH(MAX(ABS(DU3:DU5)), ABS(DU3:DU5), 0)</f>
        <v>2</v>
      </c>
      <c r="DV6" s="11">
        <f t="array" ref="DV6">MATCH(MAX(ABS(DV3:DV5)), ABS(DV3:DV5), 0)</f>
        <v>1</v>
      </c>
      <c r="DW6" s="11">
        <f t="array" ref="DW6">MATCH(MAX(ABS(DW3:DW5)), ABS(DW3:DW5), 0)</f>
        <v>2</v>
      </c>
      <c r="DX6" s="11">
        <f t="array" ref="DX6">MATCH(MAX(ABS(DX3:DX5)), ABS(DX3:DX5), 0)</f>
        <v>1</v>
      </c>
      <c r="DY6" s="11">
        <f t="array" ref="DY6">MATCH(MAX(ABS(DY3:DY5)), ABS(DY3:DY5), 0)</f>
        <v>2</v>
      </c>
      <c r="DZ6" s="11">
        <f t="array" ref="DZ6">MATCH(MAX(ABS(DZ3:DZ5)), ABS(DZ3:DZ5), 0)</f>
        <v>2</v>
      </c>
      <c r="EA6" s="11">
        <f t="array" ref="EA6">MATCH(MAX(ABS(EA3:EA5)), ABS(EA3:EA5), 0)</f>
        <v>3</v>
      </c>
      <c r="EB6" s="11">
        <f t="array" ref="EB6">MATCH(MAX(ABS(EB3:EB5)), ABS(EB3:EB5), 0)</f>
        <v>3</v>
      </c>
      <c r="EC6" s="11">
        <f t="array" ref="EC6">MATCH(MAX(ABS(EC3:EC5)), ABS(EC3:EC5), 0)</f>
        <v>1</v>
      </c>
      <c r="ED6" s="11">
        <f t="array" ref="ED6">MATCH(MAX(ABS(ED3:ED5)), ABS(ED3:ED5), 0)</f>
        <v>1</v>
      </c>
      <c r="EE6" s="11">
        <f t="array" ref="EE6">MATCH(MAX(ABS(EE3:EE5)), ABS(EE3:EE5), 0)</f>
        <v>2</v>
      </c>
      <c r="EF6" s="11">
        <f t="array" ref="EF6">MATCH(MAX(ABS(EF3:EF5)), ABS(EF3:EF5), 0)</f>
        <v>2</v>
      </c>
      <c r="EG6" s="11">
        <f t="array" ref="EG6">MATCH(MAX(ABS(EG3:EG5)), ABS(EG3:EG5), 0)</f>
        <v>2</v>
      </c>
    </row>
    <row r="7" spans="1:138" x14ac:dyDescent="0.3">
      <c r="C7" s="11" t="str">
        <f t="shared" ref="C7:AH7" si="0">IF(C6=1,"bm",IF(C6=2,"size",IF(C6=3,"mom")))</f>
        <v>size</v>
      </c>
      <c r="D7" s="11" t="str">
        <f t="shared" si="0"/>
        <v>size</v>
      </c>
      <c r="E7" s="11" t="str">
        <f t="shared" si="0"/>
        <v>size</v>
      </c>
      <c r="F7" s="11" t="str">
        <f t="shared" si="0"/>
        <v>mom</v>
      </c>
      <c r="G7" s="11" t="str">
        <f t="shared" si="0"/>
        <v>mom</v>
      </c>
      <c r="H7" s="11" t="str">
        <f t="shared" si="0"/>
        <v>size</v>
      </c>
      <c r="I7" s="11" t="str">
        <f t="shared" si="0"/>
        <v>bm</v>
      </c>
      <c r="J7" s="11" t="str">
        <f t="shared" si="0"/>
        <v>bm</v>
      </c>
      <c r="K7" s="11" t="str">
        <f t="shared" si="0"/>
        <v>mom</v>
      </c>
      <c r="L7" s="11" t="str">
        <f t="shared" si="0"/>
        <v>size</v>
      </c>
      <c r="M7" s="11" t="str">
        <f t="shared" si="0"/>
        <v>mom</v>
      </c>
      <c r="N7" s="11" t="str">
        <f t="shared" si="0"/>
        <v>size</v>
      </c>
      <c r="O7" s="11" t="str">
        <f t="shared" si="0"/>
        <v>mom</v>
      </c>
      <c r="P7" s="11" t="str">
        <f t="shared" si="0"/>
        <v>bm</v>
      </c>
      <c r="Q7" s="11" t="str">
        <f t="shared" si="0"/>
        <v>bm</v>
      </c>
      <c r="R7" s="11" t="str">
        <f t="shared" si="0"/>
        <v>bm</v>
      </c>
      <c r="S7" s="11" t="str">
        <f t="shared" si="0"/>
        <v>bm</v>
      </c>
      <c r="T7" s="11" t="str">
        <f t="shared" si="0"/>
        <v>mom</v>
      </c>
      <c r="U7" s="11" t="str">
        <f t="shared" si="0"/>
        <v>bm</v>
      </c>
      <c r="V7" s="11" t="str">
        <f t="shared" si="0"/>
        <v>bm</v>
      </c>
      <c r="W7" s="11" t="str">
        <f t="shared" si="0"/>
        <v>size</v>
      </c>
      <c r="X7" s="11" t="str">
        <f t="shared" si="0"/>
        <v>mom</v>
      </c>
      <c r="Y7" s="11" t="str">
        <f t="shared" si="0"/>
        <v>bm</v>
      </c>
      <c r="Z7" s="11" t="str">
        <f t="shared" si="0"/>
        <v>bm</v>
      </c>
      <c r="AA7" s="11" t="str">
        <f t="shared" si="0"/>
        <v>mom</v>
      </c>
      <c r="AB7" s="11" t="str">
        <f t="shared" si="0"/>
        <v>bm</v>
      </c>
      <c r="AC7" s="11" t="str">
        <f t="shared" si="0"/>
        <v>mom</v>
      </c>
      <c r="AD7" s="11" t="str">
        <f t="shared" si="0"/>
        <v>size</v>
      </c>
      <c r="AE7" s="11" t="str">
        <f t="shared" si="0"/>
        <v>mom</v>
      </c>
      <c r="AF7" s="11" t="str">
        <f t="shared" si="0"/>
        <v>mom</v>
      </c>
      <c r="AG7" s="11" t="str">
        <f t="shared" si="0"/>
        <v>bm</v>
      </c>
      <c r="AH7" s="11" t="str">
        <f t="shared" si="0"/>
        <v>bm</v>
      </c>
      <c r="AI7" s="11" t="str">
        <f t="shared" ref="AI7:BN7" si="1">IF(AI6=1,"bm",IF(AI6=2,"size",IF(AI6=3,"mom")))</f>
        <v>size</v>
      </c>
      <c r="AJ7" s="11" t="str">
        <f t="shared" si="1"/>
        <v>bm</v>
      </c>
      <c r="AK7" s="11" t="str">
        <f t="shared" si="1"/>
        <v>bm</v>
      </c>
      <c r="AL7" s="11" t="str">
        <f t="shared" si="1"/>
        <v>size</v>
      </c>
      <c r="AM7" s="11" t="str">
        <f t="shared" si="1"/>
        <v>bm</v>
      </c>
      <c r="AN7" s="11" t="str">
        <f t="shared" si="1"/>
        <v>bm</v>
      </c>
      <c r="AO7" s="11" t="str">
        <f t="shared" si="1"/>
        <v>mom</v>
      </c>
      <c r="AP7" s="11" t="str">
        <f t="shared" si="1"/>
        <v>bm</v>
      </c>
      <c r="AQ7" s="11" t="str">
        <f t="shared" si="1"/>
        <v>size</v>
      </c>
      <c r="AR7" s="11" t="str">
        <f t="shared" si="1"/>
        <v>size</v>
      </c>
      <c r="AS7" s="11" t="str">
        <f t="shared" si="1"/>
        <v>mom</v>
      </c>
      <c r="AT7" s="11" t="str">
        <f t="shared" si="1"/>
        <v>mom</v>
      </c>
      <c r="AU7" s="11" t="str">
        <f t="shared" si="1"/>
        <v>size</v>
      </c>
      <c r="AV7" s="11" t="str">
        <f t="shared" si="1"/>
        <v>mom</v>
      </c>
      <c r="AW7" s="11" t="str">
        <f t="shared" si="1"/>
        <v>mom</v>
      </c>
      <c r="AX7" s="11" t="str">
        <f t="shared" si="1"/>
        <v>mom</v>
      </c>
      <c r="AY7" s="11" t="str">
        <f t="shared" si="1"/>
        <v>bm</v>
      </c>
      <c r="AZ7" s="11" t="str">
        <f t="shared" si="1"/>
        <v>size</v>
      </c>
      <c r="BA7" s="11" t="str">
        <f t="shared" si="1"/>
        <v>size</v>
      </c>
      <c r="BB7" s="11" t="str">
        <f t="shared" si="1"/>
        <v>mom</v>
      </c>
      <c r="BC7" s="11" t="str">
        <f t="shared" si="1"/>
        <v>mom</v>
      </c>
      <c r="BD7" s="11" t="str">
        <f t="shared" si="1"/>
        <v>size</v>
      </c>
      <c r="BE7" s="11" t="str">
        <f t="shared" si="1"/>
        <v>mom</v>
      </c>
      <c r="BF7" s="11" t="str">
        <f t="shared" si="1"/>
        <v>mom</v>
      </c>
      <c r="BG7" s="11" t="str">
        <f t="shared" si="1"/>
        <v>mom</v>
      </c>
      <c r="BH7" s="11" t="str">
        <f t="shared" si="1"/>
        <v>mom</v>
      </c>
      <c r="BI7" s="11" t="str">
        <f t="shared" si="1"/>
        <v>bm</v>
      </c>
      <c r="BJ7" s="11" t="str">
        <f t="shared" si="1"/>
        <v>size</v>
      </c>
      <c r="BK7" s="11" t="str">
        <f t="shared" si="1"/>
        <v>size</v>
      </c>
      <c r="BL7" s="11" t="str">
        <f t="shared" si="1"/>
        <v>mom</v>
      </c>
      <c r="BM7" s="11" t="str">
        <f t="shared" si="1"/>
        <v>mom</v>
      </c>
      <c r="BN7" s="11" t="str">
        <f t="shared" si="1"/>
        <v>size</v>
      </c>
      <c r="BO7" s="11" t="str">
        <f t="shared" ref="BO7:CT7" si="2">IF(BO6=1,"bm",IF(BO6=2,"size",IF(BO6=3,"mom")))</f>
        <v>bm</v>
      </c>
      <c r="BP7" s="11" t="str">
        <f t="shared" si="2"/>
        <v>size</v>
      </c>
      <c r="BQ7" s="11" t="str">
        <f t="shared" si="2"/>
        <v>bm</v>
      </c>
      <c r="BR7" s="11" t="str">
        <f t="shared" si="2"/>
        <v>mom</v>
      </c>
      <c r="BS7" s="11" t="str">
        <f t="shared" si="2"/>
        <v>mom</v>
      </c>
      <c r="BT7" s="11" t="str">
        <f t="shared" si="2"/>
        <v>size</v>
      </c>
      <c r="BU7" s="11" t="str">
        <f t="shared" si="2"/>
        <v>size</v>
      </c>
      <c r="BV7" s="11" t="str">
        <f t="shared" si="2"/>
        <v>mom</v>
      </c>
      <c r="BW7" s="11" t="str">
        <f t="shared" si="2"/>
        <v>mom</v>
      </c>
      <c r="BX7" s="11" t="str">
        <f t="shared" si="2"/>
        <v>size</v>
      </c>
      <c r="BY7" s="11" t="str">
        <f t="shared" si="2"/>
        <v>mom</v>
      </c>
      <c r="BZ7" s="11" t="str">
        <f t="shared" si="2"/>
        <v>bm</v>
      </c>
      <c r="CA7" s="11" t="str">
        <f t="shared" si="2"/>
        <v>bm</v>
      </c>
      <c r="CB7" s="11" t="str">
        <f t="shared" si="2"/>
        <v>size</v>
      </c>
      <c r="CC7" s="11" t="str">
        <f t="shared" si="2"/>
        <v>size</v>
      </c>
      <c r="CD7" s="11" t="str">
        <f t="shared" si="2"/>
        <v>bm</v>
      </c>
      <c r="CE7" s="11" t="str">
        <f t="shared" si="2"/>
        <v>size</v>
      </c>
      <c r="CF7" s="11" t="str">
        <f t="shared" si="2"/>
        <v>bm</v>
      </c>
      <c r="CG7" s="11" t="str">
        <f t="shared" si="2"/>
        <v>mom</v>
      </c>
      <c r="CH7" s="11" t="str">
        <f t="shared" si="2"/>
        <v>bm</v>
      </c>
      <c r="CI7" s="11" t="str">
        <f t="shared" si="2"/>
        <v>bm</v>
      </c>
      <c r="CJ7" s="11" t="str">
        <f t="shared" si="2"/>
        <v>mom</v>
      </c>
      <c r="CK7" s="11" t="str">
        <f t="shared" si="2"/>
        <v>mom</v>
      </c>
      <c r="CL7" s="11" t="str">
        <f t="shared" si="2"/>
        <v>bm</v>
      </c>
      <c r="CM7" s="11" t="str">
        <f t="shared" si="2"/>
        <v>size</v>
      </c>
      <c r="CN7" s="11" t="str">
        <f t="shared" si="2"/>
        <v>mom</v>
      </c>
      <c r="CO7" s="11" t="str">
        <f t="shared" si="2"/>
        <v>size</v>
      </c>
      <c r="CP7" s="11" t="str">
        <f t="shared" si="2"/>
        <v>bm</v>
      </c>
      <c r="CQ7" s="11" t="str">
        <f t="shared" si="2"/>
        <v>mom</v>
      </c>
      <c r="CR7" s="11" t="str">
        <f t="shared" si="2"/>
        <v>mom</v>
      </c>
      <c r="CS7" s="11" t="str">
        <f t="shared" si="2"/>
        <v>mom</v>
      </c>
      <c r="CT7" s="11" t="str">
        <f t="shared" si="2"/>
        <v>size</v>
      </c>
      <c r="CU7" s="11" t="str">
        <f t="shared" ref="CU7:DZ7" si="3">IF(CU6=1,"bm",IF(CU6=2,"size",IF(CU6=3,"mom")))</f>
        <v>mom</v>
      </c>
      <c r="CV7" s="11" t="str">
        <f t="shared" si="3"/>
        <v>mom</v>
      </c>
      <c r="CW7" s="11" t="str">
        <f t="shared" si="3"/>
        <v>mom</v>
      </c>
      <c r="CX7" s="11" t="str">
        <f t="shared" si="3"/>
        <v>bm</v>
      </c>
      <c r="CY7" s="11" t="str">
        <f t="shared" si="3"/>
        <v>size</v>
      </c>
      <c r="CZ7" s="11" t="str">
        <f t="shared" si="3"/>
        <v>bm</v>
      </c>
      <c r="DA7" s="11" t="str">
        <f t="shared" si="3"/>
        <v>size</v>
      </c>
      <c r="DB7" s="11" t="str">
        <f t="shared" si="3"/>
        <v>size</v>
      </c>
      <c r="DC7" s="11" t="str">
        <f t="shared" si="3"/>
        <v>bm</v>
      </c>
      <c r="DD7" s="11" t="str">
        <f t="shared" si="3"/>
        <v>mom</v>
      </c>
      <c r="DE7" s="11" t="str">
        <f t="shared" si="3"/>
        <v>mom</v>
      </c>
      <c r="DF7" s="11" t="str">
        <f t="shared" si="3"/>
        <v>size</v>
      </c>
      <c r="DG7" s="11" t="str">
        <f t="shared" si="3"/>
        <v>size</v>
      </c>
      <c r="DH7" s="11" t="str">
        <f t="shared" si="3"/>
        <v>size</v>
      </c>
      <c r="DI7" s="11" t="str">
        <f t="shared" si="3"/>
        <v>size</v>
      </c>
      <c r="DJ7" s="11" t="str">
        <f t="shared" si="3"/>
        <v>mom</v>
      </c>
      <c r="DK7" s="11" t="str">
        <f t="shared" si="3"/>
        <v>size</v>
      </c>
      <c r="DL7" s="11" t="str">
        <f t="shared" si="3"/>
        <v>mom</v>
      </c>
      <c r="DM7" s="11" t="str">
        <f t="shared" si="3"/>
        <v>size</v>
      </c>
      <c r="DN7" s="11" t="str">
        <f t="shared" si="3"/>
        <v>bm</v>
      </c>
      <c r="DO7" s="11" t="str">
        <f t="shared" si="3"/>
        <v>size</v>
      </c>
      <c r="DP7" s="11" t="str">
        <f t="shared" si="3"/>
        <v>mom</v>
      </c>
      <c r="DQ7" s="11" t="str">
        <f t="shared" si="3"/>
        <v>mom</v>
      </c>
      <c r="DR7" s="11" t="str">
        <f t="shared" si="3"/>
        <v>bm</v>
      </c>
      <c r="DS7" s="11" t="str">
        <f t="shared" si="3"/>
        <v>size</v>
      </c>
      <c r="DT7" s="11" t="str">
        <f t="shared" si="3"/>
        <v>mom</v>
      </c>
      <c r="DU7" s="11" t="str">
        <f t="shared" si="3"/>
        <v>size</v>
      </c>
      <c r="DV7" s="11" t="str">
        <f t="shared" si="3"/>
        <v>bm</v>
      </c>
      <c r="DW7" s="11" t="str">
        <f t="shared" si="3"/>
        <v>size</v>
      </c>
      <c r="DX7" s="11" t="str">
        <f t="shared" si="3"/>
        <v>bm</v>
      </c>
      <c r="DY7" s="11" t="str">
        <f t="shared" si="3"/>
        <v>size</v>
      </c>
      <c r="DZ7" s="11" t="str">
        <f t="shared" si="3"/>
        <v>size</v>
      </c>
      <c r="EA7" s="11" t="str">
        <f t="shared" ref="EA7:EG7" si="4">IF(EA6=1,"bm",IF(EA6=2,"size",IF(EA6=3,"mom")))</f>
        <v>mom</v>
      </c>
      <c r="EB7" s="11" t="str">
        <f t="shared" si="4"/>
        <v>mom</v>
      </c>
      <c r="EC7" s="11" t="str">
        <f t="shared" si="4"/>
        <v>bm</v>
      </c>
      <c r="ED7" s="11" t="str">
        <f t="shared" si="4"/>
        <v>bm</v>
      </c>
      <c r="EE7" s="11" t="str">
        <f t="shared" si="4"/>
        <v>size</v>
      </c>
      <c r="EF7" s="11" t="str">
        <f t="shared" si="4"/>
        <v>size</v>
      </c>
      <c r="EG7" s="11" t="str">
        <f t="shared" si="4"/>
        <v>size</v>
      </c>
    </row>
    <row r="8" spans="1:138" x14ac:dyDescent="0.3">
      <c r="C8" s="11">
        <f t="shared" ref="C8:AH8" si="5">IF(C6=1,C3,IF(C6=2,C4,IF(C6=3,C5)))</f>
        <v>-0.24758869999999999</v>
      </c>
      <c r="D8" s="11">
        <f t="shared" si="5"/>
        <v>-0.27469329999999997</v>
      </c>
      <c r="E8" s="11">
        <f t="shared" si="5"/>
        <v>-8.4648399999999999E-2</v>
      </c>
      <c r="F8" s="11">
        <f t="shared" si="5"/>
        <v>-8.7690000000000004E-2</v>
      </c>
      <c r="G8" s="11">
        <f t="shared" si="5"/>
        <v>0.102759</v>
      </c>
      <c r="H8" s="11">
        <f t="shared" si="5"/>
        <v>-0.1007596</v>
      </c>
      <c r="I8" s="11">
        <f t="shared" si="5"/>
        <v>0.18325177000000001</v>
      </c>
      <c r="J8" s="11">
        <f t="shared" si="5"/>
        <v>0.11648631</v>
      </c>
      <c r="K8" s="11">
        <f t="shared" si="5"/>
        <v>7.7257999999999993E-2</v>
      </c>
      <c r="L8" s="11">
        <f t="shared" si="5"/>
        <v>8.8406789999999999E-2</v>
      </c>
      <c r="M8" s="11">
        <f t="shared" si="5"/>
        <v>5.3601999999999997E-2</v>
      </c>
      <c r="N8" s="11">
        <f t="shared" si="5"/>
        <v>-0.21221799999999999</v>
      </c>
      <c r="O8" s="11">
        <f t="shared" si="5"/>
        <v>6.4930000000000002E-2</v>
      </c>
      <c r="P8" s="11">
        <f t="shared" si="5"/>
        <v>-9.1792299999999993E-2</v>
      </c>
      <c r="Q8" s="11">
        <f t="shared" si="5"/>
        <v>-7.7409000000000006E-2</v>
      </c>
      <c r="R8" s="11">
        <f t="shared" si="5"/>
        <v>5.4776600000000002E-2</v>
      </c>
      <c r="S8" s="11">
        <f t="shared" si="5"/>
        <v>-0.12533440000000001</v>
      </c>
      <c r="T8" s="11">
        <f t="shared" si="5"/>
        <v>0.12918499999999999</v>
      </c>
      <c r="U8" s="11">
        <f t="shared" si="5"/>
        <v>-3.7770100000000001E-2</v>
      </c>
      <c r="V8" s="11">
        <f t="shared" si="5"/>
        <v>8.1183820000000004E-2</v>
      </c>
      <c r="W8" s="11">
        <f t="shared" si="5"/>
        <v>-0.14355299999999999</v>
      </c>
      <c r="X8" s="11">
        <f t="shared" si="5"/>
        <v>-0.29385</v>
      </c>
      <c r="Y8" s="11">
        <f t="shared" si="5"/>
        <v>-0.12536050000000001</v>
      </c>
      <c r="Z8" s="11">
        <f t="shared" si="5"/>
        <v>0.19195355</v>
      </c>
      <c r="AA8" s="11">
        <f t="shared" si="5"/>
        <v>9.8247000000000001E-2</v>
      </c>
      <c r="AB8" s="11">
        <f t="shared" si="5"/>
        <v>7.2897610000000002E-2</v>
      </c>
      <c r="AC8" s="11">
        <f t="shared" si="5"/>
        <v>-0.10369</v>
      </c>
      <c r="AD8" s="11">
        <f t="shared" si="5"/>
        <v>-6.5629699999999999E-2</v>
      </c>
      <c r="AE8" s="11">
        <f t="shared" si="5"/>
        <v>0.17560100000000001</v>
      </c>
      <c r="AF8" s="11">
        <f t="shared" si="5"/>
        <v>-0.15503</v>
      </c>
      <c r="AG8" s="11">
        <f t="shared" si="5"/>
        <v>0.13005884000000001</v>
      </c>
      <c r="AH8" s="11">
        <f t="shared" si="5"/>
        <v>0.11525639999999999</v>
      </c>
      <c r="AI8" s="11">
        <f t="shared" ref="AI8:BN8" si="6">IF(AI6=1,AI3,IF(AI6=2,AI4,IF(AI6=3,AI5)))</f>
        <v>-5.1034099999999999E-2</v>
      </c>
      <c r="AJ8" s="11">
        <f t="shared" si="6"/>
        <v>2.7999110000000001E-2</v>
      </c>
      <c r="AK8" s="11">
        <f t="shared" si="6"/>
        <v>0.14657042000000001</v>
      </c>
      <c r="AL8" s="11">
        <f t="shared" si="6"/>
        <v>-0.10644670000000001</v>
      </c>
      <c r="AM8" s="11">
        <f t="shared" si="6"/>
        <v>0.13137636999999999</v>
      </c>
      <c r="AN8" s="11">
        <f t="shared" si="6"/>
        <v>0.22143296000000001</v>
      </c>
      <c r="AO8" s="11">
        <f t="shared" si="6"/>
        <v>5.8502999999999999E-2</v>
      </c>
      <c r="AP8" s="11">
        <f t="shared" si="6"/>
        <v>-0.13716</v>
      </c>
      <c r="AQ8" s="11">
        <f t="shared" si="6"/>
        <v>2.9067490000000001E-2</v>
      </c>
      <c r="AR8" s="11">
        <f t="shared" si="6"/>
        <v>5.2635769999999998E-2</v>
      </c>
      <c r="AS8" s="11">
        <f t="shared" si="6"/>
        <v>3.9781999999999998E-2</v>
      </c>
      <c r="AT8" s="11">
        <f t="shared" si="6"/>
        <v>0.148456</v>
      </c>
      <c r="AU8" s="11">
        <f t="shared" si="6"/>
        <v>-0.15538440000000001</v>
      </c>
      <c r="AV8" s="11">
        <f t="shared" si="6"/>
        <v>0.138959</v>
      </c>
      <c r="AW8" s="11">
        <f t="shared" si="6"/>
        <v>5.9863E-2</v>
      </c>
      <c r="AX8" s="11">
        <f t="shared" si="6"/>
        <v>-0.14979000000000001</v>
      </c>
      <c r="AY8" s="11">
        <f t="shared" si="6"/>
        <v>7.6559569999999993E-2</v>
      </c>
      <c r="AZ8" s="11">
        <f t="shared" si="6"/>
        <v>-0.13412750000000001</v>
      </c>
      <c r="BA8" s="11">
        <f t="shared" si="6"/>
        <v>-0.1371115</v>
      </c>
      <c r="BB8" s="11">
        <f t="shared" si="6"/>
        <v>-0.14887</v>
      </c>
      <c r="BC8" s="11">
        <f t="shared" si="6"/>
        <v>6.0351000000000002E-2</v>
      </c>
      <c r="BD8" s="11">
        <f t="shared" si="6"/>
        <v>-0.1196019</v>
      </c>
      <c r="BE8" s="11">
        <f t="shared" si="6"/>
        <v>-0.14652000000000001</v>
      </c>
      <c r="BF8" s="11">
        <f t="shared" si="6"/>
        <v>-0.20876</v>
      </c>
      <c r="BG8" s="11">
        <f t="shared" si="6"/>
        <v>-0.20144000000000001</v>
      </c>
      <c r="BH8" s="11">
        <f t="shared" si="6"/>
        <v>-0.11805</v>
      </c>
      <c r="BI8" s="11">
        <f t="shared" si="6"/>
        <v>9.6912849999999995E-2</v>
      </c>
      <c r="BJ8" s="11">
        <f t="shared" si="6"/>
        <v>-0.1006008</v>
      </c>
      <c r="BK8" s="11">
        <f t="shared" si="6"/>
        <v>9.0490070000000006E-2</v>
      </c>
      <c r="BL8" s="11">
        <f t="shared" si="6"/>
        <v>-0.17126</v>
      </c>
      <c r="BM8" s="11">
        <f t="shared" si="6"/>
        <v>0.13291700000000001</v>
      </c>
      <c r="BN8" s="11">
        <f t="shared" si="6"/>
        <v>8.1345630000000002E-2</v>
      </c>
      <c r="BO8" s="11">
        <f t="shared" ref="BO8:CT8" si="7">IF(BO6=1,BO3,IF(BO6=2,BO4,IF(BO6=3,BO5)))</f>
        <v>8.1418240000000003E-2</v>
      </c>
      <c r="BP8" s="11">
        <f t="shared" si="7"/>
        <v>0.10673487</v>
      </c>
      <c r="BQ8" s="11">
        <f t="shared" si="7"/>
        <v>6.8729570000000004E-2</v>
      </c>
      <c r="BR8" s="11">
        <f t="shared" si="7"/>
        <v>0.189827</v>
      </c>
      <c r="BS8" s="11">
        <f t="shared" si="7"/>
        <v>-9.7610000000000002E-2</v>
      </c>
      <c r="BT8" s="11">
        <f t="shared" si="7"/>
        <v>9.861222E-2</v>
      </c>
      <c r="BU8" s="11">
        <f t="shared" si="7"/>
        <v>0.12839854000000001</v>
      </c>
      <c r="BV8" s="11">
        <f t="shared" si="7"/>
        <v>-0.11674</v>
      </c>
      <c r="BW8" s="11">
        <f t="shared" si="7"/>
        <v>-0.14132</v>
      </c>
      <c r="BX8" s="11">
        <f t="shared" si="7"/>
        <v>-4.6890099999999997E-2</v>
      </c>
      <c r="BY8" s="11">
        <f t="shared" si="7"/>
        <v>0.13033600000000001</v>
      </c>
      <c r="BZ8" s="11">
        <f t="shared" si="7"/>
        <v>0.11330931</v>
      </c>
      <c r="CA8" s="11">
        <f t="shared" si="7"/>
        <v>-0.1073549</v>
      </c>
      <c r="CB8" s="11">
        <f t="shared" si="7"/>
        <v>-0.15782760000000001</v>
      </c>
      <c r="CC8" s="11">
        <f t="shared" si="7"/>
        <v>-7.1052599999999994E-2</v>
      </c>
      <c r="CD8" s="11">
        <f t="shared" si="7"/>
        <v>0.18837709</v>
      </c>
      <c r="CE8" s="11">
        <f t="shared" si="7"/>
        <v>-0.23678650000000001</v>
      </c>
      <c r="CF8" s="11">
        <f t="shared" si="7"/>
        <v>7.4872069999999999E-2</v>
      </c>
      <c r="CG8" s="11">
        <f t="shared" si="7"/>
        <v>-0.11821</v>
      </c>
      <c r="CH8" s="11">
        <f t="shared" si="7"/>
        <v>0.13602172000000001</v>
      </c>
      <c r="CI8" s="11">
        <f t="shared" si="7"/>
        <v>-9.3741000000000005E-2</v>
      </c>
      <c r="CJ8" s="11">
        <f t="shared" si="7"/>
        <v>0.23067299999999999</v>
      </c>
      <c r="CK8" s="11">
        <f t="shared" si="7"/>
        <v>0.13277900000000001</v>
      </c>
      <c r="CL8" s="11">
        <f t="shared" si="7"/>
        <v>0.26354578000000001</v>
      </c>
      <c r="CM8" s="11">
        <f t="shared" si="7"/>
        <v>0.17898859</v>
      </c>
      <c r="CN8" s="11">
        <f t="shared" si="7"/>
        <v>0.22348899999999999</v>
      </c>
      <c r="CO8" s="11">
        <f t="shared" si="7"/>
        <v>-0.13939019999999999</v>
      </c>
      <c r="CP8" s="11">
        <f t="shared" si="7"/>
        <v>0.13265561000000001</v>
      </c>
      <c r="CQ8" s="11">
        <f t="shared" si="7"/>
        <v>-0.20723</v>
      </c>
      <c r="CR8" s="11">
        <f t="shared" si="7"/>
        <v>-0.13486000000000001</v>
      </c>
      <c r="CS8" s="11">
        <f t="shared" si="7"/>
        <v>7.3008000000000003E-2</v>
      </c>
      <c r="CT8" s="11">
        <f t="shared" si="7"/>
        <v>-0.1130791</v>
      </c>
      <c r="CU8" s="11">
        <f t="shared" ref="CU8:DZ8" si="8">IF(CU6=1,CU3,IF(CU6=2,CU4,IF(CU6=3,CU5)))</f>
        <v>-0.28688999999999998</v>
      </c>
      <c r="CV8" s="11">
        <f t="shared" si="8"/>
        <v>0.23073099999999999</v>
      </c>
      <c r="CW8" s="11">
        <f t="shared" si="8"/>
        <v>9.1076000000000004E-2</v>
      </c>
      <c r="CX8" s="11">
        <f t="shared" si="8"/>
        <v>0.13917409</v>
      </c>
      <c r="CY8" s="11">
        <f t="shared" si="8"/>
        <v>-9.6503500000000006E-2</v>
      </c>
      <c r="CZ8" s="11">
        <f t="shared" si="8"/>
        <v>0.21835291000000001</v>
      </c>
      <c r="DA8" s="11">
        <f t="shared" si="8"/>
        <v>-0.10996110000000001</v>
      </c>
      <c r="DB8" s="11">
        <f t="shared" si="8"/>
        <v>-0.1908205</v>
      </c>
      <c r="DC8" s="11">
        <f t="shared" si="8"/>
        <v>0.11395608</v>
      </c>
      <c r="DD8" s="11">
        <f t="shared" si="8"/>
        <v>-0.16450999999999999</v>
      </c>
      <c r="DE8" s="11">
        <f t="shared" si="8"/>
        <v>-0.11057</v>
      </c>
      <c r="DF8" s="11">
        <f t="shared" si="8"/>
        <v>-0.16687669999999999</v>
      </c>
      <c r="DG8" s="11">
        <f t="shared" si="8"/>
        <v>0.22243809</v>
      </c>
      <c r="DH8" s="11">
        <f t="shared" si="8"/>
        <v>-0.1442978</v>
      </c>
      <c r="DI8" s="11">
        <f t="shared" si="8"/>
        <v>-0.1196199</v>
      </c>
      <c r="DJ8" s="11">
        <f t="shared" si="8"/>
        <v>0.118802</v>
      </c>
      <c r="DK8" s="11">
        <f t="shared" si="8"/>
        <v>9.2855060000000003E-2</v>
      </c>
      <c r="DL8" s="11">
        <f t="shared" si="8"/>
        <v>7.1320999999999996E-2</v>
      </c>
      <c r="DM8" s="11">
        <f t="shared" si="8"/>
        <v>8.2732070000000005E-2</v>
      </c>
      <c r="DN8" s="11">
        <f t="shared" si="8"/>
        <v>0.10981299</v>
      </c>
      <c r="DO8" s="11">
        <f t="shared" si="8"/>
        <v>-9.8141999999999993E-2</v>
      </c>
      <c r="DP8" s="11">
        <f t="shared" si="8"/>
        <v>-0.23068</v>
      </c>
      <c r="DQ8" s="11">
        <f t="shared" si="8"/>
        <v>0.23818400000000001</v>
      </c>
      <c r="DR8" s="11">
        <f t="shared" si="8"/>
        <v>9.4328709999999996E-2</v>
      </c>
      <c r="DS8" s="11">
        <f t="shared" si="8"/>
        <v>-0.16103020000000001</v>
      </c>
      <c r="DT8" s="11">
        <f t="shared" si="8"/>
        <v>0.115106</v>
      </c>
      <c r="DU8" s="11">
        <f t="shared" si="8"/>
        <v>0.16407715</v>
      </c>
      <c r="DV8" s="11">
        <f t="shared" si="8"/>
        <v>0.13401742</v>
      </c>
      <c r="DW8" s="11">
        <f t="shared" si="8"/>
        <v>-0.1016452</v>
      </c>
      <c r="DX8" s="11">
        <f t="shared" si="8"/>
        <v>-0.1037732</v>
      </c>
      <c r="DY8" s="11">
        <f t="shared" si="8"/>
        <v>-0.10665669999999999</v>
      </c>
      <c r="DZ8" s="11">
        <f t="shared" si="8"/>
        <v>-6.9186600000000001E-2</v>
      </c>
      <c r="EA8" s="11">
        <f t="shared" ref="EA8:EG8" si="9">IF(EA6=1,EA3,IF(EA6=2,EA4,IF(EA6=3,EA5)))</f>
        <v>-0.29314000000000001</v>
      </c>
      <c r="EB8" s="11">
        <f t="shared" si="9"/>
        <v>-0.14097999999999999</v>
      </c>
      <c r="EC8" s="11">
        <f t="shared" si="9"/>
        <v>7.3988429999999994E-2</v>
      </c>
      <c r="ED8" s="11">
        <f t="shared" si="9"/>
        <v>-0.15737689999999999</v>
      </c>
      <c r="EE8" s="11">
        <f t="shared" si="9"/>
        <v>0.1576776</v>
      </c>
      <c r="EF8" s="11">
        <f t="shared" si="9"/>
        <v>-0.12717999999999999</v>
      </c>
      <c r="EG8" s="11">
        <f t="shared" si="9"/>
        <v>-0.15895948868776608</v>
      </c>
    </row>
    <row r="10" spans="1:138" x14ac:dyDescent="0.3">
      <c r="A10" s="22" t="s">
        <v>140</v>
      </c>
      <c r="B10" s="23"/>
      <c r="C10" s="1" t="s">
        <v>141</v>
      </c>
      <c r="D10" s="2">
        <v>964</v>
      </c>
    </row>
    <row r="11" spans="1:138" x14ac:dyDescent="0.3">
      <c r="A11" s="1" t="s">
        <v>142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144</v>
      </c>
      <c r="EG11" t="s">
        <v>145</v>
      </c>
      <c r="EH11" t="s">
        <v>146</v>
      </c>
    </row>
    <row r="12" spans="1:138" x14ac:dyDescent="0.3">
      <c r="A12" s="1">
        <v>10</v>
      </c>
      <c r="B12" s="1">
        <v>96</v>
      </c>
      <c r="C12" s="11">
        <f>IF(真實IC!C12&gt;真實IC!C$26,1,0)</f>
        <v>1</v>
      </c>
      <c r="D12" s="11">
        <f>IF(真實IC!D12&gt;真實IC!D$26,1,0)</f>
        <v>1</v>
      </c>
      <c r="E12" s="11">
        <f>IF(真實IC!E12&gt;真實IC!E$26,1,0)</f>
        <v>1</v>
      </c>
      <c r="F12" s="11">
        <f>IF(真實IC!F12&gt;真實IC!F$26,1,0)</f>
        <v>1</v>
      </c>
      <c r="G12" s="11">
        <f>IF(真實IC!G12&gt;真實IC!G$26,1,0)</f>
        <v>1</v>
      </c>
      <c r="H12" s="11">
        <f>IF(真實IC!H12&gt;真實IC!H$26,1,0)</f>
        <v>1</v>
      </c>
      <c r="I12" s="11">
        <f>IF(真實IC!I12&gt;真實IC!I$26,1,0)</f>
        <v>1</v>
      </c>
      <c r="J12" s="11">
        <f>IF(真實IC!J12&gt;真實IC!J$26,1,0)</f>
        <v>1</v>
      </c>
      <c r="K12" s="11">
        <f>IF(真實IC!K12&gt;真實IC!K$26,1,0)</f>
        <v>1</v>
      </c>
      <c r="L12" s="11">
        <f>IF(真實IC!L12&gt;真實IC!L$26,1,0)</f>
        <v>1</v>
      </c>
      <c r="M12" s="11">
        <f>IF(真實IC!M12&gt;真實IC!M$26,1,0)</f>
        <v>1</v>
      </c>
      <c r="N12" s="11">
        <f>IF(真實IC!N12&gt;真實IC!N$26,1,0)</f>
        <v>1</v>
      </c>
      <c r="O12" s="11">
        <f>IF(真實IC!O12&gt;真實IC!O$26,1,0)</f>
        <v>1</v>
      </c>
      <c r="P12" s="11">
        <f>IF(真實IC!P12&gt;真實IC!P$26,1,0)</f>
        <v>0</v>
      </c>
      <c r="Q12" s="11">
        <f>IF(真實IC!Q12&gt;真實IC!Q$26,1,0)</f>
        <v>1</v>
      </c>
      <c r="R12" s="11">
        <f>IF(真實IC!R12&gt;真實IC!R$26,1,0)</f>
        <v>0</v>
      </c>
      <c r="S12" s="11">
        <f>IF(真實IC!S12&gt;真實IC!S$26,1,0)</f>
        <v>1</v>
      </c>
      <c r="T12" s="11">
        <f>IF(真實IC!T12&gt;真實IC!T$26,1,0)</f>
        <v>1</v>
      </c>
      <c r="U12" s="11">
        <f>IF(真實IC!U12&gt;真實IC!U$26,1,0)</f>
        <v>1</v>
      </c>
      <c r="V12" s="11">
        <f>IF(真實IC!V12&gt;真實IC!V$26,1,0)</f>
        <v>1</v>
      </c>
      <c r="W12" s="11">
        <f>IF(真實IC!W12&gt;真實IC!W$26,1,0)</f>
        <v>1</v>
      </c>
      <c r="X12" s="11">
        <f>IF(真實IC!X12&gt;真實IC!X$26,1,0)</f>
        <v>1</v>
      </c>
      <c r="Y12" s="11">
        <f>IF(真實IC!Y12&gt;真實IC!Y$26,1,0)</f>
        <v>1</v>
      </c>
      <c r="Z12" s="11">
        <f>IF(真實IC!Z12&gt;真實IC!Z$26,1,0)</f>
        <v>1</v>
      </c>
      <c r="AA12" s="11">
        <f>IF(真實IC!AA12&gt;真實IC!AA$26,1,0)</f>
        <v>1</v>
      </c>
      <c r="AB12" s="11">
        <f>IF(真實IC!AB12&gt;真實IC!AB$26,1,0)</f>
        <v>1</v>
      </c>
      <c r="AC12" s="11">
        <f>IF(真實IC!AC12&gt;真實IC!AC$26,1,0)</f>
        <v>1</v>
      </c>
      <c r="AD12" s="11">
        <f>IF(真實IC!AD12&gt;真實IC!AD$26,1,0)</f>
        <v>1</v>
      </c>
      <c r="AE12" s="11">
        <f>IF(真實IC!AE12&gt;真實IC!AE$26,1,0)</f>
        <v>1</v>
      </c>
      <c r="AF12" s="11">
        <f>IF(真實IC!AF12&gt;真實IC!AF$26,1,0)</f>
        <v>1</v>
      </c>
      <c r="AG12" s="11">
        <f>IF(真實IC!AG12&gt;真實IC!AG$26,1,0)</f>
        <v>0</v>
      </c>
      <c r="AH12" s="11">
        <f>IF(真實IC!AH12&gt;真實IC!AH$26,1,0)</f>
        <v>1</v>
      </c>
      <c r="AI12" s="11">
        <f>IF(真實IC!AI12&gt;真實IC!AI$26,1,0)</f>
        <v>1</v>
      </c>
      <c r="AJ12" s="11">
        <f>IF(真實IC!AJ12&gt;真實IC!AJ$26,1,0)</f>
        <v>0</v>
      </c>
      <c r="AK12" s="11">
        <f>IF(真實IC!AK12&gt;真實IC!AK$26,1,0)</f>
        <v>1</v>
      </c>
      <c r="AL12" s="11">
        <f>IF(真實IC!AL12&gt;真實IC!AL$26,1,0)</f>
        <v>1</v>
      </c>
      <c r="AM12" s="11">
        <f>IF(真實IC!AM12&gt;真實IC!AM$26,1,0)</f>
        <v>1</v>
      </c>
      <c r="AN12" s="11">
        <f>IF(真實IC!AN12&gt;真實IC!AN$26,1,0)</f>
        <v>1</v>
      </c>
      <c r="AO12" s="11">
        <f>IF(真實IC!AO12&gt;真實IC!AO$26,1,0)</f>
        <v>1</v>
      </c>
      <c r="AP12" s="11">
        <f>IF(真實IC!AP12&gt;真實IC!AP$26,1,0)</f>
        <v>1</v>
      </c>
      <c r="AQ12" s="11">
        <f>IF(真實IC!AQ12&gt;真實IC!AQ$26,1,0)</f>
        <v>0</v>
      </c>
      <c r="AR12" s="11">
        <f>IF(真實IC!AR12&gt;真實IC!AR$26,1,0)</f>
        <v>0</v>
      </c>
      <c r="AS12" s="11">
        <f>IF(真實IC!AS12&gt;真實IC!AS$26,1,0)</f>
        <v>1</v>
      </c>
      <c r="AT12" s="11">
        <f>IF(真實IC!AT12&gt;真實IC!AT$26,1,0)</f>
        <v>1</v>
      </c>
      <c r="AU12" s="11">
        <f>IF(真實IC!AU12&gt;真實IC!AU$26,1,0)</f>
        <v>1</v>
      </c>
      <c r="AV12" s="11">
        <f>IF(真實IC!AV12&gt;真實IC!AV$26,1,0)</f>
        <v>1</v>
      </c>
      <c r="AW12" s="11">
        <f>IF(真實IC!AW12&gt;真實IC!AW$26,1,0)</f>
        <v>1</v>
      </c>
      <c r="AX12" s="11">
        <f>IF(真實IC!AX12&gt;真實IC!AX$26,1,0)</f>
        <v>1</v>
      </c>
      <c r="AY12" s="11">
        <f>IF(真實IC!AY12&gt;真實IC!AY$26,1,0)</f>
        <v>0</v>
      </c>
      <c r="AZ12" s="11">
        <f>IF(真實IC!AZ12&gt;真實IC!AZ$26,1,0)</f>
        <v>1</v>
      </c>
      <c r="BA12" s="11">
        <f>IF(真實IC!BA12&gt;真實IC!BA$26,1,0)</f>
        <v>1</v>
      </c>
      <c r="BB12" s="11">
        <f>IF(真實IC!BB12&gt;真實IC!BB$26,1,0)</f>
        <v>1</v>
      </c>
      <c r="BC12" s="11">
        <f>IF(真實IC!BC12&gt;真實IC!BC$26,1,0)</f>
        <v>1</v>
      </c>
      <c r="BD12" s="11">
        <f>IF(真實IC!BD12&gt;真實IC!BD$26,1,0)</f>
        <v>1</v>
      </c>
      <c r="BE12" s="11">
        <f>IF(真實IC!BE12&gt;真實IC!BE$26,1,0)</f>
        <v>1</v>
      </c>
      <c r="BF12" s="11">
        <f>IF(真實IC!BF12&gt;真實IC!BF$26,1,0)</f>
        <v>1</v>
      </c>
      <c r="BG12" s="11">
        <f>IF(真實IC!BG12&gt;真實IC!BG$26,1,0)</f>
        <v>1</v>
      </c>
      <c r="BH12" s="11">
        <f>IF(真實IC!BH12&gt;真實IC!BH$26,1,0)</f>
        <v>1</v>
      </c>
      <c r="BI12" s="11">
        <f>IF(真實IC!BI12&gt;真實IC!BI$26,1,0)</f>
        <v>1</v>
      </c>
      <c r="BJ12" s="11">
        <f>IF(真實IC!BJ12&gt;真實IC!BJ$26,1,0)</f>
        <v>1</v>
      </c>
      <c r="BK12" s="11">
        <f>IF(真實IC!BK12&gt;真實IC!BK$26,1,0)</f>
        <v>0</v>
      </c>
      <c r="BL12" s="11">
        <f>IF(真實IC!BL12&gt;真實IC!BL$26,1,0)</f>
        <v>0</v>
      </c>
      <c r="BM12" s="11">
        <f>IF(真實IC!BM12&gt;真實IC!BM$26,1,0)</f>
        <v>1</v>
      </c>
      <c r="BN12" s="11">
        <f>IF(真實IC!BN12&gt;真實IC!BN$26,1,0)</f>
        <v>0</v>
      </c>
      <c r="BO12" s="11">
        <f>IF(真實IC!BO12&gt;真實IC!BO$26,1,0)</f>
        <v>1</v>
      </c>
      <c r="BP12" s="11">
        <f>IF(真實IC!BP12&gt;真實IC!BP$26,1,0)</f>
        <v>1</v>
      </c>
      <c r="BQ12" s="11">
        <f>IF(真實IC!BQ12&gt;真實IC!BQ$26,1,0)</f>
        <v>1</v>
      </c>
      <c r="BR12" s="11">
        <f>IF(真實IC!BR12&gt;真實IC!BR$26,1,0)</f>
        <v>1</v>
      </c>
      <c r="BS12" s="11">
        <f>IF(真實IC!BS12&gt;真實IC!BS$26,1,0)</f>
        <v>1</v>
      </c>
      <c r="BT12" s="11">
        <f>IF(真實IC!BT12&gt;真實IC!BT$26,1,0)</f>
        <v>0</v>
      </c>
      <c r="BU12" s="11">
        <f>IF(真實IC!BU12&gt;真實IC!BU$26,1,0)</f>
        <v>1</v>
      </c>
      <c r="BV12" s="11">
        <f>IF(真實IC!BV12&gt;真實IC!BV$26,1,0)</f>
        <v>0</v>
      </c>
      <c r="BW12" s="11">
        <f>IF(真實IC!BW12&gt;真實IC!BW$26,1,0)</f>
        <v>1</v>
      </c>
      <c r="BX12" s="11">
        <f>IF(真實IC!BX12&gt;真實IC!BX$26,1,0)</f>
        <v>1</v>
      </c>
      <c r="BY12" s="11">
        <f>IF(真實IC!BY12&gt;真實IC!BY$26,1,0)</f>
        <v>1</v>
      </c>
      <c r="BZ12" s="11">
        <f>IF(真實IC!BZ12&gt;真實IC!BZ$26,1,0)</f>
        <v>0</v>
      </c>
      <c r="CA12" s="11">
        <f>IF(真實IC!CA12&gt;真實IC!CA$26,1,0)</f>
        <v>1</v>
      </c>
      <c r="CB12" s="11">
        <f>IF(真實IC!CB12&gt;真實IC!CB$26,1,0)</f>
        <v>1</v>
      </c>
      <c r="CC12" s="11">
        <f>IF(真實IC!CC12&gt;真實IC!CC$26,1,0)</f>
        <v>0</v>
      </c>
      <c r="CD12" s="11">
        <f>IF(真實IC!CD12&gt;真實IC!CD$26,1,0)</f>
        <v>1</v>
      </c>
      <c r="CE12" s="11">
        <f>IF(真實IC!CE12&gt;真實IC!CE$26,1,0)</f>
        <v>1</v>
      </c>
      <c r="CF12" s="11">
        <f>IF(真實IC!CF12&gt;真實IC!CF$26,1,0)</f>
        <v>1</v>
      </c>
      <c r="CG12" s="11">
        <f>IF(真實IC!CG12&gt;真實IC!CG$26,1,0)</f>
        <v>0</v>
      </c>
      <c r="CH12" s="11">
        <f>IF(真實IC!CH12&gt;真實IC!CH$26,1,0)</f>
        <v>0</v>
      </c>
      <c r="CI12" s="11">
        <f>IF(真實IC!CI12&gt;真實IC!CI$26,1,0)</f>
        <v>1</v>
      </c>
      <c r="CJ12" s="11">
        <f>IF(真實IC!CJ12&gt;真實IC!CJ$26,1,0)</f>
        <v>1</v>
      </c>
      <c r="CK12" s="11">
        <f>IF(真實IC!CK12&gt;真實IC!CK$26,1,0)</f>
        <v>1</v>
      </c>
      <c r="CL12" s="11">
        <f>IF(真實IC!CL12&gt;真實IC!CL$26,1,0)</f>
        <v>1</v>
      </c>
      <c r="CM12" s="11">
        <f>IF(真實IC!CM12&gt;真實IC!CM$26,1,0)</f>
        <v>1</v>
      </c>
      <c r="CN12" s="11">
        <f>IF(真實IC!CN12&gt;真實IC!CN$26,1,0)</f>
        <v>1</v>
      </c>
      <c r="CO12" s="11">
        <f>IF(真實IC!CO12&gt;真實IC!CO$26,1,0)</f>
        <v>1</v>
      </c>
      <c r="CP12" s="11">
        <f>IF(真實IC!CP12&gt;真實IC!CP$26,1,0)</f>
        <v>1</v>
      </c>
      <c r="CQ12" s="11">
        <f>IF(真實IC!CQ12&gt;真實IC!CQ$26,1,0)</f>
        <v>1</v>
      </c>
      <c r="CR12" s="11">
        <f>IF(真實IC!CR12&gt;真實IC!CR$26,1,0)</f>
        <v>1</v>
      </c>
      <c r="CS12" s="11">
        <f>IF(真實IC!CS12&gt;真實IC!CS$26,1,0)</f>
        <v>0</v>
      </c>
      <c r="CT12" s="11">
        <f>IF(真實IC!CT12&gt;真實IC!CT$26,1,0)</f>
        <v>0</v>
      </c>
      <c r="CU12" s="11">
        <f>IF(真實IC!CU12&gt;真實IC!CU$26,1,0)</f>
        <v>1</v>
      </c>
      <c r="CV12" s="11">
        <f>IF(真實IC!CV12&gt;真實IC!CV$26,1,0)</f>
        <v>1</v>
      </c>
      <c r="CW12" s="11">
        <f>IF(真實IC!CW12&gt;真實IC!CW$26,1,0)</f>
        <v>1</v>
      </c>
      <c r="CX12" s="11">
        <f>IF(真實IC!CX12&gt;真實IC!CX$26,1,0)</f>
        <v>1</v>
      </c>
      <c r="CY12" s="11">
        <f>IF(真實IC!CY12&gt;真實IC!CY$26,1,0)</f>
        <v>1</v>
      </c>
      <c r="CZ12" s="11">
        <f>IF(真實IC!CZ12&gt;真實IC!CZ$26,1,0)</f>
        <v>1</v>
      </c>
      <c r="DA12" s="11">
        <f>IF(真實IC!DA12&gt;真實IC!DA$26,1,0)</f>
        <v>1</v>
      </c>
      <c r="DB12" s="11">
        <f>IF(真實IC!DB12&gt;真實IC!DB$26,1,0)</f>
        <v>1</v>
      </c>
      <c r="DC12" s="11">
        <f>IF(真實IC!DC12&gt;真實IC!DC$26,1,0)</f>
        <v>1</v>
      </c>
      <c r="DD12" s="11">
        <f>IF(真實IC!DD12&gt;真實IC!DD$26,1,0)</f>
        <v>1</v>
      </c>
      <c r="DE12" s="11">
        <f>IF(真實IC!DE12&gt;真實IC!DE$26,1,0)</f>
        <v>0</v>
      </c>
      <c r="DF12" s="11">
        <f>IF(真實IC!DF12&gt;真實IC!DF$26,1,0)</f>
        <v>1</v>
      </c>
      <c r="DG12" s="11">
        <f>IF(真實IC!DG12&gt;真實IC!DG$26,1,0)</f>
        <v>0</v>
      </c>
      <c r="DH12" s="11">
        <f>IF(真實IC!DH12&gt;真實IC!DH$26,1,0)</f>
        <v>1</v>
      </c>
      <c r="DI12" s="11">
        <f>IF(真實IC!DI12&gt;真實IC!DI$26,1,0)</f>
        <v>1</v>
      </c>
      <c r="DJ12" s="11">
        <f>IF(真實IC!DJ12&gt;真實IC!DJ$26,1,0)</f>
        <v>1</v>
      </c>
      <c r="DK12" s="11">
        <f>IF(真實IC!DK12&gt;真實IC!DK$26,1,0)</f>
        <v>0</v>
      </c>
      <c r="DL12" s="11">
        <f>IF(真實IC!DL12&gt;真實IC!DL$26,1,0)</f>
        <v>0</v>
      </c>
      <c r="DM12" s="11">
        <f>IF(真實IC!DM12&gt;真實IC!DM$26,1,0)</f>
        <v>1</v>
      </c>
      <c r="DN12" s="11">
        <f>IF(真實IC!DN12&gt;真實IC!DN$26,1,0)</f>
        <v>1</v>
      </c>
      <c r="DO12" s="11">
        <f>IF(真實IC!DO12&gt;真實IC!DO$26,1,0)</f>
        <v>1</v>
      </c>
      <c r="DP12" s="11">
        <f>IF(真實IC!DP12&gt;真實IC!DP$26,1,0)</f>
        <v>1</v>
      </c>
      <c r="DQ12" s="11">
        <f>IF(真實IC!DQ12&gt;真實IC!DQ$26,1,0)</f>
        <v>0</v>
      </c>
      <c r="DR12" s="11">
        <f>IF(真實IC!DR12&gt;真實IC!DR$26,1,0)</f>
        <v>0</v>
      </c>
      <c r="DS12" s="11">
        <f>IF(真實IC!DS12&gt;真實IC!DS$26,1,0)</f>
        <v>1</v>
      </c>
      <c r="DT12" s="11">
        <f>IF(真實IC!DT12&gt;真實IC!DT$26,1,0)</f>
        <v>0</v>
      </c>
      <c r="DU12" s="11">
        <f>IF(真實IC!DU12&gt;真實IC!DU$26,1,0)</f>
        <v>0</v>
      </c>
      <c r="DV12" s="11">
        <f>IF(真實IC!DV12&gt;真實IC!DV$26,1,0)</f>
        <v>1</v>
      </c>
      <c r="DW12" s="11">
        <f>IF(真實IC!DW12&gt;真實IC!DW$26,1,0)</f>
        <v>1</v>
      </c>
      <c r="DX12" s="11">
        <f>IF(真實IC!DX12&gt;真實IC!DX$26,1,0)</f>
        <v>0</v>
      </c>
      <c r="DY12" s="11">
        <f>IF(真實IC!DY12&gt;真實IC!DY$26,1,0)</f>
        <v>1</v>
      </c>
      <c r="DZ12" s="11">
        <f>IF(真實IC!DZ12&gt;真實IC!DZ$26,1,0)</f>
        <v>1</v>
      </c>
      <c r="EA12" s="11">
        <f>IF(真實IC!EA12&gt;真實IC!EA$26,1,0)</f>
        <v>1</v>
      </c>
      <c r="EB12" s="11">
        <f>IF(真實IC!EB12&gt;真實IC!EB$26,1,0)</f>
        <v>1</v>
      </c>
      <c r="EC12" s="11">
        <f>IF(真實IC!EC12&gt;真實IC!EC$26,1,0)</f>
        <v>1</v>
      </c>
      <c r="ED12" s="11">
        <f>IF(真實IC!ED12&gt;真實IC!ED$26,1,0)</f>
        <v>1</v>
      </c>
      <c r="EE12" s="11">
        <f>IF(真實IC!EE12&gt;真實IC!EE$26,1,0)</f>
        <v>1</v>
      </c>
      <c r="EF12" s="11">
        <f>IF(真實IC!EF12&gt;真實IC!EF$26,1,0)</f>
        <v>1</v>
      </c>
      <c r="EG12">
        <f t="shared" ref="EG12:EG24" si="10">SUM(C12:EF12)</f>
        <v>107</v>
      </c>
      <c r="EH12" s="24">
        <f t="shared" ref="EH12:EH24" si="11">SUM(C12:EE12)/134</f>
        <v>0.79104477611940294</v>
      </c>
    </row>
    <row r="13" spans="1:138" x14ac:dyDescent="0.3">
      <c r="A13" s="1">
        <v>20</v>
      </c>
      <c r="B13" s="1">
        <v>48</v>
      </c>
      <c r="C13" s="11">
        <f>IF(真實IC!C13&gt;真實IC!C$26,1,0)</f>
        <v>1</v>
      </c>
      <c r="D13" s="11">
        <f>IF(真實IC!D13&gt;真實IC!D$26,1,0)</f>
        <v>1</v>
      </c>
      <c r="E13" s="11">
        <f>IF(真實IC!E13&gt;真實IC!E$26,1,0)</f>
        <v>1</v>
      </c>
      <c r="F13" s="11">
        <f>IF(真實IC!F13&gt;真實IC!F$26,1,0)</f>
        <v>1</v>
      </c>
      <c r="G13" s="11">
        <f>IF(真實IC!G13&gt;真實IC!G$26,1,0)</f>
        <v>0</v>
      </c>
      <c r="H13" s="11">
        <f>IF(真實IC!H13&gt;真實IC!H$26,1,0)</f>
        <v>0</v>
      </c>
      <c r="I13" s="11">
        <f>IF(真實IC!I13&gt;真實IC!I$26,1,0)</f>
        <v>1</v>
      </c>
      <c r="J13" s="11">
        <f>IF(真實IC!J13&gt;真實IC!J$26,1,0)</f>
        <v>1</v>
      </c>
      <c r="K13" s="11">
        <f>IF(真實IC!K13&gt;真實IC!K$26,1,0)</f>
        <v>1</v>
      </c>
      <c r="L13" s="11">
        <f>IF(真實IC!L13&gt;真實IC!L$26,1,0)</f>
        <v>1</v>
      </c>
      <c r="M13" s="11">
        <f>IF(真實IC!M13&gt;真實IC!M$26,1,0)</f>
        <v>0</v>
      </c>
      <c r="N13" s="11">
        <f>IF(真實IC!N13&gt;真實IC!N$26,1,0)</f>
        <v>1</v>
      </c>
      <c r="O13" s="11">
        <f>IF(真實IC!O13&gt;真實IC!O$26,1,0)</f>
        <v>1</v>
      </c>
      <c r="P13" s="11">
        <f>IF(真實IC!P13&gt;真實IC!P$26,1,0)</f>
        <v>0</v>
      </c>
      <c r="Q13" s="11">
        <f>IF(真實IC!Q13&gt;真實IC!Q$26,1,0)</f>
        <v>1</v>
      </c>
      <c r="R13" s="11">
        <f>IF(真實IC!R13&gt;真實IC!R$26,1,0)</f>
        <v>0</v>
      </c>
      <c r="S13" s="11">
        <f>IF(真實IC!S13&gt;真實IC!S$26,1,0)</f>
        <v>1</v>
      </c>
      <c r="T13" s="11">
        <f>IF(真實IC!T13&gt;真實IC!T$26,1,0)</f>
        <v>1</v>
      </c>
      <c r="U13" s="11">
        <f>IF(真實IC!U13&gt;真實IC!U$26,1,0)</f>
        <v>1</v>
      </c>
      <c r="V13" s="11">
        <f>IF(真實IC!V13&gt;真實IC!V$26,1,0)</f>
        <v>1</v>
      </c>
      <c r="W13" s="11">
        <f>IF(真實IC!W13&gt;真實IC!W$26,1,0)</f>
        <v>1</v>
      </c>
      <c r="X13" s="11">
        <f>IF(真實IC!X13&gt;真實IC!X$26,1,0)</f>
        <v>1</v>
      </c>
      <c r="Y13" s="11">
        <f>IF(真實IC!Y13&gt;真實IC!Y$26,1,0)</f>
        <v>1</v>
      </c>
      <c r="Z13" s="11">
        <f>IF(真實IC!Z13&gt;真實IC!Z$26,1,0)</f>
        <v>1</v>
      </c>
      <c r="AA13" s="11">
        <f>IF(真實IC!AA13&gt;真實IC!AA$26,1,0)</f>
        <v>1</v>
      </c>
      <c r="AB13" s="11">
        <f>IF(真實IC!AB13&gt;真實IC!AB$26,1,0)</f>
        <v>1</v>
      </c>
      <c r="AC13" s="11">
        <f>IF(真實IC!AC13&gt;真實IC!AC$26,1,0)</f>
        <v>1</v>
      </c>
      <c r="AD13" s="11">
        <f>IF(真實IC!AD13&gt;真實IC!AD$26,1,0)</f>
        <v>1</v>
      </c>
      <c r="AE13" s="11">
        <f>IF(真實IC!AE13&gt;真實IC!AE$26,1,0)</f>
        <v>1</v>
      </c>
      <c r="AF13" s="11">
        <f>IF(真實IC!AF13&gt;真實IC!AF$26,1,0)</f>
        <v>1</v>
      </c>
      <c r="AG13" s="11">
        <f>IF(真實IC!AG13&gt;真實IC!AG$26,1,0)</f>
        <v>0</v>
      </c>
      <c r="AH13" s="11">
        <f>IF(真實IC!AH13&gt;真實IC!AH$26,1,0)</f>
        <v>1</v>
      </c>
      <c r="AI13" s="11">
        <f>IF(真實IC!AI13&gt;真實IC!AI$26,1,0)</f>
        <v>1</v>
      </c>
      <c r="AJ13" s="11">
        <f>IF(真實IC!AJ13&gt;真實IC!AJ$26,1,0)</f>
        <v>0</v>
      </c>
      <c r="AK13" s="11">
        <f>IF(真實IC!AK13&gt;真實IC!AK$26,1,0)</f>
        <v>1</v>
      </c>
      <c r="AL13" s="11">
        <f>IF(真實IC!AL13&gt;真實IC!AL$26,1,0)</f>
        <v>1</v>
      </c>
      <c r="AM13" s="11">
        <f>IF(真實IC!AM13&gt;真實IC!AM$26,1,0)</f>
        <v>1</v>
      </c>
      <c r="AN13" s="11">
        <f>IF(真實IC!AN13&gt;真實IC!AN$26,1,0)</f>
        <v>1</v>
      </c>
      <c r="AO13" s="11">
        <f>IF(真實IC!AO13&gt;真實IC!AO$26,1,0)</f>
        <v>0</v>
      </c>
      <c r="AP13" s="11">
        <f>IF(真實IC!AP13&gt;真實IC!AP$26,1,0)</f>
        <v>1</v>
      </c>
      <c r="AQ13" s="11">
        <f>IF(真實IC!AQ13&gt;真實IC!AQ$26,1,0)</f>
        <v>0</v>
      </c>
      <c r="AR13" s="11">
        <f>IF(真實IC!AR13&gt;真實IC!AR$26,1,0)</f>
        <v>0</v>
      </c>
      <c r="AS13" s="11">
        <f>IF(真實IC!AS13&gt;真實IC!AS$26,1,0)</f>
        <v>1</v>
      </c>
      <c r="AT13" s="11">
        <f>IF(真實IC!AT13&gt;真實IC!AT$26,1,0)</f>
        <v>1</v>
      </c>
      <c r="AU13" s="11">
        <f>IF(真實IC!AU13&gt;真實IC!AU$26,1,0)</f>
        <v>1</v>
      </c>
      <c r="AV13" s="11">
        <f>IF(真實IC!AV13&gt;真實IC!AV$26,1,0)</f>
        <v>1</v>
      </c>
      <c r="AW13" s="11">
        <f>IF(真實IC!AW13&gt;真實IC!AW$26,1,0)</f>
        <v>1</v>
      </c>
      <c r="AX13" s="11">
        <f>IF(真實IC!AX13&gt;真實IC!AX$26,1,0)</f>
        <v>1</v>
      </c>
      <c r="AY13" s="11">
        <f>IF(真實IC!AY13&gt;真實IC!AY$26,1,0)</f>
        <v>0</v>
      </c>
      <c r="AZ13" s="11">
        <f>IF(真實IC!AZ13&gt;真實IC!AZ$26,1,0)</f>
        <v>1</v>
      </c>
      <c r="BA13" s="11">
        <f>IF(真實IC!BA13&gt;真實IC!BA$26,1,0)</f>
        <v>1</v>
      </c>
      <c r="BB13" s="11">
        <f>IF(真實IC!BB13&gt;真實IC!BB$26,1,0)</f>
        <v>1</v>
      </c>
      <c r="BC13" s="11">
        <f>IF(真實IC!BC13&gt;真實IC!BC$26,1,0)</f>
        <v>0</v>
      </c>
      <c r="BD13" s="11">
        <f>IF(真實IC!BD13&gt;真實IC!BD$26,1,0)</f>
        <v>1</v>
      </c>
      <c r="BE13" s="11">
        <f>IF(真實IC!BE13&gt;真實IC!BE$26,1,0)</f>
        <v>1</v>
      </c>
      <c r="BF13" s="11">
        <f>IF(真實IC!BF13&gt;真實IC!BF$26,1,0)</f>
        <v>1</v>
      </c>
      <c r="BG13" s="11">
        <f>IF(真實IC!BG13&gt;真實IC!BG$26,1,0)</f>
        <v>1</v>
      </c>
      <c r="BH13" s="11">
        <f>IF(真實IC!BH13&gt;真實IC!BH$26,1,0)</f>
        <v>1</v>
      </c>
      <c r="BI13" s="11">
        <f>IF(真實IC!BI13&gt;真實IC!BI$26,1,0)</f>
        <v>1</v>
      </c>
      <c r="BJ13" s="11">
        <f>IF(真實IC!BJ13&gt;真實IC!BJ$26,1,0)</f>
        <v>1</v>
      </c>
      <c r="BK13" s="11">
        <f>IF(真實IC!BK13&gt;真實IC!BK$26,1,0)</f>
        <v>1</v>
      </c>
      <c r="BL13" s="11">
        <f>IF(真實IC!BL13&gt;真實IC!BL$26,1,0)</f>
        <v>0</v>
      </c>
      <c r="BM13" s="11">
        <f>IF(真實IC!BM13&gt;真實IC!BM$26,1,0)</f>
        <v>1</v>
      </c>
      <c r="BN13" s="11">
        <f>IF(真實IC!BN13&gt;真實IC!BN$26,1,0)</f>
        <v>0</v>
      </c>
      <c r="BO13" s="11">
        <f>IF(真實IC!BO13&gt;真實IC!BO$26,1,0)</f>
        <v>1</v>
      </c>
      <c r="BP13" s="11">
        <f>IF(真實IC!BP13&gt;真實IC!BP$26,1,0)</f>
        <v>0</v>
      </c>
      <c r="BQ13" s="11">
        <f>IF(真實IC!BQ13&gt;真實IC!BQ$26,1,0)</f>
        <v>1</v>
      </c>
      <c r="BR13" s="11">
        <f>IF(真實IC!BR13&gt;真實IC!BR$26,1,0)</f>
        <v>1</v>
      </c>
      <c r="BS13" s="11">
        <f>IF(真實IC!BS13&gt;真實IC!BS$26,1,0)</f>
        <v>1</v>
      </c>
      <c r="BT13" s="11">
        <f>IF(真實IC!BT13&gt;真實IC!BT$26,1,0)</f>
        <v>0</v>
      </c>
      <c r="BU13" s="11">
        <f>IF(真實IC!BU13&gt;真實IC!BU$26,1,0)</f>
        <v>1</v>
      </c>
      <c r="BV13" s="11">
        <f>IF(真實IC!BV13&gt;真實IC!BV$26,1,0)</f>
        <v>1</v>
      </c>
      <c r="BW13" s="11">
        <f>IF(真實IC!BW13&gt;真實IC!BW$26,1,0)</f>
        <v>1</v>
      </c>
      <c r="BX13" s="11">
        <f>IF(真實IC!BX13&gt;真實IC!BX$26,1,0)</f>
        <v>1</v>
      </c>
      <c r="BY13" s="11">
        <f>IF(真實IC!BY13&gt;真實IC!BY$26,1,0)</f>
        <v>1</v>
      </c>
      <c r="BZ13" s="11">
        <f>IF(真實IC!BZ13&gt;真實IC!BZ$26,1,0)</f>
        <v>0</v>
      </c>
      <c r="CA13" s="11">
        <f>IF(真實IC!CA13&gt;真實IC!CA$26,1,0)</f>
        <v>1</v>
      </c>
      <c r="CB13" s="11">
        <f>IF(真實IC!CB13&gt;真實IC!CB$26,1,0)</f>
        <v>1</v>
      </c>
      <c r="CC13" s="11">
        <f>IF(真實IC!CC13&gt;真實IC!CC$26,1,0)</f>
        <v>1</v>
      </c>
      <c r="CD13" s="11">
        <f>IF(真實IC!CD13&gt;真實IC!CD$26,1,0)</f>
        <v>1</v>
      </c>
      <c r="CE13" s="11">
        <f>IF(真實IC!CE13&gt;真實IC!CE$26,1,0)</f>
        <v>1</v>
      </c>
      <c r="CF13" s="11">
        <f>IF(真實IC!CF13&gt;真實IC!CF$26,1,0)</f>
        <v>1</v>
      </c>
      <c r="CG13" s="11">
        <f>IF(真實IC!CG13&gt;真實IC!CG$26,1,0)</f>
        <v>0</v>
      </c>
      <c r="CH13" s="11">
        <f>IF(真實IC!CH13&gt;真實IC!CH$26,1,0)</f>
        <v>0</v>
      </c>
      <c r="CI13" s="11">
        <f>IF(真實IC!CI13&gt;真實IC!CI$26,1,0)</f>
        <v>1</v>
      </c>
      <c r="CJ13" s="11">
        <f>IF(真實IC!CJ13&gt;真實IC!CJ$26,1,0)</f>
        <v>1</v>
      </c>
      <c r="CK13" s="11">
        <f>IF(真實IC!CK13&gt;真實IC!CK$26,1,0)</f>
        <v>1</v>
      </c>
      <c r="CL13" s="11">
        <f>IF(真實IC!CL13&gt;真實IC!CL$26,1,0)</f>
        <v>1</v>
      </c>
      <c r="CM13" s="11">
        <f>IF(真實IC!CM13&gt;真實IC!CM$26,1,0)</f>
        <v>1</v>
      </c>
      <c r="CN13" s="11">
        <f>IF(真實IC!CN13&gt;真實IC!CN$26,1,0)</f>
        <v>1</v>
      </c>
      <c r="CO13" s="11">
        <f>IF(真實IC!CO13&gt;真實IC!CO$26,1,0)</f>
        <v>1</v>
      </c>
      <c r="CP13" s="11">
        <f>IF(真實IC!CP13&gt;真實IC!CP$26,1,0)</f>
        <v>1</v>
      </c>
      <c r="CQ13" s="11">
        <f>IF(真實IC!CQ13&gt;真實IC!CQ$26,1,0)</f>
        <v>1</v>
      </c>
      <c r="CR13" s="11">
        <f>IF(真實IC!CR13&gt;真實IC!CR$26,1,0)</f>
        <v>1</v>
      </c>
      <c r="CS13" s="11">
        <f>IF(真實IC!CS13&gt;真實IC!CS$26,1,0)</f>
        <v>0</v>
      </c>
      <c r="CT13" s="11">
        <f>IF(真實IC!CT13&gt;真實IC!CT$26,1,0)</f>
        <v>0</v>
      </c>
      <c r="CU13" s="11">
        <f>IF(真實IC!CU13&gt;真實IC!CU$26,1,0)</f>
        <v>1</v>
      </c>
      <c r="CV13" s="11">
        <f>IF(真實IC!CV13&gt;真實IC!CV$26,1,0)</f>
        <v>1</v>
      </c>
      <c r="CW13" s="11">
        <f>IF(真實IC!CW13&gt;真實IC!CW$26,1,0)</f>
        <v>1</v>
      </c>
      <c r="CX13" s="11">
        <f>IF(真實IC!CX13&gt;真實IC!CX$26,1,0)</f>
        <v>1</v>
      </c>
      <c r="CY13" s="11">
        <f>IF(真實IC!CY13&gt;真實IC!CY$26,1,0)</f>
        <v>1</v>
      </c>
      <c r="CZ13" s="11">
        <f>IF(真實IC!CZ13&gt;真實IC!CZ$26,1,0)</f>
        <v>1</v>
      </c>
      <c r="DA13" s="11">
        <f>IF(真實IC!DA13&gt;真實IC!DA$26,1,0)</f>
        <v>1</v>
      </c>
      <c r="DB13" s="11">
        <f>IF(真實IC!DB13&gt;真實IC!DB$26,1,0)</f>
        <v>1</v>
      </c>
      <c r="DC13" s="11">
        <f>IF(真實IC!DC13&gt;真實IC!DC$26,1,0)</f>
        <v>1</v>
      </c>
      <c r="DD13" s="11">
        <f>IF(真實IC!DD13&gt;真實IC!DD$26,1,0)</f>
        <v>1</v>
      </c>
      <c r="DE13" s="11">
        <f>IF(真實IC!DE13&gt;真實IC!DE$26,1,0)</f>
        <v>0</v>
      </c>
      <c r="DF13" s="11">
        <f>IF(真實IC!DF13&gt;真實IC!DF$26,1,0)</f>
        <v>1</v>
      </c>
      <c r="DG13" s="11">
        <f>IF(真實IC!DG13&gt;真實IC!DG$26,1,0)</f>
        <v>0</v>
      </c>
      <c r="DH13" s="11">
        <f>IF(真實IC!DH13&gt;真實IC!DH$26,1,0)</f>
        <v>1</v>
      </c>
      <c r="DI13" s="11">
        <f>IF(真實IC!DI13&gt;真實IC!DI$26,1,0)</f>
        <v>1</v>
      </c>
      <c r="DJ13" s="11">
        <f>IF(真實IC!DJ13&gt;真實IC!DJ$26,1,0)</f>
        <v>1</v>
      </c>
      <c r="DK13" s="11">
        <f>IF(真實IC!DK13&gt;真實IC!DK$26,1,0)</f>
        <v>0</v>
      </c>
      <c r="DL13" s="11">
        <f>IF(真實IC!DL13&gt;真實IC!DL$26,1,0)</f>
        <v>1</v>
      </c>
      <c r="DM13" s="11">
        <f>IF(真實IC!DM13&gt;真實IC!DM$26,1,0)</f>
        <v>0</v>
      </c>
      <c r="DN13" s="11">
        <f>IF(真實IC!DN13&gt;真實IC!DN$26,1,0)</f>
        <v>1</v>
      </c>
      <c r="DO13" s="11">
        <f>IF(真實IC!DO13&gt;真實IC!DO$26,1,0)</f>
        <v>1</v>
      </c>
      <c r="DP13" s="11">
        <f>IF(真實IC!DP13&gt;真實IC!DP$26,1,0)</f>
        <v>1</v>
      </c>
      <c r="DQ13" s="11">
        <f>IF(真實IC!DQ13&gt;真實IC!DQ$26,1,0)</f>
        <v>1</v>
      </c>
      <c r="DR13" s="11">
        <f>IF(真實IC!DR13&gt;真實IC!DR$26,1,0)</f>
        <v>0</v>
      </c>
      <c r="DS13" s="11">
        <f>IF(真實IC!DS13&gt;真實IC!DS$26,1,0)</f>
        <v>1</v>
      </c>
      <c r="DT13" s="11">
        <f>IF(真實IC!DT13&gt;真實IC!DT$26,1,0)</f>
        <v>0</v>
      </c>
      <c r="DU13" s="11">
        <f>IF(真實IC!DU13&gt;真實IC!DU$26,1,0)</f>
        <v>0</v>
      </c>
      <c r="DV13" s="11">
        <f>IF(真實IC!DV13&gt;真實IC!DV$26,1,0)</f>
        <v>1</v>
      </c>
      <c r="DW13" s="11">
        <f>IF(真實IC!DW13&gt;真實IC!DW$26,1,0)</f>
        <v>1</v>
      </c>
      <c r="DX13" s="11">
        <f>IF(真實IC!DX13&gt;真實IC!DX$26,1,0)</f>
        <v>0</v>
      </c>
      <c r="DY13" s="11">
        <f>IF(真實IC!DY13&gt;真實IC!DY$26,1,0)</f>
        <v>1</v>
      </c>
      <c r="DZ13" s="11">
        <f>IF(真實IC!DZ13&gt;真實IC!DZ$26,1,0)</f>
        <v>1</v>
      </c>
      <c r="EA13" s="11">
        <f>IF(真實IC!EA13&gt;真實IC!EA$26,1,0)</f>
        <v>1</v>
      </c>
      <c r="EB13" s="11">
        <f>IF(真實IC!EB13&gt;真實IC!EB$26,1,0)</f>
        <v>1</v>
      </c>
      <c r="EC13" s="11">
        <f>IF(真實IC!EC13&gt;真實IC!EC$26,1,0)</f>
        <v>1</v>
      </c>
      <c r="ED13" s="11">
        <f>IF(真實IC!ED13&gt;真實IC!ED$26,1,0)</f>
        <v>1</v>
      </c>
      <c r="EE13" s="11">
        <f>IF(真實IC!EE13&gt;真實IC!EE$26,1,0)</f>
        <v>1</v>
      </c>
      <c r="EF13" s="11">
        <f>IF(真實IC!EF13&gt;真實IC!EF$26,1,0)</f>
        <v>1</v>
      </c>
      <c r="EG13">
        <f t="shared" si="10"/>
        <v>105</v>
      </c>
      <c r="EH13" s="24">
        <f t="shared" si="11"/>
        <v>0.77611940298507465</v>
      </c>
    </row>
    <row r="14" spans="1:138" x14ac:dyDescent="0.3">
      <c r="A14" s="1">
        <v>50</v>
      </c>
      <c r="B14" s="1">
        <v>19</v>
      </c>
      <c r="C14" s="11">
        <f>IF(真實IC!C14&gt;真實IC!C$26,1,0)</f>
        <v>1</v>
      </c>
      <c r="D14" s="11">
        <f>IF(真實IC!D14&gt;真實IC!D$26,1,0)</f>
        <v>1</v>
      </c>
      <c r="E14" s="11">
        <f>IF(真實IC!E14&gt;真實IC!E$26,1,0)</f>
        <v>1</v>
      </c>
      <c r="F14" s="11">
        <f>IF(真實IC!F14&gt;真實IC!F$26,1,0)</f>
        <v>1</v>
      </c>
      <c r="G14" s="11">
        <f>IF(真實IC!G14&gt;真實IC!G$26,1,0)</f>
        <v>1</v>
      </c>
      <c r="H14" s="11">
        <f>IF(真實IC!H14&gt;真實IC!H$26,1,0)</f>
        <v>1</v>
      </c>
      <c r="I14" s="11">
        <f>IF(真實IC!I14&gt;真實IC!I$26,1,0)</f>
        <v>1</v>
      </c>
      <c r="J14" s="11">
        <f>IF(真實IC!J14&gt;真實IC!J$26,1,0)</f>
        <v>1</v>
      </c>
      <c r="K14" s="11">
        <f>IF(真實IC!K14&gt;真實IC!K$26,1,0)</f>
        <v>1</v>
      </c>
      <c r="L14" s="11">
        <f>IF(真實IC!L14&gt;真實IC!L$26,1,0)</f>
        <v>1</v>
      </c>
      <c r="M14" s="11">
        <f>IF(真實IC!M14&gt;真實IC!M$26,1,0)</f>
        <v>0</v>
      </c>
      <c r="N14" s="11">
        <f>IF(真實IC!N14&gt;真實IC!N$26,1,0)</f>
        <v>1</v>
      </c>
      <c r="O14" s="11">
        <f>IF(真實IC!O14&gt;真實IC!O$26,1,0)</f>
        <v>0</v>
      </c>
      <c r="P14" s="11">
        <f>IF(真實IC!P14&gt;真實IC!P$26,1,0)</f>
        <v>1</v>
      </c>
      <c r="Q14" s="11">
        <f>IF(真實IC!Q14&gt;真實IC!Q$26,1,0)</f>
        <v>1</v>
      </c>
      <c r="R14" s="11">
        <f>IF(真實IC!R14&gt;真實IC!R$26,1,0)</f>
        <v>0</v>
      </c>
      <c r="S14" s="11">
        <f>IF(真實IC!S14&gt;真實IC!S$26,1,0)</f>
        <v>1</v>
      </c>
      <c r="T14" s="11">
        <f>IF(真實IC!T14&gt;真實IC!T$26,1,0)</f>
        <v>1</v>
      </c>
      <c r="U14" s="11">
        <f>IF(真實IC!U14&gt;真實IC!U$26,1,0)</f>
        <v>1</v>
      </c>
      <c r="V14" s="11">
        <f>IF(真實IC!V14&gt;真實IC!V$26,1,0)</f>
        <v>1</v>
      </c>
      <c r="W14" s="11">
        <f>IF(真實IC!W14&gt;真實IC!W$26,1,0)</f>
        <v>1</v>
      </c>
      <c r="X14" s="11">
        <f>IF(真實IC!X14&gt;真實IC!X$26,1,0)</f>
        <v>1</v>
      </c>
      <c r="Y14" s="11">
        <f>IF(真實IC!Y14&gt;真實IC!Y$26,1,0)</f>
        <v>1</v>
      </c>
      <c r="Z14" s="11">
        <f>IF(真實IC!Z14&gt;真實IC!Z$26,1,0)</f>
        <v>1</v>
      </c>
      <c r="AA14" s="11">
        <f>IF(真實IC!AA14&gt;真實IC!AA$26,1,0)</f>
        <v>1</v>
      </c>
      <c r="AB14" s="11">
        <f>IF(真實IC!AB14&gt;真實IC!AB$26,1,0)</f>
        <v>1</v>
      </c>
      <c r="AC14" s="11">
        <f>IF(真實IC!AC14&gt;真實IC!AC$26,1,0)</f>
        <v>0</v>
      </c>
      <c r="AD14" s="11">
        <f>IF(真實IC!AD14&gt;真實IC!AD$26,1,0)</f>
        <v>1</v>
      </c>
      <c r="AE14" s="11">
        <f>IF(真實IC!AE14&gt;真實IC!AE$26,1,0)</f>
        <v>1</v>
      </c>
      <c r="AF14" s="11">
        <f>IF(真實IC!AF14&gt;真實IC!AF$26,1,0)</f>
        <v>1</v>
      </c>
      <c r="AG14" s="11">
        <f>IF(真實IC!AG14&gt;真實IC!AG$26,1,0)</f>
        <v>0</v>
      </c>
      <c r="AH14" s="11">
        <f>IF(真實IC!AH14&gt;真實IC!AH$26,1,0)</f>
        <v>0</v>
      </c>
      <c r="AI14" s="11">
        <f>IF(真實IC!AI14&gt;真實IC!AI$26,1,0)</f>
        <v>1</v>
      </c>
      <c r="AJ14" s="11">
        <f>IF(真實IC!AJ14&gt;真實IC!AJ$26,1,0)</f>
        <v>1</v>
      </c>
      <c r="AK14" s="11">
        <f>IF(真實IC!AK14&gt;真實IC!AK$26,1,0)</f>
        <v>1</v>
      </c>
      <c r="AL14" s="11">
        <f>IF(真實IC!AL14&gt;真實IC!AL$26,1,0)</f>
        <v>1</v>
      </c>
      <c r="AM14" s="11">
        <f>IF(真實IC!AM14&gt;真實IC!AM$26,1,0)</f>
        <v>1</v>
      </c>
      <c r="AN14" s="11">
        <f>IF(真實IC!AN14&gt;真實IC!AN$26,1,0)</f>
        <v>1</v>
      </c>
      <c r="AO14" s="11">
        <f>IF(真實IC!AO14&gt;真實IC!AO$26,1,0)</f>
        <v>0</v>
      </c>
      <c r="AP14" s="11">
        <f>IF(真實IC!AP14&gt;真實IC!AP$26,1,0)</f>
        <v>1</v>
      </c>
      <c r="AQ14" s="11">
        <f>IF(真實IC!AQ14&gt;真實IC!AQ$26,1,0)</f>
        <v>0</v>
      </c>
      <c r="AR14" s="11">
        <f>IF(真實IC!AR14&gt;真實IC!AR$26,1,0)</f>
        <v>0</v>
      </c>
      <c r="AS14" s="11">
        <f>IF(真實IC!AS14&gt;真實IC!AS$26,1,0)</f>
        <v>0</v>
      </c>
      <c r="AT14" s="11">
        <f>IF(真實IC!AT14&gt;真實IC!AT$26,1,0)</f>
        <v>1</v>
      </c>
      <c r="AU14" s="11">
        <f>IF(真實IC!AU14&gt;真實IC!AU$26,1,0)</f>
        <v>1</v>
      </c>
      <c r="AV14" s="11">
        <f>IF(真實IC!AV14&gt;真實IC!AV$26,1,0)</f>
        <v>1</v>
      </c>
      <c r="AW14" s="11">
        <f>IF(真實IC!AW14&gt;真實IC!AW$26,1,0)</f>
        <v>1</v>
      </c>
      <c r="AX14" s="11">
        <f>IF(真實IC!AX14&gt;真實IC!AX$26,1,0)</f>
        <v>1</v>
      </c>
      <c r="AY14" s="11">
        <f>IF(真實IC!AY14&gt;真實IC!AY$26,1,0)</f>
        <v>0</v>
      </c>
      <c r="AZ14" s="11">
        <f>IF(真實IC!AZ14&gt;真實IC!AZ$26,1,0)</f>
        <v>1</v>
      </c>
      <c r="BA14" s="11">
        <f>IF(真實IC!BA14&gt;真實IC!BA$26,1,0)</f>
        <v>1</v>
      </c>
      <c r="BB14" s="11">
        <f>IF(真實IC!BB14&gt;真實IC!BB$26,1,0)</f>
        <v>1</v>
      </c>
      <c r="BC14" s="11">
        <f>IF(真實IC!BC14&gt;真實IC!BC$26,1,0)</f>
        <v>0</v>
      </c>
      <c r="BD14" s="11">
        <f>IF(真實IC!BD14&gt;真實IC!BD$26,1,0)</f>
        <v>1</v>
      </c>
      <c r="BE14" s="11">
        <f>IF(真實IC!BE14&gt;真實IC!BE$26,1,0)</f>
        <v>1</v>
      </c>
      <c r="BF14" s="11">
        <f>IF(真實IC!BF14&gt;真實IC!BF$26,1,0)</f>
        <v>1</v>
      </c>
      <c r="BG14" s="11">
        <f>IF(真實IC!BG14&gt;真實IC!BG$26,1,0)</f>
        <v>1</v>
      </c>
      <c r="BH14" s="11">
        <f>IF(真實IC!BH14&gt;真實IC!BH$26,1,0)</f>
        <v>1</v>
      </c>
      <c r="BI14" s="11">
        <f>IF(真實IC!BI14&gt;真實IC!BI$26,1,0)</f>
        <v>1</v>
      </c>
      <c r="BJ14" s="11">
        <f>IF(真實IC!BJ14&gt;真實IC!BJ$26,1,0)</f>
        <v>1</v>
      </c>
      <c r="BK14" s="11">
        <f>IF(真實IC!BK14&gt;真實IC!BK$26,1,0)</f>
        <v>0</v>
      </c>
      <c r="BL14" s="11">
        <f>IF(真實IC!BL14&gt;真實IC!BL$26,1,0)</f>
        <v>1</v>
      </c>
      <c r="BM14" s="11">
        <f>IF(真實IC!BM14&gt;真實IC!BM$26,1,0)</f>
        <v>1</v>
      </c>
      <c r="BN14" s="11">
        <f>IF(真實IC!BN14&gt;真實IC!BN$26,1,0)</f>
        <v>0</v>
      </c>
      <c r="BO14" s="11">
        <f>IF(真實IC!BO14&gt;真實IC!BO$26,1,0)</f>
        <v>1</v>
      </c>
      <c r="BP14" s="11">
        <f>IF(真實IC!BP14&gt;真實IC!BP$26,1,0)</f>
        <v>0</v>
      </c>
      <c r="BQ14" s="11">
        <f>IF(真實IC!BQ14&gt;真實IC!BQ$26,1,0)</f>
        <v>1</v>
      </c>
      <c r="BR14" s="11">
        <f>IF(真實IC!BR14&gt;真實IC!BR$26,1,0)</f>
        <v>1</v>
      </c>
      <c r="BS14" s="11">
        <f>IF(真實IC!BS14&gt;真實IC!BS$26,1,0)</f>
        <v>1</v>
      </c>
      <c r="BT14" s="11">
        <f>IF(真實IC!BT14&gt;真實IC!BT$26,1,0)</f>
        <v>0</v>
      </c>
      <c r="BU14" s="11">
        <f>IF(真實IC!BU14&gt;真實IC!BU$26,1,0)</f>
        <v>1</v>
      </c>
      <c r="BV14" s="11">
        <f>IF(真實IC!BV14&gt;真實IC!BV$26,1,0)</f>
        <v>1</v>
      </c>
      <c r="BW14" s="11">
        <f>IF(真實IC!BW14&gt;真實IC!BW$26,1,0)</f>
        <v>1</v>
      </c>
      <c r="BX14" s="11">
        <f>IF(真實IC!BX14&gt;真實IC!BX$26,1,0)</f>
        <v>1</v>
      </c>
      <c r="BY14" s="11">
        <f>IF(真實IC!BY14&gt;真實IC!BY$26,1,0)</f>
        <v>1</v>
      </c>
      <c r="BZ14" s="11">
        <f>IF(真實IC!BZ14&gt;真實IC!BZ$26,1,0)</f>
        <v>0</v>
      </c>
      <c r="CA14" s="11">
        <f>IF(真實IC!CA14&gt;真實IC!CA$26,1,0)</f>
        <v>1</v>
      </c>
      <c r="CB14" s="11">
        <f>IF(真實IC!CB14&gt;真實IC!CB$26,1,0)</f>
        <v>1</v>
      </c>
      <c r="CC14" s="11">
        <f>IF(真實IC!CC14&gt;真實IC!CC$26,1,0)</f>
        <v>1</v>
      </c>
      <c r="CD14" s="11">
        <f>IF(真實IC!CD14&gt;真實IC!CD$26,1,0)</f>
        <v>1</v>
      </c>
      <c r="CE14" s="11">
        <f>IF(真實IC!CE14&gt;真實IC!CE$26,1,0)</f>
        <v>1</v>
      </c>
      <c r="CF14" s="11">
        <f>IF(真實IC!CF14&gt;真實IC!CF$26,1,0)</f>
        <v>1</v>
      </c>
      <c r="CG14" s="11">
        <f>IF(真實IC!CG14&gt;真實IC!CG$26,1,0)</f>
        <v>0</v>
      </c>
      <c r="CH14" s="11">
        <f>IF(真實IC!CH14&gt;真實IC!CH$26,1,0)</f>
        <v>0</v>
      </c>
      <c r="CI14" s="11">
        <f>IF(真實IC!CI14&gt;真實IC!CI$26,1,0)</f>
        <v>1</v>
      </c>
      <c r="CJ14" s="11">
        <f>IF(真實IC!CJ14&gt;真實IC!CJ$26,1,0)</f>
        <v>0</v>
      </c>
      <c r="CK14" s="11">
        <f>IF(真實IC!CK14&gt;真實IC!CK$26,1,0)</f>
        <v>1</v>
      </c>
      <c r="CL14" s="11">
        <f>IF(真實IC!CL14&gt;真實IC!CL$26,1,0)</f>
        <v>0</v>
      </c>
      <c r="CM14" s="11">
        <f>IF(真實IC!CM14&gt;真實IC!CM$26,1,0)</f>
        <v>1</v>
      </c>
      <c r="CN14" s="11">
        <f>IF(真實IC!CN14&gt;真實IC!CN$26,1,0)</f>
        <v>1</v>
      </c>
      <c r="CO14" s="11">
        <f>IF(真實IC!CO14&gt;真實IC!CO$26,1,0)</f>
        <v>1</v>
      </c>
      <c r="CP14" s="11">
        <f>IF(真實IC!CP14&gt;真實IC!CP$26,1,0)</f>
        <v>1</v>
      </c>
      <c r="CQ14" s="11">
        <f>IF(真實IC!CQ14&gt;真實IC!CQ$26,1,0)</f>
        <v>1</v>
      </c>
      <c r="CR14" s="11">
        <f>IF(真實IC!CR14&gt;真實IC!CR$26,1,0)</f>
        <v>1</v>
      </c>
      <c r="CS14" s="11">
        <f>IF(真實IC!CS14&gt;真實IC!CS$26,1,0)</f>
        <v>0</v>
      </c>
      <c r="CT14" s="11">
        <f>IF(真實IC!CT14&gt;真實IC!CT$26,1,0)</f>
        <v>1</v>
      </c>
      <c r="CU14" s="11">
        <f>IF(真實IC!CU14&gt;真實IC!CU$26,1,0)</f>
        <v>1</v>
      </c>
      <c r="CV14" s="11">
        <f>IF(真實IC!CV14&gt;真實IC!CV$26,1,0)</f>
        <v>1</v>
      </c>
      <c r="CW14" s="11">
        <f>IF(真實IC!CW14&gt;真實IC!CW$26,1,0)</f>
        <v>1</v>
      </c>
      <c r="CX14" s="11">
        <f>IF(真實IC!CX14&gt;真實IC!CX$26,1,0)</f>
        <v>1</v>
      </c>
      <c r="CY14" s="11">
        <f>IF(真實IC!CY14&gt;真實IC!CY$26,1,0)</f>
        <v>1</v>
      </c>
      <c r="CZ14" s="11">
        <f>IF(真實IC!CZ14&gt;真實IC!CZ$26,1,0)</f>
        <v>1</v>
      </c>
      <c r="DA14" s="11">
        <f>IF(真實IC!DA14&gt;真實IC!DA$26,1,0)</f>
        <v>1</v>
      </c>
      <c r="DB14" s="11">
        <f>IF(真實IC!DB14&gt;真實IC!DB$26,1,0)</f>
        <v>1</v>
      </c>
      <c r="DC14" s="11">
        <f>IF(真實IC!DC14&gt;真實IC!DC$26,1,0)</f>
        <v>1</v>
      </c>
      <c r="DD14" s="11">
        <f>IF(真實IC!DD14&gt;真實IC!DD$26,1,0)</f>
        <v>1</v>
      </c>
      <c r="DE14" s="11">
        <f>IF(真實IC!DE14&gt;真實IC!DE$26,1,0)</f>
        <v>0</v>
      </c>
      <c r="DF14" s="11">
        <f>IF(真實IC!DF14&gt;真實IC!DF$26,1,0)</f>
        <v>1</v>
      </c>
      <c r="DG14" s="11">
        <f>IF(真實IC!DG14&gt;真實IC!DG$26,1,0)</f>
        <v>0</v>
      </c>
      <c r="DH14" s="11">
        <f>IF(真實IC!DH14&gt;真實IC!DH$26,1,0)</f>
        <v>1</v>
      </c>
      <c r="DI14" s="11">
        <f>IF(真實IC!DI14&gt;真實IC!DI$26,1,0)</f>
        <v>1</v>
      </c>
      <c r="DJ14" s="11">
        <f>IF(真實IC!DJ14&gt;真實IC!DJ$26,1,0)</f>
        <v>1</v>
      </c>
      <c r="DK14" s="11">
        <f>IF(真實IC!DK14&gt;真實IC!DK$26,1,0)</f>
        <v>1</v>
      </c>
      <c r="DL14" s="11">
        <f>IF(真實IC!DL14&gt;真實IC!DL$26,1,0)</f>
        <v>1</v>
      </c>
      <c r="DM14" s="11">
        <f>IF(真實IC!DM14&gt;真實IC!DM$26,1,0)</f>
        <v>0</v>
      </c>
      <c r="DN14" s="11">
        <f>IF(真實IC!DN14&gt;真實IC!DN$26,1,0)</f>
        <v>1</v>
      </c>
      <c r="DO14" s="11">
        <f>IF(真實IC!DO14&gt;真實IC!DO$26,1,0)</f>
        <v>1</v>
      </c>
      <c r="DP14" s="11">
        <f>IF(真實IC!DP14&gt;真實IC!DP$26,1,0)</f>
        <v>1</v>
      </c>
      <c r="DQ14" s="11">
        <f>IF(真實IC!DQ14&gt;真實IC!DQ$26,1,0)</f>
        <v>0</v>
      </c>
      <c r="DR14" s="11">
        <f>IF(真實IC!DR14&gt;真實IC!DR$26,1,0)</f>
        <v>1</v>
      </c>
      <c r="DS14" s="11">
        <f>IF(真實IC!DS14&gt;真實IC!DS$26,1,0)</f>
        <v>1</v>
      </c>
      <c r="DT14" s="11">
        <f>IF(真實IC!DT14&gt;真實IC!DT$26,1,0)</f>
        <v>0</v>
      </c>
      <c r="DU14" s="11">
        <f>IF(真實IC!DU14&gt;真實IC!DU$26,1,0)</f>
        <v>1</v>
      </c>
      <c r="DV14" s="11">
        <f>IF(真實IC!DV14&gt;真實IC!DV$26,1,0)</f>
        <v>1</v>
      </c>
      <c r="DW14" s="11">
        <f>IF(真實IC!DW14&gt;真實IC!DW$26,1,0)</f>
        <v>0</v>
      </c>
      <c r="DX14" s="11">
        <f>IF(真實IC!DX14&gt;真實IC!DX$26,1,0)</f>
        <v>1</v>
      </c>
      <c r="DY14" s="11">
        <f>IF(真實IC!DY14&gt;真實IC!DY$26,1,0)</f>
        <v>1</v>
      </c>
      <c r="DZ14" s="11">
        <f>IF(真實IC!DZ14&gt;真實IC!DZ$26,1,0)</f>
        <v>1</v>
      </c>
      <c r="EA14" s="11">
        <f>IF(真實IC!EA14&gt;真實IC!EA$26,1,0)</f>
        <v>1</v>
      </c>
      <c r="EB14" s="11">
        <f>IF(真實IC!EB14&gt;真實IC!EB$26,1,0)</f>
        <v>1</v>
      </c>
      <c r="EC14" s="11">
        <f>IF(真實IC!EC14&gt;真實IC!EC$26,1,0)</f>
        <v>1</v>
      </c>
      <c r="ED14" s="11">
        <f>IF(真實IC!ED14&gt;真實IC!ED$26,1,0)</f>
        <v>1</v>
      </c>
      <c r="EE14" s="11">
        <f>IF(真實IC!EE14&gt;真實IC!EE$26,1,0)</f>
        <v>0</v>
      </c>
      <c r="EF14" s="11">
        <f>IF(真實IC!EF14&gt;真實IC!EF$26,1,0)</f>
        <v>1</v>
      </c>
      <c r="EG14">
        <f t="shared" si="10"/>
        <v>105</v>
      </c>
      <c r="EH14" s="24">
        <f t="shared" si="11"/>
        <v>0.77611940298507465</v>
      </c>
    </row>
    <row r="15" spans="1:138" x14ac:dyDescent="0.3">
      <c r="A15" s="1">
        <v>100</v>
      </c>
      <c r="B15" s="1">
        <v>10</v>
      </c>
      <c r="C15" s="11">
        <f>IF(真實IC!C15&gt;真實IC!C$26,1,0)</f>
        <v>1</v>
      </c>
      <c r="D15" s="11">
        <f>IF(真實IC!D15&gt;真實IC!D$26,1,0)</f>
        <v>1</v>
      </c>
      <c r="E15" s="11">
        <f>IF(真實IC!E15&gt;真實IC!E$26,1,0)</f>
        <v>1</v>
      </c>
      <c r="F15" s="11">
        <f>IF(真實IC!F15&gt;真實IC!F$26,1,0)</f>
        <v>0</v>
      </c>
      <c r="G15" s="11">
        <f>IF(真實IC!G15&gt;真實IC!G$26,1,0)</f>
        <v>1</v>
      </c>
      <c r="H15" s="11">
        <f>IF(真實IC!H15&gt;真實IC!H$26,1,0)</f>
        <v>1</v>
      </c>
      <c r="I15" s="11">
        <f>IF(真實IC!I15&gt;真實IC!I$26,1,0)</f>
        <v>1</v>
      </c>
      <c r="J15" s="11">
        <f>IF(真實IC!J15&gt;真實IC!J$26,1,0)</f>
        <v>1</v>
      </c>
      <c r="K15" s="11">
        <f>IF(真實IC!K15&gt;真實IC!K$26,1,0)</f>
        <v>1</v>
      </c>
      <c r="L15" s="11">
        <f>IF(真實IC!L15&gt;真實IC!L$26,1,0)</f>
        <v>0</v>
      </c>
      <c r="M15" s="11">
        <f>IF(真實IC!M15&gt;真實IC!M$26,1,0)</f>
        <v>0</v>
      </c>
      <c r="N15" s="11">
        <f>IF(真實IC!N15&gt;真實IC!N$26,1,0)</f>
        <v>1</v>
      </c>
      <c r="O15" s="11">
        <f>IF(真實IC!O15&gt;真實IC!O$26,1,0)</f>
        <v>0</v>
      </c>
      <c r="P15" s="11">
        <f>IF(真實IC!P15&gt;真實IC!P$26,1,0)</f>
        <v>1</v>
      </c>
      <c r="Q15" s="11">
        <f>IF(真實IC!Q15&gt;真實IC!Q$26,1,0)</f>
        <v>1</v>
      </c>
      <c r="R15" s="11">
        <f>IF(真實IC!R15&gt;真實IC!R$26,1,0)</f>
        <v>0</v>
      </c>
      <c r="S15" s="11">
        <f>IF(真實IC!S15&gt;真實IC!S$26,1,0)</f>
        <v>1</v>
      </c>
      <c r="T15" s="11">
        <f>IF(真實IC!T15&gt;真實IC!T$26,1,0)</f>
        <v>1</v>
      </c>
      <c r="U15" s="11">
        <f>IF(真實IC!U15&gt;真實IC!U$26,1,0)</f>
        <v>1</v>
      </c>
      <c r="V15" s="11">
        <f>IF(真實IC!V15&gt;真實IC!V$26,1,0)</f>
        <v>1</v>
      </c>
      <c r="W15" s="11">
        <f>IF(真實IC!W15&gt;真實IC!W$26,1,0)</f>
        <v>1</v>
      </c>
      <c r="X15" s="11">
        <f>IF(真實IC!X15&gt;真實IC!X$26,1,0)</f>
        <v>1</v>
      </c>
      <c r="Y15" s="11">
        <f>IF(真實IC!Y15&gt;真實IC!Y$26,1,0)</f>
        <v>1</v>
      </c>
      <c r="Z15" s="11">
        <f>IF(真實IC!Z15&gt;真實IC!Z$26,1,0)</f>
        <v>1</v>
      </c>
      <c r="AA15" s="11">
        <f>IF(真實IC!AA15&gt;真實IC!AA$26,1,0)</f>
        <v>1</v>
      </c>
      <c r="AB15" s="11">
        <f>IF(真實IC!AB15&gt;真實IC!AB$26,1,0)</f>
        <v>1</v>
      </c>
      <c r="AC15" s="11">
        <f>IF(真實IC!AC15&gt;真實IC!AC$26,1,0)</f>
        <v>0</v>
      </c>
      <c r="AD15" s="11">
        <f>IF(真實IC!AD15&gt;真實IC!AD$26,1,0)</f>
        <v>1</v>
      </c>
      <c r="AE15" s="11">
        <f>IF(真實IC!AE15&gt;真實IC!AE$26,1,0)</f>
        <v>1</v>
      </c>
      <c r="AF15" s="11">
        <f>IF(真實IC!AF15&gt;真實IC!AF$26,1,0)</f>
        <v>1</v>
      </c>
      <c r="AG15" s="11">
        <f>IF(真實IC!AG15&gt;真實IC!AG$26,1,0)</f>
        <v>0</v>
      </c>
      <c r="AH15" s="11">
        <f>IF(真實IC!AH15&gt;真實IC!AH$26,1,0)</f>
        <v>0</v>
      </c>
      <c r="AI15" s="11">
        <f>IF(真實IC!AI15&gt;真實IC!AI$26,1,0)</f>
        <v>1</v>
      </c>
      <c r="AJ15" s="11">
        <f>IF(真實IC!AJ15&gt;真實IC!AJ$26,1,0)</f>
        <v>0</v>
      </c>
      <c r="AK15" s="11">
        <f>IF(真實IC!AK15&gt;真實IC!AK$26,1,0)</f>
        <v>1</v>
      </c>
      <c r="AL15" s="11">
        <f>IF(真實IC!AL15&gt;真實IC!AL$26,1,0)</f>
        <v>0</v>
      </c>
      <c r="AM15" s="11">
        <f>IF(真實IC!AM15&gt;真實IC!AM$26,1,0)</f>
        <v>1</v>
      </c>
      <c r="AN15" s="11">
        <f>IF(真實IC!AN15&gt;真實IC!AN$26,1,0)</f>
        <v>1</v>
      </c>
      <c r="AO15" s="11">
        <f>IF(真實IC!AO15&gt;真實IC!AO$26,1,0)</f>
        <v>0</v>
      </c>
      <c r="AP15" s="11">
        <f>IF(真實IC!AP15&gt;真實IC!AP$26,1,0)</f>
        <v>1</v>
      </c>
      <c r="AQ15" s="11">
        <f>IF(真實IC!AQ15&gt;真實IC!AQ$26,1,0)</f>
        <v>1</v>
      </c>
      <c r="AR15" s="11">
        <f>IF(真實IC!AR15&gt;真實IC!AR$26,1,0)</f>
        <v>0</v>
      </c>
      <c r="AS15" s="11">
        <f>IF(真實IC!AS15&gt;真實IC!AS$26,1,0)</f>
        <v>0</v>
      </c>
      <c r="AT15" s="11">
        <f>IF(真實IC!AT15&gt;真實IC!AT$26,1,0)</f>
        <v>1</v>
      </c>
      <c r="AU15" s="11">
        <f>IF(真實IC!AU15&gt;真實IC!AU$26,1,0)</f>
        <v>1</v>
      </c>
      <c r="AV15" s="11">
        <f>IF(真實IC!AV15&gt;真實IC!AV$26,1,0)</f>
        <v>0</v>
      </c>
      <c r="AW15" s="11">
        <f>IF(真實IC!AW15&gt;真實IC!AW$26,1,0)</f>
        <v>1</v>
      </c>
      <c r="AX15" s="11">
        <f>IF(真實IC!AX15&gt;真實IC!AX$26,1,0)</f>
        <v>1</v>
      </c>
      <c r="AY15" s="11">
        <f>IF(真實IC!AY15&gt;真實IC!AY$26,1,0)</f>
        <v>0</v>
      </c>
      <c r="AZ15" s="11">
        <f>IF(真實IC!AZ15&gt;真實IC!AZ$26,1,0)</f>
        <v>1</v>
      </c>
      <c r="BA15" s="11">
        <f>IF(真實IC!BA15&gt;真實IC!BA$26,1,0)</f>
        <v>1</v>
      </c>
      <c r="BB15" s="11">
        <f>IF(真實IC!BB15&gt;真實IC!BB$26,1,0)</f>
        <v>1</v>
      </c>
      <c r="BC15" s="11">
        <f>IF(真實IC!BC15&gt;真實IC!BC$26,1,0)</f>
        <v>0</v>
      </c>
      <c r="BD15" s="11">
        <f>IF(真實IC!BD15&gt;真實IC!BD$26,1,0)</f>
        <v>1</v>
      </c>
      <c r="BE15" s="11">
        <f>IF(真實IC!BE15&gt;真實IC!BE$26,1,0)</f>
        <v>1</v>
      </c>
      <c r="BF15" s="11">
        <f>IF(真實IC!BF15&gt;真實IC!BF$26,1,0)</f>
        <v>1</v>
      </c>
      <c r="BG15" s="11">
        <f>IF(真實IC!BG15&gt;真實IC!BG$26,1,0)</f>
        <v>1</v>
      </c>
      <c r="BH15" s="11">
        <f>IF(真實IC!BH15&gt;真實IC!BH$26,1,0)</f>
        <v>1</v>
      </c>
      <c r="BI15" s="11">
        <f>IF(真實IC!BI15&gt;真實IC!BI$26,1,0)</f>
        <v>1</v>
      </c>
      <c r="BJ15" s="11">
        <f>IF(真實IC!BJ15&gt;真實IC!BJ$26,1,0)</f>
        <v>1</v>
      </c>
      <c r="BK15" s="11">
        <f>IF(真實IC!BK15&gt;真實IC!BK$26,1,0)</f>
        <v>0</v>
      </c>
      <c r="BL15" s="11">
        <f>IF(真實IC!BL15&gt;真實IC!BL$26,1,0)</f>
        <v>1</v>
      </c>
      <c r="BM15" s="11">
        <f>IF(真實IC!BM15&gt;真實IC!BM$26,1,0)</f>
        <v>1</v>
      </c>
      <c r="BN15" s="11">
        <f>IF(真實IC!BN15&gt;真實IC!BN$26,1,0)</f>
        <v>0</v>
      </c>
      <c r="BO15" s="11">
        <f>IF(真實IC!BO15&gt;真實IC!BO$26,1,0)</f>
        <v>1</v>
      </c>
      <c r="BP15" s="11">
        <f>IF(真實IC!BP15&gt;真實IC!BP$26,1,0)</f>
        <v>0</v>
      </c>
      <c r="BQ15" s="11">
        <f>IF(真實IC!BQ15&gt;真實IC!BQ$26,1,0)</f>
        <v>1</v>
      </c>
      <c r="BR15" s="11">
        <f>IF(真實IC!BR15&gt;真實IC!BR$26,1,0)</f>
        <v>1</v>
      </c>
      <c r="BS15" s="11">
        <f>IF(真實IC!BS15&gt;真實IC!BS$26,1,0)</f>
        <v>0</v>
      </c>
      <c r="BT15" s="11">
        <f>IF(真實IC!BT15&gt;真實IC!BT$26,1,0)</f>
        <v>0</v>
      </c>
      <c r="BU15" s="11">
        <f>IF(真實IC!BU15&gt;真實IC!BU$26,1,0)</f>
        <v>1</v>
      </c>
      <c r="BV15" s="11">
        <f>IF(真實IC!BV15&gt;真實IC!BV$26,1,0)</f>
        <v>1</v>
      </c>
      <c r="BW15" s="11">
        <f>IF(真實IC!BW15&gt;真實IC!BW$26,1,0)</f>
        <v>1</v>
      </c>
      <c r="BX15" s="11">
        <f>IF(真實IC!BX15&gt;真實IC!BX$26,1,0)</f>
        <v>1</v>
      </c>
      <c r="BY15" s="11">
        <f>IF(真實IC!BY15&gt;真實IC!BY$26,1,0)</f>
        <v>1</v>
      </c>
      <c r="BZ15" s="11">
        <f>IF(真實IC!BZ15&gt;真實IC!BZ$26,1,0)</f>
        <v>0</v>
      </c>
      <c r="CA15" s="11">
        <f>IF(真實IC!CA15&gt;真實IC!CA$26,1,0)</f>
        <v>1</v>
      </c>
      <c r="CB15" s="11">
        <f>IF(真實IC!CB15&gt;真實IC!CB$26,1,0)</f>
        <v>1</v>
      </c>
      <c r="CC15" s="11">
        <f>IF(真實IC!CC15&gt;真實IC!CC$26,1,0)</f>
        <v>1</v>
      </c>
      <c r="CD15" s="11">
        <f>IF(真實IC!CD15&gt;真實IC!CD$26,1,0)</f>
        <v>1</v>
      </c>
      <c r="CE15" s="11">
        <f>IF(真實IC!CE15&gt;真實IC!CE$26,1,0)</f>
        <v>1</v>
      </c>
      <c r="CF15" s="11">
        <f>IF(真實IC!CF15&gt;真實IC!CF$26,1,0)</f>
        <v>1</v>
      </c>
      <c r="CG15" s="11">
        <f>IF(真實IC!CG15&gt;真實IC!CG$26,1,0)</f>
        <v>0</v>
      </c>
      <c r="CH15" s="11">
        <f>IF(真實IC!CH15&gt;真實IC!CH$26,1,0)</f>
        <v>0</v>
      </c>
      <c r="CI15" s="11">
        <f>IF(真實IC!CI15&gt;真實IC!CI$26,1,0)</f>
        <v>1</v>
      </c>
      <c r="CJ15" s="11">
        <f>IF(真實IC!CJ15&gt;真實IC!CJ$26,1,0)</f>
        <v>0</v>
      </c>
      <c r="CK15" s="11">
        <f>IF(真實IC!CK15&gt;真實IC!CK$26,1,0)</f>
        <v>1</v>
      </c>
      <c r="CL15" s="11">
        <f>IF(真實IC!CL15&gt;真實IC!CL$26,1,0)</f>
        <v>0</v>
      </c>
      <c r="CM15" s="11">
        <f>IF(真實IC!CM15&gt;真實IC!CM$26,1,0)</f>
        <v>1</v>
      </c>
      <c r="CN15" s="11">
        <f>IF(真實IC!CN15&gt;真實IC!CN$26,1,0)</f>
        <v>1</v>
      </c>
      <c r="CO15" s="11">
        <f>IF(真實IC!CO15&gt;真實IC!CO$26,1,0)</f>
        <v>1</v>
      </c>
      <c r="CP15" s="11">
        <f>IF(真實IC!CP15&gt;真實IC!CP$26,1,0)</f>
        <v>1</v>
      </c>
      <c r="CQ15" s="11">
        <f>IF(真實IC!CQ15&gt;真實IC!CQ$26,1,0)</f>
        <v>1</v>
      </c>
      <c r="CR15" s="11">
        <f>IF(真實IC!CR15&gt;真實IC!CR$26,1,0)</f>
        <v>1</v>
      </c>
      <c r="CS15" s="11">
        <f>IF(真實IC!CS15&gt;真實IC!CS$26,1,0)</f>
        <v>0</v>
      </c>
      <c r="CT15" s="11">
        <f>IF(真實IC!CT15&gt;真實IC!CT$26,1,0)</f>
        <v>0</v>
      </c>
      <c r="CU15" s="11">
        <f>IF(真實IC!CU15&gt;真實IC!CU$26,1,0)</f>
        <v>1</v>
      </c>
      <c r="CV15" s="11">
        <f>IF(真實IC!CV15&gt;真實IC!CV$26,1,0)</f>
        <v>1</v>
      </c>
      <c r="CW15" s="11">
        <f>IF(真實IC!CW15&gt;真實IC!CW$26,1,0)</f>
        <v>1</v>
      </c>
      <c r="CX15" s="11">
        <f>IF(真實IC!CX15&gt;真實IC!CX$26,1,0)</f>
        <v>1</v>
      </c>
      <c r="CY15" s="11">
        <f>IF(真實IC!CY15&gt;真實IC!CY$26,1,0)</f>
        <v>1</v>
      </c>
      <c r="CZ15" s="11">
        <f>IF(真實IC!CZ15&gt;真實IC!CZ$26,1,0)</f>
        <v>1</v>
      </c>
      <c r="DA15" s="11">
        <f>IF(真實IC!DA15&gt;真實IC!DA$26,1,0)</f>
        <v>1</v>
      </c>
      <c r="DB15" s="11">
        <f>IF(真實IC!DB15&gt;真實IC!DB$26,1,0)</f>
        <v>1</v>
      </c>
      <c r="DC15" s="11">
        <f>IF(真實IC!DC15&gt;真實IC!DC$26,1,0)</f>
        <v>1</v>
      </c>
      <c r="DD15" s="11">
        <f>IF(真實IC!DD15&gt;真實IC!DD$26,1,0)</f>
        <v>1</v>
      </c>
      <c r="DE15" s="11">
        <f>IF(真實IC!DE15&gt;真實IC!DE$26,1,0)</f>
        <v>0</v>
      </c>
      <c r="DF15" s="11">
        <f>IF(真實IC!DF15&gt;真實IC!DF$26,1,0)</f>
        <v>1</v>
      </c>
      <c r="DG15" s="11">
        <f>IF(真實IC!DG15&gt;真實IC!DG$26,1,0)</f>
        <v>0</v>
      </c>
      <c r="DH15" s="11">
        <f>IF(真實IC!DH15&gt;真實IC!DH$26,1,0)</f>
        <v>1</v>
      </c>
      <c r="DI15" s="11">
        <f>IF(真實IC!DI15&gt;真實IC!DI$26,1,0)</f>
        <v>1</v>
      </c>
      <c r="DJ15" s="11">
        <f>IF(真實IC!DJ15&gt;真實IC!DJ$26,1,0)</f>
        <v>1</v>
      </c>
      <c r="DK15" s="11">
        <f>IF(真實IC!DK15&gt;真實IC!DK$26,1,0)</f>
        <v>1</v>
      </c>
      <c r="DL15" s="11">
        <f>IF(真實IC!DL15&gt;真實IC!DL$26,1,0)</f>
        <v>0</v>
      </c>
      <c r="DM15" s="11">
        <f>IF(真實IC!DM15&gt;真實IC!DM$26,1,0)</f>
        <v>0</v>
      </c>
      <c r="DN15" s="11">
        <f>IF(真實IC!DN15&gt;真實IC!DN$26,1,0)</f>
        <v>1</v>
      </c>
      <c r="DO15" s="11">
        <f>IF(真實IC!DO15&gt;真實IC!DO$26,1,0)</f>
        <v>1</v>
      </c>
      <c r="DP15" s="11">
        <f>IF(真實IC!DP15&gt;真實IC!DP$26,1,0)</f>
        <v>1</v>
      </c>
      <c r="DQ15" s="11">
        <f>IF(真實IC!DQ15&gt;真實IC!DQ$26,1,0)</f>
        <v>0</v>
      </c>
      <c r="DR15" s="11">
        <f>IF(真實IC!DR15&gt;真實IC!DR$26,1,0)</f>
        <v>1</v>
      </c>
      <c r="DS15" s="11">
        <f>IF(真實IC!DS15&gt;真實IC!DS$26,1,0)</f>
        <v>1</v>
      </c>
      <c r="DT15" s="11">
        <f>IF(真實IC!DT15&gt;真實IC!DT$26,1,0)</f>
        <v>0</v>
      </c>
      <c r="DU15" s="11">
        <f>IF(真實IC!DU15&gt;真實IC!DU$26,1,0)</f>
        <v>1</v>
      </c>
      <c r="DV15" s="11">
        <f>IF(真實IC!DV15&gt;真實IC!DV$26,1,0)</f>
        <v>1</v>
      </c>
      <c r="DW15" s="11">
        <f>IF(真實IC!DW15&gt;真實IC!DW$26,1,0)</f>
        <v>0</v>
      </c>
      <c r="DX15" s="11">
        <f>IF(真實IC!DX15&gt;真實IC!DX$26,1,0)</f>
        <v>1</v>
      </c>
      <c r="DY15" s="11">
        <f>IF(真實IC!DY15&gt;真實IC!DY$26,1,0)</f>
        <v>1</v>
      </c>
      <c r="DZ15" s="11">
        <f>IF(真實IC!DZ15&gt;真實IC!DZ$26,1,0)</f>
        <v>1</v>
      </c>
      <c r="EA15" s="11">
        <f>IF(真實IC!EA15&gt;真實IC!EA$26,1,0)</f>
        <v>1</v>
      </c>
      <c r="EB15" s="11">
        <f>IF(真實IC!EB15&gt;真實IC!EB$26,1,0)</f>
        <v>1</v>
      </c>
      <c r="EC15" s="11">
        <f>IF(真實IC!EC15&gt;真實IC!EC$26,1,0)</f>
        <v>1</v>
      </c>
      <c r="ED15" s="11">
        <f>IF(真實IC!ED15&gt;真實IC!ED$26,1,0)</f>
        <v>1</v>
      </c>
      <c r="EE15" s="11">
        <f>IF(真實IC!EE15&gt;真實IC!EE$26,1,0)</f>
        <v>0</v>
      </c>
      <c r="EF15" s="11">
        <f>IF(真實IC!EF15&gt;真實IC!EF$26,1,0)</f>
        <v>1</v>
      </c>
      <c r="EG15">
        <f t="shared" si="10"/>
        <v>98</v>
      </c>
      <c r="EH15" s="24">
        <f t="shared" si="11"/>
        <v>0.72388059701492535</v>
      </c>
    </row>
    <row r="16" spans="1:138" x14ac:dyDescent="0.3">
      <c r="A16" s="1">
        <v>107</v>
      </c>
      <c r="B16" s="1">
        <v>9</v>
      </c>
      <c r="C16" s="11">
        <f>IF(真實IC!C16&gt;真實IC!C$26,1,0)</f>
        <v>1</v>
      </c>
      <c r="D16" s="11">
        <f>IF(真實IC!D16&gt;真實IC!D$26,1,0)</f>
        <v>1</v>
      </c>
      <c r="E16" s="11">
        <f>IF(真實IC!E16&gt;真實IC!E$26,1,0)</f>
        <v>1</v>
      </c>
      <c r="F16" s="11">
        <f>IF(真實IC!F16&gt;真實IC!F$26,1,0)</f>
        <v>0</v>
      </c>
      <c r="G16" s="11">
        <f>IF(真實IC!G16&gt;真實IC!G$26,1,0)</f>
        <v>0</v>
      </c>
      <c r="H16" s="11">
        <f>IF(真實IC!H16&gt;真實IC!H$26,1,0)</f>
        <v>1</v>
      </c>
      <c r="I16" s="11">
        <f>IF(真實IC!I16&gt;真實IC!I$26,1,0)</f>
        <v>1</v>
      </c>
      <c r="J16" s="11">
        <f>IF(真實IC!J16&gt;真實IC!J$26,1,0)</f>
        <v>1</v>
      </c>
      <c r="K16" s="11">
        <f>IF(真實IC!K16&gt;真實IC!K$26,1,0)</f>
        <v>1</v>
      </c>
      <c r="L16" s="11">
        <f>IF(真實IC!L16&gt;真實IC!L$26,1,0)</f>
        <v>0</v>
      </c>
      <c r="M16" s="11">
        <f>IF(真實IC!M16&gt;真實IC!M$26,1,0)</f>
        <v>0</v>
      </c>
      <c r="N16" s="11">
        <f>IF(真實IC!N16&gt;真實IC!N$26,1,0)</f>
        <v>1</v>
      </c>
      <c r="O16" s="11">
        <f>IF(真實IC!O16&gt;真實IC!O$26,1,0)</f>
        <v>0</v>
      </c>
      <c r="P16" s="11">
        <f>IF(真實IC!P16&gt;真實IC!P$26,1,0)</f>
        <v>1</v>
      </c>
      <c r="Q16" s="11">
        <f>IF(真實IC!Q16&gt;真實IC!Q$26,1,0)</f>
        <v>1</v>
      </c>
      <c r="R16" s="11">
        <f>IF(真實IC!R16&gt;真實IC!R$26,1,0)</f>
        <v>0</v>
      </c>
      <c r="S16" s="11">
        <f>IF(真實IC!S16&gt;真實IC!S$26,1,0)</f>
        <v>1</v>
      </c>
      <c r="T16" s="11">
        <f>IF(真實IC!T16&gt;真實IC!T$26,1,0)</f>
        <v>1</v>
      </c>
      <c r="U16" s="11">
        <f>IF(真實IC!U16&gt;真實IC!U$26,1,0)</f>
        <v>1</v>
      </c>
      <c r="V16" s="11">
        <f>IF(真實IC!V16&gt;真實IC!V$26,1,0)</f>
        <v>1</v>
      </c>
      <c r="W16" s="11">
        <f>IF(真實IC!W16&gt;真實IC!W$26,1,0)</f>
        <v>1</v>
      </c>
      <c r="X16" s="11">
        <f>IF(真實IC!X16&gt;真實IC!X$26,1,0)</f>
        <v>1</v>
      </c>
      <c r="Y16" s="11">
        <f>IF(真實IC!Y16&gt;真實IC!Y$26,1,0)</f>
        <v>1</v>
      </c>
      <c r="Z16" s="11">
        <f>IF(真實IC!Z16&gt;真實IC!Z$26,1,0)</f>
        <v>1</v>
      </c>
      <c r="AA16" s="11">
        <f>IF(真實IC!AA16&gt;真實IC!AA$26,1,0)</f>
        <v>1</v>
      </c>
      <c r="AB16" s="11">
        <f>IF(真實IC!AB16&gt;真實IC!AB$26,1,0)</f>
        <v>1</v>
      </c>
      <c r="AC16" s="11">
        <f>IF(真實IC!AC16&gt;真實IC!AC$26,1,0)</f>
        <v>0</v>
      </c>
      <c r="AD16" s="11">
        <f>IF(真實IC!AD16&gt;真實IC!AD$26,1,0)</f>
        <v>1</v>
      </c>
      <c r="AE16" s="11">
        <f>IF(真實IC!AE16&gt;真實IC!AE$26,1,0)</f>
        <v>1</v>
      </c>
      <c r="AF16" s="11">
        <f>IF(真實IC!AF16&gt;真實IC!AF$26,1,0)</f>
        <v>1</v>
      </c>
      <c r="AG16" s="11">
        <f>IF(真實IC!AG16&gt;真實IC!AG$26,1,0)</f>
        <v>0</v>
      </c>
      <c r="AH16" s="11">
        <f>IF(真實IC!AH16&gt;真實IC!AH$26,1,0)</f>
        <v>0</v>
      </c>
      <c r="AI16" s="11">
        <f>IF(真實IC!AI16&gt;真實IC!AI$26,1,0)</f>
        <v>1</v>
      </c>
      <c r="AJ16" s="11">
        <f>IF(真實IC!AJ16&gt;真實IC!AJ$26,1,0)</f>
        <v>0</v>
      </c>
      <c r="AK16" s="11">
        <f>IF(真實IC!AK16&gt;真實IC!AK$26,1,0)</f>
        <v>1</v>
      </c>
      <c r="AL16" s="11">
        <f>IF(真實IC!AL16&gt;真實IC!AL$26,1,0)</f>
        <v>0</v>
      </c>
      <c r="AM16" s="11">
        <f>IF(真實IC!AM16&gt;真實IC!AM$26,1,0)</f>
        <v>1</v>
      </c>
      <c r="AN16" s="11">
        <f>IF(真實IC!AN16&gt;真實IC!AN$26,1,0)</f>
        <v>1</v>
      </c>
      <c r="AO16" s="11">
        <f>IF(真實IC!AO16&gt;真實IC!AO$26,1,0)</f>
        <v>0</v>
      </c>
      <c r="AP16" s="11">
        <f>IF(真實IC!AP16&gt;真實IC!AP$26,1,0)</f>
        <v>1</v>
      </c>
      <c r="AQ16" s="11">
        <f>IF(真實IC!AQ16&gt;真實IC!AQ$26,1,0)</f>
        <v>1</v>
      </c>
      <c r="AR16" s="11">
        <f>IF(真實IC!AR16&gt;真實IC!AR$26,1,0)</f>
        <v>0</v>
      </c>
      <c r="AS16" s="11">
        <f>IF(真實IC!AS16&gt;真實IC!AS$26,1,0)</f>
        <v>0</v>
      </c>
      <c r="AT16" s="11">
        <f>IF(真實IC!AT16&gt;真實IC!AT$26,1,0)</f>
        <v>1</v>
      </c>
      <c r="AU16" s="11">
        <f>IF(真實IC!AU16&gt;真實IC!AU$26,1,0)</f>
        <v>1</v>
      </c>
      <c r="AV16" s="11">
        <f>IF(真實IC!AV16&gt;真實IC!AV$26,1,0)</f>
        <v>1</v>
      </c>
      <c r="AW16" s="11">
        <f>IF(真實IC!AW16&gt;真實IC!AW$26,1,0)</f>
        <v>1</v>
      </c>
      <c r="AX16" s="11">
        <f>IF(真實IC!AX16&gt;真實IC!AX$26,1,0)</f>
        <v>1</v>
      </c>
      <c r="AY16" s="11">
        <f>IF(真實IC!AY16&gt;真實IC!AY$26,1,0)</f>
        <v>0</v>
      </c>
      <c r="AZ16" s="11">
        <f>IF(真實IC!AZ16&gt;真實IC!AZ$26,1,0)</f>
        <v>1</v>
      </c>
      <c r="BA16" s="11">
        <f>IF(真實IC!BA16&gt;真實IC!BA$26,1,0)</f>
        <v>1</v>
      </c>
      <c r="BB16" s="11">
        <f>IF(真實IC!BB16&gt;真實IC!BB$26,1,0)</f>
        <v>1</v>
      </c>
      <c r="BC16" s="11">
        <f>IF(真實IC!BC16&gt;真實IC!BC$26,1,0)</f>
        <v>0</v>
      </c>
      <c r="BD16" s="11">
        <f>IF(真實IC!BD16&gt;真實IC!BD$26,1,0)</f>
        <v>1</v>
      </c>
      <c r="BE16" s="11">
        <f>IF(真實IC!BE16&gt;真實IC!BE$26,1,0)</f>
        <v>1</v>
      </c>
      <c r="BF16" s="11">
        <f>IF(真實IC!BF16&gt;真實IC!BF$26,1,0)</f>
        <v>1</v>
      </c>
      <c r="BG16" s="11">
        <f>IF(真實IC!BG16&gt;真實IC!BG$26,1,0)</f>
        <v>1</v>
      </c>
      <c r="BH16" s="11">
        <f>IF(真實IC!BH16&gt;真實IC!BH$26,1,0)</f>
        <v>1</v>
      </c>
      <c r="BI16" s="11">
        <f>IF(真實IC!BI16&gt;真實IC!BI$26,1,0)</f>
        <v>1</v>
      </c>
      <c r="BJ16" s="11">
        <f>IF(真實IC!BJ16&gt;真實IC!BJ$26,1,0)</f>
        <v>1</v>
      </c>
      <c r="BK16" s="11">
        <f>IF(真實IC!BK16&gt;真實IC!BK$26,1,0)</f>
        <v>0</v>
      </c>
      <c r="BL16" s="11">
        <f>IF(真實IC!BL16&gt;真實IC!BL$26,1,0)</f>
        <v>1</v>
      </c>
      <c r="BM16" s="11">
        <f>IF(真實IC!BM16&gt;真實IC!BM$26,1,0)</f>
        <v>1</v>
      </c>
      <c r="BN16" s="11">
        <f>IF(真實IC!BN16&gt;真實IC!BN$26,1,0)</f>
        <v>0</v>
      </c>
      <c r="BO16" s="11">
        <f>IF(真實IC!BO16&gt;真實IC!BO$26,1,0)</f>
        <v>1</v>
      </c>
      <c r="BP16" s="11">
        <f>IF(真實IC!BP16&gt;真實IC!BP$26,1,0)</f>
        <v>0</v>
      </c>
      <c r="BQ16" s="11">
        <f>IF(真實IC!BQ16&gt;真實IC!BQ$26,1,0)</f>
        <v>1</v>
      </c>
      <c r="BR16" s="11">
        <f>IF(真實IC!BR16&gt;真實IC!BR$26,1,0)</f>
        <v>1</v>
      </c>
      <c r="BS16" s="11">
        <f>IF(真實IC!BS16&gt;真實IC!BS$26,1,0)</f>
        <v>1</v>
      </c>
      <c r="BT16" s="11">
        <f>IF(真實IC!BT16&gt;真實IC!BT$26,1,0)</f>
        <v>0</v>
      </c>
      <c r="BU16" s="11">
        <f>IF(真實IC!BU16&gt;真實IC!BU$26,1,0)</f>
        <v>1</v>
      </c>
      <c r="BV16" s="11">
        <f>IF(真實IC!BV16&gt;真實IC!BV$26,1,0)</f>
        <v>0</v>
      </c>
      <c r="BW16" s="11">
        <f>IF(真實IC!BW16&gt;真實IC!BW$26,1,0)</f>
        <v>1</v>
      </c>
      <c r="BX16" s="11">
        <f>IF(真實IC!BX16&gt;真實IC!BX$26,1,0)</f>
        <v>1</v>
      </c>
      <c r="BY16" s="11">
        <f>IF(真實IC!BY16&gt;真實IC!BY$26,1,0)</f>
        <v>1</v>
      </c>
      <c r="BZ16" s="11">
        <f>IF(真實IC!BZ16&gt;真實IC!BZ$26,1,0)</f>
        <v>0</v>
      </c>
      <c r="CA16" s="11">
        <f>IF(真實IC!CA16&gt;真實IC!CA$26,1,0)</f>
        <v>1</v>
      </c>
      <c r="CB16" s="11">
        <f>IF(真實IC!CB16&gt;真實IC!CB$26,1,0)</f>
        <v>1</v>
      </c>
      <c r="CC16" s="11">
        <f>IF(真實IC!CC16&gt;真實IC!CC$26,1,0)</f>
        <v>0</v>
      </c>
      <c r="CD16" s="11">
        <f>IF(真實IC!CD16&gt;真實IC!CD$26,1,0)</f>
        <v>1</v>
      </c>
      <c r="CE16" s="11">
        <f>IF(真實IC!CE16&gt;真實IC!CE$26,1,0)</f>
        <v>1</v>
      </c>
      <c r="CF16" s="11">
        <f>IF(真實IC!CF16&gt;真實IC!CF$26,1,0)</f>
        <v>1</v>
      </c>
      <c r="CG16" s="11">
        <f>IF(真實IC!CG16&gt;真實IC!CG$26,1,0)</f>
        <v>0</v>
      </c>
      <c r="CH16" s="11">
        <f>IF(真實IC!CH16&gt;真實IC!CH$26,1,0)</f>
        <v>0</v>
      </c>
      <c r="CI16" s="11">
        <f>IF(真實IC!CI16&gt;真實IC!CI$26,1,0)</f>
        <v>1</v>
      </c>
      <c r="CJ16" s="11">
        <f>IF(真實IC!CJ16&gt;真實IC!CJ$26,1,0)</f>
        <v>0</v>
      </c>
      <c r="CK16" s="11">
        <f>IF(真實IC!CK16&gt;真實IC!CK$26,1,0)</f>
        <v>1</v>
      </c>
      <c r="CL16" s="11">
        <f>IF(真實IC!CL16&gt;真實IC!CL$26,1,0)</f>
        <v>0</v>
      </c>
      <c r="CM16" s="11">
        <f>IF(真實IC!CM16&gt;真實IC!CM$26,1,0)</f>
        <v>1</v>
      </c>
      <c r="CN16" s="11">
        <f>IF(真實IC!CN16&gt;真實IC!CN$26,1,0)</f>
        <v>1</v>
      </c>
      <c r="CO16" s="11">
        <f>IF(真實IC!CO16&gt;真實IC!CO$26,1,0)</f>
        <v>1</v>
      </c>
      <c r="CP16" s="11">
        <f>IF(真實IC!CP16&gt;真實IC!CP$26,1,0)</f>
        <v>1</v>
      </c>
      <c r="CQ16" s="11">
        <f>IF(真實IC!CQ16&gt;真實IC!CQ$26,1,0)</f>
        <v>1</v>
      </c>
      <c r="CR16" s="11">
        <f>IF(真實IC!CR16&gt;真實IC!CR$26,1,0)</f>
        <v>1</v>
      </c>
      <c r="CS16" s="11">
        <f>IF(真實IC!CS16&gt;真實IC!CS$26,1,0)</f>
        <v>1</v>
      </c>
      <c r="CT16" s="11">
        <f>IF(真實IC!CT16&gt;真實IC!CT$26,1,0)</f>
        <v>1</v>
      </c>
      <c r="CU16" s="11">
        <f>IF(真實IC!CU16&gt;真實IC!CU$26,1,0)</f>
        <v>1</v>
      </c>
      <c r="CV16" s="11">
        <f>IF(真實IC!CV16&gt;真實IC!CV$26,1,0)</f>
        <v>1</v>
      </c>
      <c r="CW16" s="11">
        <f>IF(真實IC!CW16&gt;真實IC!CW$26,1,0)</f>
        <v>1</v>
      </c>
      <c r="CX16" s="11">
        <f>IF(真實IC!CX16&gt;真實IC!CX$26,1,0)</f>
        <v>1</v>
      </c>
      <c r="CY16" s="11">
        <f>IF(真實IC!CY16&gt;真實IC!CY$26,1,0)</f>
        <v>1</v>
      </c>
      <c r="CZ16" s="11">
        <f>IF(真實IC!CZ16&gt;真實IC!CZ$26,1,0)</f>
        <v>1</v>
      </c>
      <c r="DA16" s="11">
        <f>IF(真實IC!DA16&gt;真實IC!DA$26,1,0)</f>
        <v>1</v>
      </c>
      <c r="DB16" s="11">
        <f>IF(真實IC!DB16&gt;真實IC!DB$26,1,0)</f>
        <v>1</v>
      </c>
      <c r="DC16" s="11">
        <f>IF(真實IC!DC16&gt;真實IC!DC$26,1,0)</f>
        <v>1</v>
      </c>
      <c r="DD16" s="11">
        <f>IF(真實IC!DD16&gt;真實IC!DD$26,1,0)</f>
        <v>1</v>
      </c>
      <c r="DE16" s="11">
        <f>IF(真實IC!DE16&gt;真實IC!DE$26,1,0)</f>
        <v>0</v>
      </c>
      <c r="DF16" s="11">
        <f>IF(真實IC!DF16&gt;真實IC!DF$26,1,0)</f>
        <v>1</v>
      </c>
      <c r="DG16" s="11">
        <f>IF(真實IC!DG16&gt;真實IC!DG$26,1,0)</f>
        <v>0</v>
      </c>
      <c r="DH16" s="11">
        <f>IF(真實IC!DH16&gt;真實IC!DH$26,1,0)</f>
        <v>1</v>
      </c>
      <c r="DI16" s="11">
        <f>IF(真實IC!DI16&gt;真實IC!DI$26,1,0)</f>
        <v>1</v>
      </c>
      <c r="DJ16" s="11">
        <f>IF(真實IC!DJ16&gt;真實IC!DJ$26,1,0)</f>
        <v>1</v>
      </c>
      <c r="DK16" s="11">
        <f>IF(真實IC!DK16&gt;真實IC!DK$26,1,0)</f>
        <v>1</v>
      </c>
      <c r="DL16" s="11">
        <f>IF(真實IC!DL16&gt;真實IC!DL$26,1,0)</f>
        <v>0</v>
      </c>
      <c r="DM16" s="11">
        <f>IF(真實IC!DM16&gt;真實IC!DM$26,1,0)</f>
        <v>0</v>
      </c>
      <c r="DN16" s="11">
        <f>IF(真實IC!DN16&gt;真實IC!DN$26,1,0)</f>
        <v>1</v>
      </c>
      <c r="DO16" s="11">
        <f>IF(真實IC!DO16&gt;真實IC!DO$26,1,0)</f>
        <v>1</v>
      </c>
      <c r="DP16" s="11">
        <f>IF(真實IC!DP16&gt;真實IC!DP$26,1,0)</f>
        <v>1</v>
      </c>
      <c r="DQ16" s="11">
        <f>IF(真實IC!DQ16&gt;真實IC!DQ$26,1,0)</f>
        <v>0</v>
      </c>
      <c r="DR16" s="11">
        <f>IF(真實IC!DR16&gt;真實IC!DR$26,1,0)</f>
        <v>1</v>
      </c>
      <c r="DS16" s="11">
        <f>IF(真實IC!DS16&gt;真實IC!DS$26,1,0)</f>
        <v>1</v>
      </c>
      <c r="DT16" s="11">
        <f>IF(真實IC!DT16&gt;真實IC!DT$26,1,0)</f>
        <v>1</v>
      </c>
      <c r="DU16" s="11">
        <f>IF(真實IC!DU16&gt;真實IC!DU$26,1,0)</f>
        <v>1</v>
      </c>
      <c r="DV16" s="11">
        <f>IF(真實IC!DV16&gt;真實IC!DV$26,1,0)</f>
        <v>1</v>
      </c>
      <c r="DW16" s="11">
        <f>IF(真實IC!DW16&gt;真實IC!DW$26,1,0)</f>
        <v>0</v>
      </c>
      <c r="DX16" s="11">
        <f>IF(真實IC!DX16&gt;真實IC!DX$26,1,0)</f>
        <v>1</v>
      </c>
      <c r="DY16" s="11">
        <f>IF(真實IC!DY16&gt;真實IC!DY$26,1,0)</f>
        <v>1</v>
      </c>
      <c r="DZ16" s="11">
        <f>IF(真實IC!DZ16&gt;真實IC!DZ$26,1,0)</f>
        <v>1</v>
      </c>
      <c r="EA16" s="11">
        <f>IF(真實IC!EA16&gt;真實IC!EA$26,1,0)</f>
        <v>1</v>
      </c>
      <c r="EB16" s="11">
        <f>IF(真實IC!EB16&gt;真實IC!EB$26,1,0)</f>
        <v>1</v>
      </c>
      <c r="EC16" s="11">
        <f>IF(真實IC!EC16&gt;真實IC!EC$26,1,0)</f>
        <v>1</v>
      </c>
      <c r="ED16" s="11">
        <f>IF(真實IC!ED16&gt;真實IC!ED$26,1,0)</f>
        <v>1</v>
      </c>
      <c r="EE16" s="11">
        <f>IF(真實IC!EE16&gt;真實IC!EE$26,1,0)</f>
        <v>0</v>
      </c>
      <c r="EF16" s="11">
        <f>IF(真實IC!EF16&gt;真實IC!EF$26,1,0)</f>
        <v>1</v>
      </c>
      <c r="EG16">
        <f t="shared" si="10"/>
        <v>100</v>
      </c>
      <c r="EH16" s="24">
        <f t="shared" si="11"/>
        <v>0.73880597014925375</v>
      </c>
    </row>
    <row r="17" spans="1:138" x14ac:dyDescent="0.3">
      <c r="A17" s="1">
        <v>120</v>
      </c>
      <c r="B17" s="1">
        <v>8</v>
      </c>
      <c r="C17" s="11">
        <f>IF(真實IC!C17&gt;真實IC!C$26,1,0)</f>
        <v>1</v>
      </c>
      <c r="D17" s="11">
        <f>IF(真實IC!D17&gt;真實IC!D$26,1,0)</f>
        <v>1</v>
      </c>
      <c r="E17" s="11">
        <f>IF(真實IC!E17&gt;真實IC!E$26,1,0)</f>
        <v>1</v>
      </c>
      <c r="F17" s="11">
        <f>IF(真實IC!F17&gt;真實IC!F$26,1,0)</f>
        <v>0</v>
      </c>
      <c r="G17" s="11">
        <f>IF(真實IC!G17&gt;真實IC!G$26,1,0)</f>
        <v>1</v>
      </c>
      <c r="H17" s="11">
        <f>IF(真實IC!H17&gt;真實IC!H$26,1,0)</f>
        <v>1</v>
      </c>
      <c r="I17" s="11">
        <f>IF(真實IC!I17&gt;真實IC!I$26,1,0)</f>
        <v>1</v>
      </c>
      <c r="J17" s="11">
        <f>IF(真實IC!J17&gt;真實IC!J$26,1,0)</f>
        <v>1</v>
      </c>
      <c r="K17" s="11">
        <f>IF(真實IC!K17&gt;真實IC!K$26,1,0)</f>
        <v>1</v>
      </c>
      <c r="L17" s="11">
        <f>IF(真實IC!L17&gt;真實IC!L$26,1,0)</f>
        <v>0</v>
      </c>
      <c r="M17" s="11">
        <f>IF(真實IC!M17&gt;真實IC!M$26,1,0)</f>
        <v>0</v>
      </c>
      <c r="N17" s="11">
        <f>IF(真實IC!N17&gt;真實IC!N$26,1,0)</f>
        <v>1</v>
      </c>
      <c r="O17" s="11">
        <f>IF(真實IC!O17&gt;真實IC!O$26,1,0)</f>
        <v>0</v>
      </c>
      <c r="P17" s="11">
        <f>IF(真實IC!P17&gt;真實IC!P$26,1,0)</f>
        <v>1</v>
      </c>
      <c r="Q17" s="11">
        <f>IF(真實IC!Q17&gt;真實IC!Q$26,1,0)</f>
        <v>1</v>
      </c>
      <c r="R17" s="11">
        <f>IF(真實IC!R17&gt;真實IC!R$26,1,0)</f>
        <v>0</v>
      </c>
      <c r="S17" s="11">
        <f>IF(真實IC!S17&gt;真實IC!S$26,1,0)</f>
        <v>1</v>
      </c>
      <c r="T17" s="11">
        <f>IF(真實IC!T17&gt;真實IC!T$26,1,0)</f>
        <v>1</v>
      </c>
      <c r="U17" s="11">
        <f>IF(真實IC!U17&gt;真實IC!U$26,1,0)</f>
        <v>1</v>
      </c>
      <c r="V17" s="11">
        <f>IF(真實IC!V17&gt;真實IC!V$26,1,0)</f>
        <v>1</v>
      </c>
      <c r="W17" s="11">
        <f>IF(真實IC!W17&gt;真實IC!W$26,1,0)</f>
        <v>1</v>
      </c>
      <c r="X17" s="11">
        <f>IF(真實IC!X17&gt;真實IC!X$26,1,0)</f>
        <v>1</v>
      </c>
      <c r="Y17" s="11">
        <f>IF(真實IC!Y17&gt;真實IC!Y$26,1,0)</f>
        <v>1</v>
      </c>
      <c r="Z17" s="11">
        <f>IF(真實IC!Z17&gt;真實IC!Z$26,1,0)</f>
        <v>1</v>
      </c>
      <c r="AA17" s="11">
        <f>IF(真實IC!AA17&gt;真實IC!AA$26,1,0)</f>
        <v>1</v>
      </c>
      <c r="AB17" s="11">
        <f>IF(真實IC!AB17&gt;真實IC!AB$26,1,0)</f>
        <v>1</v>
      </c>
      <c r="AC17" s="11">
        <f>IF(真實IC!AC17&gt;真實IC!AC$26,1,0)</f>
        <v>0</v>
      </c>
      <c r="AD17" s="11">
        <f>IF(真實IC!AD17&gt;真實IC!AD$26,1,0)</f>
        <v>1</v>
      </c>
      <c r="AE17" s="11">
        <f>IF(真實IC!AE17&gt;真實IC!AE$26,1,0)</f>
        <v>1</v>
      </c>
      <c r="AF17" s="11">
        <f>IF(真實IC!AF17&gt;真實IC!AF$26,1,0)</f>
        <v>1</v>
      </c>
      <c r="AG17" s="11">
        <f>IF(真實IC!AG17&gt;真實IC!AG$26,1,0)</f>
        <v>0</v>
      </c>
      <c r="AH17" s="11">
        <f>IF(真實IC!AH17&gt;真實IC!AH$26,1,0)</f>
        <v>0</v>
      </c>
      <c r="AI17" s="11">
        <f>IF(真實IC!AI17&gt;真實IC!AI$26,1,0)</f>
        <v>1</v>
      </c>
      <c r="AJ17" s="11">
        <f>IF(真實IC!AJ17&gt;真實IC!AJ$26,1,0)</f>
        <v>0</v>
      </c>
      <c r="AK17" s="11">
        <f>IF(真實IC!AK17&gt;真實IC!AK$26,1,0)</f>
        <v>1</v>
      </c>
      <c r="AL17" s="11">
        <f>IF(真實IC!AL17&gt;真實IC!AL$26,1,0)</f>
        <v>0</v>
      </c>
      <c r="AM17" s="11">
        <f>IF(真實IC!AM17&gt;真實IC!AM$26,1,0)</f>
        <v>1</v>
      </c>
      <c r="AN17" s="11">
        <f>IF(真實IC!AN17&gt;真實IC!AN$26,1,0)</f>
        <v>1</v>
      </c>
      <c r="AO17" s="11">
        <f>IF(真實IC!AO17&gt;真實IC!AO$26,1,0)</f>
        <v>0</v>
      </c>
      <c r="AP17" s="11">
        <f>IF(真實IC!AP17&gt;真實IC!AP$26,1,0)</f>
        <v>1</v>
      </c>
      <c r="AQ17" s="11">
        <f>IF(真實IC!AQ17&gt;真實IC!AQ$26,1,0)</f>
        <v>0</v>
      </c>
      <c r="AR17" s="11">
        <f>IF(真實IC!AR17&gt;真實IC!AR$26,1,0)</f>
        <v>0</v>
      </c>
      <c r="AS17" s="11">
        <f>IF(真實IC!AS17&gt;真實IC!AS$26,1,0)</f>
        <v>0</v>
      </c>
      <c r="AT17" s="11">
        <f>IF(真實IC!AT17&gt;真實IC!AT$26,1,0)</f>
        <v>1</v>
      </c>
      <c r="AU17" s="11">
        <f>IF(真實IC!AU17&gt;真實IC!AU$26,1,0)</f>
        <v>1</v>
      </c>
      <c r="AV17" s="11">
        <f>IF(真實IC!AV17&gt;真實IC!AV$26,1,0)</f>
        <v>1</v>
      </c>
      <c r="AW17" s="11">
        <f>IF(真實IC!AW17&gt;真實IC!AW$26,1,0)</f>
        <v>1</v>
      </c>
      <c r="AX17" s="11">
        <f>IF(真實IC!AX17&gt;真實IC!AX$26,1,0)</f>
        <v>1</v>
      </c>
      <c r="AY17" s="11">
        <f>IF(真實IC!AY17&gt;真實IC!AY$26,1,0)</f>
        <v>0</v>
      </c>
      <c r="AZ17" s="11">
        <f>IF(真實IC!AZ17&gt;真實IC!AZ$26,1,0)</f>
        <v>1</v>
      </c>
      <c r="BA17" s="11">
        <f>IF(真實IC!BA17&gt;真實IC!BA$26,1,0)</f>
        <v>1</v>
      </c>
      <c r="BB17" s="11">
        <f>IF(真實IC!BB17&gt;真實IC!BB$26,1,0)</f>
        <v>1</v>
      </c>
      <c r="BC17" s="11">
        <f>IF(真實IC!BC17&gt;真實IC!BC$26,1,0)</f>
        <v>0</v>
      </c>
      <c r="BD17" s="11">
        <f>IF(真實IC!BD17&gt;真實IC!BD$26,1,0)</f>
        <v>1</v>
      </c>
      <c r="BE17" s="11">
        <f>IF(真實IC!BE17&gt;真實IC!BE$26,1,0)</f>
        <v>1</v>
      </c>
      <c r="BF17" s="11">
        <f>IF(真實IC!BF17&gt;真實IC!BF$26,1,0)</f>
        <v>1</v>
      </c>
      <c r="BG17" s="11">
        <f>IF(真實IC!BG17&gt;真實IC!BG$26,1,0)</f>
        <v>1</v>
      </c>
      <c r="BH17" s="11">
        <f>IF(真實IC!BH17&gt;真實IC!BH$26,1,0)</f>
        <v>1</v>
      </c>
      <c r="BI17" s="11">
        <f>IF(真實IC!BI17&gt;真實IC!BI$26,1,0)</f>
        <v>1</v>
      </c>
      <c r="BJ17" s="11">
        <f>IF(真實IC!BJ17&gt;真實IC!BJ$26,1,0)</f>
        <v>1</v>
      </c>
      <c r="BK17" s="11">
        <f>IF(真實IC!BK17&gt;真實IC!BK$26,1,0)</f>
        <v>0</v>
      </c>
      <c r="BL17" s="11">
        <f>IF(真實IC!BL17&gt;真實IC!BL$26,1,0)</f>
        <v>0</v>
      </c>
      <c r="BM17" s="11">
        <f>IF(真實IC!BM17&gt;真實IC!BM$26,1,0)</f>
        <v>1</v>
      </c>
      <c r="BN17" s="11">
        <f>IF(真實IC!BN17&gt;真實IC!BN$26,1,0)</f>
        <v>0</v>
      </c>
      <c r="BO17" s="11">
        <f>IF(真實IC!BO17&gt;真實IC!BO$26,1,0)</f>
        <v>1</v>
      </c>
      <c r="BP17" s="11">
        <f>IF(真實IC!BP17&gt;真實IC!BP$26,1,0)</f>
        <v>0</v>
      </c>
      <c r="BQ17" s="11">
        <f>IF(真實IC!BQ17&gt;真實IC!BQ$26,1,0)</f>
        <v>1</v>
      </c>
      <c r="BR17" s="11">
        <f>IF(真實IC!BR17&gt;真實IC!BR$26,1,0)</f>
        <v>1</v>
      </c>
      <c r="BS17" s="11">
        <f>IF(真實IC!BS17&gt;真實IC!BS$26,1,0)</f>
        <v>1</v>
      </c>
      <c r="BT17" s="11">
        <f>IF(真實IC!BT17&gt;真實IC!BT$26,1,0)</f>
        <v>0</v>
      </c>
      <c r="BU17" s="11">
        <f>IF(真實IC!BU17&gt;真實IC!BU$26,1,0)</f>
        <v>1</v>
      </c>
      <c r="BV17" s="11">
        <f>IF(真實IC!BV17&gt;真實IC!BV$26,1,0)</f>
        <v>0</v>
      </c>
      <c r="BW17" s="11">
        <f>IF(真實IC!BW17&gt;真實IC!BW$26,1,0)</f>
        <v>1</v>
      </c>
      <c r="BX17" s="11">
        <f>IF(真實IC!BX17&gt;真實IC!BX$26,1,0)</f>
        <v>1</v>
      </c>
      <c r="BY17" s="11">
        <f>IF(真實IC!BY17&gt;真實IC!BY$26,1,0)</f>
        <v>1</v>
      </c>
      <c r="BZ17" s="11">
        <f>IF(真實IC!BZ17&gt;真實IC!BZ$26,1,0)</f>
        <v>0</v>
      </c>
      <c r="CA17" s="11">
        <f>IF(真實IC!CA17&gt;真實IC!CA$26,1,0)</f>
        <v>1</v>
      </c>
      <c r="CB17" s="11">
        <f>IF(真實IC!CB17&gt;真實IC!CB$26,1,0)</f>
        <v>1</v>
      </c>
      <c r="CC17" s="11">
        <f>IF(真實IC!CC17&gt;真實IC!CC$26,1,0)</f>
        <v>0</v>
      </c>
      <c r="CD17" s="11">
        <f>IF(真實IC!CD17&gt;真實IC!CD$26,1,0)</f>
        <v>1</v>
      </c>
      <c r="CE17" s="11">
        <f>IF(真實IC!CE17&gt;真實IC!CE$26,1,0)</f>
        <v>1</v>
      </c>
      <c r="CF17" s="11">
        <f>IF(真實IC!CF17&gt;真實IC!CF$26,1,0)</f>
        <v>1</v>
      </c>
      <c r="CG17" s="11">
        <f>IF(真實IC!CG17&gt;真實IC!CG$26,1,0)</f>
        <v>0</v>
      </c>
      <c r="CH17" s="11">
        <f>IF(真實IC!CH17&gt;真實IC!CH$26,1,0)</f>
        <v>0</v>
      </c>
      <c r="CI17" s="11">
        <f>IF(真實IC!CI17&gt;真實IC!CI$26,1,0)</f>
        <v>0</v>
      </c>
      <c r="CJ17" s="11">
        <f>IF(真實IC!CJ17&gt;真實IC!CJ$26,1,0)</f>
        <v>0</v>
      </c>
      <c r="CK17" s="11">
        <f>IF(真實IC!CK17&gt;真實IC!CK$26,1,0)</f>
        <v>1</v>
      </c>
      <c r="CL17" s="11">
        <f>IF(真實IC!CL17&gt;真實IC!CL$26,1,0)</f>
        <v>0</v>
      </c>
      <c r="CM17" s="11">
        <f>IF(真實IC!CM17&gt;真實IC!CM$26,1,0)</f>
        <v>1</v>
      </c>
      <c r="CN17" s="11">
        <f>IF(真實IC!CN17&gt;真實IC!CN$26,1,0)</f>
        <v>1</v>
      </c>
      <c r="CO17" s="11">
        <f>IF(真實IC!CO17&gt;真實IC!CO$26,1,0)</f>
        <v>1</v>
      </c>
      <c r="CP17" s="11">
        <f>IF(真實IC!CP17&gt;真實IC!CP$26,1,0)</f>
        <v>1</v>
      </c>
      <c r="CQ17" s="11">
        <f>IF(真實IC!CQ17&gt;真實IC!CQ$26,1,0)</f>
        <v>1</v>
      </c>
      <c r="CR17" s="11">
        <f>IF(真實IC!CR17&gt;真實IC!CR$26,1,0)</f>
        <v>1</v>
      </c>
      <c r="CS17" s="11">
        <f>IF(真實IC!CS17&gt;真實IC!CS$26,1,0)</f>
        <v>1</v>
      </c>
      <c r="CT17" s="11">
        <f>IF(真實IC!CT17&gt;真實IC!CT$26,1,0)</f>
        <v>1</v>
      </c>
      <c r="CU17" s="11">
        <f>IF(真實IC!CU17&gt;真實IC!CU$26,1,0)</f>
        <v>1</v>
      </c>
      <c r="CV17" s="11">
        <f>IF(真實IC!CV17&gt;真實IC!CV$26,1,0)</f>
        <v>1</v>
      </c>
      <c r="CW17" s="11">
        <f>IF(真實IC!CW17&gt;真實IC!CW$26,1,0)</f>
        <v>1</v>
      </c>
      <c r="CX17" s="11">
        <f>IF(真實IC!CX17&gt;真實IC!CX$26,1,0)</f>
        <v>1</v>
      </c>
      <c r="CY17" s="11">
        <f>IF(真實IC!CY17&gt;真實IC!CY$26,1,0)</f>
        <v>1</v>
      </c>
      <c r="CZ17" s="11">
        <f>IF(真實IC!CZ17&gt;真實IC!CZ$26,1,0)</f>
        <v>1</v>
      </c>
      <c r="DA17" s="11">
        <f>IF(真實IC!DA17&gt;真實IC!DA$26,1,0)</f>
        <v>1</v>
      </c>
      <c r="DB17" s="11">
        <f>IF(真實IC!DB17&gt;真實IC!DB$26,1,0)</f>
        <v>1</v>
      </c>
      <c r="DC17" s="11">
        <f>IF(真實IC!DC17&gt;真實IC!DC$26,1,0)</f>
        <v>1</v>
      </c>
      <c r="DD17" s="11">
        <f>IF(真實IC!DD17&gt;真實IC!DD$26,1,0)</f>
        <v>1</v>
      </c>
      <c r="DE17" s="11">
        <f>IF(真實IC!DE17&gt;真實IC!DE$26,1,0)</f>
        <v>0</v>
      </c>
      <c r="DF17" s="11">
        <f>IF(真實IC!DF17&gt;真實IC!DF$26,1,0)</f>
        <v>1</v>
      </c>
      <c r="DG17" s="11">
        <f>IF(真實IC!DG17&gt;真實IC!DG$26,1,0)</f>
        <v>0</v>
      </c>
      <c r="DH17" s="11">
        <f>IF(真實IC!DH17&gt;真實IC!DH$26,1,0)</f>
        <v>1</v>
      </c>
      <c r="DI17" s="11">
        <f>IF(真實IC!DI17&gt;真實IC!DI$26,1,0)</f>
        <v>1</v>
      </c>
      <c r="DJ17" s="11">
        <f>IF(真實IC!DJ17&gt;真實IC!DJ$26,1,0)</f>
        <v>1</v>
      </c>
      <c r="DK17" s="11">
        <f>IF(真實IC!DK17&gt;真實IC!DK$26,1,0)</f>
        <v>1</v>
      </c>
      <c r="DL17" s="11">
        <f>IF(真實IC!DL17&gt;真實IC!DL$26,1,0)</f>
        <v>0</v>
      </c>
      <c r="DM17" s="11">
        <f>IF(真實IC!DM17&gt;真實IC!DM$26,1,0)</f>
        <v>0</v>
      </c>
      <c r="DN17" s="11">
        <f>IF(真實IC!DN17&gt;真實IC!DN$26,1,0)</f>
        <v>1</v>
      </c>
      <c r="DO17" s="11">
        <f>IF(真實IC!DO17&gt;真實IC!DO$26,1,0)</f>
        <v>1</v>
      </c>
      <c r="DP17" s="11">
        <f>IF(真實IC!DP17&gt;真實IC!DP$26,1,0)</f>
        <v>1</v>
      </c>
      <c r="DQ17" s="11">
        <f>IF(真實IC!DQ17&gt;真實IC!DQ$26,1,0)</f>
        <v>0</v>
      </c>
      <c r="DR17" s="11">
        <f>IF(真實IC!DR17&gt;真實IC!DR$26,1,0)</f>
        <v>1</v>
      </c>
      <c r="DS17" s="11">
        <f>IF(真實IC!DS17&gt;真實IC!DS$26,1,0)</f>
        <v>1</v>
      </c>
      <c r="DT17" s="11">
        <f>IF(真實IC!DT17&gt;真實IC!DT$26,1,0)</f>
        <v>1</v>
      </c>
      <c r="DU17" s="11">
        <f>IF(真實IC!DU17&gt;真實IC!DU$26,1,0)</f>
        <v>1</v>
      </c>
      <c r="DV17" s="11">
        <f>IF(真實IC!DV17&gt;真實IC!DV$26,1,0)</f>
        <v>1</v>
      </c>
      <c r="DW17" s="11">
        <f>IF(真實IC!DW17&gt;真實IC!DW$26,1,0)</f>
        <v>0</v>
      </c>
      <c r="DX17" s="11">
        <f>IF(真實IC!DX17&gt;真實IC!DX$26,1,0)</f>
        <v>1</v>
      </c>
      <c r="DY17" s="11">
        <f>IF(真實IC!DY17&gt;真實IC!DY$26,1,0)</f>
        <v>1</v>
      </c>
      <c r="DZ17" s="11">
        <f>IF(真實IC!DZ17&gt;真實IC!DZ$26,1,0)</f>
        <v>1</v>
      </c>
      <c r="EA17" s="11">
        <f>IF(真實IC!EA17&gt;真實IC!EA$26,1,0)</f>
        <v>0</v>
      </c>
      <c r="EB17" s="11">
        <f>IF(真實IC!EB17&gt;真實IC!EB$26,1,0)</f>
        <v>1</v>
      </c>
      <c r="EC17" s="11">
        <f>IF(真實IC!EC17&gt;真實IC!EC$26,1,0)</f>
        <v>1</v>
      </c>
      <c r="ED17" s="11">
        <f>IF(真實IC!ED17&gt;真實IC!ED$26,1,0)</f>
        <v>1</v>
      </c>
      <c r="EE17" s="11">
        <f>IF(真實IC!EE17&gt;真實IC!EE$26,1,0)</f>
        <v>0</v>
      </c>
      <c r="EF17" s="11">
        <f>IF(真實IC!EF17&gt;真實IC!EF$26,1,0)</f>
        <v>1</v>
      </c>
      <c r="EG17">
        <f t="shared" si="10"/>
        <v>97</v>
      </c>
      <c r="EH17" s="24">
        <f t="shared" si="11"/>
        <v>0.71641791044776115</v>
      </c>
    </row>
    <row r="18" spans="1:138" x14ac:dyDescent="0.3">
      <c r="A18" s="1">
        <v>137</v>
      </c>
      <c r="B18" s="1">
        <v>7</v>
      </c>
      <c r="C18" s="11">
        <f>IF(真實IC!C18&gt;真實IC!C$26,1,0)</f>
        <v>1</v>
      </c>
      <c r="D18" s="11">
        <f>IF(真實IC!D18&gt;真實IC!D$26,1,0)</f>
        <v>1</v>
      </c>
      <c r="E18" s="11">
        <f>IF(真實IC!E18&gt;真實IC!E$26,1,0)</f>
        <v>1</v>
      </c>
      <c r="F18" s="11">
        <f>IF(真實IC!F18&gt;真實IC!F$26,1,0)</f>
        <v>0</v>
      </c>
      <c r="G18" s="11">
        <f>IF(真實IC!G18&gt;真實IC!G$26,1,0)</f>
        <v>1</v>
      </c>
      <c r="H18" s="11">
        <f>IF(真實IC!H18&gt;真實IC!H$26,1,0)</f>
        <v>1</v>
      </c>
      <c r="I18" s="11">
        <f>IF(真實IC!I18&gt;真實IC!I$26,1,0)</f>
        <v>1</v>
      </c>
      <c r="J18" s="11">
        <f>IF(真實IC!J18&gt;真實IC!J$26,1,0)</f>
        <v>1</v>
      </c>
      <c r="K18" s="11">
        <f>IF(真實IC!K18&gt;真實IC!K$26,1,0)</f>
        <v>1</v>
      </c>
      <c r="L18" s="11">
        <f>IF(真實IC!L18&gt;真實IC!L$26,1,0)</f>
        <v>0</v>
      </c>
      <c r="M18" s="11">
        <f>IF(真實IC!M18&gt;真實IC!M$26,1,0)</f>
        <v>1</v>
      </c>
      <c r="N18" s="11">
        <f>IF(真實IC!N18&gt;真實IC!N$26,1,0)</f>
        <v>1</v>
      </c>
      <c r="O18" s="11">
        <f>IF(真實IC!O18&gt;真實IC!O$26,1,0)</f>
        <v>1</v>
      </c>
      <c r="P18" s="11">
        <f>IF(真實IC!P18&gt;真實IC!P$26,1,0)</f>
        <v>1</v>
      </c>
      <c r="Q18" s="11">
        <f>IF(真實IC!Q18&gt;真實IC!Q$26,1,0)</f>
        <v>1</v>
      </c>
      <c r="R18" s="11">
        <f>IF(真實IC!R18&gt;真實IC!R$26,1,0)</f>
        <v>0</v>
      </c>
      <c r="S18" s="11">
        <f>IF(真實IC!S18&gt;真實IC!S$26,1,0)</f>
        <v>1</v>
      </c>
      <c r="T18" s="11">
        <f>IF(真實IC!T18&gt;真實IC!T$26,1,0)</f>
        <v>1</v>
      </c>
      <c r="U18" s="11">
        <f>IF(真實IC!U18&gt;真實IC!U$26,1,0)</f>
        <v>1</v>
      </c>
      <c r="V18" s="11">
        <f>IF(真實IC!V18&gt;真實IC!V$26,1,0)</f>
        <v>1</v>
      </c>
      <c r="W18" s="11">
        <f>IF(真實IC!W18&gt;真實IC!W$26,1,0)</f>
        <v>1</v>
      </c>
      <c r="X18" s="11">
        <f>IF(真實IC!X18&gt;真實IC!X$26,1,0)</f>
        <v>1</v>
      </c>
      <c r="Y18" s="11">
        <f>IF(真實IC!Y18&gt;真實IC!Y$26,1,0)</f>
        <v>1</v>
      </c>
      <c r="Z18" s="11">
        <f>IF(真實IC!Z18&gt;真實IC!Z$26,1,0)</f>
        <v>1</v>
      </c>
      <c r="AA18" s="11">
        <f>IF(真實IC!AA18&gt;真實IC!AA$26,1,0)</f>
        <v>1</v>
      </c>
      <c r="AB18" s="11">
        <f>IF(真實IC!AB18&gt;真實IC!AB$26,1,0)</f>
        <v>1</v>
      </c>
      <c r="AC18" s="11">
        <f>IF(真實IC!AC18&gt;真實IC!AC$26,1,0)</f>
        <v>0</v>
      </c>
      <c r="AD18" s="11">
        <f>IF(真實IC!AD18&gt;真實IC!AD$26,1,0)</f>
        <v>1</v>
      </c>
      <c r="AE18" s="11">
        <f>IF(真實IC!AE18&gt;真實IC!AE$26,1,0)</f>
        <v>1</v>
      </c>
      <c r="AF18" s="11">
        <f>IF(真實IC!AF18&gt;真實IC!AF$26,1,0)</f>
        <v>1</v>
      </c>
      <c r="AG18" s="11">
        <f>IF(真實IC!AG18&gt;真實IC!AG$26,1,0)</f>
        <v>0</v>
      </c>
      <c r="AH18" s="11">
        <f>IF(真實IC!AH18&gt;真實IC!AH$26,1,0)</f>
        <v>0</v>
      </c>
      <c r="AI18" s="11">
        <f>IF(真實IC!AI18&gt;真實IC!AI$26,1,0)</f>
        <v>1</v>
      </c>
      <c r="AJ18" s="11">
        <f>IF(真實IC!AJ18&gt;真實IC!AJ$26,1,0)</f>
        <v>0</v>
      </c>
      <c r="AK18" s="11">
        <f>IF(真實IC!AK18&gt;真實IC!AK$26,1,0)</f>
        <v>1</v>
      </c>
      <c r="AL18" s="11">
        <f>IF(真實IC!AL18&gt;真實IC!AL$26,1,0)</f>
        <v>0</v>
      </c>
      <c r="AM18" s="11">
        <f>IF(真實IC!AM18&gt;真實IC!AM$26,1,0)</f>
        <v>1</v>
      </c>
      <c r="AN18" s="11">
        <f>IF(真實IC!AN18&gt;真實IC!AN$26,1,0)</f>
        <v>1</v>
      </c>
      <c r="AO18" s="11">
        <f>IF(真實IC!AO18&gt;真實IC!AO$26,1,0)</f>
        <v>1</v>
      </c>
      <c r="AP18" s="11">
        <f>IF(真實IC!AP18&gt;真實IC!AP$26,1,0)</f>
        <v>1</v>
      </c>
      <c r="AQ18" s="11">
        <f>IF(真實IC!AQ18&gt;真實IC!AQ$26,1,0)</f>
        <v>0</v>
      </c>
      <c r="AR18" s="11">
        <f>IF(真實IC!AR18&gt;真實IC!AR$26,1,0)</f>
        <v>0</v>
      </c>
      <c r="AS18" s="11">
        <f>IF(真實IC!AS18&gt;真實IC!AS$26,1,0)</f>
        <v>0</v>
      </c>
      <c r="AT18" s="11">
        <f>IF(真實IC!AT18&gt;真實IC!AT$26,1,0)</f>
        <v>1</v>
      </c>
      <c r="AU18" s="11">
        <f>IF(真實IC!AU18&gt;真實IC!AU$26,1,0)</f>
        <v>1</v>
      </c>
      <c r="AV18" s="11">
        <f>IF(真實IC!AV18&gt;真實IC!AV$26,1,0)</f>
        <v>1</v>
      </c>
      <c r="AW18" s="11">
        <f>IF(真實IC!AW18&gt;真實IC!AW$26,1,0)</f>
        <v>1</v>
      </c>
      <c r="AX18" s="11">
        <f>IF(真實IC!AX18&gt;真實IC!AX$26,1,0)</f>
        <v>1</v>
      </c>
      <c r="AY18" s="11">
        <f>IF(真實IC!AY18&gt;真實IC!AY$26,1,0)</f>
        <v>0</v>
      </c>
      <c r="AZ18" s="11">
        <f>IF(真實IC!AZ18&gt;真實IC!AZ$26,1,0)</f>
        <v>1</v>
      </c>
      <c r="BA18" s="11">
        <f>IF(真實IC!BA18&gt;真實IC!BA$26,1,0)</f>
        <v>1</v>
      </c>
      <c r="BB18" s="11">
        <f>IF(真實IC!BB18&gt;真實IC!BB$26,1,0)</f>
        <v>1</v>
      </c>
      <c r="BC18" s="11">
        <f>IF(真實IC!BC18&gt;真實IC!BC$26,1,0)</f>
        <v>1</v>
      </c>
      <c r="BD18" s="11">
        <f>IF(真實IC!BD18&gt;真實IC!BD$26,1,0)</f>
        <v>1</v>
      </c>
      <c r="BE18" s="11">
        <f>IF(真實IC!BE18&gt;真實IC!BE$26,1,0)</f>
        <v>1</v>
      </c>
      <c r="BF18" s="11">
        <f>IF(真實IC!BF18&gt;真實IC!BF$26,1,0)</f>
        <v>1</v>
      </c>
      <c r="BG18" s="11">
        <f>IF(真實IC!BG18&gt;真實IC!BG$26,1,0)</f>
        <v>1</v>
      </c>
      <c r="BH18" s="11">
        <f>IF(真實IC!BH18&gt;真實IC!BH$26,1,0)</f>
        <v>1</v>
      </c>
      <c r="BI18" s="11">
        <f>IF(真實IC!BI18&gt;真實IC!BI$26,1,0)</f>
        <v>1</v>
      </c>
      <c r="BJ18" s="11">
        <f>IF(真實IC!BJ18&gt;真實IC!BJ$26,1,0)</f>
        <v>1</v>
      </c>
      <c r="BK18" s="11">
        <f>IF(真實IC!BK18&gt;真實IC!BK$26,1,0)</f>
        <v>0</v>
      </c>
      <c r="BL18" s="11">
        <f>IF(真實IC!BL18&gt;真實IC!BL$26,1,0)</f>
        <v>1</v>
      </c>
      <c r="BM18" s="11">
        <f>IF(真實IC!BM18&gt;真實IC!BM$26,1,0)</f>
        <v>1</v>
      </c>
      <c r="BN18" s="11">
        <f>IF(真實IC!BN18&gt;真實IC!BN$26,1,0)</f>
        <v>0</v>
      </c>
      <c r="BO18" s="11">
        <f>IF(真實IC!BO18&gt;真實IC!BO$26,1,0)</f>
        <v>1</v>
      </c>
      <c r="BP18" s="11">
        <f>IF(真實IC!BP18&gt;真實IC!BP$26,1,0)</f>
        <v>0</v>
      </c>
      <c r="BQ18" s="11">
        <f>IF(真實IC!BQ18&gt;真實IC!BQ$26,1,0)</f>
        <v>0</v>
      </c>
      <c r="BR18" s="11">
        <f>IF(真實IC!BR18&gt;真實IC!BR$26,1,0)</f>
        <v>1</v>
      </c>
      <c r="BS18" s="11">
        <f>IF(真實IC!BS18&gt;真實IC!BS$26,1,0)</f>
        <v>1</v>
      </c>
      <c r="BT18" s="11">
        <f>IF(真實IC!BT18&gt;真實IC!BT$26,1,0)</f>
        <v>0</v>
      </c>
      <c r="BU18" s="11">
        <f>IF(真實IC!BU18&gt;真實IC!BU$26,1,0)</f>
        <v>1</v>
      </c>
      <c r="BV18" s="11">
        <f>IF(真實IC!BV18&gt;真實IC!BV$26,1,0)</f>
        <v>0</v>
      </c>
      <c r="BW18" s="11">
        <f>IF(真實IC!BW18&gt;真實IC!BW$26,1,0)</f>
        <v>1</v>
      </c>
      <c r="BX18" s="11">
        <f>IF(真實IC!BX18&gt;真實IC!BX$26,1,0)</f>
        <v>1</v>
      </c>
      <c r="BY18" s="11">
        <f>IF(真實IC!BY18&gt;真實IC!BY$26,1,0)</f>
        <v>1</v>
      </c>
      <c r="BZ18" s="11">
        <f>IF(真實IC!BZ18&gt;真實IC!BZ$26,1,0)</f>
        <v>1</v>
      </c>
      <c r="CA18" s="11">
        <f>IF(真實IC!CA18&gt;真實IC!CA$26,1,0)</f>
        <v>1</v>
      </c>
      <c r="CB18" s="11">
        <f>IF(真實IC!CB18&gt;真實IC!CB$26,1,0)</f>
        <v>1</v>
      </c>
      <c r="CC18" s="11">
        <f>IF(真實IC!CC18&gt;真實IC!CC$26,1,0)</f>
        <v>1</v>
      </c>
      <c r="CD18" s="11">
        <f>IF(真實IC!CD18&gt;真實IC!CD$26,1,0)</f>
        <v>1</v>
      </c>
      <c r="CE18" s="11">
        <f>IF(真實IC!CE18&gt;真實IC!CE$26,1,0)</f>
        <v>1</v>
      </c>
      <c r="CF18" s="11">
        <f>IF(真實IC!CF18&gt;真實IC!CF$26,1,0)</f>
        <v>1</v>
      </c>
      <c r="CG18" s="11">
        <f>IF(真實IC!CG18&gt;真實IC!CG$26,1,0)</f>
        <v>1</v>
      </c>
      <c r="CH18" s="11">
        <f>IF(真實IC!CH18&gt;真實IC!CH$26,1,0)</f>
        <v>1</v>
      </c>
      <c r="CI18" s="11">
        <f>IF(真實IC!CI18&gt;真實IC!CI$26,1,0)</f>
        <v>1</v>
      </c>
      <c r="CJ18" s="11">
        <f>IF(真實IC!CJ18&gt;真實IC!CJ$26,1,0)</f>
        <v>0</v>
      </c>
      <c r="CK18" s="11">
        <f>IF(真實IC!CK18&gt;真實IC!CK$26,1,0)</f>
        <v>1</v>
      </c>
      <c r="CL18" s="11">
        <f>IF(真實IC!CL18&gt;真實IC!CL$26,1,0)</f>
        <v>0</v>
      </c>
      <c r="CM18" s="11">
        <f>IF(真實IC!CM18&gt;真實IC!CM$26,1,0)</f>
        <v>1</v>
      </c>
      <c r="CN18" s="11">
        <f>IF(真實IC!CN18&gt;真實IC!CN$26,1,0)</f>
        <v>1</v>
      </c>
      <c r="CO18" s="11">
        <f>IF(真實IC!CO18&gt;真實IC!CO$26,1,0)</f>
        <v>1</v>
      </c>
      <c r="CP18" s="11">
        <f>IF(真實IC!CP18&gt;真實IC!CP$26,1,0)</f>
        <v>1</v>
      </c>
      <c r="CQ18" s="11">
        <f>IF(真實IC!CQ18&gt;真實IC!CQ$26,1,0)</f>
        <v>1</v>
      </c>
      <c r="CR18" s="11">
        <f>IF(真實IC!CR18&gt;真實IC!CR$26,1,0)</f>
        <v>1</v>
      </c>
      <c r="CS18" s="11">
        <f>IF(真實IC!CS18&gt;真實IC!CS$26,1,0)</f>
        <v>1</v>
      </c>
      <c r="CT18" s="11">
        <f>IF(真實IC!CT18&gt;真實IC!CT$26,1,0)</f>
        <v>1</v>
      </c>
      <c r="CU18" s="11">
        <f>IF(真實IC!CU18&gt;真實IC!CU$26,1,0)</f>
        <v>1</v>
      </c>
      <c r="CV18" s="11">
        <f>IF(真實IC!CV18&gt;真實IC!CV$26,1,0)</f>
        <v>1</v>
      </c>
      <c r="CW18" s="11">
        <f>IF(真實IC!CW18&gt;真實IC!CW$26,1,0)</f>
        <v>1</v>
      </c>
      <c r="CX18" s="11">
        <f>IF(真實IC!CX18&gt;真實IC!CX$26,1,0)</f>
        <v>1</v>
      </c>
      <c r="CY18" s="11">
        <f>IF(真實IC!CY18&gt;真實IC!CY$26,1,0)</f>
        <v>1</v>
      </c>
      <c r="CZ18" s="11">
        <f>IF(真實IC!CZ18&gt;真實IC!CZ$26,1,0)</f>
        <v>1</v>
      </c>
      <c r="DA18" s="11">
        <f>IF(真實IC!DA18&gt;真實IC!DA$26,1,0)</f>
        <v>1</v>
      </c>
      <c r="DB18" s="11">
        <f>IF(真實IC!DB18&gt;真實IC!DB$26,1,0)</f>
        <v>1</v>
      </c>
      <c r="DC18" s="11">
        <f>IF(真實IC!DC18&gt;真實IC!DC$26,1,0)</f>
        <v>1</v>
      </c>
      <c r="DD18" s="11">
        <f>IF(真實IC!DD18&gt;真實IC!DD$26,1,0)</f>
        <v>1</v>
      </c>
      <c r="DE18" s="11">
        <f>IF(真實IC!DE18&gt;真實IC!DE$26,1,0)</f>
        <v>0</v>
      </c>
      <c r="DF18" s="11">
        <f>IF(真實IC!DF18&gt;真實IC!DF$26,1,0)</f>
        <v>1</v>
      </c>
      <c r="DG18" s="11">
        <f>IF(真實IC!DG18&gt;真實IC!DG$26,1,0)</f>
        <v>0</v>
      </c>
      <c r="DH18" s="11">
        <f>IF(真實IC!DH18&gt;真實IC!DH$26,1,0)</f>
        <v>1</v>
      </c>
      <c r="DI18" s="11">
        <f>IF(真實IC!DI18&gt;真實IC!DI$26,1,0)</f>
        <v>1</v>
      </c>
      <c r="DJ18" s="11">
        <f>IF(真實IC!DJ18&gt;真實IC!DJ$26,1,0)</f>
        <v>1</v>
      </c>
      <c r="DK18" s="11">
        <f>IF(真實IC!DK18&gt;真實IC!DK$26,1,0)</f>
        <v>1</v>
      </c>
      <c r="DL18" s="11">
        <f>IF(真實IC!DL18&gt;真實IC!DL$26,1,0)</f>
        <v>0</v>
      </c>
      <c r="DM18" s="11">
        <f>IF(真實IC!DM18&gt;真實IC!DM$26,1,0)</f>
        <v>0</v>
      </c>
      <c r="DN18" s="11">
        <f>IF(真實IC!DN18&gt;真實IC!DN$26,1,0)</f>
        <v>1</v>
      </c>
      <c r="DO18" s="11">
        <f>IF(真實IC!DO18&gt;真實IC!DO$26,1,0)</f>
        <v>1</v>
      </c>
      <c r="DP18" s="11">
        <f>IF(真實IC!DP18&gt;真實IC!DP$26,1,0)</f>
        <v>1</v>
      </c>
      <c r="DQ18" s="11">
        <f>IF(真實IC!DQ18&gt;真實IC!DQ$26,1,0)</f>
        <v>0</v>
      </c>
      <c r="DR18" s="11">
        <f>IF(真實IC!DR18&gt;真實IC!DR$26,1,0)</f>
        <v>1</v>
      </c>
      <c r="DS18" s="11">
        <f>IF(真實IC!DS18&gt;真實IC!DS$26,1,0)</f>
        <v>1</v>
      </c>
      <c r="DT18" s="11">
        <f>IF(真實IC!DT18&gt;真實IC!DT$26,1,0)</f>
        <v>0</v>
      </c>
      <c r="DU18" s="11">
        <f>IF(真實IC!DU18&gt;真實IC!DU$26,1,0)</f>
        <v>1</v>
      </c>
      <c r="DV18" s="11">
        <f>IF(真實IC!DV18&gt;真實IC!DV$26,1,0)</f>
        <v>1</v>
      </c>
      <c r="DW18" s="11">
        <f>IF(真實IC!DW18&gt;真實IC!DW$26,1,0)</f>
        <v>0</v>
      </c>
      <c r="DX18" s="11">
        <f>IF(真實IC!DX18&gt;真實IC!DX$26,1,0)</f>
        <v>1</v>
      </c>
      <c r="DY18" s="11">
        <f>IF(真實IC!DY18&gt;真實IC!DY$26,1,0)</f>
        <v>1</v>
      </c>
      <c r="DZ18" s="11">
        <f>IF(真實IC!DZ18&gt;真實IC!DZ$26,1,0)</f>
        <v>1</v>
      </c>
      <c r="EA18" s="11">
        <f>IF(真實IC!EA18&gt;真實IC!EA$26,1,0)</f>
        <v>0</v>
      </c>
      <c r="EB18" s="11">
        <f>IF(真實IC!EB18&gt;真實IC!EB$26,1,0)</f>
        <v>1</v>
      </c>
      <c r="EC18" s="11">
        <f>IF(真實IC!EC18&gt;真實IC!EC$26,1,0)</f>
        <v>1</v>
      </c>
      <c r="ED18" s="11">
        <f>IF(真實IC!ED18&gt;真實IC!ED$26,1,0)</f>
        <v>1</v>
      </c>
      <c r="EE18" s="11">
        <f>IF(真實IC!EE18&gt;真實IC!EE$26,1,0)</f>
        <v>0</v>
      </c>
      <c r="EF18" s="11">
        <f>IF(真實IC!EF18&gt;真實IC!EF$26,1,0)</f>
        <v>1</v>
      </c>
      <c r="EG18">
        <f t="shared" si="10"/>
        <v>105</v>
      </c>
      <c r="EH18" s="24">
        <f t="shared" si="11"/>
        <v>0.77611940298507465</v>
      </c>
    </row>
    <row r="19" spans="1:138" x14ac:dyDescent="0.3">
      <c r="A19" s="1">
        <v>160</v>
      </c>
      <c r="B19" s="1">
        <v>6</v>
      </c>
      <c r="C19" s="11">
        <f>IF(真實IC!C19&gt;真實IC!C$26,1,0)</f>
        <v>1</v>
      </c>
      <c r="D19" s="11">
        <f>IF(真實IC!D19&gt;真實IC!D$26,1,0)</f>
        <v>1</v>
      </c>
      <c r="E19" s="11">
        <f>IF(真實IC!E19&gt;真實IC!E$26,1,0)</f>
        <v>1</v>
      </c>
      <c r="F19" s="11">
        <f>IF(真實IC!F19&gt;真實IC!F$26,1,0)</f>
        <v>0</v>
      </c>
      <c r="G19" s="11">
        <f>IF(真實IC!G19&gt;真實IC!G$26,1,0)</f>
        <v>1</v>
      </c>
      <c r="H19" s="11">
        <f>IF(真實IC!H19&gt;真實IC!H$26,1,0)</f>
        <v>1</v>
      </c>
      <c r="I19" s="11">
        <f>IF(真實IC!I19&gt;真實IC!I$26,1,0)</f>
        <v>1</v>
      </c>
      <c r="J19" s="11">
        <f>IF(真實IC!J19&gt;真實IC!J$26,1,0)</f>
        <v>1</v>
      </c>
      <c r="K19" s="11">
        <f>IF(真實IC!K19&gt;真實IC!K$26,1,0)</f>
        <v>1</v>
      </c>
      <c r="L19" s="11">
        <f>IF(真實IC!L19&gt;真實IC!L$26,1,0)</f>
        <v>0</v>
      </c>
      <c r="M19" s="11">
        <f>IF(真實IC!M19&gt;真實IC!M$26,1,0)</f>
        <v>0</v>
      </c>
      <c r="N19" s="11">
        <f>IF(真實IC!N19&gt;真實IC!N$26,1,0)</f>
        <v>1</v>
      </c>
      <c r="O19" s="11">
        <f>IF(真實IC!O19&gt;真實IC!O$26,1,0)</f>
        <v>1</v>
      </c>
      <c r="P19" s="11">
        <f>IF(真實IC!P19&gt;真實IC!P$26,1,0)</f>
        <v>1</v>
      </c>
      <c r="Q19" s="11">
        <f>IF(真實IC!Q19&gt;真實IC!Q$26,1,0)</f>
        <v>1</v>
      </c>
      <c r="R19" s="11">
        <f>IF(真實IC!R19&gt;真實IC!R$26,1,0)</f>
        <v>0</v>
      </c>
      <c r="S19" s="11">
        <f>IF(真實IC!S19&gt;真實IC!S$26,1,0)</f>
        <v>1</v>
      </c>
      <c r="T19" s="11">
        <f>IF(真實IC!T19&gt;真實IC!T$26,1,0)</f>
        <v>1</v>
      </c>
      <c r="U19" s="11">
        <f>IF(真實IC!U19&gt;真實IC!U$26,1,0)</f>
        <v>1</v>
      </c>
      <c r="V19" s="11">
        <f>IF(真實IC!V19&gt;真實IC!V$26,1,0)</f>
        <v>1</v>
      </c>
      <c r="W19" s="11">
        <f>IF(真實IC!W19&gt;真實IC!W$26,1,0)</f>
        <v>1</v>
      </c>
      <c r="X19" s="11">
        <f>IF(真實IC!X19&gt;真實IC!X$26,1,0)</f>
        <v>1</v>
      </c>
      <c r="Y19" s="11">
        <f>IF(真實IC!Y19&gt;真實IC!Y$26,1,0)</f>
        <v>1</v>
      </c>
      <c r="Z19" s="11">
        <f>IF(真實IC!Z19&gt;真實IC!Z$26,1,0)</f>
        <v>1</v>
      </c>
      <c r="AA19" s="11">
        <f>IF(真實IC!AA19&gt;真實IC!AA$26,1,0)</f>
        <v>1</v>
      </c>
      <c r="AB19" s="11">
        <f>IF(真實IC!AB19&gt;真實IC!AB$26,1,0)</f>
        <v>1</v>
      </c>
      <c r="AC19" s="11">
        <f>IF(真實IC!AC19&gt;真實IC!AC$26,1,0)</f>
        <v>0</v>
      </c>
      <c r="AD19" s="11">
        <f>IF(真實IC!AD19&gt;真實IC!AD$26,1,0)</f>
        <v>1</v>
      </c>
      <c r="AE19" s="11">
        <f>IF(真實IC!AE19&gt;真實IC!AE$26,1,0)</f>
        <v>1</v>
      </c>
      <c r="AF19" s="11">
        <f>IF(真實IC!AF19&gt;真實IC!AF$26,1,0)</f>
        <v>1</v>
      </c>
      <c r="AG19" s="11">
        <f>IF(真實IC!AG19&gt;真實IC!AG$26,1,0)</f>
        <v>0</v>
      </c>
      <c r="AH19" s="11">
        <f>IF(真實IC!AH19&gt;真實IC!AH$26,1,0)</f>
        <v>0</v>
      </c>
      <c r="AI19" s="11">
        <f>IF(真實IC!AI19&gt;真實IC!AI$26,1,0)</f>
        <v>1</v>
      </c>
      <c r="AJ19" s="11">
        <f>IF(真實IC!AJ19&gt;真實IC!AJ$26,1,0)</f>
        <v>0</v>
      </c>
      <c r="AK19" s="11">
        <f>IF(真實IC!AK19&gt;真實IC!AK$26,1,0)</f>
        <v>1</v>
      </c>
      <c r="AL19" s="11">
        <f>IF(真實IC!AL19&gt;真實IC!AL$26,1,0)</f>
        <v>0</v>
      </c>
      <c r="AM19" s="11">
        <f>IF(真實IC!AM19&gt;真實IC!AM$26,1,0)</f>
        <v>1</v>
      </c>
      <c r="AN19" s="11">
        <f>IF(真實IC!AN19&gt;真實IC!AN$26,1,0)</f>
        <v>1</v>
      </c>
      <c r="AO19" s="11">
        <f>IF(真實IC!AO19&gt;真實IC!AO$26,1,0)</f>
        <v>1</v>
      </c>
      <c r="AP19" s="11">
        <f>IF(真實IC!AP19&gt;真實IC!AP$26,1,0)</f>
        <v>1</v>
      </c>
      <c r="AQ19" s="11">
        <f>IF(真實IC!AQ19&gt;真實IC!AQ$26,1,0)</f>
        <v>0</v>
      </c>
      <c r="AR19" s="11">
        <f>IF(真實IC!AR19&gt;真實IC!AR$26,1,0)</f>
        <v>0</v>
      </c>
      <c r="AS19" s="11">
        <f>IF(真實IC!AS19&gt;真實IC!AS$26,1,0)</f>
        <v>0</v>
      </c>
      <c r="AT19" s="11">
        <f>IF(真實IC!AT19&gt;真實IC!AT$26,1,0)</f>
        <v>1</v>
      </c>
      <c r="AU19" s="11">
        <f>IF(真實IC!AU19&gt;真實IC!AU$26,1,0)</f>
        <v>1</v>
      </c>
      <c r="AV19" s="11">
        <f>IF(真實IC!AV19&gt;真實IC!AV$26,1,0)</f>
        <v>0</v>
      </c>
      <c r="AW19" s="11">
        <f>IF(真實IC!AW19&gt;真實IC!AW$26,1,0)</f>
        <v>1</v>
      </c>
      <c r="AX19" s="11">
        <f>IF(真實IC!AX19&gt;真實IC!AX$26,1,0)</f>
        <v>1</v>
      </c>
      <c r="AY19" s="11">
        <f>IF(真實IC!AY19&gt;真實IC!AY$26,1,0)</f>
        <v>0</v>
      </c>
      <c r="AZ19" s="11">
        <f>IF(真實IC!AZ19&gt;真實IC!AZ$26,1,0)</f>
        <v>1</v>
      </c>
      <c r="BA19" s="11">
        <f>IF(真實IC!BA19&gt;真實IC!BA$26,1,0)</f>
        <v>1</v>
      </c>
      <c r="BB19" s="11">
        <f>IF(真實IC!BB19&gt;真實IC!BB$26,1,0)</f>
        <v>1</v>
      </c>
      <c r="BC19" s="11">
        <f>IF(真實IC!BC19&gt;真實IC!BC$26,1,0)</f>
        <v>1</v>
      </c>
      <c r="BD19" s="11">
        <f>IF(真實IC!BD19&gt;真實IC!BD$26,1,0)</f>
        <v>1</v>
      </c>
      <c r="BE19" s="11">
        <f>IF(真實IC!BE19&gt;真實IC!BE$26,1,0)</f>
        <v>1</v>
      </c>
      <c r="BF19" s="11">
        <f>IF(真實IC!BF19&gt;真實IC!BF$26,1,0)</f>
        <v>1</v>
      </c>
      <c r="BG19" s="11">
        <f>IF(真實IC!BG19&gt;真實IC!BG$26,1,0)</f>
        <v>1</v>
      </c>
      <c r="BH19" s="11">
        <f>IF(真實IC!BH19&gt;真實IC!BH$26,1,0)</f>
        <v>1</v>
      </c>
      <c r="BI19" s="11">
        <f>IF(真實IC!BI19&gt;真實IC!BI$26,1,0)</f>
        <v>1</v>
      </c>
      <c r="BJ19" s="11">
        <f>IF(真實IC!BJ19&gt;真實IC!BJ$26,1,0)</f>
        <v>1</v>
      </c>
      <c r="BK19" s="11">
        <f>IF(真實IC!BK19&gt;真實IC!BK$26,1,0)</f>
        <v>0</v>
      </c>
      <c r="BL19" s="11">
        <f>IF(真實IC!BL19&gt;真實IC!BL$26,1,0)</f>
        <v>1</v>
      </c>
      <c r="BM19" s="11">
        <f>IF(真實IC!BM19&gt;真實IC!BM$26,1,0)</f>
        <v>1</v>
      </c>
      <c r="BN19" s="11">
        <f>IF(真實IC!BN19&gt;真實IC!BN$26,1,0)</f>
        <v>0</v>
      </c>
      <c r="BO19" s="11">
        <f>IF(真實IC!BO19&gt;真實IC!BO$26,1,0)</f>
        <v>1</v>
      </c>
      <c r="BP19" s="11">
        <f>IF(真實IC!BP19&gt;真實IC!BP$26,1,0)</f>
        <v>0</v>
      </c>
      <c r="BQ19" s="11">
        <f>IF(真實IC!BQ19&gt;真實IC!BQ$26,1,0)</f>
        <v>1</v>
      </c>
      <c r="BR19" s="11">
        <f>IF(真實IC!BR19&gt;真實IC!BR$26,1,0)</f>
        <v>1</v>
      </c>
      <c r="BS19" s="11">
        <f>IF(真實IC!BS19&gt;真實IC!BS$26,1,0)</f>
        <v>0</v>
      </c>
      <c r="BT19" s="11">
        <f>IF(真實IC!BT19&gt;真實IC!BT$26,1,0)</f>
        <v>0</v>
      </c>
      <c r="BU19" s="11">
        <f>IF(真實IC!BU19&gt;真實IC!BU$26,1,0)</f>
        <v>1</v>
      </c>
      <c r="BV19" s="11">
        <f>IF(真實IC!BV19&gt;真實IC!BV$26,1,0)</f>
        <v>0</v>
      </c>
      <c r="BW19" s="11">
        <f>IF(真實IC!BW19&gt;真實IC!BW$26,1,0)</f>
        <v>1</v>
      </c>
      <c r="BX19" s="11">
        <f>IF(真實IC!BX19&gt;真實IC!BX$26,1,0)</f>
        <v>0</v>
      </c>
      <c r="BY19" s="11">
        <f>IF(真實IC!BY19&gt;真實IC!BY$26,1,0)</f>
        <v>1</v>
      </c>
      <c r="BZ19" s="11">
        <f>IF(真實IC!BZ19&gt;真實IC!BZ$26,1,0)</f>
        <v>0</v>
      </c>
      <c r="CA19" s="11">
        <f>IF(真實IC!CA19&gt;真實IC!CA$26,1,0)</f>
        <v>1</v>
      </c>
      <c r="CB19" s="11">
        <f>IF(真實IC!CB19&gt;真實IC!CB$26,1,0)</f>
        <v>1</v>
      </c>
      <c r="CC19" s="11">
        <f>IF(真實IC!CC19&gt;真實IC!CC$26,1,0)</f>
        <v>0</v>
      </c>
      <c r="CD19" s="11">
        <f>IF(真實IC!CD19&gt;真實IC!CD$26,1,0)</f>
        <v>1</v>
      </c>
      <c r="CE19" s="11">
        <f>IF(真實IC!CE19&gt;真實IC!CE$26,1,0)</f>
        <v>1</v>
      </c>
      <c r="CF19" s="11">
        <f>IF(真實IC!CF19&gt;真實IC!CF$26,1,0)</f>
        <v>1</v>
      </c>
      <c r="CG19" s="11">
        <f>IF(真實IC!CG19&gt;真實IC!CG$26,1,0)</f>
        <v>0</v>
      </c>
      <c r="CH19" s="11">
        <f>IF(真實IC!CH19&gt;真實IC!CH$26,1,0)</f>
        <v>1</v>
      </c>
      <c r="CI19" s="11">
        <f>IF(真實IC!CI19&gt;真實IC!CI$26,1,0)</f>
        <v>1</v>
      </c>
      <c r="CJ19" s="11">
        <f>IF(真實IC!CJ19&gt;真實IC!CJ$26,1,0)</f>
        <v>0</v>
      </c>
      <c r="CK19" s="11">
        <f>IF(真實IC!CK19&gt;真實IC!CK$26,1,0)</f>
        <v>1</v>
      </c>
      <c r="CL19" s="11">
        <f>IF(真實IC!CL19&gt;真實IC!CL$26,1,0)</f>
        <v>0</v>
      </c>
      <c r="CM19" s="11">
        <f>IF(真實IC!CM19&gt;真實IC!CM$26,1,0)</f>
        <v>1</v>
      </c>
      <c r="CN19" s="11">
        <f>IF(真實IC!CN19&gt;真實IC!CN$26,1,0)</f>
        <v>1</v>
      </c>
      <c r="CO19" s="11">
        <f>IF(真實IC!CO19&gt;真實IC!CO$26,1,0)</f>
        <v>1</v>
      </c>
      <c r="CP19" s="11">
        <f>IF(真實IC!CP19&gt;真實IC!CP$26,1,0)</f>
        <v>1</v>
      </c>
      <c r="CQ19" s="11">
        <f>IF(真實IC!CQ19&gt;真實IC!CQ$26,1,0)</f>
        <v>1</v>
      </c>
      <c r="CR19" s="11">
        <f>IF(真實IC!CR19&gt;真實IC!CR$26,1,0)</f>
        <v>1</v>
      </c>
      <c r="CS19" s="11">
        <f>IF(真實IC!CS19&gt;真實IC!CS$26,1,0)</f>
        <v>1</v>
      </c>
      <c r="CT19" s="11">
        <f>IF(真實IC!CT19&gt;真實IC!CT$26,1,0)</f>
        <v>0</v>
      </c>
      <c r="CU19" s="11">
        <f>IF(真實IC!CU19&gt;真實IC!CU$26,1,0)</f>
        <v>1</v>
      </c>
      <c r="CV19" s="11">
        <f>IF(真實IC!CV19&gt;真實IC!CV$26,1,0)</f>
        <v>1</v>
      </c>
      <c r="CW19" s="11">
        <f>IF(真實IC!CW19&gt;真實IC!CW$26,1,0)</f>
        <v>1</v>
      </c>
      <c r="CX19" s="11">
        <f>IF(真實IC!CX19&gt;真實IC!CX$26,1,0)</f>
        <v>1</v>
      </c>
      <c r="CY19" s="11">
        <f>IF(真實IC!CY19&gt;真實IC!CY$26,1,0)</f>
        <v>1</v>
      </c>
      <c r="CZ19" s="11">
        <f>IF(真實IC!CZ19&gt;真實IC!CZ$26,1,0)</f>
        <v>1</v>
      </c>
      <c r="DA19" s="11">
        <f>IF(真實IC!DA19&gt;真實IC!DA$26,1,0)</f>
        <v>1</v>
      </c>
      <c r="DB19" s="11">
        <f>IF(真實IC!DB19&gt;真實IC!DB$26,1,0)</f>
        <v>1</v>
      </c>
      <c r="DC19" s="11">
        <f>IF(真實IC!DC19&gt;真實IC!DC$26,1,0)</f>
        <v>1</v>
      </c>
      <c r="DD19" s="11">
        <f>IF(真實IC!DD19&gt;真實IC!DD$26,1,0)</f>
        <v>1</v>
      </c>
      <c r="DE19" s="11">
        <f>IF(真實IC!DE19&gt;真實IC!DE$26,1,0)</f>
        <v>0</v>
      </c>
      <c r="DF19" s="11">
        <f>IF(真實IC!DF19&gt;真實IC!DF$26,1,0)</f>
        <v>1</v>
      </c>
      <c r="DG19" s="11">
        <f>IF(真實IC!DG19&gt;真實IC!DG$26,1,0)</f>
        <v>0</v>
      </c>
      <c r="DH19" s="11">
        <f>IF(真實IC!DH19&gt;真實IC!DH$26,1,0)</f>
        <v>1</v>
      </c>
      <c r="DI19" s="11">
        <f>IF(真實IC!DI19&gt;真實IC!DI$26,1,0)</f>
        <v>1</v>
      </c>
      <c r="DJ19" s="11">
        <f>IF(真實IC!DJ19&gt;真實IC!DJ$26,1,0)</f>
        <v>1</v>
      </c>
      <c r="DK19" s="11">
        <f>IF(真實IC!DK19&gt;真實IC!DK$26,1,0)</f>
        <v>1</v>
      </c>
      <c r="DL19" s="11">
        <f>IF(真實IC!DL19&gt;真實IC!DL$26,1,0)</f>
        <v>0</v>
      </c>
      <c r="DM19" s="11">
        <f>IF(真實IC!DM19&gt;真實IC!DM$26,1,0)</f>
        <v>0</v>
      </c>
      <c r="DN19" s="11">
        <f>IF(真實IC!DN19&gt;真實IC!DN$26,1,0)</f>
        <v>1</v>
      </c>
      <c r="DO19" s="11">
        <f>IF(真實IC!DO19&gt;真實IC!DO$26,1,0)</f>
        <v>1</v>
      </c>
      <c r="DP19" s="11">
        <f>IF(真實IC!DP19&gt;真實IC!DP$26,1,0)</f>
        <v>1</v>
      </c>
      <c r="DQ19" s="11">
        <f>IF(真實IC!DQ19&gt;真實IC!DQ$26,1,0)</f>
        <v>0</v>
      </c>
      <c r="DR19" s="11">
        <f>IF(真實IC!DR19&gt;真實IC!DR$26,1,0)</f>
        <v>1</v>
      </c>
      <c r="DS19" s="11">
        <f>IF(真實IC!DS19&gt;真實IC!DS$26,1,0)</f>
        <v>0</v>
      </c>
      <c r="DT19" s="11">
        <f>IF(真實IC!DT19&gt;真實IC!DT$26,1,0)</f>
        <v>0</v>
      </c>
      <c r="DU19" s="11">
        <f>IF(真實IC!DU19&gt;真實IC!DU$26,1,0)</f>
        <v>1</v>
      </c>
      <c r="DV19" s="11">
        <f>IF(真實IC!DV19&gt;真實IC!DV$26,1,0)</f>
        <v>1</v>
      </c>
      <c r="DW19" s="11">
        <f>IF(真實IC!DW19&gt;真實IC!DW$26,1,0)</f>
        <v>0</v>
      </c>
      <c r="DX19" s="11">
        <f>IF(真實IC!DX19&gt;真實IC!DX$26,1,0)</f>
        <v>1</v>
      </c>
      <c r="DY19" s="11">
        <f>IF(真實IC!DY19&gt;真實IC!DY$26,1,0)</f>
        <v>1</v>
      </c>
      <c r="DZ19" s="11">
        <f>IF(真實IC!DZ19&gt;真實IC!DZ$26,1,0)</f>
        <v>1</v>
      </c>
      <c r="EA19" s="11">
        <f>IF(真實IC!EA19&gt;真實IC!EA$26,1,0)</f>
        <v>1</v>
      </c>
      <c r="EB19" s="11">
        <f>IF(真實IC!EB19&gt;真實IC!EB$26,1,0)</f>
        <v>1</v>
      </c>
      <c r="EC19" s="11">
        <f>IF(真實IC!EC19&gt;真實IC!EC$26,1,0)</f>
        <v>1</v>
      </c>
      <c r="ED19" s="11">
        <f>IF(真實IC!ED19&gt;真實IC!ED$26,1,0)</f>
        <v>1</v>
      </c>
      <c r="EE19" s="11">
        <f>IF(真實IC!EE19&gt;真實IC!EE$26,1,0)</f>
        <v>0</v>
      </c>
      <c r="EF19" s="11">
        <f>IF(真實IC!EF19&gt;真實IC!EF$26,1,0)</f>
        <v>1</v>
      </c>
      <c r="EG19">
        <f t="shared" si="10"/>
        <v>98</v>
      </c>
      <c r="EH19" s="24">
        <f t="shared" si="11"/>
        <v>0.72388059701492535</v>
      </c>
    </row>
    <row r="20" spans="1:138" x14ac:dyDescent="0.3">
      <c r="A20" s="1">
        <v>192</v>
      </c>
      <c r="B20" s="1">
        <v>5</v>
      </c>
      <c r="C20" s="11">
        <f>IF(真實IC!C20&gt;真實IC!C$26,1,0)</f>
        <v>1</v>
      </c>
      <c r="D20" s="11">
        <f>IF(真實IC!D20&gt;真實IC!D$26,1,0)</f>
        <v>1</v>
      </c>
      <c r="E20" s="11">
        <f>IF(真實IC!E20&gt;真實IC!E$26,1,0)</f>
        <v>1</v>
      </c>
      <c r="F20" s="11">
        <f>IF(真實IC!F20&gt;真實IC!F$26,1,0)</f>
        <v>0</v>
      </c>
      <c r="G20" s="11">
        <f>IF(真實IC!G20&gt;真實IC!G$26,1,0)</f>
        <v>1</v>
      </c>
      <c r="H20" s="11">
        <f>IF(真實IC!H20&gt;真實IC!H$26,1,0)</f>
        <v>1</v>
      </c>
      <c r="I20" s="11">
        <f>IF(真實IC!I20&gt;真實IC!I$26,1,0)</f>
        <v>1</v>
      </c>
      <c r="J20" s="11">
        <f>IF(真實IC!J20&gt;真實IC!J$26,1,0)</f>
        <v>1</v>
      </c>
      <c r="K20" s="11">
        <f>IF(真實IC!K20&gt;真實IC!K$26,1,0)</f>
        <v>1</v>
      </c>
      <c r="L20" s="11">
        <f>IF(真實IC!L20&gt;真實IC!L$26,1,0)</f>
        <v>0</v>
      </c>
      <c r="M20" s="11">
        <f>IF(真實IC!M20&gt;真實IC!M$26,1,0)</f>
        <v>0</v>
      </c>
      <c r="N20" s="11">
        <f>IF(真實IC!N20&gt;真實IC!N$26,1,0)</f>
        <v>1</v>
      </c>
      <c r="O20" s="11">
        <f>IF(真實IC!O20&gt;真實IC!O$26,1,0)</f>
        <v>1</v>
      </c>
      <c r="P20" s="11">
        <f>IF(真實IC!P20&gt;真實IC!P$26,1,0)</f>
        <v>1</v>
      </c>
      <c r="Q20" s="11">
        <f>IF(真實IC!Q20&gt;真實IC!Q$26,1,0)</f>
        <v>1</v>
      </c>
      <c r="R20" s="11">
        <f>IF(真實IC!R20&gt;真實IC!R$26,1,0)</f>
        <v>0</v>
      </c>
      <c r="S20" s="11">
        <f>IF(真實IC!S20&gt;真實IC!S$26,1,0)</f>
        <v>1</v>
      </c>
      <c r="T20" s="11">
        <f>IF(真實IC!T20&gt;真實IC!T$26,1,0)</f>
        <v>1</v>
      </c>
      <c r="U20" s="11">
        <f>IF(真實IC!U20&gt;真實IC!U$26,1,0)</f>
        <v>1</v>
      </c>
      <c r="V20" s="11">
        <f>IF(真實IC!V20&gt;真實IC!V$26,1,0)</f>
        <v>1</v>
      </c>
      <c r="W20" s="11">
        <f>IF(真實IC!W20&gt;真實IC!W$26,1,0)</f>
        <v>1</v>
      </c>
      <c r="X20" s="11">
        <f>IF(真實IC!X20&gt;真實IC!X$26,1,0)</f>
        <v>1</v>
      </c>
      <c r="Y20" s="11">
        <f>IF(真實IC!Y20&gt;真實IC!Y$26,1,0)</f>
        <v>0</v>
      </c>
      <c r="Z20" s="11">
        <f>IF(真實IC!Z20&gt;真實IC!Z$26,1,0)</f>
        <v>1</v>
      </c>
      <c r="AA20" s="11">
        <f>IF(真實IC!AA20&gt;真實IC!AA$26,1,0)</f>
        <v>1</v>
      </c>
      <c r="AB20" s="11">
        <f>IF(真實IC!AB20&gt;真實IC!AB$26,1,0)</f>
        <v>1</v>
      </c>
      <c r="AC20" s="11">
        <f>IF(真實IC!AC20&gt;真實IC!AC$26,1,0)</f>
        <v>1</v>
      </c>
      <c r="AD20" s="11">
        <f>IF(真實IC!AD20&gt;真實IC!AD$26,1,0)</f>
        <v>1</v>
      </c>
      <c r="AE20" s="11">
        <f>IF(真實IC!AE20&gt;真實IC!AE$26,1,0)</f>
        <v>1</v>
      </c>
      <c r="AF20" s="11">
        <f>IF(真實IC!AF20&gt;真實IC!AF$26,1,0)</f>
        <v>1</v>
      </c>
      <c r="AG20" s="11">
        <f>IF(真實IC!AG20&gt;真實IC!AG$26,1,0)</f>
        <v>0</v>
      </c>
      <c r="AH20" s="11">
        <f>IF(真實IC!AH20&gt;真實IC!AH$26,1,0)</f>
        <v>0</v>
      </c>
      <c r="AI20" s="11">
        <f>IF(真實IC!AI20&gt;真實IC!AI$26,1,0)</f>
        <v>1</v>
      </c>
      <c r="AJ20" s="11">
        <f>IF(真實IC!AJ20&gt;真實IC!AJ$26,1,0)</f>
        <v>0</v>
      </c>
      <c r="AK20" s="11">
        <f>IF(真實IC!AK20&gt;真實IC!AK$26,1,0)</f>
        <v>0</v>
      </c>
      <c r="AL20" s="11">
        <f>IF(真實IC!AL20&gt;真實IC!AL$26,1,0)</f>
        <v>0</v>
      </c>
      <c r="AM20" s="11">
        <f>IF(真實IC!AM20&gt;真實IC!AM$26,1,0)</f>
        <v>1</v>
      </c>
      <c r="AN20" s="11">
        <f>IF(真實IC!AN20&gt;真實IC!AN$26,1,0)</f>
        <v>1</v>
      </c>
      <c r="AO20" s="11">
        <f>IF(真實IC!AO20&gt;真實IC!AO$26,1,0)</f>
        <v>1</v>
      </c>
      <c r="AP20" s="11">
        <f>IF(真實IC!AP20&gt;真實IC!AP$26,1,0)</f>
        <v>1</v>
      </c>
      <c r="AQ20" s="11">
        <f>IF(真實IC!AQ20&gt;真實IC!AQ$26,1,0)</f>
        <v>1</v>
      </c>
      <c r="AR20" s="11">
        <f>IF(真實IC!AR20&gt;真實IC!AR$26,1,0)</f>
        <v>0</v>
      </c>
      <c r="AS20" s="11">
        <f>IF(真實IC!AS20&gt;真實IC!AS$26,1,0)</f>
        <v>0</v>
      </c>
      <c r="AT20" s="11">
        <f>IF(真實IC!AT20&gt;真實IC!AT$26,1,0)</f>
        <v>1</v>
      </c>
      <c r="AU20" s="11">
        <f>IF(真實IC!AU20&gt;真實IC!AU$26,1,0)</f>
        <v>1</v>
      </c>
      <c r="AV20" s="11">
        <f>IF(真實IC!AV20&gt;真實IC!AV$26,1,0)</f>
        <v>0</v>
      </c>
      <c r="AW20" s="11">
        <f>IF(真實IC!AW20&gt;真實IC!AW$26,1,0)</f>
        <v>1</v>
      </c>
      <c r="AX20" s="11">
        <f>IF(真實IC!AX20&gt;真實IC!AX$26,1,0)</f>
        <v>1</v>
      </c>
      <c r="AY20" s="11">
        <f>IF(真實IC!AY20&gt;真實IC!AY$26,1,0)</f>
        <v>0</v>
      </c>
      <c r="AZ20" s="11">
        <f>IF(真實IC!AZ20&gt;真實IC!AZ$26,1,0)</f>
        <v>1</v>
      </c>
      <c r="BA20" s="11">
        <f>IF(真實IC!BA20&gt;真實IC!BA$26,1,0)</f>
        <v>1</v>
      </c>
      <c r="BB20" s="11">
        <f>IF(真實IC!BB20&gt;真實IC!BB$26,1,0)</f>
        <v>1</v>
      </c>
      <c r="BC20" s="11">
        <f>IF(真實IC!BC20&gt;真實IC!BC$26,1,0)</f>
        <v>1</v>
      </c>
      <c r="BD20" s="11">
        <f>IF(真實IC!BD20&gt;真實IC!BD$26,1,0)</f>
        <v>1</v>
      </c>
      <c r="BE20" s="11">
        <f>IF(真實IC!BE20&gt;真實IC!BE$26,1,0)</f>
        <v>1</v>
      </c>
      <c r="BF20" s="11">
        <f>IF(真實IC!BF20&gt;真實IC!BF$26,1,0)</f>
        <v>1</v>
      </c>
      <c r="BG20" s="11">
        <f>IF(真實IC!BG20&gt;真實IC!BG$26,1,0)</f>
        <v>1</v>
      </c>
      <c r="BH20" s="11">
        <f>IF(真實IC!BH20&gt;真實IC!BH$26,1,0)</f>
        <v>1</v>
      </c>
      <c r="BI20" s="11">
        <f>IF(真實IC!BI20&gt;真實IC!BI$26,1,0)</f>
        <v>1</v>
      </c>
      <c r="BJ20" s="11">
        <f>IF(真實IC!BJ20&gt;真實IC!BJ$26,1,0)</f>
        <v>1</v>
      </c>
      <c r="BK20" s="11">
        <f>IF(真實IC!BK20&gt;真實IC!BK$26,1,0)</f>
        <v>0</v>
      </c>
      <c r="BL20" s="11">
        <f>IF(真實IC!BL20&gt;真實IC!BL$26,1,0)</f>
        <v>1</v>
      </c>
      <c r="BM20" s="11">
        <f>IF(真實IC!BM20&gt;真實IC!BM$26,1,0)</f>
        <v>1</v>
      </c>
      <c r="BN20" s="11">
        <f>IF(真實IC!BN20&gt;真實IC!BN$26,1,0)</f>
        <v>0</v>
      </c>
      <c r="BO20" s="11">
        <f>IF(真實IC!BO20&gt;真實IC!BO$26,1,0)</f>
        <v>1</v>
      </c>
      <c r="BP20" s="11">
        <f>IF(真實IC!BP20&gt;真實IC!BP$26,1,0)</f>
        <v>0</v>
      </c>
      <c r="BQ20" s="11">
        <f>IF(真實IC!BQ20&gt;真實IC!BQ$26,1,0)</f>
        <v>1</v>
      </c>
      <c r="BR20" s="11">
        <f>IF(真實IC!BR20&gt;真實IC!BR$26,1,0)</f>
        <v>1</v>
      </c>
      <c r="BS20" s="11">
        <f>IF(真實IC!BS20&gt;真實IC!BS$26,1,0)</f>
        <v>0</v>
      </c>
      <c r="BT20" s="11">
        <f>IF(真實IC!BT20&gt;真實IC!BT$26,1,0)</f>
        <v>0</v>
      </c>
      <c r="BU20" s="11">
        <f>IF(真實IC!BU20&gt;真實IC!BU$26,1,0)</f>
        <v>1</v>
      </c>
      <c r="BV20" s="11">
        <f>IF(真實IC!BV20&gt;真實IC!BV$26,1,0)</f>
        <v>0</v>
      </c>
      <c r="BW20" s="11">
        <f>IF(真實IC!BW20&gt;真實IC!BW$26,1,0)</f>
        <v>1</v>
      </c>
      <c r="BX20" s="11">
        <f>IF(真實IC!BX20&gt;真實IC!BX$26,1,0)</f>
        <v>0</v>
      </c>
      <c r="BY20" s="11">
        <f>IF(真實IC!BY20&gt;真實IC!BY$26,1,0)</f>
        <v>1</v>
      </c>
      <c r="BZ20" s="11">
        <f>IF(真實IC!BZ20&gt;真實IC!BZ$26,1,0)</f>
        <v>0</v>
      </c>
      <c r="CA20" s="11">
        <f>IF(真實IC!CA20&gt;真實IC!CA$26,1,0)</f>
        <v>1</v>
      </c>
      <c r="CB20" s="11">
        <f>IF(真實IC!CB20&gt;真實IC!CB$26,1,0)</f>
        <v>1</v>
      </c>
      <c r="CC20" s="11">
        <f>IF(真實IC!CC20&gt;真實IC!CC$26,1,0)</f>
        <v>0</v>
      </c>
      <c r="CD20" s="11">
        <f>IF(真實IC!CD20&gt;真實IC!CD$26,1,0)</f>
        <v>1</v>
      </c>
      <c r="CE20" s="11">
        <f>IF(真實IC!CE20&gt;真實IC!CE$26,1,0)</f>
        <v>1</v>
      </c>
      <c r="CF20" s="11">
        <f>IF(真實IC!CF20&gt;真實IC!CF$26,1,0)</f>
        <v>1</v>
      </c>
      <c r="CG20" s="11">
        <f>IF(真實IC!CG20&gt;真實IC!CG$26,1,0)</f>
        <v>0</v>
      </c>
      <c r="CH20" s="11">
        <f>IF(真實IC!CH20&gt;真實IC!CH$26,1,0)</f>
        <v>1</v>
      </c>
      <c r="CI20" s="11">
        <f>IF(真實IC!CI20&gt;真實IC!CI$26,1,0)</f>
        <v>1</v>
      </c>
      <c r="CJ20" s="11">
        <f>IF(真實IC!CJ20&gt;真實IC!CJ$26,1,0)</f>
        <v>0</v>
      </c>
      <c r="CK20" s="11">
        <f>IF(真實IC!CK20&gt;真實IC!CK$26,1,0)</f>
        <v>1</v>
      </c>
      <c r="CL20" s="11">
        <f>IF(真實IC!CL20&gt;真實IC!CL$26,1,0)</f>
        <v>0</v>
      </c>
      <c r="CM20" s="11">
        <f>IF(真實IC!CM20&gt;真實IC!CM$26,1,0)</f>
        <v>1</v>
      </c>
      <c r="CN20" s="11">
        <f>IF(真實IC!CN20&gt;真實IC!CN$26,1,0)</f>
        <v>1</v>
      </c>
      <c r="CO20" s="11">
        <f>IF(真實IC!CO20&gt;真實IC!CO$26,1,0)</f>
        <v>1</v>
      </c>
      <c r="CP20" s="11">
        <f>IF(真實IC!CP20&gt;真實IC!CP$26,1,0)</f>
        <v>1</v>
      </c>
      <c r="CQ20" s="11">
        <f>IF(真實IC!CQ20&gt;真實IC!CQ$26,1,0)</f>
        <v>1</v>
      </c>
      <c r="CR20" s="11">
        <f>IF(真實IC!CR20&gt;真實IC!CR$26,1,0)</f>
        <v>1</v>
      </c>
      <c r="CS20" s="11">
        <f>IF(真實IC!CS20&gt;真實IC!CS$26,1,0)</f>
        <v>1</v>
      </c>
      <c r="CT20" s="11">
        <f>IF(真實IC!CT20&gt;真實IC!CT$26,1,0)</f>
        <v>0</v>
      </c>
      <c r="CU20" s="11">
        <f>IF(真實IC!CU20&gt;真實IC!CU$26,1,0)</f>
        <v>1</v>
      </c>
      <c r="CV20" s="11">
        <f>IF(真實IC!CV20&gt;真實IC!CV$26,1,0)</f>
        <v>1</v>
      </c>
      <c r="CW20" s="11">
        <f>IF(真實IC!CW20&gt;真實IC!CW$26,1,0)</f>
        <v>1</v>
      </c>
      <c r="CX20" s="11">
        <f>IF(真實IC!CX20&gt;真實IC!CX$26,1,0)</f>
        <v>1</v>
      </c>
      <c r="CY20" s="11">
        <f>IF(真實IC!CY20&gt;真實IC!CY$26,1,0)</f>
        <v>1</v>
      </c>
      <c r="CZ20" s="11">
        <f>IF(真實IC!CZ20&gt;真實IC!CZ$26,1,0)</f>
        <v>1</v>
      </c>
      <c r="DA20" s="11">
        <f>IF(真實IC!DA20&gt;真實IC!DA$26,1,0)</f>
        <v>1</v>
      </c>
      <c r="DB20" s="11">
        <f>IF(真實IC!DB20&gt;真實IC!DB$26,1,0)</f>
        <v>1</v>
      </c>
      <c r="DC20" s="11">
        <f>IF(真實IC!DC20&gt;真實IC!DC$26,1,0)</f>
        <v>1</v>
      </c>
      <c r="DD20" s="11">
        <f>IF(真實IC!DD20&gt;真實IC!DD$26,1,0)</f>
        <v>1</v>
      </c>
      <c r="DE20" s="11">
        <f>IF(真實IC!DE20&gt;真實IC!DE$26,1,0)</f>
        <v>0</v>
      </c>
      <c r="DF20" s="11">
        <f>IF(真實IC!DF20&gt;真實IC!DF$26,1,0)</f>
        <v>1</v>
      </c>
      <c r="DG20" s="11">
        <f>IF(真實IC!DG20&gt;真實IC!DG$26,1,0)</f>
        <v>0</v>
      </c>
      <c r="DH20" s="11">
        <f>IF(真實IC!DH20&gt;真實IC!DH$26,1,0)</f>
        <v>1</v>
      </c>
      <c r="DI20" s="11">
        <f>IF(真實IC!DI20&gt;真實IC!DI$26,1,0)</f>
        <v>1</v>
      </c>
      <c r="DJ20" s="11">
        <f>IF(真實IC!DJ20&gt;真實IC!DJ$26,1,0)</f>
        <v>1</v>
      </c>
      <c r="DK20" s="11">
        <f>IF(真實IC!DK20&gt;真實IC!DK$26,1,0)</f>
        <v>1</v>
      </c>
      <c r="DL20" s="11">
        <f>IF(真實IC!DL20&gt;真實IC!DL$26,1,0)</f>
        <v>0</v>
      </c>
      <c r="DM20" s="11">
        <f>IF(真實IC!DM20&gt;真實IC!DM$26,1,0)</f>
        <v>0</v>
      </c>
      <c r="DN20" s="11">
        <f>IF(真實IC!DN20&gt;真實IC!DN$26,1,0)</f>
        <v>1</v>
      </c>
      <c r="DO20" s="11">
        <f>IF(真實IC!DO20&gt;真實IC!DO$26,1,0)</f>
        <v>1</v>
      </c>
      <c r="DP20" s="11">
        <f>IF(真實IC!DP20&gt;真實IC!DP$26,1,0)</f>
        <v>1</v>
      </c>
      <c r="DQ20" s="11">
        <f>IF(真實IC!DQ20&gt;真實IC!DQ$26,1,0)</f>
        <v>0</v>
      </c>
      <c r="DR20" s="11">
        <f>IF(真實IC!DR20&gt;真實IC!DR$26,1,0)</f>
        <v>1</v>
      </c>
      <c r="DS20" s="11">
        <f>IF(真實IC!DS20&gt;真實IC!DS$26,1,0)</f>
        <v>0</v>
      </c>
      <c r="DT20" s="11">
        <f>IF(真實IC!DT20&gt;真實IC!DT$26,1,0)</f>
        <v>0</v>
      </c>
      <c r="DU20" s="11">
        <f>IF(真實IC!DU20&gt;真實IC!DU$26,1,0)</f>
        <v>1</v>
      </c>
      <c r="DV20" s="11">
        <f>IF(真實IC!DV20&gt;真實IC!DV$26,1,0)</f>
        <v>1</v>
      </c>
      <c r="DW20" s="11">
        <f>IF(真實IC!DW20&gt;真實IC!DW$26,1,0)</f>
        <v>0</v>
      </c>
      <c r="DX20" s="11">
        <f>IF(真實IC!DX20&gt;真實IC!DX$26,1,0)</f>
        <v>1</v>
      </c>
      <c r="DY20" s="11">
        <f>IF(真實IC!DY20&gt;真實IC!DY$26,1,0)</f>
        <v>1</v>
      </c>
      <c r="DZ20" s="11">
        <f>IF(真實IC!DZ20&gt;真實IC!DZ$26,1,0)</f>
        <v>1</v>
      </c>
      <c r="EA20" s="11">
        <f>IF(真實IC!EA20&gt;真實IC!EA$26,1,0)</f>
        <v>0</v>
      </c>
      <c r="EB20" s="11">
        <f>IF(真實IC!EB20&gt;真實IC!EB$26,1,0)</f>
        <v>1</v>
      </c>
      <c r="EC20" s="11">
        <f>IF(真實IC!EC20&gt;真實IC!EC$26,1,0)</f>
        <v>1</v>
      </c>
      <c r="ED20" s="11">
        <f>IF(真實IC!ED20&gt;真實IC!ED$26,1,0)</f>
        <v>1</v>
      </c>
      <c r="EE20" s="11">
        <f>IF(真實IC!EE20&gt;真實IC!EE$26,1,0)</f>
        <v>0</v>
      </c>
      <c r="EF20" s="11">
        <f>IF(真實IC!EF20&gt;真實IC!EF$26,1,0)</f>
        <v>1</v>
      </c>
      <c r="EG20">
        <f t="shared" si="10"/>
        <v>97</v>
      </c>
      <c r="EH20" s="24">
        <f t="shared" si="11"/>
        <v>0.71641791044776115</v>
      </c>
    </row>
    <row r="21" spans="1:138" x14ac:dyDescent="0.3">
      <c r="A21" s="1">
        <v>241</v>
      </c>
      <c r="B21" s="1">
        <v>4</v>
      </c>
      <c r="C21" s="11">
        <f>IF(真實IC!C21&gt;真實IC!C$26,1,0)</f>
        <v>1</v>
      </c>
      <c r="D21" s="11">
        <f>IF(真實IC!D21&gt;真實IC!D$26,1,0)</f>
        <v>1</v>
      </c>
      <c r="E21" s="11">
        <f>IF(真實IC!E21&gt;真實IC!E$26,1,0)</f>
        <v>0</v>
      </c>
      <c r="F21" s="11">
        <f>IF(真實IC!F21&gt;真實IC!F$26,1,0)</f>
        <v>0</v>
      </c>
      <c r="G21" s="11">
        <f>IF(真實IC!G21&gt;真實IC!G$26,1,0)</f>
        <v>1</v>
      </c>
      <c r="H21" s="11">
        <f>IF(真實IC!H21&gt;真實IC!H$26,1,0)</f>
        <v>1</v>
      </c>
      <c r="I21" s="11">
        <f>IF(真實IC!I21&gt;真實IC!I$26,1,0)</f>
        <v>1</v>
      </c>
      <c r="J21" s="11">
        <f>IF(真實IC!J21&gt;真實IC!J$26,1,0)</f>
        <v>1</v>
      </c>
      <c r="K21" s="11">
        <f>IF(真實IC!K21&gt;真實IC!K$26,1,0)</f>
        <v>1</v>
      </c>
      <c r="L21" s="11">
        <f>IF(真實IC!L21&gt;真實IC!L$26,1,0)</f>
        <v>1</v>
      </c>
      <c r="M21" s="11">
        <f>IF(真實IC!M21&gt;真實IC!M$26,1,0)</f>
        <v>0</v>
      </c>
      <c r="N21" s="11">
        <f>IF(真實IC!N21&gt;真實IC!N$26,1,0)</f>
        <v>1</v>
      </c>
      <c r="O21" s="11">
        <f>IF(真實IC!O21&gt;真實IC!O$26,1,0)</f>
        <v>1</v>
      </c>
      <c r="P21" s="11">
        <f>IF(真實IC!P21&gt;真實IC!P$26,1,0)</f>
        <v>1</v>
      </c>
      <c r="Q21" s="11">
        <f>IF(真實IC!Q21&gt;真實IC!Q$26,1,0)</f>
        <v>1</v>
      </c>
      <c r="R21" s="11">
        <f>IF(真實IC!R21&gt;真實IC!R$26,1,0)</f>
        <v>0</v>
      </c>
      <c r="S21" s="11">
        <f>IF(真實IC!S21&gt;真實IC!S$26,1,0)</f>
        <v>1</v>
      </c>
      <c r="T21" s="11">
        <f>IF(真實IC!T21&gt;真實IC!T$26,1,0)</f>
        <v>1</v>
      </c>
      <c r="U21" s="11">
        <f>IF(真實IC!U21&gt;真實IC!U$26,1,0)</f>
        <v>1</v>
      </c>
      <c r="V21" s="11">
        <f>IF(真實IC!V21&gt;真實IC!V$26,1,0)</f>
        <v>1</v>
      </c>
      <c r="W21" s="11">
        <f>IF(真實IC!W21&gt;真實IC!W$26,1,0)</f>
        <v>1</v>
      </c>
      <c r="X21" s="11">
        <f>IF(真實IC!X21&gt;真實IC!X$26,1,0)</f>
        <v>1</v>
      </c>
      <c r="Y21" s="11">
        <f>IF(真實IC!Y21&gt;真實IC!Y$26,1,0)</f>
        <v>1</v>
      </c>
      <c r="Z21" s="11">
        <f>IF(真實IC!Z21&gt;真實IC!Z$26,1,0)</f>
        <v>1</v>
      </c>
      <c r="AA21" s="11">
        <f>IF(真實IC!AA21&gt;真實IC!AA$26,1,0)</f>
        <v>1</v>
      </c>
      <c r="AB21" s="11">
        <f>IF(真實IC!AB21&gt;真實IC!AB$26,1,0)</f>
        <v>1</v>
      </c>
      <c r="AC21" s="11">
        <f>IF(真實IC!AC21&gt;真實IC!AC$26,1,0)</f>
        <v>0</v>
      </c>
      <c r="AD21" s="11">
        <f>IF(真實IC!AD21&gt;真實IC!AD$26,1,0)</f>
        <v>1</v>
      </c>
      <c r="AE21" s="11">
        <f>IF(真實IC!AE21&gt;真實IC!AE$26,1,0)</f>
        <v>1</v>
      </c>
      <c r="AF21" s="11">
        <f>IF(真實IC!AF21&gt;真實IC!AF$26,1,0)</f>
        <v>1</v>
      </c>
      <c r="AG21" s="11">
        <f>IF(真實IC!AG21&gt;真實IC!AG$26,1,0)</f>
        <v>1</v>
      </c>
      <c r="AH21" s="11">
        <f>IF(真實IC!AH21&gt;真實IC!AH$26,1,0)</f>
        <v>0</v>
      </c>
      <c r="AI21" s="11">
        <f>IF(真實IC!AI21&gt;真實IC!AI$26,1,0)</f>
        <v>1</v>
      </c>
      <c r="AJ21" s="11">
        <f>IF(真實IC!AJ21&gt;真實IC!AJ$26,1,0)</f>
        <v>0</v>
      </c>
      <c r="AK21" s="11">
        <f>IF(真實IC!AK21&gt;真實IC!AK$26,1,0)</f>
        <v>0</v>
      </c>
      <c r="AL21" s="11">
        <f>IF(真實IC!AL21&gt;真實IC!AL$26,1,0)</f>
        <v>1</v>
      </c>
      <c r="AM21" s="11">
        <f>IF(真實IC!AM21&gt;真實IC!AM$26,1,0)</f>
        <v>1</v>
      </c>
      <c r="AN21" s="11">
        <f>IF(真實IC!AN21&gt;真實IC!AN$26,1,0)</f>
        <v>1</v>
      </c>
      <c r="AO21" s="11">
        <f>IF(真實IC!AO21&gt;真實IC!AO$26,1,0)</f>
        <v>1</v>
      </c>
      <c r="AP21" s="11">
        <f>IF(真實IC!AP21&gt;真實IC!AP$26,1,0)</f>
        <v>1</v>
      </c>
      <c r="AQ21" s="11">
        <f>IF(真實IC!AQ21&gt;真實IC!AQ$26,1,0)</f>
        <v>1</v>
      </c>
      <c r="AR21" s="11">
        <f>IF(真實IC!AR21&gt;真實IC!AR$26,1,0)</f>
        <v>1</v>
      </c>
      <c r="AS21" s="11">
        <f>IF(真實IC!AS21&gt;真實IC!AS$26,1,0)</f>
        <v>0</v>
      </c>
      <c r="AT21" s="11">
        <f>IF(真實IC!AT21&gt;真實IC!AT$26,1,0)</f>
        <v>1</v>
      </c>
      <c r="AU21" s="11">
        <f>IF(真實IC!AU21&gt;真實IC!AU$26,1,0)</f>
        <v>1</v>
      </c>
      <c r="AV21" s="11">
        <f>IF(真實IC!AV21&gt;真實IC!AV$26,1,0)</f>
        <v>0</v>
      </c>
      <c r="AW21" s="11">
        <f>IF(真實IC!AW21&gt;真實IC!AW$26,1,0)</f>
        <v>1</v>
      </c>
      <c r="AX21" s="11">
        <f>IF(真實IC!AX21&gt;真實IC!AX$26,1,0)</f>
        <v>1</v>
      </c>
      <c r="AY21" s="11">
        <f>IF(真實IC!AY21&gt;真實IC!AY$26,1,0)</f>
        <v>1</v>
      </c>
      <c r="AZ21" s="11">
        <f>IF(真實IC!AZ21&gt;真實IC!AZ$26,1,0)</f>
        <v>1</v>
      </c>
      <c r="BA21" s="11">
        <f>IF(真實IC!BA21&gt;真實IC!BA$26,1,0)</f>
        <v>1</v>
      </c>
      <c r="BB21" s="11">
        <f>IF(真實IC!BB21&gt;真實IC!BB$26,1,0)</f>
        <v>1</v>
      </c>
      <c r="BC21" s="11">
        <f>IF(真實IC!BC21&gt;真實IC!BC$26,1,0)</f>
        <v>1</v>
      </c>
      <c r="BD21" s="11">
        <f>IF(真實IC!BD21&gt;真實IC!BD$26,1,0)</f>
        <v>1</v>
      </c>
      <c r="BE21" s="11">
        <f>IF(真實IC!BE21&gt;真實IC!BE$26,1,0)</f>
        <v>1</v>
      </c>
      <c r="BF21" s="11">
        <f>IF(真實IC!BF21&gt;真實IC!BF$26,1,0)</f>
        <v>1</v>
      </c>
      <c r="BG21" s="11">
        <f>IF(真實IC!BG21&gt;真實IC!BG$26,1,0)</f>
        <v>1</v>
      </c>
      <c r="BH21" s="11">
        <f>IF(真實IC!BH21&gt;真實IC!BH$26,1,0)</f>
        <v>1</v>
      </c>
      <c r="BI21" s="11">
        <f>IF(真實IC!BI21&gt;真實IC!BI$26,1,0)</f>
        <v>1</v>
      </c>
      <c r="BJ21" s="11">
        <f>IF(真實IC!BJ21&gt;真實IC!BJ$26,1,0)</f>
        <v>1</v>
      </c>
      <c r="BK21" s="11">
        <f>IF(真實IC!BK21&gt;真實IC!BK$26,1,0)</f>
        <v>0</v>
      </c>
      <c r="BL21" s="11">
        <f>IF(真實IC!BL21&gt;真實IC!BL$26,1,0)</f>
        <v>1</v>
      </c>
      <c r="BM21" s="11">
        <f>IF(真實IC!BM21&gt;真實IC!BM$26,1,0)</f>
        <v>1</v>
      </c>
      <c r="BN21" s="11">
        <f>IF(真實IC!BN21&gt;真實IC!BN$26,1,0)</f>
        <v>0</v>
      </c>
      <c r="BO21" s="11">
        <f>IF(真實IC!BO21&gt;真實IC!BO$26,1,0)</f>
        <v>0</v>
      </c>
      <c r="BP21" s="11">
        <f>IF(真實IC!BP21&gt;真實IC!BP$26,1,0)</f>
        <v>0</v>
      </c>
      <c r="BQ21" s="11">
        <f>IF(真實IC!BQ21&gt;真實IC!BQ$26,1,0)</f>
        <v>1</v>
      </c>
      <c r="BR21" s="11">
        <f>IF(真實IC!BR21&gt;真實IC!BR$26,1,0)</f>
        <v>1</v>
      </c>
      <c r="BS21" s="11">
        <f>IF(真實IC!BS21&gt;真實IC!BS$26,1,0)</f>
        <v>0</v>
      </c>
      <c r="BT21" s="11">
        <f>IF(真實IC!BT21&gt;真實IC!BT$26,1,0)</f>
        <v>0</v>
      </c>
      <c r="BU21" s="11">
        <f>IF(真實IC!BU21&gt;真實IC!BU$26,1,0)</f>
        <v>1</v>
      </c>
      <c r="BV21" s="11">
        <f>IF(真實IC!BV21&gt;真實IC!BV$26,1,0)</f>
        <v>0</v>
      </c>
      <c r="BW21" s="11">
        <f>IF(真實IC!BW21&gt;真實IC!BW$26,1,0)</f>
        <v>1</v>
      </c>
      <c r="BX21" s="11">
        <f>IF(真實IC!BX21&gt;真實IC!BX$26,1,0)</f>
        <v>0</v>
      </c>
      <c r="BY21" s="11">
        <f>IF(真實IC!BY21&gt;真實IC!BY$26,1,0)</f>
        <v>1</v>
      </c>
      <c r="BZ21" s="11">
        <f>IF(真實IC!BZ21&gt;真實IC!BZ$26,1,0)</f>
        <v>0</v>
      </c>
      <c r="CA21" s="11">
        <f>IF(真實IC!CA21&gt;真實IC!CA$26,1,0)</f>
        <v>1</v>
      </c>
      <c r="CB21" s="11">
        <f>IF(真實IC!CB21&gt;真實IC!CB$26,1,0)</f>
        <v>1</v>
      </c>
      <c r="CC21" s="11">
        <f>IF(真實IC!CC21&gt;真實IC!CC$26,1,0)</f>
        <v>0</v>
      </c>
      <c r="CD21" s="11">
        <f>IF(真實IC!CD21&gt;真實IC!CD$26,1,0)</f>
        <v>1</v>
      </c>
      <c r="CE21" s="11">
        <f>IF(真實IC!CE21&gt;真實IC!CE$26,1,0)</f>
        <v>1</v>
      </c>
      <c r="CF21" s="11">
        <f>IF(真實IC!CF21&gt;真實IC!CF$26,1,0)</f>
        <v>1</v>
      </c>
      <c r="CG21" s="11">
        <f>IF(真實IC!CG21&gt;真實IC!CG$26,1,0)</f>
        <v>0</v>
      </c>
      <c r="CH21" s="11">
        <f>IF(真實IC!CH21&gt;真實IC!CH$26,1,0)</f>
        <v>1</v>
      </c>
      <c r="CI21" s="11">
        <f>IF(真實IC!CI21&gt;真實IC!CI$26,1,0)</f>
        <v>1</v>
      </c>
      <c r="CJ21" s="11">
        <f>IF(真實IC!CJ21&gt;真實IC!CJ$26,1,0)</f>
        <v>0</v>
      </c>
      <c r="CK21" s="11">
        <f>IF(真實IC!CK21&gt;真實IC!CK$26,1,0)</f>
        <v>1</v>
      </c>
      <c r="CL21" s="11">
        <f>IF(真實IC!CL21&gt;真實IC!CL$26,1,0)</f>
        <v>0</v>
      </c>
      <c r="CM21" s="11">
        <f>IF(真實IC!CM21&gt;真實IC!CM$26,1,0)</f>
        <v>1</v>
      </c>
      <c r="CN21" s="11">
        <f>IF(真實IC!CN21&gt;真實IC!CN$26,1,0)</f>
        <v>1</v>
      </c>
      <c r="CO21" s="11">
        <f>IF(真實IC!CO21&gt;真實IC!CO$26,1,0)</f>
        <v>1</v>
      </c>
      <c r="CP21" s="11">
        <f>IF(真實IC!CP21&gt;真實IC!CP$26,1,0)</f>
        <v>1</v>
      </c>
      <c r="CQ21" s="11">
        <f>IF(真實IC!CQ21&gt;真實IC!CQ$26,1,0)</f>
        <v>1</v>
      </c>
      <c r="CR21" s="11">
        <f>IF(真實IC!CR21&gt;真實IC!CR$26,1,0)</f>
        <v>1</v>
      </c>
      <c r="CS21" s="11">
        <f>IF(真實IC!CS21&gt;真實IC!CS$26,1,0)</f>
        <v>1</v>
      </c>
      <c r="CT21" s="11">
        <f>IF(真實IC!CT21&gt;真實IC!CT$26,1,0)</f>
        <v>1</v>
      </c>
      <c r="CU21" s="11">
        <f>IF(真實IC!CU21&gt;真實IC!CU$26,1,0)</f>
        <v>1</v>
      </c>
      <c r="CV21" s="11">
        <f>IF(真實IC!CV21&gt;真實IC!CV$26,1,0)</f>
        <v>1</v>
      </c>
      <c r="CW21" s="11">
        <f>IF(真實IC!CW21&gt;真實IC!CW$26,1,0)</f>
        <v>1</v>
      </c>
      <c r="CX21" s="11">
        <f>IF(真實IC!CX21&gt;真實IC!CX$26,1,0)</f>
        <v>1</v>
      </c>
      <c r="CY21" s="11">
        <f>IF(真實IC!CY21&gt;真實IC!CY$26,1,0)</f>
        <v>1</v>
      </c>
      <c r="CZ21" s="11">
        <f>IF(真實IC!CZ21&gt;真實IC!CZ$26,1,0)</f>
        <v>1</v>
      </c>
      <c r="DA21" s="11">
        <f>IF(真實IC!DA21&gt;真實IC!DA$26,1,0)</f>
        <v>1</v>
      </c>
      <c r="DB21" s="11">
        <f>IF(真實IC!DB21&gt;真實IC!DB$26,1,0)</f>
        <v>1</v>
      </c>
      <c r="DC21" s="11">
        <f>IF(真實IC!DC21&gt;真實IC!DC$26,1,0)</f>
        <v>1</v>
      </c>
      <c r="DD21" s="11">
        <f>IF(真實IC!DD21&gt;真實IC!DD$26,1,0)</f>
        <v>1</v>
      </c>
      <c r="DE21" s="11">
        <f>IF(真實IC!DE21&gt;真實IC!DE$26,1,0)</f>
        <v>0</v>
      </c>
      <c r="DF21" s="11">
        <f>IF(真實IC!DF21&gt;真實IC!DF$26,1,0)</f>
        <v>1</v>
      </c>
      <c r="DG21" s="11">
        <f>IF(真實IC!DG21&gt;真實IC!DG$26,1,0)</f>
        <v>0</v>
      </c>
      <c r="DH21" s="11">
        <f>IF(真實IC!DH21&gt;真實IC!DH$26,1,0)</f>
        <v>1</v>
      </c>
      <c r="DI21" s="11">
        <f>IF(真實IC!DI21&gt;真實IC!DI$26,1,0)</f>
        <v>1</v>
      </c>
      <c r="DJ21" s="11">
        <f>IF(真實IC!DJ21&gt;真實IC!DJ$26,1,0)</f>
        <v>1</v>
      </c>
      <c r="DK21" s="11">
        <f>IF(真實IC!DK21&gt;真實IC!DK$26,1,0)</f>
        <v>1</v>
      </c>
      <c r="DL21" s="11">
        <f>IF(真實IC!DL21&gt;真實IC!DL$26,1,0)</f>
        <v>0</v>
      </c>
      <c r="DM21" s="11">
        <f>IF(真實IC!DM21&gt;真實IC!DM$26,1,0)</f>
        <v>0</v>
      </c>
      <c r="DN21" s="11">
        <f>IF(真實IC!DN21&gt;真實IC!DN$26,1,0)</f>
        <v>1</v>
      </c>
      <c r="DO21" s="11">
        <f>IF(真實IC!DO21&gt;真實IC!DO$26,1,0)</f>
        <v>1</v>
      </c>
      <c r="DP21" s="11">
        <f>IF(真實IC!DP21&gt;真實IC!DP$26,1,0)</f>
        <v>1</v>
      </c>
      <c r="DQ21" s="11">
        <f>IF(真實IC!DQ21&gt;真實IC!DQ$26,1,0)</f>
        <v>0</v>
      </c>
      <c r="DR21" s="11">
        <f>IF(真實IC!DR21&gt;真實IC!DR$26,1,0)</f>
        <v>1</v>
      </c>
      <c r="DS21" s="11">
        <f>IF(真實IC!DS21&gt;真實IC!DS$26,1,0)</f>
        <v>1</v>
      </c>
      <c r="DT21" s="11">
        <f>IF(真實IC!DT21&gt;真實IC!DT$26,1,0)</f>
        <v>0</v>
      </c>
      <c r="DU21" s="11">
        <f>IF(真實IC!DU21&gt;真實IC!DU$26,1,0)</f>
        <v>1</v>
      </c>
      <c r="DV21" s="11">
        <f>IF(真實IC!DV21&gt;真實IC!DV$26,1,0)</f>
        <v>1</v>
      </c>
      <c r="DW21" s="11">
        <f>IF(真實IC!DW21&gt;真實IC!DW$26,1,0)</f>
        <v>0</v>
      </c>
      <c r="DX21" s="11">
        <f>IF(真實IC!DX21&gt;真實IC!DX$26,1,0)</f>
        <v>1</v>
      </c>
      <c r="DY21" s="11">
        <f>IF(真實IC!DY21&gt;真實IC!DY$26,1,0)</f>
        <v>1</v>
      </c>
      <c r="DZ21" s="11">
        <f>IF(真實IC!DZ21&gt;真實IC!DZ$26,1,0)</f>
        <v>1</v>
      </c>
      <c r="EA21" s="11">
        <f>IF(真實IC!EA21&gt;真實IC!EA$26,1,0)</f>
        <v>0</v>
      </c>
      <c r="EB21" s="11">
        <f>IF(真實IC!EB21&gt;真實IC!EB$26,1,0)</f>
        <v>0</v>
      </c>
      <c r="EC21" s="11">
        <f>IF(真實IC!EC21&gt;真實IC!EC$26,1,0)</f>
        <v>1</v>
      </c>
      <c r="ED21" s="11">
        <f>IF(真實IC!ED21&gt;真實IC!ED$26,1,0)</f>
        <v>1</v>
      </c>
      <c r="EE21" s="11">
        <f>IF(真實IC!EE21&gt;真實IC!EE$26,1,0)</f>
        <v>1</v>
      </c>
      <c r="EF21" s="11">
        <f>IF(真實IC!EF21&gt;真實IC!EF$26,1,0)</f>
        <v>1</v>
      </c>
      <c r="EG21">
        <f t="shared" si="10"/>
        <v>102</v>
      </c>
      <c r="EH21" s="24">
        <f t="shared" si="11"/>
        <v>0.75373134328358204</v>
      </c>
    </row>
    <row r="22" spans="1:138" x14ac:dyDescent="0.3">
      <c r="A22" s="1">
        <v>321</v>
      </c>
      <c r="B22" s="1">
        <v>3</v>
      </c>
      <c r="C22" s="11">
        <f>IF(真實IC!C22&gt;真實IC!C$26,1,0)</f>
        <v>1</v>
      </c>
      <c r="D22" s="11">
        <f>IF(真實IC!D22&gt;真實IC!D$26,1,0)</f>
        <v>1</v>
      </c>
      <c r="E22" s="11">
        <f>IF(真實IC!E22&gt;真實IC!E$26,1,0)</f>
        <v>0</v>
      </c>
      <c r="F22" s="11">
        <f>IF(真實IC!F22&gt;真實IC!F$26,1,0)</f>
        <v>0</v>
      </c>
      <c r="G22" s="11">
        <f>IF(真實IC!G22&gt;真實IC!G$26,1,0)</f>
        <v>1</v>
      </c>
      <c r="H22" s="11">
        <f>IF(真實IC!H22&gt;真實IC!H$26,1,0)</f>
        <v>1</v>
      </c>
      <c r="I22" s="11">
        <f>IF(真實IC!I22&gt;真實IC!I$26,1,0)</f>
        <v>1</v>
      </c>
      <c r="J22" s="11">
        <f>IF(真實IC!J22&gt;真實IC!J$26,1,0)</f>
        <v>1</v>
      </c>
      <c r="K22" s="11">
        <f>IF(真實IC!K22&gt;真實IC!K$26,1,0)</f>
        <v>1</v>
      </c>
      <c r="L22" s="11">
        <f>IF(真實IC!L22&gt;真實IC!L$26,1,0)</f>
        <v>0</v>
      </c>
      <c r="M22" s="11">
        <f>IF(真實IC!M22&gt;真實IC!M$26,1,0)</f>
        <v>0</v>
      </c>
      <c r="N22" s="11">
        <f>IF(真實IC!N22&gt;真實IC!N$26,1,0)</f>
        <v>1</v>
      </c>
      <c r="O22" s="11">
        <f>IF(真實IC!O22&gt;真實IC!O$26,1,0)</f>
        <v>0</v>
      </c>
      <c r="P22" s="11">
        <f>IF(真實IC!P22&gt;真實IC!P$26,1,0)</f>
        <v>1</v>
      </c>
      <c r="Q22" s="11">
        <f>IF(真實IC!Q22&gt;真實IC!Q$26,1,0)</f>
        <v>1</v>
      </c>
      <c r="R22" s="11">
        <f>IF(真實IC!R22&gt;真實IC!R$26,1,0)</f>
        <v>0</v>
      </c>
      <c r="S22" s="11">
        <f>IF(真實IC!S22&gt;真實IC!S$26,1,0)</f>
        <v>1</v>
      </c>
      <c r="T22" s="11">
        <f>IF(真實IC!T22&gt;真實IC!T$26,1,0)</f>
        <v>1</v>
      </c>
      <c r="U22" s="11">
        <f>IF(真實IC!U22&gt;真實IC!U$26,1,0)</f>
        <v>1</v>
      </c>
      <c r="V22" s="11">
        <f>IF(真實IC!V22&gt;真實IC!V$26,1,0)</f>
        <v>1</v>
      </c>
      <c r="W22" s="11">
        <f>IF(真實IC!W22&gt;真實IC!W$26,1,0)</f>
        <v>1</v>
      </c>
      <c r="X22" s="11">
        <f>IF(真實IC!X22&gt;真實IC!X$26,1,0)</f>
        <v>1</v>
      </c>
      <c r="Y22" s="11">
        <f>IF(真實IC!Y22&gt;真實IC!Y$26,1,0)</f>
        <v>1</v>
      </c>
      <c r="Z22" s="11">
        <f>IF(真實IC!Z22&gt;真實IC!Z$26,1,0)</f>
        <v>1</v>
      </c>
      <c r="AA22" s="11">
        <f>IF(真實IC!AA22&gt;真實IC!AA$26,1,0)</f>
        <v>1</v>
      </c>
      <c r="AB22" s="11">
        <f>IF(真實IC!AB22&gt;真實IC!AB$26,1,0)</f>
        <v>1</v>
      </c>
      <c r="AC22" s="11">
        <f>IF(真實IC!AC22&gt;真實IC!AC$26,1,0)</f>
        <v>1</v>
      </c>
      <c r="AD22" s="11">
        <f>IF(真實IC!AD22&gt;真實IC!AD$26,1,0)</f>
        <v>1</v>
      </c>
      <c r="AE22" s="11">
        <f>IF(真實IC!AE22&gt;真實IC!AE$26,1,0)</f>
        <v>1</v>
      </c>
      <c r="AF22" s="11">
        <f>IF(真實IC!AF22&gt;真實IC!AF$26,1,0)</f>
        <v>1</v>
      </c>
      <c r="AG22" s="11">
        <f>IF(真實IC!AG22&gt;真實IC!AG$26,1,0)</f>
        <v>1</v>
      </c>
      <c r="AH22" s="11">
        <f>IF(真實IC!AH22&gt;真實IC!AH$26,1,0)</f>
        <v>0</v>
      </c>
      <c r="AI22" s="11">
        <f>IF(真實IC!AI22&gt;真實IC!AI$26,1,0)</f>
        <v>1</v>
      </c>
      <c r="AJ22" s="11">
        <f>IF(真實IC!AJ22&gt;真實IC!AJ$26,1,0)</f>
        <v>0</v>
      </c>
      <c r="AK22" s="11">
        <f>IF(真實IC!AK22&gt;真實IC!AK$26,1,0)</f>
        <v>1</v>
      </c>
      <c r="AL22" s="11">
        <f>IF(真實IC!AL22&gt;真實IC!AL$26,1,0)</f>
        <v>0</v>
      </c>
      <c r="AM22" s="11">
        <f>IF(真實IC!AM22&gt;真實IC!AM$26,1,0)</f>
        <v>1</v>
      </c>
      <c r="AN22" s="11">
        <f>IF(真實IC!AN22&gt;真實IC!AN$26,1,0)</f>
        <v>1</v>
      </c>
      <c r="AO22" s="11">
        <f>IF(真實IC!AO22&gt;真實IC!AO$26,1,0)</f>
        <v>1</v>
      </c>
      <c r="AP22" s="11">
        <f>IF(真實IC!AP22&gt;真實IC!AP$26,1,0)</f>
        <v>1</v>
      </c>
      <c r="AQ22" s="11">
        <f>IF(真實IC!AQ22&gt;真實IC!AQ$26,1,0)</f>
        <v>1</v>
      </c>
      <c r="AR22" s="11">
        <f>IF(真實IC!AR22&gt;真實IC!AR$26,1,0)</f>
        <v>1</v>
      </c>
      <c r="AS22" s="11">
        <f>IF(真實IC!AS22&gt;真實IC!AS$26,1,0)</f>
        <v>1</v>
      </c>
      <c r="AT22" s="11">
        <f>IF(真實IC!AT22&gt;真實IC!AT$26,1,0)</f>
        <v>1</v>
      </c>
      <c r="AU22" s="11">
        <f>IF(真實IC!AU22&gt;真實IC!AU$26,1,0)</f>
        <v>1</v>
      </c>
      <c r="AV22" s="11">
        <f>IF(真實IC!AV22&gt;真實IC!AV$26,1,0)</f>
        <v>0</v>
      </c>
      <c r="AW22" s="11">
        <f>IF(真實IC!AW22&gt;真實IC!AW$26,1,0)</f>
        <v>1</v>
      </c>
      <c r="AX22" s="11">
        <f>IF(真實IC!AX22&gt;真實IC!AX$26,1,0)</f>
        <v>0</v>
      </c>
      <c r="AY22" s="11">
        <f>IF(真實IC!AY22&gt;真實IC!AY$26,1,0)</f>
        <v>1</v>
      </c>
      <c r="AZ22" s="11">
        <f>IF(真實IC!AZ22&gt;真實IC!AZ$26,1,0)</f>
        <v>1</v>
      </c>
      <c r="BA22" s="11">
        <f>IF(真實IC!BA22&gt;真實IC!BA$26,1,0)</f>
        <v>1</v>
      </c>
      <c r="BB22" s="11">
        <f>IF(真實IC!BB22&gt;真實IC!BB$26,1,0)</f>
        <v>1</v>
      </c>
      <c r="BC22" s="11">
        <f>IF(真實IC!BC22&gt;真實IC!BC$26,1,0)</f>
        <v>1</v>
      </c>
      <c r="BD22" s="11">
        <f>IF(真實IC!BD22&gt;真實IC!BD$26,1,0)</f>
        <v>1</v>
      </c>
      <c r="BE22" s="11">
        <f>IF(真實IC!BE22&gt;真實IC!BE$26,1,0)</f>
        <v>1</v>
      </c>
      <c r="BF22" s="11">
        <f>IF(真實IC!BF22&gt;真實IC!BF$26,1,0)</f>
        <v>1</v>
      </c>
      <c r="BG22" s="11">
        <f>IF(真實IC!BG22&gt;真實IC!BG$26,1,0)</f>
        <v>0</v>
      </c>
      <c r="BH22" s="11">
        <f>IF(真實IC!BH22&gt;真實IC!BH$26,1,0)</f>
        <v>1</v>
      </c>
      <c r="BI22" s="11">
        <f>IF(真實IC!BI22&gt;真實IC!BI$26,1,0)</f>
        <v>1</v>
      </c>
      <c r="BJ22" s="11">
        <f>IF(真實IC!BJ22&gt;真實IC!BJ$26,1,0)</f>
        <v>1</v>
      </c>
      <c r="BK22" s="11">
        <f>IF(真實IC!BK22&gt;真實IC!BK$26,1,0)</f>
        <v>0</v>
      </c>
      <c r="BL22" s="11">
        <f>IF(真實IC!BL22&gt;真實IC!BL$26,1,0)</f>
        <v>1</v>
      </c>
      <c r="BM22" s="11">
        <f>IF(真實IC!BM22&gt;真實IC!BM$26,1,0)</f>
        <v>0</v>
      </c>
      <c r="BN22" s="11">
        <f>IF(真實IC!BN22&gt;真實IC!BN$26,1,0)</f>
        <v>1</v>
      </c>
      <c r="BO22" s="11">
        <f>IF(真實IC!BO22&gt;真實IC!BO$26,1,0)</f>
        <v>0</v>
      </c>
      <c r="BP22" s="11">
        <f>IF(真實IC!BP22&gt;真實IC!BP$26,1,0)</f>
        <v>0</v>
      </c>
      <c r="BQ22" s="11">
        <f>IF(真實IC!BQ22&gt;真實IC!BQ$26,1,0)</f>
        <v>1</v>
      </c>
      <c r="BR22" s="11">
        <f>IF(真實IC!BR22&gt;真實IC!BR$26,1,0)</f>
        <v>1</v>
      </c>
      <c r="BS22" s="11">
        <f>IF(真實IC!BS22&gt;真實IC!BS$26,1,0)</f>
        <v>0</v>
      </c>
      <c r="BT22" s="11">
        <f>IF(真實IC!BT22&gt;真實IC!BT$26,1,0)</f>
        <v>1</v>
      </c>
      <c r="BU22" s="11">
        <f>IF(真實IC!BU22&gt;真實IC!BU$26,1,0)</f>
        <v>1</v>
      </c>
      <c r="BV22" s="11">
        <f>IF(真實IC!BV22&gt;真實IC!BV$26,1,0)</f>
        <v>0</v>
      </c>
      <c r="BW22" s="11">
        <f>IF(真實IC!BW22&gt;真實IC!BW$26,1,0)</f>
        <v>1</v>
      </c>
      <c r="BX22" s="11">
        <f>IF(真實IC!BX22&gt;真實IC!BX$26,1,0)</f>
        <v>0</v>
      </c>
      <c r="BY22" s="11">
        <f>IF(真實IC!BY22&gt;真實IC!BY$26,1,0)</f>
        <v>1</v>
      </c>
      <c r="BZ22" s="11">
        <f>IF(真實IC!BZ22&gt;真實IC!BZ$26,1,0)</f>
        <v>0</v>
      </c>
      <c r="CA22" s="11">
        <f>IF(真實IC!CA22&gt;真實IC!CA$26,1,0)</f>
        <v>1</v>
      </c>
      <c r="CB22" s="11">
        <f>IF(真實IC!CB22&gt;真實IC!CB$26,1,0)</f>
        <v>1</v>
      </c>
      <c r="CC22" s="11">
        <f>IF(真實IC!CC22&gt;真實IC!CC$26,1,0)</f>
        <v>0</v>
      </c>
      <c r="CD22" s="11">
        <f>IF(真實IC!CD22&gt;真實IC!CD$26,1,0)</f>
        <v>1</v>
      </c>
      <c r="CE22" s="11">
        <f>IF(真實IC!CE22&gt;真實IC!CE$26,1,0)</f>
        <v>1</v>
      </c>
      <c r="CF22" s="11">
        <f>IF(真實IC!CF22&gt;真實IC!CF$26,1,0)</f>
        <v>1</v>
      </c>
      <c r="CG22" s="11">
        <f>IF(真實IC!CG22&gt;真實IC!CG$26,1,0)</f>
        <v>1</v>
      </c>
      <c r="CH22" s="11">
        <f>IF(真實IC!CH22&gt;真實IC!CH$26,1,0)</f>
        <v>1</v>
      </c>
      <c r="CI22" s="11">
        <f>IF(真實IC!CI22&gt;真實IC!CI$26,1,0)</f>
        <v>1</v>
      </c>
      <c r="CJ22" s="11">
        <f>IF(真實IC!CJ22&gt;真實IC!CJ$26,1,0)</f>
        <v>0</v>
      </c>
      <c r="CK22" s="11">
        <f>IF(真實IC!CK22&gt;真實IC!CK$26,1,0)</f>
        <v>1</v>
      </c>
      <c r="CL22" s="11">
        <f>IF(真實IC!CL22&gt;真實IC!CL$26,1,0)</f>
        <v>0</v>
      </c>
      <c r="CM22" s="11">
        <f>IF(真實IC!CM22&gt;真實IC!CM$26,1,0)</f>
        <v>1</v>
      </c>
      <c r="CN22" s="11">
        <f>IF(真實IC!CN22&gt;真實IC!CN$26,1,0)</f>
        <v>1</v>
      </c>
      <c r="CO22" s="11">
        <f>IF(真實IC!CO22&gt;真實IC!CO$26,1,0)</f>
        <v>1</v>
      </c>
      <c r="CP22" s="11">
        <f>IF(真實IC!CP22&gt;真實IC!CP$26,1,0)</f>
        <v>1</v>
      </c>
      <c r="CQ22" s="11">
        <f>IF(真實IC!CQ22&gt;真實IC!CQ$26,1,0)</f>
        <v>1</v>
      </c>
      <c r="CR22" s="11">
        <f>IF(真實IC!CR22&gt;真實IC!CR$26,1,0)</f>
        <v>1</v>
      </c>
      <c r="CS22" s="11">
        <f>IF(真實IC!CS22&gt;真實IC!CS$26,1,0)</f>
        <v>1</v>
      </c>
      <c r="CT22" s="11">
        <f>IF(真實IC!CT22&gt;真實IC!CT$26,1,0)</f>
        <v>0</v>
      </c>
      <c r="CU22" s="11">
        <f>IF(真實IC!CU22&gt;真實IC!CU$26,1,0)</f>
        <v>1</v>
      </c>
      <c r="CV22" s="11">
        <f>IF(真實IC!CV22&gt;真實IC!CV$26,1,0)</f>
        <v>1</v>
      </c>
      <c r="CW22" s="11">
        <f>IF(真實IC!CW22&gt;真實IC!CW$26,1,0)</f>
        <v>1</v>
      </c>
      <c r="CX22" s="11">
        <f>IF(真實IC!CX22&gt;真實IC!CX$26,1,0)</f>
        <v>1</v>
      </c>
      <c r="CY22" s="11">
        <f>IF(真實IC!CY22&gt;真實IC!CY$26,1,0)</f>
        <v>1</v>
      </c>
      <c r="CZ22" s="11">
        <f>IF(真實IC!CZ22&gt;真實IC!CZ$26,1,0)</f>
        <v>1</v>
      </c>
      <c r="DA22" s="11">
        <f>IF(真實IC!DA22&gt;真實IC!DA$26,1,0)</f>
        <v>1</v>
      </c>
      <c r="DB22" s="11">
        <f>IF(真實IC!DB22&gt;真實IC!DB$26,1,0)</f>
        <v>1</v>
      </c>
      <c r="DC22" s="11">
        <f>IF(真實IC!DC22&gt;真實IC!DC$26,1,0)</f>
        <v>1</v>
      </c>
      <c r="DD22" s="11">
        <f>IF(真實IC!DD22&gt;真實IC!DD$26,1,0)</f>
        <v>1</v>
      </c>
      <c r="DE22" s="11">
        <f>IF(真實IC!DE22&gt;真實IC!DE$26,1,0)</f>
        <v>0</v>
      </c>
      <c r="DF22" s="11">
        <f>IF(真實IC!DF22&gt;真實IC!DF$26,1,0)</f>
        <v>1</v>
      </c>
      <c r="DG22" s="11">
        <f>IF(真實IC!DG22&gt;真實IC!DG$26,1,0)</f>
        <v>0</v>
      </c>
      <c r="DH22" s="11">
        <f>IF(真實IC!DH22&gt;真實IC!DH$26,1,0)</f>
        <v>1</v>
      </c>
      <c r="DI22" s="11">
        <f>IF(真實IC!DI22&gt;真實IC!DI$26,1,0)</f>
        <v>1</v>
      </c>
      <c r="DJ22" s="11">
        <f>IF(真實IC!DJ22&gt;真實IC!DJ$26,1,0)</f>
        <v>1</v>
      </c>
      <c r="DK22" s="11">
        <f>IF(真實IC!DK22&gt;真實IC!DK$26,1,0)</f>
        <v>1</v>
      </c>
      <c r="DL22" s="11">
        <f>IF(真實IC!DL22&gt;真實IC!DL$26,1,0)</f>
        <v>0</v>
      </c>
      <c r="DM22" s="11">
        <f>IF(真實IC!DM22&gt;真實IC!DM$26,1,0)</f>
        <v>0</v>
      </c>
      <c r="DN22" s="11">
        <f>IF(真實IC!DN22&gt;真實IC!DN$26,1,0)</f>
        <v>1</v>
      </c>
      <c r="DO22" s="11">
        <f>IF(真實IC!DO22&gt;真實IC!DO$26,1,0)</f>
        <v>1</v>
      </c>
      <c r="DP22" s="11">
        <f>IF(真實IC!DP22&gt;真實IC!DP$26,1,0)</f>
        <v>1</v>
      </c>
      <c r="DQ22" s="11">
        <f>IF(真實IC!DQ22&gt;真實IC!DQ$26,1,0)</f>
        <v>1</v>
      </c>
      <c r="DR22" s="11">
        <f>IF(真實IC!DR22&gt;真實IC!DR$26,1,0)</f>
        <v>0</v>
      </c>
      <c r="DS22" s="11">
        <f>IF(真實IC!DS22&gt;真實IC!DS$26,1,0)</f>
        <v>0</v>
      </c>
      <c r="DT22" s="11">
        <f>IF(真實IC!DT22&gt;真實IC!DT$26,1,0)</f>
        <v>0</v>
      </c>
      <c r="DU22" s="11">
        <f>IF(真實IC!DU22&gt;真實IC!DU$26,1,0)</f>
        <v>1</v>
      </c>
      <c r="DV22" s="11">
        <f>IF(真實IC!DV22&gt;真實IC!DV$26,1,0)</f>
        <v>1</v>
      </c>
      <c r="DW22" s="11">
        <f>IF(真實IC!DW22&gt;真實IC!DW$26,1,0)</f>
        <v>0</v>
      </c>
      <c r="DX22" s="11">
        <f>IF(真實IC!DX22&gt;真實IC!DX$26,1,0)</f>
        <v>1</v>
      </c>
      <c r="DY22" s="11">
        <f>IF(真實IC!DY22&gt;真實IC!DY$26,1,0)</f>
        <v>1</v>
      </c>
      <c r="DZ22" s="11">
        <f>IF(真實IC!DZ22&gt;真實IC!DZ$26,1,0)</f>
        <v>1</v>
      </c>
      <c r="EA22" s="11">
        <f>IF(真實IC!EA22&gt;真實IC!EA$26,1,0)</f>
        <v>0</v>
      </c>
      <c r="EB22" s="11">
        <f>IF(真實IC!EB22&gt;真實IC!EB$26,1,0)</f>
        <v>1</v>
      </c>
      <c r="EC22" s="11">
        <f>IF(真實IC!EC22&gt;真實IC!EC$26,1,0)</f>
        <v>1</v>
      </c>
      <c r="ED22" s="11">
        <f>IF(真實IC!ED22&gt;真實IC!ED$26,1,0)</f>
        <v>1</v>
      </c>
      <c r="EE22" s="11">
        <f>IF(真實IC!EE22&gt;真實IC!EE$26,1,0)</f>
        <v>1</v>
      </c>
      <c r="EF22" s="11">
        <f>IF(真實IC!EF22&gt;真實IC!EF$26,1,0)</f>
        <v>1</v>
      </c>
      <c r="EG22">
        <f t="shared" si="10"/>
        <v>101</v>
      </c>
      <c r="EH22" s="24">
        <f t="shared" si="11"/>
        <v>0.74626865671641796</v>
      </c>
    </row>
    <row r="23" spans="1:138" x14ac:dyDescent="0.3">
      <c r="A23" s="1">
        <v>482</v>
      </c>
      <c r="B23" s="1">
        <v>2</v>
      </c>
      <c r="C23" s="11">
        <f>IF(真實IC!C23&gt;真實IC!C$26,1,0)</f>
        <v>1</v>
      </c>
      <c r="D23" s="11">
        <f>IF(真實IC!D23&gt;真實IC!D$26,1,0)</f>
        <v>1</v>
      </c>
      <c r="E23" s="11">
        <f>IF(真實IC!E23&gt;真實IC!E$26,1,0)</f>
        <v>1</v>
      </c>
      <c r="F23" s="11">
        <f>IF(真實IC!F23&gt;真實IC!F$26,1,0)</f>
        <v>0</v>
      </c>
      <c r="G23" s="11">
        <f>IF(真實IC!G23&gt;真實IC!G$26,1,0)</f>
        <v>0</v>
      </c>
      <c r="H23" s="11">
        <f>IF(真實IC!H23&gt;真實IC!H$26,1,0)</f>
        <v>0</v>
      </c>
      <c r="I23" s="11">
        <f>IF(真實IC!I23&gt;真實IC!I$26,1,0)</f>
        <v>1</v>
      </c>
      <c r="J23" s="11">
        <f>IF(真實IC!J23&gt;真實IC!J$26,1,0)</f>
        <v>0</v>
      </c>
      <c r="K23" s="11">
        <f>IF(真實IC!K23&gt;真實IC!K$26,1,0)</f>
        <v>1</v>
      </c>
      <c r="L23" s="11">
        <f>IF(真實IC!L23&gt;真實IC!L$26,1,0)</f>
        <v>0</v>
      </c>
      <c r="M23" s="11">
        <f>IF(真實IC!M23&gt;真實IC!M$26,1,0)</f>
        <v>0</v>
      </c>
      <c r="N23" s="11">
        <f>IF(真實IC!N23&gt;真實IC!N$26,1,0)</f>
        <v>1</v>
      </c>
      <c r="O23" s="11">
        <f>IF(真實IC!O23&gt;真實IC!O$26,1,0)</f>
        <v>0</v>
      </c>
      <c r="P23" s="11">
        <f>IF(真實IC!P23&gt;真實IC!P$26,1,0)</f>
        <v>1</v>
      </c>
      <c r="Q23" s="11">
        <f>IF(真實IC!Q23&gt;真實IC!Q$26,1,0)</f>
        <v>0</v>
      </c>
      <c r="R23" s="11">
        <f>IF(真實IC!R23&gt;真實IC!R$26,1,0)</f>
        <v>0</v>
      </c>
      <c r="S23" s="11">
        <f>IF(真實IC!S23&gt;真實IC!S$26,1,0)</f>
        <v>1</v>
      </c>
      <c r="T23" s="11">
        <f>IF(真實IC!T23&gt;真實IC!T$26,1,0)</f>
        <v>1</v>
      </c>
      <c r="U23" s="11">
        <f>IF(真實IC!U23&gt;真實IC!U$26,1,0)</f>
        <v>1</v>
      </c>
      <c r="V23" s="11">
        <f>IF(真實IC!V23&gt;真實IC!V$26,1,0)</f>
        <v>1</v>
      </c>
      <c r="W23" s="11">
        <f>IF(真實IC!W23&gt;真實IC!W$26,1,0)</f>
        <v>1</v>
      </c>
      <c r="X23" s="11">
        <f>IF(真實IC!X23&gt;真實IC!X$26,1,0)</f>
        <v>1</v>
      </c>
      <c r="Y23" s="11">
        <f>IF(真實IC!Y23&gt;真實IC!Y$26,1,0)</f>
        <v>1</v>
      </c>
      <c r="Z23" s="11">
        <f>IF(真實IC!Z23&gt;真實IC!Z$26,1,0)</f>
        <v>1</v>
      </c>
      <c r="AA23" s="11">
        <f>IF(真實IC!AA23&gt;真實IC!AA$26,1,0)</f>
        <v>0</v>
      </c>
      <c r="AB23" s="11">
        <f>IF(真實IC!AB23&gt;真實IC!AB$26,1,0)</f>
        <v>1</v>
      </c>
      <c r="AC23" s="11">
        <f>IF(真實IC!AC23&gt;真實IC!AC$26,1,0)</f>
        <v>1</v>
      </c>
      <c r="AD23" s="11">
        <f>IF(真實IC!AD23&gt;真實IC!AD$26,1,0)</f>
        <v>1</v>
      </c>
      <c r="AE23" s="11">
        <f>IF(真實IC!AE23&gt;真實IC!AE$26,1,0)</f>
        <v>1</v>
      </c>
      <c r="AF23" s="11">
        <f>IF(真實IC!AF23&gt;真實IC!AF$26,1,0)</f>
        <v>1</v>
      </c>
      <c r="AG23" s="11">
        <f>IF(真實IC!AG23&gt;真實IC!AG$26,1,0)</f>
        <v>1</v>
      </c>
      <c r="AH23" s="11">
        <f>IF(真實IC!AH23&gt;真實IC!AH$26,1,0)</f>
        <v>0</v>
      </c>
      <c r="AI23" s="11">
        <f>IF(真實IC!AI23&gt;真實IC!AI$26,1,0)</f>
        <v>1</v>
      </c>
      <c r="AJ23" s="11">
        <f>IF(真實IC!AJ23&gt;真實IC!AJ$26,1,0)</f>
        <v>0</v>
      </c>
      <c r="AK23" s="11">
        <f>IF(真實IC!AK23&gt;真實IC!AK$26,1,0)</f>
        <v>1</v>
      </c>
      <c r="AL23" s="11">
        <f>IF(真實IC!AL23&gt;真實IC!AL$26,1,0)</f>
        <v>0</v>
      </c>
      <c r="AM23" s="11">
        <f>IF(真實IC!AM23&gt;真實IC!AM$26,1,0)</f>
        <v>0</v>
      </c>
      <c r="AN23" s="11">
        <f>IF(真實IC!AN23&gt;真實IC!AN$26,1,0)</f>
        <v>1</v>
      </c>
      <c r="AO23" s="11">
        <f>IF(真實IC!AO23&gt;真實IC!AO$26,1,0)</f>
        <v>1</v>
      </c>
      <c r="AP23" s="11">
        <f>IF(真實IC!AP23&gt;真實IC!AP$26,1,0)</f>
        <v>0</v>
      </c>
      <c r="AQ23" s="11">
        <f>IF(真實IC!AQ23&gt;真實IC!AQ$26,1,0)</f>
        <v>1</v>
      </c>
      <c r="AR23" s="11">
        <f>IF(真實IC!AR23&gt;真實IC!AR$26,1,0)</f>
        <v>1</v>
      </c>
      <c r="AS23" s="11">
        <f>IF(真實IC!AS23&gt;真實IC!AS$26,1,0)</f>
        <v>1</v>
      </c>
      <c r="AT23" s="11">
        <f>IF(真實IC!AT23&gt;真實IC!AT$26,1,0)</f>
        <v>1</v>
      </c>
      <c r="AU23" s="11">
        <f>IF(真實IC!AU23&gt;真實IC!AU$26,1,0)</f>
        <v>1</v>
      </c>
      <c r="AV23" s="11">
        <f>IF(真實IC!AV23&gt;真實IC!AV$26,1,0)</f>
        <v>0</v>
      </c>
      <c r="AW23" s="11">
        <f>IF(真實IC!AW23&gt;真實IC!AW$26,1,0)</f>
        <v>1</v>
      </c>
      <c r="AX23" s="11">
        <f>IF(真實IC!AX23&gt;真實IC!AX$26,1,0)</f>
        <v>0</v>
      </c>
      <c r="AY23" s="11">
        <f>IF(真實IC!AY23&gt;真實IC!AY$26,1,0)</f>
        <v>1</v>
      </c>
      <c r="AZ23" s="11">
        <f>IF(真實IC!AZ23&gt;真實IC!AZ$26,1,0)</f>
        <v>1</v>
      </c>
      <c r="BA23" s="11">
        <f>IF(真實IC!BA23&gt;真實IC!BA$26,1,0)</f>
        <v>1</v>
      </c>
      <c r="BB23" s="11">
        <f>IF(真實IC!BB23&gt;真實IC!BB$26,1,0)</f>
        <v>1</v>
      </c>
      <c r="BC23" s="11">
        <f>IF(真實IC!BC23&gt;真實IC!BC$26,1,0)</f>
        <v>1</v>
      </c>
      <c r="BD23" s="11">
        <f>IF(真實IC!BD23&gt;真實IC!BD$26,1,0)</f>
        <v>1</v>
      </c>
      <c r="BE23" s="11">
        <f>IF(真實IC!BE23&gt;真實IC!BE$26,1,0)</f>
        <v>1</v>
      </c>
      <c r="BF23" s="11">
        <f>IF(真實IC!BF23&gt;真實IC!BF$26,1,0)</f>
        <v>1</v>
      </c>
      <c r="BG23" s="11">
        <f>IF(真實IC!BG23&gt;真實IC!BG$26,1,0)</f>
        <v>1</v>
      </c>
      <c r="BH23" s="11">
        <f>IF(真實IC!BH23&gt;真實IC!BH$26,1,0)</f>
        <v>1</v>
      </c>
      <c r="BI23" s="11">
        <f>IF(真實IC!BI23&gt;真實IC!BI$26,1,0)</f>
        <v>1</v>
      </c>
      <c r="BJ23" s="11">
        <f>IF(真實IC!BJ23&gt;真實IC!BJ$26,1,0)</f>
        <v>1</v>
      </c>
      <c r="BK23" s="11">
        <f>IF(真實IC!BK23&gt;真實IC!BK$26,1,0)</f>
        <v>0</v>
      </c>
      <c r="BL23" s="11">
        <f>IF(真實IC!BL23&gt;真實IC!BL$26,1,0)</f>
        <v>1</v>
      </c>
      <c r="BM23" s="11">
        <f>IF(真實IC!BM23&gt;真實IC!BM$26,1,0)</f>
        <v>0</v>
      </c>
      <c r="BN23" s="11">
        <f>IF(真實IC!BN23&gt;真實IC!BN$26,1,0)</f>
        <v>1</v>
      </c>
      <c r="BO23" s="11">
        <f>IF(真實IC!BO23&gt;真實IC!BO$26,1,0)</f>
        <v>1</v>
      </c>
      <c r="BP23" s="11">
        <f>IF(真實IC!BP23&gt;真實IC!BP$26,1,0)</f>
        <v>0</v>
      </c>
      <c r="BQ23" s="11">
        <f>IF(真實IC!BQ23&gt;真實IC!BQ$26,1,0)</f>
        <v>1</v>
      </c>
      <c r="BR23" s="11">
        <f>IF(真實IC!BR23&gt;真實IC!BR$26,1,0)</f>
        <v>1</v>
      </c>
      <c r="BS23" s="11">
        <f>IF(真實IC!BS23&gt;真實IC!BS$26,1,0)</f>
        <v>0</v>
      </c>
      <c r="BT23" s="11">
        <f>IF(真實IC!BT23&gt;真實IC!BT$26,1,0)</f>
        <v>1</v>
      </c>
      <c r="BU23" s="11">
        <f>IF(真實IC!BU23&gt;真實IC!BU$26,1,0)</f>
        <v>1</v>
      </c>
      <c r="BV23" s="11">
        <f>IF(真實IC!BV23&gt;真實IC!BV$26,1,0)</f>
        <v>0</v>
      </c>
      <c r="BW23" s="11">
        <f>IF(真實IC!BW23&gt;真實IC!BW$26,1,0)</f>
        <v>1</v>
      </c>
      <c r="BX23" s="11">
        <f>IF(真實IC!BX23&gt;真實IC!BX$26,1,0)</f>
        <v>0</v>
      </c>
      <c r="BY23" s="11">
        <f>IF(真實IC!BY23&gt;真實IC!BY$26,1,0)</f>
        <v>1</v>
      </c>
      <c r="BZ23" s="11">
        <f>IF(真實IC!BZ23&gt;真實IC!BZ$26,1,0)</f>
        <v>0</v>
      </c>
      <c r="CA23" s="11">
        <f>IF(真實IC!CA23&gt;真實IC!CA$26,1,0)</f>
        <v>1</v>
      </c>
      <c r="CB23" s="11">
        <f>IF(真實IC!CB23&gt;真實IC!CB$26,1,0)</f>
        <v>1</v>
      </c>
      <c r="CC23" s="11">
        <f>IF(真實IC!CC23&gt;真實IC!CC$26,1,0)</f>
        <v>0</v>
      </c>
      <c r="CD23" s="11">
        <f>IF(真實IC!CD23&gt;真實IC!CD$26,1,0)</f>
        <v>1</v>
      </c>
      <c r="CE23" s="11">
        <f>IF(真實IC!CE23&gt;真實IC!CE$26,1,0)</f>
        <v>1</v>
      </c>
      <c r="CF23" s="11">
        <f>IF(真實IC!CF23&gt;真實IC!CF$26,1,0)</f>
        <v>1</v>
      </c>
      <c r="CG23" s="11">
        <f>IF(真實IC!CG23&gt;真實IC!CG$26,1,0)</f>
        <v>1</v>
      </c>
      <c r="CH23" s="11">
        <f>IF(真實IC!CH23&gt;真實IC!CH$26,1,0)</f>
        <v>1</v>
      </c>
      <c r="CI23" s="11">
        <f>IF(真實IC!CI23&gt;真實IC!CI$26,1,0)</f>
        <v>1</v>
      </c>
      <c r="CJ23" s="11">
        <f>IF(真實IC!CJ23&gt;真實IC!CJ$26,1,0)</f>
        <v>0</v>
      </c>
      <c r="CK23" s="11">
        <f>IF(真實IC!CK23&gt;真實IC!CK$26,1,0)</f>
        <v>1</v>
      </c>
      <c r="CL23" s="11">
        <f>IF(真實IC!CL23&gt;真實IC!CL$26,1,0)</f>
        <v>0</v>
      </c>
      <c r="CM23" s="11">
        <f>IF(真實IC!CM23&gt;真實IC!CM$26,1,0)</f>
        <v>1</v>
      </c>
      <c r="CN23" s="11">
        <f>IF(真實IC!CN23&gt;真實IC!CN$26,1,0)</f>
        <v>1</v>
      </c>
      <c r="CO23" s="11">
        <f>IF(真實IC!CO23&gt;真實IC!CO$26,1,0)</f>
        <v>1</v>
      </c>
      <c r="CP23" s="11">
        <f>IF(真實IC!CP23&gt;真實IC!CP$26,1,0)</f>
        <v>1</v>
      </c>
      <c r="CQ23" s="11">
        <f>IF(真實IC!CQ23&gt;真實IC!CQ$26,1,0)</f>
        <v>1</v>
      </c>
      <c r="CR23" s="11">
        <f>IF(真實IC!CR23&gt;真實IC!CR$26,1,0)</f>
        <v>1</v>
      </c>
      <c r="CS23" s="11">
        <f>IF(真實IC!CS23&gt;真實IC!CS$26,1,0)</f>
        <v>1</v>
      </c>
      <c r="CT23" s="11">
        <f>IF(真實IC!CT23&gt;真實IC!CT$26,1,0)</f>
        <v>1</v>
      </c>
      <c r="CU23" s="11">
        <f>IF(真實IC!CU23&gt;真實IC!CU$26,1,0)</f>
        <v>1</v>
      </c>
      <c r="CV23" s="11">
        <f>IF(真實IC!CV23&gt;真實IC!CV$26,1,0)</f>
        <v>1</v>
      </c>
      <c r="CW23" s="11">
        <f>IF(真實IC!CW23&gt;真實IC!CW$26,1,0)</f>
        <v>0</v>
      </c>
      <c r="CX23" s="11">
        <f>IF(真實IC!CX23&gt;真實IC!CX$26,1,0)</f>
        <v>0</v>
      </c>
      <c r="CY23" s="11">
        <f>IF(真實IC!CY23&gt;真實IC!CY$26,1,0)</f>
        <v>1</v>
      </c>
      <c r="CZ23" s="11">
        <f>IF(真實IC!CZ23&gt;真實IC!CZ$26,1,0)</f>
        <v>1</v>
      </c>
      <c r="DA23" s="11">
        <f>IF(真實IC!DA23&gt;真實IC!DA$26,1,0)</f>
        <v>1</v>
      </c>
      <c r="DB23" s="11">
        <f>IF(真實IC!DB23&gt;真實IC!DB$26,1,0)</f>
        <v>1</v>
      </c>
      <c r="DC23" s="11">
        <f>IF(真實IC!DC23&gt;真實IC!DC$26,1,0)</f>
        <v>1</v>
      </c>
      <c r="DD23" s="11">
        <f>IF(真實IC!DD23&gt;真實IC!DD$26,1,0)</f>
        <v>1</v>
      </c>
      <c r="DE23" s="11">
        <f>IF(真實IC!DE23&gt;真實IC!DE$26,1,0)</f>
        <v>0</v>
      </c>
      <c r="DF23" s="11">
        <f>IF(真實IC!DF23&gt;真實IC!DF$26,1,0)</f>
        <v>1</v>
      </c>
      <c r="DG23" s="11">
        <f>IF(真實IC!DG23&gt;真實IC!DG$26,1,0)</f>
        <v>0</v>
      </c>
      <c r="DH23" s="11">
        <f>IF(真實IC!DH23&gt;真實IC!DH$26,1,0)</f>
        <v>1</v>
      </c>
      <c r="DI23" s="11">
        <f>IF(真實IC!DI23&gt;真實IC!DI$26,1,0)</f>
        <v>1</v>
      </c>
      <c r="DJ23" s="11">
        <f>IF(真實IC!DJ23&gt;真實IC!DJ$26,1,0)</f>
        <v>1</v>
      </c>
      <c r="DK23" s="11">
        <f>IF(真實IC!DK23&gt;真實IC!DK$26,1,0)</f>
        <v>1</v>
      </c>
      <c r="DL23" s="11">
        <f>IF(真實IC!DL23&gt;真實IC!DL$26,1,0)</f>
        <v>1</v>
      </c>
      <c r="DM23" s="11">
        <f>IF(真實IC!DM23&gt;真實IC!DM$26,1,0)</f>
        <v>0</v>
      </c>
      <c r="DN23" s="11">
        <f>IF(真實IC!DN23&gt;真實IC!DN$26,1,0)</f>
        <v>1</v>
      </c>
      <c r="DO23" s="11">
        <f>IF(真實IC!DO23&gt;真實IC!DO$26,1,0)</f>
        <v>1</v>
      </c>
      <c r="DP23" s="11">
        <f>IF(真實IC!DP23&gt;真實IC!DP$26,1,0)</f>
        <v>1</v>
      </c>
      <c r="DQ23" s="11">
        <f>IF(真實IC!DQ23&gt;真實IC!DQ$26,1,0)</f>
        <v>1</v>
      </c>
      <c r="DR23" s="11">
        <f>IF(真實IC!DR23&gt;真實IC!DR$26,1,0)</f>
        <v>0</v>
      </c>
      <c r="DS23" s="11">
        <f>IF(真實IC!DS23&gt;真實IC!DS$26,1,0)</f>
        <v>0</v>
      </c>
      <c r="DT23" s="11">
        <f>IF(真實IC!DT23&gt;真實IC!DT$26,1,0)</f>
        <v>0</v>
      </c>
      <c r="DU23" s="11">
        <f>IF(真實IC!DU23&gt;真實IC!DU$26,1,0)</f>
        <v>0</v>
      </c>
      <c r="DV23" s="11">
        <f>IF(真實IC!DV23&gt;真實IC!DV$26,1,0)</f>
        <v>1</v>
      </c>
      <c r="DW23" s="11">
        <f>IF(真實IC!DW23&gt;真實IC!DW$26,1,0)</f>
        <v>0</v>
      </c>
      <c r="DX23" s="11">
        <f>IF(真實IC!DX23&gt;真實IC!DX$26,1,0)</f>
        <v>1</v>
      </c>
      <c r="DY23" s="11">
        <f>IF(真實IC!DY23&gt;真實IC!DY$26,1,0)</f>
        <v>0</v>
      </c>
      <c r="DZ23" s="11">
        <f>IF(真實IC!DZ23&gt;真實IC!DZ$26,1,0)</f>
        <v>0</v>
      </c>
      <c r="EA23" s="11">
        <f>IF(真實IC!EA23&gt;真實IC!EA$26,1,0)</f>
        <v>0</v>
      </c>
      <c r="EB23" s="11">
        <f>IF(真實IC!EB23&gt;真實IC!EB$26,1,0)</f>
        <v>1</v>
      </c>
      <c r="EC23" s="11">
        <f>IF(真實IC!EC23&gt;真實IC!EC$26,1,0)</f>
        <v>0</v>
      </c>
      <c r="ED23" s="11">
        <f>IF(真實IC!ED23&gt;真實IC!ED$26,1,0)</f>
        <v>1</v>
      </c>
      <c r="EE23" s="11">
        <f>IF(真實IC!EE23&gt;真實IC!EE$26,1,0)</f>
        <v>1</v>
      </c>
      <c r="EF23" s="11">
        <f>IF(真實IC!EF23&gt;真實IC!EF$26,1,0)</f>
        <v>1</v>
      </c>
      <c r="EG23">
        <f t="shared" si="10"/>
        <v>93</v>
      </c>
      <c r="EH23" s="24">
        <f t="shared" si="11"/>
        <v>0.68656716417910446</v>
      </c>
    </row>
    <row r="24" spans="1:138" x14ac:dyDescent="0.3">
      <c r="A24" s="1">
        <v>964</v>
      </c>
      <c r="B24" s="1">
        <v>1</v>
      </c>
      <c r="C24" s="11">
        <f>IF(真實IC!C24&gt;真實IC!C$26,1,0)</f>
        <v>1</v>
      </c>
      <c r="D24" s="11">
        <f>IF(真實IC!D24&gt;真實IC!D$26,1,0)</f>
        <v>1</v>
      </c>
      <c r="E24" s="11">
        <f>IF(真實IC!E24&gt;真實IC!E$26,1,0)</f>
        <v>1</v>
      </c>
      <c r="F24" s="11">
        <f>IF(真實IC!F24&gt;真實IC!F$26,1,0)</f>
        <v>0</v>
      </c>
      <c r="G24" s="11">
        <f>IF(真實IC!G24&gt;真實IC!G$26,1,0)</f>
        <v>0</v>
      </c>
      <c r="H24" s="11">
        <f>IF(真實IC!H24&gt;真實IC!H$26,1,0)</f>
        <v>1</v>
      </c>
      <c r="I24" s="11">
        <f>IF(真實IC!I24&gt;真實IC!I$26,1,0)</f>
        <v>1</v>
      </c>
      <c r="J24" s="11">
        <f>IF(真實IC!J24&gt;真實IC!J$26,1,0)</f>
        <v>0</v>
      </c>
      <c r="K24" s="11">
        <f>IF(真實IC!K24&gt;真實IC!K$26,1,0)</f>
        <v>1</v>
      </c>
      <c r="L24" s="11">
        <f>IF(真實IC!L24&gt;真實IC!L$26,1,0)</f>
        <v>0</v>
      </c>
      <c r="M24" s="11">
        <f>IF(真實IC!M24&gt;真實IC!M$26,1,0)</f>
        <v>0</v>
      </c>
      <c r="N24" s="11">
        <f>IF(真實IC!N24&gt;真實IC!N$26,1,0)</f>
        <v>1</v>
      </c>
      <c r="O24" s="11">
        <f>IF(真實IC!O24&gt;真實IC!O$26,1,0)</f>
        <v>1</v>
      </c>
      <c r="P24" s="11">
        <f>IF(真實IC!P24&gt;真實IC!P$26,1,0)</f>
        <v>1</v>
      </c>
      <c r="Q24" s="11">
        <f>IF(真實IC!Q24&gt;真實IC!Q$26,1,0)</f>
        <v>0</v>
      </c>
      <c r="R24" s="11">
        <f>IF(真實IC!R24&gt;真實IC!R$26,1,0)</f>
        <v>0</v>
      </c>
      <c r="S24" s="11">
        <f>IF(真實IC!S24&gt;真實IC!S$26,1,0)</f>
        <v>1</v>
      </c>
      <c r="T24" s="11">
        <f>IF(真實IC!T24&gt;真實IC!T$26,1,0)</f>
        <v>0</v>
      </c>
      <c r="U24" s="11">
        <f>IF(真實IC!U24&gt;真實IC!U$26,1,0)</f>
        <v>1</v>
      </c>
      <c r="V24" s="11">
        <f>IF(真實IC!V24&gt;真實IC!V$26,1,0)</f>
        <v>0</v>
      </c>
      <c r="W24" s="11">
        <f>IF(真實IC!W24&gt;真實IC!W$26,1,0)</f>
        <v>0</v>
      </c>
      <c r="X24" s="11">
        <f>IF(真實IC!X24&gt;真實IC!X$26,1,0)</f>
        <v>0</v>
      </c>
      <c r="Y24" s="11">
        <f>IF(真實IC!Y24&gt;真實IC!Y$26,1,0)</f>
        <v>1</v>
      </c>
      <c r="Z24" s="11">
        <f>IF(真實IC!Z24&gt;真實IC!Z$26,1,0)</f>
        <v>1</v>
      </c>
      <c r="AA24" s="11">
        <f>IF(真實IC!AA24&gt;真實IC!AA$26,1,0)</f>
        <v>1</v>
      </c>
      <c r="AB24" s="11">
        <f>IF(真實IC!AB24&gt;真實IC!AB$26,1,0)</f>
        <v>1</v>
      </c>
      <c r="AC24" s="11">
        <f>IF(真實IC!AC24&gt;真實IC!AC$26,1,0)</f>
        <v>1</v>
      </c>
      <c r="AD24" s="11">
        <f>IF(真實IC!AD24&gt;真實IC!AD$26,1,0)</f>
        <v>1</v>
      </c>
      <c r="AE24" s="11">
        <f>IF(真實IC!AE24&gt;真實IC!AE$26,1,0)</f>
        <v>1</v>
      </c>
      <c r="AF24" s="11">
        <f>IF(真實IC!AF24&gt;真實IC!AF$26,1,0)</f>
        <v>1</v>
      </c>
      <c r="AG24" s="11">
        <f>IF(真實IC!AG24&gt;真實IC!AG$26,1,0)</f>
        <v>1</v>
      </c>
      <c r="AH24" s="11">
        <f>IF(真實IC!AH24&gt;真實IC!AH$26,1,0)</f>
        <v>0</v>
      </c>
      <c r="AI24" s="11">
        <f>IF(真實IC!AI24&gt;真實IC!AI$26,1,0)</f>
        <v>1</v>
      </c>
      <c r="AJ24" s="11">
        <f>IF(真實IC!AJ24&gt;真實IC!AJ$26,1,0)</f>
        <v>0</v>
      </c>
      <c r="AK24" s="11">
        <f>IF(真實IC!AK24&gt;真實IC!AK$26,1,0)</f>
        <v>1</v>
      </c>
      <c r="AL24" s="11">
        <f>IF(真實IC!AL24&gt;真實IC!AL$26,1,0)</f>
        <v>1</v>
      </c>
      <c r="AM24" s="11">
        <f>IF(真實IC!AM24&gt;真實IC!AM$26,1,0)</f>
        <v>0</v>
      </c>
      <c r="AN24" s="11">
        <f>IF(真實IC!AN24&gt;真實IC!AN$26,1,0)</f>
        <v>1</v>
      </c>
      <c r="AO24" s="11">
        <f>IF(真實IC!AO24&gt;真實IC!AO$26,1,0)</f>
        <v>1</v>
      </c>
      <c r="AP24" s="11">
        <f>IF(真實IC!AP24&gt;真實IC!AP$26,1,0)</f>
        <v>1</v>
      </c>
      <c r="AQ24" s="11">
        <f>IF(真實IC!AQ24&gt;真實IC!AQ$26,1,0)</f>
        <v>1</v>
      </c>
      <c r="AR24" s="11">
        <f>IF(真實IC!AR24&gt;真實IC!AR$26,1,0)</f>
        <v>1</v>
      </c>
      <c r="AS24" s="11">
        <f>IF(真實IC!AS24&gt;真實IC!AS$26,1,0)</f>
        <v>1</v>
      </c>
      <c r="AT24" s="11">
        <f>IF(真實IC!AT24&gt;真實IC!AT$26,1,0)</f>
        <v>1</v>
      </c>
      <c r="AU24" s="11">
        <f>IF(真實IC!AU24&gt;真實IC!AU$26,1,0)</f>
        <v>1</v>
      </c>
      <c r="AV24" s="11">
        <f>IF(真實IC!AV24&gt;真實IC!AV$26,1,0)</f>
        <v>1</v>
      </c>
      <c r="AW24" s="11">
        <f>IF(真實IC!AW24&gt;真實IC!AW$26,1,0)</f>
        <v>0</v>
      </c>
      <c r="AX24" s="11">
        <f>IF(真實IC!AX24&gt;真實IC!AX$26,1,0)</f>
        <v>1</v>
      </c>
      <c r="AY24" s="11">
        <f>IF(真實IC!AY24&gt;真實IC!AY$26,1,0)</f>
        <v>1</v>
      </c>
      <c r="AZ24" s="11">
        <f>IF(真實IC!AZ24&gt;真實IC!AZ$26,1,0)</f>
        <v>1</v>
      </c>
      <c r="BA24" s="11">
        <f>IF(真實IC!BA24&gt;真實IC!BA$26,1,0)</f>
        <v>1</v>
      </c>
      <c r="BB24" s="11">
        <f>IF(真實IC!BB24&gt;真實IC!BB$26,1,0)</f>
        <v>1</v>
      </c>
      <c r="BC24" s="11">
        <f>IF(真實IC!BC24&gt;真實IC!BC$26,1,0)</f>
        <v>0</v>
      </c>
      <c r="BD24" s="11">
        <f>IF(真實IC!BD24&gt;真實IC!BD$26,1,0)</f>
        <v>1</v>
      </c>
      <c r="BE24" s="11">
        <f>IF(真實IC!BE24&gt;真實IC!BE$26,1,0)</f>
        <v>0</v>
      </c>
      <c r="BF24" s="11">
        <f>IF(真實IC!BF24&gt;真實IC!BF$26,1,0)</f>
        <v>0</v>
      </c>
      <c r="BG24" s="11">
        <f>IF(真實IC!BG24&gt;真實IC!BG$26,1,0)</f>
        <v>0</v>
      </c>
      <c r="BH24" s="11">
        <f>IF(真實IC!BH24&gt;真實IC!BH$26,1,0)</f>
        <v>1</v>
      </c>
      <c r="BI24" s="11">
        <f>IF(真實IC!BI24&gt;真實IC!BI$26,1,0)</f>
        <v>1</v>
      </c>
      <c r="BJ24" s="11">
        <f>IF(真實IC!BJ24&gt;真實IC!BJ$26,1,0)</f>
        <v>1</v>
      </c>
      <c r="BK24" s="11">
        <f>IF(真實IC!BK24&gt;真實IC!BK$26,1,0)</f>
        <v>0</v>
      </c>
      <c r="BL24" s="11">
        <f>IF(真實IC!BL24&gt;真實IC!BL$26,1,0)</f>
        <v>1</v>
      </c>
      <c r="BM24" s="11">
        <f>IF(真實IC!BM24&gt;真實IC!BM$26,1,0)</f>
        <v>1</v>
      </c>
      <c r="BN24" s="11">
        <f>IF(真實IC!BN24&gt;真實IC!BN$26,1,0)</f>
        <v>1</v>
      </c>
      <c r="BO24" s="11">
        <f>IF(真實IC!BO24&gt;真實IC!BO$26,1,0)</f>
        <v>0</v>
      </c>
      <c r="BP24" s="11">
        <f>IF(真實IC!BP24&gt;真實IC!BP$26,1,0)</f>
        <v>1</v>
      </c>
      <c r="BQ24" s="11">
        <f>IF(真實IC!BQ24&gt;真實IC!BQ$26,1,0)</f>
        <v>0</v>
      </c>
      <c r="BR24" s="11">
        <f>IF(真實IC!BR24&gt;真實IC!BR$26,1,0)</f>
        <v>1</v>
      </c>
      <c r="BS24" s="11">
        <f>IF(真實IC!BS24&gt;真實IC!BS$26,1,0)</f>
        <v>0</v>
      </c>
      <c r="BT24" s="11">
        <f>IF(真實IC!BT24&gt;真實IC!BT$26,1,0)</f>
        <v>1</v>
      </c>
      <c r="BU24" s="11">
        <f>IF(真實IC!BU24&gt;真實IC!BU$26,1,0)</f>
        <v>0</v>
      </c>
      <c r="BV24" s="11">
        <f>IF(真實IC!BV24&gt;真實IC!BV$26,1,0)</f>
        <v>0</v>
      </c>
      <c r="BW24" s="11">
        <f>IF(真實IC!BW24&gt;真實IC!BW$26,1,0)</f>
        <v>1</v>
      </c>
      <c r="BX24" s="11">
        <f>IF(真實IC!BX24&gt;真實IC!BX$26,1,0)</f>
        <v>0</v>
      </c>
      <c r="BY24" s="11">
        <f>IF(真實IC!BY24&gt;真實IC!BY$26,1,0)</f>
        <v>1</v>
      </c>
      <c r="BZ24" s="11">
        <f>IF(真實IC!BZ24&gt;真實IC!BZ$26,1,0)</f>
        <v>1</v>
      </c>
      <c r="CA24" s="11">
        <f>IF(真實IC!CA24&gt;真實IC!CA$26,1,0)</f>
        <v>1</v>
      </c>
      <c r="CB24" s="11">
        <f>IF(真實IC!CB24&gt;真實IC!CB$26,1,0)</f>
        <v>1</v>
      </c>
      <c r="CC24" s="11">
        <f>IF(真實IC!CC24&gt;真實IC!CC$26,1,0)</f>
        <v>0</v>
      </c>
      <c r="CD24" s="11">
        <f>IF(真實IC!CD24&gt;真實IC!CD$26,1,0)</f>
        <v>1</v>
      </c>
      <c r="CE24" s="11">
        <f>IF(真實IC!CE24&gt;真實IC!CE$26,1,0)</f>
        <v>1</v>
      </c>
      <c r="CF24" s="11">
        <f>IF(真實IC!CF24&gt;真實IC!CF$26,1,0)</f>
        <v>1</v>
      </c>
      <c r="CG24" s="11">
        <f>IF(真實IC!CG24&gt;真實IC!CG$26,1,0)</f>
        <v>1</v>
      </c>
      <c r="CH24" s="11">
        <f>IF(真實IC!CH24&gt;真實IC!CH$26,1,0)</f>
        <v>1</v>
      </c>
      <c r="CI24" s="11">
        <f>IF(真實IC!CI24&gt;真實IC!CI$26,1,0)</f>
        <v>0</v>
      </c>
      <c r="CJ24" s="11">
        <f>IF(真實IC!CJ24&gt;真實IC!CJ$26,1,0)</f>
        <v>0</v>
      </c>
      <c r="CK24" s="11">
        <f>IF(真實IC!CK24&gt;真實IC!CK$26,1,0)</f>
        <v>1</v>
      </c>
      <c r="CL24" s="11">
        <f>IF(真實IC!CL24&gt;真實IC!CL$26,1,0)</f>
        <v>1</v>
      </c>
      <c r="CM24" s="11">
        <f>IF(真實IC!CM24&gt;真實IC!CM$26,1,0)</f>
        <v>1</v>
      </c>
      <c r="CN24" s="11">
        <f>IF(真實IC!CN24&gt;真實IC!CN$26,1,0)</f>
        <v>1</v>
      </c>
      <c r="CO24" s="11">
        <f>IF(真實IC!CO24&gt;真實IC!CO$26,1,0)</f>
        <v>1</v>
      </c>
      <c r="CP24" s="11">
        <f>IF(真實IC!CP24&gt;真實IC!CP$26,1,0)</f>
        <v>1</v>
      </c>
      <c r="CQ24" s="11">
        <f>IF(真實IC!CQ24&gt;真實IC!CQ$26,1,0)</f>
        <v>0</v>
      </c>
      <c r="CR24" s="11">
        <f>IF(真實IC!CR24&gt;真實IC!CR$26,1,0)</f>
        <v>1</v>
      </c>
      <c r="CS24" s="11">
        <f>IF(真實IC!CS24&gt;真實IC!CS$26,1,0)</f>
        <v>1</v>
      </c>
      <c r="CT24" s="11">
        <f>IF(真實IC!CT24&gt;真實IC!CT$26,1,0)</f>
        <v>0</v>
      </c>
      <c r="CU24" s="11">
        <f>IF(真實IC!CU24&gt;真實IC!CU$26,1,0)</f>
        <v>1</v>
      </c>
      <c r="CV24" s="11">
        <f>IF(真實IC!CV24&gt;真實IC!CV$26,1,0)</f>
        <v>1</v>
      </c>
      <c r="CW24" s="11">
        <f>IF(真實IC!CW24&gt;真實IC!CW$26,1,0)</f>
        <v>0</v>
      </c>
      <c r="CX24" s="11">
        <f>IF(真實IC!CX24&gt;真實IC!CX$26,1,0)</f>
        <v>1</v>
      </c>
      <c r="CY24" s="11">
        <f>IF(真實IC!CY24&gt;真實IC!CY$26,1,0)</f>
        <v>1</v>
      </c>
      <c r="CZ24" s="11">
        <f>IF(真實IC!CZ24&gt;真實IC!CZ$26,1,0)</f>
        <v>1</v>
      </c>
      <c r="DA24" s="11">
        <f>IF(真實IC!DA24&gt;真實IC!DA$26,1,0)</f>
        <v>1</v>
      </c>
      <c r="DB24" s="11">
        <f>IF(真實IC!DB24&gt;真實IC!DB$26,1,0)</f>
        <v>0</v>
      </c>
      <c r="DC24" s="11">
        <f>IF(真實IC!DC24&gt;真實IC!DC$26,1,0)</f>
        <v>1</v>
      </c>
      <c r="DD24" s="11">
        <f>IF(真實IC!DD24&gt;真實IC!DD$26,1,0)</f>
        <v>0</v>
      </c>
      <c r="DE24" s="11">
        <f>IF(真實IC!DE24&gt;真實IC!DE$26,1,0)</f>
        <v>0</v>
      </c>
      <c r="DF24" s="11">
        <f>IF(真實IC!DF24&gt;真實IC!DF$26,1,0)</f>
        <v>1</v>
      </c>
      <c r="DG24" s="11">
        <f>IF(真實IC!DG24&gt;真實IC!DG$26,1,0)</f>
        <v>1</v>
      </c>
      <c r="DH24" s="11">
        <f>IF(真實IC!DH24&gt;真實IC!DH$26,1,0)</f>
        <v>1</v>
      </c>
      <c r="DI24" s="11">
        <f>IF(真實IC!DI24&gt;真實IC!DI$26,1,0)</f>
        <v>1</v>
      </c>
      <c r="DJ24" s="11">
        <f>IF(真實IC!DJ24&gt;真實IC!DJ$26,1,0)</f>
        <v>1</v>
      </c>
      <c r="DK24" s="11">
        <f>IF(真實IC!DK24&gt;真實IC!DK$26,1,0)</f>
        <v>1</v>
      </c>
      <c r="DL24" s="11">
        <f>IF(真實IC!DL24&gt;真實IC!DL$26,1,0)</f>
        <v>1</v>
      </c>
      <c r="DM24" s="11">
        <f>IF(真實IC!DM24&gt;真實IC!DM$26,1,0)</f>
        <v>0</v>
      </c>
      <c r="DN24" s="11">
        <f>IF(真實IC!DN24&gt;真實IC!DN$26,1,0)</f>
        <v>1</v>
      </c>
      <c r="DO24" s="11">
        <f>IF(真實IC!DO24&gt;真實IC!DO$26,1,0)</f>
        <v>1</v>
      </c>
      <c r="DP24" s="11">
        <f>IF(真實IC!DP24&gt;真實IC!DP$26,1,0)</f>
        <v>1</v>
      </c>
      <c r="DQ24" s="11">
        <f>IF(真實IC!DQ24&gt;真實IC!DQ$26,1,0)</f>
        <v>1</v>
      </c>
      <c r="DR24" s="11">
        <f>IF(真實IC!DR24&gt;真實IC!DR$26,1,0)</f>
        <v>0</v>
      </c>
      <c r="DS24" s="11">
        <f>IF(真實IC!DS24&gt;真實IC!DS$26,1,0)</f>
        <v>0</v>
      </c>
      <c r="DT24" s="11">
        <f>IF(真實IC!DT24&gt;真實IC!DT$26,1,0)</f>
        <v>0</v>
      </c>
      <c r="DU24" s="11">
        <f>IF(真實IC!DU24&gt;真實IC!DU$26,1,0)</f>
        <v>0</v>
      </c>
      <c r="DV24" s="11">
        <f>IF(真實IC!DV24&gt;真實IC!DV$26,1,0)</f>
        <v>1</v>
      </c>
      <c r="DW24" s="11">
        <f>IF(真實IC!DW24&gt;真實IC!DW$26,1,0)</f>
        <v>1</v>
      </c>
      <c r="DX24" s="11">
        <f>IF(真實IC!DX24&gt;真實IC!DX$26,1,0)</f>
        <v>1</v>
      </c>
      <c r="DY24" s="11">
        <f>IF(真實IC!DY24&gt;真實IC!DY$26,1,0)</f>
        <v>1</v>
      </c>
      <c r="DZ24" s="11">
        <f>IF(真實IC!DZ24&gt;真實IC!DZ$26,1,0)</f>
        <v>0</v>
      </c>
      <c r="EA24" s="11">
        <f>IF(真實IC!EA24&gt;真實IC!EA$26,1,0)</f>
        <v>0</v>
      </c>
      <c r="EB24" s="11">
        <f>IF(真實IC!EB24&gt;真實IC!EB$26,1,0)</f>
        <v>1</v>
      </c>
      <c r="EC24" s="11">
        <f>IF(真實IC!EC24&gt;真實IC!EC$26,1,0)</f>
        <v>1</v>
      </c>
      <c r="ED24" s="11">
        <f>IF(真實IC!ED24&gt;真實IC!ED$26,1,0)</f>
        <v>1</v>
      </c>
      <c r="EE24" s="11">
        <f>IF(真實IC!EE24&gt;真實IC!EE$26,1,0)</f>
        <v>1</v>
      </c>
      <c r="EF24" s="11">
        <f>IF(真實IC!EF24&gt;真實IC!EF$26,1,0)</f>
        <v>1</v>
      </c>
      <c r="EG24">
        <f t="shared" si="10"/>
        <v>92</v>
      </c>
      <c r="EH24" s="24">
        <f t="shared" si="11"/>
        <v>0.67910447761194026</v>
      </c>
    </row>
    <row r="26" spans="1:138" x14ac:dyDescent="0.3">
      <c r="A26" t="s">
        <v>147</v>
      </c>
      <c r="B26" t="s">
        <v>148</v>
      </c>
      <c r="C26" s="19">
        <v>-1.7399999999999999E-2</v>
      </c>
      <c r="D26" s="19">
        <v>2.07E-2</v>
      </c>
      <c r="E26" s="19">
        <v>2.4E-2</v>
      </c>
      <c r="F26" s="19">
        <v>-6.6E-3</v>
      </c>
      <c r="G26" s="19">
        <v>3.1800000000000002E-2</v>
      </c>
      <c r="H26" s="19">
        <v>3.4299999999999997E-2</v>
      </c>
      <c r="I26" s="19">
        <v>-8.3000000000000001E-3</v>
      </c>
      <c r="J26" s="19">
        <v>1.2800000000000001E-2</v>
      </c>
      <c r="K26" s="19">
        <v>-5.0999999999999997E-2</v>
      </c>
      <c r="L26" s="19">
        <v>8.9999999999999998E-4</v>
      </c>
      <c r="M26" s="19">
        <v>2.3400000000000001E-2</v>
      </c>
      <c r="N26" s="19">
        <v>1.2999999999999999E-2</v>
      </c>
      <c r="O26" s="19">
        <v>5.8999999999999999E-3</v>
      </c>
      <c r="P26" s="19">
        <v>2.7400000000000001E-2</v>
      </c>
      <c r="Q26" s="19">
        <v>-3.7000000000000002E-3</v>
      </c>
      <c r="R26" s="19">
        <v>2.41E-2</v>
      </c>
      <c r="S26" s="19">
        <v>-1.2200000000000001E-2</v>
      </c>
      <c r="T26" s="19">
        <v>-3.9699999999999999E-2</v>
      </c>
      <c r="U26" s="19">
        <v>-7.3200000000000001E-2</v>
      </c>
      <c r="V26" s="19">
        <v>-5.8299999999999998E-2</v>
      </c>
      <c r="W26" s="19">
        <v>8.0000000000000004E-4</v>
      </c>
      <c r="X26" s="19">
        <v>4.4600000000000001E-2</v>
      </c>
      <c r="Y26" s="19">
        <v>-2.7699999999999999E-2</v>
      </c>
      <c r="Z26" s="19">
        <v>2.0999999999999999E-3</v>
      </c>
      <c r="AA26" s="19">
        <v>-2.3400000000000001E-2</v>
      </c>
      <c r="AB26" s="19">
        <v>3.2099999999999997E-2</v>
      </c>
      <c r="AC26" s="19">
        <v>3.8899999999999997E-2</v>
      </c>
      <c r="AD26" s="19">
        <v>-4.2900000000000001E-2</v>
      </c>
      <c r="AE26" s="19">
        <v>1.8599999999999998E-2</v>
      </c>
      <c r="AF26" s="19">
        <v>1.52E-2</v>
      </c>
      <c r="AG26" s="19">
        <v>3.5999999999999997E-2</v>
      </c>
      <c r="AH26" s="19">
        <v>9.4000000000000004E-3</v>
      </c>
      <c r="AI26" s="19">
        <v>1.0699999999999999E-2</v>
      </c>
      <c r="AJ26" s="19">
        <v>1.34E-2</v>
      </c>
      <c r="AK26" s="19">
        <v>-5.3E-3</v>
      </c>
      <c r="AL26" s="19">
        <v>1.4E-3</v>
      </c>
      <c r="AM26" s="19">
        <v>2.0799999999999999E-2</v>
      </c>
      <c r="AN26" s="19">
        <v>3.15E-2</v>
      </c>
      <c r="AO26" s="19">
        <v>6.1999999999999998E-3</v>
      </c>
      <c r="AP26" s="19">
        <v>6.1000000000000004E-3</v>
      </c>
      <c r="AQ26" s="19">
        <v>1.6899999999999998E-2</v>
      </c>
      <c r="AR26" s="19">
        <v>3.4700000000000002E-2</v>
      </c>
      <c r="AS26" s="19">
        <v>3.0999999999999999E-3</v>
      </c>
      <c r="AT26" s="19">
        <v>1.5100000000000001E-2</v>
      </c>
      <c r="AU26" s="19">
        <v>-1.9300000000000001E-2</v>
      </c>
      <c r="AV26" s="19">
        <v>3.8699999999999998E-2</v>
      </c>
      <c r="AW26" s="19">
        <v>-2.1899999999999999E-2</v>
      </c>
      <c r="AX26" s="19">
        <v>7.7999999999999996E-3</v>
      </c>
      <c r="AY26" s="19">
        <v>4.24E-2</v>
      </c>
      <c r="AZ26" s="19">
        <v>-2.63E-2</v>
      </c>
      <c r="BA26" s="19">
        <v>9.5999999999999992E-3</v>
      </c>
      <c r="BB26" s="19">
        <v>-2.4199999999999999E-2</v>
      </c>
      <c r="BC26" s="19">
        <v>2.0199999999999999E-2</v>
      </c>
      <c r="BD26" s="19">
        <v>-3.5000000000000001E-3</v>
      </c>
      <c r="BE26" s="19">
        <v>2.0199999999999999E-2</v>
      </c>
      <c r="BF26" s="19">
        <v>5.9999999999999995E-4</v>
      </c>
      <c r="BG26" s="19">
        <v>-5.1999999999999998E-3</v>
      </c>
      <c r="BH26" s="19">
        <v>-0.1159</v>
      </c>
      <c r="BI26" s="19">
        <v>8.6999999999999994E-3</v>
      </c>
      <c r="BJ26" s="19">
        <v>-1.6400000000000001E-2</v>
      </c>
      <c r="BK26" s="19">
        <v>2.0799999999999999E-2</v>
      </c>
      <c r="BL26" s="19">
        <v>4.4999999999999998E-2</v>
      </c>
      <c r="BM26" s="19">
        <v>2.4E-2</v>
      </c>
      <c r="BN26" s="19">
        <v>3.0200000000000001E-2</v>
      </c>
      <c r="BO26" s="19">
        <v>-4.3700000000000003E-2</v>
      </c>
      <c r="BP26" s="19">
        <v>2.1899999999999999E-2</v>
      </c>
      <c r="BQ26" s="19">
        <v>8.6E-3</v>
      </c>
      <c r="BR26" s="19">
        <v>-1.9199999999999998E-2</v>
      </c>
      <c r="BS26" s="19">
        <v>1.9699999999999999E-2</v>
      </c>
      <c r="BT26" s="19">
        <v>4.7699999999999999E-2</v>
      </c>
      <c r="BU26" s="19">
        <v>1.15E-2</v>
      </c>
      <c r="BV26" s="19">
        <v>4.3200000000000002E-2</v>
      </c>
      <c r="BW26" s="19">
        <v>-4.2700000000000002E-2</v>
      </c>
      <c r="BX26" s="19">
        <v>-1.78E-2</v>
      </c>
      <c r="BY26" s="19">
        <v>-0.1512</v>
      </c>
      <c r="BZ26" s="19">
        <v>0.1242</v>
      </c>
      <c r="CA26" s="19">
        <v>-4.5999999999999999E-3</v>
      </c>
      <c r="CB26" s="19">
        <v>6.0199999999999997E-2</v>
      </c>
      <c r="CC26" s="19">
        <v>8.5999999999999993E-2</v>
      </c>
      <c r="CD26" s="19">
        <v>-5.7999999999999996E-3</v>
      </c>
      <c r="CE26" s="19">
        <v>-6.0000000000000001E-3</v>
      </c>
      <c r="CF26" s="19">
        <v>2.5000000000000001E-3</v>
      </c>
      <c r="CG26" s="19">
        <v>8.9599999999999999E-2</v>
      </c>
      <c r="CH26" s="19">
        <v>7.0999999999999994E-2</v>
      </c>
      <c r="CI26" s="19">
        <v>2.7199999999999998E-2</v>
      </c>
      <c r="CJ26" s="19">
        <v>5.2499999999999998E-2</v>
      </c>
      <c r="CK26" s="19">
        <v>2.9499999999999998E-2</v>
      </c>
      <c r="CL26" s="19">
        <v>6.6799999999999998E-2</v>
      </c>
      <c r="CM26" s="19">
        <v>-2.8799999999999999E-2</v>
      </c>
      <c r="CN26" s="19">
        <v>3.95E-2</v>
      </c>
      <c r="CO26" s="19">
        <v>-2.9000000000000001E-2</v>
      </c>
      <c r="CP26" s="19">
        <v>1.4E-2</v>
      </c>
      <c r="CQ26" s="19">
        <v>-3.2300000000000002E-2</v>
      </c>
      <c r="CR26" s="19">
        <v>3.0999999999999999E-3</v>
      </c>
      <c r="CS26" s="19">
        <v>2.5600000000000001E-2</v>
      </c>
      <c r="CT26" s="19">
        <v>4.4400000000000002E-2</v>
      </c>
      <c r="CU26" s="19">
        <v>-3.0300000000000001E-2</v>
      </c>
      <c r="CV26" s="19">
        <v>-1.2999999999999999E-3</v>
      </c>
      <c r="CW26" s="19">
        <v>2.3E-3</v>
      </c>
      <c r="CX26" s="19">
        <v>-6.4299999999999996E-2</v>
      </c>
      <c r="CY26" s="19">
        <v>1.29E-2</v>
      </c>
      <c r="CZ26" s="19">
        <v>-0.1255</v>
      </c>
      <c r="DA26" s="19">
        <v>1.17E-2</v>
      </c>
      <c r="DB26" s="19">
        <v>6.3E-3</v>
      </c>
      <c r="DC26" s="19">
        <v>-0.1173</v>
      </c>
      <c r="DD26" s="19">
        <v>-3.5999999999999997E-2</v>
      </c>
      <c r="DE26" s="19">
        <v>0.1389</v>
      </c>
      <c r="DF26" s="19">
        <v>-5.11E-2</v>
      </c>
      <c r="DG26" s="19">
        <v>7.6700000000000004E-2</v>
      </c>
      <c r="DH26" s="19">
        <v>1.55E-2</v>
      </c>
      <c r="DI26" s="19">
        <v>2.3199999999999998E-2</v>
      </c>
      <c r="DJ26" s="19">
        <v>-1.84E-2</v>
      </c>
      <c r="DK26" s="19">
        <v>6.2199999999999998E-2</v>
      </c>
      <c r="DL26" s="19">
        <v>2.01E-2</v>
      </c>
      <c r="DM26" s="19">
        <v>1.35E-2</v>
      </c>
      <c r="DN26" s="19">
        <v>-3.0300000000000001E-2</v>
      </c>
      <c r="DO26" s="19">
        <v>-1.7000000000000001E-2</v>
      </c>
      <c r="DP26" s="19">
        <v>-2.18E-2</v>
      </c>
      <c r="DQ26" s="19">
        <v>8.5699999999999998E-2</v>
      </c>
      <c r="DR26" s="19">
        <v>2.81E-2</v>
      </c>
      <c r="DS26" s="19">
        <v>-2.3E-3</v>
      </c>
      <c r="DT26" s="19">
        <v>5.8500000000000003E-2</v>
      </c>
      <c r="DU26" s="19">
        <v>6.7699999999999996E-2</v>
      </c>
      <c r="DV26" s="19">
        <v>5.0000000000000001E-3</v>
      </c>
      <c r="DW26" s="19">
        <v>3.7400000000000003E-2</v>
      </c>
      <c r="DX26" s="19">
        <v>8.4099999999999994E-2</v>
      </c>
      <c r="DY26" s="19">
        <v>-3.6799999999999999E-2</v>
      </c>
      <c r="DZ26" s="19">
        <v>3.0999999999999999E-3</v>
      </c>
      <c r="EA26" s="19">
        <v>-2E-3</v>
      </c>
      <c r="EB26" s="19">
        <v>2.6499999999999999E-2</v>
      </c>
      <c r="EC26" s="19">
        <v>-2.4799999999999999E-2</v>
      </c>
      <c r="ED26" s="19">
        <v>3.4099999999999998E-2</v>
      </c>
      <c r="EE26" s="19">
        <v>2.1100000000000001E-2</v>
      </c>
      <c r="EF26" s="19">
        <v>-2.0277393000000001E-2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H25"/>
  <sheetViews>
    <sheetView topLeftCell="A10" workbookViewId="0">
      <selection activeCell="EG11" sqref="EG11:EH24"/>
    </sheetView>
  </sheetViews>
  <sheetFormatPr defaultRowHeight="15" x14ac:dyDescent="0.3"/>
  <cols>
    <col min="1" max="136" width="9" customWidth="1"/>
    <col min="137" max="137" width="10" bestFit="1" customWidth="1"/>
    <col min="138" max="138" width="9" customWidth="1"/>
  </cols>
  <sheetData>
    <row r="1" spans="1:138" x14ac:dyDescent="0.3">
      <c r="A1" t="s">
        <v>149</v>
      </c>
    </row>
    <row r="2" spans="1:138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144</v>
      </c>
    </row>
    <row r="3" spans="1:138" x14ac:dyDescent="0.3">
      <c r="B3" s="1" t="s">
        <v>136</v>
      </c>
      <c r="C3" s="7">
        <v>7.8798868708971931E-2</v>
      </c>
      <c r="D3" s="7">
        <v>0.1797330866000155</v>
      </c>
      <c r="E3" s="7">
        <v>1.5489078774061971E-2</v>
      </c>
      <c r="F3" s="7">
        <v>-2.2168251176828441E-2</v>
      </c>
      <c r="G3" s="7">
        <v>-8.1037288150826448E-3</v>
      </c>
      <c r="H3" s="7">
        <v>-1.5401268795349249E-2</v>
      </c>
      <c r="I3" s="7">
        <v>-0.196765586355543</v>
      </c>
      <c r="J3" s="7">
        <v>0.27883034253821021</v>
      </c>
      <c r="K3" s="7">
        <v>-5.6931615083873344E-3</v>
      </c>
      <c r="L3" s="7">
        <v>-4.7889749224815682E-2</v>
      </c>
      <c r="M3" s="7">
        <v>-5.2700847804917073E-3</v>
      </c>
      <c r="N3" s="7">
        <v>-0.1910696506679144</v>
      </c>
      <c r="O3" s="7">
        <v>0.31084678168383018</v>
      </c>
      <c r="P3" s="7">
        <v>0.113770913143069</v>
      </c>
      <c r="Q3" s="7">
        <v>-0.12307050339382571</v>
      </c>
      <c r="R3" s="7">
        <v>-0.1125584938483795</v>
      </c>
      <c r="S3" s="7">
        <v>0.1046658927019708</v>
      </c>
      <c r="T3" s="7">
        <v>-0.14458476697667119</v>
      </c>
      <c r="U3" s="7">
        <v>-0.26280780822848671</v>
      </c>
      <c r="V3" s="7">
        <v>3.0188655456815931E-3</v>
      </c>
      <c r="W3" s="7">
        <v>0.13196040423464189</v>
      </c>
      <c r="X3" s="7">
        <v>-8.9415173838412076E-2</v>
      </c>
      <c r="Y3" s="7">
        <v>0.27906324575998881</v>
      </c>
      <c r="Z3" s="7">
        <v>0.1030897419422631</v>
      </c>
      <c r="AA3" s="7">
        <v>0.48637748963693123</v>
      </c>
      <c r="AB3" s="7">
        <v>-0.23481983175156351</v>
      </c>
      <c r="AC3" s="7">
        <v>1.209651139005685E-2</v>
      </c>
      <c r="AD3" s="7">
        <v>2.4631762383159009E-2</v>
      </c>
      <c r="AE3" s="7">
        <v>-5.6680955135345323E-3</v>
      </c>
      <c r="AF3" s="7">
        <v>-5.6269213313917182E-2</v>
      </c>
      <c r="AG3" s="7">
        <v>0.1224049331936681</v>
      </c>
      <c r="AH3" s="7">
        <v>4.3996774628333513E-2</v>
      </c>
      <c r="AI3" s="7">
        <v>0.16226838670026769</v>
      </c>
      <c r="AJ3" s="7">
        <v>6.8930166950288974E-2</v>
      </c>
      <c r="AK3" s="7">
        <v>8.7359955926435195E-2</v>
      </c>
      <c r="AL3" s="7">
        <v>0.1873807232887153</v>
      </c>
      <c r="AM3" s="7">
        <v>9.6837349683265961E-2</v>
      </c>
      <c r="AN3" s="7">
        <v>0.2075736584826228</v>
      </c>
      <c r="AO3" s="7">
        <v>0.1179758622033649</v>
      </c>
      <c r="AP3" s="7">
        <v>-2.8503518413618201E-2</v>
      </c>
      <c r="AQ3" s="7">
        <v>-0.2114396427417905</v>
      </c>
      <c r="AR3" s="7">
        <v>-3.2302566009505602E-2</v>
      </c>
      <c r="AS3" s="7">
        <v>0.14111009314114389</v>
      </c>
      <c r="AT3" s="7">
        <v>-3.480751243628416E-2</v>
      </c>
      <c r="AU3" s="7">
        <v>4.4456114444751893E-2</v>
      </c>
      <c r="AV3" s="7">
        <v>2.116273888563508E-2</v>
      </c>
      <c r="AW3" s="7">
        <v>-0.1741550037979904</v>
      </c>
      <c r="AX3" s="7">
        <v>7.6317816973352492E-2</v>
      </c>
      <c r="AY3" s="7">
        <v>9.0306432388433944E-3</v>
      </c>
      <c r="AZ3" s="7">
        <v>1.6638949885503629E-2</v>
      </c>
      <c r="BA3" s="7">
        <v>0.16049954912817649</v>
      </c>
      <c r="BB3" s="7">
        <v>-0.123740953293938</v>
      </c>
      <c r="BC3" s="7">
        <v>0.1567368975950931</v>
      </c>
      <c r="BD3" s="7">
        <v>0.16688346547535879</v>
      </c>
      <c r="BE3" s="7">
        <v>-0.13147229447438241</v>
      </c>
      <c r="BF3" s="7">
        <v>9.9500132775893202E-3</v>
      </c>
      <c r="BG3" s="7">
        <v>0.31531123716866039</v>
      </c>
      <c r="BH3" s="7">
        <v>0.27010117711850462</v>
      </c>
      <c r="BI3" s="7">
        <v>5.6315448743319063E-2</v>
      </c>
      <c r="BJ3" s="7">
        <v>-2.409816856997149E-3</v>
      </c>
      <c r="BK3" s="7">
        <v>7.9800375711835514E-2</v>
      </c>
      <c r="BL3" s="7">
        <v>-2.3392393936945088E-2</v>
      </c>
      <c r="BM3" s="7">
        <v>9.4008939681696324E-2</v>
      </c>
      <c r="BN3" s="7">
        <v>1.764390595780152E-2</v>
      </c>
      <c r="BO3" s="7">
        <v>-0.149287939972541</v>
      </c>
      <c r="BP3" s="7">
        <v>4.1225940656230857E-2</v>
      </c>
      <c r="BQ3" s="7">
        <v>-8.2741207352384993E-2</v>
      </c>
      <c r="BR3" s="7">
        <v>0.21346470331308601</v>
      </c>
      <c r="BS3" s="7">
        <v>-6.7985397750362997E-2</v>
      </c>
      <c r="BT3" s="7">
        <v>0.14435039701784511</v>
      </c>
      <c r="BU3" s="7">
        <v>0.1137793780847101</v>
      </c>
      <c r="BV3" s="7">
        <v>5.6009583131789156E-3</v>
      </c>
      <c r="BW3" s="7">
        <v>0.1131466357554793</v>
      </c>
      <c r="BX3" s="7">
        <v>-9.0571156630968819E-2</v>
      </c>
      <c r="BY3" s="7">
        <v>0.1185697363729489</v>
      </c>
      <c r="BZ3" s="7">
        <v>-0.14071284467671319</v>
      </c>
      <c r="CA3" s="7">
        <v>7.3472777058867567E-2</v>
      </c>
      <c r="CB3" s="7">
        <v>-0.1710256064919487</v>
      </c>
      <c r="CC3" s="7">
        <v>8.6731635966007636E-2</v>
      </c>
      <c r="CD3" s="7">
        <v>3.1267715866912023E-2</v>
      </c>
      <c r="CE3" s="7">
        <v>0.21879703659667429</v>
      </c>
      <c r="CF3" s="7">
        <v>-0.14159470736568711</v>
      </c>
      <c r="CG3" s="7">
        <v>9.9731607421901125E-2</v>
      </c>
      <c r="CH3" s="7">
        <v>4.5308069873117418E-2</v>
      </c>
      <c r="CI3" s="7">
        <v>8.9441140161070076E-2</v>
      </c>
      <c r="CJ3" s="7">
        <v>-0.39111281147264998</v>
      </c>
      <c r="CK3" s="7">
        <v>-0.1097911700085549</v>
      </c>
      <c r="CL3" s="7">
        <v>-4.3456184080796323E-2</v>
      </c>
      <c r="CM3" s="7">
        <v>0.18311247425732111</v>
      </c>
      <c r="CN3" s="7">
        <v>-0.39746167912504499</v>
      </c>
      <c r="CO3" s="7">
        <v>-9.6930225730283204E-2</v>
      </c>
      <c r="CP3" s="7">
        <v>-9.5682049872747255E-2</v>
      </c>
      <c r="CQ3" s="7">
        <v>0.1719749674179798</v>
      </c>
      <c r="CR3" s="7">
        <v>6.193948475943406E-2</v>
      </c>
      <c r="CS3" s="7">
        <v>-4.766403897443855E-2</v>
      </c>
      <c r="CT3" s="7">
        <v>-1.0473980040770331E-2</v>
      </c>
      <c r="CU3" s="7">
        <v>-3.4400594909697269E-2</v>
      </c>
      <c r="CV3" s="7">
        <v>-2.258422919649378E-2</v>
      </c>
      <c r="CW3" s="7">
        <v>3.9676013642423347E-2</v>
      </c>
      <c r="CX3" s="7">
        <v>-5.3904732790442063E-2</v>
      </c>
      <c r="CY3" s="7">
        <v>2.7221884648997659E-2</v>
      </c>
      <c r="CZ3" s="7">
        <v>9.887843547877545E-2</v>
      </c>
      <c r="DA3" s="7">
        <v>0.31254073484350059</v>
      </c>
      <c r="DB3" s="7">
        <v>-0.15564612733519101</v>
      </c>
      <c r="DC3" s="7">
        <v>-0.1869585274246745</v>
      </c>
      <c r="DD3" s="7">
        <v>-0.1685228634155537</v>
      </c>
      <c r="DE3" s="7">
        <v>0.167797614048632</v>
      </c>
      <c r="DF3" s="7">
        <v>-9.1638386466207117E-2</v>
      </c>
      <c r="DG3" s="7">
        <v>-7.5708963031610038E-2</v>
      </c>
      <c r="DH3" s="7">
        <v>7.7960520930383534E-3</v>
      </c>
      <c r="DI3" s="7">
        <v>-2.550037968045427E-3</v>
      </c>
      <c r="DJ3" s="7">
        <v>-6.8988362574604056E-2</v>
      </c>
      <c r="DK3" s="7">
        <v>4.6125318624910372E-2</v>
      </c>
      <c r="DL3" s="7">
        <v>-5.8337699674184812E-2</v>
      </c>
      <c r="DM3" s="7">
        <v>-7.0566061856034673E-2</v>
      </c>
      <c r="DN3" s="7">
        <v>2.8092871036590469E-2</v>
      </c>
      <c r="DO3" s="7">
        <v>-7.0883392118803512E-2</v>
      </c>
      <c r="DP3" s="7">
        <v>0.16113140194021491</v>
      </c>
      <c r="DQ3" s="7">
        <v>0.1547440050249741</v>
      </c>
      <c r="DR3" s="7">
        <v>-0.1074253347743111</v>
      </c>
      <c r="DS3" s="7">
        <v>0.1128417239921658</v>
      </c>
      <c r="DT3" s="7">
        <v>-9.1401515312696358E-2</v>
      </c>
      <c r="DU3" s="7">
        <v>-6.5441570505782948E-2</v>
      </c>
      <c r="DV3" s="7">
        <v>-7.3758705524151646E-2</v>
      </c>
      <c r="DW3" s="7">
        <v>6.6155769939567149E-2</v>
      </c>
      <c r="DX3" s="7">
        <v>6.9417132083775007E-2</v>
      </c>
      <c r="DY3" s="7">
        <v>-0.1029921683468592</v>
      </c>
      <c r="DZ3" s="7">
        <v>0.26391340422439702</v>
      </c>
      <c r="EA3" s="7">
        <v>-8.9759100562535832E-2</v>
      </c>
      <c r="EB3" s="7">
        <v>0.1943247699855464</v>
      </c>
      <c r="EC3" s="7">
        <v>-3.0097119912413432E-2</v>
      </c>
      <c r="ED3" s="7">
        <v>2.8618294955548351E-2</v>
      </c>
      <c r="EE3" s="7">
        <v>-8.7371804917649953E-2</v>
      </c>
      <c r="EF3" s="7">
        <v>-2.097644515945218E-2</v>
      </c>
      <c r="EG3" s="1"/>
    </row>
    <row r="4" spans="1:138" x14ac:dyDescent="0.3">
      <c r="B4" s="1" t="s">
        <v>137</v>
      </c>
      <c r="C4" s="7">
        <v>-0.20373737278850079</v>
      </c>
      <c r="D4" s="7">
        <v>-0.19625335237819111</v>
      </c>
      <c r="E4" s="7">
        <v>-0.25415940811056359</v>
      </c>
      <c r="F4" s="7">
        <v>4.6203751390931913E-2</v>
      </c>
      <c r="G4" s="7">
        <v>3.0789039449800271E-2</v>
      </c>
      <c r="H4" s="7">
        <v>-5.1609232396986122E-2</v>
      </c>
      <c r="I4" s="7">
        <v>1.151272534425374E-3</v>
      </c>
      <c r="J4" s="7">
        <v>4.8762634606076112E-2</v>
      </c>
      <c r="K4" s="7">
        <v>-0.1019817977011339</v>
      </c>
      <c r="L4" s="7">
        <v>-1.8321503973252721E-2</v>
      </c>
      <c r="M4" s="7">
        <v>-5.4833735050777932E-2</v>
      </c>
      <c r="N4" s="7">
        <v>-3.0149620485337539E-2</v>
      </c>
      <c r="O4" s="7">
        <v>-0.18672650958156109</v>
      </c>
      <c r="P4" s="7">
        <v>3.0188496442265841E-2</v>
      </c>
      <c r="Q4" s="7">
        <v>9.7889818288440011E-2</v>
      </c>
      <c r="R4" s="7">
        <v>-9.380784496339345E-2</v>
      </c>
      <c r="S4" s="7">
        <v>2.2756317670806329E-2</v>
      </c>
      <c r="T4" s="7">
        <v>7.3507175756873266E-2</v>
      </c>
      <c r="U4" s="7">
        <v>6.8550642870981449E-3</v>
      </c>
      <c r="V4" s="7">
        <v>-2.1638526708681379E-2</v>
      </c>
      <c r="W4" s="7">
        <v>-6.0385491305918748E-3</v>
      </c>
      <c r="X4" s="7">
        <v>-0.16973075948726549</v>
      </c>
      <c r="Y4" s="7">
        <v>-0.2336530995268635</v>
      </c>
      <c r="Z4" s="7">
        <v>-9.998148525383499E-3</v>
      </c>
      <c r="AA4" s="7">
        <v>-2.4349471614097951E-3</v>
      </c>
      <c r="AB4" s="7">
        <v>-0.16380781721638549</v>
      </c>
      <c r="AC4" s="7">
        <v>-6.5405588207859466E-2</v>
      </c>
      <c r="AD4" s="7">
        <v>-5.3691935268133761E-2</v>
      </c>
      <c r="AE4" s="7">
        <v>4.3446009950345747E-2</v>
      </c>
      <c r="AF4" s="7">
        <v>8.0856156973185378E-2</v>
      </c>
      <c r="AG4" s="7">
        <v>-0.1008200200700493</v>
      </c>
      <c r="AH4" s="7">
        <v>0.1185484902349838</v>
      </c>
      <c r="AI4" s="7">
        <v>-8.6917583432359891E-2</v>
      </c>
      <c r="AJ4" s="7">
        <v>-9.6714761437004526E-2</v>
      </c>
      <c r="AK4" s="7">
        <v>7.7115472579782463E-2</v>
      </c>
      <c r="AL4" s="7">
        <v>1.9375682024094228E-2</v>
      </c>
      <c r="AM4" s="7">
        <v>-6.6846435244087843E-3</v>
      </c>
      <c r="AN4" s="7">
        <v>1.143271994558326E-2</v>
      </c>
      <c r="AO4" s="7">
        <v>-4.4564575721720352E-2</v>
      </c>
      <c r="AP4" s="7">
        <v>7.9750638168698984E-2</v>
      </c>
      <c r="AQ4" s="7">
        <v>-9.0693006788388431E-2</v>
      </c>
      <c r="AR4" s="7">
        <v>0.1144314103616733</v>
      </c>
      <c r="AS4" s="7">
        <v>8.2295799616039389E-2</v>
      </c>
      <c r="AT4" s="7">
        <v>1.0311530981850231E-2</v>
      </c>
      <c r="AU4" s="7">
        <v>-3.3710155553132282E-2</v>
      </c>
      <c r="AV4" s="7">
        <v>-0.21769900369851489</v>
      </c>
      <c r="AW4" s="7">
        <v>5.245717031440833E-2</v>
      </c>
      <c r="AX4" s="7">
        <v>1.3927468226748729E-2</v>
      </c>
      <c r="AY4" s="7">
        <v>0.1050107086686278</v>
      </c>
      <c r="AZ4" s="7">
        <v>1.7528918973958699E-2</v>
      </c>
      <c r="BA4" s="7">
        <v>-0.15432648292571119</v>
      </c>
      <c r="BB4" s="7">
        <v>-0.25246377965845751</v>
      </c>
      <c r="BC4" s="7">
        <v>-0.14987217699416711</v>
      </c>
      <c r="BD4" s="7">
        <v>-2.2774061820067359E-2</v>
      </c>
      <c r="BE4" s="7">
        <v>-3.1425095001580423E-2</v>
      </c>
      <c r="BF4" s="7">
        <v>0.1232771881685419</v>
      </c>
      <c r="BG4" s="7">
        <v>-7.5330977107530117E-2</v>
      </c>
      <c r="BH4" s="7">
        <v>-6.4736813987872566E-2</v>
      </c>
      <c r="BI4" s="7">
        <v>1.821390966158987E-2</v>
      </c>
      <c r="BJ4" s="7">
        <v>-0.1508508871203755</v>
      </c>
      <c r="BK4" s="7">
        <v>-5.8953203032860557E-2</v>
      </c>
      <c r="BL4" s="7">
        <v>-4.7773781438463558E-2</v>
      </c>
      <c r="BM4" s="7">
        <v>2.034180601101987E-2</v>
      </c>
      <c r="BN4" s="7">
        <v>4.0714107422102692E-2</v>
      </c>
      <c r="BO4" s="7">
        <v>4.5214638741134287E-2</v>
      </c>
      <c r="BP4" s="7">
        <v>8.3627121253362802E-2</v>
      </c>
      <c r="BQ4" s="7">
        <v>3.0825396788037199E-2</v>
      </c>
      <c r="BR4" s="7">
        <v>-0.11545472065009039</v>
      </c>
      <c r="BS4" s="7">
        <v>-1.926452999418871E-2</v>
      </c>
      <c r="BT4" s="7">
        <v>-3.4111549917248851E-2</v>
      </c>
      <c r="BU4" s="7">
        <v>-4.5269937245304703E-2</v>
      </c>
      <c r="BV4" s="7">
        <v>0.17197266141593739</v>
      </c>
      <c r="BW4" s="7">
        <v>-0.10029050755647261</v>
      </c>
      <c r="BX4" s="7">
        <v>-6.8044962494687056E-2</v>
      </c>
      <c r="BY4" s="7">
        <v>-0.1826948620902353</v>
      </c>
      <c r="BZ4" s="7">
        <v>8.5574019762324482E-2</v>
      </c>
      <c r="CA4" s="7">
        <v>9.9907862663961566E-3</v>
      </c>
      <c r="CB4" s="7">
        <v>0.19801890737320349</v>
      </c>
      <c r="CC4" s="7">
        <v>-0.29446404903659129</v>
      </c>
      <c r="CD4" s="7">
        <v>-0.13184913857205419</v>
      </c>
      <c r="CE4" s="7">
        <v>-5.9049425825826063E-2</v>
      </c>
      <c r="CF4" s="7">
        <v>-0.11382074234660421</v>
      </c>
      <c r="CG4" s="7">
        <v>5.6476011311058727E-2</v>
      </c>
      <c r="CH4" s="7">
        <v>-4.7278812128794812E-3</v>
      </c>
      <c r="CI4" s="7">
        <v>8.4060042745477404E-2</v>
      </c>
      <c r="CJ4" s="7">
        <v>2.860589104349032E-2</v>
      </c>
      <c r="CK4" s="7">
        <v>-2.196015758338277E-2</v>
      </c>
      <c r="CL4" s="7">
        <v>-6.7870860352922335E-2</v>
      </c>
      <c r="CM4" s="7">
        <v>4.0070082430315068E-2</v>
      </c>
      <c r="CN4" s="7">
        <v>0.18816019391077179</v>
      </c>
      <c r="CO4" s="7">
        <v>2.367017674917093E-3</v>
      </c>
      <c r="CP4" s="7">
        <v>1.9450901205715351E-2</v>
      </c>
      <c r="CQ4" s="7">
        <v>-3.0616705499888042E-2</v>
      </c>
      <c r="CR4" s="7">
        <v>-0.28761057639089671</v>
      </c>
      <c r="CS4" s="7">
        <v>-0.27901111949972451</v>
      </c>
      <c r="CT4" s="7">
        <v>8.2166791936902683E-2</v>
      </c>
      <c r="CU4" s="7">
        <v>-0.1044948676458937</v>
      </c>
      <c r="CV4" s="7">
        <v>0.1117497704879042</v>
      </c>
      <c r="CW4" s="7">
        <v>-5.0011486829184548E-2</v>
      </c>
      <c r="CX4" s="7">
        <v>5.9209700317154557E-2</v>
      </c>
      <c r="CY4" s="7">
        <v>-0.17471118648177961</v>
      </c>
      <c r="CZ4" s="7">
        <v>-0.13109686697720241</v>
      </c>
      <c r="DA4" s="7">
        <v>-0.2203257151296327</v>
      </c>
      <c r="DB4" s="7">
        <v>-5.1224388631531781E-2</v>
      </c>
      <c r="DC4" s="7">
        <v>-0.14279358769975301</v>
      </c>
      <c r="DD4" s="7">
        <v>0.1020904846945818</v>
      </c>
      <c r="DE4" s="7">
        <v>4.4656291464193032E-2</v>
      </c>
      <c r="DF4" s="7">
        <v>5.6233135690451519E-2</v>
      </c>
      <c r="DG4" s="7">
        <v>-0.1416822717519004</v>
      </c>
      <c r="DH4" s="7">
        <v>0.15762567020768259</v>
      </c>
      <c r="DI4" s="7">
        <v>-6.2035901643650249E-2</v>
      </c>
      <c r="DJ4" s="7">
        <v>-0.1196792904639139</v>
      </c>
      <c r="DK4" s="7">
        <v>-0.1636929902628452</v>
      </c>
      <c r="DL4" s="7">
        <v>9.4429634312145794E-2</v>
      </c>
      <c r="DM4" s="7">
        <v>0.23372019522840051</v>
      </c>
      <c r="DN4" s="7">
        <v>7.3797400786563827E-2</v>
      </c>
      <c r="DO4" s="7">
        <v>-4.5812944635489572E-2</v>
      </c>
      <c r="DP4" s="7">
        <v>-6.8308325202590225E-2</v>
      </c>
      <c r="DQ4" s="7">
        <v>-0.16930629268172481</v>
      </c>
      <c r="DR4" s="7">
        <v>-0.1292436792863576</v>
      </c>
      <c r="DS4" s="7">
        <v>-7.3886793403296736E-2</v>
      </c>
      <c r="DT4" s="7">
        <v>-0.20370624475922131</v>
      </c>
      <c r="DU4" s="7">
        <v>-5.4891500526604631E-2</v>
      </c>
      <c r="DV4" s="7">
        <v>1.2036945748828741E-2</v>
      </c>
      <c r="DW4" s="7">
        <v>-6.1300239407735546E-3</v>
      </c>
      <c r="DX4" s="7">
        <v>-8.4900404469877344E-2</v>
      </c>
      <c r="DY4" s="7">
        <v>0.1000065013622802</v>
      </c>
      <c r="DZ4" s="7">
        <v>-0.1310602433648711</v>
      </c>
      <c r="EA4" s="7">
        <v>-0.1948807812701929</v>
      </c>
      <c r="EB4" s="7">
        <v>-0.31979832241280798</v>
      </c>
      <c r="EC4" s="7">
        <v>4.9837267550007169E-2</v>
      </c>
      <c r="ED4" s="7">
        <v>5.4627759739140913E-2</v>
      </c>
      <c r="EE4" s="7">
        <v>0.1200464788195035</v>
      </c>
      <c r="EF4" s="7">
        <v>0.24381115553913091</v>
      </c>
      <c r="EG4" s="1"/>
    </row>
    <row r="5" spans="1:138" x14ac:dyDescent="0.3">
      <c r="B5" s="1" t="s">
        <v>138</v>
      </c>
      <c r="C5" s="7">
        <v>-0.20935792122733929</v>
      </c>
      <c r="D5" s="7">
        <v>-0.1073627692333063</v>
      </c>
      <c r="E5" s="7">
        <v>0.52484760680152232</v>
      </c>
      <c r="F5" s="7">
        <v>4.6837059958046809E-2</v>
      </c>
      <c r="G5" s="7">
        <v>-0.2104714261735883</v>
      </c>
      <c r="H5" s="7">
        <v>0.4744149628629204</v>
      </c>
      <c r="I5" s="7">
        <v>0.14678498763585299</v>
      </c>
      <c r="J5" s="7">
        <v>-5.6231752728838222E-2</v>
      </c>
      <c r="K5" s="7">
        <v>0.27552845629080469</v>
      </c>
      <c r="L5" s="7">
        <v>-0.43004286310886081</v>
      </c>
      <c r="M5" s="7">
        <v>0.32376774959305898</v>
      </c>
      <c r="N5" s="7">
        <v>-0.34824165047033961</v>
      </c>
      <c r="O5" s="7">
        <v>-9.7528911512976074E-2</v>
      </c>
      <c r="P5" s="7">
        <v>0.39546612391174241</v>
      </c>
      <c r="Q5" s="7">
        <v>4.8467491330228173E-2</v>
      </c>
      <c r="R5" s="7">
        <v>-9.8851331549351315E-2</v>
      </c>
      <c r="S5" s="7">
        <v>0.3057921371194337</v>
      </c>
      <c r="T5" s="7">
        <v>7.2071946189346189E-2</v>
      </c>
      <c r="U5" s="7">
        <v>-4.7890408561752917E-4</v>
      </c>
      <c r="V5" s="7">
        <v>-0.13936695356286269</v>
      </c>
      <c r="W5" s="7">
        <v>-0.39469012652483237</v>
      </c>
      <c r="X5" s="7">
        <v>-0.12947787244850251</v>
      </c>
      <c r="Y5" s="7">
        <v>-0.68127295831176804</v>
      </c>
      <c r="Z5" s="7">
        <v>-4.1720386960932424E-3</v>
      </c>
      <c r="AA5" s="7">
        <v>1.8198047382592619E-2</v>
      </c>
      <c r="AB5" s="7">
        <v>0.20112165888415301</v>
      </c>
      <c r="AC5" s="7">
        <v>-8.9163225286403025E-2</v>
      </c>
      <c r="AD5" s="7">
        <v>0.14514145822358679</v>
      </c>
      <c r="AE5" s="7">
        <v>7.4669147590605167E-2</v>
      </c>
      <c r="AF5" s="7">
        <v>0.17577042279847119</v>
      </c>
      <c r="AG5" s="7">
        <v>-0.30336041259100399</v>
      </c>
      <c r="AH5" s="7">
        <v>-0.3482499081721625</v>
      </c>
      <c r="AI5" s="7">
        <v>0.25872371710226461</v>
      </c>
      <c r="AJ5" s="7">
        <v>-0.48889196953357</v>
      </c>
      <c r="AK5" s="7">
        <v>0.13254842946584691</v>
      </c>
      <c r="AL5" s="7">
        <v>-2.3789775596635129E-2</v>
      </c>
      <c r="AM5" s="7">
        <v>1.17524054827144E-2</v>
      </c>
      <c r="AN5" s="7">
        <v>-7.4933432869098024E-2</v>
      </c>
      <c r="AO5" s="7">
        <v>0.1844633194704077</v>
      </c>
      <c r="AP5" s="7">
        <v>3.2348031051998787E-2</v>
      </c>
      <c r="AQ5" s="7">
        <v>0.1511984265546954</v>
      </c>
      <c r="AR5" s="7">
        <v>-9.5283109587288514E-2</v>
      </c>
      <c r="AS5" s="7">
        <v>-0.1260043749729467</v>
      </c>
      <c r="AT5" s="7">
        <v>0.1516447920969482</v>
      </c>
      <c r="AU5" s="7">
        <v>-0.20083705233961571</v>
      </c>
      <c r="AV5" s="7">
        <v>7.890636801828628E-2</v>
      </c>
      <c r="AW5" s="7">
        <v>6.7935762483271878E-4</v>
      </c>
      <c r="AX5" s="7">
        <v>0.1122931240608864</v>
      </c>
      <c r="AY5" s="7">
        <v>-0.118056117907044</v>
      </c>
      <c r="AZ5" s="7">
        <v>0.20621977214253931</v>
      </c>
      <c r="BA5" s="7">
        <v>-3.9691918773370187E-2</v>
      </c>
      <c r="BB5" s="7">
        <v>8.2995939761629778E-2</v>
      </c>
      <c r="BC5" s="7">
        <v>-0.13000542995066139</v>
      </c>
      <c r="BD5" s="7">
        <v>-0.1063161628626854</v>
      </c>
      <c r="BE5" s="7">
        <v>0.1159333959862182</v>
      </c>
      <c r="BF5" s="7">
        <v>-0.28526227318364472</v>
      </c>
      <c r="BG5" s="7">
        <v>-0.15093334040887121</v>
      </c>
      <c r="BH5" s="7">
        <v>2.919940093087194E-3</v>
      </c>
      <c r="BI5" s="7">
        <v>5.812657406460206E-2</v>
      </c>
      <c r="BJ5" s="7">
        <v>-0.25986983403483388</v>
      </c>
      <c r="BK5" s="7">
        <v>0.18487944696901781</v>
      </c>
      <c r="BL5" s="7">
        <v>-0.26913172790454543</v>
      </c>
      <c r="BM5" s="7">
        <v>0.1717381908649544</v>
      </c>
      <c r="BN5" s="7">
        <v>-0.18092216130584951</v>
      </c>
      <c r="BO5" s="7">
        <v>-6.3203737577877367E-2</v>
      </c>
      <c r="BP5" s="7">
        <v>7.1867500126512024E-2</v>
      </c>
      <c r="BQ5" s="7">
        <v>-0.16861046240236999</v>
      </c>
      <c r="BR5" s="7">
        <v>-2.5447831594333319E-2</v>
      </c>
      <c r="BS5" s="7">
        <v>0.1244241075337672</v>
      </c>
      <c r="BT5" s="7">
        <v>0.20772231279415901</v>
      </c>
      <c r="BU5" s="7">
        <v>-6.0051294436158628E-2</v>
      </c>
      <c r="BV5" s="7">
        <v>-5.1700003009333508E-2</v>
      </c>
      <c r="BW5" s="7">
        <v>-0.1268015683060742</v>
      </c>
      <c r="BX5" s="7">
        <v>-0.10582029087279909</v>
      </c>
      <c r="BY5" s="7">
        <v>5.3607320437496067E-2</v>
      </c>
      <c r="BZ5" s="7">
        <v>-3.4479447424122608E-2</v>
      </c>
      <c r="CA5" s="7">
        <v>-2.0066210971329639E-2</v>
      </c>
      <c r="CB5" s="7">
        <v>8.4589606751002688E-2</v>
      </c>
      <c r="CC5" s="7">
        <v>-0.1103836570393476</v>
      </c>
      <c r="CD5" s="7">
        <v>0.32742328506094998</v>
      </c>
      <c r="CE5" s="7">
        <v>-1.486719718236725E-2</v>
      </c>
      <c r="CF5" s="7">
        <v>-0.14937324914413941</v>
      </c>
      <c r="CG5" s="7">
        <v>0.16320028060313421</v>
      </c>
      <c r="CH5" s="7">
        <v>-6.9038325074175663E-2</v>
      </c>
      <c r="CI5" s="7">
        <v>-0.11536214708505139</v>
      </c>
      <c r="CJ5" s="7">
        <v>-0.26301723908525793</v>
      </c>
      <c r="CK5" s="7">
        <v>0.37897350211797709</v>
      </c>
      <c r="CL5" s="7">
        <v>-7.6383453932209341E-2</v>
      </c>
      <c r="CM5" s="7">
        <v>4.2833444041791832E-2</v>
      </c>
      <c r="CN5" s="7">
        <v>-0.15161552738072651</v>
      </c>
      <c r="CO5" s="7">
        <v>0.43716796518582229</v>
      </c>
      <c r="CP5" s="7">
        <v>-4.1833927507883796E-3</v>
      </c>
      <c r="CQ5" s="7">
        <v>-0.49935244279872992</v>
      </c>
      <c r="CR5" s="7">
        <v>0.3398570382696095</v>
      </c>
      <c r="CS5" s="7">
        <v>-0.18988696947799641</v>
      </c>
      <c r="CT5" s="7">
        <v>0.2246197528310597</v>
      </c>
      <c r="CU5" s="7">
        <v>-0.25171771168640761</v>
      </c>
      <c r="CV5" s="7">
        <v>-6.0587944319075937E-2</v>
      </c>
      <c r="CW5" s="7">
        <v>0.2108770628752098</v>
      </c>
      <c r="CX5" s="7">
        <v>0.25016150139728283</v>
      </c>
      <c r="CY5" s="7">
        <v>-0.52413353929587791</v>
      </c>
      <c r="CZ5" s="7">
        <v>0.8216183061041753</v>
      </c>
      <c r="DA5" s="7">
        <v>-0.17652298417539669</v>
      </c>
      <c r="DB5" s="7">
        <v>0.13115957739194459</v>
      </c>
      <c r="DC5" s="7">
        <v>0.1757366545058428</v>
      </c>
      <c r="DD5" s="7">
        <v>-0.42083892435479142</v>
      </c>
      <c r="DE5" s="7">
        <v>-0.2279724207651195</v>
      </c>
      <c r="DF5" s="7">
        <v>-0.33715973842927388</v>
      </c>
      <c r="DG5" s="7">
        <v>-0.44400370439279008</v>
      </c>
      <c r="DH5" s="7">
        <v>-4.293279443633978E-2</v>
      </c>
      <c r="DI5" s="7">
        <v>0.30896916307249689</v>
      </c>
      <c r="DJ5" s="7">
        <v>-0.28669247758290828</v>
      </c>
      <c r="DK5" s="7">
        <v>0.84621248517861269</v>
      </c>
      <c r="DL5" s="7">
        <v>-0.16924034367306559</v>
      </c>
      <c r="DM5" s="7">
        <v>-0.43945016692248923</v>
      </c>
      <c r="DN5" s="7">
        <v>0.74751336560070059</v>
      </c>
      <c r="DO5" s="7">
        <v>-0.39996426308914668</v>
      </c>
      <c r="DP5" s="7">
        <v>-4.4863264481034962E-2</v>
      </c>
      <c r="DQ5" s="7">
        <v>-0.58863430244229409</v>
      </c>
      <c r="DR5" s="7">
        <v>-6.5627469319089037E-3</v>
      </c>
      <c r="DS5" s="7">
        <v>-0.19878519438361211</v>
      </c>
      <c r="DT5" s="7">
        <v>0.4132117833889476</v>
      </c>
      <c r="DU5" s="7">
        <v>-0.17065403209770361</v>
      </c>
      <c r="DV5" s="7">
        <v>0.68828031734213269</v>
      </c>
      <c r="DW5" s="7">
        <v>4.0806005098273937E-2</v>
      </c>
      <c r="DX5" s="7">
        <v>-0.1999347157162332</v>
      </c>
      <c r="DY5" s="7">
        <v>0.56631420698904078</v>
      </c>
      <c r="DZ5" s="7">
        <v>0.47362880432099852</v>
      </c>
      <c r="EA5" s="7">
        <v>9.5444977871898054E-2</v>
      </c>
      <c r="EB5" s="7">
        <v>-1.076360940060376</v>
      </c>
      <c r="EC5" s="7">
        <v>-0.13610628648279391</v>
      </c>
      <c r="ED5" s="7">
        <v>-0.27349656344743889</v>
      </c>
      <c r="EE5" s="7">
        <v>0.60134859370029736</v>
      </c>
      <c r="EF5" s="7">
        <v>6.7468790588863341E-3</v>
      </c>
      <c r="EG5" s="1"/>
    </row>
    <row r="6" spans="1:138" x14ac:dyDescent="0.3">
      <c r="A6" s="22" t="s">
        <v>139</v>
      </c>
      <c r="B6" s="23"/>
      <c r="C6" s="7">
        <f t="array" ref="C6">MATCH(MAX(ABS(C3:C5)), ABS(C3:C5), 0)</f>
        <v>3</v>
      </c>
      <c r="D6" s="7">
        <f t="array" ref="D6">MATCH(MAX(ABS(D3:D5)), ABS(D3:D5), 0)</f>
        <v>2</v>
      </c>
      <c r="E6" s="7">
        <f t="array" ref="E6">MATCH(MAX(ABS(E3:E5)), ABS(E3:E5), 0)</f>
        <v>3</v>
      </c>
      <c r="F6" s="7">
        <f t="array" ref="F6">MATCH(MAX(ABS(F3:F5)), ABS(F3:F5), 0)</f>
        <v>3</v>
      </c>
      <c r="G6" s="7">
        <f t="array" ref="G6">MATCH(MAX(ABS(G3:G5)), ABS(G3:G5), 0)</f>
        <v>3</v>
      </c>
      <c r="H6" s="7">
        <f t="array" ref="H6">MATCH(MAX(ABS(H3:H5)), ABS(H3:H5), 0)</f>
        <v>3</v>
      </c>
      <c r="I6" s="7">
        <f t="array" ref="I6">MATCH(MAX(ABS(I3:I5)), ABS(I3:I5), 0)</f>
        <v>1</v>
      </c>
      <c r="J6" s="7">
        <f t="array" ref="J6">MATCH(MAX(ABS(J3:J5)), ABS(J3:J5), 0)</f>
        <v>1</v>
      </c>
      <c r="K6" s="7">
        <f t="array" ref="K6">MATCH(MAX(ABS(K3:K5)), ABS(K3:K5), 0)</f>
        <v>3</v>
      </c>
      <c r="L6" s="7">
        <f t="array" ref="L6">MATCH(MAX(ABS(L3:L5)), ABS(L3:L5), 0)</f>
        <v>3</v>
      </c>
      <c r="M6" s="7">
        <f t="array" ref="M6">MATCH(MAX(ABS(M3:M5)), ABS(M3:M5), 0)</f>
        <v>3</v>
      </c>
      <c r="N6" s="7">
        <f t="array" ref="N6">MATCH(MAX(ABS(N3:N5)), ABS(N3:N5), 0)</f>
        <v>3</v>
      </c>
      <c r="O6" s="7">
        <f t="array" ref="O6">MATCH(MAX(ABS(O3:O5)), ABS(O3:O5), 0)</f>
        <v>1</v>
      </c>
      <c r="P6" s="7">
        <f t="array" ref="P6">MATCH(MAX(ABS(P3:P5)), ABS(P3:P5), 0)</f>
        <v>3</v>
      </c>
      <c r="Q6" s="7">
        <f t="array" ref="Q6">MATCH(MAX(ABS(Q3:Q5)), ABS(Q3:Q5), 0)</f>
        <v>1</v>
      </c>
      <c r="R6" s="7">
        <f t="array" ref="R6">MATCH(MAX(ABS(R3:R5)), ABS(R3:R5), 0)</f>
        <v>1</v>
      </c>
      <c r="S6" s="7">
        <f t="array" ref="S6">MATCH(MAX(ABS(S3:S5)), ABS(S3:S5), 0)</f>
        <v>3</v>
      </c>
      <c r="T6" s="7">
        <f t="array" ref="T6">MATCH(MAX(ABS(T3:T5)), ABS(T3:T5), 0)</f>
        <v>1</v>
      </c>
      <c r="U6" s="7">
        <f t="array" ref="U6">MATCH(MAX(ABS(U3:U5)), ABS(U3:U5), 0)</f>
        <v>1</v>
      </c>
      <c r="V6" s="7">
        <f t="array" ref="V6">MATCH(MAX(ABS(V3:V5)), ABS(V3:V5), 0)</f>
        <v>3</v>
      </c>
      <c r="W6" s="7">
        <f t="array" ref="W6">MATCH(MAX(ABS(W3:W5)), ABS(W3:W5), 0)</f>
        <v>3</v>
      </c>
      <c r="X6" s="7">
        <f t="array" ref="X6">MATCH(MAX(ABS(X3:X5)), ABS(X3:X5), 0)</f>
        <v>2</v>
      </c>
      <c r="Y6" s="7">
        <f t="array" ref="Y6">MATCH(MAX(ABS(Y3:Y5)), ABS(Y3:Y5), 0)</f>
        <v>3</v>
      </c>
      <c r="Z6" s="7">
        <f t="array" ref="Z6">MATCH(MAX(ABS(Z3:Z5)), ABS(Z3:Z5), 0)</f>
        <v>1</v>
      </c>
      <c r="AA6" s="7">
        <f t="array" ref="AA6">MATCH(MAX(ABS(AA3:AA5)), ABS(AA3:AA5), 0)</f>
        <v>1</v>
      </c>
      <c r="AB6" s="7">
        <f t="array" ref="AB6">MATCH(MAX(ABS(AB3:AB5)), ABS(AB3:AB5), 0)</f>
        <v>1</v>
      </c>
      <c r="AC6" s="7">
        <f t="array" ref="AC6">MATCH(MAX(ABS(AC3:AC5)), ABS(AC3:AC5), 0)</f>
        <v>3</v>
      </c>
      <c r="AD6" s="7">
        <f t="array" ref="AD6">MATCH(MAX(ABS(AD3:AD5)), ABS(AD3:AD5), 0)</f>
        <v>3</v>
      </c>
      <c r="AE6" s="7">
        <f t="array" ref="AE6">MATCH(MAX(ABS(AE3:AE5)), ABS(AE3:AE5), 0)</f>
        <v>3</v>
      </c>
      <c r="AF6" s="7">
        <f t="array" ref="AF6">MATCH(MAX(ABS(AF3:AF5)), ABS(AF3:AF5), 0)</f>
        <v>3</v>
      </c>
      <c r="AG6" s="7">
        <f t="array" ref="AG6">MATCH(MAX(ABS(AG3:AG5)), ABS(AG3:AG5), 0)</f>
        <v>3</v>
      </c>
      <c r="AH6" s="7">
        <f t="array" ref="AH6">MATCH(MAX(ABS(AH3:AH5)), ABS(AH3:AH5), 0)</f>
        <v>3</v>
      </c>
      <c r="AI6" s="7">
        <f t="array" ref="AI6">MATCH(MAX(ABS(AI3:AI5)), ABS(AI3:AI5), 0)</f>
        <v>3</v>
      </c>
      <c r="AJ6" s="7">
        <f t="array" ref="AJ6">MATCH(MAX(ABS(AJ3:AJ5)), ABS(AJ3:AJ5), 0)</f>
        <v>3</v>
      </c>
      <c r="AK6" s="7">
        <f t="array" ref="AK6">MATCH(MAX(ABS(AK3:AK5)), ABS(AK3:AK5), 0)</f>
        <v>3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3</v>
      </c>
      <c r="AP6" s="7">
        <f t="array" ref="AP6">MATCH(MAX(ABS(AP3:AP5)), ABS(AP3:AP5), 0)</f>
        <v>2</v>
      </c>
      <c r="AQ6" s="7">
        <f t="array" ref="AQ6">MATCH(MAX(ABS(AQ3:AQ5)), ABS(AQ3:AQ5), 0)</f>
        <v>1</v>
      </c>
      <c r="AR6" s="7">
        <f t="array" ref="AR6">MATCH(MAX(ABS(AR3:AR5)), ABS(AR3:AR5), 0)</f>
        <v>2</v>
      </c>
      <c r="AS6" s="7">
        <f t="array" ref="AS6">MATCH(MAX(ABS(AS3:AS5)), ABS(AS3:AS5), 0)</f>
        <v>1</v>
      </c>
      <c r="AT6" s="7">
        <f t="array" ref="AT6">MATCH(MAX(ABS(AT3:AT5)), ABS(AT3:AT5), 0)</f>
        <v>3</v>
      </c>
      <c r="AU6" s="7">
        <f t="array" ref="AU6">MATCH(MAX(ABS(AU3:AU5)), ABS(AU3:AU5), 0)</f>
        <v>3</v>
      </c>
      <c r="AV6" s="7">
        <f t="array" ref="AV6">MATCH(MAX(ABS(AV3:AV5)), ABS(AV3:AV5), 0)</f>
        <v>2</v>
      </c>
      <c r="AW6" s="7">
        <f t="array" ref="AW6">MATCH(MAX(ABS(AW3:AW5)), ABS(AW3:AW5), 0)</f>
        <v>1</v>
      </c>
      <c r="AX6" s="7">
        <f t="array" ref="AX6">MATCH(MAX(ABS(AX3:AX5)), ABS(AX3:AX5), 0)</f>
        <v>3</v>
      </c>
      <c r="AY6" s="7">
        <f t="array" ref="AY6">MATCH(MAX(ABS(AY3:AY5)), ABS(AY3:AY5), 0)</f>
        <v>3</v>
      </c>
      <c r="AZ6" s="7">
        <f t="array" ref="AZ6">MATCH(MAX(ABS(AZ3:AZ5)), ABS(AZ3:AZ5), 0)</f>
        <v>3</v>
      </c>
      <c r="BA6" s="7">
        <f t="array" ref="BA6">MATCH(MAX(ABS(BA3:BA5)), ABS(BA3:BA5), 0)</f>
        <v>1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3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3</v>
      </c>
      <c r="BJ6" s="7">
        <f t="array" ref="BJ6">MATCH(MAX(ABS(BJ3:BJ5)), ABS(BJ3:BJ5), 0)</f>
        <v>3</v>
      </c>
      <c r="BK6" s="7">
        <f t="array" ref="BK6">MATCH(MAX(ABS(BK3:BK5)), ABS(BK3:BK5), 0)</f>
        <v>3</v>
      </c>
      <c r="BL6" s="7">
        <f t="array" ref="BL6">MATCH(MAX(ABS(BL3:BL5)), ABS(BL3:BL5), 0)</f>
        <v>3</v>
      </c>
      <c r="BM6" s="7">
        <f t="array" ref="BM6">MATCH(MAX(ABS(BM3:BM5)), ABS(BM3:BM5), 0)</f>
        <v>3</v>
      </c>
      <c r="BN6" s="7">
        <f t="array" ref="BN6">MATCH(MAX(ABS(BN3:BN5)), ABS(BN3:BN5), 0)</f>
        <v>3</v>
      </c>
      <c r="BO6" s="7">
        <f t="array" ref="BO6">MATCH(MAX(ABS(BO3:BO5)), ABS(BO3:BO5), 0)</f>
        <v>1</v>
      </c>
      <c r="BP6" s="7">
        <f t="array" ref="BP6">MATCH(MAX(ABS(BP3:BP5)), ABS(BP3:BP5), 0)</f>
        <v>2</v>
      </c>
      <c r="BQ6" s="7">
        <f t="array" ref="BQ6">MATCH(MAX(ABS(BQ3:BQ5)), ABS(BQ3:BQ5), 0)</f>
        <v>3</v>
      </c>
      <c r="BR6" s="7">
        <f t="array" ref="BR6">MATCH(MAX(ABS(BR3:BR5)), ABS(BR3:BR5), 0)</f>
        <v>1</v>
      </c>
      <c r="BS6" s="7">
        <f t="array" ref="BS6">MATCH(MAX(ABS(BS3:BS5)), ABS(BS3:BS5), 0)</f>
        <v>3</v>
      </c>
      <c r="BT6" s="7">
        <f t="array" ref="BT6">MATCH(MAX(ABS(BT3:BT5)), ABS(BT3:BT5), 0)</f>
        <v>3</v>
      </c>
      <c r="BU6" s="7">
        <f t="array" ref="BU6">MATCH(MAX(ABS(BU3:BU5)), ABS(BU3:BU5), 0)</f>
        <v>1</v>
      </c>
      <c r="BV6" s="7">
        <f t="array" ref="BV6">MATCH(MAX(ABS(BV3:BV5)), ABS(BV3:BV5), 0)</f>
        <v>2</v>
      </c>
      <c r="BW6" s="7">
        <f t="array" ref="BW6">MATCH(MAX(ABS(BW3:BW5)), ABS(BW3:BW5), 0)</f>
        <v>3</v>
      </c>
      <c r="BX6" s="7">
        <f t="array" ref="BX6">MATCH(MAX(ABS(BX3:BX5)), ABS(BX3:BX5), 0)</f>
        <v>3</v>
      </c>
      <c r="BY6" s="7">
        <f t="array" ref="BY6">MATCH(MAX(ABS(BY3:BY5)), ABS(BY3:BY5), 0)</f>
        <v>2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2</v>
      </c>
      <c r="CC6" s="7">
        <f t="array" ref="CC6">MATCH(MAX(ABS(CC3:CC5)), ABS(CC3:CC5), 0)</f>
        <v>2</v>
      </c>
      <c r="CD6" s="7">
        <f t="array" ref="CD6">MATCH(MAX(ABS(CD3:CD5)), ABS(CD3:CD5), 0)</f>
        <v>3</v>
      </c>
      <c r="CE6" s="7">
        <f t="array" ref="CE6">MATCH(MAX(ABS(CE3:CE5)), ABS(CE3:CE5), 0)</f>
        <v>1</v>
      </c>
      <c r="CF6" s="7">
        <f t="array" ref="CF6">MATCH(MAX(ABS(CF3:CF5)), ABS(CF3:CF5), 0)</f>
        <v>3</v>
      </c>
      <c r="CG6" s="7">
        <f t="array" ref="CG6">MATCH(MAX(ABS(CG3:CG5)), ABS(CG3:CG5), 0)</f>
        <v>3</v>
      </c>
      <c r="CH6" s="7">
        <f t="array" ref="CH6">MATCH(MAX(ABS(CH3:CH5)), ABS(CH3:CH5), 0)</f>
        <v>3</v>
      </c>
      <c r="CI6" s="7">
        <f t="array" ref="CI6">MATCH(MAX(ABS(CI3:CI5)), ABS(CI3:CI5), 0)</f>
        <v>3</v>
      </c>
      <c r="CJ6" s="7">
        <f t="array" ref="CJ6">MATCH(MAX(ABS(CJ3:CJ5)), ABS(CJ3:CJ5), 0)</f>
        <v>1</v>
      </c>
      <c r="CK6" s="7">
        <f t="array" ref="CK6">MATCH(MAX(ABS(CK3:CK5)), ABS(CK3:CK5), 0)</f>
        <v>3</v>
      </c>
      <c r="CL6" s="7">
        <f t="array" ref="CL6">MATCH(MAX(ABS(CL3:CL5)), ABS(CL3:CL5), 0)</f>
        <v>3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3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3</v>
      </c>
      <c r="CS6" s="7">
        <f t="array" ref="CS6">MATCH(MAX(ABS(CS3:CS5)), ABS(CS3:CS5), 0)</f>
        <v>2</v>
      </c>
      <c r="CT6" s="7">
        <f t="array" ref="CT6">MATCH(MAX(ABS(CT3:CT5)), ABS(CT3:CT5), 0)</f>
        <v>3</v>
      </c>
      <c r="CU6" s="7">
        <f t="array" ref="CU6">MATCH(MAX(ABS(CU3:CU5)), ABS(CU3:CU5), 0)</f>
        <v>3</v>
      </c>
      <c r="CV6" s="7">
        <f t="array" ref="CV6">MATCH(MAX(ABS(CV3:CV5)), ABS(CV3:CV5), 0)</f>
        <v>2</v>
      </c>
      <c r="CW6" s="7">
        <f t="array" ref="CW6">MATCH(MAX(ABS(CW3:CW5)), ABS(CW3:CW5), 0)</f>
        <v>3</v>
      </c>
      <c r="CX6" s="7">
        <f t="array" ref="CX6">MATCH(MAX(ABS(CX3:CX5)), ABS(CX3:CX5), 0)</f>
        <v>3</v>
      </c>
      <c r="CY6" s="7">
        <f t="array" ref="CY6">MATCH(MAX(ABS(CY3:CY5)), ABS(CY3:CY5), 0)</f>
        <v>3</v>
      </c>
      <c r="CZ6" s="7">
        <f t="array" ref="CZ6">MATCH(MAX(ABS(CZ3:CZ5)), ABS(CZ3:CZ5), 0)</f>
        <v>3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1</v>
      </c>
      <c r="DD6" s="7">
        <f t="array" ref="DD6">MATCH(MAX(ABS(DD3:DD5)), ABS(DD3:DD5), 0)</f>
        <v>3</v>
      </c>
      <c r="DE6" s="7">
        <f t="array" ref="DE6">MATCH(MAX(ABS(DE3:DE5)), ABS(DE3:DE5), 0)</f>
        <v>3</v>
      </c>
      <c r="DF6" s="7">
        <f t="array" ref="DF6">MATCH(MAX(ABS(DF3:DF5)), ABS(DF3:DF5), 0)</f>
        <v>3</v>
      </c>
      <c r="DG6" s="7">
        <f t="array" ref="DG6">MATCH(MAX(ABS(DG3:DG5)), ABS(DG3:DG5), 0)</f>
        <v>3</v>
      </c>
      <c r="DH6" s="7">
        <f t="array" ref="DH6">MATCH(MAX(ABS(DH3:DH5)), ABS(DH3:DH5), 0)</f>
        <v>2</v>
      </c>
      <c r="DI6" s="7">
        <f t="array" ref="DI6">MATCH(MAX(ABS(DI3:DI5)), ABS(DI3:DI5), 0)</f>
        <v>3</v>
      </c>
      <c r="DJ6" s="7">
        <f t="array" ref="DJ6">MATCH(MAX(ABS(DJ3:DJ5)), ABS(DJ3:DJ5), 0)</f>
        <v>3</v>
      </c>
      <c r="DK6" s="7">
        <f t="array" ref="DK6">MATCH(MAX(ABS(DK3:DK5)), ABS(DK3:DK5), 0)</f>
        <v>3</v>
      </c>
      <c r="DL6" s="7">
        <f t="array" ref="DL6">MATCH(MAX(ABS(DL3:DL5)), ABS(DL3:DL5), 0)</f>
        <v>3</v>
      </c>
      <c r="DM6" s="7">
        <f t="array" ref="DM6">MATCH(MAX(ABS(DM3:DM5)), ABS(DM3:DM5), 0)</f>
        <v>3</v>
      </c>
      <c r="DN6" s="7">
        <f t="array" ref="DN6">MATCH(MAX(ABS(DN3:DN5)), ABS(DN3:DN5), 0)</f>
        <v>3</v>
      </c>
      <c r="DO6" s="7">
        <f t="array" ref="DO6">MATCH(MAX(ABS(DO3:DO5)), ABS(DO3:DO5), 0)</f>
        <v>3</v>
      </c>
      <c r="DP6" s="7">
        <f t="array" ref="DP6">MATCH(MAX(ABS(DP3:DP5)), ABS(DP3:DP5), 0)</f>
        <v>1</v>
      </c>
      <c r="DQ6" s="7">
        <f t="array" ref="DQ6">MATCH(MAX(ABS(DQ3:DQ5)), ABS(DQ3:DQ5), 0)</f>
        <v>3</v>
      </c>
      <c r="DR6" s="7">
        <f t="array" ref="DR6">MATCH(MAX(ABS(DR3:DR5)), ABS(DR3:DR5), 0)</f>
        <v>2</v>
      </c>
      <c r="DS6" s="7">
        <f t="array" ref="DS6">MATCH(MAX(ABS(DS3:DS5)), ABS(DS3:DS5), 0)</f>
        <v>3</v>
      </c>
      <c r="DT6" s="7">
        <f t="array" ref="DT6">MATCH(MAX(ABS(DT3:DT5)), ABS(DT3:DT5), 0)</f>
        <v>3</v>
      </c>
      <c r="DU6" s="7">
        <f t="array" ref="DU6">MATCH(MAX(ABS(DU3:DU5)), ABS(DU3:DU5), 0)</f>
        <v>3</v>
      </c>
      <c r="DV6" s="7">
        <f t="array" ref="DV6">MATCH(MAX(ABS(DV3:DV5)), ABS(DV3:DV5), 0)</f>
        <v>3</v>
      </c>
      <c r="DW6" s="7">
        <f t="array" ref="DW6">MATCH(MAX(ABS(DW3:DW5)), ABS(DW3:DW5), 0)</f>
        <v>1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3</v>
      </c>
      <c r="EC6" s="7">
        <f t="array" ref="EC6">MATCH(MAX(ABS(EC3:EC5)), ABS(EC3:EC5), 0)</f>
        <v>3</v>
      </c>
      <c r="ED6" s="7">
        <f t="array" ref="ED6">MATCH(MAX(ABS(ED3:ED5)), ABS(ED3:ED5), 0)</f>
        <v>3</v>
      </c>
      <c r="EE6" s="7">
        <f t="array" ref="EE6">MATCH(MAX(ABS(EE3:EE5)), ABS(EE3:EE5), 0)</f>
        <v>3</v>
      </c>
      <c r="EF6" s="7">
        <f t="array" ref="EF6">MATCH(MAX(ABS(EF3:EF5)), ABS(EF3:EF5), 0)</f>
        <v>2</v>
      </c>
      <c r="EG6" s="1">
        <f t="array" ref="EG6">MATCH(MAX(ABS(EG3:EG5)), ABS(EG3:EG5), 0)</f>
        <v>1</v>
      </c>
    </row>
    <row r="7" spans="1:138" x14ac:dyDescent="0.3">
      <c r="C7" s="7" t="str">
        <f t="shared" ref="C7:AH7" si="0">IF(C6=1,"bm",IF(C6=2,"size",IF(C6=3,"mom")))</f>
        <v>mom</v>
      </c>
      <c r="D7" s="7" t="str">
        <f t="shared" si="0"/>
        <v>size</v>
      </c>
      <c r="E7" s="7" t="str">
        <f t="shared" si="0"/>
        <v>mom</v>
      </c>
      <c r="F7" s="7" t="str">
        <f t="shared" si="0"/>
        <v>mom</v>
      </c>
      <c r="G7" s="7" t="str">
        <f t="shared" si="0"/>
        <v>mom</v>
      </c>
      <c r="H7" s="7" t="str">
        <f t="shared" si="0"/>
        <v>mom</v>
      </c>
      <c r="I7" s="7" t="str">
        <f t="shared" si="0"/>
        <v>bm</v>
      </c>
      <c r="J7" s="7" t="str">
        <f t="shared" si="0"/>
        <v>bm</v>
      </c>
      <c r="K7" s="7" t="str">
        <f t="shared" si="0"/>
        <v>mom</v>
      </c>
      <c r="L7" s="7" t="str">
        <f t="shared" si="0"/>
        <v>mom</v>
      </c>
      <c r="M7" s="7" t="str">
        <f t="shared" si="0"/>
        <v>mom</v>
      </c>
      <c r="N7" s="7" t="str">
        <f t="shared" si="0"/>
        <v>mom</v>
      </c>
      <c r="O7" s="7" t="str">
        <f t="shared" si="0"/>
        <v>bm</v>
      </c>
      <c r="P7" s="7" t="str">
        <f t="shared" si="0"/>
        <v>mom</v>
      </c>
      <c r="Q7" s="7" t="str">
        <f t="shared" si="0"/>
        <v>bm</v>
      </c>
      <c r="R7" s="7" t="str">
        <f t="shared" si="0"/>
        <v>bm</v>
      </c>
      <c r="S7" s="7" t="str">
        <f t="shared" si="0"/>
        <v>mom</v>
      </c>
      <c r="T7" s="7" t="str">
        <f t="shared" si="0"/>
        <v>bm</v>
      </c>
      <c r="U7" s="7" t="str">
        <f t="shared" si="0"/>
        <v>bm</v>
      </c>
      <c r="V7" s="7" t="str">
        <f t="shared" si="0"/>
        <v>mom</v>
      </c>
      <c r="W7" s="7" t="str">
        <f t="shared" si="0"/>
        <v>mom</v>
      </c>
      <c r="X7" s="7" t="str">
        <f t="shared" si="0"/>
        <v>size</v>
      </c>
      <c r="Y7" s="7" t="str">
        <f t="shared" si="0"/>
        <v>mom</v>
      </c>
      <c r="Z7" s="7" t="str">
        <f t="shared" si="0"/>
        <v>bm</v>
      </c>
      <c r="AA7" s="7" t="str">
        <f t="shared" si="0"/>
        <v>bm</v>
      </c>
      <c r="AB7" s="7" t="str">
        <f t="shared" si="0"/>
        <v>bm</v>
      </c>
      <c r="AC7" s="7" t="str">
        <f t="shared" si="0"/>
        <v>mom</v>
      </c>
      <c r="AD7" s="7" t="str">
        <f t="shared" si="0"/>
        <v>mom</v>
      </c>
      <c r="AE7" s="7" t="str">
        <f t="shared" si="0"/>
        <v>mom</v>
      </c>
      <c r="AF7" s="7" t="str">
        <f t="shared" si="0"/>
        <v>mom</v>
      </c>
      <c r="AG7" s="7" t="str">
        <f t="shared" si="0"/>
        <v>mom</v>
      </c>
      <c r="AH7" s="7" t="str">
        <f t="shared" si="0"/>
        <v>mom</v>
      </c>
      <c r="AI7" s="7" t="str">
        <f t="shared" ref="AI7:BN7" si="1">IF(AI6=1,"bm",IF(AI6=2,"size",IF(AI6=3,"mom")))</f>
        <v>mom</v>
      </c>
      <c r="AJ7" s="7" t="str">
        <f t="shared" si="1"/>
        <v>mom</v>
      </c>
      <c r="AK7" s="7" t="str">
        <f t="shared" si="1"/>
        <v>mom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mom</v>
      </c>
      <c r="AP7" s="7" t="str">
        <f t="shared" si="1"/>
        <v>size</v>
      </c>
      <c r="AQ7" s="7" t="str">
        <f t="shared" si="1"/>
        <v>bm</v>
      </c>
      <c r="AR7" s="7" t="str">
        <f t="shared" si="1"/>
        <v>size</v>
      </c>
      <c r="AS7" s="7" t="str">
        <f t="shared" si="1"/>
        <v>bm</v>
      </c>
      <c r="AT7" s="7" t="str">
        <f t="shared" si="1"/>
        <v>mom</v>
      </c>
      <c r="AU7" s="7" t="str">
        <f t="shared" si="1"/>
        <v>mom</v>
      </c>
      <c r="AV7" s="7" t="str">
        <f t="shared" si="1"/>
        <v>size</v>
      </c>
      <c r="AW7" s="7" t="str">
        <f t="shared" si="1"/>
        <v>bm</v>
      </c>
      <c r="AX7" s="7" t="str">
        <f t="shared" si="1"/>
        <v>mom</v>
      </c>
      <c r="AY7" s="7" t="str">
        <f t="shared" si="1"/>
        <v>mom</v>
      </c>
      <c r="AZ7" s="7" t="str">
        <f t="shared" si="1"/>
        <v>mom</v>
      </c>
      <c r="BA7" s="7" t="str">
        <f t="shared" si="1"/>
        <v>bm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mom</v>
      </c>
      <c r="BG7" s="7" t="str">
        <f t="shared" si="1"/>
        <v>bm</v>
      </c>
      <c r="BH7" s="7" t="str">
        <f t="shared" si="1"/>
        <v>bm</v>
      </c>
      <c r="BI7" s="7" t="str">
        <f t="shared" si="1"/>
        <v>mom</v>
      </c>
      <c r="BJ7" s="7" t="str">
        <f t="shared" si="1"/>
        <v>mom</v>
      </c>
      <c r="BK7" s="7" t="str">
        <f t="shared" si="1"/>
        <v>mom</v>
      </c>
      <c r="BL7" s="7" t="str">
        <f t="shared" si="1"/>
        <v>mom</v>
      </c>
      <c r="BM7" s="7" t="str">
        <f t="shared" si="1"/>
        <v>mom</v>
      </c>
      <c r="BN7" s="7" t="str">
        <f t="shared" si="1"/>
        <v>mom</v>
      </c>
      <c r="BO7" s="7" t="str">
        <f t="shared" ref="BO7:CT7" si="2">IF(BO6=1,"bm",IF(BO6=2,"size",IF(BO6=3,"mom")))</f>
        <v>bm</v>
      </c>
      <c r="BP7" s="7" t="str">
        <f t="shared" si="2"/>
        <v>size</v>
      </c>
      <c r="BQ7" s="7" t="str">
        <f t="shared" si="2"/>
        <v>mom</v>
      </c>
      <c r="BR7" s="7" t="str">
        <f t="shared" si="2"/>
        <v>bm</v>
      </c>
      <c r="BS7" s="7" t="str">
        <f t="shared" si="2"/>
        <v>mom</v>
      </c>
      <c r="BT7" s="7" t="str">
        <f t="shared" si="2"/>
        <v>mom</v>
      </c>
      <c r="BU7" s="7" t="str">
        <f t="shared" si="2"/>
        <v>bm</v>
      </c>
      <c r="BV7" s="7" t="str">
        <f t="shared" si="2"/>
        <v>size</v>
      </c>
      <c r="BW7" s="7" t="str">
        <f t="shared" si="2"/>
        <v>mom</v>
      </c>
      <c r="BX7" s="7" t="str">
        <f t="shared" si="2"/>
        <v>mom</v>
      </c>
      <c r="BY7" s="7" t="str">
        <f t="shared" si="2"/>
        <v>size</v>
      </c>
      <c r="BZ7" s="7" t="str">
        <f t="shared" si="2"/>
        <v>bm</v>
      </c>
      <c r="CA7" s="7" t="str">
        <f t="shared" si="2"/>
        <v>bm</v>
      </c>
      <c r="CB7" s="7" t="str">
        <f t="shared" si="2"/>
        <v>size</v>
      </c>
      <c r="CC7" s="7" t="str">
        <f t="shared" si="2"/>
        <v>size</v>
      </c>
      <c r="CD7" s="7" t="str">
        <f t="shared" si="2"/>
        <v>mom</v>
      </c>
      <c r="CE7" s="7" t="str">
        <f t="shared" si="2"/>
        <v>bm</v>
      </c>
      <c r="CF7" s="7" t="str">
        <f t="shared" si="2"/>
        <v>mom</v>
      </c>
      <c r="CG7" s="7" t="str">
        <f t="shared" si="2"/>
        <v>mom</v>
      </c>
      <c r="CH7" s="7" t="str">
        <f t="shared" si="2"/>
        <v>mom</v>
      </c>
      <c r="CI7" s="7" t="str">
        <f t="shared" si="2"/>
        <v>mom</v>
      </c>
      <c r="CJ7" s="7" t="str">
        <f t="shared" si="2"/>
        <v>bm</v>
      </c>
      <c r="CK7" s="7" t="str">
        <f t="shared" si="2"/>
        <v>mom</v>
      </c>
      <c r="CL7" s="7" t="str">
        <f t="shared" si="2"/>
        <v>mom</v>
      </c>
      <c r="CM7" s="7" t="str">
        <f t="shared" si="2"/>
        <v>bm</v>
      </c>
      <c r="CN7" s="7" t="str">
        <f t="shared" si="2"/>
        <v>bm</v>
      </c>
      <c r="CO7" s="7" t="str">
        <f t="shared" si="2"/>
        <v>mom</v>
      </c>
      <c r="CP7" s="7" t="str">
        <f t="shared" si="2"/>
        <v>bm</v>
      </c>
      <c r="CQ7" s="7" t="str">
        <f t="shared" si="2"/>
        <v>mom</v>
      </c>
      <c r="CR7" s="7" t="str">
        <f t="shared" si="2"/>
        <v>mom</v>
      </c>
      <c r="CS7" s="7" t="str">
        <f t="shared" si="2"/>
        <v>size</v>
      </c>
      <c r="CT7" s="7" t="str">
        <f t="shared" si="2"/>
        <v>mom</v>
      </c>
      <c r="CU7" s="7" t="str">
        <f t="shared" ref="CU7:DZ7" si="3">IF(CU6=1,"bm",IF(CU6=2,"size",IF(CU6=3,"mom")))</f>
        <v>mom</v>
      </c>
      <c r="CV7" s="7" t="str">
        <f t="shared" si="3"/>
        <v>size</v>
      </c>
      <c r="CW7" s="7" t="str">
        <f t="shared" si="3"/>
        <v>mom</v>
      </c>
      <c r="CX7" s="7" t="str">
        <f t="shared" si="3"/>
        <v>mom</v>
      </c>
      <c r="CY7" s="7" t="str">
        <f t="shared" si="3"/>
        <v>mom</v>
      </c>
      <c r="CZ7" s="7" t="str">
        <f t="shared" si="3"/>
        <v>mom</v>
      </c>
      <c r="DA7" s="7" t="str">
        <f t="shared" si="3"/>
        <v>bm</v>
      </c>
      <c r="DB7" s="7" t="str">
        <f t="shared" si="3"/>
        <v>bm</v>
      </c>
      <c r="DC7" s="7" t="str">
        <f t="shared" si="3"/>
        <v>bm</v>
      </c>
      <c r="DD7" s="7" t="str">
        <f t="shared" si="3"/>
        <v>mom</v>
      </c>
      <c r="DE7" s="7" t="str">
        <f t="shared" si="3"/>
        <v>mom</v>
      </c>
      <c r="DF7" s="7" t="str">
        <f t="shared" si="3"/>
        <v>mom</v>
      </c>
      <c r="DG7" s="7" t="str">
        <f t="shared" si="3"/>
        <v>mom</v>
      </c>
      <c r="DH7" s="7" t="str">
        <f t="shared" si="3"/>
        <v>size</v>
      </c>
      <c r="DI7" s="7" t="str">
        <f t="shared" si="3"/>
        <v>mom</v>
      </c>
      <c r="DJ7" s="7" t="str">
        <f t="shared" si="3"/>
        <v>mom</v>
      </c>
      <c r="DK7" s="7" t="str">
        <f t="shared" si="3"/>
        <v>mom</v>
      </c>
      <c r="DL7" s="7" t="str">
        <f t="shared" si="3"/>
        <v>mom</v>
      </c>
      <c r="DM7" s="7" t="str">
        <f t="shared" si="3"/>
        <v>mom</v>
      </c>
      <c r="DN7" s="7" t="str">
        <f t="shared" si="3"/>
        <v>mom</v>
      </c>
      <c r="DO7" s="7" t="str">
        <f t="shared" si="3"/>
        <v>mom</v>
      </c>
      <c r="DP7" s="7" t="str">
        <f t="shared" si="3"/>
        <v>bm</v>
      </c>
      <c r="DQ7" s="7" t="str">
        <f t="shared" si="3"/>
        <v>mom</v>
      </c>
      <c r="DR7" s="7" t="str">
        <f t="shared" si="3"/>
        <v>size</v>
      </c>
      <c r="DS7" s="7" t="str">
        <f t="shared" si="3"/>
        <v>mom</v>
      </c>
      <c r="DT7" s="7" t="str">
        <f t="shared" si="3"/>
        <v>mom</v>
      </c>
      <c r="DU7" s="7" t="str">
        <f t="shared" si="3"/>
        <v>mom</v>
      </c>
      <c r="DV7" s="7" t="str">
        <f t="shared" si="3"/>
        <v>mom</v>
      </c>
      <c r="DW7" s="7" t="str">
        <f t="shared" si="3"/>
        <v>bm</v>
      </c>
      <c r="DX7" s="7" t="str">
        <f t="shared" si="3"/>
        <v>mom</v>
      </c>
      <c r="DY7" s="7" t="str">
        <f t="shared" si="3"/>
        <v>mom</v>
      </c>
      <c r="DZ7" s="7" t="str">
        <f t="shared" si="3"/>
        <v>mom</v>
      </c>
      <c r="EA7" s="7" t="str">
        <f t="shared" ref="EA7:EG7" si="4">IF(EA6=1,"bm",IF(EA6=2,"size",IF(EA6=3,"mom")))</f>
        <v>size</v>
      </c>
      <c r="EB7" s="7" t="str">
        <f t="shared" si="4"/>
        <v>mom</v>
      </c>
      <c r="EC7" s="7" t="str">
        <f t="shared" si="4"/>
        <v>mom</v>
      </c>
      <c r="ED7" s="7" t="str">
        <f t="shared" si="4"/>
        <v>mom</v>
      </c>
      <c r="EE7" s="7" t="str">
        <f t="shared" si="4"/>
        <v>mom</v>
      </c>
      <c r="EF7" s="7" t="str">
        <f t="shared" si="4"/>
        <v>size</v>
      </c>
      <c r="EG7" s="1" t="str">
        <f t="shared" si="4"/>
        <v>bm</v>
      </c>
    </row>
    <row r="8" spans="1:138" x14ac:dyDescent="0.3">
      <c r="C8" s="7">
        <f t="shared" ref="C8:AH8" si="5">IF(C6=1,C3,IF(C6=2,C4,IF(C6=3,C5)))</f>
        <v>-0.20935792122733929</v>
      </c>
      <c r="D8" s="7">
        <f t="shared" si="5"/>
        <v>-0.19625335237819111</v>
      </c>
      <c r="E8" s="7">
        <f t="shared" si="5"/>
        <v>0.52484760680152232</v>
      </c>
      <c r="F8" s="7">
        <f t="shared" si="5"/>
        <v>4.6837059958046809E-2</v>
      </c>
      <c r="G8" s="7">
        <f t="shared" si="5"/>
        <v>-0.2104714261735883</v>
      </c>
      <c r="H8" s="7">
        <f t="shared" si="5"/>
        <v>0.4744149628629204</v>
      </c>
      <c r="I8" s="7">
        <f t="shared" si="5"/>
        <v>-0.196765586355543</v>
      </c>
      <c r="J8" s="7">
        <f t="shared" si="5"/>
        <v>0.27883034253821021</v>
      </c>
      <c r="K8" s="7">
        <f t="shared" si="5"/>
        <v>0.27552845629080469</v>
      </c>
      <c r="L8" s="7">
        <f t="shared" si="5"/>
        <v>-0.43004286310886081</v>
      </c>
      <c r="M8" s="7">
        <f t="shared" si="5"/>
        <v>0.32376774959305898</v>
      </c>
      <c r="N8" s="7">
        <f t="shared" si="5"/>
        <v>-0.34824165047033961</v>
      </c>
      <c r="O8" s="7">
        <f t="shared" si="5"/>
        <v>0.31084678168383018</v>
      </c>
      <c r="P8" s="7">
        <f t="shared" si="5"/>
        <v>0.39546612391174241</v>
      </c>
      <c r="Q8" s="7">
        <f t="shared" si="5"/>
        <v>-0.12307050339382571</v>
      </c>
      <c r="R8" s="7">
        <f t="shared" si="5"/>
        <v>-0.1125584938483795</v>
      </c>
      <c r="S8" s="7">
        <f t="shared" si="5"/>
        <v>0.3057921371194337</v>
      </c>
      <c r="T8" s="7">
        <f t="shared" si="5"/>
        <v>-0.14458476697667119</v>
      </c>
      <c r="U8" s="7">
        <f t="shared" si="5"/>
        <v>-0.26280780822848671</v>
      </c>
      <c r="V8" s="7">
        <f t="shared" si="5"/>
        <v>-0.13936695356286269</v>
      </c>
      <c r="W8" s="7">
        <f t="shared" si="5"/>
        <v>-0.39469012652483237</v>
      </c>
      <c r="X8" s="7">
        <f t="shared" si="5"/>
        <v>-0.16973075948726549</v>
      </c>
      <c r="Y8" s="7">
        <f t="shared" si="5"/>
        <v>-0.68127295831176804</v>
      </c>
      <c r="Z8" s="7">
        <f t="shared" si="5"/>
        <v>0.1030897419422631</v>
      </c>
      <c r="AA8" s="7">
        <f t="shared" si="5"/>
        <v>0.48637748963693123</v>
      </c>
      <c r="AB8" s="7">
        <f t="shared" si="5"/>
        <v>-0.23481983175156351</v>
      </c>
      <c r="AC8" s="7">
        <f t="shared" si="5"/>
        <v>-8.9163225286403025E-2</v>
      </c>
      <c r="AD8" s="7">
        <f t="shared" si="5"/>
        <v>0.14514145822358679</v>
      </c>
      <c r="AE8" s="7">
        <f t="shared" si="5"/>
        <v>7.4669147590605167E-2</v>
      </c>
      <c r="AF8" s="7">
        <f t="shared" si="5"/>
        <v>0.17577042279847119</v>
      </c>
      <c r="AG8" s="7">
        <f t="shared" si="5"/>
        <v>-0.30336041259100399</v>
      </c>
      <c r="AH8" s="7">
        <f t="shared" si="5"/>
        <v>-0.3482499081721625</v>
      </c>
      <c r="AI8" s="7">
        <f t="shared" ref="AI8:BN8" si="6">IF(AI6=1,AI3,IF(AI6=2,AI4,IF(AI6=3,AI5)))</f>
        <v>0.25872371710226461</v>
      </c>
      <c r="AJ8" s="7">
        <f t="shared" si="6"/>
        <v>-0.48889196953357</v>
      </c>
      <c r="AK8" s="7">
        <f t="shared" si="6"/>
        <v>0.13254842946584691</v>
      </c>
      <c r="AL8" s="7">
        <f t="shared" si="6"/>
        <v>0.1873807232887153</v>
      </c>
      <c r="AM8" s="7">
        <f t="shared" si="6"/>
        <v>9.6837349683265961E-2</v>
      </c>
      <c r="AN8" s="7">
        <f t="shared" si="6"/>
        <v>0.2075736584826228</v>
      </c>
      <c r="AO8" s="7">
        <f t="shared" si="6"/>
        <v>0.1844633194704077</v>
      </c>
      <c r="AP8" s="7">
        <f t="shared" si="6"/>
        <v>7.9750638168698984E-2</v>
      </c>
      <c r="AQ8" s="7">
        <f t="shared" si="6"/>
        <v>-0.2114396427417905</v>
      </c>
      <c r="AR8" s="7">
        <f t="shared" si="6"/>
        <v>0.1144314103616733</v>
      </c>
      <c r="AS8" s="7">
        <f t="shared" si="6"/>
        <v>0.14111009314114389</v>
      </c>
      <c r="AT8" s="7">
        <f t="shared" si="6"/>
        <v>0.1516447920969482</v>
      </c>
      <c r="AU8" s="7">
        <f t="shared" si="6"/>
        <v>-0.20083705233961571</v>
      </c>
      <c r="AV8" s="7">
        <f t="shared" si="6"/>
        <v>-0.21769900369851489</v>
      </c>
      <c r="AW8" s="7">
        <f t="shared" si="6"/>
        <v>-0.1741550037979904</v>
      </c>
      <c r="AX8" s="7">
        <f t="shared" si="6"/>
        <v>0.1122931240608864</v>
      </c>
      <c r="AY8" s="7">
        <f t="shared" si="6"/>
        <v>-0.118056117907044</v>
      </c>
      <c r="AZ8" s="7">
        <f t="shared" si="6"/>
        <v>0.20621977214253931</v>
      </c>
      <c r="BA8" s="7">
        <f t="shared" si="6"/>
        <v>0.16049954912817649</v>
      </c>
      <c r="BB8" s="7">
        <f t="shared" si="6"/>
        <v>-0.25246377965845751</v>
      </c>
      <c r="BC8" s="7">
        <f t="shared" si="6"/>
        <v>0.1567368975950931</v>
      </c>
      <c r="BD8" s="7">
        <f t="shared" si="6"/>
        <v>0.16688346547535879</v>
      </c>
      <c r="BE8" s="7">
        <f t="shared" si="6"/>
        <v>-0.13147229447438241</v>
      </c>
      <c r="BF8" s="7">
        <f t="shared" si="6"/>
        <v>-0.28526227318364472</v>
      </c>
      <c r="BG8" s="7">
        <f t="shared" si="6"/>
        <v>0.31531123716866039</v>
      </c>
      <c r="BH8" s="7">
        <f t="shared" si="6"/>
        <v>0.27010117711850462</v>
      </c>
      <c r="BI8" s="7">
        <f t="shared" si="6"/>
        <v>5.812657406460206E-2</v>
      </c>
      <c r="BJ8" s="7">
        <f t="shared" si="6"/>
        <v>-0.25986983403483388</v>
      </c>
      <c r="BK8" s="7">
        <f t="shared" si="6"/>
        <v>0.18487944696901781</v>
      </c>
      <c r="BL8" s="7">
        <f t="shared" si="6"/>
        <v>-0.26913172790454543</v>
      </c>
      <c r="BM8" s="7">
        <f t="shared" si="6"/>
        <v>0.1717381908649544</v>
      </c>
      <c r="BN8" s="7">
        <f t="shared" si="6"/>
        <v>-0.18092216130584951</v>
      </c>
      <c r="BO8" s="7">
        <f t="shared" ref="BO8:CT8" si="7">IF(BO6=1,BO3,IF(BO6=2,BO4,IF(BO6=3,BO5)))</f>
        <v>-0.149287939972541</v>
      </c>
      <c r="BP8" s="7">
        <f t="shared" si="7"/>
        <v>8.3627121253362802E-2</v>
      </c>
      <c r="BQ8" s="7">
        <f t="shared" si="7"/>
        <v>-0.16861046240236999</v>
      </c>
      <c r="BR8" s="7">
        <f t="shared" si="7"/>
        <v>0.21346470331308601</v>
      </c>
      <c r="BS8" s="7">
        <f t="shared" si="7"/>
        <v>0.1244241075337672</v>
      </c>
      <c r="BT8" s="7">
        <f t="shared" si="7"/>
        <v>0.20772231279415901</v>
      </c>
      <c r="BU8" s="7">
        <f t="shared" si="7"/>
        <v>0.1137793780847101</v>
      </c>
      <c r="BV8" s="7">
        <f t="shared" si="7"/>
        <v>0.17197266141593739</v>
      </c>
      <c r="BW8" s="7">
        <f t="shared" si="7"/>
        <v>-0.1268015683060742</v>
      </c>
      <c r="BX8" s="7">
        <f t="shared" si="7"/>
        <v>-0.10582029087279909</v>
      </c>
      <c r="BY8" s="7">
        <f t="shared" si="7"/>
        <v>-0.1826948620902353</v>
      </c>
      <c r="BZ8" s="7">
        <f t="shared" si="7"/>
        <v>-0.14071284467671319</v>
      </c>
      <c r="CA8" s="7">
        <f t="shared" si="7"/>
        <v>7.3472777058867567E-2</v>
      </c>
      <c r="CB8" s="7">
        <f t="shared" si="7"/>
        <v>0.19801890737320349</v>
      </c>
      <c r="CC8" s="7">
        <f t="shared" si="7"/>
        <v>-0.29446404903659129</v>
      </c>
      <c r="CD8" s="7">
        <f t="shared" si="7"/>
        <v>0.32742328506094998</v>
      </c>
      <c r="CE8" s="7">
        <f t="shared" si="7"/>
        <v>0.21879703659667429</v>
      </c>
      <c r="CF8" s="7">
        <f t="shared" si="7"/>
        <v>-0.14937324914413941</v>
      </c>
      <c r="CG8" s="7">
        <f t="shared" si="7"/>
        <v>0.16320028060313421</v>
      </c>
      <c r="CH8" s="7">
        <f t="shared" si="7"/>
        <v>-6.9038325074175663E-2</v>
      </c>
      <c r="CI8" s="7">
        <f t="shared" si="7"/>
        <v>-0.11536214708505139</v>
      </c>
      <c r="CJ8" s="7">
        <f t="shared" si="7"/>
        <v>-0.39111281147264998</v>
      </c>
      <c r="CK8" s="7">
        <f t="shared" si="7"/>
        <v>0.37897350211797709</v>
      </c>
      <c r="CL8" s="7">
        <f t="shared" si="7"/>
        <v>-7.6383453932209341E-2</v>
      </c>
      <c r="CM8" s="7">
        <f t="shared" si="7"/>
        <v>0.18311247425732111</v>
      </c>
      <c r="CN8" s="7">
        <f t="shared" si="7"/>
        <v>-0.39746167912504499</v>
      </c>
      <c r="CO8" s="7">
        <f t="shared" si="7"/>
        <v>0.43716796518582229</v>
      </c>
      <c r="CP8" s="7">
        <f t="shared" si="7"/>
        <v>-9.5682049872747255E-2</v>
      </c>
      <c r="CQ8" s="7">
        <f t="shared" si="7"/>
        <v>-0.49935244279872992</v>
      </c>
      <c r="CR8" s="7">
        <f t="shared" si="7"/>
        <v>0.3398570382696095</v>
      </c>
      <c r="CS8" s="7">
        <f t="shared" si="7"/>
        <v>-0.27901111949972451</v>
      </c>
      <c r="CT8" s="7">
        <f t="shared" si="7"/>
        <v>0.2246197528310597</v>
      </c>
      <c r="CU8" s="7">
        <f t="shared" ref="CU8:DZ8" si="8">IF(CU6=1,CU3,IF(CU6=2,CU4,IF(CU6=3,CU5)))</f>
        <v>-0.25171771168640761</v>
      </c>
      <c r="CV8" s="7">
        <f t="shared" si="8"/>
        <v>0.1117497704879042</v>
      </c>
      <c r="CW8" s="7">
        <f t="shared" si="8"/>
        <v>0.2108770628752098</v>
      </c>
      <c r="CX8" s="7">
        <f t="shared" si="8"/>
        <v>0.25016150139728283</v>
      </c>
      <c r="CY8" s="7">
        <f t="shared" si="8"/>
        <v>-0.52413353929587791</v>
      </c>
      <c r="CZ8" s="7">
        <f t="shared" si="8"/>
        <v>0.8216183061041753</v>
      </c>
      <c r="DA8" s="7">
        <f t="shared" si="8"/>
        <v>0.31254073484350059</v>
      </c>
      <c r="DB8" s="7">
        <f t="shared" si="8"/>
        <v>-0.15564612733519101</v>
      </c>
      <c r="DC8" s="7">
        <f t="shared" si="8"/>
        <v>-0.1869585274246745</v>
      </c>
      <c r="DD8" s="7">
        <f t="shared" si="8"/>
        <v>-0.42083892435479142</v>
      </c>
      <c r="DE8" s="7">
        <f t="shared" si="8"/>
        <v>-0.2279724207651195</v>
      </c>
      <c r="DF8" s="7">
        <f t="shared" si="8"/>
        <v>-0.33715973842927388</v>
      </c>
      <c r="DG8" s="7">
        <f t="shared" si="8"/>
        <v>-0.44400370439279008</v>
      </c>
      <c r="DH8" s="7">
        <f t="shared" si="8"/>
        <v>0.15762567020768259</v>
      </c>
      <c r="DI8" s="7">
        <f t="shared" si="8"/>
        <v>0.30896916307249689</v>
      </c>
      <c r="DJ8" s="7">
        <f t="shared" si="8"/>
        <v>-0.28669247758290828</v>
      </c>
      <c r="DK8" s="7">
        <f t="shared" si="8"/>
        <v>0.84621248517861269</v>
      </c>
      <c r="DL8" s="7">
        <f t="shared" si="8"/>
        <v>-0.16924034367306559</v>
      </c>
      <c r="DM8" s="7">
        <f t="shared" si="8"/>
        <v>-0.43945016692248923</v>
      </c>
      <c r="DN8" s="7">
        <f t="shared" si="8"/>
        <v>0.74751336560070059</v>
      </c>
      <c r="DO8" s="7">
        <f t="shared" si="8"/>
        <v>-0.39996426308914668</v>
      </c>
      <c r="DP8" s="7">
        <f t="shared" si="8"/>
        <v>0.16113140194021491</v>
      </c>
      <c r="DQ8" s="7">
        <f t="shared" si="8"/>
        <v>-0.58863430244229409</v>
      </c>
      <c r="DR8" s="7">
        <f t="shared" si="8"/>
        <v>-0.1292436792863576</v>
      </c>
      <c r="DS8" s="7">
        <f t="shared" si="8"/>
        <v>-0.19878519438361211</v>
      </c>
      <c r="DT8" s="7">
        <f t="shared" si="8"/>
        <v>0.4132117833889476</v>
      </c>
      <c r="DU8" s="7">
        <f t="shared" si="8"/>
        <v>-0.17065403209770361</v>
      </c>
      <c r="DV8" s="7">
        <f t="shared" si="8"/>
        <v>0.68828031734213269</v>
      </c>
      <c r="DW8" s="7">
        <f t="shared" si="8"/>
        <v>6.6155769939567149E-2</v>
      </c>
      <c r="DX8" s="7">
        <f t="shared" si="8"/>
        <v>-0.1999347157162332</v>
      </c>
      <c r="DY8" s="7">
        <f t="shared" si="8"/>
        <v>0.56631420698904078</v>
      </c>
      <c r="DZ8" s="7">
        <f t="shared" si="8"/>
        <v>0.47362880432099852</v>
      </c>
      <c r="EA8" s="7">
        <f t="shared" ref="EA8:EG8" si="9">IF(EA6=1,EA3,IF(EA6=2,EA4,IF(EA6=3,EA5)))</f>
        <v>-0.1948807812701929</v>
      </c>
      <c r="EB8" s="7">
        <f t="shared" si="9"/>
        <v>-1.076360940060376</v>
      </c>
      <c r="EC8" s="7">
        <f t="shared" si="9"/>
        <v>-0.13610628648279391</v>
      </c>
      <c r="ED8" s="7">
        <f t="shared" si="9"/>
        <v>-0.27349656344743889</v>
      </c>
      <c r="EE8" s="7">
        <f t="shared" si="9"/>
        <v>0.60134859370029736</v>
      </c>
      <c r="EF8" s="7">
        <f t="shared" si="9"/>
        <v>0.24381115553913091</v>
      </c>
      <c r="EG8" s="1">
        <f t="shared" si="9"/>
        <v>0</v>
      </c>
    </row>
    <row r="10" spans="1:138" x14ac:dyDescent="0.3">
      <c r="A10" s="22" t="s">
        <v>140</v>
      </c>
      <c r="B10" s="23"/>
      <c r="C10" s="1" t="s">
        <v>141</v>
      </c>
      <c r="D10" s="2">
        <v>964</v>
      </c>
    </row>
    <row r="11" spans="1:138" x14ac:dyDescent="0.3">
      <c r="A11" s="1" t="s">
        <v>142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144</v>
      </c>
      <c r="EG11" t="s">
        <v>145</v>
      </c>
      <c r="EH11" t="s">
        <v>146</v>
      </c>
    </row>
    <row r="12" spans="1:138" x14ac:dyDescent="0.3">
      <c r="A12" s="1">
        <v>10</v>
      </c>
      <c r="B12" s="1">
        <v>96</v>
      </c>
      <c r="C12" s="7">
        <f>IF(預測IC!C12&gt;預測IC!C$25,1,0)</f>
        <v>1</v>
      </c>
      <c r="D12" s="7">
        <f>IF(預測IC!D12&gt;預測IC!D$25,1,0)</f>
        <v>1</v>
      </c>
      <c r="E12" s="7">
        <f>IF(預測IC!E12&gt;預測IC!E$25,1,0)</f>
        <v>0</v>
      </c>
      <c r="F12" s="7">
        <f>IF(預測IC!F12&gt;預測IC!F$25,1,0)</f>
        <v>0</v>
      </c>
      <c r="G12" s="7">
        <f>IF(預測IC!G12&gt;預測IC!G$25,1,0)</f>
        <v>0</v>
      </c>
      <c r="H12" s="7">
        <f>IF(預測IC!H12&gt;預測IC!H$25,1,0)</f>
        <v>0</v>
      </c>
      <c r="I12" s="7">
        <f>IF(預測IC!I12&gt;預測IC!I$25,1,0)</f>
        <v>0</v>
      </c>
      <c r="J12" s="7">
        <f>IF(預測IC!J12&gt;預測IC!J$25,1,0)</f>
        <v>1</v>
      </c>
      <c r="K12" s="7">
        <f>IF(預測IC!K12&gt;預測IC!K$25,1,0)</f>
        <v>1</v>
      </c>
      <c r="L12" s="7">
        <f>IF(預測IC!L12&gt;預測IC!L$25,1,0)</f>
        <v>0</v>
      </c>
      <c r="M12" s="7">
        <f>IF(預測IC!M12&gt;預測IC!M$25,1,0)</f>
        <v>1</v>
      </c>
      <c r="N12" s="7">
        <f>IF(預測IC!N12&gt;預測IC!N$25,1,0)</f>
        <v>1</v>
      </c>
      <c r="O12" s="7">
        <f>IF(預測IC!O12&gt;預測IC!O$25,1,0)</f>
        <v>1</v>
      </c>
      <c r="P12" s="7">
        <f>IF(預測IC!P12&gt;預測IC!P$25,1,0)</f>
        <v>0</v>
      </c>
      <c r="Q12" s="7">
        <f>IF(預測IC!Q12&gt;預測IC!Q$25,1,0)</f>
        <v>1</v>
      </c>
      <c r="R12" s="7">
        <f>IF(預測IC!R12&gt;預測IC!R$25,1,0)</f>
        <v>0</v>
      </c>
      <c r="S12" s="7">
        <f>IF(預測IC!S12&gt;預測IC!S$25,1,0)</f>
        <v>1</v>
      </c>
      <c r="T12" s="7">
        <f>IF(預測IC!T12&gt;預測IC!T$25,1,0)</f>
        <v>1</v>
      </c>
      <c r="U12" s="7">
        <f>IF(預測IC!U12&gt;預測IC!U$25,1,0)</f>
        <v>1</v>
      </c>
      <c r="V12" s="7">
        <f>IF(預測IC!V12&gt;預測IC!V$25,1,0)</f>
        <v>1</v>
      </c>
      <c r="W12" s="7">
        <f>IF(預測IC!W12&gt;預測IC!W$25,1,0)</f>
        <v>1</v>
      </c>
      <c r="X12" s="7">
        <f>IF(預測IC!X12&gt;預測IC!X$25,1,0)</f>
        <v>0</v>
      </c>
      <c r="Y12" s="7">
        <f>IF(預測IC!Y12&gt;預測IC!Y$25,1,0)</f>
        <v>1</v>
      </c>
      <c r="Z12" s="7">
        <f>IF(預測IC!Z12&gt;預測IC!Z$25,1,0)</f>
        <v>1</v>
      </c>
      <c r="AA12" s="7">
        <f>IF(預測IC!AA12&gt;預測IC!AA$25,1,0)</f>
        <v>0</v>
      </c>
      <c r="AB12" s="7">
        <f>IF(預測IC!AB12&gt;預測IC!AB$25,1,0)</f>
        <v>0</v>
      </c>
      <c r="AC12" s="7">
        <f>IF(預測IC!AC12&gt;預測IC!AC$25,1,0)</f>
        <v>1</v>
      </c>
      <c r="AD12" s="7">
        <f>IF(預測IC!AD12&gt;預測IC!AD$25,1,0)</f>
        <v>1</v>
      </c>
      <c r="AE12" s="7">
        <f>IF(預測IC!AE12&gt;預測IC!AE$25,1,0)</f>
        <v>1</v>
      </c>
      <c r="AF12" s="7">
        <f>IF(預測IC!AF12&gt;預測IC!AF$25,1,0)</f>
        <v>0</v>
      </c>
      <c r="AG12" s="7">
        <f>IF(預測IC!AG12&gt;預測IC!AG$25,1,0)</f>
        <v>0</v>
      </c>
      <c r="AH12" s="7">
        <f>IF(預測IC!AH12&gt;預測IC!AH$25,1,0)</f>
        <v>1</v>
      </c>
      <c r="AI12" s="7">
        <f>IF(預測IC!AI12&gt;預測IC!AI$25,1,0)</f>
        <v>0</v>
      </c>
      <c r="AJ12" s="7">
        <f>IF(預測IC!AJ12&gt;預測IC!AJ$25,1,0)</f>
        <v>1</v>
      </c>
      <c r="AK12" s="7">
        <f>IF(預測IC!AK12&gt;預測IC!AK$25,1,0)</f>
        <v>0</v>
      </c>
      <c r="AL12" s="7">
        <f>IF(預測IC!AL12&gt;預測IC!AL$25,1,0)</f>
        <v>1</v>
      </c>
      <c r="AM12" s="7">
        <f>IF(預測IC!AM12&gt;預測IC!AM$25,1,0)</f>
        <v>1</v>
      </c>
      <c r="AN12" s="7">
        <f>IF(預測IC!AN12&gt;預測IC!AN$25,1,0)</f>
        <v>1</v>
      </c>
      <c r="AO12" s="7">
        <f>IF(預測IC!AO12&gt;預測IC!AO$25,1,0)</f>
        <v>1</v>
      </c>
      <c r="AP12" s="7">
        <f>IF(預測IC!AP12&gt;預測IC!AP$25,1,0)</f>
        <v>0</v>
      </c>
      <c r="AQ12" s="7">
        <f>IF(預測IC!AQ12&gt;預測IC!AQ$25,1,0)</f>
        <v>0</v>
      </c>
      <c r="AR12" s="7">
        <f>IF(預測IC!AR12&gt;預測IC!AR$25,1,0)</f>
        <v>0</v>
      </c>
      <c r="AS12" s="7">
        <f>IF(預測IC!AS12&gt;預測IC!AS$25,1,0)</f>
        <v>1</v>
      </c>
      <c r="AT12" s="7">
        <f>IF(預測IC!AT12&gt;預測IC!AT$25,1,0)</f>
        <v>1</v>
      </c>
      <c r="AU12" s="7">
        <f>IF(預測IC!AU12&gt;預測IC!AU$25,1,0)</f>
        <v>1</v>
      </c>
      <c r="AV12" s="7">
        <f>IF(預測IC!AV12&gt;預測IC!AV$25,1,0)</f>
        <v>0</v>
      </c>
      <c r="AW12" s="7">
        <f>IF(預測IC!AW12&gt;預測IC!AW$25,1,0)</f>
        <v>1</v>
      </c>
      <c r="AX12" s="7">
        <f>IF(預測IC!AX12&gt;預測IC!AX$25,1,0)</f>
        <v>0</v>
      </c>
      <c r="AY12" s="7">
        <f>IF(預測IC!AY12&gt;預測IC!AY$25,1,0)</f>
        <v>0</v>
      </c>
      <c r="AZ12" s="7">
        <f>IF(預測IC!AZ12&gt;預測IC!AZ$25,1,0)</f>
        <v>1</v>
      </c>
      <c r="BA12" s="7">
        <f>IF(預測IC!BA12&gt;預測IC!BA$25,1,0)</f>
        <v>0</v>
      </c>
      <c r="BB12" s="7">
        <f>IF(預測IC!BB12&gt;預測IC!BB$25,1,0)</f>
        <v>1</v>
      </c>
      <c r="BC12" s="7">
        <f>IF(預測IC!BC12&gt;預測IC!BC$25,1,0)</f>
        <v>0</v>
      </c>
      <c r="BD12" s="7">
        <f>IF(預測IC!BD12&gt;預測IC!BD$25,1,0)</f>
        <v>1</v>
      </c>
      <c r="BE12" s="7">
        <f>IF(預測IC!BE12&gt;預測IC!BE$25,1,0)</f>
        <v>0</v>
      </c>
      <c r="BF12" s="7">
        <f>IF(預測IC!BF12&gt;預測IC!BF$25,1,0)</f>
        <v>1</v>
      </c>
      <c r="BG12" s="7">
        <f>IF(預測IC!BG12&gt;預測IC!BG$25,1,0)</f>
        <v>1</v>
      </c>
      <c r="BH12" s="7">
        <f>IF(預測IC!BH12&gt;預測IC!BH$25,1,0)</f>
        <v>1</v>
      </c>
      <c r="BI12" s="7">
        <f>IF(預測IC!BI12&gt;預測IC!BI$25,1,0)</f>
        <v>0</v>
      </c>
      <c r="BJ12" s="7">
        <f>IF(預測IC!BJ12&gt;預測IC!BJ$25,1,0)</f>
        <v>1</v>
      </c>
      <c r="BK12" s="7">
        <f>IF(預測IC!BK12&gt;預測IC!BK$25,1,0)</f>
        <v>0</v>
      </c>
      <c r="BL12" s="7">
        <f>IF(預測IC!BL12&gt;預測IC!BL$25,1,0)</f>
        <v>0</v>
      </c>
      <c r="BM12" s="7">
        <f>IF(預測IC!BM12&gt;預測IC!BM$25,1,0)</f>
        <v>1</v>
      </c>
      <c r="BN12" s="7">
        <f>IF(預測IC!BN12&gt;預測IC!BN$25,1,0)</f>
        <v>0</v>
      </c>
      <c r="BO12" s="7">
        <f>IF(預測IC!BO12&gt;預測IC!BO$25,1,0)</f>
        <v>1</v>
      </c>
      <c r="BP12" s="7">
        <f>IF(預測IC!BP12&gt;預測IC!BP$25,1,0)</f>
        <v>1</v>
      </c>
      <c r="BQ12" s="7">
        <f>IF(預測IC!BQ12&gt;預測IC!BQ$25,1,0)</f>
        <v>1</v>
      </c>
      <c r="BR12" s="7">
        <f>IF(預測IC!BR12&gt;預測IC!BR$25,1,0)</f>
        <v>1</v>
      </c>
      <c r="BS12" s="7">
        <f>IF(預測IC!BS12&gt;預測IC!BS$25,1,0)</f>
        <v>0</v>
      </c>
      <c r="BT12" s="7">
        <f>IF(預測IC!BT12&gt;預測IC!BT$25,1,0)</f>
        <v>0</v>
      </c>
      <c r="BU12" s="7">
        <f>IF(預測IC!BU12&gt;預測IC!BU$25,1,0)</f>
        <v>0</v>
      </c>
      <c r="BV12" s="7">
        <f>IF(預測IC!BV12&gt;預測IC!BV$25,1,0)</f>
        <v>0</v>
      </c>
      <c r="BW12" s="7">
        <f>IF(預測IC!BW12&gt;預測IC!BW$25,1,0)</f>
        <v>1</v>
      </c>
      <c r="BX12" s="7">
        <f>IF(預測IC!BX12&gt;預測IC!BX$25,1,0)</f>
        <v>1</v>
      </c>
      <c r="BY12" s="7">
        <f>IF(預測IC!BY12&gt;預測IC!BY$25,1,0)</f>
        <v>1</v>
      </c>
      <c r="BZ12" s="7">
        <f>IF(預測IC!BZ12&gt;預測IC!BZ$25,1,0)</f>
        <v>0</v>
      </c>
      <c r="CA12" s="7">
        <f>IF(預測IC!CA12&gt;預測IC!CA$25,1,0)</f>
        <v>0</v>
      </c>
      <c r="CB12" s="7">
        <f>IF(預測IC!CB12&gt;預測IC!CB$25,1,0)</f>
        <v>0</v>
      </c>
      <c r="CC12" s="7">
        <f>IF(預測IC!CC12&gt;預測IC!CC$25,1,0)</f>
        <v>0</v>
      </c>
      <c r="CD12" s="7">
        <f>IF(預測IC!CD12&gt;預測IC!CD$25,1,0)</f>
        <v>0</v>
      </c>
      <c r="CE12" s="7">
        <f>IF(預測IC!CE12&gt;預測IC!CE$25,1,0)</f>
        <v>1</v>
      </c>
      <c r="CF12" s="7">
        <f>IF(預測IC!CF12&gt;預測IC!CF$25,1,0)</f>
        <v>0</v>
      </c>
      <c r="CG12" s="7">
        <f>IF(預測IC!CG12&gt;預測IC!CG$25,1,0)</f>
        <v>0</v>
      </c>
      <c r="CH12" s="7">
        <f>IF(預測IC!CH12&gt;預測IC!CH$25,1,0)</f>
        <v>0</v>
      </c>
      <c r="CI12" s="7">
        <f>IF(預測IC!CI12&gt;預測IC!CI$25,1,0)</f>
        <v>1</v>
      </c>
      <c r="CJ12" s="7">
        <f>IF(預測IC!CJ12&gt;預測IC!CJ$25,1,0)</f>
        <v>0</v>
      </c>
      <c r="CK12" s="7">
        <f>IF(預測IC!CK12&gt;預測IC!CK$25,1,0)</f>
        <v>1</v>
      </c>
      <c r="CL12" s="7">
        <f>IF(預測IC!CL12&gt;預測IC!CL$25,1,0)</f>
        <v>0</v>
      </c>
      <c r="CM12" s="7">
        <f>IF(預測IC!CM12&gt;預測IC!CM$25,1,0)</f>
        <v>1</v>
      </c>
      <c r="CN12" s="7">
        <f>IF(預測IC!CN12&gt;預測IC!CN$25,1,0)</f>
        <v>0</v>
      </c>
      <c r="CO12" s="7">
        <f>IF(預測IC!CO12&gt;預測IC!CO$25,1,0)</f>
        <v>1</v>
      </c>
      <c r="CP12" s="7">
        <f>IF(預測IC!CP12&gt;預測IC!CP$25,1,0)</f>
        <v>0</v>
      </c>
      <c r="CQ12" s="7">
        <f>IF(預測IC!CQ12&gt;預測IC!CQ$25,1,0)</f>
        <v>1</v>
      </c>
      <c r="CR12" s="7">
        <f>IF(預測IC!CR12&gt;預測IC!CR$25,1,0)</f>
        <v>0</v>
      </c>
      <c r="CS12" s="7">
        <f>IF(預測IC!CS12&gt;預測IC!CS$25,1,0)</f>
        <v>0</v>
      </c>
      <c r="CT12" s="7">
        <f>IF(預測IC!CT12&gt;預測IC!CT$25,1,0)</f>
        <v>0</v>
      </c>
      <c r="CU12" s="7">
        <f>IF(預測IC!CU12&gt;預測IC!CU$25,1,0)</f>
        <v>1</v>
      </c>
      <c r="CV12" s="7">
        <f>IF(預測IC!CV12&gt;預測IC!CV$25,1,0)</f>
        <v>0</v>
      </c>
      <c r="CW12" s="7">
        <f>IF(預測IC!CW12&gt;預測IC!CW$25,1,0)</f>
        <v>1</v>
      </c>
      <c r="CX12" s="7">
        <f>IF(預測IC!CX12&gt;預測IC!CX$25,1,0)</f>
        <v>1</v>
      </c>
      <c r="CY12" s="7">
        <f>IF(預測IC!CY12&gt;預測IC!CY$25,1,0)</f>
        <v>0</v>
      </c>
      <c r="CZ12" s="7">
        <f>IF(預測IC!CZ12&gt;預測IC!CZ$25,1,0)</f>
        <v>1</v>
      </c>
      <c r="DA12" s="7">
        <f>IF(預測IC!DA12&gt;預測IC!DA$25,1,0)</f>
        <v>0</v>
      </c>
      <c r="DB12" s="7">
        <f>IF(預測IC!DB12&gt;預測IC!DB$25,1,0)</f>
        <v>1</v>
      </c>
      <c r="DC12" s="7">
        <f>IF(預測IC!DC12&gt;預測IC!DC$25,1,0)</f>
        <v>1</v>
      </c>
      <c r="DD12" s="7">
        <f>IF(預測IC!DD12&gt;預測IC!DD$25,1,0)</f>
        <v>1</v>
      </c>
      <c r="DE12" s="7">
        <f>IF(預測IC!DE12&gt;預測IC!DE$25,1,0)</f>
        <v>0</v>
      </c>
      <c r="DF12" s="7">
        <f>IF(預測IC!DF12&gt;預測IC!DF$25,1,0)</f>
        <v>1</v>
      </c>
      <c r="DG12" s="7">
        <f>IF(預測IC!DG12&gt;預測IC!DG$25,1,0)</f>
        <v>0</v>
      </c>
      <c r="DH12" s="7">
        <f>IF(預測IC!DH12&gt;預測IC!DH$25,1,0)</f>
        <v>0</v>
      </c>
      <c r="DI12" s="7">
        <f>IF(預測IC!DI12&gt;預測IC!DI$25,1,0)</f>
        <v>1</v>
      </c>
      <c r="DJ12" s="7">
        <f>IF(預測IC!DJ12&gt;預測IC!DJ$25,1,0)</f>
        <v>0</v>
      </c>
      <c r="DK12" s="7">
        <f>IF(預測IC!DK12&gt;預測IC!DK$25,1,0)</f>
        <v>0</v>
      </c>
      <c r="DL12" s="7">
        <f>IF(預測IC!DL12&gt;預測IC!DL$25,1,0)</f>
        <v>0</v>
      </c>
      <c r="DM12" s="7">
        <f>IF(預測IC!DM12&gt;預測IC!DM$25,1,0)</f>
        <v>0</v>
      </c>
      <c r="DN12" s="7">
        <f>IF(預測IC!DN12&gt;預測IC!DN$25,1,0)</f>
        <v>1</v>
      </c>
      <c r="DO12" s="7">
        <f>IF(預測IC!DO12&gt;預測IC!DO$25,1,0)</f>
        <v>1</v>
      </c>
      <c r="DP12" s="7">
        <f>IF(預測IC!DP12&gt;預測IC!DP$25,1,0)</f>
        <v>1</v>
      </c>
      <c r="DQ12" s="7">
        <f>IF(預測IC!DQ12&gt;預測IC!DQ$25,1,0)</f>
        <v>0</v>
      </c>
      <c r="DR12" s="7">
        <f>IF(預測IC!DR12&gt;預測IC!DR$25,1,0)</f>
        <v>0</v>
      </c>
      <c r="DS12" s="7">
        <f>IF(預測IC!DS12&gt;預測IC!DS$25,1,0)</f>
        <v>0</v>
      </c>
      <c r="DT12" s="7">
        <f>IF(預測IC!DT12&gt;預測IC!DT$25,1,0)</f>
        <v>0</v>
      </c>
      <c r="DU12" s="7">
        <f>IF(預測IC!DU12&gt;預測IC!DU$25,1,0)</f>
        <v>0</v>
      </c>
      <c r="DV12" s="7">
        <f>IF(預測IC!DV12&gt;預測IC!DV$25,1,0)</f>
        <v>0</v>
      </c>
      <c r="DW12" s="7">
        <f>IF(預測IC!DW12&gt;預測IC!DW$25,1,0)</f>
        <v>1</v>
      </c>
      <c r="DX12" s="7">
        <f>IF(預測IC!DX12&gt;預測IC!DX$25,1,0)</f>
        <v>0</v>
      </c>
      <c r="DY12" s="7">
        <f>IF(預測IC!DY12&gt;預測IC!DY$25,1,0)</f>
        <v>1</v>
      </c>
      <c r="DZ12" s="7">
        <f>IF(預測IC!DZ12&gt;預測IC!DZ$25,1,0)</f>
        <v>1</v>
      </c>
      <c r="EA12" s="7">
        <f>IF(預測IC!EA12&gt;預測IC!EA$25,1,0)</f>
        <v>1</v>
      </c>
      <c r="EB12" s="7">
        <f>IF(預測IC!EB12&gt;預測IC!EB$25,1,0)</f>
        <v>1</v>
      </c>
      <c r="EC12" s="7">
        <f>IF(預測IC!EC12&gt;預測IC!EC$25,1,0)</f>
        <v>1</v>
      </c>
      <c r="ED12" s="7">
        <f>IF(預測IC!ED12&gt;預測IC!ED$25,1,0)</f>
        <v>0</v>
      </c>
      <c r="EE12" s="7">
        <f>IF(預測IC!EE12&gt;預測IC!EE$25,1,0)</f>
        <v>0</v>
      </c>
      <c r="EF12" s="7">
        <f>IF(預測IC!EF12&gt;預測IC!EF$25,1,0)</f>
        <v>0</v>
      </c>
      <c r="EG12">
        <f t="shared" ref="EG12:EG24" si="10">SUM(C12:EF12)</f>
        <v>67</v>
      </c>
      <c r="EH12" s="12">
        <f t="shared" ref="EH12:EH24" si="11">SUM(C12:EE12)/134</f>
        <v>0.5</v>
      </c>
    </row>
    <row r="13" spans="1:138" x14ac:dyDescent="0.3">
      <c r="A13" s="1">
        <v>20</v>
      </c>
      <c r="B13" s="1">
        <v>48</v>
      </c>
      <c r="C13" s="7">
        <f>IF(預測IC!C13&gt;預測IC!C$25,1,0)</f>
        <v>1</v>
      </c>
      <c r="D13" s="7">
        <f>IF(預測IC!D13&gt;預測IC!D$25,1,0)</f>
        <v>1</v>
      </c>
      <c r="E13" s="7">
        <f>IF(預測IC!E13&gt;預測IC!E$25,1,0)</f>
        <v>0</v>
      </c>
      <c r="F13" s="7">
        <f>IF(預測IC!F13&gt;預測IC!F$25,1,0)</f>
        <v>0</v>
      </c>
      <c r="G13" s="7">
        <f>IF(預測IC!G13&gt;預測IC!G$25,1,0)</f>
        <v>0</v>
      </c>
      <c r="H13" s="7">
        <f>IF(預測IC!H13&gt;預測IC!H$25,1,0)</f>
        <v>0</v>
      </c>
      <c r="I13" s="7">
        <f>IF(預測IC!I13&gt;預測IC!I$25,1,0)</f>
        <v>0</v>
      </c>
      <c r="J13" s="7">
        <f>IF(預測IC!J13&gt;預測IC!J$25,1,0)</f>
        <v>1</v>
      </c>
      <c r="K13" s="7">
        <f>IF(預測IC!K13&gt;預測IC!K$25,1,0)</f>
        <v>1</v>
      </c>
      <c r="L13" s="7">
        <f>IF(預測IC!L13&gt;預測IC!L$25,1,0)</f>
        <v>0</v>
      </c>
      <c r="M13" s="7">
        <f>IF(預測IC!M13&gt;預測IC!M$25,1,0)</f>
        <v>0</v>
      </c>
      <c r="N13" s="7">
        <f>IF(預測IC!N13&gt;預測IC!N$25,1,0)</f>
        <v>1</v>
      </c>
      <c r="O13" s="7">
        <f>IF(預測IC!O13&gt;預測IC!O$25,1,0)</f>
        <v>1</v>
      </c>
      <c r="P13" s="7">
        <f>IF(預測IC!P13&gt;預測IC!P$25,1,0)</f>
        <v>0</v>
      </c>
      <c r="Q13" s="7">
        <f>IF(預測IC!Q13&gt;預測IC!Q$25,1,0)</f>
        <v>1</v>
      </c>
      <c r="R13" s="7">
        <f>IF(預測IC!R13&gt;預測IC!R$25,1,0)</f>
        <v>0</v>
      </c>
      <c r="S13" s="7">
        <f>IF(預測IC!S13&gt;預測IC!S$25,1,0)</f>
        <v>1</v>
      </c>
      <c r="T13" s="7">
        <f>IF(預測IC!T13&gt;預測IC!T$25,1,0)</f>
        <v>1</v>
      </c>
      <c r="U13" s="7">
        <f>IF(預測IC!U13&gt;預測IC!U$25,1,0)</f>
        <v>1</v>
      </c>
      <c r="V13" s="7">
        <f>IF(預測IC!V13&gt;預測IC!V$25,1,0)</f>
        <v>1</v>
      </c>
      <c r="W13" s="7">
        <f>IF(預測IC!W13&gt;預測IC!W$25,1,0)</f>
        <v>1</v>
      </c>
      <c r="X13" s="7">
        <f>IF(預測IC!X13&gt;預測IC!X$25,1,0)</f>
        <v>1</v>
      </c>
      <c r="Y13" s="7">
        <f>IF(預測IC!Y13&gt;預測IC!Y$25,1,0)</f>
        <v>1</v>
      </c>
      <c r="Z13" s="7">
        <f>IF(預測IC!Z13&gt;預測IC!Z$25,1,0)</f>
        <v>1</v>
      </c>
      <c r="AA13" s="7">
        <f>IF(預測IC!AA13&gt;預測IC!AA$25,1,0)</f>
        <v>0</v>
      </c>
      <c r="AB13" s="7">
        <f>IF(預測IC!AB13&gt;預測IC!AB$25,1,0)</f>
        <v>0</v>
      </c>
      <c r="AC13" s="7">
        <f>IF(預測IC!AC13&gt;預測IC!AC$25,1,0)</f>
        <v>1</v>
      </c>
      <c r="AD13" s="7">
        <f>IF(預測IC!AD13&gt;預測IC!AD$25,1,0)</f>
        <v>1</v>
      </c>
      <c r="AE13" s="7">
        <f>IF(預測IC!AE13&gt;預測IC!AE$25,1,0)</f>
        <v>1</v>
      </c>
      <c r="AF13" s="7">
        <f>IF(預測IC!AF13&gt;預測IC!AF$25,1,0)</f>
        <v>0</v>
      </c>
      <c r="AG13" s="7">
        <f>IF(預測IC!AG13&gt;預測IC!AG$25,1,0)</f>
        <v>0</v>
      </c>
      <c r="AH13" s="7">
        <f>IF(預測IC!AH13&gt;預測IC!AH$25,1,0)</f>
        <v>1</v>
      </c>
      <c r="AI13" s="7">
        <f>IF(預測IC!AI13&gt;預測IC!AI$25,1,0)</f>
        <v>1</v>
      </c>
      <c r="AJ13" s="7">
        <f>IF(預測IC!AJ13&gt;預測IC!AJ$25,1,0)</f>
        <v>0</v>
      </c>
      <c r="AK13" s="7">
        <f>IF(預測IC!AK13&gt;預測IC!AK$25,1,0)</f>
        <v>0</v>
      </c>
      <c r="AL13" s="7">
        <f>IF(預測IC!AL13&gt;預測IC!AL$25,1,0)</f>
        <v>1</v>
      </c>
      <c r="AM13" s="7">
        <f>IF(預測IC!AM13&gt;預測IC!AM$25,1,0)</f>
        <v>1</v>
      </c>
      <c r="AN13" s="7">
        <f>IF(預測IC!AN13&gt;預測IC!AN$25,1,0)</f>
        <v>1</v>
      </c>
      <c r="AO13" s="7">
        <f>IF(預測IC!AO13&gt;預測IC!AO$25,1,0)</f>
        <v>0</v>
      </c>
      <c r="AP13" s="7">
        <f>IF(預測IC!AP13&gt;預測IC!AP$25,1,0)</f>
        <v>1</v>
      </c>
      <c r="AQ13" s="7">
        <f>IF(預測IC!AQ13&gt;預測IC!AQ$25,1,0)</f>
        <v>0</v>
      </c>
      <c r="AR13" s="7">
        <f>IF(預測IC!AR13&gt;預測IC!AR$25,1,0)</f>
        <v>0</v>
      </c>
      <c r="AS13" s="7">
        <f>IF(預測IC!AS13&gt;預測IC!AS$25,1,0)</f>
        <v>1</v>
      </c>
      <c r="AT13" s="7">
        <f>IF(預測IC!AT13&gt;預測IC!AT$25,1,0)</f>
        <v>1</v>
      </c>
      <c r="AU13" s="7">
        <f>IF(預測IC!AU13&gt;預測IC!AU$25,1,0)</f>
        <v>1</v>
      </c>
      <c r="AV13" s="7">
        <f>IF(預測IC!AV13&gt;預測IC!AV$25,1,0)</f>
        <v>0</v>
      </c>
      <c r="AW13" s="7">
        <f>IF(預測IC!AW13&gt;預測IC!AW$25,1,0)</f>
        <v>1</v>
      </c>
      <c r="AX13" s="7">
        <f>IF(預測IC!AX13&gt;預測IC!AX$25,1,0)</f>
        <v>0</v>
      </c>
      <c r="AY13" s="7">
        <f>IF(預測IC!AY13&gt;預測IC!AY$25,1,0)</f>
        <v>0</v>
      </c>
      <c r="AZ13" s="7">
        <f>IF(預測IC!AZ13&gt;預測IC!AZ$25,1,0)</f>
        <v>0</v>
      </c>
      <c r="BA13" s="7">
        <f>IF(預測IC!BA13&gt;預測IC!BA$25,1,0)</f>
        <v>0</v>
      </c>
      <c r="BB13" s="7">
        <f>IF(預測IC!BB13&gt;預測IC!BB$25,1,0)</f>
        <v>1</v>
      </c>
      <c r="BC13" s="7">
        <f>IF(預測IC!BC13&gt;預測IC!BC$25,1,0)</f>
        <v>0</v>
      </c>
      <c r="BD13" s="7">
        <f>IF(預測IC!BD13&gt;預測IC!BD$25,1,0)</f>
        <v>1</v>
      </c>
      <c r="BE13" s="7">
        <f>IF(預測IC!BE13&gt;預測IC!BE$25,1,0)</f>
        <v>0</v>
      </c>
      <c r="BF13" s="7">
        <f>IF(預測IC!BF13&gt;預測IC!BF$25,1,0)</f>
        <v>1</v>
      </c>
      <c r="BG13" s="7">
        <f>IF(預測IC!BG13&gt;預測IC!BG$25,1,0)</f>
        <v>1</v>
      </c>
      <c r="BH13" s="7">
        <f>IF(預測IC!BH13&gt;預測IC!BH$25,1,0)</f>
        <v>1</v>
      </c>
      <c r="BI13" s="7">
        <f>IF(預測IC!BI13&gt;預測IC!BI$25,1,0)</f>
        <v>0</v>
      </c>
      <c r="BJ13" s="7">
        <f>IF(預測IC!BJ13&gt;預測IC!BJ$25,1,0)</f>
        <v>1</v>
      </c>
      <c r="BK13" s="7">
        <f>IF(預測IC!BK13&gt;預測IC!BK$25,1,0)</f>
        <v>0</v>
      </c>
      <c r="BL13" s="7">
        <f>IF(預測IC!BL13&gt;預測IC!BL$25,1,0)</f>
        <v>0</v>
      </c>
      <c r="BM13" s="7">
        <f>IF(預測IC!BM13&gt;預測IC!BM$25,1,0)</f>
        <v>1</v>
      </c>
      <c r="BN13" s="7">
        <f>IF(預測IC!BN13&gt;預測IC!BN$25,1,0)</f>
        <v>1</v>
      </c>
      <c r="BO13" s="7">
        <f>IF(預測IC!BO13&gt;預測IC!BO$25,1,0)</f>
        <v>1</v>
      </c>
      <c r="BP13" s="7">
        <f>IF(預測IC!BP13&gt;預測IC!BP$25,1,0)</f>
        <v>0</v>
      </c>
      <c r="BQ13" s="7">
        <f>IF(預測IC!BQ13&gt;預測IC!BQ$25,1,0)</f>
        <v>0</v>
      </c>
      <c r="BR13" s="7">
        <f>IF(預測IC!BR13&gt;預測IC!BR$25,1,0)</f>
        <v>1</v>
      </c>
      <c r="BS13" s="7">
        <f>IF(預測IC!BS13&gt;預測IC!BS$25,1,0)</f>
        <v>0</v>
      </c>
      <c r="BT13" s="7">
        <f>IF(預測IC!BT13&gt;預測IC!BT$25,1,0)</f>
        <v>0</v>
      </c>
      <c r="BU13" s="7">
        <f>IF(預測IC!BU13&gt;預測IC!BU$25,1,0)</f>
        <v>1</v>
      </c>
      <c r="BV13" s="7">
        <f>IF(預測IC!BV13&gt;預測IC!BV$25,1,0)</f>
        <v>0</v>
      </c>
      <c r="BW13" s="7">
        <f>IF(預測IC!BW13&gt;預測IC!BW$25,1,0)</f>
        <v>1</v>
      </c>
      <c r="BX13" s="7">
        <f>IF(預測IC!BX13&gt;預測IC!BX$25,1,0)</f>
        <v>1</v>
      </c>
      <c r="BY13" s="7">
        <f>IF(預測IC!BY13&gt;預測IC!BY$25,1,0)</f>
        <v>1</v>
      </c>
      <c r="BZ13" s="7">
        <f>IF(預測IC!BZ13&gt;預測IC!BZ$25,1,0)</f>
        <v>0</v>
      </c>
      <c r="CA13" s="7">
        <f>IF(預測IC!CA13&gt;預測IC!CA$25,1,0)</f>
        <v>0</v>
      </c>
      <c r="CB13" s="7">
        <f>IF(預測IC!CB13&gt;預測IC!CB$25,1,0)</f>
        <v>0</v>
      </c>
      <c r="CC13" s="7">
        <f>IF(預測IC!CC13&gt;預測IC!CC$25,1,0)</f>
        <v>1</v>
      </c>
      <c r="CD13" s="7">
        <f>IF(預測IC!CD13&gt;預測IC!CD$25,1,0)</f>
        <v>0</v>
      </c>
      <c r="CE13" s="7">
        <f>IF(預測IC!CE13&gt;預測IC!CE$25,1,0)</f>
        <v>1</v>
      </c>
      <c r="CF13" s="7">
        <f>IF(預測IC!CF13&gt;預測IC!CF$25,1,0)</f>
        <v>1</v>
      </c>
      <c r="CG13" s="7">
        <f>IF(預測IC!CG13&gt;預測IC!CG$25,1,0)</f>
        <v>0</v>
      </c>
      <c r="CH13" s="7">
        <f>IF(預測IC!CH13&gt;預測IC!CH$25,1,0)</f>
        <v>0</v>
      </c>
      <c r="CI13" s="7">
        <f>IF(預測IC!CI13&gt;預測IC!CI$25,1,0)</f>
        <v>0</v>
      </c>
      <c r="CJ13" s="7">
        <f>IF(預測IC!CJ13&gt;預測IC!CJ$25,1,0)</f>
        <v>0</v>
      </c>
      <c r="CK13" s="7">
        <f>IF(預測IC!CK13&gt;預測IC!CK$25,1,0)</f>
        <v>1</v>
      </c>
      <c r="CL13" s="7">
        <f>IF(預測IC!CL13&gt;預測IC!CL$25,1,0)</f>
        <v>0</v>
      </c>
      <c r="CM13" s="7">
        <f>IF(預測IC!CM13&gt;預測IC!CM$25,1,0)</f>
        <v>1</v>
      </c>
      <c r="CN13" s="7">
        <f>IF(預測IC!CN13&gt;預測IC!CN$25,1,0)</f>
        <v>0</v>
      </c>
      <c r="CO13" s="7">
        <f>IF(預測IC!CO13&gt;預測IC!CO$25,1,0)</f>
        <v>0</v>
      </c>
      <c r="CP13" s="7">
        <f>IF(預測IC!CP13&gt;預測IC!CP$25,1,0)</f>
        <v>0</v>
      </c>
      <c r="CQ13" s="7">
        <f>IF(預測IC!CQ13&gt;預測IC!CQ$25,1,0)</f>
        <v>1</v>
      </c>
      <c r="CR13" s="7">
        <f>IF(預測IC!CR13&gt;預測IC!CR$25,1,0)</f>
        <v>0</v>
      </c>
      <c r="CS13" s="7">
        <f>IF(預測IC!CS13&gt;預測IC!CS$25,1,0)</f>
        <v>0</v>
      </c>
      <c r="CT13" s="7">
        <f>IF(預測IC!CT13&gt;預測IC!CT$25,1,0)</f>
        <v>0</v>
      </c>
      <c r="CU13" s="7">
        <f>IF(預測IC!CU13&gt;預測IC!CU$25,1,0)</f>
        <v>1</v>
      </c>
      <c r="CV13" s="7">
        <f>IF(預測IC!CV13&gt;預測IC!CV$25,1,0)</f>
        <v>0</v>
      </c>
      <c r="CW13" s="7">
        <f>IF(預測IC!CW13&gt;預測IC!CW$25,1,0)</f>
        <v>1</v>
      </c>
      <c r="CX13" s="7">
        <f>IF(預測IC!CX13&gt;預測IC!CX$25,1,0)</f>
        <v>1</v>
      </c>
      <c r="CY13" s="7">
        <f>IF(預測IC!CY13&gt;預測IC!CY$25,1,0)</f>
        <v>0</v>
      </c>
      <c r="CZ13" s="7">
        <f>IF(預測IC!CZ13&gt;預測IC!CZ$25,1,0)</f>
        <v>1</v>
      </c>
      <c r="DA13" s="7">
        <f>IF(預測IC!DA13&gt;預測IC!DA$25,1,0)</f>
        <v>0</v>
      </c>
      <c r="DB13" s="7">
        <f>IF(預測IC!DB13&gt;預測IC!DB$25,1,0)</f>
        <v>1</v>
      </c>
      <c r="DC13" s="7">
        <f>IF(預測IC!DC13&gt;預測IC!DC$25,1,0)</f>
        <v>1</v>
      </c>
      <c r="DD13" s="7">
        <f>IF(預測IC!DD13&gt;預測IC!DD$25,1,0)</f>
        <v>1</v>
      </c>
      <c r="DE13" s="7">
        <f>IF(預測IC!DE13&gt;預測IC!DE$25,1,0)</f>
        <v>0</v>
      </c>
      <c r="DF13" s="7">
        <f>IF(預測IC!DF13&gt;預測IC!DF$25,1,0)</f>
        <v>1</v>
      </c>
      <c r="DG13" s="7">
        <f>IF(預測IC!DG13&gt;預測IC!DG$25,1,0)</f>
        <v>0</v>
      </c>
      <c r="DH13" s="7">
        <f>IF(預測IC!DH13&gt;預測IC!DH$25,1,0)</f>
        <v>0</v>
      </c>
      <c r="DI13" s="7">
        <f>IF(預測IC!DI13&gt;預測IC!DI$25,1,0)</f>
        <v>1</v>
      </c>
      <c r="DJ13" s="7">
        <f>IF(預測IC!DJ13&gt;預測IC!DJ$25,1,0)</f>
        <v>1</v>
      </c>
      <c r="DK13" s="7">
        <f>IF(預測IC!DK13&gt;預測IC!DK$25,1,0)</f>
        <v>0</v>
      </c>
      <c r="DL13" s="7">
        <f>IF(預測IC!DL13&gt;預測IC!DL$25,1,0)</f>
        <v>0</v>
      </c>
      <c r="DM13" s="7">
        <f>IF(預測IC!DM13&gt;預測IC!DM$25,1,0)</f>
        <v>0</v>
      </c>
      <c r="DN13" s="7">
        <f>IF(預測IC!DN13&gt;預測IC!DN$25,1,0)</f>
        <v>1</v>
      </c>
      <c r="DO13" s="7">
        <f>IF(預測IC!DO13&gt;預測IC!DO$25,1,0)</f>
        <v>1</v>
      </c>
      <c r="DP13" s="7">
        <f>IF(預測IC!DP13&gt;預測IC!DP$25,1,0)</f>
        <v>1</v>
      </c>
      <c r="DQ13" s="7">
        <f>IF(預測IC!DQ13&gt;預測IC!DQ$25,1,0)</f>
        <v>0</v>
      </c>
      <c r="DR13" s="7">
        <f>IF(預測IC!DR13&gt;預測IC!DR$25,1,0)</f>
        <v>0</v>
      </c>
      <c r="DS13" s="7">
        <f>IF(預測IC!DS13&gt;預測IC!DS$25,1,0)</f>
        <v>0</v>
      </c>
      <c r="DT13" s="7">
        <f>IF(預測IC!DT13&gt;預測IC!DT$25,1,0)</f>
        <v>0</v>
      </c>
      <c r="DU13" s="7">
        <f>IF(預測IC!DU13&gt;預測IC!DU$25,1,0)</f>
        <v>0</v>
      </c>
      <c r="DV13" s="7">
        <f>IF(預測IC!DV13&gt;預測IC!DV$25,1,0)</f>
        <v>0</v>
      </c>
      <c r="DW13" s="7">
        <f>IF(預測IC!DW13&gt;預測IC!DW$25,1,0)</f>
        <v>1</v>
      </c>
      <c r="DX13" s="7">
        <f>IF(預測IC!DX13&gt;預測IC!DX$25,1,0)</f>
        <v>0</v>
      </c>
      <c r="DY13" s="7">
        <f>IF(預測IC!DY13&gt;預測IC!DY$25,1,0)</f>
        <v>1</v>
      </c>
      <c r="DZ13" s="7">
        <f>IF(預測IC!DZ13&gt;預測IC!DZ$25,1,0)</f>
        <v>1</v>
      </c>
      <c r="EA13" s="7">
        <f>IF(預測IC!EA13&gt;預測IC!EA$25,1,0)</f>
        <v>1</v>
      </c>
      <c r="EB13" s="7">
        <f>IF(預測IC!EB13&gt;預測IC!EB$25,1,0)</f>
        <v>1</v>
      </c>
      <c r="EC13" s="7">
        <f>IF(預測IC!EC13&gt;預測IC!EC$25,1,0)</f>
        <v>1</v>
      </c>
      <c r="ED13" s="7">
        <f>IF(預測IC!ED13&gt;預測IC!ED$25,1,0)</f>
        <v>0</v>
      </c>
      <c r="EE13" s="7">
        <f>IF(預測IC!EE13&gt;預測IC!EE$25,1,0)</f>
        <v>0</v>
      </c>
      <c r="EF13" s="7">
        <f>IF(預測IC!EF13&gt;預測IC!EF$25,1,0)</f>
        <v>0</v>
      </c>
      <c r="EG13">
        <f t="shared" si="10"/>
        <v>67</v>
      </c>
      <c r="EH13" s="12">
        <f t="shared" si="11"/>
        <v>0.5</v>
      </c>
    </row>
    <row r="14" spans="1:138" x14ac:dyDescent="0.3">
      <c r="A14" s="1">
        <v>50</v>
      </c>
      <c r="B14" s="1">
        <v>19</v>
      </c>
      <c r="C14" s="7">
        <f>IF(預測IC!C14&gt;預測IC!C$25,1,0)</f>
        <v>0</v>
      </c>
      <c r="D14" s="7">
        <f>IF(預測IC!D14&gt;預測IC!D$25,1,0)</f>
        <v>1</v>
      </c>
      <c r="E14" s="7">
        <f>IF(預測IC!E14&gt;預測IC!E$25,1,0)</f>
        <v>0</v>
      </c>
      <c r="F14" s="7">
        <f>IF(預測IC!F14&gt;預測IC!F$25,1,0)</f>
        <v>0</v>
      </c>
      <c r="G14" s="7">
        <f>IF(預測IC!G14&gt;預測IC!G$25,1,0)</f>
        <v>0</v>
      </c>
      <c r="H14" s="7">
        <f>IF(預測IC!H14&gt;預測IC!H$25,1,0)</f>
        <v>0</v>
      </c>
      <c r="I14" s="7">
        <f>IF(預測IC!I14&gt;預測IC!I$25,1,0)</f>
        <v>0</v>
      </c>
      <c r="J14" s="7">
        <f>IF(預測IC!J14&gt;預測IC!J$25,1,0)</f>
        <v>1</v>
      </c>
      <c r="K14" s="7">
        <f>IF(預測IC!K14&gt;預測IC!K$25,1,0)</f>
        <v>1</v>
      </c>
      <c r="L14" s="7">
        <f>IF(預測IC!L14&gt;預測IC!L$25,1,0)</f>
        <v>0</v>
      </c>
      <c r="M14" s="7">
        <f>IF(預測IC!M14&gt;預測IC!M$25,1,0)</f>
        <v>0</v>
      </c>
      <c r="N14" s="7">
        <f>IF(預測IC!N14&gt;預測IC!N$25,1,0)</f>
        <v>1</v>
      </c>
      <c r="O14" s="7">
        <f>IF(預測IC!O14&gt;預測IC!O$25,1,0)</f>
        <v>1</v>
      </c>
      <c r="P14" s="7">
        <f>IF(預測IC!P14&gt;預測IC!P$25,1,0)</f>
        <v>0</v>
      </c>
      <c r="Q14" s="7">
        <f>IF(預測IC!Q14&gt;預測IC!Q$25,1,0)</f>
        <v>1</v>
      </c>
      <c r="R14" s="7">
        <f>IF(預測IC!R14&gt;預測IC!R$25,1,0)</f>
        <v>0</v>
      </c>
      <c r="S14" s="7">
        <f>IF(預測IC!S14&gt;預測IC!S$25,1,0)</f>
        <v>0</v>
      </c>
      <c r="T14" s="7">
        <f>IF(預測IC!T14&gt;預測IC!T$25,1,0)</f>
        <v>1</v>
      </c>
      <c r="U14" s="7">
        <f>IF(預測IC!U14&gt;預測IC!U$25,1,0)</f>
        <v>1</v>
      </c>
      <c r="V14" s="7">
        <f>IF(預測IC!V14&gt;預測IC!V$25,1,0)</f>
        <v>1</v>
      </c>
      <c r="W14" s="7">
        <f>IF(預測IC!W14&gt;預測IC!W$25,1,0)</f>
        <v>1</v>
      </c>
      <c r="X14" s="7">
        <f>IF(預測IC!X14&gt;預測IC!X$25,1,0)</f>
        <v>1</v>
      </c>
      <c r="Y14" s="7">
        <f>IF(預測IC!Y14&gt;預測IC!Y$25,1,0)</f>
        <v>1</v>
      </c>
      <c r="Z14" s="7">
        <f>IF(預測IC!Z14&gt;預測IC!Z$25,1,0)</f>
        <v>1</v>
      </c>
      <c r="AA14" s="7">
        <f>IF(預測IC!AA14&gt;預測IC!AA$25,1,0)</f>
        <v>0</v>
      </c>
      <c r="AB14" s="7">
        <f>IF(預測IC!AB14&gt;預測IC!AB$25,1,0)</f>
        <v>0</v>
      </c>
      <c r="AC14" s="7">
        <f>IF(預測IC!AC14&gt;預測IC!AC$25,1,0)</f>
        <v>0</v>
      </c>
      <c r="AD14" s="7">
        <f>IF(預測IC!AD14&gt;預測IC!AD$25,1,0)</f>
        <v>0</v>
      </c>
      <c r="AE14" s="7">
        <f>IF(預測IC!AE14&gt;預測IC!AE$25,1,0)</f>
        <v>1</v>
      </c>
      <c r="AF14" s="7">
        <f>IF(預測IC!AF14&gt;預測IC!AF$25,1,0)</f>
        <v>0</v>
      </c>
      <c r="AG14" s="7">
        <f>IF(預測IC!AG14&gt;預測IC!AG$25,1,0)</f>
        <v>0</v>
      </c>
      <c r="AH14" s="7">
        <f>IF(預測IC!AH14&gt;預測IC!AH$25,1,0)</f>
        <v>1</v>
      </c>
      <c r="AI14" s="7">
        <f>IF(預測IC!AI14&gt;預測IC!AI$25,1,0)</f>
        <v>0</v>
      </c>
      <c r="AJ14" s="7">
        <f>IF(預測IC!AJ14&gt;預測IC!AJ$25,1,0)</f>
        <v>0</v>
      </c>
      <c r="AK14" s="7">
        <f>IF(預測IC!AK14&gt;預測IC!AK$25,1,0)</f>
        <v>0</v>
      </c>
      <c r="AL14" s="7">
        <f>IF(預測IC!AL14&gt;預測IC!AL$25,1,0)</f>
        <v>1</v>
      </c>
      <c r="AM14" s="7">
        <f>IF(預測IC!AM14&gt;預測IC!AM$25,1,0)</f>
        <v>1</v>
      </c>
      <c r="AN14" s="7">
        <f>IF(預測IC!AN14&gt;預測IC!AN$25,1,0)</f>
        <v>1</v>
      </c>
      <c r="AO14" s="7">
        <f>IF(預測IC!AO14&gt;預測IC!AO$25,1,0)</f>
        <v>0</v>
      </c>
      <c r="AP14" s="7">
        <f>IF(預測IC!AP14&gt;預測IC!AP$25,1,0)</f>
        <v>0</v>
      </c>
      <c r="AQ14" s="7">
        <f>IF(預測IC!AQ14&gt;預測IC!AQ$25,1,0)</f>
        <v>0</v>
      </c>
      <c r="AR14" s="7">
        <f>IF(預測IC!AR14&gt;預測IC!AR$25,1,0)</f>
        <v>0</v>
      </c>
      <c r="AS14" s="7">
        <f>IF(預測IC!AS14&gt;預測IC!AS$25,1,0)</f>
        <v>1</v>
      </c>
      <c r="AT14" s="7">
        <f>IF(預測IC!AT14&gt;預測IC!AT$25,1,0)</f>
        <v>1</v>
      </c>
      <c r="AU14" s="7">
        <f>IF(預測IC!AU14&gt;預測IC!AU$25,1,0)</f>
        <v>1</v>
      </c>
      <c r="AV14" s="7">
        <f>IF(預測IC!AV14&gt;預測IC!AV$25,1,0)</f>
        <v>0</v>
      </c>
      <c r="AW14" s="7">
        <f>IF(預測IC!AW14&gt;預測IC!AW$25,1,0)</f>
        <v>1</v>
      </c>
      <c r="AX14" s="7">
        <f>IF(預測IC!AX14&gt;預測IC!AX$25,1,0)</f>
        <v>0</v>
      </c>
      <c r="AY14" s="7">
        <f>IF(預測IC!AY14&gt;預測IC!AY$25,1,0)</f>
        <v>0</v>
      </c>
      <c r="AZ14" s="7">
        <f>IF(預測IC!AZ14&gt;預測IC!AZ$25,1,0)</f>
        <v>0</v>
      </c>
      <c r="BA14" s="7">
        <f>IF(預測IC!BA14&gt;預測IC!BA$25,1,0)</f>
        <v>1</v>
      </c>
      <c r="BB14" s="7">
        <f>IF(預測IC!BB14&gt;預測IC!BB$25,1,0)</f>
        <v>1</v>
      </c>
      <c r="BC14" s="7">
        <f>IF(預測IC!BC14&gt;預測IC!BC$25,1,0)</f>
        <v>0</v>
      </c>
      <c r="BD14" s="7">
        <f>IF(預測IC!BD14&gt;預測IC!BD$25,1,0)</f>
        <v>1</v>
      </c>
      <c r="BE14" s="7">
        <f>IF(預測IC!BE14&gt;預測IC!BE$25,1,0)</f>
        <v>0</v>
      </c>
      <c r="BF14" s="7">
        <f>IF(預測IC!BF14&gt;預測IC!BF$25,1,0)</f>
        <v>1</v>
      </c>
      <c r="BG14" s="7">
        <f>IF(預測IC!BG14&gt;預測IC!BG$25,1,0)</f>
        <v>1</v>
      </c>
      <c r="BH14" s="7">
        <f>IF(預測IC!BH14&gt;預測IC!BH$25,1,0)</f>
        <v>1</v>
      </c>
      <c r="BI14" s="7">
        <f>IF(預測IC!BI14&gt;預測IC!BI$25,1,0)</f>
        <v>1</v>
      </c>
      <c r="BJ14" s="7">
        <f>IF(預測IC!BJ14&gt;預測IC!BJ$25,1,0)</f>
        <v>1</v>
      </c>
      <c r="BK14" s="7">
        <f>IF(預測IC!BK14&gt;預測IC!BK$25,1,0)</f>
        <v>0</v>
      </c>
      <c r="BL14" s="7">
        <f>IF(預測IC!BL14&gt;預測IC!BL$25,1,0)</f>
        <v>1</v>
      </c>
      <c r="BM14" s="7">
        <f>IF(預測IC!BM14&gt;預測IC!BM$25,1,0)</f>
        <v>1</v>
      </c>
      <c r="BN14" s="7">
        <f>IF(預測IC!BN14&gt;預測IC!BN$25,1,0)</f>
        <v>0</v>
      </c>
      <c r="BO14" s="7">
        <f>IF(預測IC!BO14&gt;預測IC!BO$25,1,0)</f>
        <v>1</v>
      </c>
      <c r="BP14" s="7">
        <f>IF(預測IC!BP14&gt;預測IC!BP$25,1,0)</f>
        <v>0</v>
      </c>
      <c r="BQ14" s="7">
        <f>IF(預測IC!BQ14&gt;預測IC!BQ$25,1,0)</f>
        <v>0</v>
      </c>
      <c r="BR14" s="7">
        <f>IF(預測IC!BR14&gt;預測IC!BR$25,1,0)</f>
        <v>0</v>
      </c>
      <c r="BS14" s="7">
        <f>IF(預測IC!BS14&gt;預測IC!BS$25,1,0)</f>
        <v>0</v>
      </c>
      <c r="BT14" s="7">
        <f>IF(預測IC!BT14&gt;預測IC!BT$25,1,0)</f>
        <v>0</v>
      </c>
      <c r="BU14" s="7">
        <f>IF(預測IC!BU14&gt;預測IC!BU$25,1,0)</f>
        <v>0</v>
      </c>
      <c r="BV14" s="7">
        <f>IF(預測IC!BV14&gt;預測IC!BV$25,1,0)</f>
        <v>0</v>
      </c>
      <c r="BW14" s="7">
        <f>IF(預測IC!BW14&gt;預測IC!BW$25,1,0)</f>
        <v>1</v>
      </c>
      <c r="BX14" s="7">
        <f>IF(預測IC!BX14&gt;預測IC!BX$25,1,0)</f>
        <v>1</v>
      </c>
      <c r="BY14" s="7">
        <f>IF(預測IC!BY14&gt;預測IC!BY$25,1,0)</f>
        <v>1</v>
      </c>
      <c r="BZ14" s="7">
        <f>IF(預測IC!BZ14&gt;預測IC!BZ$25,1,0)</f>
        <v>0</v>
      </c>
      <c r="CA14" s="7">
        <f>IF(預測IC!CA14&gt;預測IC!CA$25,1,0)</f>
        <v>0</v>
      </c>
      <c r="CB14" s="7">
        <f>IF(預測IC!CB14&gt;預測IC!CB$25,1,0)</f>
        <v>0</v>
      </c>
      <c r="CC14" s="7">
        <f>IF(預測IC!CC14&gt;預測IC!CC$25,1,0)</f>
        <v>1</v>
      </c>
      <c r="CD14" s="7">
        <f>IF(預測IC!CD14&gt;預測IC!CD$25,1,0)</f>
        <v>1</v>
      </c>
      <c r="CE14" s="7">
        <f>IF(預測IC!CE14&gt;預測IC!CE$25,1,0)</f>
        <v>0</v>
      </c>
      <c r="CF14" s="7">
        <f>IF(預測IC!CF14&gt;預測IC!CF$25,1,0)</f>
        <v>1</v>
      </c>
      <c r="CG14" s="7">
        <f>IF(預測IC!CG14&gt;預測IC!CG$25,1,0)</f>
        <v>0</v>
      </c>
      <c r="CH14" s="7">
        <f>IF(預測IC!CH14&gt;預測IC!CH$25,1,0)</f>
        <v>0</v>
      </c>
      <c r="CI14" s="7">
        <f>IF(預測IC!CI14&gt;預測IC!CI$25,1,0)</f>
        <v>0</v>
      </c>
      <c r="CJ14" s="7">
        <f>IF(預測IC!CJ14&gt;預測IC!CJ$25,1,0)</f>
        <v>0</v>
      </c>
      <c r="CK14" s="7">
        <f>IF(預測IC!CK14&gt;預測IC!CK$25,1,0)</f>
        <v>1</v>
      </c>
      <c r="CL14" s="7">
        <f>IF(預測IC!CL14&gt;預測IC!CL$25,1,0)</f>
        <v>0</v>
      </c>
      <c r="CM14" s="7">
        <f>IF(預測IC!CM14&gt;預測IC!CM$25,1,0)</f>
        <v>1</v>
      </c>
      <c r="CN14" s="7">
        <f>IF(預測IC!CN14&gt;預測IC!CN$25,1,0)</f>
        <v>0</v>
      </c>
      <c r="CO14" s="7">
        <f>IF(預測IC!CO14&gt;預測IC!CO$25,1,0)</f>
        <v>0</v>
      </c>
      <c r="CP14" s="7">
        <f>IF(預測IC!CP14&gt;預測IC!CP$25,1,0)</f>
        <v>0</v>
      </c>
      <c r="CQ14" s="7">
        <f>IF(預測IC!CQ14&gt;預測IC!CQ$25,1,0)</f>
        <v>1</v>
      </c>
      <c r="CR14" s="7">
        <f>IF(預測IC!CR14&gt;預測IC!CR$25,1,0)</f>
        <v>0</v>
      </c>
      <c r="CS14" s="7">
        <f>IF(預測IC!CS14&gt;預測IC!CS$25,1,0)</f>
        <v>0</v>
      </c>
      <c r="CT14" s="7">
        <f>IF(預測IC!CT14&gt;預測IC!CT$25,1,0)</f>
        <v>0</v>
      </c>
      <c r="CU14" s="7">
        <f>IF(預測IC!CU14&gt;預測IC!CU$25,1,0)</f>
        <v>1</v>
      </c>
      <c r="CV14" s="7">
        <f>IF(預測IC!CV14&gt;預測IC!CV$25,1,0)</f>
        <v>0</v>
      </c>
      <c r="CW14" s="7">
        <f>IF(預測IC!CW14&gt;預測IC!CW$25,1,0)</f>
        <v>1</v>
      </c>
      <c r="CX14" s="7">
        <f>IF(預測IC!CX14&gt;預測IC!CX$25,1,0)</f>
        <v>0</v>
      </c>
      <c r="CY14" s="7">
        <f>IF(預測IC!CY14&gt;預測IC!CY$25,1,0)</f>
        <v>0</v>
      </c>
      <c r="CZ14" s="7">
        <f>IF(預測IC!CZ14&gt;預測IC!CZ$25,1,0)</f>
        <v>1</v>
      </c>
      <c r="DA14" s="7">
        <f>IF(預測IC!DA14&gt;預測IC!DA$25,1,0)</f>
        <v>0</v>
      </c>
      <c r="DB14" s="7">
        <f>IF(預測IC!DB14&gt;預測IC!DB$25,1,0)</f>
        <v>1</v>
      </c>
      <c r="DC14" s="7">
        <f>IF(預測IC!DC14&gt;預測IC!DC$25,1,0)</f>
        <v>1</v>
      </c>
      <c r="DD14" s="7">
        <f>IF(預測IC!DD14&gt;預測IC!DD$25,1,0)</f>
        <v>1</v>
      </c>
      <c r="DE14" s="7">
        <f>IF(預測IC!DE14&gt;預測IC!DE$25,1,0)</f>
        <v>0</v>
      </c>
      <c r="DF14" s="7">
        <f>IF(預測IC!DF14&gt;預測IC!DF$25,1,0)</f>
        <v>0</v>
      </c>
      <c r="DG14" s="7">
        <f>IF(預測IC!DG14&gt;預測IC!DG$25,1,0)</f>
        <v>1</v>
      </c>
      <c r="DH14" s="7">
        <f>IF(預測IC!DH14&gt;預測IC!DH$25,1,0)</f>
        <v>0</v>
      </c>
      <c r="DI14" s="7">
        <f>IF(預測IC!DI14&gt;預測IC!DI$25,1,0)</f>
        <v>1</v>
      </c>
      <c r="DJ14" s="7">
        <f>IF(預測IC!DJ14&gt;預測IC!DJ$25,1,0)</f>
        <v>1</v>
      </c>
      <c r="DK14" s="7">
        <f>IF(預測IC!DK14&gt;預測IC!DK$25,1,0)</f>
        <v>0</v>
      </c>
      <c r="DL14" s="7">
        <f>IF(預測IC!DL14&gt;預測IC!DL$25,1,0)</f>
        <v>0</v>
      </c>
      <c r="DM14" s="7">
        <f>IF(預測IC!DM14&gt;預測IC!DM$25,1,0)</f>
        <v>1</v>
      </c>
      <c r="DN14" s="7">
        <f>IF(預測IC!DN14&gt;預測IC!DN$25,1,0)</f>
        <v>1</v>
      </c>
      <c r="DO14" s="7">
        <f>IF(預測IC!DO14&gt;預測IC!DO$25,1,0)</f>
        <v>1</v>
      </c>
      <c r="DP14" s="7">
        <f>IF(預測IC!DP14&gt;預測IC!DP$25,1,0)</f>
        <v>1</v>
      </c>
      <c r="DQ14" s="7">
        <f>IF(預測IC!DQ14&gt;預測IC!DQ$25,1,0)</f>
        <v>0</v>
      </c>
      <c r="DR14" s="7">
        <f>IF(預測IC!DR14&gt;預測IC!DR$25,1,0)</f>
        <v>0</v>
      </c>
      <c r="DS14" s="7">
        <f>IF(預測IC!DS14&gt;預測IC!DS$25,1,0)</f>
        <v>0</v>
      </c>
      <c r="DT14" s="7">
        <f>IF(預測IC!DT14&gt;預測IC!DT$25,1,0)</f>
        <v>0</v>
      </c>
      <c r="DU14" s="7">
        <f>IF(預測IC!DU14&gt;預測IC!DU$25,1,0)</f>
        <v>0</v>
      </c>
      <c r="DV14" s="7">
        <f>IF(預測IC!DV14&gt;預測IC!DV$25,1,0)</f>
        <v>0</v>
      </c>
      <c r="DW14" s="7">
        <f>IF(預測IC!DW14&gt;預測IC!DW$25,1,0)</f>
        <v>1</v>
      </c>
      <c r="DX14" s="7">
        <f>IF(預測IC!DX14&gt;預測IC!DX$25,1,0)</f>
        <v>0</v>
      </c>
      <c r="DY14" s="7">
        <f>IF(預測IC!DY14&gt;預測IC!DY$25,1,0)</f>
        <v>1</v>
      </c>
      <c r="DZ14" s="7">
        <f>IF(預測IC!DZ14&gt;預測IC!DZ$25,1,0)</f>
        <v>1</v>
      </c>
      <c r="EA14" s="7">
        <f>IF(預測IC!EA14&gt;預測IC!EA$25,1,0)</f>
        <v>1</v>
      </c>
      <c r="EB14" s="7">
        <f>IF(預測IC!EB14&gt;預測IC!EB$25,1,0)</f>
        <v>1</v>
      </c>
      <c r="EC14" s="7">
        <f>IF(預測IC!EC14&gt;預測IC!EC$25,1,0)</f>
        <v>0</v>
      </c>
      <c r="ED14" s="7">
        <f>IF(預測IC!ED14&gt;預測IC!ED$25,1,0)</f>
        <v>0</v>
      </c>
      <c r="EE14" s="7">
        <f>IF(預測IC!EE14&gt;預測IC!EE$25,1,0)</f>
        <v>0</v>
      </c>
      <c r="EF14" s="7">
        <f>IF(預測IC!EF14&gt;預測IC!EF$25,1,0)</f>
        <v>0</v>
      </c>
      <c r="EG14">
        <f t="shared" si="10"/>
        <v>60</v>
      </c>
      <c r="EH14" s="14">
        <f t="shared" si="11"/>
        <v>0.44776119402985076</v>
      </c>
    </row>
    <row r="15" spans="1:138" x14ac:dyDescent="0.3">
      <c r="A15" s="1">
        <v>100</v>
      </c>
      <c r="B15" s="1">
        <v>10</v>
      </c>
      <c r="C15" s="7">
        <f>IF(預測IC!C15&gt;預測IC!C$25,1,0)</f>
        <v>0</v>
      </c>
      <c r="D15" s="7">
        <f>IF(預測IC!D15&gt;預測IC!D$25,1,0)</f>
        <v>1</v>
      </c>
      <c r="E15" s="7">
        <f>IF(預測IC!E15&gt;預測IC!E$25,1,0)</f>
        <v>0</v>
      </c>
      <c r="F15" s="7">
        <f>IF(預測IC!F15&gt;預測IC!F$25,1,0)</f>
        <v>1</v>
      </c>
      <c r="G15" s="7">
        <f>IF(預測IC!G15&gt;預測IC!G$25,1,0)</f>
        <v>0</v>
      </c>
      <c r="H15" s="7">
        <f>IF(預測IC!H15&gt;預測IC!H$25,1,0)</f>
        <v>0</v>
      </c>
      <c r="I15" s="7">
        <f>IF(預測IC!I15&gt;預測IC!I$25,1,0)</f>
        <v>0</v>
      </c>
      <c r="J15" s="7">
        <f>IF(預測IC!J15&gt;預測IC!J$25,1,0)</f>
        <v>1</v>
      </c>
      <c r="K15" s="7">
        <f>IF(預測IC!K15&gt;預測IC!K$25,1,0)</f>
        <v>1</v>
      </c>
      <c r="L15" s="7">
        <f>IF(預測IC!L15&gt;預測IC!L$25,1,0)</f>
        <v>0</v>
      </c>
      <c r="M15" s="7">
        <f>IF(預測IC!M15&gt;預測IC!M$25,1,0)</f>
        <v>0</v>
      </c>
      <c r="N15" s="7">
        <f>IF(預測IC!N15&gt;預測IC!N$25,1,0)</f>
        <v>1</v>
      </c>
      <c r="O15" s="7">
        <f>IF(預測IC!O15&gt;預測IC!O$25,1,0)</f>
        <v>1</v>
      </c>
      <c r="P15" s="7">
        <f>IF(預測IC!P15&gt;預測IC!P$25,1,0)</f>
        <v>0</v>
      </c>
      <c r="Q15" s="7">
        <f>IF(預測IC!Q15&gt;預測IC!Q$25,1,0)</f>
        <v>1</v>
      </c>
      <c r="R15" s="7">
        <f>IF(預測IC!R15&gt;預測IC!R$25,1,0)</f>
        <v>1</v>
      </c>
      <c r="S15" s="7">
        <f>IF(預測IC!S15&gt;預測IC!S$25,1,0)</f>
        <v>1</v>
      </c>
      <c r="T15" s="7">
        <f>IF(預測IC!T15&gt;預測IC!T$25,1,0)</f>
        <v>1</v>
      </c>
      <c r="U15" s="7">
        <f>IF(預測IC!U15&gt;預測IC!U$25,1,0)</f>
        <v>1</v>
      </c>
      <c r="V15" s="7">
        <f>IF(預測IC!V15&gt;預測IC!V$25,1,0)</f>
        <v>1</v>
      </c>
      <c r="W15" s="7">
        <f>IF(預測IC!W15&gt;預測IC!W$25,1,0)</f>
        <v>1</v>
      </c>
      <c r="X15" s="7">
        <f>IF(預測IC!X15&gt;預測IC!X$25,1,0)</f>
        <v>1</v>
      </c>
      <c r="Y15" s="7">
        <f>IF(預測IC!Y15&gt;預測IC!Y$25,1,0)</f>
        <v>1</v>
      </c>
      <c r="Z15" s="7">
        <f>IF(預測IC!Z15&gt;預測IC!Z$25,1,0)</f>
        <v>1</v>
      </c>
      <c r="AA15" s="7">
        <f>IF(預測IC!AA15&gt;預測IC!AA$25,1,0)</f>
        <v>0</v>
      </c>
      <c r="AB15" s="7">
        <f>IF(預測IC!AB15&gt;預測IC!AB$25,1,0)</f>
        <v>0</v>
      </c>
      <c r="AC15" s="7">
        <f>IF(預測IC!AC15&gt;預測IC!AC$25,1,0)</f>
        <v>0</v>
      </c>
      <c r="AD15" s="7">
        <f>IF(預測IC!AD15&gt;預測IC!AD$25,1,0)</f>
        <v>0</v>
      </c>
      <c r="AE15" s="7">
        <f>IF(預測IC!AE15&gt;預測IC!AE$25,1,0)</f>
        <v>1</v>
      </c>
      <c r="AF15" s="7">
        <f>IF(預測IC!AF15&gt;預測IC!AF$25,1,0)</f>
        <v>0</v>
      </c>
      <c r="AG15" s="7">
        <f>IF(預測IC!AG15&gt;預測IC!AG$25,1,0)</f>
        <v>0</v>
      </c>
      <c r="AH15" s="7">
        <f>IF(預測IC!AH15&gt;預測IC!AH$25,1,0)</f>
        <v>1</v>
      </c>
      <c r="AI15" s="7">
        <f>IF(預測IC!AI15&gt;預測IC!AI$25,1,0)</f>
        <v>0</v>
      </c>
      <c r="AJ15" s="7">
        <f>IF(預測IC!AJ15&gt;預測IC!AJ$25,1,0)</f>
        <v>0</v>
      </c>
      <c r="AK15" s="7">
        <f>IF(預測IC!AK15&gt;預測IC!AK$25,1,0)</f>
        <v>0</v>
      </c>
      <c r="AL15" s="7">
        <f>IF(預測IC!AL15&gt;預測IC!AL$25,1,0)</f>
        <v>1</v>
      </c>
      <c r="AM15" s="7">
        <f>IF(預測IC!AM15&gt;預測IC!AM$25,1,0)</f>
        <v>1</v>
      </c>
      <c r="AN15" s="7">
        <f>IF(預測IC!AN15&gt;預測IC!AN$25,1,0)</f>
        <v>1</v>
      </c>
      <c r="AO15" s="7">
        <f>IF(預測IC!AO15&gt;預測IC!AO$25,1,0)</f>
        <v>0</v>
      </c>
      <c r="AP15" s="7">
        <f>IF(預測IC!AP15&gt;預測IC!AP$25,1,0)</f>
        <v>0</v>
      </c>
      <c r="AQ15" s="7">
        <f>IF(預測IC!AQ15&gt;預測IC!AQ$25,1,0)</f>
        <v>1</v>
      </c>
      <c r="AR15" s="7">
        <f>IF(預測IC!AR15&gt;預測IC!AR$25,1,0)</f>
        <v>0</v>
      </c>
      <c r="AS15" s="7">
        <f>IF(預測IC!AS15&gt;預測IC!AS$25,1,0)</f>
        <v>1</v>
      </c>
      <c r="AT15" s="7">
        <f>IF(預測IC!AT15&gt;預測IC!AT$25,1,0)</f>
        <v>1</v>
      </c>
      <c r="AU15" s="7">
        <f>IF(預測IC!AU15&gt;預測IC!AU$25,1,0)</f>
        <v>1</v>
      </c>
      <c r="AV15" s="7">
        <f>IF(預測IC!AV15&gt;預測IC!AV$25,1,0)</f>
        <v>0</v>
      </c>
      <c r="AW15" s="7">
        <f>IF(預測IC!AW15&gt;預測IC!AW$25,1,0)</f>
        <v>1</v>
      </c>
      <c r="AX15" s="7">
        <f>IF(預測IC!AX15&gt;預測IC!AX$25,1,0)</f>
        <v>0</v>
      </c>
      <c r="AY15" s="7">
        <f>IF(預測IC!AY15&gt;預測IC!AY$25,1,0)</f>
        <v>0</v>
      </c>
      <c r="AZ15" s="7">
        <f>IF(預測IC!AZ15&gt;預測IC!AZ$25,1,0)</f>
        <v>0</v>
      </c>
      <c r="BA15" s="7">
        <f>IF(預測IC!BA15&gt;預測IC!BA$25,1,0)</f>
        <v>1</v>
      </c>
      <c r="BB15" s="7">
        <f>IF(預測IC!BB15&gt;預測IC!BB$25,1,0)</f>
        <v>1</v>
      </c>
      <c r="BC15" s="7">
        <f>IF(預測IC!BC15&gt;預測IC!BC$25,1,0)</f>
        <v>1</v>
      </c>
      <c r="BD15" s="7">
        <f>IF(預測IC!BD15&gt;預測IC!BD$25,1,0)</f>
        <v>1</v>
      </c>
      <c r="BE15" s="7">
        <f>IF(預測IC!BE15&gt;預測IC!BE$25,1,0)</f>
        <v>0</v>
      </c>
      <c r="BF15" s="7">
        <f>IF(預測IC!BF15&gt;預測IC!BF$25,1,0)</f>
        <v>1</v>
      </c>
      <c r="BG15" s="7">
        <f>IF(預測IC!BG15&gt;預測IC!BG$25,1,0)</f>
        <v>1</v>
      </c>
      <c r="BH15" s="7">
        <f>IF(預測IC!BH15&gt;預測IC!BH$25,1,0)</f>
        <v>1</v>
      </c>
      <c r="BI15" s="7">
        <f>IF(預測IC!BI15&gt;預測IC!BI$25,1,0)</f>
        <v>1</v>
      </c>
      <c r="BJ15" s="7">
        <f>IF(預測IC!BJ15&gt;預測IC!BJ$25,1,0)</f>
        <v>1</v>
      </c>
      <c r="BK15" s="7">
        <f>IF(預測IC!BK15&gt;預測IC!BK$25,1,0)</f>
        <v>1</v>
      </c>
      <c r="BL15" s="7">
        <f>IF(預測IC!BL15&gt;預測IC!BL$25,1,0)</f>
        <v>1</v>
      </c>
      <c r="BM15" s="7">
        <f>IF(預測IC!BM15&gt;預測IC!BM$25,1,0)</f>
        <v>1</v>
      </c>
      <c r="BN15" s="7">
        <f>IF(預測IC!BN15&gt;預測IC!BN$25,1,0)</f>
        <v>1</v>
      </c>
      <c r="BO15" s="7">
        <f>IF(預測IC!BO15&gt;預測IC!BO$25,1,0)</f>
        <v>1</v>
      </c>
      <c r="BP15" s="7">
        <f>IF(預測IC!BP15&gt;預測IC!BP$25,1,0)</f>
        <v>0</v>
      </c>
      <c r="BQ15" s="7">
        <f>IF(預測IC!BQ15&gt;預測IC!BQ$25,1,0)</f>
        <v>0</v>
      </c>
      <c r="BR15" s="7">
        <f>IF(預測IC!BR15&gt;預測IC!BR$25,1,0)</f>
        <v>0</v>
      </c>
      <c r="BS15" s="7">
        <f>IF(預測IC!BS15&gt;預測IC!BS$25,1,0)</f>
        <v>0</v>
      </c>
      <c r="BT15" s="7">
        <f>IF(預測IC!BT15&gt;預測IC!BT$25,1,0)</f>
        <v>0</v>
      </c>
      <c r="BU15" s="7">
        <f>IF(預測IC!BU15&gt;預測IC!BU$25,1,0)</f>
        <v>1</v>
      </c>
      <c r="BV15" s="7">
        <f>IF(預測IC!BV15&gt;預測IC!BV$25,1,0)</f>
        <v>0</v>
      </c>
      <c r="BW15" s="7">
        <f>IF(預測IC!BW15&gt;預測IC!BW$25,1,0)</f>
        <v>1</v>
      </c>
      <c r="BX15" s="7">
        <f>IF(預測IC!BX15&gt;預測IC!BX$25,1,0)</f>
        <v>0</v>
      </c>
      <c r="BY15" s="7">
        <f>IF(預測IC!BY15&gt;預測IC!BY$25,1,0)</f>
        <v>1</v>
      </c>
      <c r="BZ15" s="7">
        <f>IF(預測IC!BZ15&gt;預測IC!BZ$25,1,0)</f>
        <v>0</v>
      </c>
      <c r="CA15" s="7">
        <f>IF(預測IC!CA15&gt;預測IC!CA$25,1,0)</f>
        <v>0</v>
      </c>
      <c r="CB15" s="7">
        <f>IF(預測IC!CB15&gt;預測IC!CB$25,1,0)</f>
        <v>0</v>
      </c>
      <c r="CC15" s="7">
        <f>IF(預測IC!CC15&gt;預測IC!CC$25,1,0)</f>
        <v>1</v>
      </c>
      <c r="CD15" s="7">
        <f>IF(預測IC!CD15&gt;預測IC!CD$25,1,0)</f>
        <v>0</v>
      </c>
      <c r="CE15" s="7">
        <f>IF(預測IC!CE15&gt;預測IC!CE$25,1,0)</f>
        <v>0</v>
      </c>
      <c r="CF15" s="7">
        <f>IF(預測IC!CF15&gt;預測IC!CF$25,1,0)</f>
        <v>1</v>
      </c>
      <c r="CG15" s="7">
        <f>IF(預測IC!CG15&gt;預測IC!CG$25,1,0)</f>
        <v>0</v>
      </c>
      <c r="CH15" s="7">
        <f>IF(預測IC!CH15&gt;預測IC!CH$25,1,0)</f>
        <v>1</v>
      </c>
      <c r="CI15" s="7">
        <f>IF(預測IC!CI15&gt;預測IC!CI$25,1,0)</f>
        <v>0</v>
      </c>
      <c r="CJ15" s="7">
        <f>IF(預測IC!CJ15&gt;預測IC!CJ$25,1,0)</f>
        <v>1</v>
      </c>
      <c r="CK15" s="7">
        <f>IF(預測IC!CK15&gt;預測IC!CK$25,1,0)</f>
        <v>1</v>
      </c>
      <c r="CL15" s="7">
        <f>IF(預測IC!CL15&gt;預測IC!CL$25,1,0)</f>
        <v>0</v>
      </c>
      <c r="CM15" s="7">
        <f>IF(預測IC!CM15&gt;預測IC!CM$25,1,0)</f>
        <v>1</v>
      </c>
      <c r="CN15" s="7">
        <f>IF(預測IC!CN15&gt;預測IC!CN$25,1,0)</f>
        <v>1</v>
      </c>
      <c r="CO15" s="7">
        <f>IF(預測IC!CO15&gt;預測IC!CO$25,1,0)</f>
        <v>0</v>
      </c>
      <c r="CP15" s="7">
        <f>IF(預測IC!CP15&gt;預測IC!CP$25,1,0)</f>
        <v>0</v>
      </c>
      <c r="CQ15" s="7">
        <f>IF(預測IC!CQ15&gt;預測IC!CQ$25,1,0)</f>
        <v>1</v>
      </c>
      <c r="CR15" s="7">
        <f>IF(預測IC!CR15&gt;預測IC!CR$25,1,0)</f>
        <v>0</v>
      </c>
      <c r="CS15" s="7">
        <f>IF(預測IC!CS15&gt;預測IC!CS$25,1,0)</f>
        <v>0</v>
      </c>
      <c r="CT15" s="7">
        <f>IF(預測IC!CT15&gt;預測IC!CT$25,1,0)</f>
        <v>0</v>
      </c>
      <c r="CU15" s="7">
        <f>IF(預測IC!CU15&gt;預測IC!CU$25,1,0)</f>
        <v>1</v>
      </c>
      <c r="CV15" s="7">
        <f>IF(預測IC!CV15&gt;預測IC!CV$25,1,0)</f>
        <v>0</v>
      </c>
      <c r="CW15" s="7">
        <f>IF(預測IC!CW15&gt;預測IC!CW$25,1,0)</f>
        <v>1</v>
      </c>
      <c r="CX15" s="7">
        <f>IF(預測IC!CX15&gt;預測IC!CX$25,1,0)</f>
        <v>0</v>
      </c>
      <c r="CY15" s="7">
        <f>IF(預測IC!CY15&gt;預測IC!CY$25,1,0)</f>
        <v>0</v>
      </c>
      <c r="CZ15" s="7">
        <f>IF(預測IC!CZ15&gt;預測IC!CZ$25,1,0)</f>
        <v>1</v>
      </c>
      <c r="DA15" s="7">
        <f>IF(預測IC!DA15&gt;預測IC!DA$25,1,0)</f>
        <v>0</v>
      </c>
      <c r="DB15" s="7">
        <f>IF(預測IC!DB15&gt;預測IC!DB$25,1,0)</f>
        <v>1</v>
      </c>
      <c r="DC15" s="7">
        <f>IF(預測IC!DC15&gt;預測IC!DC$25,1,0)</f>
        <v>1</v>
      </c>
      <c r="DD15" s="7">
        <f>IF(預測IC!DD15&gt;預測IC!DD$25,1,0)</f>
        <v>1</v>
      </c>
      <c r="DE15" s="7">
        <f>IF(預測IC!DE15&gt;預測IC!DE$25,1,0)</f>
        <v>0</v>
      </c>
      <c r="DF15" s="7">
        <f>IF(預測IC!DF15&gt;預測IC!DF$25,1,0)</f>
        <v>1</v>
      </c>
      <c r="DG15" s="7">
        <f>IF(預測IC!DG15&gt;預測IC!DG$25,1,0)</f>
        <v>1</v>
      </c>
      <c r="DH15" s="7">
        <f>IF(預測IC!DH15&gt;預測IC!DH$25,1,0)</f>
        <v>0</v>
      </c>
      <c r="DI15" s="7">
        <f>IF(預測IC!DI15&gt;預測IC!DI$25,1,0)</f>
        <v>1</v>
      </c>
      <c r="DJ15" s="7">
        <f>IF(預測IC!DJ15&gt;預測IC!DJ$25,1,0)</f>
        <v>0</v>
      </c>
      <c r="DK15" s="7">
        <f>IF(預測IC!DK15&gt;預測IC!DK$25,1,0)</f>
        <v>0</v>
      </c>
      <c r="DL15" s="7">
        <f>IF(預測IC!DL15&gt;預測IC!DL$25,1,0)</f>
        <v>0</v>
      </c>
      <c r="DM15" s="7">
        <f>IF(預測IC!DM15&gt;預測IC!DM$25,1,0)</f>
        <v>1</v>
      </c>
      <c r="DN15" s="7">
        <f>IF(預測IC!DN15&gt;預測IC!DN$25,1,0)</f>
        <v>1</v>
      </c>
      <c r="DO15" s="7">
        <f>IF(預測IC!DO15&gt;預測IC!DO$25,1,0)</f>
        <v>1</v>
      </c>
      <c r="DP15" s="7">
        <f>IF(預測IC!DP15&gt;預測IC!DP$25,1,0)</f>
        <v>1</v>
      </c>
      <c r="DQ15" s="7">
        <f>IF(預測IC!DQ15&gt;預測IC!DQ$25,1,0)</f>
        <v>0</v>
      </c>
      <c r="DR15" s="7">
        <f>IF(預測IC!DR15&gt;預測IC!DR$25,1,0)</f>
        <v>0</v>
      </c>
      <c r="DS15" s="7">
        <f>IF(預測IC!DS15&gt;預測IC!DS$25,1,0)</f>
        <v>0</v>
      </c>
      <c r="DT15" s="7">
        <f>IF(預測IC!DT15&gt;預測IC!DT$25,1,0)</f>
        <v>0</v>
      </c>
      <c r="DU15" s="7">
        <f>IF(預測IC!DU15&gt;預測IC!DU$25,1,0)</f>
        <v>0</v>
      </c>
      <c r="DV15" s="7">
        <f>IF(預測IC!DV15&gt;預測IC!DV$25,1,0)</f>
        <v>0</v>
      </c>
      <c r="DW15" s="7">
        <f>IF(預測IC!DW15&gt;預測IC!DW$25,1,0)</f>
        <v>0</v>
      </c>
      <c r="DX15" s="7">
        <f>IF(預測IC!DX15&gt;預測IC!DX$25,1,0)</f>
        <v>0</v>
      </c>
      <c r="DY15" s="7">
        <f>IF(預測IC!DY15&gt;預測IC!DY$25,1,0)</f>
        <v>0</v>
      </c>
      <c r="DZ15" s="7">
        <f>IF(預測IC!DZ15&gt;預測IC!DZ$25,1,0)</f>
        <v>1</v>
      </c>
      <c r="EA15" s="7">
        <f>IF(預測IC!EA15&gt;預測IC!EA$25,1,0)</f>
        <v>1</v>
      </c>
      <c r="EB15" s="7">
        <f>IF(預測IC!EB15&gt;預測IC!EB$25,1,0)</f>
        <v>1</v>
      </c>
      <c r="EC15" s="7">
        <f>IF(預測IC!EC15&gt;預測IC!EC$25,1,0)</f>
        <v>0</v>
      </c>
      <c r="ED15" s="7">
        <f>IF(預測IC!ED15&gt;預測IC!ED$25,1,0)</f>
        <v>0</v>
      </c>
      <c r="EE15" s="7">
        <f>IF(預測IC!EE15&gt;預測IC!EE$25,1,0)</f>
        <v>0</v>
      </c>
      <c r="EF15" s="7">
        <f>IF(預測IC!EF15&gt;預測IC!EF$25,1,0)</f>
        <v>0</v>
      </c>
      <c r="EG15">
        <f t="shared" si="10"/>
        <v>67</v>
      </c>
      <c r="EH15" s="12">
        <f t="shared" si="11"/>
        <v>0.5</v>
      </c>
    </row>
    <row r="16" spans="1:138" x14ac:dyDescent="0.3">
      <c r="A16" s="1">
        <v>107</v>
      </c>
      <c r="B16" s="1">
        <v>9</v>
      </c>
      <c r="C16" s="7">
        <f>IF(預測IC!C16&gt;預測IC!C$25,1,0)</f>
        <v>0</v>
      </c>
      <c r="D16" s="7">
        <f>IF(預測IC!D16&gt;預測IC!D$25,1,0)</f>
        <v>1</v>
      </c>
      <c r="E16" s="7">
        <f>IF(預測IC!E16&gt;預測IC!E$25,1,0)</f>
        <v>0</v>
      </c>
      <c r="F16" s="7">
        <f>IF(預測IC!F16&gt;預測IC!F$25,1,0)</f>
        <v>1</v>
      </c>
      <c r="G16" s="7">
        <f>IF(預測IC!G16&gt;預測IC!G$25,1,0)</f>
        <v>0</v>
      </c>
      <c r="H16" s="7">
        <f>IF(預測IC!H16&gt;預測IC!H$25,1,0)</f>
        <v>0</v>
      </c>
      <c r="I16" s="7">
        <f>IF(預測IC!I16&gt;預測IC!I$25,1,0)</f>
        <v>0</v>
      </c>
      <c r="J16" s="7">
        <f>IF(預測IC!J16&gt;預測IC!J$25,1,0)</f>
        <v>1</v>
      </c>
      <c r="K16" s="7">
        <f>IF(預測IC!K16&gt;預測IC!K$25,1,0)</f>
        <v>1</v>
      </c>
      <c r="L16" s="7">
        <f>IF(預測IC!L16&gt;預測IC!L$25,1,0)</f>
        <v>0</v>
      </c>
      <c r="M16" s="7">
        <f>IF(預測IC!M16&gt;預測IC!M$25,1,0)</f>
        <v>0</v>
      </c>
      <c r="N16" s="7">
        <f>IF(預測IC!N16&gt;預測IC!N$25,1,0)</f>
        <v>1</v>
      </c>
      <c r="O16" s="7">
        <f>IF(預測IC!O16&gt;預測IC!O$25,1,0)</f>
        <v>1</v>
      </c>
      <c r="P16" s="7">
        <f>IF(預測IC!P16&gt;預測IC!P$25,1,0)</f>
        <v>0</v>
      </c>
      <c r="Q16" s="7">
        <f>IF(預測IC!Q16&gt;預測IC!Q$25,1,0)</f>
        <v>1</v>
      </c>
      <c r="R16" s="7">
        <f>IF(預測IC!R16&gt;預測IC!R$25,1,0)</f>
        <v>1</v>
      </c>
      <c r="S16" s="7">
        <f>IF(預測IC!S16&gt;預測IC!S$25,1,0)</f>
        <v>1</v>
      </c>
      <c r="T16" s="7">
        <f>IF(預測IC!T16&gt;預測IC!T$25,1,0)</f>
        <v>1</v>
      </c>
      <c r="U16" s="7">
        <f>IF(預測IC!U16&gt;預測IC!U$25,1,0)</f>
        <v>1</v>
      </c>
      <c r="V16" s="7">
        <f>IF(預測IC!V16&gt;預測IC!V$25,1,0)</f>
        <v>1</v>
      </c>
      <c r="W16" s="7">
        <f>IF(預測IC!W16&gt;預測IC!W$25,1,0)</f>
        <v>1</v>
      </c>
      <c r="X16" s="7">
        <f>IF(預測IC!X16&gt;預測IC!X$25,1,0)</f>
        <v>1</v>
      </c>
      <c r="Y16" s="7">
        <f>IF(預測IC!Y16&gt;預測IC!Y$25,1,0)</f>
        <v>1</v>
      </c>
      <c r="Z16" s="7">
        <f>IF(預測IC!Z16&gt;預測IC!Z$25,1,0)</f>
        <v>1</v>
      </c>
      <c r="AA16" s="7">
        <f>IF(預測IC!AA16&gt;預測IC!AA$25,1,0)</f>
        <v>0</v>
      </c>
      <c r="AB16" s="7">
        <f>IF(預測IC!AB16&gt;預測IC!AB$25,1,0)</f>
        <v>0</v>
      </c>
      <c r="AC16" s="7">
        <f>IF(預測IC!AC16&gt;預測IC!AC$25,1,0)</f>
        <v>0</v>
      </c>
      <c r="AD16" s="7">
        <f>IF(預測IC!AD16&gt;預測IC!AD$25,1,0)</f>
        <v>0</v>
      </c>
      <c r="AE16" s="7">
        <f>IF(預測IC!AE16&gt;預測IC!AE$25,1,0)</f>
        <v>1</v>
      </c>
      <c r="AF16" s="7">
        <f>IF(預測IC!AF16&gt;預測IC!AF$25,1,0)</f>
        <v>0</v>
      </c>
      <c r="AG16" s="7">
        <f>IF(預測IC!AG16&gt;預測IC!AG$25,1,0)</f>
        <v>0</v>
      </c>
      <c r="AH16" s="7">
        <f>IF(預測IC!AH16&gt;預測IC!AH$25,1,0)</f>
        <v>1</v>
      </c>
      <c r="AI16" s="7">
        <f>IF(預測IC!AI16&gt;預測IC!AI$25,1,0)</f>
        <v>0</v>
      </c>
      <c r="AJ16" s="7">
        <f>IF(預測IC!AJ16&gt;預測IC!AJ$25,1,0)</f>
        <v>0</v>
      </c>
      <c r="AK16" s="7">
        <f>IF(預測IC!AK16&gt;預測IC!AK$25,1,0)</f>
        <v>0</v>
      </c>
      <c r="AL16" s="7">
        <f>IF(預測IC!AL16&gt;預測IC!AL$25,1,0)</f>
        <v>1</v>
      </c>
      <c r="AM16" s="7">
        <f>IF(預測IC!AM16&gt;預測IC!AM$25,1,0)</f>
        <v>1</v>
      </c>
      <c r="AN16" s="7">
        <f>IF(預測IC!AN16&gt;預測IC!AN$25,1,0)</f>
        <v>1</v>
      </c>
      <c r="AO16" s="7">
        <f>IF(預測IC!AO16&gt;預測IC!AO$25,1,0)</f>
        <v>0</v>
      </c>
      <c r="AP16" s="7">
        <f>IF(預測IC!AP16&gt;預測IC!AP$25,1,0)</f>
        <v>0</v>
      </c>
      <c r="AQ16" s="7">
        <f>IF(預測IC!AQ16&gt;預測IC!AQ$25,1,0)</f>
        <v>1</v>
      </c>
      <c r="AR16" s="7">
        <f>IF(預測IC!AR16&gt;預測IC!AR$25,1,0)</f>
        <v>0</v>
      </c>
      <c r="AS16" s="7">
        <f>IF(預測IC!AS16&gt;預測IC!AS$25,1,0)</f>
        <v>1</v>
      </c>
      <c r="AT16" s="7">
        <f>IF(預測IC!AT16&gt;預測IC!AT$25,1,0)</f>
        <v>1</v>
      </c>
      <c r="AU16" s="7">
        <f>IF(預測IC!AU16&gt;預測IC!AU$25,1,0)</f>
        <v>1</v>
      </c>
      <c r="AV16" s="7">
        <f>IF(預測IC!AV16&gt;預測IC!AV$25,1,0)</f>
        <v>0</v>
      </c>
      <c r="AW16" s="7">
        <f>IF(預測IC!AW16&gt;預測IC!AW$25,1,0)</f>
        <v>0</v>
      </c>
      <c r="AX16" s="7">
        <f>IF(預測IC!AX16&gt;預測IC!AX$25,1,0)</f>
        <v>0</v>
      </c>
      <c r="AY16" s="7">
        <f>IF(預測IC!AY16&gt;預測IC!AY$25,1,0)</f>
        <v>0</v>
      </c>
      <c r="AZ16" s="7">
        <f>IF(預測IC!AZ16&gt;預測IC!AZ$25,1,0)</f>
        <v>0</v>
      </c>
      <c r="BA16" s="7">
        <f>IF(預測IC!BA16&gt;預測IC!BA$25,1,0)</f>
        <v>1</v>
      </c>
      <c r="BB16" s="7">
        <f>IF(預測IC!BB16&gt;預測IC!BB$25,1,0)</f>
        <v>1</v>
      </c>
      <c r="BC16" s="7">
        <f>IF(預測IC!BC16&gt;預測IC!BC$25,1,0)</f>
        <v>1</v>
      </c>
      <c r="BD16" s="7">
        <f>IF(預測IC!BD16&gt;預測IC!BD$25,1,0)</f>
        <v>1</v>
      </c>
      <c r="BE16" s="7">
        <f>IF(預測IC!BE16&gt;預測IC!BE$25,1,0)</f>
        <v>0</v>
      </c>
      <c r="BF16" s="7">
        <f>IF(預測IC!BF16&gt;預測IC!BF$25,1,0)</f>
        <v>1</v>
      </c>
      <c r="BG16" s="7">
        <f>IF(預測IC!BG16&gt;預測IC!BG$25,1,0)</f>
        <v>1</v>
      </c>
      <c r="BH16" s="7">
        <f>IF(預測IC!BH16&gt;預測IC!BH$25,1,0)</f>
        <v>1</v>
      </c>
      <c r="BI16" s="7">
        <f>IF(預測IC!BI16&gt;預測IC!BI$25,1,0)</f>
        <v>1</v>
      </c>
      <c r="BJ16" s="7">
        <f>IF(預測IC!BJ16&gt;預測IC!BJ$25,1,0)</f>
        <v>1</v>
      </c>
      <c r="BK16" s="7">
        <f>IF(預測IC!BK16&gt;預測IC!BK$25,1,0)</f>
        <v>1</v>
      </c>
      <c r="BL16" s="7">
        <f>IF(預測IC!BL16&gt;預測IC!BL$25,1,0)</f>
        <v>1</v>
      </c>
      <c r="BM16" s="7">
        <f>IF(預測IC!BM16&gt;預測IC!BM$25,1,0)</f>
        <v>1</v>
      </c>
      <c r="BN16" s="7">
        <f>IF(預測IC!BN16&gt;預測IC!BN$25,1,0)</f>
        <v>1</v>
      </c>
      <c r="BO16" s="7">
        <f>IF(預測IC!BO16&gt;預測IC!BO$25,1,0)</f>
        <v>1</v>
      </c>
      <c r="BP16" s="7">
        <f>IF(預測IC!BP16&gt;預測IC!BP$25,1,0)</f>
        <v>0</v>
      </c>
      <c r="BQ16" s="7">
        <f>IF(預測IC!BQ16&gt;預測IC!BQ$25,1,0)</f>
        <v>0</v>
      </c>
      <c r="BR16" s="7">
        <f>IF(預測IC!BR16&gt;預測IC!BR$25,1,0)</f>
        <v>0</v>
      </c>
      <c r="BS16" s="7">
        <f>IF(預測IC!BS16&gt;預測IC!BS$25,1,0)</f>
        <v>0</v>
      </c>
      <c r="BT16" s="7">
        <f>IF(預測IC!BT16&gt;預測IC!BT$25,1,0)</f>
        <v>0</v>
      </c>
      <c r="BU16" s="7">
        <f>IF(預測IC!BU16&gt;預測IC!BU$25,1,0)</f>
        <v>1</v>
      </c>
      <c r="BV16" s="7">
        <f>IF(預測IC!BV16&gt;預測IC!BV$25,1,0)</f>
        <v>0</v>
      </c>
      <c r="BW16" s="7">
        <f>IF(預測IC!BW16&gt;預測IC!BW$25,1,0)</f>
        <v>1</v>
      </c>
      <c r="BX16" s="7">
        <f>IF(預測IC!BX16&gt;預測IC!BX$25,1,0)</f>
        <v>0</v>
      </c>
      <c r="BY16" s="7">
        <f>IF(預測IC!BY16&gt;預測IC!BY$25,1,0)</f>
        <v>1</v>
      </c>
      <c r="BZ16" s="7">
        <f>IF(預測IC!BZ16&gt;預測IC!BZ$25,1,0)</f>
        <v>0</v>
      </c>
      <c r="CA16" s="7">
        <f>IF(預測IC!CA16&gt;預測IC!CA$25,1,0)</f>
        <v>0</v>
      </c>
      <c r="CB16" s="7">
        <f>IF(預測IC!CB16&gt;預測IC!CB$25,1,0)</f>
        <v>0</v>
      </c>
      <c r="CC16" s="7">
        <f>IF(預測IC!CC16&gt;預測IC!CC$25,1,0)</f>
        <v>0</v>
      </c>
      <c r="CD16" s="7">
        <f>IF(預測IC!CD16&gt;預測IC!CD$25,1,0)</f>
        <v>0</v>
      </c>
      <c r="CE16" s="7">
        <f>IF(預測IC!CE16&gt;預測IC!CE$25,1,0)</f>
        <v>0</v>
      </c>
      <c r="CF16" s="7">
        <f>IF(預測IC!CF16&gt;預測IC!CF$25,1,0)</f>
        <v>1</v>
      </c>
      <c r="CG16" s="7">
        <f>IF(預測IC!CG16&gt;預測IC!CG$25,1,0)</f>
        <v>0</v>
      </c>
      <c r="CH16" s="7">
        <f>IF(預測IC!CH16&gt;預測IC!CH$25,1,0)</f>
        <v>0</v>
      </c>
      <c r="CI16" s="7">
        <f>IF(預測IC!CI16&gt;預測IC!CI$25,1,0)</f>
        <v>0</v>
      </c>
      <c r="CJ16" s="7">
        <f>IF(預測IC!CJ16&gt;預測IC!CJ$25,1,0)</f>
        <v>0</v>
      </c>
      <c r="CK16" s="7">
        <f>IF(預測IC!CK16&gt;預測IC!CK$25,1,0)</f>
        <v>1</v>
      </c>
      <c r="CL16" s="7">
        <f>IF(預測IC!CL16&gt;預測IC!CL$25,1,0)</f>
        <v>0</v>
      </c>
      <c r="CM16" s="7">
        <f>IF(預測IC!CM16&gt;預測IC!CM$25,1,0)</f>
        <v>1</v>
      </c>
      <c r="CN16" s="7">
        <f>IF(預測IC!CN16&gt;預測IC!CN$25,1,0)</f>
        <v>0</v>
      </c>
      <c r="CO16" s="7">
        <f>IF(預測IC!CO16&gt;預測IC!CO$25,1,0)</f>
        <v>0</v>
      </c>
      <c r="CP16" s="7">
        <f>IF(預測IC!CP16&gt;預測IC!CP$25,1,0)</f>
        <v>0</v>
      </c>
      <c r="CQ16" s="7">
        <f>IF(預測IC!CQ16&gt;預測IC!CQ$25,1,0)</f>
        <v>1</v>
      </c>
      <c r="CR16" s="7">
        <f>IF(預測IC!CR16&gt;預測IC!CR$25,1,0)</f>
        <v>0</v>
      </c>
      <c r="CS16" s="7">
        <f>IF(預測IC!CS16&gt;預測IC!CS$25,1,0)</f>
        <v>0</v>
      </c>
      <c r="CT16" s="7">
        <f>IF(預測IC!CT16&gt;預測IC!CT$25,1,0)</f>
        <v>0</v>
      </c>
      <c r="CU16" s="7">
        <f>IF(預測IC!CU16&gt;預測IC!CU$25,1,0)</f>
        <v>1</v>
      </c>
      <c r="CV16" s="7">
        <f>IF(預測IC!CV16&gt;預測IC!CV$25,1,0)</f>
        <v>0</v>
      </c>
      <c r="CW16" s="7">
        <f>IF(預測IC!CW16&gt;預測IC!CW$25,1,0)</f>
        <v>1</v>
      </c>
      <c r="CX16" s="7">
        <f>IF(預測IC!CX16&gt;預測IC!CX$25,1,0)</f>
        <v>0</v>
      </c>
      <c r="CY16" s="7">
        <f>IF(預測IC!CY16&gt;預測IC!CY$25,1,0)</f>
        <v>0</v>
      </c>
      <c r="CZ16" s="7">
        <f>IF(預測IC!CZ16&gt;預測IC!CZ$25,1,0)</f>
        <v>1</v>
      </c>
      <c r="DA16" s="7">
        <f>IF(預測IC!DA16&gt;預測IC!DA$25,1,0)</f>
        <v>0</v>
      </c>
      <c r="DB16" s="7">
        <f>IF(預測IC!DB16&gt;預測IC!DB$25,1,0)</f>
        <v>1</v>
      </c>
      <c r="DC16" s="7">
        <f>IF(預測IC!DC16&gt;預測IC!DC$25,1,0)</f>
        <v>1</v>
      </c>
      <c r="DD16" s="7">
        <f>IF(預測IC!DD16&gt;預測IC!DD$25,1,0)</f>
        <v>1</v>
      </c>
      <c r="DE16" s="7">
        <f>IF(預測IC!DE16&gt;預測IC!DE$25,1,0)</f>
        <v>0</v>
      </c>
      <c r="DF16" s="7">
        <f>IF(預測IC!DF16&gt;預測IC!DF$25,1,0)</f>
        <v>1</v>
      </c>
      <c r="DG16" s="7">
        <f>IF(預測IC!DG16&gt;預測IC!DG$25,1,0)</f>
        <v>1</v>
      </c>
      <c r="DH16" s="7">
        <f>IF(預測IC!DH16&gt;預測IC!DH$25,1,0)</f>
        <v>0</v>
      </c>
      <c r="DI16" s="7">
        <f>IF(預測IC!DI16&gt;預測IC!DI$25,1,0)</f>
        <v>1</v>
      </c>
      <c r="DJ16" s="7">
        <f>IF(預測IC!DJ16&gt;預測IC!DJ$25,1,0)</f>
        <v>0</v>
      </c>
      <c r="DK16" s="7">
        <f>IF(預測IC!DK16&gt;預測IC!DK$25,1,0)</f>
        <v>0</v>
      </c>
      <c r="DL16" s="7">
        <f>IF(預測IC!DL16&gt;預測IC!DL$25,1,0)</f>
        <v>1</v>
      </c>
      <c r="DM16" s="7">
        <f>IF(預測IC!DM16&gt;預測IC!DM$25,1,0)</f>
        <v>1</v>
      </c>
      <c r="DN16" s="7">
        <f>IF(預測IC!DN16&gt;預測IC!DN$25,1,0)</f>
        <v>1</v>
      </c>
      <c r="DO16" s="7">
        <f>IF(預測IC!DO16&gt;預測IC!DO$25,1,0)</f>
        <v>1</v>
      </c>
      <c r="DP16" s="7">
        <f>IF(預測IC!DP16&gt;預測IC!DP$25,1,0)</f>
        <v>1</v>
      </c>
      <c r="DQ16" s="7">
        <f>IF(預測IC!DQ16&gt;預測IC!DQ$25,1,0)</f>
        <v>0</v>
      </c>
      <c r="DR16" s="7">
        <f>IF(預測IC!DR16&gt;預測IC!DR$25,1,0)</f>
        <v>0</v>
      </c>
      <c r="DS16" s="7">
        <f>IF(預測IC!DS16&gt;預測IC!DS$25,1,0)</f>
        <v>1</v>
      </c>
      <c r="DT16" s="7">
        <f>IF(預測IC!DT16&gt;預測IC!DT$25,1,0)</f>
        <v>1</v>
      </c>
      <c r="DU16" s="7">
        <f>IF(預測IC!DU16&gt;預測IC!DU$25,1,0)</f>
        <v>0</v>
      </c>
      <c r="DV16" s="7">
        <f>IF(預測IC!DV16&gt;預測IC!DV$25,1,0)</f>
        <v>0</v>
      </c>
      <c r="DW16" s="7">
        <f>IF(預測IC!DW16&gt;預測IC!DW$25,1,0)</f>
        <v>1</v>
      </c>
      <c r="DX16" s="7">
        <f>IF(預測IC!DX16&gt;預測IC!DX$25,1,0)</f>
        <v>0</v>
      </c>
      <c r="DY16" s="7">
        <f>IF(預測IC!DY16&gt;預測IC!DY$25,1,0)</f>
        <v>0</v>
      </c>
      <c r="DZ16" s="7">
        <f>IF(預測IC!DZ16&gt;預測IC!DZ$25,1,0)</f>
        <v>1</v>
      </c>
      <c r="EA16" s="7">
        <f>IF(預測IC!EA16&gt;預測IC!EA$25,1,0)</f>
        <v>1</v>
      </c>
      <c r="EB16" s="7">
        <f>IF(預測IC!EB16&gt;預測IC!EB$25,1,0)</f>
        <v>1</v>
      </c>
      <c r="EC16" s="7">
        <f>IF(預測IC!EC16&gt;預測IC!EC$25,1,0)</f>
        <v>0</v>
      </c>
      <c r="ED16" s="7">
        <f>IF(預測IC!ED16&gt;預測IC!ED$25,1,0)</f>
        <v>0</v>
      </c>
      <c r="EE16" s="7">
        <f>IF(預測IC!EE16&gt;預測IC!EE$25,1,0)</f>
        <v>0</v>
      </c>
      <c r="EF16" s="7">
        <f>IF(預測IC!EF16&gt;預測IC!EF$25,1,0)</f>
        <v>0</v>
      </c>
      <c r="EG16">
        <f t="shared" si="10"/>
        <v>66</v>
      </c>
      <c r="EH16" s="14">
        <f t="shared" si="11"/>
        <v>0.4925373134328358</v>
      </c>
    </row>
    <row r="17" spans="1:138" x14ac:dyDescent="0.3">
      <c r="A17" s="1">
        <v>120</v>
      </c>
      <c r="B17" s="1">
        <v>8</v>
      </c>
      <c r="C17" s="7">
        <f>IF(預測IC!C17&gt;預測IC!C$25,1,0)</f>
        <v>0</v>
      </c>
      <c r="D17" s="7">
        <f>IF(預測IC!D17&gt;預測IC!D$25,1,0)</f>
        <v>1</v>
      </c>
      <c r="E17" s="7">
        <f>IF(預測IC!E17&gt;預測IC!E$25,1,0)</f>
        <v>0</v>
      </c>
      <c r="F17" s="7">
        <f>IF(預測IC!F17&gt;預測IC!F$25,1,0)</f>
        <v>1</v>
      </c>
      <c r="G17" s="7">
        <f>IF(預測IC!G17&gt;預測IC!G$25,1,0)</f>
        <v>0</v>
      </c>
      <c r="H17" s="7">
        <f>IF(預測IC!H17&gt;預測IC!H$25,1,0)</f>
        <v>0</v>
      </c>
      <c r="I17" s="7">
        <f>IF(預測IC!I17&gt;預測IC!I$25,1,0)</f>
        <v>0</v>
      </c>
      <c r="J17" s="7">
        <f>IF(預測IC!J17&gt;預測IC!J$25,1,0)</f>
        <v>1</v>
      </c>
      <c r="K17" s="7">
        <f>IF(預測IC!K17&gt;預測IC!K$25,1,0)</f>
        <v>1</v>
      </c>
      <c r="L17" s="7">
        <f>IF(預測IC!L17&gt;預測IC!L$25,1,0)</f>
        <v>0</v>
      </c>
      <c r="M17" s="7">
        <f>IF(預測IC!M17&gt;預測IC!M$25,1,0)</f>
        <v>0</v>
      </c>
      <c r="N17" s="7">
        <f>IF(預測IC!N17&gt;預測IC!N$25,1,0)</f>
        <v>1</v>
      </c>
      <c r="O17" s="7">
        <f>IF(預測IC!O17&gt;預測IC!O$25,1,0)</f>
        <v>1</v>
      </c>
      <c r="P17" s="7">
        <f>IF(預測IC!P17&gt;預測IC!P$25,1,0)</f>
        <v>0</v>
      </c>
      <c r="Q17" s="7">
        <f>IF(預測IC!Q17&gt;預測IC!Q$25,1,0)</f>
        <v>1</v>
      </c>
      <c r="R17" s="7">
        <f>IF(預測IC!R17&gt;預測IC!R$25,1,0)</f>
        <v>1</v>
      </c>
      <c r="S17" s="7">
        <f>IF(預測IC!S17&gt;預測IC!S$25,1,0)</f>
        <v>1</v>
      </c>
      <c r="T17" s="7">
        <f>IF(預測IC!T17&gt;預測IC!T$25,1,0)</f>
        <v>1</v>
      </c>
      <c r="U17" s="7">
        <f>IF(預測IC!U17&gt;預測IC!U$25,1,0)</f>
        <v>1</v>
      </c>
      <c r="V17" s="7">
        <f>IF(預測IC!V17&gt;預測IC!V$25,1,0)</f>
        <v>1</v>
      </c>
      <c r="W17" s="7">
        <f>IF(預測IC!W17&gt;預測IC!W$25,1,0)</f>
        <v>1</v>
      </c>
      <c r="X17" s="7">
        <f>IF(預測IC!X17&gt;預測IC!X$25,1,0)</f>
        <v>1</v>
      </c>
      <c r="Y17" s="7">
        <f>IF(預測IC!Y17&gt;預測IC!Y$25,1,0)</f>
        <v>1</v>
      </c>
      <c r="Z17" s="7">
        <f>IF(預測IC!Z17&gt;預測IC!Z$25,1,0)</f>
        <v>1</v>
      </c>
      <c r="AA17" s="7">
        <f>IF(預測IC!AA17&gt;預測IC!AA$25,1,0)</f>
        <v>0</v>
      </c>
      <c r="AB17" s="7">
        <f>IF(預測IC!AB17&gt;預測IC!AB$25,1,0)</f>
        <v>0</v>
      </c>
      <c r="AC17" s="7">
        <f>IF(預測IC!AC17&gt;預測IC!AC$25,1,0)</f>
        <v>0</v>
      </c>
      <c r="AD17" s="7">
        <f>IF(預測IC!AD17&gt;預測IC!AD$25,1,0)</f>
        <v>0</v>
      </c>
      <c r="AE17" s="7">
        <f>IF(預測IC!AE17&gt;預測IC!AE$25,1,0)</f>
        <v>1</v>
      </c>
      <c r="AF17" s="7">
        <f>IF(預測IC!AF17&gt;預測IC!AF$25,1,0)</f>
        <v>0</v>
      </c>
      <c r="AG17" s="7">
        <f>IF(預測IC!AG17&gt;預測IC!AG$25,1,0)</f>
        <v>0</v>
      </c>
      <c r="AH17" s="7">
        <f>IF(預測IC!AH17&gt;預測IC!AH$25,1,0)</f>
        <v>1</v>
      </c>
      <c r="AI17" s="7">
        <f>IF(預測IC!AI17&gt;預測IC!AI$25,1,0)</f>
        <v>0</v>
      </c>
      <c r="AJ17" s="7">
        <f>IF(預測IC!AJ17&gt;預測IC!AJ$25,1,0)</f>
        <v>0</v>
      </c>
      <c r="AK17" s="7">
        <f>IF(預測IC!AK17&gt;預測IC!AK$25,1,0)</f>
        <v>0</v>
      </c>
      <c r="AL17" s="7">
        <f>IF(預測IC!AL17&gt;預測IC!AL$25,1,0)</f>
        <v>1</v>
      </c>
      <c r="AM17" s="7">
        <f>IF(預測IC!AM17&gt;預測IC!AM$25,1,0)</f>
        <v>1</v>
      </c>
      <c r="AN17" s="7">
        <f>IF(預測IC!AN17&gt;預測IC!AN$25,1,0)</f>
        <v>1</v>
      </c>
      <c r="AO17" s="7">
        <f>IF(預測IC!AO17&gt;預測IC!AO$25,1,0)</f>
        <v>0</v>
      </c>
      <c r="AP17" s="7">
        <f>IF(預測IC!AP17&gt;預測IC!AP$25,1,0)</f>
        <v>0</v>
      </c>
      <c r="AQ17" s="7">
        <f>IF(預測IC!AQ17&gt;預測IC!AQ$25,1,0)</f>
        <v>1</v>
      </c>
      <c r="AR17" s="7">
        <f>IF(預測IC!AR17&gt;預測IC!AR$25,1,0)</f>
        <v>0</v>
      </c>
      <c r="AS17" s="7">
        <f>IF(預測IC!AS17&gt;預測IC!AS$25,1,0)</f>
        <v>1</v>
      </c>
      <c r="AT17" s="7">
        <f>IF(預測IC!AT17&gt;預測IC!AT$25,1,0)</f>
        <v>1</v>
      </c>
      <c r="AU17" s="7">
        <f>IF(預測IC!AU17&gt;預測IC!AU$25,1,0)</f>
        <v>1</v>
      </c>
      <c r="AV17" s="7">
        <f>IF(預測IC!AV17&gt;預測IC!AV$25,1,0)</f>
        <v>0</v>
      </c>
      <c r="AW17" s="7">
        <f>IF(預測IC!AW17&gt;預測IC!AW$25,1,0)</f>
        <v>1</v>
      </c>
      <c r="AX17" s="7">
        <f>IF(預測IC!AX17&gt;預測IC!AX$25,1,0)</f>
        <v>0</v>
      </c>
      <c r="AY17" s="7">
        <f>IF(預測IC!AY17&gt;預測IC!AY$25,1,0)</f>
        <v>0</v>
      </c>
      <c r="AZ17" s="7">
        <f>IF(預測IC!AZ17&gt;預測IC!AZ$25,1,0)</f>
        <v>0</v>
      </c>
      <c r="BA17" s="7">
        <f>IF(預測IC!BA17&gt;預測IC!BA$25,1,0)</f>
        <v>1</v>
      </c>
      <c r="BB17" s="7">
        <f>IF(預測IC!BB17&gt;預測IC!BB$25,1,0)</f>
        <v>1</v>
      </c>
      <c r="BC17" s="7">
        <f>IF(預測IC!BC17&gt;預測IC!BC$25,1,0)</f>
        <v>1</v>
      </c>
      <c r="BD17" s="7">
        <f>IF(預測IC!BD17&gt;預測IC!BD$25,1,0)</f>
        <v>1</v>
      </c>
      <c r="BE17" s="7">
        <f>IF(預測IC!BE17&gt;預測IC!BE$25,1,0)</f>
        <v>0</v>
      </c>
      <c r="BF17" s="7">
        <f>IF(預測IC!BF17&gt;預測IC!BF$25,1,0)</f>
        <v>1</v>
      </c>
      <c r="BG17" s="7">
        <f>IF(預測IC!BG17&gt;預測IC!BG$25,1,0)</f>
        <v>0</v>
      </c>
      <c r="BH17" s="7">
        <f>IF(預測IC!BH17&gt;預測IC!BH$25,1,0)</f>
        <v>1</v>
      </c>
      <c r="BI17" s="7">
        <f>IF(預測IC!BI17&gt;預測IC!BI$25,1,0)</f>
        <v>1</v>
      </c>
      <c r="BJ17" s="7">
        <f>IF(預測IC!BJ17&gt;預測IC!BJ$25,1,0)</f>
        <v>1</v>
      </c>
      <c r="BK17" s="7">
        <f>IF(預測IC!BK17&gt;預測IC!BK$25,1,0)</f>
        <v>0</v>
      </c>
      <c r="BL17" s="7">
        <f>IF(預測IC!BL17&gt;預測IC!BL$25,1,0)</f>
        <v>0</v>
      </c>
      <c r="BM17" s="7">
        <f>IF(預測IC!BM17&gt;預測IC!BM$25,1,0)</f>
        <v>1</v>
      </c>
      <c r="BN17" s="7">
        <f>IF(預測IC!BN17&gt;預測IC!BN$25,1,0)</f>
        <v>1</v>
      </c>
      <c r="BO17" s="7">
        <f>IF(預測IC!BO17&gt;預測IC!BO$25,1,0)</f>
        <v>1</v>
      </c>
      <c r="BP17" s="7">
        <f>IF(預測IC!BP17&gt;預測IC!BP$25,1,0)</f>
        <v>0</v>
      </c>
      <c r="BQ17" s="7">
        <f>IF(預測IC!BQ17&gt;預測IC!BQ$25,1,0)</f>
        <v>0</v>
      </c>
      <c r="BR17" s="7">
        <f>IF(預測IC!BR17&gt;預測IC!BR$25,1,0)</f>
        <v>1</v>
      </c>
      <c r="BS17" s="7">
        <f>IF(預測IC!BS17&gt;預測IC!BS$25,1,0)</f>
        <v>0</v>
      </c>
      <c r="BT17" s="7">
        <f>IF(預測IC!BT17&gt;預測IC!BT$25,1,0)</f>
        <v>0</v>
      </c>
      <c r="BU17" s="7">
        <f>IF(預測IC!BU17&gt;預測IC!BU$25,1,0)</f>
        <v>1</v>
      </c>
      <c r="BV17" s="7">
        <f>IF(預測IC!BV17&gt;預測IC!BV$25,1,0)</f>
        <v>0</v>
      </c>
      <c r="BW17" s="7">
        <f>IF(預測IC!BW17&gt;預測IC!BW$25,1,0)</f>
        <v>1</v>
      </c>
      <c r="BX17" s="7">
        <f>IF(預測IC!BX17&gt;預測IC!BX$25,1,0)</f>
        <v>0</v>
      </c>
      <c r="BY17" s="7">
        <f>IF(預測IC!BY17&gt;預測IC!BY$25,1,0)</f>
        <v>1</v>
      </c>
      <c r="BZ17" s="7">
        <f>IF(預測IC!BZ17&gt;預測IC!BZ$25,1,0)</f>
        <v>0</v>
      </c>
      <c r="CA17" s="7">
        <f>IF(預測IC!CA17&gt;預測IC!CA$25,1,0)</f>
        <v>0</v>
      </c>
      <c r="CB17" s="7">
        <f>IF(預測IC!CB17&gt;預測IC!CB$25,1,0)</f>
        <v>0</v>
      </c>
      <c r="CC17" s="7">
        <f>IF(預測IC!CC17&gt;預測IC!CC$25,1,0)</f>
        <v>0</v>
      </c>
      <c r="CD17" s="7">
        <f>IF(預測IC!CD17&gt;預測IC!CD$25,1,0)</f>
        <v>0</v>
      </c>
      <c r="CE17" s="7">
        <f>IF(預測IC!CE17&gt;預測IC!CE$25,1,0)</f>
        <v>0</v>
      </c>
      <c r="CF17" s="7">
        <f>IF(預測IC!CF17&gt;預測IC!CF$25,1,0)</f>
        <v>1</v>
      </c>
      <c r="CG17" s="7">
        <f>IF(預測IC!CG17&gt;預測IC!CG$25,1,0)</f>
        <v>0</v>
      </c>
      <c r="CH17" s="7">
        <f>IF(預測IC!CH17&gt;預測IC!CH$25,1,0)</f>
        <v>0</v>
      </c>
      <c r="CI17" s="7">
        <f>IF(預測IC!CI17&gt;預測IC!CI$25,1,0)</f>
        <v>0</v>
      </c>
      <c r="CJ17" s="7">
        <f>IF(預測IC!CJ17&gt;預測IC!CJ$25,1,0)</f>
        <v>0</v>
      </c>
      <c r="CK17" s="7">
        <f>IF(預測IC!CK17&gt;預測IC!CK$25,1,0)</f>
        <v>1</v>
      </c>
      <c r="CL17" s="7">
        <f>IF(預測IC!CL17&gt;預測IC!CL$25,1,0)</f>
        <v>0</v>
      </c>
      <c r="CM17" s="7">
        <f>IF(預測IC!CM17&gt;預測IC!CM$25,1,0)</f>
        <v>1</v>
      </c>
      <c r="CN17" s="7">
        <f>IF(預測IC!CN17&gt;預測IC!CN$25,1,0)</f>
        <v>0</v>
      </c>
      <c r="CO17" s="7">
        <f>IF(預測IC!CO17&gt;預測IC!CO$25,1,0)</f>
        <v>0</v>
      </c>
      <c r="CP17" s="7">
        <f>IF(預測IC!CP17&gt;預測IC!CP$25,1,0)</f>
        <v>0</v>
      </c>
      <c r="CQ17" s="7">
        <f>IF(預測IC!CQ17&gt;預測IC!CQ$25,1,0)</f>
        <v>1</v>
      </c>
      <c r="CR17" s="7">
        <f>IF(預測IC!CR17&gt;預測IC!CR$25,1,0)</f>
        <v>0</v>
      </c>
      <c r="CS17" s="7">
        <f>IF(預測IC!CS17&gt;預測IC!CS$25,1,0)</f>
        <v>0</v>
      </c>
      <c r="CT17" s="7">
        <f>IF(預測IC!CT17&gt;預測IC!CT$25,1,0)</f>
        <v>0</v>
      </c>
      <c r="CU17" s="7">
        <f>IF(預測IC!CU17&gt;預測IC!CU$25,1,0)</f>
        <v>1</v>
      </c>
      <c r="CV17" s="7">
        <f>IF(預測IC!CV17&gt;預測IC!CV$25,1,0)</f>
        <v>0</v>
      </c>
      <c r="CW17" s="7">
        <f>IF(預測IC!CW17&gt;預測IC!CW$25,1,0)</f>
        <v>1</v>
      </c>
      <c r="CX17" s="7">
        <f>IF(預測IC!CX17&gt;預測IC!CX$25,1,0)</f>
        <v>0</v>
      </c>
      <c r="CY17" s="7">
        <f>IF(預測IC!CY17&gt;預測IC!CY$25,1,0)</f>
        <v>0</v>
      </c>
      <c r="CZ17" s="7">
        <f>IF(預測IC!CZ17&gt;預測IC!CZ$25,1,0)</f>
        <v>1</v>
      </c>
      <c r="DA17" s="7">
        <f>IF(預測IC!DA17&gt;預測IC!DA$25,1,0)</f>
        <v>0</v>
      </c>
      <c r="DB17" s="7">
        <f>IF(預測IC!DB17&gt;預測IC!DB$25,1,0)</f>
        <v>1</v>
      </c>
      <c r="DC17" s="7">
        <f>IF(預測IC!DC17&gt;預測IC!DC$25,1,0)</f>
        <v>1</v>
      </c>
      <c r="DD17" s="7">
        <f>IF(預測IC!DD17&gt;預測IC!DD$25,1,0)</f>
        <v>1</v>
      </c>
      <c r="DE17" s="7">
        <f>IF(預測IC!DE17&gt;預測IC!DE$25,1,0)</f>
        <v>0</v>
      </c>
      <c r="DF17" s="7">
        <f>IF(預測IC!DF17&gt;預測IC!DF$25,1,0)</f>
        <v>1</v>
      </c>
      <c r="DG17" s="7">
        <f>IF(預測IC!DG17&gt;預測IC!DG$25,1,0)</f>
        <v>1</v>
      </c>
      <c r="DH17" s="7">
        <f>IF(預測IC!DH17&gt;預測IC!DH$25,1,0)</f>
        <v>0</v>
      </c>
      <c r="DI17" s="7">
        <f>IF(預測IC!DI17&gt;預測IC!DI$25,1,0)</f>
        <v>1</v>
      </c>
      <c r="DJ17" s="7">
        <f>IF(預測IC!DJ17&gt;預測IC!DJ$25,1,0)</f>
        <v>0</v>
      </c>
      <c r="DK17" s="7">
        <f>IF(預測IC!DK17&gt;預測IC!DK$25,1,0)</f>
        <v>0</v>
      </c>
      <c r="DL17" s="7">
        <f>IF(預測IC!DL17&gt;預測IC!DL$25,1,0)</f>
        <v>0</v>
      </c>
      <c r="DM17" s="7">
        <f>IF(預測IC!DM17&gt;預測IC!DM$25,1,0)</f>
        <v>1</v>
      </c>
      <c r="DN17" s="7">
        <f>IF(預測IC!DN17&gt;預測IC!DN$25,1,0)</f>
        <v>1</v>
      </c>
      <c r="DO17" s="7">
        <f>IF(預測IC!DO17&gt;預測IC!DO$25,1,0)</f>
        <v>1</v>
      </c>
      <c r="DP17" s="7">
        <f>IF(預測IC!DP17&gt;預測IC!DP$25,1,0)</f>
        <v>1</v>
      </c>
      <c r="DQ17" s="7">
        <f>IF(預測IC!DQ17&gt;預測IC!DQ$25,1,0)</f>
        <v>0</v>
      </c>
      <c r="DR17" s="7">
        <f>IF(預測IC!DR17&gt;預測IC!DR$25,1,0)</f>
        <v>0</v>
      </c>
      <c r="DS17" s="7">
        <f>IF(預測IC!DS17&gt;預測IC!DS$25,1,0)</f>
        <v>1</v>
      </c>
      <c r="DT17" s="7">
        <f>IF(預測IC!DT17&gt;預測IC!DT$25,1,0)</f>
        <v>1</v>
      </c>
      <c r="DU17" s="7">
        <f>IF(預測IC!DU17&gt;預測IC!DU$25,1,0)</f>
        <v>0</v>
      </c>
      <c r="DV17" s="7">
        <f>IF(預測IC!DV17&gt;預測IC!DV$25,1,0)</f>
        <v>0</v>
      </c>
      <c r="DW17" s="7">
        <f>IF(預測IC!DW17&gt;預測IC!DW$25,1,0)</f>
        <v>1</v>
      </c>
      <c r="DX17" s="7">
        <f>IF(預測IC!DX17&gt;預測IC!DX$25,1,0)</f>
        <v>0</v>
      </c>
      <c r="DY17" s="7">
        <f>IF(預測IC!DY17&gt;預測IC!DY$25,1,0)</f>
        <v>0</v>
      </c>
      <c r="DZ17" s="7">
        <f>IF(預測IC!DZ17&gt;預測IC!DZ$25,1,0)</f>
        <v>0</v>
      </c>
      <c r="EA17" s="7">
        <f>IF(預測IC!EA17&gt;預測IC!EA$25,1,0)</f>
        <v>1</v>
      </c>
      <c r="EB17" s="7">
        <f>IF(預測IC!EB17&gt;預測IC!EB$25,1,0)</f>
        <v>1</v>
      </c>
      <c r="EC17" s="7">
        <f>IF(預測IC!EC17&gt;預測IC!EC$25,1,0)</f>
        <v>0</v>
      </c>
      <c r="ED17" s="7">
        <f>IF(預測IC!ED17&gt;預測IC!ED$25,1,0)</f>
        <v>0</v>
      </c>
      <c r="EE17" s="7">
        <f>IF(預測IC!EE17&gt;預測IC!EE$25,1,0)</f>
        <v>0</v>
      </c>
      <c r="EF17" s="7">
        <f>IF(預測IC!EF17&gt;預測IC!EF$25,1,0)</f>
        <v>0</v>
      </c>
      <c r="EG17">
        <f t="shared" si="10"/>
        <v>63</v>
      </c>
      <c r="EH17" s="14">
        <f t="shared" si="11"/>
        <v>0.47014925373134331</v>
      </c>
    </row>
    <row r="18" spans="1:138" x14ac:dyDescent="0.3">
      <c r="A18" s="1">
        <v>137</v>
      </c>
      <c r="B18" s="1">
        <v>7</v>
      </c>
      <c r="C18" s="7">
        <f>IF(預測IC!C18&gt;預測IC!C$25,1,0)</f>
        <v>0</v>
      </c>
      <c r="D18" s="7">
        <f>IF(預測IC!D18&gt;預測IC!D$25,1,0)</f>
        <v>1</v>
      </c>
      <c r="E18" s="7">
        <f>IF(預測IC!E18&gt;預測IC!E$25,1,0)</f>
        <v>0</v>
      </c>
      <c r="F18" s="7">
        <f>IF(預測IC!F18&gt;預測IC!F$25,1,0)</f>
        <v>1</v>
      </c>
      <c r="G18" s="7">
        <f>IF(預測IC!G18&gt;預測IC!G$25,1,0)</f>
        <v>0</v>
      </c>
      <c r="H18" s="7">
        <f>IF(預測IC!H18&gt;預測IC!H$25,1,0)</f>
        <v>0</v>
      </c>
      <c r="I18" s="7">
        <f>IF(預測IC!I18&gt;預測IC!I$25,1,0)</f>
        <v>0</v>
      </c>
      <c r="J18" s="7">
        <f>IF(預測IC!J18&gt;預測IC!J$25,1,0)</f>
        <v>1</v>
      </c>
      <c r="K18" s="7">
        <f>IF(預測IC!K18&gt;預測IC!K$25,1,0)</f>
        <v>1</v>
      </c>
      <c r="L18" s="7">
        <f>IF(預測IC!L18&gt;預測IC!L$25,1,0)</f>
        <v>0</v>
      </c>
      <c r="M18" s="7">
        <f>IF(預測IC!M18&gt;預測IC!M$25,1,0)</f>
        <v>1</v>
      </c>
      <c r="N18" s="7">
        <f>IF(預測IC!N18&gt;預測IC!N$25,1,0)</f>
        <v>1</v>
      </c>
      <c r="O18" s="7">
        <f>IF(預測IC!O18&gt;預測IC!O$25,1,0)</f>
        <v>1</v>
      </c>
      <c r="P18" s="7">
        <f>IF(預測IC!P18&gt;預測IC!P$25,1,0)</f>
        <v>0</v>
      </c>
      <c r="Q18" s="7">
        <f>IF(預測IC!Q18&gt;預測IC!Q$25,1,0)</f>
        <v>1</v>
      </c>
      <c r="R18" s="7">
        <f>IF(預測IC!R18&gt;預測IC!R$25,1,0)</f>
        <v>1</v>
      </c>
      <c r="S18" s="7">
        <f>IF(預測IC!S18&gt;預測IC!S$25,1,0)</f>
        <v>1</v>
      </c>
      <c r="T18" s="7">
        <f>IF(預測IC!T18&gt;預測IC!T$25,1,0)</f>
        <v>1</v>
      </c>
      <c r="U18" s="7">
        <f>IF(預測IC!U18&gt;預測IC!U$25,1,0)</f>
        <v>1</v>
      </c>
      <c r="V18" s="7">
        <f>IF(預測IC!V18&gt;預測IC!V$25,1,0)</f>
        <v>1</v>
      </c>
      <c r="W18" s="7">
        <f>IF(預測IC!W18&gt;預測IC!W$25,1,0)</f>
        <v>1</v>
      </c>
      <c r="X18" s="7">
        <f>IF(預測IC!X18&gt;預測IC!X$25,1,0)</f>
        <v>1</v>
      </c>
      <c r="Y18" s="7">
        <f>IF(預測IC!Y18&gt;預測IC!Y$25,1,0)</f>
        <v>1</v>
      </c>
      <c r="Z18" s="7">
        <f>IF(預測IC!Z18&gt;預測IC!Z$25,1,0)</f>
        <v>1</v>
      </c>
      <c r="AA18" s="7">
        <f>IF(預測IC!AA18&gt;預測IC!AA$25,1,0)</f>
        <v>0</v>
      </c>
      <c r="AB18" s="7">
        <f>IF(預測IC!AB18&gt;預測IC!AB$25,1,0)</f>
        <v>0</v>
      </c>
      <c r="AC18" s="7">
        <f>IF(預測IC!AC18&gt;預測IC!AC$25,1,0)</f>
        <v>0</v>
      </c>
      <c r="AD18" s="7">
        <f>IF(預測IC!AD18&gt;預測IC!AD$25,1,0)</f>
        <v>0</v>
      </c>
      <c r="AE18" s="7">
        <f>IF(預測IC!AE18&gt;預測IC!AE$25,1,0)</f>
        <v>1</v>
      </c>
      <c r="AF18" s="7">
        <f>IF(預測IC!AF18&gt;預測IC!AF$25,1,0)</f>
        <v>0</v>
      </c>
      <c r="AG18" s="7">
        <f>IF(預測IC!AG18&gt;預測IC!AG$25,1,0)</f>
        <v>0</v>
      </c>
      <c r="AH18" s="7">
        <f>IF(預測IC!AH18&gt;預測IC!AH$25,1,0)</f>
        <v>1</v>
      </c>
      <c r="AI18" s="7">
        <f>IF(預測IC!AI18&gt;預測IC!AI$25,1,0)</f>
        <v>0</v>
      </c>
      <c r="AJ18" s="7">
        <f>IF(預測IC!AJ18&gt;預測IC!AJ$25,1,0)</f>
        <v>0</v>
      </c>
      <c r="AK18" s="7">
        <f>IF(預測IC!AK18&gt;預測IC!AK$25,1,0)</f>
        <v>0</v>
      </c>
      <c r="AL18" s="7">
        <f>IF(預測IC!AL18&gt;預測IC!AL$25,1,0)</f>
        <v>1</v>
      </c>
      <c r="AM18" s="7">
        <f>IF(預測IC!AM18&gt;預測IC!AM$25,1,0)</f>
        <v>1</v>
      </c>
      <c r="AN18" s="7">
        <f>IF(預測IC!AN18&gt;預測IC!AN$25,1,0)</f>
        <v>1</v>
      </c>
      <c r="AO18" s="7">
        <f>IF(預測IC!AO18&gt;預測IC!AO$25,1,0)</f>
        <v>1</v>
      </c>
      <c r="AP18" s="7">
        <f>IF(預測IC!AP18&gt;預測IC!AP$25,1,0)</f>
        <v>0</v>
      </c>
      <c r="AQ18" s="7">
        <f>IF(預測IC!AQ18&gt;預測IC!AQ$25,1,0)</f>
        <v>1</v>
      </c>
      <c r="AR18" s="7">
        <f>IF(預測IC!AR18&gt;預測IC!AR$25,1,0)</f>
        <v>0</v>
      </c>
      <c r="AS18" s="7">
        <f>IF(預測IC!AS18&gt;預測IC!AS$25,1,0)</f>
        <v>1</v>
      </c>
      <c r="AT18" s="7">
        <f>IF(預測IC!AT18&gt;預測IC!AT$25,1,0)</f>
        <v>1</v>
      </c>
      <c r="AU18" s="7">
        <f>IF(預測IC!AU18&gt;預測IC!AU$25,1,0)</f>
        <v>1</v>
      </c>
      <c r="AV18" s="7">
        <f>IF(預測IC!AV18&gt;預測IC!AV$25,1,0)</f>
        <v>0</v>
      </c>
      <c r="AW18" s="7">
        <f>IF(預測IC!AW18&gt;預測IC!AW$25,1,0)</f>
        <v>0</v>
      </c>
      <c r="AX18" s="7">
        <f>IF(預測IC!AX18&gt;預測IC!AX$25,1,0)</f>
        <v>0</v>
      </c>
      <c r="AY18" s="7">
        <f>IF(預測IC!AY18&gt;預測IC!AY$25,1,0)</f>
        <v>0</v>
      </c>
      <c r="AZ18" s="7">
        <f>IF(預測IC!AZ18&gt;預測IC!AZ$25,1,0)</f>
        <v>0</v>
      </c>
      <c r="BA18" s="7">
        <f>IF(預測IC!BA18&gt;預測IC!BA$25,1,0)</f>
        <v>0</v>
      </c>
      <c r="BB18" s="7">
        <f>IF(預測IC!BB18&gt;預測IC!BB$25,1,0)</f>
        <v>1</v>
      </c>
      <c r="BC18" s="7">
        <f>IF(預測IC!BC18&gt;預測IC!BC$25,1,0)</f>
        <v>1</v>
      </c>
      <c r="BD18" s="7">
        <f>IF(預測IC!BD18&gt;預測IC!BD$25,1,0)</f>
        <v>0</v>
      </c>
      <c r="BE18" s="7">
        <f>IF(預測IC!BE18&gt;預測IC!BE$25,1,0)</f>
        <v>0</v>
      </c>
      <c r="BF18" s="7">
        <f>IF(預測IC!BF18&gt;預測IC!BF$25,1,0)</f>
        <v>1</v>
      </c>
      <c r="BG18" s="7">
        <f>IF(預測IC!BG18&gt;預測IC!BG$25,1,0)</f>
        <v>0</v>
      </c>
      <c r="BH18" s="7">
        <f>IF(預測IC!BH18&gt;預測IC!BH$25,1,0)</f>
        <v>1</v>
      </c>
      <c r="BI18" s="7">
        <f>IF(預測IC!BI18&gt;預測IC!BI$25,1,0)</f>
        <v>1</v>
      </c>
      <c r="BJ18" s="7">
        <f>IF(預測IC!BJ18&gt;預測IC!BJ$25,1,0)</f>
        <v>1</v>
      </c>
      <c r="BK18" s="7">
        <f>IF(預測IC!BK18&gt;預測IC!BK$25,1,0)</f>
        <v>0</v>
      </c>
      <c r="BL18" s="7">
        <f>IF(預測IC!BL18&gt;預測IC!BL$25,1,0)</f>
        <v>1</v>
      </c>
      <c r="BM18" s="7">
        <f>IF(預測IC!BM18&gt;預測IC!BM$25,1,0)</f>
        <v>1</v>
      </c>
      <c r="BN18" s="7">
        <f>IF(預測IC!BN18&gt;預測IC!BN$25,1,0)</f>
        <v>1</v>
      </c>
      <c r="BO18" s="7">
        <f>IF(預測IC!BO18&gt;預測IC!BO$25,1,0)</f>
        <v>1</v>
      </c>
      <c r="BP18" s="7">
        <f>IF(預測IC!BP18&gt;預測IC!BP$25,1,0)</f>
        <v>0</v>
      </c>
      <c r="BQ18" s="7">
        <f>IF(預測IC!BQ18&gt;預測IC!BQ$25,1,0)</f>
        <v>0</v>
      </c>
      <c r="BR18" s="7">
        <f>IF(預測IC!BR18&gt;預測IC!BR$25,1,0)</f>
        <v>1</v>
      </c>
      <c r="BS18" s="7">
        <f>IF(預測IC!BS18&gt;預測IC!BS$25,1,0)</f>
        <v>0</v>
      </c>
      <c r="BT18" s="7">
        <f>IF(預測IC!BT18&gt;預測IC!BT$25,1,0)</f>
        <v>0</v>
      </c>
      <c r="BU18" s="7">
        <f>IF(預測IC!BU18&gt;預測IC!BU$25,1,0)</f>
        <v>1</v>
      </c>
      <c r="BV18" s="7">
        <f>IF(預測IC!BV18&gt;預測IC!BV$25,1,0)</f>
        <v>0</v>
      </c>
      <c r="BW18" s="7">
        <f>IF(預測IC!BW18&gt;預測IC!BW$25,1,0)</f>
        <v>1</v>
      </c>
      <c r="BX18" s="7">
        <f>IF(預測IC!BX18&gt;預測IC!BX$25,1,0)</f>
        <v>0</v>
      </c>
      <c r="BY18" s="7">
        <f>IF(預測IC!BY18&gt;預測IC!BY$25,1,0)</f>
        <v>1</v>
      </c>
      <c r="BZ18" s="7">
        <f>IF(預測IC!BZ18&gt;預測IC!BZ$25,1,0)</f>
        <v>0</v>
      </c>
      <c r="CA18" s="7">
        <f>IF(預測IC!CA18&gt;預測IC!CA$25,1,0)</f>
        <v>0</v>
      </c>
      <c r="CB18" s="7">
        <f>IF(預測IC!CB18&gt;預測IC!CB$25,1,0)</f>
        <v>0</v>
      </c>
      <c r="CC18" s="7">
        <f>IF(預測IC!CC18&gt;預測IC!CC$25,1,0)</f>
        <v>1</v>
      </c>
      <c r="CD18" s="7">
        <f>IF(預測IC!CD18&gt;預測IC!CD$25,1,0)</f>
        <v>0</v>
      </c>
      <c r="CE18" s="7">
        <f>IF(預測IC!CE18&gt;預測IC!CE$25,1,0)</f>
        <v>0</v>
      </c>
      <c r="CF18" s="7">
        <f>IF(預測IC!CF18&gt;預測IC!CF$25,1,0)</f>
        <v>0</v>
      </c>
      <c r="CG18" s="7">
        <f>IF(預測IC!CG18&gt;預測IC!CG$25,1,0)</f>
        <v>0</v>
      </c>
      <c r="CH18" s="7">
        <f>IF(預測IC!CH18&gt;預測IC!CH$25,1,0)</f>
        <v>0</v>
      </c>
      <c r="CI18" s="7">
        <f>IF(預測IC!CI18&gt;預測IC!CI$25,1,0)</f>
        <v>1</v>
      </c>
      <c r="CJ18" s="7">
        <f>IF(預測IC!CJ18&gt;預測IC!CJ$25,1,0)</f>
        <v>1</v>
      </c>
      <c r="CK18" s="7">
        <f>IF(預測IC!CK18&gt;預測IC!CK$25,1,0)</f>
        <v>1</v>
      </c>
      <c r="CL18" s="7">
        <f>IF(預測IC!CL18&gt;預測IC!CL$25,1,0)</f>
        <v>0</v>
      </c>
      <c r="CM18" s="7">
        <f>IF(預測IC!CM18&gt;預測IC!CM$25,1,0)</f>
        <v>1</v>
      </c>
      <c r="CN18" s="7">
        <f>IF(預測IC!CN18&gt;預測IC!CN$25,1,0)</f>
        <v>0</v>
      </c>
      <c r="CO18" s="7">
        <f>IF(預測IC!CO18&gt;預測IC!CO$25,1,0)</f>
        <v>0</v>
      </c>
      <c r="CP18" s="7">
        <f>IF(預測IC!CP18&gt;預測IC!CP$25,1,0)</f>
        <v>0</v>
      </c>
      <c r="CQ18" s="7">
        <f>IF(預測IC!CQ18&gt;預測IC!CQ$25,1,0)</f>
        <v>1</v>
      </c>
      <c r="CR18" s="7">
        <f>IF(預測IC!CR18&gt;預測IC!CR$25,1,0)</f>
        <v>0</v>
      </c>
      <c r="CS18" s="7">
        <f>IF(預測IC!CS18&gt;預測IC!CS$25,1,0)</f>
        <v>1</v>
      </c>
      <c r="CT18" s="7">
        <f>IF(預測IC!CT18&gt;預測IC!CT$25,1,0)</f>
        <v>0</v>
      </c>
      <c r="CU18" s="7">
        <f>IF(預測IC!CU18&gt;預測IC!CU$25,1,0)</f>
        <v>1</v>
      </c>
      <c r="CV18" s="7">
        <f>IF(預測IC!CV18&gt;預測IC!CV$25,1,0)</f>
        <v>0</v>
      </c>
      <c r="CW18" s="7">
        <f>IF(預測IC!CW18&gt;預測IC!CW$25,1,0)</f>
        <v>1</v>
      </c>
      <c r="CX18" s="7">
        <f>IF(預測IC!CX18&gt;預測IC!CX$25,1,0)</f>
        <v>0</v>
      </c>
      <c r="CY18" s="7">
        <f>IF(預測IC!CY18&gt;預測IC!CY$25,1,0)</f>
        <v>0</v>
      </c>
      <c r="CZ18" s="7">
        <f>IF(預測IC!CZ18&gt;預測IC!CZ$25,1,0)</f>
        <v>1</v>
      </c>
      <c r="DA18" s="7">
        <f>IF(預測IC!DA18&gt;預測IC!DA$25,1,0)</f>
        <v>0</v>
      </c>
      <c r="DB18" s="7">
        <f>IF(預測IC!DB18&gt;預測IC!DB$25,1,0)</f>
        <v>1</v>
      </c>
      <c r="DC18" s="7">
        <f>IF(預測IC!DC18&gt;預測IC!DC$25,1,0)</f>
        <v>1</v>
      </c>
      <c r="DD18" s="7">
        <f>IF(預測IC!DD18&gt;預測IC!DD$25,1,0)</f>
        <v>1</v>
      </c>
      <c r="DE18" s="7">
        <f>IF(預測IC!DE18&gt;預測IC!DE$25,1,0)</f>
        <v>0</v>
      </c>
      <c r="DF18" s="7">
        <f>IF(預測IC!DF18&gt;預測IC!DF$25,1,0)</f>
        <v>1</v>
      </c>
      <c r="DG18" s="7">
        <f>IF(預測IC!DG18&gt;預測IC!DG$25,1,0)</f>
        <v>1</v>
      </c>
      <c r="DH18" s="7">
        <f>IF(預測IC!DH18&gt;預測IC!DH$25,1,0)</f>
        <v>0</v>
      </c>
      <c r="DI18" s="7">
        <f>IF(預測IC!DI18&gt;預測IC!DI$25,1,0)</f>
        <v>0</v>
      </c>
      <c r="DJ18" s="7">
        <f>IF(預測IC!DJ18&gt;預測IC!DJ$25,1,0)</f>
        <v>0</v>
      </c>
      <c r="DK18" s="7">
        <f>IF(預測IC!DK18&gt;預測IC!DK$25,1,0)</f>
        <v>0</v>
      </c>
      <c r="DL18" s="7">
        <f>IF(預測IC!DL18&gt;預測IC!DL$25,1,0)</f>
        <v>0</v>
      </c>
      <c r="DM18" s="7">
        <f>IF(預測IC!DM18&gt;預測IC!DM$25,1,0)</f>
        <v>0</v>
      </c>
      <c r="DN18" s="7">
        <f>IF(預測IC!DN18&gt;預測IC!DN$25,1,0)</f>
        <v>1</v>
      </c>
      <c r="DO18" s="7">
        <f>IF(預測IC!DO18&gt;預測IC!DO$25,1,0)</f>
        <v>1</v>
      </c>
      <c r="DP18" s="7">
        <f>IF(預測IC!DP18&gt;預測IC!DP$25,1,0)</f>
        <v>1</v>
      </c>
      <c r="DQ18" s="7">
        <f>IF(預測IC!DQ18&gt;預測IC!DQ$25,1,0)</f>
        <v>0</v>
      </c>
      <c r="DR18" s="7">
        <f>IF(預測IC!DR18&gt;預測IC!DR$25,1,0)</f>
        <v>0</v>
      </c>
      <c r="DS18" s="7">
        <f>IF(預測IC!DS18&gt;預測IC!DS$25,1,0)</f>
        <v>1</v>
      </c>
      <c r="DT18" s="7">
        <f>IF(預測IC!DT18&gt;預測IC!DT$25,1,0)</f>
        <v>0</v>
      </c>
      <c r="DU18" s="7">
        <f>IF(預測IC!DU18&gt;預測IC!DU$25,1,0)</f>
        <v>0</v>
      </c>
      <c r="DV18" s="7">
        <f>IF(預測IC!DV18&gt;預測IC!DV$25,1,0)</f>
        <v>0</v>
      </c>
      <c r="DW18" s="7">
        <f>IF(預測IC!DW18&gt;預測IC!DW$25,1,0)</f>
        <v>1</v>
      </c>
      <c r="DX18" s="7">
        <f>IF(預測IC!DX18&gt;預測IC!DX$25,1,0)</f>
        <v>0</v>
      </c>
      <c r="DY18" s="7">
        <f>IF(預測IC!DY18&gt;預測IC!DY$25,1,0)</f>
        <v>0</v>
      </c>
      <c r="DZ18" s="7">
        <f>IF(預測IC!DZ18&gt;預測IC!DZ$25,1,0)</f>
        <v>0</v>
      </c>
      <c r="EA18" s="7">
        <f>IF(預測IC!EA18&gt;預測IC!EA$25,1,0)</f>
        <v>1</v>
      </c>
      <c r="EB18" s="7">
        <f>IF(預測IC!EB18&gt;預測IC!EB$25,1,0)</f>
        <v>1</v>
      </c>
      <c r="EC18" s="7">
        <f>IF(預測IC!EC18&gt;預測IC!EC$25,1,0)</f>
        <v>0</v>
      </c>
      <c r="ED18" s="7">
        <f>IF(預測IC!ED18&gt;預測IC!ED$25,1,0)</f>
        <v>0</v>
      </c>
      <c r="EE18" s="7">
        <f>IF(預測IC!EE18&gt;預測IC!EE$25,1,0)</f>
        <v>0</v>
      </c>
      <c r="EF18" s="7">
        <f>IF(預測IC!EF18&gt;預測IC!EF$25,1,0)</f>
        <v>0</v>
      </c>
      <c r="EG18">
        <f t="shared" si="10"/>
        <v>63</v>
      </c>
      <c r="EH18" s="14">
        <f t="shared" si="11"/>
        <v>0.47014925373134331</v>
      </c>
    </row>
    <row r="19" spans="1:138" x14ac:dyDescent="0.3">
      <c r="A19" s="1">
        <v>160</v>
      </c>
      <c r="B19" s="1">
        <v>6</v>
      </c>
      <c r="C19" s="7">
        <f>IF(預測IC!C19&gt;預測IC!C$25,1,0)</f>
        <v>0</v>
      </c>
      <c r="D19" s="7">
        <f>IF(預測IC!D19&gt;預測IC!D$25,1,0)</f>
        <v>1</v>
      </c>
      <c r="E19" s="7">
        <f>IF(預測IC!E19&gt;預測IC!E$25,1,0)</f>
        <v>0</v>
      </c>
      <c r="F19" s="7">
        <f>IF(預測IC!F19&gt;預測IC!F$25,1,0)</f>
        <v>1</v>
      </c>
      <c r="G19" s="7">
        <f>IF(預測IC!G19&gt;預測IC!G$25,1,0)</f>
        <v>0</v>
      </c>
      <c r="H19" s="7">
        <f>IF(預測IC!H19&gt;預測IC!H$25,1,0)</f>
        <v>0</v>
      </c>
      <c r="I19" s="7">
        <f>IF(預測IC!I19&gt;預測IC!I$25,1,0)</f>
        <v>0</v>
      </c>
      <c r="J19" s="7">
        <f>IF(預測IC!J19&gt;預測IC!J$25,1,0)</f>
        <v>1</v>
      </c>
      <c r="K19" s="7">
        <f>IF(預測IC!K19&gt;預測IC!K$25,1,0)</f>
        <v>1</v>
      </c>
      <c r="L19" s="7">
        <f>IF(預測IC!L19&gt;預測IC!L$25,1,0)</f>
        <v>0</v>
      </c>
      <c r="M19" s="7">
        <f>IF(預測IC!M19&gt;預測IC!M$25,1,0)</f>
        <v>0</v>
      </c>
      <c r="N19" s="7">
        <f>IF(預測IC!N19&gt;預測IC!N$25,1,0)</f>
        <v>1</v>
      </c>
      <c r="O19" s="7">
        <f>IF(預測IC!O19&gt;預測IC!O$25,1,0)</f>
        <v>1</v>
      </c>
      <c r="P19" s="7">
        <f>IF(預測IC!P19&gt;預測IC!P$25,1,0)</f>
        <v>0</v>
      </c>
      <c r="Q19" s="7">
        <f>IF(預測IC!Q19&gt;預測IC!Q$25,1,0)</f>
        <v>1</v>
      </c>
      <c r="R19" s="7">
        <f>IF(預測IC!R19&gt;預測IC!R$25,1,0)</f>
        <v>1</v>
      </c>
      <c r="S19" s="7">
        <f>IF(預測IC!S19&gt;預測IC!S$25,1,0)</f>
        <v>1</v>
      </c>
      <c r="T19" s="7">
        <f>IF(預測IC!T19&gt;預測IC!T$25,1,0)</f>
        <v>1</v>
      </c>
      <c r="U19" s="7">
        <f>IF(預測IC!U19&gt;預測IC!U$25,1,0)</f>
        <v>1</v>
      </c>
      <c r="V19" s="7">
        <f>IF(預測IC!V19&gt;預測IC!V$25,1,0)</f>
        <v>1</v>
      </c>
      <c r="W19" s="7">
        <f>IF(預測IC!W19&gt;預測IC!W$25,1,0)</f>
        <v>1</v>
      </c>
      <c r="X19" s="7">
        <f>IF(預測IC!X19&gt;預測IC!X$25,1,0)</f>
        <v>1</v>
      </c>
      <c r="Y19" s="7">
        <f>IF(預測IC!Y19&gt;預測IC!Y$25,1,0)</f>
        <v>1</v>
      </c>
      <c r="Z19" s="7">
        <f>IF(預測IC!Z19&gt;預測IC!Z$25,1,0)</f>
        <v>1</v>
      </c>
      <c r="AA19" s="7">
        <f>IF(預測IC!AA19&gt;預測IC!AA$25,1,0)</f>
        <v>0</v>
      </c>
      <c r="AB19" s="7">
        <f>IF(預測IC!AB19&gt;預測IC!AB$25,1,0)</f>
        <v>0</v>
      </c>
      <c r="AC19" s="7">
        <f>IF(預測IC!AC19&gt;預測IC!AC$25,1,0)</f>
        <v>0</v>
      </c>
      <c r="AD19" s="7">
        <f>IF(預測IC!AD19&gt;預測IC!AD$25,1,0)</f>
        <v>1</v>
      </c>
      <c r="AE19" s="7">
        <f>IF(預測IC!AE19&gt;預測IC!AE$25,1,0)</f>
        <v>1</v>
      </c>
      <c r="AF19" s="7">
        <f>IF(預測IC!AF19&gt;預測IC!AF$25,1,0)</f>
        <v>0</v>
      </c>
      <c r="AG19" s="7">
        <f>IF(預測IC!AG19&gt;預測IC!AG$25,1,0)</f>
        <v>0</v>
      </c>
      <c r="AH19" s="7">
        <f>IF(預測IC!AH19&gt;預測IC!AH$25,1,0)</f>
        <v>1</v>
      </c>
      <c r="AI19" s="7">
        <f>IF(預測IC!AI19&gt;預測IC!AI$25,1,0)</f>
        <v>0</v>
      </c>
      <c r="AJ19" s="7">
        <f>IF(預測IC!AJ19&gt;預測IC!AJ$25,1,0)</f>
        <v>0</v>
      </c>
      <c r="AK19" s="7">
        <f>IF(預測IC!AK19&gt;預測IC!AK$25,1,0)</f>
        <v>0</v>
      </c>
      <c r="AL19" s="7">
        <f>IF(預測IC!AL19&gt;預測IC!AL$25,1,0)</f>
        <v>1</v>
      </c>
      <c r="AM19" s="7">
        <f>IF(預測IC!AM19&gt;預測IC!AM$25,1,0)</f>
        <v>1</v>
      </c>
      <c r="AN19" s="7">
        <f>IF(預測IC!AN19&gt;預測IC!AN$25,1,0)</f>
        <v>1</v>
      </c>
      <c r="AO19" s="7">
        <f>IF(預測IC!AO19&gt;預測IC!AO$25,1,0)</f>
        <v>1</v>
      </c>
      <c r="AP19" s="7">
        <f>IF(預測IC!AP19&gt;預測IC!AP$25,1,0)</f>
        <v>0</v>
      </c>
      <c r="AQ19" s="7">
        <f>IF(預測IC!AQ19&gt;預測IC!AQ$25,1,0)</f>
        <v>1</v>
      </c>
      <c r="AR19" s="7">
        <f>IF(預測IC!AR19&gt;預測IC!AR$25,1,0)</f>
        <v>0</v>
      </c>
      <c r="AS19" s="7">
        <f>IF(預測IC!AS19&gt;預測IC!AS$25,1,0)</f>
        <v>1</v>
      </c>
      <c r="AT19" s="7">
        <f>IF(預測IC!AT19&gt;預測IC!AT$25,1,0)</f>
        <v>1</v>
      </c>
      <c r="AU19" s="7">
        <f>IF(預測IC!AU19&gt;預測IC!AU$25,1,0)</f>
        <v>1</v>
      </c>
      <c r="AV19" s="7">
        <f>IF(預測IC!AV19&gt;預測IC!AV$25,1,0)</f>
        <v>1</v>
      </c>
      <c r="AW19" s="7">
        <f>IF(預測IC!AW19&gt;預測IC!AW$25,1,0)</f>
        <v>0</v>
      </c>
      <c r="AX19" s="7">
        <f>IF(預測IC!AX19&gt;預測IC!AX$25,1,0)</f>
        <v>0</v>
      </c>
      <c r="AY19" s="7">
        <f>IF(預測IC!AY19&gt;預測IC!AY$25,1,0)</f>
        <v>0</v>
      </c>
      <c r="AZ19" s="7">
        <f>IF(預測IC!AZ19&gt;預測IC!AZ$25,1,0)</f>
        <v>0</v>
      </c>
      <c r="BA19" s="7">
        <f>IF(預測IC!BA19&gt;預測IC!BA$25,1,0)</f>
        <v>0</v>
      </c>
      <c r="BB19" s="7">
        <f>IF(預測IC!BB19&gt;預測IC!BB$25,1,0)</f>
        <v>1</v>
      </c>
      <c r="BC19" s="7">
        <f>IF(預測IC!BC19&gt;預測IC!BC$25,1,0)</f>
        <v>1</v>
      </c>
      <c r="BD19" s="7">
        <f>IF(預測IC!BD19&gt;預測IC!BD$25,1,0)</f>
        <v>1</v>
      </c>
      <c r="BE19" s="7">
        <f>IF(預測IC!BE19&gt;預測IC!BE$25,1,0)</f>
        <v>0</v>
      </c>
      <c r="BF19" s="7">
        <f>IF(預測IC!BF19&gt;預測IC!BF$25,1,0)</f>
        <v>1</v>
      </c>
      <c r="BG19" s="7">
        <f>IF(預測IC!BG19&gt;預測IC!BG$25,1,0)</f>
        <v>0</v>
      </c>
      <c r="BH19" s="7">
        <f>IF(預測IC!BH19&gt;預測IC!BH$25,1,0)</f>
        <v>1</v>
      </c>
      <c r="BI19" s="7">
        <f>IF(預測IC!BI19&gt;預測IC!BI$25,1,0)</f>
        <v>1</v>
      </c>
      <c r="BJ19" s="7">
        <f>IF(預測IC!BJ19&gt;預測IC!BJ$25,1,0)</f>
        <v>1</v>
      </c>
      <c r="BK19" s="7">
        <f>IF(預測IC!BK19&gt;預測IC!BK$25,1,0)</f>
        <v>0</v>
      </c>
      <c r="BL19" s="7">
        <f>IF(預測IC!BL19&gt;預測IC!BL$25,1,0)</f>
        <v>1</v>
      </c>
      <c r="BM19" s="7">
        <f>IF(預測IC!BM19&gt;預測IC!BM$25,1,0)</f>
        <v>1</v>
      </c>
      <c r="BN19" s="7">
        <f>IF(預測IC!BN19&gt;預測IC!BN$25,1,0)</f>
        <v>1</v>
      </c>
      <c r="BO19" s="7">
        <f>IF(預測IC!BO19&gt;預測IC!BO$25,1,0)</f>
        <v>1</v>
      </c>
      <c r="BP19" s="7">
        <f>IF(預測IC!BP19&gt;預測IC!BP$25,1,0)</f>
        <v>0</v>
      </c>
      <c r="BQ19" s="7">
        <f>IF(預測IC!BQ19&gt;預測IC!BQ$25,1,0)</f>
        <v>0</v>
      </c>
      <c r="BR19" s="7">
        <f>IF(預測IC!BR19&gt;預測IC!BR$25,1,0)</f>
        <v>1</v>
      </c>
      <c r="BS19" s="7">
        <f>IF(預測IC!BS19&gt;預測IC!BS$25,1,0)</f>
        <v>0</v>
      </c>
      <c r="BT19" s="7">
        <f>IF(預測IC!BT19&gt;預測IC!BT$25,1,0)</f>
        <v>0</v>
      </c>
      <c r="BU19" s="7">
        <f>IF(預測IC!BU19&gt;預測IC!BU$25,1,0)</f>
        <v>1</v>
      </c>
      <c r="BV19" s="7">
        <f>IF(預測IC!BV19&gt;預測IC!BV$25,1,0)</f>
        <v>0</v>
      </c>
      <c r="BW19" s="7">
        <f>IF(預測IC!BW19&gt;預測IC!BW$25,1,0)</f>
        <v>1</v>
      </c>
      <c r="BX19" s="7">
        <f>IF(預測IC!BX19&gt;預測IC!BX$25,1,0)</f>
        <v>0</v>
      </c>
      <c r="BY19" s="7">
        <f>IF(預測IC!BY19&gt;預測IC!BY$25,1,0)</f>
        <v>1</v>
      </c>
      <c r="BZ19" s="7">
        <f>IF(預測IC!BZ19&gt;預測IC!BZ$25,1,0)</f>
        <v>0</v>
      </c>
      <c r="CA19" s="7">
        <f>IF(預測IC!CA19&gt;預測IC!CA$25,1,0)</f>
        <v>0</v>
      </c>
      <c r="CB19" s="7">
        <f>IF(預測IC!CB19&gt;預測IC!CB$25,1,0)</f>
        <v>0</v>
      </c>
      <c r="CC19" s="7">
        <f>IF(預測IC!CC19&gt;預測IC!CC$25,1,0)</f>
        <v>0</v>
      </c>
      <c r="CD19" s="7">
        <f>IF(預測IC!CD19&gt;預測IC!CD$25,1,0)</f>
        <v>0</v>
      </c>
      <c r="CE19" s="7">
        <f>IF(預測IC!CE19&gt;預測IC!CE$25,1,0)</f>
        <v>0</v>
      </c>
      <c r="CF19" s="7">
        <f>IF(預測IC!CF19&gt;預測IC!CF$25,1,0)</f>
        <v>0</v>
      </c>
      <c r="CG19" s="7">
        <f>IF(預測IC!CG19&gt;預測IC!CG$25,1,0)</f>
        <v>0</v>
      </c>
      <c r="CH19" s="7">
        <f>IF(預測IC!CH19&gt;預測IC!CH$25,1,0)</f>
        <v>0</v>
      </c>
      <c r="CI19" s="7">
        <f>IF(預測IC!CI19&gt;預測IC!CI$25,1,0)</f>
        <v>1</v>
      </c>
      <c r="CJ19" s="7">
        <f>IF(預測IC!CJ19&gt;預測IC!CJ$25,1,0)</f>
        <v>1</v>
      </c>
      <c r="CK19" s="7">
        <f>IF(預測IC!CK19&gt;預測IC!CK$25,1,0)</f>
        <v>1</v>
      </c>
      <c r="CL19" s="7">
        <f>IF(預測IC!CL19&gt;預測IC!CL$25,1,0)</f>
        <v>0</v>
      </c>
      <c r="CM19" s="7">
        <f>IF(預測IC!CM19&gt;預測IC!CM$25,1,0)</f>
        <v>1</v>
      </c>
      <c r="CN19" s="7">
        <f>IF(預測IC!CN19&gt;預測IC!CN$25,1,0)</f>
        <v>1</v>
      </c>
      <c r="CO19" s="7">
        <f>IF(預測IC!CO19&gt;預測IC!CO$25,1,0)</f>
        <v>0</v>
      </c>
      <c r="CP19" s="7">
        <f>IF(預測IC!CP19&gt;預測IC!CP$25,1,0)</f>
        <v>0</v>
      </c>
      <c r="CQ19" s="7">
        <f>IF(預測IC!CQ19&gt;預測IC!CQ$25,1,0)</f>
        <v>1</v>
      </c>
      <c r="CR19" s="7">
        <f>IF(預測IC!CR19&gt;預測IC!CR$25,1,0)</f>
        <v>0</v>
      </c>
      <c r="CS19" s="7">
        <f>IF(預測IC!CS19&gt;預測IC!CS$25,1,0)</f>
        <v>1</v>
      </c>
      <c r="CT19" s="7">
        <f>IF(預測IC!CT19&gt;預測IC!CT$25,1,0)</f>
        <v>0</v>
      </c>
      <c r="CU19" s="7">
        <f>IF(預測IC!CU19&gt;預測IC!CU$25,1,0)</f>
        <v>1</v>
      </c>
      <c r="CV19" s="7">
        <f>IF(預測IC!CV19&gt;預測IC!CV$25,1,0)</f>
        <v>0</v>
      </c>
      <c r="CW19" s="7">
        <f>IF(預測IC!CW19&gt;預測IC!CW$25,1,0)</f>
        <v>1</v>
      </c>
      <c r="CX19" s="7">
        <f>IF(預測IC!CX19&gt;預測IC!CX$25,1,0)</f>
        <v>0</v>
      </c>
      <c r="CY19" s="7">
        <f>IF(預測IC!CY19&gt;預測IC!CY$25,1,0)</f>
        <v>0</v>
      </c>
      <c r="CZ19" s="7">
        <f>IF(預測IC!CZ19&gt;預測IC!CZ$25,1,0)</f>
        <v>1</v>
      </c>
      <c r="DA19" s="7">
        <f>IF(預測IC!DA19&gt;預測IC!DA$25,1,0)</f>
        <v>0</v>
      </c>
      <c r="DB19" s="7">
        <f>IF(預測IC!DB19&gt;預測IC!DB$25,1,0)</f>
        <v>1</v>
      </c>
      <c r="DC19" s="7">
        <f>IF(預測IC!DC19&gt;預測IC!DC$25,1,0)</f>
        <v>1</v>
      </c>
      <c r="DD19" s="7">
        <f>IF(預測IC!DD19&gt;預測IC!DD$25,1,0)</f>
        <v>1</v>
      </c>
      <c r="DE19" s="7">
        <f>IF(預測IC!DE19&gt;預測IC!DE$25,1,0)</f>
        <v>0</v>
      </c>
      <c r="DF19" s="7">
        <f>IF(預測IC!DF19&gt;預測IC!DF$25,1,0)</f>
        <v>1</v>
      </c>
      <c r="DG19" s="7">
        <f>IF(預測IC!DG19&gt;預測IC!DG$25,1,0)</f>
        <v>1</v>
      </c>
      <c r="DH19" s="7">
        <f>IF(預測IC!DH19&gt;預測IC!DH$25,1,0)</f>
        <v>0</v>
      </c>
      <c r="DI19" s="7">
        <f>IF(預測IC!DI19&gt;預測IC!DI$25,1,0)</f>
        <v>1</v>
      </c>
      <c r="DJ19" s="7">
        <f>IF(預測IC!DJ19&gt;預測IC!DJ$25,1,0)</f>
        <v>0</v>
      </c>
      <c r="DK19" s="7">
        <f>IF(預測IC!DK19&gt;預測IC!DK$25,1,0)</f>
        <v>0</v>
      </c>
      <c r="DL19" s="7">
        <f>IF(預測IC!DL19&gt;預測IC!DL$25,1,0)</f>
        <v>0</v>
      </c>
      <c r="DM19" s="7">
        <f>IF(預測IC!DM19&gt;預測IC!DM$25,1,0)</f>
        <v>0</v>
      </c>
      <c r="DN19" s="7">
        <f>IF(預測IC!DN19&gt;預測IC!DN$25,1,0)</f>
        <v>1</v>
      </c>
      <c r="DO19" s="7">
        <f>IF(預測IC!DO19&gt;預測IC!DO$25,1,0)</f>
        <v>1</v>
      </c>
      <c r="DP19" s="7">
        <f>IF(預測IC!DP19&gt;預測IC!DP$25,1,0)</f>
        <v>1</v>
      </c>
      <c r="DQ19" s="7">
        <f>IF(預測IC!DQ19&gt;預測IC!DQ$25,1,0)</f>
        <v>0</v>
      </c>
      <c r="DR19" s="7">
        <f>IF(預測IC!DR19&gt;預測IC!DR$25,1,0)</f>
        <v>0</v>
      </c>
      <c r="DS19" s="7">
        <f>IF(預測IC!DS19&gt;預測IC!DS$25,1,0)</f>
        <v>1</v>
      </c>
      <c r="DT19" s="7">
        <f>IF(預測IC!DT19&gt;預測IC!DT$25,1,0)</f>
        <v>0</v>
      </c>
      <c r="DU19" s="7">
        <f>IF(預測IC!DU19&gt;預測IC!DU$25,1,0)</f>
        <v>0</v>
      </c>
      <c r="DV19" s="7">
        <f>IF(預測IC!DV19&gt;預測IC!DV$25,1,0)</f>
        <v>0</v>
      </c>
      <c r="DW19" s="7">
        <f>IF(預測IC!DW19&gt;預測IC!DW$25,1,0)</f>
        <v>1</v>
      </c>
      <c r="DX19" s="7">
        <f>IF(預測IC!DX19&gt;預測IC!DX$25,1,0)</f>
        <v>1</v>
      </c>
      <c r="DY19" s="7">
        <f>IF(預測IC!DY19&gt;預測IC!DY$25,1,0)</f>
        <v>0</v>
      </c>
      <c r="DZ19" s="7">
        <f>IF(預測IC!DZ19&gt;預測IC!DZ$25,1,0)</f>
        <v>0</v>
      </c>
      <c r="EA19" s="7">
        <f>IF(預測IC!EA19&gt;預測IC!EA$25,1,0)</f>
        <v>1</v>
      </c>
      <c r="EB19" s="7">
        <f>IF(預測IC!EB19&gt;預測IC!EB$25,1,0)</f>
        <v>1</v>
      </c>
      <c r="EC19" s="7">
        <f>IF(預測IC!EC19&gt;預測IC!EC$25,1,0)</f>
        <v>0</v>
      </c>
      <c r="ED19" s="7">
        <f>IF(預測IC!ED19&gt;預測IC!ED$25,1,0)</f>
        <v>0</v>
      </c>
      <c r="EE19" s="7">
        <f>IF(預測IC!EE19&gt;預測IC!EE$25,1,0)</f>
        <v>0</v>
      </c>
      <c r="EF19" s="7">
        <f>IF(預測IC!EF19&gt;預測IC!EF$25,1,0)</f>
        <v>0</v>
      </c>
      <c r="EG19">
        <f t="shared" si="10"/>
        <v>67</v>
      </c>
      <c r="EH19" s="12">
        <f t="shared" si="11"/>
        <v>0.5</v>
      </c>
    </row>
    <row r="20" spans="1:138" x14ac:dyDescent="0.3">
      <c r="A20" s="1">
        <v>192</v>
      </c>
      <c r="B20" s="1">
        <v>5</v>
      </c>
      <c r="C20" s="7">
        <f>IF(預測IC!C20&gt;預測IC!C$25,1,0)</f>
        <v>1</v>
      </c>
      <c r="D20" s="7">
        <f>IF(預測IC!D20&gt;預測IC!D$25,1,0)</f>
        <v>1</v>
      </c>
      <c r="E20" s="7">
        <f>IF(預測IC!E20&gt;預測IC!E$25,1,0)</f>
        <v>0</v>
      </c>
      <c r="F20" s="7">
        <f>IF(預測IC!F20&gt;預測IC!F$25,1,0)</f>
        <v>1</v>
      </c>
      <c r="G20" s="7">
        <f>IF(預測IC!G20&gt;預測IC!G$25,1,0)</f>
        <v>0</v>
      </c>
      <c r="H20" s="7">
        <f>IF(預測IC!H20&gt;預測IC!H$25,1,0)</f>
        <v>0</v>
      </c>
      <c r="I20" s="7">
        <f>IF(預測IC!I20&gt;預測IC!I$25,1,0)</f>
        <v>0</v>
      </c>
      <c r="J20" s="7">
        <f>IF(預測IC!J20&gt;預測IC!J$25,1,0)</f>
        <v>1</v>
      </c>
      <c r="K20" s="7">
        <f>IF(預測IC!K20&gt;預測IC!K$25,1,0)</f>
        <v>1</v>
      </c>
      <c r="L20" s="7">
        <f>IF(預測IC!L20&gt;預測IC!L$25,1,0)</f>
        <v>0</v>
      </c>
      <c r="M20" s="7">
        <f>IF(預測IC!M20&gt;預測IC!M$25,1,0)</f>
        <v>0</v>
      </c>
      <c r="N20" s="7">
        <f>IF(預測IC!N20&gt;預測IC!N$25,1,0)</f>
        <v>1</v>
      </c>
      <c r="O20" s="7">
        <f>IF(預測IC!O20&gt;預測IC!O$25,1,0)</f>
        <v>1</v>
      </c>
      <c r="P20" s="7">
        <f>IF(預測IC!P20&gt;預測IC!P$25,1,0)</f>
        <v>1</v>
      </c>
      <c r="Q20" s="7">
        <f>IF(預測IC!Q20&gt;預測IC!Q$25,1,0)</f>
        <v>1</v>
      </c>
      <c r="R20" s="7">
        <f>IF(預測IC!R20&gt;預測IC!R$25,1,0)</f>
        <v>1</v>
      </c>
      <c r="S20" s="7">
        <f>IF(預測IC!S20&gt;預測IC!S$25,1,0)</f>
        <v>1</v>
      </c>
      <c r="T20" s="7">
        <f>IF(預測IC!T20&gt;預測IC!T$25,1,0)</f>
        <v>1</v>
      </c>
      <c r="U20" s="7">
        <f>IF(預測IC!U20&gt;預測IC!U$25,1,0)</f>
        <v>1</v>
      </c>
      <c r="V20" s="7">
        <f>IF(預測IC!V20&gt;預測IC!V$25,1,0)</f>
        <v>1</v>
      </c>
      <c r="W20" s="7">
        <f>IF(預測IC!W20&gt;預測IC!W$25,1,0)</f>
        <v>1</v>
      </c>
      <c r="X20" s="7">
        <f>IF(預測IC!X20&gt;預測IC!X$25,1,0)</f>
        <v>1</v>
      </c>
      <c r="Y20" s="7">
        <f>IF(預測IC!Y20&gt;預測IC!Y$25,1,0)</f>
        <v>1</v>
      </c>
      <c r="Z20" s="7">
        <f>IF(預測IC!Z20&gt;預測IC!Z$25,1,0)</f>
        <v>1</v>
      </c>
      <c r="AA20" s="7">
        <f>IF(預測IC!AA20&gt;預測IC!AA$25,1,0)</f>
        <v>1</v>
      </c>
      <c r="AB20" s="7">
        <f>IF(預測IC!AB20&gt;預測IC!AB$25,1,0)</f>
        <v>0</v>
      </c>
      <c r="AC20" s="7">
        <f>IF(預測IC!AC20&gt;預測IC!AC$25,1,0)</f>
        <v>1</v>
      </c>
      <c r="AD20" s="7">
        <f>IF(預測IC!AD20&gt;預測IC!AD$25,1,0)</f>
        <v>1</v>
      </c>
      <c r="AE20" s="7">
        <f>IF(預測IC!AE20&gt;預測IC!AE$25,1,0)</f>
        <v>1</v>
      </c>
      <c r="AF20" s="7">
        <f>IF(預測IC!AF20&gt;預測IC!AF$25,1,0)</f>
        <v>0</v>
      </c>
      <c r="AG20" s="7">
        <f>IF(預測IC!AG20&gt;預測IC!AG$25,1,0)</f>
        <v>0</v>
      </c>
      <c r="AH20" s="7">
        <f>IF(預測IC!AH20&gt;預測IC!AH$25,1,0)</f>
        <v>1</v>
      </c>
      <c r="AI20" s="7">
        <f>IF(預測IC!AI20&gt;預測IC!AI$25,1,0)</f>
        <v>0</v>
      </c>
      <c r="AJ20" s="7">
        <f>IF(預測IC!AJ20&gt;預測IC!AJ$25,1,0)</f>
        <v>0</v>
      </c>
      <c r="AK20" s="7">
        <f>IF(預測IC!AK20&gt;預測IC!AK$25,1,0)</f>
        <v>0</v>
      </c>
      <c r="AL20" s="7">
        <f>IF(預測IC!AL20&gt;預測IC!AL$25,1,0)</f>
        <v>1</v>
      </c>
      <c r="AM20" s="7">
        <f>IF(預測IC!AM20&gt;預測IC!AM$25,1,0)</f>
        <v>1</v>
      </c>
      <c r="AN20" s="7">
        <f>IF(預測IC!AN20&gt;預測IC!AN$25,1,0)</f>
        <v>1</v>
      </c>
      <c r="AO20" s="7">
        <f>IF(預測IC!AO20&gt;預測IC!AO$25,1,0)</f>
        <v>1</v>
      </c>
      <c r="AP20" s="7">
        <f>IF(預測IC!AP20&gt;預測IC!AP$25,1,0)</f>
        <v>0</v>
      </c>
      <c r="AQ20" s="7">
        <f>IF(預測IC!AQ20&gt;預測IC!AQ$25,1,0)</f>
        <v>0</v>
      </c>
      <c r="AR20" s="7">
        <f>IF(預測IC!AR20&gt;預測IC!AR$25,1,0)</f>
        <v>0</v>
      </c>
      <c r="AS20" s="7">
        <f>IF(預測IC!AS20&gt;預測IC!AS$25,1,0)</f>
        <v>1</v>
      </c>
      <c r="AT20" s="7">
        <f>IF(預測IC!AT20&gt;預測IC!AT$25,1,0)</f>
        <v>1</v>
      </c>
      <c r="AU20" s="7">
        <f>IF(預測IC!AU20&gt;預測IC!AU$25,1,0)</f>
        <v>1</v>
      </c>
      <c r="AV20" s="7">
        <f>IF(預測IC!AV20&gt;預測IC!AV$25,1,0)</f>
        <v>1</v>
      </c>
      <c r="AW20" s="7">
        <f>IF(預測IC!AW20&gt;預測IC!AW$25,1,0)</f>
        <v>1</v>
      </c>
      <c r="AX20" s="7">
        <f>IF(預測IC!AX20&gt;預測IC!AX$25,1,0)</f>
        <v>0</v>
      </c>
      <c r="AY20" s="7">
        <f>IF(預測IC!AY20&gt;預測IC!AY$25,1,0)</f>
        <v>1</v>
      </c>
      <c r="AZ20" s="7">
        <f>IF(預測IC!AZ20&gt;預測IC!AZ$25,1,0)</f>
        <v>0</v>
      </c>
      <c r="BA20" s="7">
        <f>IF(預測IC!BA20&gt;預測IC!BA$25,1,0)</f>
        <v>0</v>
      </c>
      <c r="BB20" s="7">
        <f>IF(預測IC!BB20&gt;預測IC!BB$25,1,0)</f>
        <v>1</v>
      </c>
      <c r="BC20" s="7">
        <f>IF(預測IC!BC20&gt;預測IC!BC$25,1,0)</f>
        <v>1</v>
      </c>
      <c r="BD20" s="7">
        <f>IF(預測IC!BD20&gt;預測IC!BD$25,1,0)</f>
        <v>0</v>
      </c>
      <c r="BE20" s="7">
        <f>IF(預測IC!BE20&gt;預測IC!BE$25,1,0)</f>
        <v>0</v>
      </c>
      <c r="BF20" s="7">
        <f>IF(預測IC!BF20&gt;預測IC!BF$25,1,0)</f>
        <v>1</v>
      </c>
      <c r="BG20" s="7">
        <f>IF(預測IC!BG20&gt;預測IC!BG$25,1,0)</f>
        <v>0</v>
      </c>
      <c r="BH20" s="7">
        <f>IF(預測IC!BH20&gt;預測IC!BH$25,1,0)</f>
        <v>1</v>
      </c>
      <c r="BI20" s="7">
        <f>IF(預測IC!BI20&gt;預測IC!BI$25,1,0)</f>
        <v>1</v>
      </c>
      <c r="BJ20" s="7">
        <f>IF(預測IC!BJ20&gt;預測IC!BJ$25,1,0)</f>
        <v>1</v>
      </c>
      <c r="BK20" s="7">
        <f>IF(預測IC!BK20&gt;預測IC!BK$25,1,0)</f>
        <v>0</v>
      </c>
      <c r="BL20" s="7">
        <f>IF(預測IC!BL20&gt;預測IC!BL$25,1,0)</f>
        <v>1</v>
      </c>
      <c r="BM20" s="7">
        <f>IF(預測IC!BM20&gt;預測IC!BM$25,1,0)</f>
        <v>1</v>
      </c>
      <c r="BN20" s="7">
        <f>IF(預測IC!BN20&gt;預測IC!BN$25,1,0)</f>
        <v>1</v>
      </c>
      <c r="BO20" s="7">
        <f>IF(預測IC!BO20&gt;預測IC!BO$25,1,0)</f>
        <v>1</v>
      </c>
      <c r="BP20" s="7">
        <f>IF(預測IC!BP20&gt;預測IC!BP$25,1,0)</f>
        <v>0</v>
      </c>
      <c r="BQ20" s="7">
        <f>IF(預測IC!BQ20&gt;預測IC!BQ$25,1,0)</f>
        <v>0</v>
      </c>
      <c r="BR20" s="7">
        <f>IF(預測IC!BR20&gt;預測IC!BR$25,1,0)</f>
        <v>1</v>
      </c>
      <c r="BS20" s="7">
        <f>IF(預測IC!BS20&gt;預測IC!BS$25,1,0)</f>
        <v>1</v>
      </c>
      <c r="BT20" s="7">
        <f>IF(預測IC!BT20&gt;預測IC!BT$25,1,0)</f>
        <v>0</v>
      </c>
      <c r="BU20" s="7">
        <f>IF(預測IC!BU20&gt;預測IC!BU$25,1,0)</f>
        <v>1</v>
      </c>
      <c r="BV20" s="7">
        <f>IF(預測IC!BV20&gt;預測IC!BV$25,1,0)</f>
        <v>0</v>
      </c>
      <c r="BW20" s="7">
        <f>IF(預測IC!BW20&gt;預測IC!BW$25,1,0)</f>
        <v>1</v>
      </c>
      <c r="BX20" s="7">
        <f>IF(預測IC!BX20&gt;預測IC!BX$25,1,0)</f>
        <v>0</v>
      </c>
      <c r="BY20" s="7">
        <f>IF(預測IC!BY20&gt;預測IC!BY$25,1,0)</f>
        <v>1</v>
      </c>
      <c r="BZ20" s="7">
        <f>IF(預測IC!BZ20&gt;預測IC!BZ$25,1,0)</f>
        <v>0</v>
      </c>
      <c r="CA20" s="7">
        <f>IF(預測IC!CA20&gt;預測IC!CA$25,1,0)</f>
        <v>0</v>
      </c>
      <c r="CB20" s="7">
        <f>IF(預測IC!CB20&gt;預測IC!CB$25,1,0)</f>
        <v>0</v>
      </c>
      <c r="CC20" s="7">
        <f>IF(預測IC!CC20&gt;預測IC!CC$25,1,0)</f>
        <v>0</v>
      </c>
      <c r="CD20" s="7">
        <f>IF(預測IC!CD20&gt;預測IC!CD$25,1,0)</f>
        <v>0</v>
      </c>
      <c r="CE20" s="7">
        <f>IF(預測IC!CE20&gt;預測IC!CE$25,1,0)</f>
        <v>0</v>
      </c>
      <c r="CF20" s="7">
        <f>IF(預測IC!CF20&gt;預測IC!CF$25,1,0)</f>
        <v>0</v>
      </c>
      <c r="CG20" s="7">
        <f>IF(預測IC!CG20&gt;預測IC!CG$25,1,0)</f>
        <v>0</v>
      </c>
      <c r="CH20" s="7">
        <f>IF(預測IC!CH20&gt;預測IC!CH$25,1,0)</f>
        <v>0</v>
      </c>
      <c r="CI20" s="7">
        <f>IF(預測IC!CI20&gt;預測IC!CI$25,1,0)</f>
        <v>1</v>
      </c>
      <c r="CJ20" s="7">
        <f>IF(預測IC!CJ20&gt;預測IC!CJ$25,1,0)</f>
        <v>1</v>
      </c>
      <c r="CK20" s="7">
        <f>IF(預測IC!CK20&gt;預測IC!CK$25,1,0)</f>
        <v>1</v>
      </c>
      <c r="CL20" s="7">
        <f>IF(預測IC!CL20&gt;預測IC!CL$25,1,0)</f>
        <v>0</v>
      </c>
      <c r="CM20" s="7">
        <f>IF(預測IC!CM20&gt;預測IC!CM$25,1,0)</f>
        <v>1</v>
      </c>
      <c r="CN20" s="7">
        <f>IF(預測IC!CN20&gt;預測IC!CN$25,1,0)</f>
        <v>0</v>
      </c>
      <c r="CO20" s="7">
        <f>IF(預測IC!CO20&gt;預測IC!CO$25,1,0)</f>
        <v>0</v>
      </c>
      <c r="CP20" s="7">
        <f>IF(預測IC!CP20&gt;預測IC!CP$25,1,0)</f>
        <v>0</v>
      </c>
      <c r="CQ20" s="7">
        <f>IF(預測IC!CQ20&gt;預測IC!CQ$25,1,0)</f>
        <v>1</v>
      </c>
      <c r="CR20" s="7">
        <f>IF(預測IC!CR20&gt;預測IC!CR$25,1,0)</f>
        <v>0</v>
      </c>
      <c r="CS20" s="7">
        <f>IF(預測IC!CS20&gt;預測IC!CS$25,1,0)</f>
        <v>0</v>
      </c>
      <c r="CT20" s="7">
        <f>IF(預測IC!CT20&gt;預測IC!CT$25,1,0)</f>
        <v>0</v>
      </c>
      <c r="CU20" s="7">
        <f>IF(預測IC!CU20&gt;預測IC!CU$25,1,0)</f>
        <v>1</v>
      </c>
      <c r="CV20" s="7">
        <f>IF(預測IC!CV20&gt;預測IC!CV$25,1,0)</f>
        <v>0</v>
      </c>
      <c r="CW20" s="7">
        <f>IF(預測IC!CW20&gt;預測IC!CW$25,1,0)</f>
        <v>1</v>
      </c>
      <c r="CX20" s="7">
        <f>IF(預測IC!CX20&gt;預測IC!CX$25,1,0)</f>
        <v>0</v>
      </c>
      <c r="CY20" s="7">
        <f>IF(預測IC!CY20&gt;預測IC!CY$25,1,0)</f>
        <v>0</v>
      </c>
      <c r="CZ20" s="7">
        <f>IF(預測IC!CZ20&gt;預測IC!CZ$25,1,0)</f>
        <v>1</v>
      </c>
      <c r="DA20" s="7">
        <f>IF(預測IC!DA20&gt;預測IC!DA$25,1,0)</f>
        <v>0</v>
      </c>
      <c r="DB20" s="7">
        <f>IF(預測IC!DB20&gt;預測IC!DB$25,1,0)</f>
        <v>1</v>
      </c>
      <c r="DC20" s="7">
        <f>IF(預測IC!DC20&gt;預測IC!DC$25,1,0)</f>
        <v>1</v>
      </c>
      <c r="DD20" s="7">
        <f>IF(預測IC!DD20&gt;預測IC!DD$25,1,0)</f>
        <v>1</v>
      </c>
      <c r="DE20" s="7">
        <f>IF(預測IC!DE20&gt;預測IC!DE$25,1,0)</f>
        <v>0</v>
      </c>
      <c r="DF20" s="7">
        <f>IF(預測IC!DF20&gt;預測IC!DF$25,1,0)</f>
        <v>1</v>
      </c>
      <c r="DG20" s="7">
        <f>IF(預測IC!DG20&gt;預測IC!DG$25,1,0)</f>
        <v>1</v>
      </c>
      <c r="DH20" s="7">
        <f>IF(預測IC!DH20&gt;預測IC!DH$25,1,0)</f>
        <v>0</v>
      </c>
      <c r="DI20" s="7">
        <f>IF(預測IC!DI20&gt;預測IC!DI$25,1,0)</f>
        <v>1</v>
      </c>
      <c r="DJ20" s="7">
        <f>IF(預測IC!DJ20&gt;預測IC!DJ$25,1,0)</f>
        <v>0</v>
      </c>
      <c r="DK20" s="7">
        <f>IF(預測IC!DK20&gt;預測IC!DK$25,1,0)</f>
        <v>0</v>
      </c>
      <c r="DL20" s="7">
        <f>IF(預測IC!DL20&gt;預測IC!DL$25,1,0)</f>
        <v>0</v>
      </c>
      <c r="DM20" s="7">
        <f>IF(預測IC!DM20&gt;預測IC!DM$25,1,0)</f>
        <v>1</v>
      </c>
      <c r="DN20" s="7">
        <f>IF(預測IC!DN20&gt;預測IC!DN$25,1,0)</f>
        <v>1</v>
      </c>
      <c r="DO20" s="7">
        <f>IF(預測IC!DO20&gt;預測IC!DO$25,1,0)</f>
        <v>1</v>
      </c>
      <c r="DP20" s="7">
        <f>IF(預測IC!DP20&gt;預測IC!DP$25,1,0)</f>
        <v>1</v>
      </c>
      <c r="DQ20" s="7">
        <f>IF(預測IC!DQ20&gt;預測IC!DQ$25,1,0)</f>
        <v>0</v>
      </c>
      <c r="DR20" s="7">
        <f>IF(預測IC!DR20&gt;預測IC!DR$25,1,0)</f>
        <v>0</v>
      </c>
      <c r="DS20" s="7">
        <f>IF(預測IC!DS20&gt;預測IC!DS$25,1,0)</f>
        <v>0</v>
      </c>
      <c r="DT20" s="7">
        <f>IF(預測IC!DT20&gt;預測IC!DT$25,1,0)</f>
        <v>0</v>
      </c>
      <c r="DU20" s="7">
        <f>IF(預測IC!DU20&gt;預測IC!DU$25,1,0)</f>
        <v>0</v>
      </c>
      <c r="DV20" s="7">
        <f>IF(預測IC!DV20&gt;預測IC!DV$25,1,0)</f>
        <v>0</v>
      </c>
      <c r="DW20" s="7">
        <f>IF(預測IC!DW20&gt;預測IC!DW$25,1,0)</f>
        <v>1</v>
      </c>
      <c r="DX20" s="7">
        <f>IF(預測IC!DX20&gt;預測IC!DX$25,1,0)</f>
        <v>1</v>
      </c>
      <c r="DY20" s="7">
        <f>IF(預測IC!DY20&gt;預測IC!DY$25,1,0)</f>
        <v>0</v>
      </c>
      <c r="DZ20" s="7">
        <f>IF(預測IC!DZ20&gt;預測IC!DZ$25,1,0)</f>
        <v>1</v>
      </c>
      <c r="EA20" s="7">
        <f>IF(預測IC!EA20&gt;預測IC!EA$25,1,0)</f>
        <v>1</v>
      </c>
      <c r="EB20" s="7">
        <f>IF(預測IC!EB20&gt;預測IC!EB$25,1,0)</f>
        <v>1</v>
      </c>
      <c r="EC20" s="7">
        <f>IF(預測IC!EC20&gt;預測IC!EC$25,1,0)</f>
        <v>0</v>
      </c>
      <c r="ED20" s="7">
        <f>IF(預測IC!ED20&gt;預測IC!ED$25,1,0)</f>
        <v>0</v>
      </c>
      <c r="EE20" s="7">
        <f>IF(預測IC!EE20&gt;預測IC!EE$25,1,0)</f>
        <v>0</v>
      </c>
      <c r="EF20" s="7">
        <f>IF(預測IC!EF20&gt;預測IC!EF$25,1,0)</f>
        <v>0</v>
      </c>
      <c r="EG20">
        <f t="shared" si="10"/>
        <v>71</v>
      </c>
      <c r="EH20" s="12">
        <f t="shared" si="11"/>
        <v>0.52985074626865669</v>
      </c>
    </row>
    <row r="21" spans="1:138" x14ac:dyDescent="0.3">
      <c r="A21" s="1">
        <v>241</v>
      </c>
      <c r="B21" s="1">
        <v>4</v>
      </c>
      <c r="C21" s="7">
        <f>IF(預測IC!C21&gt;預測IC!C$25,1,0)</f>
        <v>1</v>
      </c>
      <c r="D21" s="7">
        <f>IF(預測IC!D21&gt;預測IC!D$25,1,0)</f>
        <v>1</v>
      </c>
      <c r="E21" s="7">
        <f>IF(預測IC!E21&gt;預測IC!E$25,1,0)</f>
        <v>0</v>
      </c>
      <c r="F21" s="7">
        <f>IF(預測IC!F21&gt;預測IC!F$25,1,0)</f>
        <v>1</v>
      </c>
      <c r="G21" s="7">
        <f>IF(預測IC!G21&gt;預測IC!G$25,1,0)</f>
        <v>0</v>
      </c>
      <c r="H21" s="7">
        <f>IF(預測IC!H21&gt;預測IC!H$25,1,0)</f>
        <v>0</v>
      </c>
      <c r="I21" s="7">
        <f>IF(預測IC!I21&gt;預測IC!I$25,1,0)</f>
        <v>0</v>
      </c>
      <c r="J21" s="7">
        <f>IF(預測IC!J21&gt;預測IC!J$25,1,0)</f>
        <v>1</v>
      </c>
      <c r="K21" s="7">
        <f>IF(預測IC!K21&gt;預測IC!K$25,1,0)</f>
        <v>1</v>
      </c>
      <c r="L21" s="7">
        <f>IF(預測IC!L21&gt;預測IC!L$25,1,0)</f>
        <v>0</v>
      </c>
      <c r="M21" s="7">
        <f>IF(預測IC!M21&gt;預測IC!M$25,1,0)</f>
        <v>0</v>
      </c>
      <c r="N21" s="7">
        <f>IF(預測IC!N21&gt;預測IC!N$25,1,0)</f>
        <v>1</v>
      </c>
      <c r="O21" s="7">
        <f>IF(預測IC!O21&gt;預測IC!O$25,1,0)</f>
        <v>1</v>
      </c>
      <c r="P21" s="7">
        <f>IF(預測IC!P21&gt;預測IC!P$25,1,0)</f>
        <v>1</v>
      </c>
      <c r="Q21" s="7">
        <f>IF(預測IC!Q21&gt;預測IC!Q$25,1,0)</f>
        <v>1</v>
      </c>
      <c r="R21" s="7">
        <f>IF(預測IC!R21&gt;預測IC!R$25,1,0)</f>
        <v>1</v>
      </c>
      <c r="S21" s="7">
        <f>IF(預測IC!S21&gt;預測IC!S$25,1,0)</f>
        <v>1</v>
      </c>
      <c r="T21" s="7">
        <f>IF(預測IC!T21&gt;預測IC!T$25,1,0)</f>
        <v>1</v>
      </c>
      <c r="U21" s="7">
        <f>IF(預測IC!U21&gt;預測IC!U$25,1,0)</f>
        <v>1</v>
      </c>
      <c r="V21" s="7">
        <f>IF(預測IC!V21&gt;預測IC!V$25,1,0)</f>
        <v>1</v>
      </c>
      <c r="W21" s="7">
        <f>IF(預測IC!W21&gt;預測IC!W$25,1,0)</f>
        <v>1</v>
      </c>
      <c r="X21" s="7">
        <f>IF(預測IC!X21&gt;預測IC!X$25,1,0)</f>
        <v>1</v>
      </c>
      <c r="Y21" s="7">
        <f>IF(預測IC!Y21&gt;預測IC!Y$25,1,0)</f>
        <v>1</v>
      </c>
      <c r="Z21" s="7">
        <f>IF(預測IC!Z21&gt;預測IC!Z$25,1,0)</f>
        <v>1</v>
      </c>
      <c r="AA21" s="7">
        <f>IF(預測IC!AA21&gt;預測IC!AA$25,1,0)</f>
        <v>1</v>
      </c>
      <c r="AB21" s="7">
        <f>IF(預測IC!AB21&gt;預測IC!AB$25,1,0)</f>
        <v>0</v>
      </c>
      <c r="AC21" s="7">
        <f>IF(預測IC!AC21&gt;預測IC!AC$25,1,0)</f>
        <v>0</v>
      </c>
      <c r="AD21" s="7">
        <f>IF(預測IC!AD21&gt;預測IC!AD$25,1,0)</f>
        <v>1</v>
      </c>
      <c r="AE21" s="7">
        <f>IF(預測IC!AE21&gt;預測IC!AE$25,1,0)</f>
        <v>1</v>
      </c>
      <c r="AF21" s="7">
        <f>IF(預測IC!AF21&gt;預測IC!AF$25,1,0)</f>
        <v>0</v>
      </c>
      <c r="AG21" s="7">
        <f>IF(預測IC!AG21&gt;預測IC!AG$25,1,0)</f>
        <v>0</v>
      </c>
      <c r="AH21" s="7">
        <f>IF(預測IC!AH21&gt;預測IC!AH$25,1,0)</f>
        <v>1</v>
      </c>
      <c r="AI21" s="7">
        <f>IF(預測IC!AI21&gt;預測IC!AI$25,1,0)</f>
        <v>0</v>
      </c>
      <c r="AJ21" s="7">
        <f>IF(預測IC!AJ21&gt;預測IC!AJ$25,1,0)</f>
        <v>0</v>
      </c>
      <c r="AK21" s="7">
        <f>IF(預測IC!AK21&gt;預測IC!AK$25,1,0)</f>
        <v>1</v>
      </c>
      <c r="AL21" s="7">
        <f>IF(預測IC!AL21&gt;預測IC!AL$25,1,0)</f>
        <v>1</v>
      </c>
      <c r="AM21" s="7">
        <f>IF(預測IC!AM21&gt;預測IC!AM$25,1,0)</f>
        <v>1</v>
      </c>
      <c r="AN21" s="7">
        <f>IF(預測IC!AN21&gt;預測IC!AN$25,1,0)</f>
        <v>1</v>
      </c>
      <c r="AO21" s="7">
        <f>IF(預測IC!AO21&gt;預測IC!AO$25,1,0)</f>
        <v>1</v>
      </c>
      <c r="AP21" s="7">
        <f>IF(預測IC!AP21&gt;預測IC!AP$25,1,0)</f>
        <v>0</v>
      </c>
      <c r="AQ21" s="7">
        <f>IF(預測IC!AQ21&gt;預測IC!AQ$25,1,0)</f>
        <v>0</v>
      </c>
      <c r="AR21" s="7">
        <f>IF(預測IC!AR21&gt;預測IC!AR$25,1,0)</f>
        <v>1</v>
      </c>
      <c r="AS21" s="7">
        <f>IF(預測IC!AS21&gt;預測IC!AS$25,1,0)</f>
        <v>1</v>
      </c>
      <c r="AT21" s="7">
        <f>IF(預測IC!AT21&gt;預測IC!AT$25,1,0)</f>
        <v>1</v>
      </c>
      <c r="AU21" s="7">
        <f>IF(預測IC!AU21&gt;預測IC!AU$25,1,0)</f>
        <v>1</v>
      </c>
      <c r="AV21" s="7">
        <f>IF(預測IC!AV21&gt;預測IC!AV$25,1,0)</f>
        <v>1</v>
      </c>
      <c r="AW21" s="7">
        <f>IF(預測IC!AW21&gt;預測IC!AW$25,1,0)</f>
        <v>1</v>
      </c>
      <c r="AX21" s="7">
        <f>IF(預測IC!AX21&gt;預測IC!AX$25,1,0)</f>
        <v>0</v>
      </c>
      <c r="AY21" s="7">
        <f>IF(預測IC!AY21&gt;預測IC!AY$25,1,0)</f>
        <v>1</v>
      </c>
      <c r="AZ21" s="7">
        <f>IF(預測IC!AZ21&gt;預測IC!AZ$25,1,0)</f>
        <v>0</v>
      </c>
      <c r="BA21" s="7">
        <f>IF(預測IC!BA21&gt;預測IC!BA$25,1,0)</f>
        <v>0</v>
      </c>
      <c r="BB21" s="7">
        <f>IF(預測IC!BB21&gt;預測IC!BB$25,1,0)</f>
        <v>1</v>
      </c>
      <c r="BC21" s="7">
        <f>IF(預測IC!BC21&gt;預測IC!BC$25,1,0)</f>
        <v>1</v>
      </c>
      <c r="BD21" s="7">
        <f>IF(預測IC!BD21&gt;預測IC!BD$25,1,0)</f>
        <v>0</v>
      </c>
      <c r="BE21" s="7">
        <f>IF(預測IC!BE21&gt;預測IC!BE$25,1,0)</f>
        <v>0</v>
      </c>
      <c r="BF21" s="7">
        <f>IF(預測IC!BF21&gt;預測IC!BF$25,1,0)</f>
        <v>1</v>
      </c>
      <c r="BG21" s="7">
        <f>IF(預測IC!BG21&gt;預測IC!BG$25,1,0)</f>
        <v>1</v>
      </c>
      <c r="BH21" s="7">
        <f>IF(預測IC!BH21&gt;預測IC!BH$25,1,0)</f>
        <v>1</v>
      </c>
      <c r="BI21" s="7">
        <f>IF(預測IC!BI21&gt;預測IC!BI$25,1,0)</f>
        <v>1</v>
      </c>
      <c r="BJ21" s="7">
        <f>IF(預測IC!BJ21&gt;預測IC!BJ$25,1,0)</f>
        <v>1</v>
      </c>
      <c r="BK21" s="7">
        <f>IF(預測IC!BK21&gt;預測IC!BK$25,1,0)</f>
        <v>0</v>
      </c>
      <c r="BL21" s="7">
        <f>IF(預測IC!BL21&gt;預測IC!BL$25,1,0)</f>
        <v>1</v>
      </c>
      <c r="BM21" s="7">
        <f>IF(預測IC!BM21&gt;預測IC!BM$25,1,0)</f>
        <v>1</v>
      </c>
      <c r="BN21" s="7">
        <f>IF(預測IC!BN21&gt;預測IC!BN$25,1,0)</f>
        <v>1</v>
      </c>
      <c r="BO21" s="7">
        <f>IF(預測IC!BO21&gt;預測IC!BO$25,1,0)</f>
        <v>1</v>
      </c>
      <c r="BP21" s="7">
        <f>IF(預測IC!BP21&gt;預測IC!BP$25,1,0)</f>
        <v>0</v>
      </c>
      <c r="BQ21" s="7">
        <f>IF(預測IC!BQ21&gt;預測IC!BQ$25,1,0)</f>
        <v>0</v>
      </c>
      <c r="BR21" s="7">
        <f>IF(預測IC!BR21&gt;預測IC!BR$25,1,0)</f>
        <v>1</v>
      </c>
      <c r="BS21" s="7">
        <f>IF(預測IC!BS21&gt;預測IC!BS$25,1,0)</f>
        <v>1</v>
      </c>
      <c r="BT21" s="7">
        <f>IF(預測IC!BT21&gt;預測IC!BT$25,1,0)</f>
        <v>0</v>
      </c>
      <c r="BU21" s="7">
        <f>IF(預測IC!BU21&gt;預測IC!BU$25,1,0)</f>
        <v>1</v>
      </c>
      <c r="BV21" s="7">
        <f>IF(預測IC!BV21&gt;預測IC!BV$25,1,0)</f>
        <v>0</v>
      </c>
      <c r="BW21" s="7">
        <f>IF(預測IC!BW21&gt;預測IC!BW$25,1,0)</f>
        <v>1</v>
      </c>
      <c r="BX21" s="7">
        <f>IF(預測IC!BX21&gt;預測IC!BX$25,1,0)</f>
        <v>0</v>
      </c>
      <c r="BY21" s="7">
        <f>IF(預測IC!BY21&gt;預測IC!BY$25,1,0)</f>
        <v>1</v>
      </c>
      <c r="BZ21" s="7">
        <f>IF(預測IC!BZ21&gt;預測IC!BZ$25,1,0)</f>
        <v>0</v>
      </c>
      <c r="CA21" s="7">
        <f>IF(預測IC!CA21&gt;預測IC!CA$25,1,0)</f>
        <v>0</v>
      </c>
      <c r="CB21" s="7">
        <f>IF(預測IC!CB21&gt;預測IC!CB$25,1,0)</f>
        <v>0</v>
      </c>
      <c r="CC21" s="7">
        <f>IF(預測IC!CC21&gt;預測IC!CC$25,1,0)</f>
        <v>0</v>
      </c>
      <c r="CD21" s="7">
        <f>IF(預測IC!CD21&gt;預測IC!CD$25,1,0)</f>
        <v>0</v>
      </c>
      <c r="CE21" s="7">
        <f>IF(預測IC!CE21&gt;預測IC!CE$25,1,0)</f>
        <v>0</v>
      </c>
      <c r="CF21" s="7">
        <f>IF(預測IC!CF21&gt;預測IC!CF$25,1,0)</f>
        <v>0</v>
      </c>
      <c r="CG21" s="7">
        <f>IF(預測IC!CG21&gt;預測IC!CG$25,1,0)</f>
        <v>0</v>
      </c>
      <c r="CH21" s="7">
        <f>IF(預測IC!CH21&gt;預測IC!CH$25,1,0)</f>
        <v>1</v>
      </c>
      <c r="CI21" s="7">
        <f>IF(預測IC!CI21&gt;預測IC!CI$25,1,0)</f>
        <v>1</v>
      </c>
      <c r="CJ21" s="7">
        <f>IF(預測IC!CJ21&gt;預測IC!CJ$25,1,0)</f>
        <v>1</v>
      </c>
      <c r="CK21" s="7">
        <f>IF(預測IC!CK21&gt;預測IC!CK$25,1,0)</f>
        <v>1</v>
      </c>
      <c r="CL21" s="7">
        <f>IF(預測IC!CL21&gt;預測IC!CL$25,1,0)</f>
        <v>0</v>
      </c>
      <c r="CM21" s="7">
        <f>IF(預測IC!CM21&gt;預測IC!CM$25,1,0)</f>
        <v>1</v>
      </c>
      <c r="CN21" s="7">
        <f>IF(預測IC!CN21&gt;預測IC!CN$25,1,0)</f>
        <v>0</v>
      </c>
      <c r="CO21" s="7">
        <f>IF(預測IC!CO21&gt;預測IC!CO$25,1,0)</f>
        <v>0</v>
      </c>
      <c r="CP21" s="7">
        <f>IF(預測IC!CP21&gt;預測IC!CP$25,1,0)</f>
        <v>0</v>
      </c>
      <c r="CQ21" s="7">
        <f>IF(預測IC!CQ21&gt;預測IC!CQ$25,1,0)</f>
        <v>1</v>
      </c>
      <c r="CR21" s="7">
        <f>IF(預測IC!CR21&gt;預測IC!CR$25,1,0)</f>
        <v>0</v>
      </c>
      <c r="CS21" s="7">
        <f>IF(預測IC!CS21&gt;預測IC!CS$25,1,0)</f>
        <v>1</v>
      </c>
      <c r="CT21" s="7">
        <f>IF(預測IC!CT21&gt;預測IC!CT$25,1,0)</f>
        <v>0</v>
      </c>
      <c r="CU21" s="7">
        <f>IF(預測IC!CU21&gt;預測IC!CU$25,1,0)</f>
        <v>1</v>
      </c>
      <c r="CV21" s="7">
        <f>IF(預測IC!CV21&gt;預測IC!CV$25,1,0)</f>
        <v>0</v>
      </c>
      <c r="CW21" s="7">
        <f>IF(預測IC!CW21&gt;預測IC!CW$25,1,0)</f>
        <v>1</v>
      </c>
      <c r="CX21" s="7">
        <f>IF(預測IC!CX21&gt;預測IC!CX$25,1,0)</f>
        <v>0</v>
      </c>
      <c r="CY21" s="7">
        <f>IF(預測IC!CY21&gt;預測IC!CY$25,1,0)</f>
        <v>0</v>
      </c>
      <c r="CZ21" s="7">
        <f>IF(預測IC!CZ21&gt;預測IC!CZ$25,1,0)</f>
        <v>1</v>
      </c>
      <c r="DA21" s="7">
        <f>IF(預測IC!DA21&gt;預測IC!DA$25,1,0)</f>
        <v>0</v>
      </c>
      <c r="DB21" s="7">
        <f>IF(預測IC!DB21&gt;預測IC!DB$25,1,0)</f>
        <v>1</v>
      </c>
      <c r="DC21" s="7">
        <f>IF(預測IC!DC21&gt;預測IC!DC$25,1,0)</f>
        <v>1</v>
      </c>
      <c r="DD21" s="7">
        <f>IF(預測IC!DD21&gt;預測IC!DD$25,1,0)</f>
        <v>1</v>
      </c>
      <c r="DE21" s="7">
        <f>IF(預測IC!DE21&gt;預測IC!DE$25,1,0)</f>
        <v>0</v>
      </c>
      <c r="DF21" s="7">
        <f>IF(預測IC!DF21&gt;預測IC!DF$25,1,0)</f>
        <v>1</v>
      </c>
      <c r="DG21" s="7">
        <f>IF(預測IC!DG21&gt;預測IC!DG$25,1,0)</f>
        <v>1</v>
      </c>
      <c r="DH21" s="7">
        <f>IF(預測IC!DH21&gt;預測IC!DH$25,1,0)</f>
        <v>0</v>
      </c>
      <c r="DI21" s="7">
        <f>IF(預測IC!DI21&gt;預測IC!DI$25,1,0)</f>
        <v>1</v>
      </c>
      <c r="DJ21" s="7">
        <f>IF(預測IC!DJ21&gt;預測IC!DJ$25,1,0)</f>
        <v>0</v>
      </c>
      <c r="DK21" s="7">
        <f>IF(預測IC!DK21&gt;預測IC!DK$25,1,0)</f>
        <v>0</v>
      </c>
      <c r="DL21" s="7">
        <f>IF(預測IC!DL21&gt;預測IC!DL$25,1,0)</f>
        <v>0</v>
      </c>
      <c r="DM21" s="7">
        <f>IF(預測IC!DM21&gt;預測IC!DM$25,1,0)</f>
        <v>0</v>
      </c>
      <c r="DN21" s="7">
        <f>IF(預測IC!DN21&gt;預測IC!DN$25,1,0)</f>
        <v>1</v>
      </c>
      <c r="DO21" s="7">
        <f>IF(預測IC!DO21&gt;預測IC!DO$25,1,0)</f>
        <v>0</v>
      </c>
      <c r="DP21" s="7">
        <f>IF(預測IC!DP21&gt;預測IC!DP$25,1,0)</f>
        <v>1</v>
      </c>
      <c r="DQ21" s="7">
        <f>IF(預測IC!DQ21&gt;預測IC!DQ$25,1,0)</f>
        <v>0</v>
      </c>
      <c r="DR21" s="7">
        <f>IF(預測IC!DR21&gt;預測IC!DR$25,1,0)</f>
        <v>0</v>
      </c>
      <c r="DS21" s="7">
        <f>IF(預測IC!DS21&gt;預測IC!DS$25,1,0)</f>
        <v>0</v>
      </c>
      <c r="DT21" s="7">
        <f>IF(預測IC!DT21&gt;預測IC!DT$25,1,0)</f>
        <v>0</v>
      </c>
      <c r="DU21" s="7">
        <f>IF(預測IC!DU21&gt;預測IC!DU$25,1,0)</f>
        <v>0</v>
      </c>
      <c r="DV21" s="7">
        <f>IF(預測IC!DV21&gt;預測IC!DV$25,1,0)</f>
        <v>0</v>
      </c>
      <c r="DW21" s="7">
        <f>IF(預測IC!DW21&gt;預測IC!DW$25,1,0)</f>
        <v>1</v>
      </c>
      <c r="DX21" s="7">
        <f>IF(預測IC!DX21&gt;預測IC!DX$25,1,0)</f>
        <v>1</v>
      </c>
      <c r="DY21" s="7">
        <f>IF(預測IC!DY21&gt;預測IC!DY$25,1,0)</f>
        <v>0</v>
      </c>
      <c r="DZ21" s="7">
        <f>IF(預測IC!DZ21&gt;預測IC!DZ$25,1,0)</f>
        <v>1</v>
      </c>
      <c r="EA21" s="7">
        <f>IF(預測IC!EA21&gt;預測IC!EA$25,1,0)</f>
        <v>1</v>
      </c>
      <c r="EB21" s="7">
        <f>IF(預測IC!EB21&gt;預測IC!EB$25,1,0)</f>
        <v>0</v>
      </c>
      <c r="EC21" s="7">
        <f>IF(預測IC!EC21&gt;預測IC!EC$25,1,0)</f>
        <v>0</v>
      </c>
      <c r="ED21" s="7">
        <f>IF(預測IC!ED21&gt;預測IC!ED$25,1,0)</f>
        <v>1</v>
      </c>
      <c r="EE21" s="7">
        <f>IF(預測IC!EE21&gt;預測IC!EE$25,1,0)</f>
        <v>0</v>
      </c>
      <c r="EF21" s="7">
        <f>IF(預測IC!EF21&gt;預測IC!EF$25,1,0)</f>
        <v>0</v>
      </c>
      <c r="EG21">
        <f t="shared" si="10"/>
        <v>73</v>
      </c>
      <c r="EH21" s="12">
        <f t="shared" si="11"/>
        <v>0.54477611940298509</v>
      </c>
    </row>
    <row r="22" spans="1:138" x14ac:dyDescent="0.3">
      <c r="A22" s="1">
        <v>321</v>
      </c>
      <c r="B22" s="1">
        <v>3</v>
      </c>
      <c r="C22" s="7">
        <f>IF(預測IC!C22&gt;預測IC!C$25,1,0)</f>
        <v>1</v>
      </c>
      <c r="D22" s="7">
        <f>IF(預測IC!D22&gt;預測IC!D$25,1,0)</f>
        <v>1</v>
      </c>
      <c r="E22" s="7">
        <f>IF(預測IC!E22&gt;預測IC!E$25,1,0)</f>
        <v>0</v>
      </c>
      <c r="F22" s="7">
        <f>IF(預測IC!F22&gt;預測IC!F$25,1,0)</f>
        <v>1</v>
      </c>
      <c r="G22" s="7">
        <f>IF(預測IC!G22&gt;預測IC!G$25,1,0)</f>
        <v>0</v>
      </c>
      <c r="H22" s="7">
        <f>IF(預測IC!H22&gt;預測IC!H$25,1,0)</f>
        <v>0</v>
      </c>
      <c r="I22" s="7">
        <f>IF(預測IC!I22&gt;預測IC!I$25,1,0)</f>
        <v>0</v>
      </c>
      <c r="J22" s="7">
        <f>IF(預測IC!J22&gt;預測IC!J$25,1,0)</f>
        <v>1</v>
      </c>
      <c r="K22" s="7">
        <f>IF(預測IC!K22&gt;預測IC!K$25,1,0)</f>
        <v>1</v>
      </c>
      <c r="L22" s="7">
        <f>IF(預測IC!L22&gt;預測IC!L$25,1,0)</f>
        <v>0</v>
      </c>
      <c r="M22" s="7">
        <f>IF(預測IC!M22&gt;預測IC!M$25,1,0)</f>
        <v>0</v>
      </c>
      <c r="N22" s="7">
        <f>IF(預測IC!N22&gt;預測IC!N$25,1,0)</f>
        <v>1</v>
      </c>
      <c r="O22" s="7">
        <f>IF(預測IC!O22&gt;預測IC!O$25,1,0)</f>
        <v>1</v>
      </c>
      <c r="P22" s="7">
        <f>IF(預測IC!P22&gt;預測IC!P$25,1,0)</f>
        <v>1</v>
      </c>
      <c r="Q22" s="7">
        <f>IF(預測IC!Q22&gt;預測IC!Q$25,1,0)</f>
        <v>1</v>
      </c>
      <c r="R22" s="7">
        <f>IF(預測IC!R22&gt;預測IC!R$25,1,0)</f>
        <v>1</v>
      </c>
      <c r="S22" s="7">
        <f>IF(預測IC!S22&gt;預測IC!S$25,1,0)</f>
        <v>1</v>
      </c>
      <c r="T22" s="7">
        <f>IF(預測IC!T22&gt;預測IC!T$25,1,0)</f>
        <v>1</v>
      </c>
      <c r="U22" s="7">
        <f>IF(預測IC!U22&gt;預測IC!U$25,1,0)</f>
        <v>1</v>
      </c>
      <c r="V22" s="7">
        <f>IF(預測IC!V22&gt;預測IC!V$25,1,0)</f>
        <v>1</v>
      </c>
      <c r="W22" s="7">
        <f>IF(預測IC!W22&gt;預測IC!W$25,1,0)</f>
        <v>1</v>
      </c>
      <c r="X22" s="7">
        <f>IF(預測IC!X22&gt;預測IC!X$25,1,0)</f>
        <v>1</v>
      </c>
      <c r="Y22" s="7">
        <f>IF(預測IC!Y22&gt;預測IC!Y$25,1,0)</f>
        <v>1</v>
      </c>
      <c r="Z22" s="7">
        <f>IF(預測IC!Z22&gt;預測IC!Z$25,1,0)</f>
        <v>1</v>
      </c>
      <c r="AA22" s="7">
        <f>IF(預測IC!AA22&gt;預測IC!AA$25,1,0)</f>
        <v>1</v>
      </c>
      <c r="AB22" s="7">
        <f>IF(預測IC!AB22&gt;預測IC!AB$25,1,0)</f>
        <v>0</v>
      </c>
      <c r="AC22" s="7">
        <f>IF(預測IC!AC22&gt;預測IC!AC$25,1,0)</f>
        <v>1</v>
      </c>
      <c r="AD22" s="7">
        <f>IF(預測IC!AD22&gt;預測IC!AD$25,1,0)</f>
        <v>1</v>
      </c>
      <c r="AE22" s="7">
        <f>IF(預測IC!AE22&gt;預測IC!AE$25,1,0)</f>
        <v>1</v>
      </c>
      <c r="AF22" s="7">
        <f>IF(預測IC!AF22&gt;預測IC!AF$25,1,0)</f>
        <v>0</v>
      </c>
      <c r="AG22" s="7">
        <f>IF(預測IC!AG22&gt;預測IC!AG$25,1,0)</f>
        <v>0</v>
      </c>
      <c r="AH22" s="7">
        <f>IF(預測IC!AH22&gt;預測IC!AH$25,1,0)</f>
        <v>1</v>
      </c>
      <c r="AI22" s="7">
        <f>IF(預測IC!AI22&gt;預測IC!AI$25,1,0)</f>
        <v>0</v>
      </c>
      <c r="AJ22" s="7">
        <f>IF(預測IC!AJ22&gt;預測IC!AJ$25,1,0)</f>
        <v>0</v>
      </c>
      <c r="AK22" s="7">
        <f>IF(預測IC!AK22&gt;預測IC!AK$25,1,0)</f>
        <v>1</v>
      </c>
      <c r="AL22" s="7">
        <f>IF(預測IC!AL22&gt;預測IC!AL$25,1,0)</f>
        <v>1</v>
      </c>
      <c r="AM22" s="7">
        <f>IF(預測IC!AM22&gt;預測IC!AM$25,1,0)</f>
        <v>1</v>
      </c>
      <c r="AN22" s="7">
        <f>IF(預測IC!AN22&gt;預測IC!AN$25,1,0)</f>
        <v>1</v>
      </c>
      <c r="AO22" s="7">
        <f>IF(預測IC!AO22&gt;預測IC!AO$25,1,0)</f>
        <v>1</v>
      </c>
      <c r="AP22" s="7">
        <f>IF(預測IC!AP22&gt;預測IC!AP$25,1,0)</f>
        <v>0</v>
      </c>
      <c r="AQ22" s="7">
        <f>IF(預測IC!AQ22&gt;預測IC!AQ$25,1,0)</f>
        <v>0</v>
      </c>
      <c r="AR22" s="7">
        <f>IF(預測IC!AR22&gt;預測IC!AR$25,1,0)</f>
        <v>1</v>
      </c>
      <c r="AS22" s="7">
        <f>IF(預測IC!AS22&gt;預測IC!AS$25,1,0)</f>
        <v>1</v>
      </c>
      <c r="AT22" s="7">
        <f>IF(預測IC!AT22&gt;預測IC!AT$25,1,0)</f>
        <v>1</v>
      </c>
      <c r="AU22" s="7">
        <f>IF(預測IC!AU22&gt;預測IC!AU$25,1,0)</f>
        <v>1</v>
      </c>
      <c r="AV22" s="7">
        <f>IF(預測IC!AV22&gt;預測IC!AV$25,1,0)</f>
        <v>1</v>
      </c>
      <c r="AW22" s="7">
        <f>IF(預測IC!AW22&gt;預測IC!AW$25,1,0)</f>
        <v>1</v>
      </c>
      <c r="AX22" s="7">
        <f>IF(預測IC!AX22&gt;預測IC!AX$25,1,0)</f>
        <v>1</v>
      </c>
      <c r="AY22" s="7">
        <f>IF(預測IC!AY22&gt;預測IC!AY$25,1,0)</f>
        <v>1</v>
      </c>
      <c r="AZ22" s="7">
        <f>IF(預測IC!AZ22&gt;預測IC!AZ$25,1,0)</f>
        <v>0</v>
      </c>
      <c r="BA22" s="7">
        <f>IF(預測IC!BA22&gt;預測IC!BA$25,1,0)</f>
        <v>0</v>
      </c>
      <c r="BB22" s="7">
        <f>IF(預測IC!BB22&gt;預測IC!BB$25,1,0)</f>
        <v>1</v>
      </c>
      <c r="BC22" s="7">
        <f>IF(預測IC!BC22&gt;預測IC!BC$25,1,0)</f>
        <v>0</v>
      </c>
      <c r="BD22" s="7">
        <f>IF(預測IC!BD22&gt;預測IC!BD$25,1,0)</f>
        <v>0</v>
      </c>
      <c r="BE22" s="7">
        <f>IF(預測IC!BE22&gt;預測IC!BE$25,1,0)</f>
        <v>0</v>
      </c>
      <c r="BF22" s="7">
        <f>IF(預測IC!BF22&gt;預測IC!BF$25,1,0)</f>
        <v>1</v>
      </c>
      <c r="BG22" s="7">
        <f>IF(預測IC!BG22&gt;預測IC!BG$25,1,0)</f>
        <v>1</v>
      </c>
      <c r="BH22" s="7">
        <f>IF(預測IC!BH22&gt;預測IC!BH$25,1,0)</f>
        <v>0</v>
      </c>
      <c r="BI22" s="7">
        <f>IF(預測IC!BI22&gt;預測IC!BI$25,1,0)</f>
        <v>1</v>
      </c>
      <c r="BJ22" s="7">
        <f>IF(預測IC!BJ22&gt;預測IC!BJ$25,1,0)</f>
        <v>1</v>
      </c>
      <c r="BK22" s="7">
        <f>IF(預測IC!BK22&gt;預測IC!BK$25,1,0)</f>
        <v>0</v>
      </c>
      <c r="BL22" s="7">
        <f>IF(預測IC!BL22&gt;預測IC!BL$25,1,0)</f>
        <v>1</v>
      </c>
      <c r="BM22" s="7">
        <f>IF(預測IC!BM22&gt;預測IC!BM$25,1,0)</f>
        <v>0</v>
      </c>
      <c r="BN22" s="7">
        <f>IF(預測IC!BN22&gt;預測IC!BN$25,1,0)</f>
        <v>0</v>
      </c>
      <c r="BO22" s="7">
        <f>IF(預測IC!BO22&gt;預測IC!BO$25,1,0)</f>
        <v>1</v>
      </c>
      <c r="BP22" s="7">
        <f>IF(預測IC!BP22&gt;預測IC!BP$25,1,0)</f>
        <v>0</v>
      </c>
      <c r="BQ22" s="7">
        <f>IF(預測IC!BQ22&gt;預測IC!BQ$25,1,0)</f>
        <v>0</v>
      </c>
      <c r="BR22" s="7">
        <f>IF(預測IC!BR22&gt;預測IC!BR$25,1,0)</f>
        <v>1</v>
      </c>
      <c r="BS22" s="7">
        <f>IF(預測IC!BS22&gt;預測IC!BS$25,1,0)</f>
        <v>1</v>
      </c>
      <c r="BT22" s="7">
        <f>IF(預測IC!BT22&gt;預測IC!BT$25,1,0)</f>
        <v>1</v>
      </c>
      <c r="BU22" s="7">
        <f>IF(預測IC!BU22&gt;預測IC!BU$25,1,0)</f>
        <v>1</v>
      </c>
      <c r="BV22" s="7">
        <f>IF(預測IC!BV22&gt;預測IC!BV$25,1,0)</f>
        <v>0</v>
      </c>
      <c r="BW22" s="7">
        <f>IF(預測IC!BW22&gt;預測IC!BW$25,1,0)</f>
        <v>1</v>
      </c>
      <c r="BX22" s="7">
        <f>IF(預測IC!BX22&gt;預測IC!BX$25,1,0)</f>
        <v>0</v>
      </c>
      <c r="BY22" s="7">
        <f>IF(預測IC!BY22&gt;預測IC!BY$25,1,0)</f>
        <v>1</v>
      </c>
      <c r="BZ22" s="7">
        <f>IF(預測IC!BZ22&gt;預測IC!BZ$25,1,0)</f>
        <v>0</v>
      </c>
      <c r="CA22" s="7">
        <f>IF(預測IC!CA22&gt;預測IC!CA$25,1,0)</f>
        <v>0</v>
      </c>
      <c r="CB22" s="7">
        <f>IF(預測IC!CB22&gt;預測IC!CB$25,1,0)</f>
        <v>0</v>
      </c>
      <c r="CC22" s="7">
        <f>IF(預測IC!CC22&gt;預測IC!CC$25,1,0)</f>
        <v>0</v>
      </c>
      <c r="CD22" s="7">
        <f>IF(預測IC!CD22&gt;預測IC!CD$25,1,0)</f>
        <v>0</v>
      </c>
      <c r="CE22" s="7">
        <f>IF(預測IC!CE22&gt;預測IC!CE$25,1,0)</f>
        <v>0</v>
      </c>
      <c r="CF22" s="7">
        <f>IF(預測IC!CF22&gt;預測IC!CF$25,1,0)</f>
        <v>0</v>
      </c>
      <c r="CG22" s="7">
        <f>IF(預測IC!CG22&gt;預測IC!CG$25,1,0)</f>
        <v>0</v>
      </c>
      <c r="CH22" s="7">
        <f>IF(預測IC!CH22&gt;預測IC!CH$25,1,0)</f>
        <v>1</v>
      </c>
      <c r="CI22" s="7">
        <f>IF(預測IC!CI22&gt;預測IC!CI$25,1,0)</f>
        <v>1</v>
      </c>
      <c r="CJ22" s="7">
        <f>IF(預測IC!CJ22&gt;預測IC!CJ$25,1,0)</f>
        <v>1</v>
      </c>
      <c r="CK22" s="7">
        <f>IF(預測IC!CK22&gt;預測IC!CK$25,1,0)</f>
        <v>1</v>
      </c>
      <c r="CL22" s="7">
        <f>IF(預測IC!CL22&gt;預測IC!CL$25,1,0)</f>
        <v>0</v>
      </c>
      <c r="CM22" s="7">
        <f>IF(預測IC!CM22&gt;預測IC!CM$25,1,0)</f>
        <v>1</v>
      </c>
      <c r="CN22" s="7">
        <f>IF(預測IC!CN22&gt;預測IC!CN$25,1,0)</f>
        <v>0</v>
      </c>
      <c r="CO22" s="7">
        <f>IF(預測IC!CO22&gt;預測IC!CO$25,1,0)</f>
        <v>0</v>
      </c>
      <c r="CP22" s="7">
        <f>IF(預測IC!CP22&gt;預測IC!CP$25,1,0)</f>
        <v>0</v>
      </c>
      <c r="CQ22" s="7">
        <f>IF(預測IC!CQ22&gt;預測IC!CQ$25,1,0)</f>
        <v>1</v>
      </c>
      <c r="CR22" s="7">
        <f>IF(預測IC!CR22&gt;預測IC!CR$25,1,0)</f>
        <v>0</v>
      </c>
      <c r="CS22" s="7">
        <f>IF(預測IC!CS22&gt;預測IC!CS$25,1,0)</f>
        <v>0</v>
      </c>
      <c r="CT22" s="7">
        <f>IF(預測IC!CT22&gt;預測IC!CT$25,1,0)</f>
        <v>0</v>
      </c>
      <c r="CU22" s="7">
        <f>IF(預測IC!CU22&gt;預測IC!CU$25,1,0)</f>
        <v>1</v>
      </c>
      <c r="CV22" s="7">
        <f>IF(預測IC!CV22&gt;預測IC!CV$25,1,0)</f>
        <v>0</v>
      </c>
      <c r="CW22" s="7">
        <f>IF(預測IC!CW22&gt;預測IC!CW$25,1,0)</f>
        <v>1</v>
      </c>
      <c r="CX22" s="7">
        <f>IF(預測IC!CX22&gt;預測IC!CX$25,1,0)</f>
        <v>1</v>
      </c>
      <c r="CY22" s="7">
        <f>IF(預測IC!CY22&gt;預測IC!CY$25,1,0)</f>
        <v>0</v>
      </c>
      <c r="CZ22" s="7">
        <f>IF(預測IC!CZ22&gt;預測IC!CZ$25,1,0)</f>
        <v>1</v>
      </c>
      <c r="DA22" s="7">
        <f>IF(預測IC!DA22&gt;預測IC!DA$25,1,0)</f>
        <v>0</v>
      </c>
      <c r="DB22" s="7">
        <f>IF(預測IC!DB22&gt;預測IC!DB$25,1,0)</f>
        <v>1</v>
      </c>
      <c r="DC22" s="7">
        <f>IF(預測IC!DC22&gt;預測IC!DC$25,1,0)</f>
        <v>1</v>
      </c>
      <c r="DD22" s="7">
        <f>IF(預測IC!DD22&gt;預測IC!DD$25,1,0)</f>
        <v>1</v>
      </c>
      <c r="DE22" s="7">
        <f>IF(預測IC!DE22&gt;預測IC!DE$25,1,0)</f>
        <v>0</v>
      </c>
      <c r="DF22" s="7">
        <f>IF(預測IC!DF22&gt;預測IC!DF$25,1,0)</f>
        <v>1</v>
      </c>
      <c r="DG22" s="7">
        <f>IF(預測IC!DG22&gt;預測IC!DG$25,1,0)</f>
        <v>1</v>
      </c>
      <c r="DH22" s="7">
        <f>IF(預測IC!DH22&gt;預測IC!DH$25,1,0)</f>
        <v>0</v>
      </c>
      <c r="DI22" s="7">
        <f>IF(預測IC!DI22&gt;預測IC!DI$25,1,0)</f>
        <v>1</v>
      </c>
      <c r="DJ22" s="7">
        <f>IF(預測IC!DJ22&gt;預測IC!DJ$25,1,0)</f>
        <v>0</v>
      </c>
      <c r="DK22" s="7">
        <f>IF(預測IC!DK22&gt;預測IC!DK$25,1,0)</f>
        <v>0</v>
      </c>
      <c r="DL22" s="7">
        <f>IF(預測IC!DL22&gt;預測IC!DL$25,1,0)</f>
        <v>0</v>
      </c>
      <c r="DM22" s="7">
        <f>IF(預測IC!DM22&gt;預測IC!DM$25,1,0)</f>
        <v>0</v>
      </c>
      <c r="DN22" s="7">
        <f>IF(預測IC!DN22&gt;預測IC!DN$25,1,0)</f>
        <v>1</v>
      </c>
      <c r="DO22" s="7">
        <f>IF(預測IC!DO22&gt;預測IC!DO$25,1,0)</f>
        <v>1</v>
      </c>
      <c r="DP22" s="7">
        <f>IF(預測IC!DP22&gt;預測IC!DP$25,1,0)</f>
        <v>1</v>
      </c>
      <c r="DQ22" s="7">
        <f>IF(預測IC!DQ22&gt;預測IC!DQ$25,1,0)</f>
        <v>0</v>
      </c>
      <c r="DR22" s="7">
        <f>IF(預測IC!DR22&gt;預測IC!DR$25,1,0)</f>
        <v>0</v>
      </c>
      <c r="DS22" s="7">
        <f>IF(預測IC!DS22&gt;預測IC!DS$25,1,0)</f>
        <v>0</v>
      </c>
      <c r="DT22" s="7">
        <f>IF(預測IC!DT22&gt;預測IC!DT$25,1,0)</f>
        <v>0</v>
      </c>
      <c r="DU22" s="7">
        <f>IF(預測IC!DU22&gt;預測IC!DU$25,1,0)</f>
        <v>0</v>
      </c>
      <c r="DV22" s="7">
        <f>IF(預測IC!DV22&gt;預測IC!DV$25,1,0)</f>
        <v>0</v>
      </c>
      <c r="DW22" s="7">
        <f>IF(預測IC!DW22&gt;預測IC!DW$25,1,0)</f>
        <v>1</v>
      </c>
      <c r="DX22" s="7">
        <f>IF(預測IC!DX22&gt;預測IC!DX$25,1,0)</f>
        <v>1</v>
      </c>
      <c r="DY22" s="7">
        <f>IF(預測IC!DY22&gt;預測IC!DY$25,1,0)</f>
        <v>0</v>
      </c>
      <c r="DZ22" s="7">
        <f>IF(預測IC!DZ22&gt;預測IC!DZ$25,1,0)</f>
        <v>1</v>
      </c>
      <c r="EA22" s="7">
        <f>IF(預測IC!EA22&gt;預測IC!EA$25,1,0)</f>
        <v>1</v>
      </c>
      <c r="EB22" s="7">
        <f>IF(預測IC!EB22&gt;預測IC!EB$25,1,0)</f>
        <v>1</v>
      </c>
      <c r="EC22" s="7">
        <f>IF(預測IC!EC22&gt;預測IC!EC$25,1,0)</f>
        <v>1</v>
      </c>
      <c r="ED22" s="7">
        <f>IF(預測IC!ED22&gt;預測IC!ED$25,1,0)</f>
        <v>1</v>
      </c>
      <c r="EE22" s="7">
        <f>IF(預測IC!EE22&gt;預測IC!EE$25,1,0)</f>
        <v>1</v>
      </c>
      <c r="EF22" s="7">
        <f>IF(預測IC!EF22&gt;預測IC!EF$25,1,0)</f>
        <v>0</v>
      </c>
      <c r="EG22">
        <f t="shared" si="10"/>
        <v>76</v>
      </c>
      <c r="EH22" s="12">
        <f t="shared" si="11"/>
        <v>0.56716417910447758</v>
      </c>
    </row>
    <row r="23" spans="1:138" x14ac:dyDescent="0.3">
      <c r="A23" s="1">
        <v>482</v>
      </c>
      <c r="B23" s="1">
        <v>2</v>
      </c>
      <c r="C23" s="7">
        <f>IF(預測IC!C23&gt;預測IC!C$25,1,0)</f>
        <v>1</v>
      </c>
      <c r="D23" s="7">
        <f>IF(預測IC!D23&gt;預測IC!D$25,1,0)</f>
        <v>1</v>
      </c>
      <c r="E23" s="7">
        <f>IF(預測IC!E23&gt;預測IC!E$25,1,0)</f>
        <v>0</v>
      </c>
      <c r="F23" s="7">
        <f>IF(預測IC!F23&gt;預測IC!F$25,1,0)</f>
        <v>1</v>
      </c>
      <c r="G23" s="7">
        <f>IF(預測IC!G23&gt;預測IC!G$25,1,0)</f>
        <v>0</v>
      </c>
      <c r="H23" s="7">
        <f>IF(預測IC!H23&gt;預測IC!H$25,1,0)</f>
        <v>0</v>
      </c>
      <c r="I23" s="7">
        <f>IF(預測IC!I23&gt;預測IC!I$25,1,0)</f>
        <v>0</v>
      </c>
      <c r="J23" s="7">
        <f>IF(預測IC!J23&gt;預測IC!J$25,1,0)</f>
        <v>0</v>
      </c>
      <c r="K23" s="7">
        <f>IF(預測IC!K23&gt;預測IC!K$25,1,0)</f>
        <v>1</v>
      </c>
      <c r="L23" s="7">
        <f>IF(預測IC!L23&gt;預測IC!L$25,1,0)</f>
        <v>0</v>
      </c>
      <c r="M23" s="7">
        <f>IF(預測IC!M23&gt;預測IC!M$25,1,0)</f>
        <v>0</v>
      </c>
      <c r="N23" s="7">
        <f>IF(預測IC!N23&gt;預測IC!N$25,1,0)</f>
        <v>1</v>
      </c>
      <c r="O23" s="7">
        <f>IF(預測IC!O23&gt;預測IC!O$25,1,0)</f>
        <v>1</v>
      </c>
      <c r="P23" s="7">
        <f>IF(預測IC!P23&gt;預測IC!P$25,1,0)</f>
        <v>0</v>
      </c>
      <c r="Q23" s="7">
        <f>IF(預測IC!Q23&gt;預測IC!Q$25,1,0)</f>
        <v>0</v>
      </c>
      <c r="R23" s="7">
        <f>IF(預測IC!R23&gt;預測IC!R$25,1,0)</f>
        <v>1</v>
      </c>
      <c r="S23" s="7">
        <f>IF(預測IC!S23&gt;預測IC!S$25,1,0)</f>
        <v>1</v>
      </c>
      <c r="T23" s="7">
        <f>IF(預測IC!T23&gt;預測IC!T$25,1,0)</f>
        <v>1</v>
      </c>
      <c r="U23" s="7">
        <f>IF(預測IC!U23&gt;預測IC!U$25,1,0)</f>
        <v>1</v>
      </c>
      <c r="V23" s="7">
        <f>IF(預測IC!V23&gt;預測IC!V$25,1,0)</f>
        <v>0</v>
      </c>
      <c r="W23" s="7">
        <f>IF(預測IC!W23&gt;預測IC!W$25,1,0)</f>
        <v>1</v>
      </c>
      <c r="X23" s="7">
        <f>IF(預測IC!X23&gt;預測IC!X$25,1,0)</f>
        <v>1</v>
      </c>
      <c r="Y23" s="7">
        <f>IF(預測IC!Y23&gt;預測IC!Y$25,1,0)</f>
        <v>1</v>
      </c>
      <c r="Z23" s="7">
        <f>IF(預測IC!Z23&gt;預測IC!Z$25,1,0)</f>
        <v>1</v>
      </c>
      <c r="AA23" s="7">
        <f>IF(預測IC!AA23&gt;預測IC!AA$25,1,0)</f>
        <v>1</v>
      </c>
      <c r="AB23" s="7">
        <f>IF(預測IC!AB23&gt;預測IC!AB$25,1,0)</f>
        <v>0</v>
      </c>
      <c r="AC23" s="7">
        <f>IF(預測IC!AC23&gt;預測IC!AC$25,1,0)</f>
        <v>1</v>
      </c>
      <c r="AD23" s="7">
        <f>IF(預測IC!AD23&gt;預測IC!AD$25,1,0)</f>
        <v>1</v>
      </c>
      <c r="AE23" s="7">
        <f>IF(預測IC!AE23&gt;預測IC!AE$25,1,0)</f>
        <v>1</v>
      </c>
      <c r="AF23" s="7">
        <f>IF(預測IC!AF23&gt;預測IC!AF$25,1,0)</f>
        <v>0</v>
      </c>
      <c r="AG23" s="7">
        <f>IF(預測IC!AG23&gt;預測IC!AG$25,1,0)</f>
        <v>1</v>
      </c>
      <c r="AH23" s="7">
        <f>IF(預測IC!AH23&gt;預測IC!AH$25,1,0)</f>
        <v>0</v>
      </c>
      <c r="AI23" s="7">
        <f>IF(預測IC!AI23&gt;預測IC!AI$25,1,0)</f>
        <v>0</v>
      </c>
      <c r="AJ23" s="7">
        <f>IF(預測IC!AJ23&gt;預測IC!AJ$25,1,0)</f>
        <v>1</v>
      </c>
      <c r="AK23" s="7">
        <f>IF(預測IC!AK23&gt;預測IC!AK$25,1,0)</f>
        <v>1</v>
      </c>
      <c r="AL23" s="7">
        <f>IF(預測IC!AL23&gt;預測IC!AL$25,1,0)</f>
        <v>1</v>
      </c>
      <c r="AM23" s="7">
        <f>IF(預測IC!AM23&gt;預測IC!AM$25,1,0)</f>
        <v>0</v>
      </c>
      <c r="AN23" s="7">
        <f>IF(預測IC!AN23&gt;預測IC!AN$25,1,0)</f>
        <v>1</v>
      </c>
      <c r="AO23" s="7">
        <f>IF(預測IC!AO23&gt;預測IC!AO$25,1,0)</f>
        <v>1</v>
      </c>
      <c r="AP23" s="7">
        <f>IF(預測IC!AP23&gt;預測IC!AP$25,1,0)</f>
        <v>1</v>
      </c>
      <c r="AQ23" s="7">
        <f>IF(預測IC!AQ23&gt;預測IC!AQ$25,1,0)</f>
        <v>0</v>
      </c>
      <c r="AR23" s="7">
        <f>IF(預測IC!AR23&gt;預測IC!AR$25,1,0)</f>
        <v>1</v>
      </c>
      <c r="AS23" s="7">
        <f>IF(預測IC!AS23&gt;預測IC!AS$25,1,0)</f>
        <v>0</v>
      </c>
      <c r="AT23" s="7">
        <f>IF(預測IC!AT23&gt;預測IC!AT$25,1,0)</f>
        <v>1</v>
      </c>
      <c r="AU23" s="7">
        <f>IF(預測IC!AU23&gt;預測IC!AU$25,1,0)</f>
        <v>1</v>
      </c>
      <c r="AV23" s="7">
        <f>IF(預測IC!AV23&gt;預測IC!AV$25,1,0)</f>
        <v>0</v>
      </c>
      <c r="AW23" s="7">
        <f>IF(預測IC!AW23&gt;預測IC!AW$25,1,0)</f>
        <v>1</v>
      </c>
      <c r="AX23" s="7">
        <f>IF(預測IC!AX23&gt;預測IC!AX$25,1,0)</f>
        <v>1</v>
      </c>
      <c r="AY23" s="7">
        <f>IF(預測IC!AY23&gt;預測IC!AY$25,1,0)</f>
        <v>1</v>
      </c>
      <c r="AZ23" s="7">
        <f>IF(預測IC!AZ23&gt;預測IC!AZ$25,1,0)</f>
        <v>0</v>
      </c>
      <c r="BA23" s="7">
        <f>IF(預測IC!BA23&gt;預測IC!BA$25,1,0)</f>
        <v>1</v>
      </c>
      <c r="BB23" s="7">
        <f>IF(預測IC!BB23&gt;預測IC!BB$25,1,0)</f>
        <v>1</v>
      </c>
      <c r="BC23" s="7">
        <f>IF(預測IC!BC23&gt;預測IC!BC$25,1,0)</f>
        <v>0</v>
      </c>
      <c r="BD23" s="7">
        <f>IF(預測IC!BD23&gt;預測IC!BD$25,1,0)</f>
        <v>1</v>
      </c>
      <c r="BE23" s="7">
        <f>IF(預測IC!BE23&gt;預測IC!BE$25,1,0)</f>
        <v>1</v>
      </c>
      <c r="BF23" s="7">
        <f>IF(預測IC!BF23&gt;預測IC!BF$25,1,0)</f>
        <v>1</v>
      </c>
      <c r="BG23" s="7">
        <f>IF(預測IC!BG23&gt;預測IC!BG$25,1,0)</f>
        <v>1</v>
      </c>
      <c r="BH23" s="7">
        <f>IF(預測IC!BH23&gt;預測IC!BH$25,1,0)</f>
        <v>0</v>
      </c>
      <c r="BI23" s="7">
        <f>IF(預測IC!BI23&gt;預測IC!BI$25,1,0)</f>
        <v>1</v>
      </c>
      <c r="BJ23" s="7">
        <f>IF(預測IC!BJ23&gt;預測IC!BJ$25,1,0)</f>
        <v>1</v>
      </c>
      <c r="BK23" s="7">
        <f>IF(預測IC!BK23&gt;預測IC!BK$25,1,0)</f>
        <v>0</v>
      </c>
      <c r="BL23" s="7">
        <f>IF(預測IC!BL23&gt;預測IC!BL$25,1,0)</f>
        <v>1</v>
      </c>
      <c r="BM23" s="7">
        <f>IF(預測IC!BM23&gt;預測IC!BM$25,1,0)</f>
        <v>0</v>
      </c>
      <c r="BN23" s="7">
        <f>IF(預測IC!BN23&gt;預測IC!BN$25,1,0)</f>
        <v>0</v>
      </c>
      <c r="BO23" s="7">
        <f>IF(預測IC!BO23&gt;預測IC!BO$25,1,0)</f>
        <v>1</v>
      </c>
      <c r="BP23" s="7">
        <f>IF(預測IC!BP23&gt;預測IC!BP$25,1,0)</f>
        <v>0</v>
      </c>
      <c r="BQ23" s="7">
        <f>IF(預測IC!BQ23&gt;預測IC!BQ$25,1,0)</f>
        <v>0</v>
      </c>
      <c r="BR23" s="7">
        <f>IF(預測IC!BR23&gt;預測IC!BR$25,1,0)</f>
        <v>1</v>
      </c>
      <c r="BS23" s="7">
        <f>IF(預測IC!BS23&gt;預測IC!BS$25,1,0)</f>
        <v>1</v>
      </c>
      <c r="BT23" s="7">
        <f>IF(預測IC!BT23&gt;預測IC!BT$25,1,0)</f>
        <v>1</v>
      </c>
      <c r="BU23" s="7">
        <f>IF(預測IC!BU23&gt;預測IC!BU$25,1,0)</f>
        <v>1</v>
      </c>
      <c r="BV23" s="7">
        <f>IF(預測IC!BV23&gt;預測IC!BV$25,1,0)</f>
        <v>0</v>
      </c>
      <c r="BW23" s="7">
        <f>IF(預測IC!BW23&gt;預測IC!BW$25,1,0)</f>
        <v>1</v>
      </c>
      <c r="BX23" s="7">
        <f>IF(預測IC!BX23&gt;預測IC!BX$25,1,0)</f>
        <v>0</v>
      </c>
      <c r="BY23" s="7">
        <f>IF(預測IC!BY23&gt;預測IC!BY$25,1,0)</f>
        <v>1</v>
      </c>
      <c r="BZ23" s="7">
        <f>IF(預測IC!BZ23&gt;預測IC!BZ$25,1,0)</f>
        <v>0</v>
      </c>
      <c r="CA23" s="7">
        <f>IF(預測IC!CA23&gt;預測IC!CA$25,1,0)</f>
        <v>0</v>
      </c>
      <c r="CB23" s="7">
        <f>IF(預測IC!CB23&gt;預測IC!CB$25,1,0)</f>
        <v>0</v>
      </c>
      <c r="CC23" s="7">
        <f>IF(預測IC!CC23&gt;預測IC!CC$25,1,0)</f>
        <v>0</v>
      </c>
      <c r="CD23" s="7">
        <f>IF(預測IC!CD23&gt;預測IC!CD$25,1,0)</f>
        <v>0</v>
      </c>
      <c r="CE23" s="7">
        <f>IF(預測IC!CE23&gt;預測IC!CE$25,1,0)</f>
        <v>0</v>
      </c>
      <c r="CF23" s="7">
        <f>IF(預測IC!CF23&gt;預測IC!CF$25,1,0)</f>
        <v>0</v>
      </c>
      <c r="CG23" s="7">
        <f>IF(預測IC!CG23&gt;預測IC!CG$25,1,0)</f>
        <v>0</v>
      </c>
      <c r="CH23" s="7">
        <f>IF(預測IC!CH23&gt;預測IC!CH$25,1,0)</f>
        <v>1</v>
      </c>
      <c r="CI23" s="7">
        <f>IF(預測IC!CI23&gt;預測IC!CI$25,1,0)</f>
        <v>1</v>
      </c>
      <c r="CJ23" s="7">
        <f>IF(預測IC!CJ23&gt;預測IC!CJ$25,1,0)</f>
        <v>0</v>
      </c>
      <c r="CK23" s="7">
        <f>IF(預測IC!CK23&gt;預測IC!CK$25,1,0)</f>
        <v>1</v>
      </c>
      <c r="CL23" s="7">
        <f>IF(預測IC!CL23&gt;預測IC!CL$25,1,0)</f>
        <v>0</v>
      </c>
      <c r="CM23" s="7">
        <f>IF(預測IC!CM23&gt;預測IC!CM$25,1,0)</f>
        <v>1</v>
      </c>
      <c r="CN23" s="7">
        <f>IF(預測IC!CN23&gt;預測IC!CN$25,1,0)</f>
        <v>1</v>
      </c>
      <c r="CO23" s="7">
        <f>IF(預測IC!CO23&gt;預測IC!CO$25,1,0)</f>
        <v>0</v>
      </c>
      <c r="CP23" s="7">
        <f>IF(預測IC!CP23&gt;預測IC!CP$25,1,0)</f>
        <v>0</v>
      </c>
      <c r="CQ23" s="7">
        <f>IF(預測IC!CQ23&gt;預測IC!CQ$25,1,0)</f>
        <v>1</v>
      </c>
      <c r="CR23" s="7">
        <f>IF(預測IC!CR23&gt;預測IC!CR$25,1,0)</f>
        <v>0</v>
      </c>
      <c r="CS23" s="7">
        <f>IF(預測IC!CS23&gt;預測IC!CS$25,1,0)</f>
        <v>1</v>
      </c>
      <c r="CT23" s="7">
        <f>IF(預測IC!CT23&gt;預測IC!CT$25,1,0)</f>
        <v>0</v>
      </c>
      <c r="CU23" s="7">
        <f>IF(預測IC!CU23&gt;預測IC!CU$25,1,0)</f>
        <v>1</v>
      </c>
      <c r="CV23" s="7">
        <f>IF(預測IC!CV23&gt;預測IC!CV$25,1,0)</f>
        <v>0</v>
      </c>
      <c r="CW23" s="7">
        <f>IF(預測IC!CW23&gt;預測IC!CW$25,1,0)</f>
        <v>0</v>
      </c>
      <c r="CX23" s="7">
        <f>IF(預測IC!CX23&gt;預測IC!CX$25,1,0)</f>
        <v>1</v>
      </c>
      <c r="CY23" s="7">
        <f>IF(預測IC!CY23&gt;預測IC!CY$25,1,0)</f>
        <v>0</v>
      </c>
      <c r="CZ23" s="7">
        <f>IF(預測IC!CZ23&gt;預測IC!CZ$25,1,0)</f>
        <v>1</v>
      </c>
      <c r="DA23" s="7">
        <f>IF(預測IC!DA23&gt;預測IC!DA$25,1,0)</f>
        <v>0</v>
      </c>
      <c r="DB23" s="7">
        <f>IF(預測IC!DB23&gt;預測IC!DB$25,1,0)</f>
        <v>1</v>
      </c>
      <c r="DC23" s="7">
        <f>IF(預測IC!DC23&gt;預測IC!DC$25,1,0)</f>
        <v>0</v>
      </c>
      <c r="DD23" s="7">
        <f>IF(預測IC!DD23&gt;預測IC!DD$25,1,0)</f>
        <v>1</v>
      </c>
      <c r="DE23" s="7">
        <f>IF(預測IC!DE23&gt;預測IC!DE$25,1,0)</f>
        <v>0</v>
      </c>
      <c r="DF23" s="7">
        <f>IF(預測IC!DF23&gt;預測IC!DF$25,1,0)</f>
        <v>1</v>
      </c>
      <c r="DG23" s="7">
        <f>IF(預測IC!DG23&gt;預測IC!DG$25,1,0)</f>
        <v>1</v>
      </c>
      <c r="DH23" s="7">
        <f>IF(預測IC!DH23&gt;預測IC!DH$25,1,0)</f>
        <v>0</v>
      </c>
      <c r="DI23" s="7">
        <f>IF(預測IC!DI23&gt;預測IC!DI$25,1,0)</f>
        <v>1</v>
      </c>
      <c r="DJ23" s="7">
        <f>IF(預測IC!DJ23&gt;預測IC!DJ$25,1,0)</f>
        <v>0</v>
      </c>
      <c r="DK23" s="7">
        <f>IF(預測IC!DK23&gt;預測IC!DK$25,1,0)</f>
        <v>0</v>
      </c>
      <c r="DL23" s="7">
        <f>IF(預測IC!DL23&gt;預測IC!DL$25,1,0)</f>
        <v>0</v>
      </c>
      <c r="DM23" s="7">
        <f>IF(預測IC!DM23&gt;預測IC!DM$25,1,0)</f>
        <v>0</v>
      </c>
      <c r="DN23" s="7">
        <f>IF(預測IC!DN23&gt;預測IC!DN$25,1,0)</f>
        <v>1</v>
      </c>
      <c r="DO23" s="7">
        <f>IF(預測IC!DO23&gt;預測IC!DO$25,1,0)</f>
        <v>0</v>
      </c>
      <c r="DP23" s="7">
        <f>IF(預測IC!DP23&gt;預測IC!DP$25,1,0)</f>
        <v>1</v>
      </c>
      <c r="DQ23" s="7">
        <f>IF(預測IC!DQ23&gt;預測IC!DQ$25,1,0)</f>
        <v>0</v>
      </c>
      <c r="DR23" s="7">
        <f>IF(預測IC!DR23&gt;預測IC!DR$25,1,0)</f>
        <v>0</v>
      </c>
      <c r="DS23" s="7">
        <f>IF(預測IC!DS23&gt;預測IC!DS$25,1,0)</f>
        <v>0</v>
      </c>
      <c r="DT23" s="7">
        <f>IF(預測IC!DT23&gt;預測IC!DT$25,1,0)</f>
        <v>0</v>
      </c>
      <c r="DU23" s="7">
        <f>IF(預測IC!DU23&gt;預測IC!DU$25,1,0)</f>
        <v>0</v>
      </c>
      <c r="DV23" s="7">
        <f>IF(預測IC!DV23&gt;預測IC!DV$25,1,0)</f>
        <v>0</v>
      </c>
      <c r="DW23" s="7">
        <f>IF(預測IC!DW23&gt;預測IC!DW$25,1,0)</f>
        <v>1</v>
      </c>
      <c r="DX23" s="7">
        <f>IF(預測IC!DX23&gt;預測IC!DX$25,1,0)</f>
        <v>1</v>
      </c>
      <c r="DY23" s="7">
        <f>IF(預測IC!DY23&gt;預測IC!DY$25,1,0)</f>
        <v>0</v>
      </c>
      <c r="DZ23" s="7">
        <f>IF(預測IC!DZ23&gt;預測IC!DZ$25,1,0)</f>
        <v>1</v>
      </c>
      <c r="EA23" s="7">
        <f>IF(預測IC!EA23&gt;預測IC!EA$25,1,0)</f>
        <v>0</v>
      </c>
      <c r="EB23" s="7">
        <f>IF(預測IC!EB23&gt;預測IC!EB$25,1,0)</f>
        <v>1</v>
      </c>
      <c r="EC23" s="7">
        <f>IF(預測IC!EC23&gt;預測IC!EC$25,1,0)</f>
        <v>1</v>
      </c>
      <c r="ED23" s="7">
        <f>IF(預測IC!ED23&gt;預測IC!ED$25,1,0)</f>
        <v>1</v>
      </c>
      <c r="EE23" s="7">
        <f>IF(預測IC!EE23&gt;預測IC!EE$25,1,0)</f>
        <v>1</v>
      </c>
      <c r="EF23" s="7">
        <f>IF(預測IC!EF23&gt;預測IC!EF$25,1,0)</f>
        <v>0</v>
      </c>
      <c r="EG23">
        <f t="shared" si="10"/>
        <v>71</v>
      </c>
      <c r="EH23" s="12">
        <f t="shared" si="11"/>
        <v>0.52985074626865669</v>
      </c>
    </row>
    <row r="24" spans="1:138" x14ac:dyDescent="0.3">
      <c r="A24" s="1">
        <v>964</v>
      </c>
      <c r="B24" s="1">
        <v>1</v>
      </c>
      <c r="C24" s="7">
        <f>IF(預測IC!C24&gt;預測IC!C$25,1,0)</f>
        <v>1</v>
      </c>
      <c r="D24" s="7">
        <f>IF(預測IC!D24&gt;預測IC!D$25,1,0)</f>
        <v>1</v>
      </c>
      <c r="E24" s="7">
        <f>IF(預測IC!E24&gt;預測IC!E$25,1,0)</f>
        <v>1</v>
      </c>
      <c r="F24" s="7">
        <f>IF(預測IC!F24&gt;預測IC!F$25,1,0)</f>
        <v>1</v>
      </c>
      <c r="G24" s="7">
        <f>IF(預測IC!G24&gt;預測IC!G$25,1,0)</f>
        <v>0</v>
      </c>
      <c r="H24" s="7">
        <f>IF(預測IC!H24&gt;預測IC!H$25,1,0)</f>
        <v>0</v>
      </c>
      <c r="I24" s="7">
        <f>IF(預測IC!I24&gt;預測IC!I$25,1,0)</f>
        <v>1</v>
      </c>
      <c r="J24" s="7">
        <f>IF(預測IC!J24&gt;預測IC!J$25,1,0)</f>
        <v>0</v>
      </c>
      <c r="K24" s="7">
        <f>IF(預測IC!K24&gt;預測IC!K$25,1,0)</f>
        <v>1</v>
      </c>
      <c r="L24" s="7">
        <f>IF(預測IC!L24&gt;預測IC!L$25,1,0)</f>
        <v>0</v>
      </c>
      <c r="M24" s="7">
        <f>IF(預測IC!M24&gt;預測IC!M$25,1,0)</f>
        <v>0</v>
      </c>
      <c r="N24" s="7">
        <f>IF(預測IC!N24&gt;預測IC!N$25,1,0)</f>
        <v>1</v>
      </c>
      <c r="O24" s="7">
        <f>IF(預測IC!O24&gt;預測IC!O$25,1,0)</f>
        <v>1</v>
      </c>
      <c r="P24" s="7">
        <f>IF(預測IC!P24&gt;預測IC!P$25,1,0)</f>
        <v>1</v>
      </c>
      <c r="Q24" s="7">
        <f>IF(預測IC!Q24&gt;預測IC!Q$25,1,0)</f>
        <v>0</v>
      </c>
      <c r="R24" s="7">
        <f>IF(預測IC!R24&gt;預測IC!R$25,1,0)</f>
        <v>1</v>
      </c>
      <c r="S24" s="7">
        <f>IF(預測IC!S24&gt;預測IC!S$25,1,0)</f>
        <v>1</v>
      </c>
      <c r="T24" s="7">
        <f>IF(預測IC!T24&gt;預測IC!T$25,1,0)</f>
        <v>0</v>
      </c>
      <c r="U24" s="7">
        <f>IF(預測IC!U24&gt;預測IC!U$25,1,0)</f>
        <v>1</v>
      </c>
      <c r="V24" s="7">
        <f>IF(預測IC!V24&gt;預測IC!V$25,1,0)</f>
        <v>0</v>
      </c>
      <c r="W24" s="7">
        <f>IF(預測IC!W24&gt;預測IC!W$25,1,0)</f>
        <v>1</v>
      </c>
      <c r="X24" s="7">
        <f>IF(預測IC!X24&gt;預測IC!X$25,1,0)</f>
        <v>0</v>
      </c>
      <c r="Y24" s="7">
        <f>IF(預測IC!Y24&gt;預測IC!Y$25,1,0)</f>
        <v>1</v>
      </c>
      <c r="Z24" s="7">
        <f>IF(預測IC!Z24&gt;預測IC!Z$25,1,0)</f>
        <v>1</v>
      </c>
      <c r="AA24" s="7">
        <f>IF(預測IC!AA24&gt;預測IC!AA$25,1,0)</f>
        <v>1</v>
      </c>
      <c r="AB24" s="7">
        <f>IF(預測IC!AB24&gt;預測IC!AB$25,1,0)</f>
        <v>0</v>
      </c>
      <c r="AC24" s="7">
        <f>IF(預測IC!AC24&gt;預測IC!AC$25,1,0)</f>
        <v>1</v>
      </c>
      <c r="AD24" s="7">
        <f>IF(預測IC!AD24&gt;預測IC!AD$25,1,0)</f>
        <v>1</v>
      </c>
      <c r="AE24" s="7">
        <f>IF(預測IC!AE24&gt;預測IC!AE$25,1,0)</f>
        <v>1</v>
      </c>
      <c r="AF24" s="7">
        <f>IF(預測IC!AF24&gt;預測IC!AF$25,1,0)</f>
        <v>0</v>
      </c>
      <c r="AG24" s="7">
        <f>IF(預測IC!AG24&gt;預測IC!AG$25,1,0)</f>
        <v>1</v>
      </c>
      <c r="AH24" s="7">
        <f>IF(預測IC!AH24&gt;預測IC!AH$25,1,0)</f>
        <v>0</v>
      </c>
      <c r="AI24" s="7">
        <f>IF(預測IC!AI24&gt;預測IC!AI$25,1,0)</f>
        <v>0</v>
      </c>
      <c r="AJ24" s="7">
        <f>IF(預測IC!AJ24&gt;預測IC!AJ$25,1,0)</f>
        <v>1</v>
      </c>
      <c r="AK24" s="7">
        <f>IF(預測IC!AK24&gt;預測IC!AK$25,1,0)</f>
        <v>1</v>
      </c>
      <c r="AL24" s="7">
        <f>IF(預測IC!AL24&gt;預測IC!AL$25,1,0)</f>
        <v>0</v>
      </c>
      <c r="AM24" s="7">
        <f>IF(預測IC!AM24&gt;預測IC!AM$25,1,0)</f>
        <v>0</v>
      </c>
      <c r="AN24" s="7">
        <f>IF(預測IC!AN24&gt;預測IC!AN$25,1,0)</f>
        <v>1</v>
      </c>
      <c r="AO24" s="7">
        <f>IF(預測IC!AO24&gt;預測IC!AO$25,1,0)</f>
        <v>1</v>
      </c>
      <c r="AP24" s="7">
        <f>IF(預測IC!AP24&gt;預測IC!AP$25,1,0)</f>
        <v>1</v>
      </c>
      <c r="AQ24" s="7">
        <f>IF(預測IC!AQ24&gt;預測IC!AQ$25,1,0)</f>
        <v>0</v>
      </c>
      <c r="AR24" s="7">
        <f>IF(預測IC!AR24&gt;預測IC!AR$25,1,0)</f>
        <v>1</v>
      </c>
      <c r="AS24" s="7">
        <f>IF(預測IC!AS24&gt;預測IC!AS$25,1,0)</f>
        <v>0</v>
      </c>
      <c r="AT24" s="7">
        <f>IF(預測IC!AT24&gt;預測IC!AT$25,1,0)</f>
        <v>1</v>
      </c>
      <c r="AU24" s="7">
        <f>IF(預測IC!AU24&gt;預測IC!AU$25,1,0)</f>
        <v>1</v>
      </c>
      <c r="AV24" s="7">
        <f>IF(預測IC!AV24&gt;預測IC!AV$25,1,0)</f>
        <v>0</v>
      </c>
      <c r="AW24" s="7">
        <f>IF(預測IC!AW24&gt;預測IC!AW$25,1,0)</f>
        <v>1</v>
      </c>
      <c r="AX24" s="7">
        <f>IF(預測IC!AX24&gt;預測IC!AX$25,1,0)</f>
        <v>0</v>
      </c>
      <c r="AY24" s="7">
        <f>IF(預測IC!AY24&gt;預測IC!AY$25,1,0)</f>
        <v>1</v>
      </c>
      <c r="AZ24" s="7">
        <f>IF(預測IC!AZ24&gt;預測IC!AZ$25,1,0)</f>
        <v>0</v>
      </c>
      <c r="BA24" s="7">
        <f>IF(預測IC!BA24&gt;預測IC!BA$25,1,0)</f>
        <v>0</v>
      </c>
      <c r="BB24" s="7">
        <f>IF(預測IC!BB24&gt;預測IC!BB$25,1,0)</f>
        <v>1</v>
      </c>
      <c r="BC24" s="7">
        <f>IF(預測IC!BC24&gt;預測IC!BC$25,1,0)</f>
        <v>0</v>
      </c>
      <c r="BD24" s="7">
        <f>IF(預測IC!BD24&gt;預測IC!BD$25,1,0)</f>
        <v>1</v>
      </c>
      <c r="BE24" s="7">
        <f>IF(預測IC!BE24&gt;預測IC!BE$25,1,0)</f>
        <v>1</v>
      </c>
      <c r="BF24" s="7">
        <f>IF(預測IC!BF24&gt;預測IC!BF$25,1,0)</f>
        <v>0</v>
      </c>
      <c r="BG24" s="7">
        <f>IF(預測IC!BG24&gt;預測IC!BG$25,1,0)</f>
        <v>1</v>
      </c>
      <c r="BH24" s="7">
        <f>IF(預測IC!BH24&gt;預測IC!BH$25,1,0)</f>
        <v>0</v>
      </c>
      <c r="BI24" s="7">
        <f>IF(預測IC!BI24&gt;預測IC!BI$25,1,0)</f>
        <v>0</v>
      </c>
      <c r="BJ24" s="7">
        <f>IF(預測IC!BJ24&gt;預測IC!BJ$25,1,0)</f>
        <v>0</v>
      </c>
      <c r="BK24" s="7">
        <f>IF(預測IC!BK24&gt;預測IC!BK$25,1,0)</f>
        <v>0</v>
      </c>
      <c r="BL24" s="7">
        <f>IF(預測IC!BL24&gt;預測IC!BL$25,1,0)</f>
        <v>1</v>
      </c>
      <c r="BM24" s="7">
        <f>IF(預測IC!BM24&gt;預測IC!BM$25,1,0)</f>
        <v>1</v>
      </c>
      <c r="BN24" s="7">
        <f>IF(預測IC!BN24&gt;預測IC!BN$25,1,0)</f>
        <v>0</v>
      </c>
      <c r="BO24" s="7">
        <f>IF(預測IC!BO24&gt;預測IC!BO$25,1,0)</f>
        <v>1</v>
      </c>
      <c r="BP24" s="7">
        <f>IF(預測IC!BP24&gt;預測IC!BP$25,1,0)</f>
        <v>1</v>
      </c>
      <c r="BQ24" s="7">
        <f>IF(預測IC!BQ24&gt;預測IC!BQ$25,1,0)</f>
        <v>1</v>
      </c>
      <c r="BR24" s="7">
        <f>IF(預測IC!BR24&gt;預測IC!BR$25,1,0)</f>
        <v>1</v>
      </c>
      <c r="BS24" s="7">
        <f>IF(預測IC!BS24&gt;預測IC!BS$25,1,0)</f>
        <v>1</v>
      </c>
      <c r="BT24" s="7">
        <f>IF(預測IC!BT24&gt;預測IC!BT$25,1,0)</f>
        <v>1</v>
      </c>
      <c r="BU24" s="7">
        <f>IF(預測IC!BU24&gt;預測IC!BU$25,1,0)</f>
        <v>1</v>
      </c>
      <c r="BV24" s="7">
        <f>IF(預測IC!BV24&gt;預測IC!BV$25,1,0)</f>
        <v>1</v>
      </c>
      <c r="BW24" s="7">
        <f>IF(預測IC!BW24&gt;預測IC!BW$25,1,0)</f>
        <v>1</v>
      </c>
      <c r="BX24" s="7">
        <f>IF(預測IC!BX24&gt;預測IC!BX$25,1,0)</f>
        <v>0</v>
      </c>
      <c r="BY24" s="7">
        <f>IF(預測IC!BY24&gt;預測IC!BY$25,1,0)</f>
        <v>0</v>
      </c>
      <c r="BZ24" s="7">
        <f>IF(預測IC!BZ24&gt;預測IC!BZ$25,1,0)</f>
        <v>0</v>
      </c>
      <c r="CA24" s="7">
        <f>IF(預測IC!CA24&gt;預測IC!CA$25,1,0)</f>
        <v>0</v>
      </c>
      <c r="CB24" s="7">
        <f>IF(預測IC!CB24&gt;預測IC!CB$25,1,0)</f>
        <v>0</v>
      </c>
      <c r="CC24" s="7">
        <f>IF(預測IC!CC24&gt;預測IC!CC$25,1,0)</f>
        <v>0</v>
      </c>
      <c r="CD24" s="7">
        <f>IF(預測IC!CD24&gt;預測IC!CD$25,1,0)</f>
        <v>0</v>
      </c>
      <c r="CE24" s="7">
        <f>IF(預測IC!CE24&gt;預測IC!CE$25,1,0)</f>
        <v>0</v>
      </c>
      <c r="CF24" s="7">
        <f>IF(預測IC!CF24&gt;預測IC!CF$25,1,0)</f>
        <v>1</v>
      </c>
      <c r="CG24" s="7">
        <f>IF(預測IC!CG24&gt;預測IC!CG$25,1,0)</f>
        <v>0</v>
      </c>
      <c r="CH24" s="7">
        <f>IF(預測IC!CH24&gt;預測IC!CH$25,1,0)</f>
        <v>1</v>
      </c>
      <c r="CI24" s="7">
        <f>IF(預測IC!CI24&gt;預測IC!CI$25,1,0)</f>
        <v>1</v>
      </c>
      <c r="CJ24" s="7">
        <f>IF(預測IC!CJ24&gt;預測IC!CJ$25,1,0)</f>
        <v>0</v>
      </c>
      <c r="CK24" s="7">
        <f>IF(預測IC!CK24&gt;預測IC!CK$25,1,0)</f>
        <v>1</v>
      </c>
      <c r="CL24" s="7">
        <f>IF(預測IC!CL24&gt;預測IC!CL$25,1,0)</f>
        <v>0</v>
      </c>
      <c r="CM24" s="7">
        <f>IF(預測IC!CM24&gt;預測IC!CM$25,1,0)</f>
        <v>1</v>
      </c>
      <c r="CN24" s="7">
        <f>IF(預測IC!CN24&gt;預測IC!CN$25,1,0)</f>
        <v>1</v>
      </c>
      <c r="CO24" s="7">
        <f>IF(預測IC!CO24&gt;預測IC!CO$25,1,0)</f>
        <v>0</v>
      </c>
      <c r="CP24" s="7">
        <f>IF(預測IC!CP24&gt;預測IC!CP$25,1,0)</f>
        <v>0</v>
      </c>
      <c r="CQ24" s="7">
        <f>IF(預測IC!CQ24&gt;預測IC!CQ$25,1,0)</f>
        <v>0</v>
      </c>
      <c r="CR24" s="7">
        <f>IF(預測IC!CR24&gt;預測IC!CR$25,1,0)</f>
        <v>0</v>
      </c>
      <c r="CS24" s="7">
        <f>IF(預測IC!CS24&gt;預測IC!CS$25,1,0)</f>
        <v>0</v>
      </c>
      <c r="CT24" s="7">
        <f>IF(預測IC!CT24&gt;預測IC!CT$25,1,0)</f>
        <v>1</v>
      </c>
      <c r="CU24" s="7">
        <f>IF(預測IC!CU24&gt;預測IC!CU$25,1,0)</f>
        <v>1</v>
      </c>
      <c r="CV24" s="7">
        <f>IF(預測IC!CV24&gt;預測IC!CV$25,1,0)</f>
        <v>0</v>
      </c>
      <c r="CW24" s="7">
        <f>IF(預測IC!CW24&gt;預測IC!CW$25,1,0)</f>
        <v>0</v>
      </c>
      <c r="CX24" s="7">
        <f>IF(預測IC!CX24&gt;預測IC!CX$25,1,0)</f>
        <v>0</v>
      </c>
      <c r="CY24" s="7">
        <f>IF(預測IC!CY24&gt;預測IC!CY$25,1,0)</f>
        <v>0</v>
      </c>
      <c r="CZ24" s="7">
        <f>IF(預測IC!CZ24&gt;預測IC!CZ$25,1,0)</f>
        <v>1</v>
      </c>
      <c r="DA24" s="7">
        <f>IF(預測IC!DA24&gt;預測IC!DA$25,1,0)</f>
        <v>1</v>
      </c>
      <c r="DB24" s="7">
        <f>IF(預測IC!DB24&gt;預測IC!DB$25,1,0)</f>
        <v>1</v>
      </c>
      <c r="DC24" s="7">
        <f>IF(預測IC!DC24&gt;預測IC!DC$25,1,0)</f>
        <v>0</v>
      </c>
      <c r="DD24" s="7">
        <f>IF(預測IC!DD24&gt;預測IC!DD$25,1,0)</f>
        <v>0</v>
      </c>
      <c r="DE24" s="7">
        <f>IF(預測IC!DE24&gt;預測IC!DE$25,1,0)</f>
        <v>0</v>
      </c>
      <c r="DF24" s="7">
        <f>IF(預測IC!DF24&gt;預測IC!DF$25,1,0)</f>
        <v>1</v>
      </c>
      <c r="DG24" s="7">
        <f>IF(預測IC!DG24&gt;預測IC!DG$25,1,0)</f>
        <v>1</v>
      </c>
      <c r="DH24" s="7">
        <f>IF(預測IC!DH24&gt;預測IC!DH$25,1,0)</f>
        <v>0</v>
      </c>
      <c r="DI24" s="7">
        <f>IF(預測IC!DI24&gt;預測IC!DI$25,1,0)</f>
        <v>1</v>
      </c>
      <c r="DJ24" s="7">
        <f>IF(預測IC!DJ24&gt;預測IC!DJ$25,1,0)</f>
        <v>0</v>
      </c>
      <c r="DK24" s="7">
        <f>IF(預測IC!DK24&gt;預測IC!DK$25,1,0)</f>
        <v>0</v>
      </c>
      <c r="DL24" s="7">
        <f>IF(預測IC!DL24&gt;預測IC!DL$25,1,0)</f>
        <v>0</v>
      </c>
      <c r="DM24" s="7">
        <f>IF(預測IC!DM24&gt;預測IC!DM$25,1,0)</f>
        <v>1</v>
      </c>
      <c r="DN24" s="7">
        <f>IF(預測IC!DN24&gt;預測IC!DN$25,1,0)</f>
        <v>1</v>
      </c>
      <c r="DO24" s="7">
        <f>IF(預測IC!DO24&gt;預測IC!DO$25,1,0)</f>
        <v>0</v>
      </c>
      <c r="DP24" s="7">
        <f>IF(預測IC!DP24&gt;預測IC!DP$25,1,0)</f>
        <v>1</v>
      </c>
      <c r="DQ24" s="7">
        <f>IF(預測IC!DQ24&gt;預測IC!DQ$25,1,0)</f>
        <v>0</v>
      </c>
      <c r="DR24" s="7">
        <f>IF(預測IC!DR24&gt;預測IC!DR$25,1,0)</f>
        <v>0</v>
      </c>
      <c r="DS24" s="7">
        <f>IF(預測IC!DS24&gt;預測IC!DS$25,1,0)</f>
        <v>0</v>
      </c>
      <c r="DT24" s="7">
        <f>IF(預測IC!DT24&gt;預測IC!DT$25,1,0)</f>
        <v>0</v>
      </c>
      <c r="DU24" s="7">
        <f>IF(預測IC!DU24&gt;預測IC!DU$25,1,0)</f>
        <v>0</v>
      </c>
      <c r="DV24" s="7">
        <f>IF(預測IC!DV24&gt;預測IC!DV$25,1,0)</f>
        <v>0</v>
      </c>
      <c r="DW24" s="7">
        <f>IF(預測IC!DW24&gt;預測IC!DW$25,1,0)</f>
        <v>1</v>
      </c>
      <c r="DX24" s="7">
        <f>IF(預測IC!DX24&gt;預測IC!DX$25,1,0)</f>
        <v>1</v>
      </c>
      <c r="DY24" s="7">
        <f>IF(預測IC!DY24&gt;預測IC!DY$25,1,0)</f>
        <v>1</v>
      </c>
      <c r="DZ24" s="7">
        <f>IF(預測IC!DZ24&gt;預測IC!DZ$25,1,0)</f>
        <v>0</v>
      </c>
      <c r="EA24" s="7">
        <f>IF(預測IC!EA24&gt;預測IC!EA$25,1,0)</f>
        <v>0</v>
      </c>
      <c r="EB24" s="7">
        <f>IF(預測IC!EB24&gt;預測IC!EB$25,1,0)</f>
        <v>1</v>
      </c>
      <c r="EC24" s="7">
        <f>IF(預測IC!EC24&gt;預測IC!EC$25,1,0)</f>
        <v>1</v>
      </c>
      <c r="ED24" s="7">
        <f>IF(預測IC!ED24&gt;預測IC!ED$25,1,0)</f>
        <v>1</v>
      </c>
      <c r="EE24" s="7">
        <f>IF(預測IC!EE24&gt;預測IC!EE$25,1,0)</f>
        <v>0</v>
      </c>
      <c r="EF24" s="7">
        <f>IF(預測IC!EF24&gt;預測IC!EF$25,1,0)</f>
        <v>0</v>
      </c>
      <c r="EG24">
        <f t="shared" si="10"/>
        <v>68</v>
      </c>
      <c r="EH24" s="12">
        <f t="shared" si="11"/>
        <v>0.5074626865671642</v>
      </c>
    </row>
    <row r="25" spans="1:138" s="13" customFormat="1" x14ac:dyDescent="0.3">
      <c r="A25" s="6" t="s">
        <v>147</v>
      </c>
      <c r="B25" s="6" t="s">
        <v>148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G25"/>
  <sheetViews>
    <sheetView topLeftCell="AT1" zoomScale="44" workbookViewId="0">
      <selection activeCell="A7" sqref="A1:XFD1048576"/>
    </sheetView>
  </sheetViews>
  <sheetFormatPr defaultRowHeight="15" x14ac:dyDescent="0.3"/>
  <sheetData>
    <row r="1" spans="1:137" x14ac:dyDescent="0.3">
      <c r="A1" t="s">
        <v>0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</row>
    <row r="3" spans="1:137" x14ac:dyDescent="0.3">
      <c r="B3" s="1" t="s">
        <v>136</v>
      </c>
      <c r="C3" s="9">
        <v>0.10910583</v>
      </c>
      <c r="D3" s="9">
        <v>1.457658E-2</v>
      </c>
      <c r="E3" s="9">
        <v>-3.6154400000000003E-2</v>
      </c>
      <c r="F3" s="9">
        <v>-4.7425999999999996E-3</v>
      </c>
      <c r="G3" s="9">
        <v>-5.7478E-3</v>
      </c>
      <c r="H3" s="9">
        <v>4.9378020000000002E-2</v>
      </c>
      <c r="I3" s="9">
        <v>0.18325177000000001</v>
      </c>
      <c r="J3" s="9">
        <v>0.11648631</v>
      </c>
      <c r="K3" s="9">
        <v>-3.0594900000000001E-2</v>
      </c>
      <c r="L3" s="9">
        <v>1.982805E-2</v>
      </c>
      <c r="M3" s="9">
        <v>-2.0999E-2</v>
      </c>
      <c r="N3" s="9">
        <v>0.14977942</v>
      </c>
      <c r="O3" s="9">
        <v>1.546341E-2</v>
      </c>
      <c r="P3" s="9">
        <v>-9.1792299999999993E-2</v>
      </c>
      <c r="Q3" s="9">
        <v>-7.7409000000000006E-2</v>
      </c>
      <c r="R3" s="9">
        <v>5.4776600000000002E-2</v>
      </c>
      <c r="S3" s="9">
        <v>-0.12533440000000001</v>
      </c>
      <c r="T3" s="9">
        <v>-0.1190534</v>
      </c>
      <c r="U3" s="9">
        <v>-3.7770100000000001E-2</v>
      </c>
      <c r="V3" s="9">
        <v>8.1183820000000004E-2</v>
      </c>
      <c r="W3" s="9">
        <v>8.4008970000000002E-2</v>
      </c>
      <c r="X3" s="9">
        <v>0.14701136000000001</v>
      </c>
      <c r="Y3" s="9">
        <v>-0.12536050000000001</v>
      </c>
      <c r="Z3" s="9">
        <v>0.19195355</v>
      </c>
      <c r="AA3" s="9">
        <v>-8.4370799999999996E-2</v>
      </c>
      <c r="AB3" s="9">
        <v>7.2897610000000002E-2</v>
      </c>
      <c r="AC3" s="9">
        <v>0.10260456</v>
      </c>
      <c r="AD3" s="9">
        <v>1.577017E-2</v>
      </c>
      <c r="AE3" s="9">
        <v>-0.15200720000000001</v>
      </c>
      <c r="AF3" s="9">
        <v>5.9250249999999997E-2</v>
      </c>
      <c r="AG3" s="9">
        <v>0.13005884000000001</v>
      </c>
      <c r="AH3" s="9">
        <v>0.11525639999999999</v>
      </c>
      <c r="AI3" s="9">
        <v>3.2606620000000003E-2</v>
      </c>
      <c r="AJ3" s="9">
        <v>2.7999110000000001E-2</v>
      </c>
      <c r="AK3" s="9">
        <v>0.14657042000000001</v>
      </c>
      <c r="AL3" s="9">
        <v>4.0841919999999997E-2</v>
      </c>
      <c r="AM3" s="9">
        <v>0.13137636999999999</v>
      </c>
      <c r="AN3" s="9">
        <v>0.22143296000000001</v>
      </c>
      <c r="AO3" s="9">
        <v>-2.0941000000000001E-2</v>
      </c>
      <c r="AP3" s="9">
        <v>-0.13716</v>
      </c>
      <c r="AQ3" s="9">
        <v>-2.4882899999999999E-2</v>
      </c>
      <c r="AR3" s="9">
        <v>1.551397E-2</v>
      </c>
      <c r="AS3" s="9">
        <v>3.4373040000000001E-2</v>
      </c>
      <c r="AT3" s="9">
        <v>6.3095689999999996E-2</v>
      </c>
      <c r="AU3" s="9">
        <v>4.3237699999999997E-2</v>
      </c>
      <c r="AV3" s="9">
        <v>-7.4230400000000002E-2</v>
      </c>
      <c r="AW3" s="9">
        <v>2.7994829999999998E-2</v>
      </c>
      <c r="AX3" s="9">
        <v>0.11986442</v>
      </c>
      <c r="AY3" s="9">
        <v>7.6559569999999993E-2</v>
      </c>
      <c r="AZ3" s="9">
        <v>-2.17304E-2</v>
      </c>
      <c r="BA3" s="9">
        <v>-1.2465E-3</v>
      </c>
      <c r="BB3" s="9">
        <v>0.10099582</v>
      </c>
      <c r="BC3" s="9">
        <v>2.9826930000000001E-2</v>
      </c>
      <c r="BD3" s="9">
        <v>8.6757699999999993E-3</v>
      </c>
      <c r="BE3" s="9">
        <v>6.8557209999999993E-2</v>
      </c>
      <c r="BF3" s="9">
        <v>0.15691260000000001</v>
      </c>
      <c r="BG3" s="9">
        <v>0.15920372999999999</v>
      </c>
      <c r="BH3" s="9">
        <v>6.1121670000000003E-2</v>
      </c>
      <c r="BI3" s="9">
        <v>9.6912849999999995E-2</v>
      </c>
      <c r="BJ3" s="9">
        <v>-5.4746200000000002E-2</v>
      </c>
      <c r="BK3" s="9">
        <v>-8.7493000000000001E-2</v>
      </c>
      <c r="BL3" s="9">
        <v>9.4426750000000004E-2</v>
      </c>
      <c r="BM3" s="9">
        <v>-2.2191099999999998E-2</v>
      </c>
      <c r="BN3" s="9">
        <v>1.5628610000000001E-2</v>
      </c>
      <c r="BO3" s="9">
        <v>8.1418240000000003E-2</v>
      </c>
      <c r="BP3" s="9">
        <v>-1.8508899999999998E-2</v>
      </c>
      <c r="BQ3" s="9">
        <v>6.8729570000000004E-2</v>
      </c>
      <c r="BR3" s="9">
        <v>3.1023600000000002E-3</v>
      </c>
      <c r="BS3" s="9">
        <v>7.4964420000000004E-2</v>
      </c>
      <c r="BT3" s="9">
        <v>4.520159E-2</v>
      </c>
      <c r="BU3" s="9">
        <v>2.5677330000000002E-2</v>
      </c>
      <c r="BV3" s="9">
        <v>9.1804029999999995E-2</v>
      </c>
      <c r="BW3" s="9">
        <v>-2.6353999999999999E-2</v>
      </c>
      <c r="BX3" s="9">
        <v>1.9394829999999998E-2</v>
      </c>
      <c r="BY3" s="9">
        <v>-7.6838900000000002E-2</v>
      </c>
      <c r="BZ3" s="9">
        <v>0.11330931</v>
      </c>
      <c r="CA3" s="9">
        <v>-0.1073549</v>
      </c>
      <c r="CB3" s="9">
        <v>4.0844789999999999E-2</v>
      </c>
      <c r="CC3" s="9">
        <v>-1.9801699999999998E-2</v>
      </c>
      <c r="CD3" s="9">
        <v>0.18837709</v>
      </c>
      <c r="CE3" s="9">
        <v>5.5574909999999998E-2</v>
      </c>
      <c r="CF3" s="9">
        <v>7.4872069999999999E-2</v>
      </c>
      <c r="CG3" s="9">
        <v>0.10000019</v>
      </c>
      <c r="CH3" s="9">
        <v>0.13602172000000001</v>
      </c>
      <c r="CI3" s="9">
        <v>-9.3741000000000005E-2</v>
      </c>
      <c r="CJ3" s="9">
        <v>3.9306000000000002E-3</v>
      </c>
      <c r="CK3" s="9">
        <v>5.6507780000000001E-2</v>
      </c>
      <c r="CL3" s="9">
        <v>0.26354578000000001</v>
      </c>
      <c r="CM3" s="9">
        <v>-9.5554000000000004E-3</v>
      </c>
      <c r="CN3" s="9">
        <v>-3.1511900000000002E-2</v>
      </c>
      <c r="CO3" s="9">
        <v>-2.2619E-2</v>
      </c>
      <c r="CP3" s="9">
        <v>0.13265561000000001</v>
      </c>
      <c r="CQ3" s="9">
        <v>0.13307278</v>
      </c>
      <c r="CR3" s="9">
        <v>-1.49564E-2</v>
      </c>
      <c r="CS3" s="9">
        <v>-3.3419900000000002E-2</v>
      </c>
      <c r="CT3" s="9">
        <v>1.2281210000000001E-2</v>
      </c>
      <c r="CU3" s="9">
        <v>0.11681498</v>
      </c>
      <c r="CV3" s="9">
        <v>-3.1589000000000001E-3</v>
      </c>
      <c r="CW3" s="9">
        <v>3.8217760000000003E-2</v>
      </c>
      <c r="CX3" s="9">
        <v>0.13917409</v>
      </c>
      <c r="CY3" s="9">
        <v>-2.3712299999999999E-2</v>
      </c>
      <c r="CZ3" s="9">
        <v>0.21835291000000001</v>
      </c>
      <c r="DA3" s="9">
        <v>-5.7967400000000002E-2</v>
      </c>
      <c r="DB3" s="9">
        <v>-1.4104200000000001E-2</v>
      </c>
      <c r="DC3" s="9">
        <v>0.11395608</v>
      </c>
      <c r="DD3" s="9">
        <v>7.4472259999999998E-2</v>
      </c>
      <c r="DE3" s="9">
        <v>-8.9970000000000002E-4</v>
      </c>
      <c r="DF3" s="9">
        <v>9.7707000000000002E-4</v>
      </c>
      <c r="DG3" s="9">
        <v>-7.2980100000000006E-2</v>
      </c>
      <c r="DH3" s="9">
        <v>-2.38453E-2</v>
      </c>
      <c r="DI3" s="9">
        <v>-0.1015307</v>
      </c>
      <c r="DJ3" s="9">
        <v>2.7692540000000002E-2</v>
      </c>
      <c r="DK3" s="9">
        <v>-4.9335200000000003E-2</v>
      </c>
      <c r="DL3" s="9">
        <v>-5.6994000000000003E-3</v>
      </c>
      <c r="DM3" s="9">
        <v>-3.6981800000000002E-2</v>
      </c>
      <c r="DN3" s="9">
        <v>0.10981299</v>
      </c>
      <c r="DO3" s="9">
        <v>4.2036829999999997E-2</v>
      </c>
      <c r="DP3" s="9">
        <v>8.4566669999999997E-2</v>
      </c>
      <c r="DQ3" s="9">
        <v>-0.1102798</v>
      </c>
      <c r="DR3" s="9">
        <v>9.4328709999999996E-2</v>
      </c>
      <c r="DS3" s="9">
        <v>-7.1906899999999996E-2</v>
      </c>
      <c r="DT3" s="9">
        <v>-9.62364E-2</v>
      </c>
      <c r="DU3" s="9">
        <v>2.3455500000000001E-3</v>
      </c>
      <c r="DV3" s="9">
        <v>0.13401742</v>
      </c>
      <c r="DW3" s="9">
        <v>9.4732520000000001E-2</v>
      </c>
      <c r="DX3" s="9">
        <v>-0.1037732</v>
      </c>
      <c r="DY3" s="9">
        <v>7.576215E-2</v>
      </c>
      <c r="DZ3" s="9">
        <v>-3.1829700000000002E-2</v>
      </c>
      <c r="EA3" s="9">
        <v>0.16130802</v>
      </c>
      <c r="EB3" s="9">
        <v>1.0203530000000001E-2</v>
      </c>
      <c r="EC3" s="9">
        <v>7.3988429999999994E-2</v>
      </c>
      <c r="ED3" s="9">
        <v>-0.15737689999999999</v>
      </c>
      <c r="EE3" s="9">
        <v>7.9137550000000001E-2</v>
      </c>
      <c r="EF3" s="9">
        <v>7.2528549999999997E-2</v>
      </c>
      <c r="EG3" s="10">
        <f>CORREL([1]bm補值!EG$2:EG$972,[1]下個月月報酬補值!EG$2:EG$972)</f>
        <v>0.14231065676311483</v>
      </c>
    </row>
    <row r="4" spans="1:137" x14ac:dyDescent="0.3">
      <c r="B4" s="1" t="s">
        <v>137</v>
      </c>
      <c r="C4" s="9">
        <v>-0.24758869999999999</v>
      </c>
      <c r="D4" s="9">
        <v>-0.27469329999999997</v>
      </c>
      <c r="E4" s="9">
        <v>-8.4648399999999999E-2</v>
      </c>
      <c r="F4" s="9">
        <v>2.2644629999999999E-2</v>
      </c>
      <c r="G4" s="9">
        <v>-4.9680000000000002E-2</v>
      </c>
      <c r="H4" s="9">
        <v>-0.1007596</v>
      </c>
      <c r="I4" s="9">
        <v>-1.2522699999999999E-2</v>
      </c>
      <c r="J4" s="9">
        <v>7.8736539999999994E-2</v>
      </c>
      <c r="K4" s="9">
        <v>-3.4185100000000003E-2</v>
      </c>
      <c r="L4" s="9">
        <v>8.8406789999999999E-2</v>
      </c>
      <c r="M4" s="9">
        <v>-3.0634999999999998E-3</v>
      </c>
      <c r="N4" s="9">
        <v>-0.21221799999999999</v>
      </c>
      <c r="O4" s="9">
        <v>-3.6805400000000002E-2</v>
      </c>
      <c r="P4" s="9">
        <v>7.1033120000000005E-2</v>
      </c>
      <c r="Q4" s="9">
        <v>-7.1261099999999994E-2</v>
      </c>
      <c r="R4" s="9">
        <v>2.1560449999999998E-2</v>
      </c>
      <c r="S4" s="9">
        <v>0.10111125999999999</v>
      </c>
      <c r="T4" s="9">
        <v>4.3224730000000003E-2</v>
      </c>
      <c r="U4" s="9">
        <v>1.488195E-2</v>
      </c>
      <c r="V4" s="9">
        <v>6.3260199999999999E-3</v>
      </c>
      <c r="W4" s="9">
        <v>-0.14355299999999999</v>
      </c>
      <c r="X4" s="9">
        <v>-6.4282199999999998E-2</v>
      </c>
      <c r="Y4" s="9">
        <v>-1.9034200000000001E-2</v>
      </c>
      <c r="Z4" s="9">
        <v>-2.0644599999999999E-2</v>
      </c>
      <c r="AA4" s="9">
        <v>3.3059529999999997E-2</v>
      </c>
      <c r="AB4" s="9">
        <v>-1.94182E-2</v>
      </c>
      <c r="AC4" s="9">
        <v>-6.3126799999999997E-2</v>
      </c>
      <c r="AD4" s="9">
        <v>-6.5629699999999999E-2</v>
      </c>
      <c r="AE4" s="9">
        <v>0.13799568000000001</v>
      </c>
      <c r="AF4" s="9">
        <v>-0.1005679</v>
      </c>
      <c r="AG4" s="9">
        <v>-3.7969099999999999E-2</v>
      </c>
      <c r="AH4" s="9">
        <v>-4.5839499999999998E-2</v>
      </c>
      <c r="AI4" s="9">
        <v>-5.1034099999999999E-2</v>
      </c>
      <c r="AJ4" s="9">
        <v>-3.2204E-3</v>
      </c>
      <c r="AK4" s="9">
        <v>4.8952000000000002E-4</v>
      </c>
      <c r="AL4" s="9">
        <v>-0.10644670000000001</v>
      </c>
      <c r="AM4" s="9">
        <v>-1.3724E-2</v>
      </c>
      <c r="AN4" s="9">
        <v>-0.1219647</v>
      </c>
      <c r="AO4" s="9">
        <v>-4.85897E-2</v>
      </c>
      <c r="AP4" s="9">
        <v>-1.9032000000000001E-3</v>
      </c>
      <c r="AQ4" s="9">
        <v>2.9067490000000001E-2</v>
      </c>
      <c r="AR4" s="9">
        <v>5.2635769999999998E-2</v>
      </c>
      <c r="AS4" s="9">
        <v>-1.28933E-2</v>
      </c>
      <c r="AT4" s="9">
        <v>-2.1310999999999999E-3</v>
      </c>
      <c r="AU4" s="9">
        <v>-0.15538440000000001</v>
      </c>
      <c r="AV4" s="9">
        <v>1.268178E-2</v>
      </c>
      <c r="AW4" s="9">
        <v>-1.1942299999999999E-2</v>
      </c>
      <c r="AX4" s="9">
        <v>-4.2538000000000003E-3</v>
      </c>
      <c r="AY4" s="9">
        <v>2.930087E-2</v>
      </c>
      <c r="AZ4" s="9">
        <v>-0.13412750000000001</v>
      </c>
      <c r="BA4" s="9">
        <v>-0.1371115</v>
      </c>
      <c r="BB4" s="9">
        <v>1.7546599999999999E-3</v>
      </c>
      <c r="BC4" s="9">
        <v>2.511712E-2</v>
      </c>
      <c r="BD4" s="9">
        <v>-0.1196019</v>
      </c>
      <c r="BE4" s="9">
        <v>0.13576165000000001</v>
      </c>
      <c r="BF4" s="9">
        <v>4.7091170000000002E-2</v>
      </c>
      <c r="BG4" s="9">
        <v>-2.60501E-2</v>
      </c>
      <c r="BH4" s="9">
        <v>4.3752760000000002E-2</v>
      </c>
      <c r="BI4" s="9">
        <v>-8.13918E-2</v>
      </c>
      <c r="BJ4" s="9">
        <v>-0.1006008</v>
      </c>
      <c r="BK4" s="9">
        <v>9.0490070000000006E-2</v>
      </c>
      <c r="BL4" s="9">
        <v>-3.0898499999999999E-2</v>
      </c>
      <c r="BM4" s="9">
        <v>5.8814169999999999E-2</v>
      </c>
      <c r="BN4" s="9">
        <v>8.1345630000000002E-2</v>
      </c>
      <c r="BO4" s="9">
        <v>-7.7164E-3</v>
      </c>
      <c r="BP4" s="9">
        <v>0.10673487</v>
      </c>
      <c r="BQ4" s="9">
        <v>-2.7156300000000001E-2</v>
      </c>
      <c r="BR4" s="9">
        <v>-5.4431E-2</v>
      </c>
      <c r="BS4" s="9">
        <v>-6.8229300000000007E-2</v>
      </c>
      <c r="BT4" s="9">
        <v>9.861222E-2</v>
      </c>
      <c r="BU4" s="9">
        <v>0.12839854000000001</v>
      </c>
      <c r="BV4" s="9">
        <v>-7.84025E-2</v>
      </c>
      <c r="BW4" s="9">
        <v>-0.1191337</v>
      </c>
      <c r="BX4" s="9">
        <v>-4.6890099999999997E-2</v>
      </c>
      <c r="BY4" s="9">
        <v>0.10169835000000001</v>
      </c>
      <c r="BZ4" s="9">
        <v>-2.5680100000000001E-2</v>
      </c>
      <c r="CA4" s="9">
        <v>-8.3301799999999995E-2</v>
      </c>
      <c r="CB4" s="9">
        <v>-0.15782760000000001</v>
      </c>
      <c r="CC4" s="9">
        <v>-7.1052599999999994E-2</v>
      </c>
      <c r="CD4" s="9">
        <v>-7.3875499999999997E-2</v>
      </c>
      <c r="CE4" s="9">
        <v>-0.23678650000000001</v>
      </c>
      <c r="CF4" s="9">
        <v>3.2627709999999997E-2</v>
      </c>
      <c r="CG4" s="9">
        <v>1.342309E-2</v>
      </c>
      <c r="CH4" s="9">
        <v>-2.7967000000000001E-3</v>
      </c>
      <c r="CI4" s="9">
        <v>4.7925700000000002E-2</v>
      </c>
      <c r="CJ4" s="9">
        <v>-3.2520000000000001E-3</v>
      </c>
      <c r="CK4" s="9">
        <v>-7.5708200000000003E-2</v>
      </c>
      <c r="CL4" s="9">
        <v>-4.4397300000000001E-2</v>
      </c>
      <c r="CM4" s="9">
        <v>0.17898859</v>
      </c>
      <c r="CN4" s="9">
        <v>5.7994270000000001E-2</v>
      </c>
      <c r="CO4" s="9">
        <v>-0.13939019999999999</v>
      </c>
      <c r="CP4" s="9">
        <v>6.4714670000000002E-2</v>
      </c>
      <c r="CQ4" s="9">
        <v>-0.18118790000000001</v>
      </c>
      <c r="CR4" s="9">
        <v>-8.8633500000000004E-2</v>
      </c>
      <c r="CS4" s="9">
        <v>-2.5321799999999998E-2</v>
      </c>
      <c r="CT4" s="9">
        <v>-0.1130791</v>
      </c>
      <c r="CU4" s="9">
        <v>8.0959599999999993E-3</v>
      </c>
      <c r="CV4" s="9">
        <v>-4.5200200000000003E-2</v>
      </c>
      <c r="CW4" s="9">
        <v>-5.8941199999999999E-2</v>
      </c>
      <c r="CX4" s="9">
        <v>-0.1077283</v>
      </c>
      <c r="CY4" s="9">
        <v>-9.6503500000000006E-2</v>
      </c>
      <c r="CZ4" s="9">
        <v>-0.21035429999999999</v>
      </c>
      <c r="DA4" s="9">
        <v>-0.10996110000000001</v>
      </c>
      <c r="DB4" s="9">
        <v>-0.1908205</v>
      </c>
      <c r="DC4" s="9">
        <v>-2.0727300000000001E-2</v>
      </c>
      <c r="DD4" s="9">
        <v>8.7029090000000003E-2</v>
      </c>
      <c r="DE4" s="9">
        <v>8.2024589999999994E-2</v>
      </c>
      <c r="DF4" s="9">
        <v>-0.16687669999999999</v>
      </c>
      <c r="DG4" s="9">
        <v>0.22243809</v>
      </c>
      <c r="DH4" s="9">
        <v>-0.1442978</v>
      </c>
      <c r="DI4" s="9">
        <v>-0.1196199</v>
      </c>
      <c r="DJ4" s="9">
        <v>-0.1015928</v>
      </c>
      <c r="DK4" s="9">
        <v>9.2855060000000003E-2</v>
      </c>
      <c r="DL4" s="9">
        <v>-4.2630500000000002E-2</v>
      </c>
      <c r="DM4" s="9">
        <v>8.2732070000000005E-2</v>
      </c>
      <c r="DN4" s="9">
        <v>-3.1049500000000001E-2</v>
      </c>
      <c r="DO4" s="9">
        <v>-9.8141999999999993E-2</v>
      </c>
      <c r="DP4" s="9">
        <v>-0.13058890000000001</v>
      </c>
      <c r="DQ4" s="9">
        <v>4.865572E-2</v>
      </c>
      <c r="DR4" s="9">
        <v>-3.9251899999999999E-2</v>
      </c>
      <c r="DS4" s="9">
        <v>-0.16103020000000001</v>
      </c>
      <c r="DT4" s="9">
        <v>-7.8883999999999996E-2</v>
      </c>
      <c r="DU4" s="9">
        <v>0.16407715</v>
      </c>
      <c r="DV4" s="9">
        <v>7.5052599999999997E-3</v>
      </c>
      <c r="DW4" s="9">
        <v>-0.1016452</v>
      </c>
      <c r="DX4" s="9">
        <v>-5.6040300000000001E-2</v>
      </c>
      <c r="DY4" s="9">
        <v>-0.10665669999999999</v>
      </c>
      <c r="DZ4" s="9">
        <v>-6.9186600000000001E-2</v>
      </c>
      <c r="EA4" s="9">
        <v>-0.12618869999999999</v>
      </c>
      <c r="EB4" s="9">
        <v>-6.4737100000000006E-2</v>
      </c>
      <c r="EC4" s="9">
        <v>5.1426090000000001E-2</v>
      </c>
      <c r="ED4" s="9">
        <v>3.4496730000000003E-2</v>
      </c>
      <c r="EE4" s="9">
        <v>0.1576776</v>
      </c>
      <c r="EF4" s="9">
        <v>-0.12717999999999999</v>
      </c>
      <c r="EG4" s="10">
        <f>CORREL([2]size補值!EG$2:EG$965,[2]下個月月報酬補值!EG$2:EG$965)</f>
        <v>-0.15895948868776608</v>
      </c>
    </row>
    <row r="5" spans="1:137" x14ac:dyDescent="0.3">
      <c r="B5" s="1" t="s">
        <v>138</v>
      </c>
      <c r="C5" s="9">
        <v>-5.4239999999999997E-2</v>
      </c>
      <c r="D5" s="9">
        <v>4.5377000000000001E-2</v>
      </c>
      <c r="E5" s="9">
        <v>-1.7749999999999998E-2</v>
      </c>
      <c r="F5" s="9">
        <v>-8.7690000000000004E-2</v>
      </c>
      <c r="G5" s="9">
        <v>0.102759</v>
      </c>
      <c r="H5" s="9">
        <v>2.5110000000000002E-3</v>
      </c>
      <c r="I5" s="9">
        <v>-1.83E-2</v>
      </c>
      <c r="J5" s="9">
        <v>2.2110999999999999E-2</v>
      </c>
      <c r="K5" s="9">
        <v>7.7257999999999993E-2</v>
      </c>
      <c r="L5" s="9">
        <v>9.3439999999999999E-3</v>
      </c>
      <c r="M5" s="9">
        <v>5.3601999999999997E-2</v>
      </c>
      <c r="N5" s="9">
        <v>-6.7879999999999996E-2</v>
      </c>
      <c r="O5" s="9">
        <v>6.4930000000000002E-2</v>
      </c>
      <c r="P5" s="9">
        <v>4.8809999999999999E-3</v>
      </c>
      <c r="Q5" s="9">
        <v>1.9198E-2</v>
      </c>
      <c r="R5" s="9">
        <v>-5.47E-3</v>
      </c>
      <c r="S5" s="9">
        <v>3.6551E-2</v>
      </c>
      <c r="T5" s="9">
        <v>0.12918499999999999</v>
      </c>
      <c r="U5" s="9">
        <v>1.3691999999999999E-2</v>
      </c>
      <c r="V5" s="9">
        <v>1.5295E-2</v>
      </c>
      <c r="W5" s="9">
        <v>-0.10469000000000001</v>
      </c>
      <c r="X5" s="9">
        <v>-0.29385</v>
      </c>
      <c r="Y5" s="9">
        <v>5.9212000000000001E-2</v>
      </c>
      <c r="Z5" s="9">
        <v>-0.18495</v>
      </c>
      <c r="AA5" s="9">
        <v>9.8247000000000001E-2</v>
      </c>
      <c r="AB5" s="9">
        <v>-6.6E-4</v>
      </c>
      <c r="AC5" s="9">
        <v>-0.10369</v>
      </c>
      <c r="AD5" s="9">
        <v>3.545E-3</v>
      </c>
      <c r="AE5" s="9">
        <v>0.17560100000000001</v>
      </c>
      <c r="AF5" s="9">
        <v>-0.15503</v>
      </c>
      <c r="AG5" s="9">
        <v>-2.6329999999999999E-2</v>
      </c>
      <c r="AH5" s="9">
        <v>-5.0000000000000001E-3</v>
      </c>
      <c r="AI5" s="9">
        <v>2.8067999999999999E-2</v>
      </c>
      <c r="AJ5" s="9">
        <v>-2.2380000000000001E-2</v>
      </c>
      <c r="AK5" s="9">
        <v>-4.7019999999999999E-2</v>
      </c>
      <c r="AL5" s="9">
        <v>-0.10156</v>
      </c>
      <c r="AM5" s="9">
        <v>2.3525000000000001E-2</v>
      </c>
      <c r="AN5" s="9">
        <v>5.2525000000000002E-2</v>
      </c>
      <c r="AO5" s="9">
        <v>5.8502999999999999E-2</v>
      </c>
      <c r="AP5" s="9">
        <v>3.3446999999999998E-2</v>
      </c>
      <c r="AQ5" s="9">
        <v>1.43E-2</v>
      </c>
      <c r="AR5" s="9">
        <v>3.5903999999999998E-2</v>
      </c>
      <c r="AS5" s="9">
        <v>3.9781999999999998E-2</v>
      </c>
      <c r="AT5" s="9">
        <v>0.148456</v>
      </c>
      <c r="AU5" s="9">
        <v>-4.079E-2</v>
      </c>
      <c r="AV5" s="9">
        <v>0.138959</v>
      </c>
      <c r="AW5" s="9">
        <v>5.9863E-2</v>
      </c>
      <c r="AX5" s="9">
        <v>-0.14979000000000001</v>
      </c>
      <c r="AY5" s="9">
        <v>6.1595999999999998E-2</v>
      </c>
      <c r="AZ5" s="9">
        <v>-6.1949999999999998E-2</v>
      </c>
      <c r="BA5" s="9">
        <v>-2.3900000000000002E-3</v>
      </c>
      <c r="BB5" s="9">
        <v>-0.14887</v>
      </c>
      <c r="BC5" s="9">
        <v>6.0351000000000002E-2</v>
      </c>
      <c r="BD5" s="9">
        <v>-1.469E-2</v>
      </c>
      <c r="BE5" s="9">
        <v>-0.14652000000000001</v>
      </c>
      <c r="BF5" s="9">
        <v>-0.20876</v>
      </c>
      <c r="BG5" s="9">
        <v>-0.20144000000000001</v>
      </c>
      <c r="BH5" s="9">
        <v>-0.11805</v>
      </c>
      <c r="BI5" s="9">
        <v>-7.7030000000000001E-2</v>
      </c>
      <c r="BJ5" s="9">
        <v>-3.6220000000000002E-2</v>
      </c>
      <c r="BK5" s="9">
        <v>-1.891E-2</v>
      </c>
      <c r="BL5" s="9">
        <v>-0.17126</v>
      </c>
      <c r="BM5" s="9">
        <v>0.13291700000000001</v>
      </c>
      <c r="BN5" s="9">
        <v>-3.5909999999999997E-2</v>
      </c>
      <c r="BO5" s="9">
        <v>2.1344999999999999E-2</v>
      </c>
      <c r="BP5" s="9">
        <v>4.9634999999999999E-2</v>
      </c>
      <c r="BQ5" s="9">
        <v>-1.721E-2</v>
      </c>
      <c r="BR5" s="9">
        <v>0.189827</v>
      </c>
      <c r="BS5" s="9">
        <v>-9.7610000000000002E-2</v>
      </c>
      <c r="BT5" s="9">
        <v>3.7830999999999997E-2</v>
      </c>
      <c r="BU5" s="9">
        <v>5.6008000000000002E-2</v>
      </c>
      <c r="BV5" s="9">
        <v>-0.11674</v>
      </c>
      <c r="BW5" s="9">
        <v>-0.14132</v>
      </c>
      <c r="BX5" s="9">
        <v>-3.3800000000000002E-3</v>
      </c>
      <c r="BY5" s="9">
        <v>0.13033600000000001</v>
      </c>
      <c r="BZ5" s="9">
        <v>3.1697999999999997E-2</v>
      </c>
      <c r="CA5" s="9">
        <v>4.0555000000000001E-2</v>
      </c>
      <c r="CB5" s="9">
        <v>-4.2040000000000001E-2</v>
      </c>
      <c r="CC5" s="9">
        <v>5.0014000000000003E-2</v>
      </c>
      <c r="CD5" s="9">
        <v>-6.8459999999999993E-2</v>
      </c>
      <c r="CE5" s="9">
        <v>-8.0829999999999999E-2</v>
      </c>
      <c r="CF5" s="9">
        <v>-1.9499999999999999E-3</v>
      </c>
      <c r="CG5" s="9">
        <v>-0.11821</v>
      </c>
      <c r="CH5" s="9">
        <v>-3.6720000000000003E-2</v>
      </c>
      <c r="CI5" s="9">
        <v>-8.3330000000000001E-2</v>
      </c>
      <c r="CJ5" s="9">
        <v>0.23067299999999999</v>
      </c>
      <c r="CK5" s="9">
        <v>0.13277900000000001</v>
      </c>
      <c r="CL5" s="9">
        <v>0.141287</v>
      </c>
      <c r="CM5" s="9">
        <v>-0.11269</v>
      </c>
      <c r="CN5" s="9">
        <v>0.22348899999999999</v>
      </c>
      <c r="CO5" s="9">
        <v>-0.10442</v>
      </c>
      <c r="CP5" s="9">
        <v>-1.443E-2</v>
      </c>
      <c r="CQ5" s="9">
        <v>-0.20723</v>
      </c>
      <c r="CR5" s="9">
        <v>-0.13486000000000001</v>
      </c>
      <c r="CS5" s="9">
        <v>7.3008000000000003E-2</v>
      </c>
      <c r="CT5" s="9">
        <v>-3.022E-2</v>
      </c>
      <c r="CU5" s="9">
        <v>-0.28688999999999998</v>
      </c>
      <c r="CV5" s="9">
        <v>0.23073099999999999</v>
      </c>
      <c r="CW5" s="9">
        <v>9.1076000000000004E-2</v>
      </c>
      <c r="CX5" s="9">
        <v>-0.12249</v>
      </c>
      <c r="CY5" s="9">
        <v>7.8381999999999993E-2</v>
      </c>
      <c r="CZ5" s="9">
        <v>-4.5949999999999998E-2</v>
      </c>
      <c r="DA5" s="9">
        <v>8.2669999999999993E-2</v>
      </c>
      <c r="DB5" s="9">
        <v>0.14934900000000001</v>
      </c>
      <c r="DC5" s="9">
        <v>-4.7800000000000002E-2</v>
      </c>
      <c r="DD5" s="9">
        <v>-0.16450999999999999</v>
      </c>
      <c r="DE5" s="9">
        <v>-0.11057</v>
      </c>
      <c r="DF5" s="9">
        <v>5.7417000000000003E-2</v>
      </c>
      <c r="DG5" s="9">
        <v>-0.21489</v>
      </c>
      <c r="DH5" s="9">
        <v>6.2996999999999997E-2</v>
      </c>
      <c r="DI5" s="9">
        <v>6.7721000000000003E-2</v>
      </c>
      <c r="DJ5" s="9">
        <v>0.118802</v>
      </c>
      <c r="DK5" s="9">
        <v>7.2830000000000004E-3</v>
      </c>
      <c r="DL5" s="9">
        <v>7.1320999999999996E-2</v>
      </c>
      <c r="DM5" s="9">
        <v>2.1021999999999999E-2</v>
      </c>
      <c r="DN5" s="9">
        <v>-3.04E-2</v>
      </c>
      <c r="DO5" s="9">
        <v>-9.6949999999999995E-2</v>
      </c>
      <c r="DP5" s="9">
        <v>-0.23068</v>
      </c>
      <c r="DQ5" s="9">
        <v>0.23818400000000001</v>
      </c>
      <c r="DR5" s="9">
        <v>3.5750000000000001E-3</v>
      </c>
      <c r="DS5" s="9">
        <v>0.13395599999999999</v>
      </c>
      <c r="DT5" s="9">
        <v>0.115106</v>
      </c>
      <c r="DU5" s="9">
        <v>0.10408000000000001</v>
      </c>
      <c r="DV5" s="9">
        <v>-5.4609999999999999E-2</v>
      </c>
      <c r="DW5" s="9">
        <v>-3.329E-2</v>
      </c>
      <c r="DX5" s="9">
        <v>5.5094999999999998E-2</v>
      </c>
      <c r="DY5" s="9">
        <v>6.8793999999999994E-2</v>
      </c>
      <c r="DZ5" s="9">
        <v>1.4481000000000001E-2</v>
      </c>
      <c r="EA5" s="9">
        <v>-0.29314000000000001</v>
      </c>
      <c r="EB5" s="9">
        <v>-0.14097999999999999</v>
      </c>
      <c r="EC5" s="9">
        <v>-1.221E-2</v>
      </c>
      <c r="ED5" s="9">
        <v>5.8167999999999997E-2</v>
      </c>
      <c r="EE5" s="9">
        <v>-0.1444</v>
      </c>
      <c r="EF5" s="9">
        <v>-9.7009999999999999E-2</v>
      </c>
      <c r="EG5" s="10"/>
    </row>
    <row r="6" spans="1:137" x14ac:dyDescent="0.3">
      <c r="A6" s="22" t="s">
        <v>139</v>
      </c>
      <c r="B6" s="23"/>
      <c r="C6" s="11">
        <f t="array" ref="C6">MATCH(MAX(ABS(C3:C5)), ABS(C3:C5), 0)</f>
        <v>2</v>
      </c>
      <c r="D6" s="11">
        <f t="array" ref="D6">MATCH(MAX(ABS(D3:D5)), ABS(D3:D5), 0)</f>
        <v>2</v>
      </c>
      <c r="E6" s="11">
        <f t="array" ref="E6">MATCH(MAX(ABS(E3:E5)), ABS(E3:E5), 0)</f>
        <v>2</v>
      </c>
      <c r="F6" s="11">
        <f t="array" ref="F6">MATCH(MAX(ABS(F3:F5)), ABS(F3:F5), 0)</f>
        <v>3</v>
      </c>
      <c r="G6" s="11">
        <f t="array" ref="G6">MATCH(MAX(ABS(G3:G5)), ABS(G3:G5), 0)</f>
        <v>3</v>
      </c>
      <c r="H6" s="11">
        <f t="array" ref="H6">MATCH(MAX(ABS(H3:H5)), ABS(H3:H5), 0)</f>
        <v>2</v>
      </c>
      <c r="I6" s="11">
        <f t="array" ref="I6">MATCH(MAX(ABS(I3:I5)), ABS(I3:I5), 0)</f>
        <v>1</v>
      </c>
      <c r="J6" s="11">
        <f t="array" ref="J6">MATCH(MAX(ABS(J3:J5)), ABS(J3:J5), 0)</f>
        <v>1</v>
      </c>
      <c r="K6" s="11">
        <f t="array" ref="K6">MATCH(MAX(ABS(K3:K5)), ABS(K3:K5), 0)</f>
        <v>3</v>
      </c>
      <c r="L6" s="11">
        <f t="array" ref="L6">MATCH(MAX(ABS(L3:L5)), ABS(L3:L5), 0)</f>
        <v>2</v>
      </c>
      <c r="M6" s="11">
        <f t="array" ref="M6">MATCH(MAX(ABS(M3:M5)), ABS(M3:M5), 0)</f>
        <v>3</v>
      </c>
      <c r="N6" s="11">
        <f t="array" ref="N6">MATCH(MAX(ABS(N3:N5)), ABS(N3:N5), 0)</f>
        <v>2</v>
      </c>
      <c r="O6" s="11">
        <f t="array" ref="O6">MATCH(MAX(ABS(O3:O5)), ABS(O3:O5), 0)</f>
        <v>3</v>
      </c>
      <c r="P6" s="11">
        <f t="array" ref="P6">MATCH(MAX(ABS(P3:P5)), ABS(P3:P5), 0)</f>
        <v>1</v>
      </c>
      <c r="Q6" s="11">
        <f t="array" ref="Q6">MATCH(MAX(ABS(Q3:Q5)), ABS(Q3:Q5), 0)</f>
        <v>1</v>
      </c>
      <c r="R6" s="11">
        <f t="array" ref="R6">MATCH(MAX(ABS(R3:R5)), ABS(R3:R5), 0)</f>
        <v>1</v>
      </c>
      <c r="S6" s="11">
        <f t="array" ref="S6">MATCH(MAX(ABS(S3:S5)), ABS(S3:S5), 0)</f>
        <v>1</v>
      </c>
      <c r="T6" s="11">
        <f t="array" ref="T6">MATCH(MAX(ABS(T3:T5)), ABS(T3:T5), 0)</f>
        <v>3</v>
      </c>
      <c r="U6" s="11">
        <f t="array" ref="U6">MATCH(MAX(ABS(U3:U5)), ABS(U3:U5), 0)</f>
        <v>1</v>
      </c>
      <c r="V6" s="11">
        <f t="array" ref="V6">MATCH(MAX(ABS(V3:V5)), ABS(V3:V5), 0)</f>
        <v>1</v>
      </c>
      <c r="W6" s="11">
        <f t="array" ref="W6">MATCH(MAX(ABS(W3:W5)), ABS(W3:W5), 0)</f>
        <v>2</v>
      </c>
      <c r="X6" s="11">
        <f t="array" ref="X6">MATCH(MAX(ABS(X3:X5)), ABS(X3:X5), 0)</f>
        <v>3</v>
      </c>
      <c r="Y6" s="11">
        <f t="array" ref="Y6">MATCH(MAX(ABS(Y3:Y5)), ABS(Y3:Y5), 0)</f>
        <v>1</v>
      </c>
      <c r="Z6" s="11">
        <f t="array" ref="Z6">MATCH(MAX(ABS(Z3:Z5)), ABS(Z3:Z5), 0)</f>
        <v>1</v>
      </c>
      <c r="AA6" s="11">
        <f t="array" ref="AA6">MATCH(MAX(ABS(AA3:AA5)), ABS(AA3:AA5), 0)</f>
        <v>3</v>
      </c>
      <c r="AB6" s="11">
        <f t="array" ref="AB6">MATCH(MAX(ABS(AB3:AB5)), ABS(AB3:AB5), 0)</f>
        <v>1</v>
      </c>
      <c r="AC6" s="11">
        <f t="array" ref="AC6">MATCH(MAX(ABS(AC3:AC5)), ABS(AC3:AC5), 0)</f>
        <v>3</v>
      </c>
      <c r="AD6" s="11">
        <f t="array" ref="AD6">MATCH(MAX(ABS(AD3:AD5)), ABS(AD3:AD5), 0)</f>
        <v>2</v>
      </c>
      <c r="AE6" s="11">
        <f t="array" ref="AE6">MATCH(MAX(ABS(AE3:AE5)), ABS(AE3:AE5), 0)</f>
        <v>3</v>
      </c>
      <c r="AF6" s="11">
        <f t="array" ref="AF6">MATCH(MAX(ABS(AF3:AF5)), ABS(AF3:AF5), 0)</f>
        <v>3</v>
      </c>
      <c r="AG6" s="11">
        <f t="array" ref="AG6">MATCH(MAX(ABS(AG3:AG5)), ABS(AG3:AG5), 0)</f>
        <v>1</v>
      </c>
      <c r="AH6" s="11">
        <f t="array" ref="AH6">MATCH(MAX(ABS(AH3:AH5)), ABS(AH3:AH5), 0)</f>
        <v>1</v>
      </c>
      <c r="AI6" s="11">
        <f t="array" ref="AI6">MATCH(MAX(ABS(AI3:AI5)), ABS(AI3:AI5), 0)</f>
        <v>2</v>
      </c>
      <c r="AJ6" s="11">
        <f t="array" ref="AJ6">MATCH(MAX(ABS(AJ3:AJ5)), ABS(AJ3:AJ5), 0)</f>
        <v>1</v>
      </c>
      <c r="AK6" s="11">
        <f t="array" ref="AK6">MATCH(MAX(ABS(AK3:AK5)), ABS(AK3:AK5), 0)</f>
        <v>1</v>
      </c>
      <c r="AL6" s="11">
        <f t="array" ref="AL6">MATCH(MAX(ABS(AL3:AL5)), ABS(AL3:AL5), 0)</f>
        <v>2</v>
      </c>
      <c r="AM6" s="11">
        <f t="array" ref="AM6">MATCH(MAX(ABS(AM3:AM5)), ABS(AM3:AM5), 0)</f>
        <v>1</v>
      </c>
      <c r="AN6" s="11">
        <f t="array" ref="AN6">MATCH(MAX(ABS(AN3:AN5)), ABS(AN3:AN5), 0)</f>
        <v>1</v>
      </c>
      <c r="AO6" s="11">
        <f t="array" ref="AO6">MATCH(MAX(ABS(AO3:AO5)), ABS(AO3:AO5), 0)</f>
        <v>3</v>
      </c>
      <c r="AP6" s="11">
        <f t="array" ref="AP6">MATCH(MAX(ABS(AP3:AP5)), ABS(AP3:AP5), 0)</f>
        <v>1</v>
      </c>
      <c r="AQ6" s="11">
        <f t="array" ref="AQ6">MATCH(MAX(ABS(AQ3:AQ5)), ABS(AQ3:AQ5), 0)</f>
        <v>2</v>
      </c>
      <c r="AR6" s="11">
        <f t="array" ref="AR6">MATCH(MAX(ABS(AR3:AR5)), ABS(AR3:AR5), 0)</f>
        <v>2</v>
      </c>
      <c r="AS6" s="11">
        <f t="array" ref="AS6">MATCH(MAX(ABS(AS3:AS5)), ABS(AS3:AS5), 0)</f>
        <v>3</v>
      </c>
      <c r="AT6" s="11">
        <f t="array" ref="AT6">MATCH(MAX(ABS(AT3:AT5)), ABS(AT3:AT5), 0)</f>
        <v>3</v>
      </c>
      <c r="AU6" s="11">
        <f t="array" ref="AU6">MATCH(MAX(ABS(AU3:AU5)), ABS(AU3:AU5), 0)</f>
        <v>2</v>
      </c>
      <c r="AV6" s="11">
        <f t="array" ref="AV6">MATCH(MAX(ABS(AV3:AV5)), ABS(AV3:AV5), 0)</f>
        <v>3</v>
      </c>
      <c r="AW6" s="11">
        <f t="array" ref="AW6">MATCH(MAX(ABS(AW3:AW5)), ABS(AW3:AW5), 0)</f>
        <v>3</v>
      </c>
      <c r="AX6" s="11">
        <f t="array" ref="AX6">MATCH(MAX(ABS(AX3:AX5)), ABS(AX3:AX5), 0)</f>
        <v>3</v>
      </c>
      <c r="AY6" s="11">
        <f t="array" ref="AY6">MATCH(MAX(ABS(AY3:AY5)), ABS(AY3:AY5), 0)</f>
        <v>1</v>
      </c>
      <c r="AZ6" s="11">
        <f t="array" ref="AZ6">MATCH(MAX(ABS(AZ3:AZ5)), ABS(AZ3:AZ5), 0)</f>
        <v>2</v>
      </c>
      <c r="BA6" s="11">
        <f t="array" ref="BA6">MATCH(MAX(ABS(BA3:BA5)), ABS(BA3:BA5), 0)</f>
        <v>2</v>
      </c>
      <c r="BB6" s="11">
        <f t="array" ref="BB6">MATCH(MAX(ABS(BB3:BB5)), ABS(BB3:BB5), 0)</f>
        <v>3</v>
      </c>
      <c r="BC6" s="11">
        <f t="array" ref="BC6">MATCH(MAX(ABS(BC3:BC5)), ABS(BC3:BC5), 0)</f>
        <v>3</v>
      </c>
      <c r="BD6" s="11">
        <f t="array" ref="BD6">MATCH(MAX(ABS(BD3:BD5)), ABS(BD3:BD5), 0)</f>
        <v>2</v>
      </c>
      <c r="BE6" s="11">
        <f t="array" ref="BE6">MATCH(MAX(ABS(BE3:BE5)), ABS(BE3:BE5), 0)</f>
        <v>3</v>
      </c>
      <c r="BF6" s="11">
        <f t="array" ref="BF6">MATCH(MAX(ABS(BF3:BF5)), ABS(BF3:BF5), 0)</f>
        <v>3</v>
      </c>
      <c r="BG6" s="11">
        <f t="array" ref="BG6">MATCH(MAX(ABS(BG3:BG5)), ABS(BG3:BG5), 0)</f>
        <v>3</v>
      </c>
      <c r="BH6" s="11">
        <f t="array" ref="BH6">MATCH(MAX(ABS(BH3:BH5)), ABS(BH3:BH5), 0)</f>
        <v>3</v>
      </c>
      <c r="BI6" s="11">
        <f t="array" ref="BI6">MATCH(MAX(ABS(BI3:BI5)), ABS(BI3:BI5), 0)</f>
        <v>1</v>
      </c>
      <c r="BJ6" s="11">
        <f t="array" ref="BJ6">MATCH(MAX(ABS(BJ3:BJ5)), ABS(BJ3:BJ5), 0)</f>
        <v>2</v>
      </c>
      <c r="BK6" s="11">
        <f t="array" ref="BK6">MATCH(MAX(ABS(BK3:BK5)), ABS(BK3:BK5), 0)</f>
        <v>2</v>
      </c>
      <c r="BL6" s="11">
        <f t="array" ref="BL6">MATCH(MAX(ABS(BL3:BL5)), ABS(BL3:BL5), 0)</f>
        <v>3</v>
      </c>
      <c r="BM6" s="11">
        <f t="array" ref="BM6">MATCH(MAX(ABS(BM3:BM5)), ABS(BM3:BM5), 0)</f>
        <v>3</v>
      </c>
      <c r="BN6" s="11">
        <f t="array" ref="BN6">MATCH(MAX(ABS(BN3:BN5)), ABS(BN3:BN5), 0)</f>
        <v>2</v>
      </c>
      <c r="BO6" s="11">
        <f t="array" ref="BO6">MATCH(MAX(ABS(BO3:BO5)), ABS(BO3:BO5), 0)</f>
        <v>1</v>
      </c>
      <c r="BP6" s="11">
        <f t="array" ref="BP6">MATCH(MAX(ABS(BP3:BP5)), ABS(BP3:BP5), 0)</f>
        <v>2</v>
      </c>
      <c r="BQ6" s="11">
        <f t="array" ref="BQ6">MATCH(MAX(ABS(BQ3:BQ5)), ABS(BQ3:BQ5), 0)</f>
        <v>1</v>
      </c>
      <c r="BR6" s="11">
        <f t="array" ref="BR6">MATCH(MAX(ABS(BR3:BR5)), ABS(BR3:BR5), 0)</f>
        <v>3</v>
      </c>
      <c r="BS6" s="11">
        <f t="array" ref="BS6">MATCH(MAX(ABS(BS3:BS5)), ABS(BS3:BS5), 0)</f>
        <v>3</v>
      </c>
      <c r="BT6" s="11">
        <f t="array" ref="BT6">MATCH(MAX(ABS(BT3:BT5)), ABS(BT3:BT5), 0)</f>
        <v>2</v>
      </c>
      <c r="BU6" s="11">
        <f t="array" ref="BU6">MATCH(MAX(ABS(BU3:BU5)), ABS(BU3:BU5), 0)</f>
        <v>2</v>
      </c>
      <c r="BV6" s="11">
        <f t="array" ref="BV6">MATCH(MAX(ABS(BV3:BV5)), ABS(BV3:BV5), 0)</f>
        <v>3</v>
      </c>
      <c r="BW6" s="11">
        <f t="array" ref="BW6">MATCH(MAX(ABS(BW3:BW5)), ABS(BW3:BW5), 0)</f>
        <v>3</v>
      </c>
      <c r="BX6" s="11">
        <f t="array" ref="BX6">MATCH(MAX(ABS(BX3:BX5)), ABS(BX3:BX5), 0)</f>
        <v>2</v>
      </c>
      <c r="BY6" s="11">
        <f t="array" ref="BY6">MATCH(MAX(ABS(BY3:BY5)), ABS(BY3:BY5), 0)</f>
        <v>3</v>
      </c>
      <c r="BZ6" s="11">
        <f t="array" ref="BZ6">MATCH(MAX(ABS(BZ3:BZ5)), ABS(BZ3:BZ5), 0)</f>
        <v>1</v>
      </c>
      <c r="CA6" s="11">
        <f t="array" ref="CA6">MATCH(MAX(ABS(CA3:CA5)), ABS(CA3:CA5), 0)</f>
        <v>1</v>
      </c>
      <c r="CB6" s="11">
        <f t="array" ref="CB6">MATCH(MAX(ABS(CB3:CB5)), ABS(CB3:CB5), 0)</f>
        <v>2</v>
      </c>
      <c r="CC6" s="11">
        <f t="array" ref="CC6">MATCH(MAX(ABS(CC3:CC5)), ABS(CC3:CC5), 0)</f>
        <v>2</v>
      </c>
      <c r="CD6" s="11">
        <f t="array" ref="CD6">MATCH(MAX(ABS(CD3:CD5)), ABS(CD3:CD5), 0)</f>
        <v>1</v>
      </c>
      <c r="CE6" s="11">
        <f t="array" ref="CE6">MATCH(MAX(ABS(CE3:CE5)), ABS(CE3:CE5), 0)</f>
        <v>2</v>
      </c>
      <c r="CF6" s="11">
        <f t="array" ref="CF6">MATCH(MAX(ABS(CF3:CF5)), ABS(CF3:CF5), 0)</f>
        <v>1</v>
      </c>
      <c r="CG6" s="11">
        <f t="array" ref="CG6">MATCH(MAX(ABS(CG3:CG5)), ABS(CG3:CG5), 0)</f>
        <v>3</v>
      </c>
      <c r="CH6" s="11">
        <f t="array" ref="CH6">MATCH(MAX(ABS(CH3:CH5)), ABS(CH3:CH5), 0)</f>
        <v>1</v>
      </c>
      <c r="CI6" s="11">
        <f t="array" ref="CI6">MATCH(MAX(ABS(CI3:CI5)), ABS(CI3:CI5), 0)</f>
        <v>1</v>
      </c>
      <c r="CJ6" s="11">
        <f t="array" ref="CJ6">MATCH(MAX(ABS(CJ3:CJ5)), ABS(CJ3:CJ5), 0)</f>
        <v>3</v>
      </c>
      <c r="CK6" s="11">
        <f t="array" ref="CK6">MATCH(MAX(ABS(CK3:CK5)), ABS(CK3:CK5), 0)</f>
        <v>3</v>
      </c>
      <c r="CL6" s="11">
        <f t="array" ref="CL6">MATCH(MAX(ABS(CL3:CL5)), ABS(CL3:CL5), 0)</f>
        <v>1</v>
      </c>
      <c r="CM6" s="11">
        <f t="array" ref="CM6">MATCH(MAX(ABS(CM3:CM5)), ABS(CM3:CM5), 0)</f>
        <v>2</v>
      </c>
      <c r="CN6" s="11">
        <f t="array" ref="CN6">MATCH(MAX(ABS(CN3:CN5)), ABS(CN3:CN5), 0)</f>
        <v>3</v>
      </c>
      <c r="CO6" s="11">
        <f t="array" ref="CO6">MATCH(MAX(ABS(CO3:CO5)), ABS(CO3:CO5), 0)</f>
        <v>2</v>
      </c>
      <c r="CP6" s="11">
        <f t="array" ref="CP6">MATCH(MAX(ABS(CP3:CP5)), ABS(CP3:CP5), 0)</f>
        <v>1</v>
      </c>
      <c r="CQ6" s="11">
        <f t="array" ref="CQ6">MATCH(MAX(ABS(CQ3:CQ5)), ABS(CQ3:CQ5), 0)</f>
        <v>3</v>
      </c>
      <c r="CR6" s="11">
        <f t="array" ref="CR6">MATCH(MAX(ABS(CR3:CR5)), ABS(CR3:CR5), 0)</f>
        <v>3</v>
      </c>
      <c r="CS6" s="11">
        <f t="array" ref="CS6">MATCH(MAX(ABS(CS3:CS5)), ABS(CS3:CS5), 0)</f>
        <v>3</v>
      </c>
      <c r="CT6" s="11">
        <f t="array" ref="CT6">MATCH(MAX(ABS(CT3:CT5)), ABS(CT3:CT5), 0)</f>
        <v>2</v>
      </c>
      <c r="CU6" s="11">
        <f t="array" ref="CU6">MATCH(MAX(ABS(CU3:CU5)), ABS(CU3:CU5), 0)</f>
        <v>3</v>
      </c>
      <c r="CV6" s="11">
        <f t="array" ref="CV6">MATCH(MAX(ABS(CV3:CV5)), ABS(CV3:CV5), 0)</f>
        <v>3</v>
      </c>
      <c r="CW6" s="11">
        <f t="array" ref="CW6">MATCH(MAX(ABS(CW3:CW5)), ABS(CW3:CW5), 0)</f>
        <v>3</v>
      </c>
      <c r="CX6" s="11">
        <f t="array" ref="CX6">MATCH(MAX(ABS(CX3:CX5)), ABS(CX3:CX5), 0)</f>
        <v>1</v>
      </c>
      <c r="CY6" s="11">
        <f t="array" ref="CY6">MATCH(MAX(ABS(CY3:CY5)), ABS(CY3:CY5), 0)</f>
        <v>2</v>
      </c>
      <c r="CZ6" s="11">
        <f t="array" ref="CZ6">MATCH(MAX(ABS(CZ3:CZ5)), ABS(CZ3:CZ5), 0)</f>
        <v>1</v>
      </c>
      <c r="DA6" s="11">
        <f t="array" ref="DA6">MATCH(MAX(ABS(DA3:DA5)), ABS(DA3:DA5), 0)</f>
        <v>2</v>
      </c>
      <c r="DB6" s="11">
        <f t="array" ref="DB6">MATCH(MAX(ABS(DB3:DB5)), ABS(DB3:DB5), 0)</f>
        <v>2</v>
      </c>
      <c r="DC6" s="11">
        <f t="array" ref="DC6">MATCH(MAX(ABS(DC3:DC5)), ABS(DC3:DC5), 0)</f>
        <v>1</v>
      </c>
      <c r="DD6" s="11">
        <f t="array" ref="DD6">MATCH(MAX(ABS(DD3:DD5)), ABS(DD3:DD5), 0)</f>
        <v>3</v>
      </c>
      <c r="DE6" s="11">
        <f t="array" ref="DE6">MATCH(MAX(ABS(DE3:DE5)), ABS(DE3:DE5), 0)</f>
        <v>3</v>
      </c>
      <c r="DF6" s="11">
        <f t="array" ref="DF6">MATCH(MAX(ABS(DF3:DF5)), ABS(DF3:DF5), 0)</f>
        <v>2</v>
      </c>
      <c r="DG6" s="11">
        <f t="array" ref="DG6">MATCH(MAX(ABS(DG3:DG5)), ABS(DG3:DG5), 0)</f>
        <v>2</v>
      </c>
      <c r="DH6" s="11">
        <f t="array" ref="DH6">MATCH(MAX(ABS(DH3:DH5)), ABS(DH3:DH5), 0)</f>
        <v>2</v>
      </c>
      <c r="DI6" s="11">
        <f t="array" ref="DI6">MATCH(MAX(ABS(DI3:DI5)), ABS(DI3:DI5), 0)</f>
        <v>2</v>
      </c>
      <c r="DJ6" s="11">
        <f t="array" ref="DJ6">MATCH(MAX(ABS(DJ3:DJ5)), ABS(DJ3:DJ5), 0)</f>
        <v>3</v>
      </c>
      <c r="DK6" s="11">
        <f t="array" ref="DK6">MATCH(MAX(ABS(DK3:DK5)), ABS(DK3:DK5), 0)</f>
        <v>2</v>
      </c>
      <c r="DL6" s="11">
        <f t="array" ref="DL6">MATCH(MAX(ABS(DL3:DL5)), ABS(DL3:DL5), 0)</f>
        <v>3</v>
      </c>
      <c r="DM6" s="11">
        <f t="array" ref="DM6">MATCH(MAX(ABS(DM3:DM5)), ABS(DM3:DM5), 0)</f>
        <v>2</v>
      </c>
      <c r="DN6" s="11">
        <f t="array" ref="DN6">MATCH(MAX(ABS(DN3:DN5)), ABS(DN3:DN5), 0)</f>
        <v>1</v>
      </c>
      <c r="DO6" s="11">
        <f t="array" ref="DO6">MATCH(MAX(ABS(DO3:DO5)), ABS(DO3:DO5), 0)</f>
        <v>2</v>
      </c>
      <c r="DP6" s="11">
        <f t="array" ref="DP6">MATCH(MAX(ABS(DP3:DP5)), ABS(DP3:DP5), 0)</f>
        <v>3</v>
      </c>
      <c r="DQ6" s="11">
        <f t="array" ref="DQ6">MATCH(MAX(ABS(DQ3:DQ5)), ABS(DQ3:DQ5), 0)</f>
        <v>3</v>
      </c>
      <c r="DR6" s="11">
        <f t="array" ref="DR6">MATCH(MAX(ABS(DR3:DR5)), ABS(DR3:DR5), 0)</f>
        <v>1</v>
      </c>
      <c r="DS6" s="11">
        <f t="array" ref="DS6">MATCH(MAX(ABS(DS3:DS5)), ABS(DS3:DS5), 0)</f>
        <v>2</v>
      </c>
      <c r="DT6" s="11">
        <f t="array" ref="DT6">MATCH(MAX(ABS(DT3:DT5)), ABS(DT3:DT5), 0)</f>
        <v>3</v>
      </c>
      <c r="DU6" s="11">
        <f t="array" ref="DU6">MATCH(MAX(ABS(DU3:DU5)), ABS(DU3:DU5), 0)</f>
        <v>2</v>
      </c>
      <c r="DV6" s="11">
        <f t="array" ref="DV6">MATCH(MAX(ABS(DV3:DV5)), ABS(DV3:DV5), 0)</f>
        <v>1</v>
      </c>
      <c r="DW6" s="11">
        <f t="array" ref="DW6">MATCH(MAX(ABS(DW3:DW5)), ABS(DW3:DW5), 0)</f>
        <v>2</v>
      </c>
      <c r="DX6" s="11">
        <f t="array" ref="DX6">MATCH(MAX(ABS(DX3:DX5)), ABS(DX3:DX5), 0)</f>
        <v>1</v>
      </c>
      <c r="DY6" s="11">
        <f t="array" ref="DY6">MATCH(MAX(ABS(DY3:DY5)), ABS(DY3:DY5), 0)</f>
        <v>2</v>
      </c>
      <c r="DZ6" s="11">
        <f t="array" ref="DZ6">MATCH(MAX(ABS(DZ3:DZ5)), ABS(DZ3:DZ5), 0)</f>
        <v>2</v>
      </c>
      <c r="EA6" s="11">
        <f t="array" ref="EA6">MATCH(MAX(ABS(EA3:EA5)), ABS(EA3:EA5), 0)</f>
        <v>3</v>
      </c>
      <c r="EB6" s="11">
        <f t="array" ref="EB6">MATCH(MAX(ABS(EB3:EB5)), ABS(EB3:EB5), 0)</f>
        <v>3</v>
      </c>
      <c r="EC6" s="11">
        <f t="array" ref="EC6">MATCH(MAX(ABS(EC3:EC5)), ABS(EC3:EC5), 0)</f>
        <v>1</v>
      </c>
      <c r="ED6" s="11">
        <f t="array" ref="ED6">MATCH(MAX(ABS(ED3:ED5)), ABS(ED3:ED5), 0)</f>
        <v>1</v>
      </c>
      <c r="EE6" s="11">
        <f t="array" ref="EE6">MATCH(MAX(ABS(EE3:EE5)), ABS(EE3:EE5), 0)</f>
        <v>2</v>
      </c>
      <c r="EF6" s="11">
        <f t="array" ref="EF6">MATCH(MAX(ABS(EF3:EF5)), ABS(EF3:EF5), 0)</f>
        <v>2</v>
      </c>
      <c r="EG6" s="11">
        <f t="array" ref="EG6">MATCH(MAX(ABS(EG3:EG5)), ABS(EG3:EG5), 0)</f>
        <v>2</v>
      </c>
    </row>
    <row r="7" spans="1:137" x14ac:dyDescent="0.3">
      <c r="C7" s="11" t="str">
        <f t="shared" ref="C7:AH7" si="0">IF(C6=1,"bm",IF(C6=2,"size",IF(C6=3,"mom")))</f>
        <v>size</v>
      </c>
      <c r="D7" s="11" t="str">
        <f t="shared" si="0"/>
        <v>size</v>
      </c>
      <c r="E7" s="11" t="str">
        <f t="shared" si="0"/>
        <v>size</v>
      </c>
      <c r="F7" s="11" t="str">
        <f t="shared" si="0"/>
        <v>mom</v>
      </c>
      <c r="G7" s="11" t="str">
        <f t="shared" si="0"/>
        <v>mom</v>
      </c>
      <c r="H7" s="11" t="str">
        <f t="shared" si="0"/>
        <v>size</v>
      </c>
      <c r="I7" s="11" t="str">
        <f t="shared" si="0"/>
        <v>bm</v>
      </c>
      <c r="J7" s="11" t="str">
        <f t="shared" si="0"/>
        <v>bm</v>
      </c>
      <c r="K7" s="11" t="str">
        <f t="shared" si="0"/>
        <v>mom</v>
      </c>
      <c r="L7" s="11" t="str">
        <f t="shared" si="0"/>
        <v>size</v>
      </c>
      <c r="M7" s="11" t="str">
        <f t="shared" si="0"/>
        <v>mom</v>
      </c>
      <c r="N7" s="11" t="str">
        <f t="shared" si="0"/>
        <v>size</v>
      </c>
      <c r="O7" s="11" t="str">
        <f t="shared" si="0"/>
        <v>mom</v>
      </c>
      <c r="P7" s="11" t="str">
        <f t="shared" si="0"/>
        <v>bm</v>
      </c>
      <c r="Q7" s="11" t="str">
        <f t="shared" si="0"/>
        <v>bm</v>
      </c>
      <c r="R7" s="11" t="str">
        <f t="shared" si="0"/>
        <v>bm</v>
      </c>
      <c r="S7" s="11" t="str">
        <f t="shared" si="0"/>
        <v>bm</v>
      </c>
      <c r="T7" s="11" t="str">
        <f t="shared" si="0"/>
        <v>mom</v>
      </c>
      <c r="U7" s="11" t="str">
        <f t="shared" si="0"/>
        <v>bm</v>
      </c>
      <c r="V7" s="11" t="str">
        <f t="shared" si="0"/>
        <v>bm</v>
      </c>
      <c r="W7" s="11" t="str">
        <f t="shared" si="0"/>
        <v>size</v>
      </c>
      <c r="X7" s="11" t="str">
        <f t="shared" si="0"/>
        <v>mom</v>
      </c>
      <c r="Y7" s="11" t="str">
        <f t="shared" si="0"/>
        <v>bm</v>
      </c>
      <c r="Z7" s="11" t="str">
        <f t="shared" si="0"/>
        <v>bm</v>
      </c>
      <c r="AA7" s="11" t="str">
        <f t="shared" si="0"/>
        <v>mom</v>
      </c>
      <c r="AB7" s="11" t="str">
        <f t="shared" si="0"/>
        <v>bm</v>
      </c>
      <c r="AC7" s="11" t="str">
        <f t="shared" si="0"/>
        <v>mom</v>
      </c>
      <c r="AD7" s="11" t="str">
        <f t="shared" si="0"/>
        <v>size</v>
      </c>
      <c r="AE7" s="11" t="str">
        <f t="shared" si="0"/>
        <v>mom</v>
      </c>
      <c r="AF7" s="11" t="str">
        <f t="shared" si="0"/>
        <v>mom</v>
      </c>
      <c r="AG7" s="11" t="str">
        <f t="shared" si="0"/>
        <v>bm</v>
      </c>
      <c r="AH7" s="11" t="str">
        <f t="shared" si="0"/>
        <v>bm</v>
      </c>
      <c r="AI7" s="11" t="str">
        <f t="shared" ref="AI7:BN7" si="1">IF(AI6=1,"bm",IF(AI6=2,"size",IF(AI6=3,"mom")))</f>
        <v>size</v>
      </c>
      <c r="AJ7" s="11" t="str">
        <f t="shared" si="1"/>
        <v>bm</v>
      </c>
      <c r="AK7" s="11" t="str">
        <f t="shared" si="1"/>
        <v>bm</v>
      </c>
      <c r="AL7" s="11" t="str">
        <f t="shared" si="1"/>
        <v>size</v>
      </c>
      <c r="AM7" s="11" t="str">
        <f t="shared" si="1"/>
        <v>bm</v>
      </c>
      <c r="AN7" s="11" t="str">
        <f t="shared" si="1"/>
        <v>bm</v>
      </c>
      <c r="AO7" s="11" t="str">
        <f t="shared" si="1"/>
        <v>mom</v>
      </c>
      <c r="AP7" s="11" t="str">
        <f t="shared" si="1"/>
        <v>bm</v>
      </c>
      <c r="AQ7" s="11" t="str">
        <f t="shared" si="1"/>
        <v>size</v>
      </c>
      <c r="AR7" s="11" t="str">
        <f t="shared" si="1"/>
        <v>size</v>
      </c>
      <c r="AS7" s="11" t="str">
        <f t="shared" si="1"/>
        <v>mom</v>
      </c>
      <c r="AT7" s="11" t="str">
        <f t="shared" si="1"/>
        <v>mom</v>
      </c>
      <c r="AU7" s="11" t="str">
        <f t="shared" si="1"/>
        <v>size</v>
      </c>
      <c r="AV7" s="11" t="str">
        <f t="shared" si="1"/>
        <v>mom</v>
      </c>
      <c r="AW7" s="11" t="str">
        <f t="shared" si="1"/>
        <v>mom</v>
      </c>
      <c r="AX7" s="11" t="str">
        <f t="shared" si="1"/>
        <v>mom</v>
      </c>
      <c r="AY7" s="11" t="str">
        <f t="shared" si="1"/>
        <v>bm</v>
      </c>
      <c r="AZ7" s="11" t="str">
        <f t="shared" si="1"/>
        <v>size</v>
      </c>
      <c r="BA7" s="11" t="str">
        <f t="shared" si="1"/>
        <v>size</v>
      </c>
      <c r="BB7" s="11" t="str">
        <f t="shared" si="1"/>
        <v>mom</v>
      </c>
      <c r="BC7" s="11" t="str">
        <f t="shared" si="1"/>
        <v>mom</v>
      </c>
      <c r="BD7" s="11" t="str">
        <f t="shared" si="1"/>
        <v>size</v>
      </c>
      <c r="BE7" s="11" t="str">
        <f t="shared" si="1"/>
        <v>mom</v>
      </c>
      <c r="BF7" s="11" t="str">
        <f t="shared" si="1"/>
        <v>mom</v>
      </c>
      <c r="BG7" s="11" t="str">
        <f t="shared" si="1"/>
        <v>mom</v>
      </c>
      <c r="BH7" s="11" t="str">
        <f t="shared" si="1"/>
        <v>mom</v>
      </c>
      <c r="BI7" s="11" t="str">
        <f t="shared" si="1"/>
        <v>bm</v>
      </c>
      <c r="BJ7" s="11" t="str">
        <f t="shared" si="1"/>
        <v>size</v>
      </c>
      <c r="BK7" s="11" t="str">
        <f t="shared" si="1"/>
        <v>size</v>
      </c>
      <c r="BL7" s="11" t="str">
        <f t="shared" si="1"/>
        <v>mom</v>
      </c>
      <c r="BM7" s="11" t="str">
        <f t="shared" si="1"/>
        <v>mom</v>
      </c>
      <c r="BN7" s="11" t="str">
        <f t="shared" si="1"/>
        <v>size</v>
      </c>
      <c r="BO7" s="11" t="str">
        <f t="shared" ref="BO7:CT7" si="2">IF(BO6=1,"bm",IF(BO6=2,"size",IF(BO6=3,"mom")))</f>
        <v>bm</v>
      </c>
      <c r="BP7" s="11" t="str">
        <f t="shared" si="2"/>
        <v>size</v>
      </c>
      <c r="BQ7" s="11" t="str">
        <f t="shared" si="2"/>
        <v>bm</v>
      </c>
      <c r="BR7" s="11" t="str">
        <f t="shared" si="2"/>
        <v>mom</v>
      </c>
      <c r="BS7" s="11" t="str">
        <f t="shared" si="2"/>
        <v>mom</v>
      </c>
      <c r="BT7" s="11" t="str">
        <f t="shared" si="2"/>
        <v>size</v>
      </c>
      <c r="BU7" s="11" t="str">
        <f t="shared" si="2"/>
        <v>size</v>
      </c>
      <c r="BV7" s="11" t="str">
        <f t="shared" si="2"/>
        <v>mom</v>
      </c>
      <c r="BW7" s="11" t="str">
        <f t="shared" si="2"/>
        <v>mom</v>
      </c>
      <c r="BX7" s="11" t="str">
        <f t="shared" si="2"/>
        <v>size</v>
      </c>
      <c r="BY7" s="11" t="str">
        <f t="shared" si="2"/>
        <v>mom</v>
      </c>
      <c r="BZ7" s="11" t="str">
        <f t="shared" si="2"/>
        <v>bm</v>
      </c>
      <c r="CA7" s="11" t="str">
        <f t="shared" si="2"/>
        <v>bm</v>
      </c>
      <c r="CB7" s="11" t="str">
        <f t="shared" si="2"/>
        <v>size</v>
      </c>
      <c r="CC7" s="11" t="str">
        <f t="shared" si="2"/>
        <v>size</v>
      </c>
      <c r="CD7" s="11" t="str">
        <f t="shared" si="2"/>
        <v>bm</v>
      </c>
      <c r="CE7" s="11" t="str">
        <f t="shared" si="2"/>
        <v>size</v>
      </c>
      <c r="CF7" s="11" t="str">
        <f t="shared" si="2"/>
        <v>bm</v>
      </c>
      <c r="CG7" s="11" t="str">
        <f t="shared" si="2"/>
        <v>mom</v>
      </c>
      <c r="CH7" s="11" t="str">
        <f t="shared" si="2"/>
        <v>bm</v>
      </c>
      <c r="CI7" s="11" t="str">
        <f t="shared" si="2"/>
        <v>bm</v>
      </c>
      <c r="CJ7" s="11" t="str">
        <f t="shared" si="2"/>
        <v>mom</v>
      </c>
      <c r="CK7" s="11" t="str">
        <f t="shared" si="2"/>
        <v>mom</v>
      </c>
      <c r="CL7" s="11" t="str">
        <f t="shared" si="2"/>
        <v>bm</v>
      </c>
      <c r="CM7" s="11" t="str">
        <f t="shared" si="2"/>
        <v>size</v>
      </c>
      <c r="CN7" s="11" t="str">
        <f t="shared" si="2"/>
        <v>mom</v>
      </c>
      <c r="CO7" s="11" t="str">
        <f t="shared" si="2"/>
        <v>size</v>
      </c>
      <c r="CP7" s="11" t="str">
        <f t="shared" si="2"/>
        <v>bm</v>
      </c>
      <c r="CQ7" s="11" t="str">
        <f t="shared" si="2"/>
        <v>mom</v>
      </c>
      <c r="CR7" s="11" t="str">
        <f t="shared" si="2"/>
        <v>mom</v>
      </c>
      <c r="CS7" s="11" t="str">
        <f t="shared" si="2"/>
        <v>mom</v>
      </c>
      <c r="CT7" s="11" t="str">
        <f t="shared" si="2"/>
        <v>size</v>
      </c>
      <c r="CU7" s="11" t="str">
        <f t="shared" ref="CU7:DZ7" si="3">IF(CU6=1,"bm",IF(CU6=2,"size",IF(CU6=3,"mom")))</f>
        <v>mom</v>
      </c>
      <c r="CV7" s="11" t="str">
        <f t="shared" si="3"/>
        <v>mom</v>
      </c>
      <c r="CW7" s="11" t="str">
        <f t="shared" si="3"/>
        <v>mom</v>
      </c>
      <c r="CX7" s="11" t="str">
        <f t="shared" si="3"/>
        <v>bm</v>
      </c>
      <c r="CY7" s="11" t="str">
        <f t="shared" si="3"/>
        <v>size</v>
      </c>
      <c r="CZ7" s="11" t="str">
        <f t="shared" si="3"/>
        <v>bm</v>
      </c>
      <c r="DA7" s="11" t="str">
        <f t="shared" si="3"/>
        <v>size</v>
      </c>
      <c r="DB7" s="11" t="str">
        <f t="shared" si="3"/>
        <v>size</v>
      </c>
      <c r="DC7" s="11" t="str">
        <f t="shared" si="3"/>
        <v>bm</v>
      </c>
      <c r="DD7" s="11" t="str">
        <f t="shared" si="3"/>
        <v>mom</v>
      </c>
      <c r="DE7" s="11" t="str">
        <f t="shared" si="3"/>
        <v>mom</v>
      </c>
      <c r="DF7" s="11" t="str">
        <f t="shared" si="3"/>
        <v>size</v>
      </c>
      <c r="DG7" s="11" t="str">
        <f t="shared" si="3"/>
        <v>size</v>
      </c>
      <c r="DH7" s="11" t="str">
        <f t="shared" si="3"/>
        <v>size</v>
      </c>
      <c r="DI7" s="11" t="str">
        <f t="shared" si="3"/>
        <v>size</v>
      </c>
      <c r="DJ7" s="11" t="str">
        <f t="shared" si="3"/>
        <v>mom</v>
      </c>
      <c r="DK7" s="11" t="str">
        <f t="shared" si="3"/>
        <v>size</v>
      </c>
      <c r="DL7" s="11" t="str">
        <f t="shared" si="3"/>
        <v>mom</v>
      </c>
      <c r="DM7" s="11" t="str">
        <f t="shared" si="3"/>
        <v>size</v>
      </c>
      <c r="DN7" s="11" t="str">
        <f t="shared" si="3"/>
        <v>bm</v>
      </c>
      <c r="DO7" s="11" t="str">
        <f t="shared" si="3"/>
        <v>size</v>
      </c>
      <c r="DP7" s="11" t="str">
        <f t="shared" si="3"/>
        <v>mom</v>
      </c>
      <c r="DQ7" s="11" t="str">
        <f t="shared" si="3"/>
        <v>mom</v>
      </c>
      <c r="DR7" s="11" t="str">
        <f t="shared" si="3"/>
        <v>bm</v>
      </c>
      <c r="DS7" s="11" t="str">
        <f t="shared" si="3"/>
        <v>size</v>
      </c>
      <c r="DT7" s="11" t="str">
        <f t="shared" si="3"/>
        <v>mom</v>
      </c>
      <c r="DU7" s="11" t="str">
        <f t="shared" si="3"/>
        <v>size</v>
      </c>
      <c r="DV7" s="11" t="str">
        <f t="shared" si="3"/>
        <v>bm</v>
      </c>
      <c r="DW7" s="11" t="str">
        <f t="shared" si="3"/>
        <v>size</v>
      </c>
      <c r="DX7" s="11" t="str">
        <f t="shared" si="3"/>
        <v>bm</v>
      </c>
      <c r="DY7" s="11" t="str">
        <f t="shared" si="3"/>
        <v>size</v>
      </c>
      <c r="DZ7" s="11" t="str">
        <f t="shared" si="3"/>
        <v>size</v>
      </c>
      <c r="EA7" s="11" t="str">
        <f t="shared" ref="EA7:EG7" si="4">IF(EA6=1,"bm",IF(EA6=2,"size",IF(EA6=3,"mom")))</f>
        <v>mom</v>
      </c>
      <c r="EB7" s="11" t="str">
        <f t="shared" si="4"/>
        <v>mom</v>
      </c>
      <c r="EC7" s="11" t="str">
        <f t="shared" si="4"/>
        <v>bm</v>
      </c>
      <c r="ED7" s="11" t="str">
        <f t="shared" si="4"/>
        <v>bm</v>
      </c>
      <c r="EE7" s="11" t="str">
        <f t="shared" si="4"/>
        <v>size</v>
      </c>
      <c r="EF7" s="11" t="str">
        <f t="shared" si="4"/>
        <v>size</v>
      </c>
      <c r="EG7" s="11" t="str">
        <f t="shared" si="4"/>
        <v>size</v>
      </c>
    </row>
    <row r="8" spans="1:137" x14ac:dyDescent="0.3">
      <c r="C8" s="11">
        <f t="shared" ref="C8:AH8" si="5">IF(C6=1,C3,IF(C6=2,C4,IF(C6=3,C5)))</f>
        <v>-0.24758869999999999</v>
      </c>
      <c r="D8" s="11">
        <f t="shared" si="5"/>
        <v>-0.27469329999999997</v>
      </c>
      <c r="E8" s="11">
        <f t="shared" si="5"/>
        <v>-8.4648399999999999E-2</v>
      </c>
      <c r="F8" s="11">
        <f t="shared" si="5"/>
        <v>-8.7690000000000004E-2</v>
      </c>
      <c r="G8" s="11">
        <f t="shared" si="5"/>
        <v>0.102759</v>
      </c>
      <c r="H8" s="11">
        <f t="shared" si="5"/>
        <v>-0.1007596</v>
      </c>
      <c r="I8" s="11">
        <f t="shared" si="5"/>
        <v>0.18325177000000001</v>
      </c>
      <c r="J8" s="11">
        <f t="shared" si="5"/>
        <v>0.11648631</v>
      </c>
      <c r="K8" s="11">
        <f t="shared" si="5"/>
        <v>7.7257999999999993E-2</v>
      </c>
      <c r="L8" s="11">
        <f t="shared" si="5"/>
        <v>8.8406789999999999E-2</v>
      </c>
      <c r="M8" s="11">
        <f t="shared" si="5"/>
        <v>5.3601999999999997E-2</v>
      </c>
      <c r="N8" s="11">
        <f t="shared" si="5"/>
        <v>-0.21221799999999999</v>
      </c>
      <c r="O8" s="11">
        <f t="shared" si="5"/>
        <v>6.4930000000000002E-2</v>
      </c>
      <c r="P8" s="11">
        <f t="shared" si="5"/>
        <v>-9.1792299999999993E-2</v>
      </c>
      <c r="Q8" s="11">
        <f t="shared" si="5"/>
        <v>-7.7409000000000006E-2</v>
      </c>
      <c r="R8" s="11">
        <f t="shared" si="5"/>
        <v>5.4776600000000002E-2</v>
      </c>
      <c r="S8" s="11">
        <f t="shared" si="5"/>
        <v>-0.12533440000000001</v>
      </c>
      <c r="T8" s="11">
        <f t="shared" si="5"/>
        <v>0.12918499999999999</v>
      </c>
      <c r="U8" s="11">
        <f t="shared" si="5"/>
        <v>-3.7770100000000001E-2</v>
      </c>
      <c r="V8" s="11">
        <f t="shared" si="5"/>
        <v>8.1183820000000004E-2</v>
      </c>
      <c r="W8" s="11">
        <f t="shared" si="5"/>
        <v>-0.14355299999999999</v>
      </c>
      <c r="X8" s="11">
        <f t="shared" si="5"/>
        <v>-0.29385</v>
      </c>
      <c r="Y8" s="11">
        <f t="shared" si="5"/>
        <v>-0.12536050000000001</v>
      </c>
      <c r="Z8" s="11">
        <f t="shared" si="5"/>
        <v>0.19195355</v>
      </c>
      <c r="AA8" s="11">
        <f t="shared" si="5"/>
        <v>9.8247000000000001E-2</v>
      </c>
      <c r="AB8" s="11">
        <f t="shared" si="5"/>
        <v>7.2897610000000002E-2</v>
      </c>
      <c r="AC8" s="11">
        <f t="shared" si="5"/>
        <v>-0.10369</v>
      </c>
      <c r="AD8" s="11">
        <f t="shared" si="5"/>
        <v>-6.5629699999999999E-2</v>
      </c>
      <c r="AE8" s="11">
        <f t="shared" si="5"/>
        <v>0.17560100000000001</v>
      </c>
      <c r="AF8" s="11">
        <f t="shared" si="5"/>
        <v>-0.15503</v>
      </c>
      <c r="AG8" s="11">
        <f t="shared" si="5"/>
        <v>0.13005884000000001</v>
      </c>
      <c r="AH8" s="11">
        <f t="shared" si="5"/>
        <v>0.11525639999999999</v>
      </c>
      <c r="AI8" s="11">
        <f t="shared" ref="AI8:BN8" si="6">IF(AI6=1,AI3,IF(AI6=2,AI4,IF(AI6=3,AI5)))</f>
        <v>-5.1034099999999999E-2</v>
      </c>
      <c r="AJ8" s="11">
        <f t="shared" si="6"/>
        <v>2.7999110000000001E-2</v>
      </c>
      <c r="AK8" s="11">
        <f t="shared" si="6"/>
        <v>0.14657042000000001</v>
      </c>
      <c r="AL8" s="11">
        <f t="shared" si="6"/>
        <v>-0.10644670000000001</v>
      </c>
      <c r="AM8" s="11">
        <f t="shared" si="6"/>
        <v>0.13137636999999999</v>
      </c>
      <c r="AN8" s="11">
        <f t="shared" si="6"/>
        <v>0.22143296000000001</v>
      </c>
      <c r="AO8" s="11">
        <f t="shared" si="6"/>
        <v>5.8502999999999999E-2</v>
      </c>
      <c r="AP8" s="11">
        <f t="shared" si="6"/>
        <v>-0.13716</v>
      </c>
      <c r="AQ8" s="11">
        <f t="shared" si="6"/>
        <v>2.9067490000000001E-2</v>
      </c>
      <c r="AR8" s="11">
        <f t="shared" si="6"/>
        <v>5.2635769999999998E-2</v>
      </c>
      <c r="AS8" s="11">
        <f t="shared" si="6"/>
        <v>3.9781999999999998E-2</v>
      </c>
      <c r="AT8" s="11">
        <f t="shared" si="6"/>
        <v>0.148456</v>
      </c>
      <c r="AU8" s="11">
        <f t="shared" si="6"/>
        <v>-0.15538440000000001</v>
      </c>
      <c r="AV8" s="11">
        <f t="shared" si="6"/>
        <v>0.138959</v>
      </c>
      <c r="AW8" s="11">
        <f t="shared" si="6"/>
        <v>5.9863E-2</v>
      </c>
      <c r="AX8" s="11">
        <f t="shared" si="6"/>
        <v>-0.14979000000000001</v>
      </c>
      <c r="AY8" s="11">
        <f t="shared" si="6"/>
        <v>7.6559569999999993E-2</v>
      </c>
      <c r="AZ8" s="11">
        <f t="shared" si="6"/>
        <v>-0.13412750000000001</v>
      </c>
      <c r="BA8" s="11">
        <f t="shared" si="6"/>
        <v>-0.1371115</v>
      </c>
      <c r="BB8" s="11">
        <f t="shared" si="6"/>
        <v>-0.14887</v>
      </c>
      <c r="BC8" s="11">
        <f t="shared" si="6"/>
        <v>6.0351000000000002E-2</v>
      </c>
      <c r="BD8" s="11">
        <f t="shared" si="6"/>
        <v>-0.1196019</v>
      </c>
      <c r="BE8" s="11">
        <f t="shared" si="6"/>
        <v>-0.14652000000000001</v>
      </c>
      <c r="BF8" s="11">
        <f t="shared" si="6"/>
        <v>-0.20876</v>
      </c>
      <c r="BG8" s="11">
        <f t="shared" si="6"/>
        <v>-0.20144000000000001</v>
      </c>
      <c r="BH8" s="11">
        <f t="shared" si="6"/>
        <v>-0.11805</v>
      </c>
      <c r="BI8" s="11">
        <f t="shared" si="6"/>
        <v>9.6912849999999995E-2</v>
      </c>
      <c r="BJ8" s="11">
        <f t="shared" si="6"/>
        <v>-0.1006008</v>
      </c>
      <c r="BK8" s="11">
        <f t="shared" si="6"/>
        <v>9.0490070000000006E-2</v>
      </c>
      <c r="BL8" s="11">
        <f t="shared" si="6"/>
        <v>-0.17126</v>
      </c>
      <c r="BM8" s="11">
        <f t="shared" si="6"/>
        <v>0.13291700000000001</v>
      </c>
      <c r="BN8" s="11">
        <f t="shared" si="6"/>
        <v>8.1345630000000002E-2</v>
      </c>
      <c r="BO8" s="11">
        <f t="shared" ref="BO8:CT8" si="7">IF(BO6=1,BO3,IF(BO6=2,BO4,IF(BO6=3,BO5)))</f>
        <v>8.1418240000000003E-2</v>
      </c>
      <c r="BP8" s="11">
        <f t="shared" si="7"/>
        <v>0.10673487</v>
      </c>
      <c r="BQ8" s="11">
        <f t="shared" si="7"/>
        <v>6.8729570000000004E-2</v>
      </c>
      <c r="BR8" s="11">
        <f t="shared" si="7"/>
        <v>0.189827</v>
      </c>
      <c r="BS8" s="11">
        <f t="shared" si="7"/>
        <v>-9.7610000000000002E-2</v>
      </c>
      <c r="BT8" s="11">
        <f t="shared" si="7"/>
        <v>9.861222E-2</v>
      </c>
      <c r="BU8" s="11">
        <f t="shared" si="7"/>
        <v>0.12839854000000001</v>
      </c>
      <c r="BV8" s="11">
        <f t="shared" si="7"/>
        <v>-0.11674</v>
      </c>
      <c r="BW8" s="11">
        <f t="shared" si="7"/>
        <v>-0.14132</v>
      </c>
      <c r="BX8" s="11">
        <f t="shared" si="7"/>
        <v>-4.6890099999999997E-2</v>
      </c>
      <c r="BY8" s="11">
        <f t="shared" si="7"/>
        <v>0.13033600000000001</v>
      </c>
      <c r="BZ8" s="11">
        <f t="shared" si="7"/>
        <v>0.11330931</v>
      </c>
      <c r="CA8" s="11">
        <f t="shared" si="7"/>
        <v>-0.1073549</v>
      </c>
      <c r="CB8" s="11">
        <f t="shared" si="7"/>
        <v>-0.15782760000000001</v>
      </c>
      <c r="CC8" s="11">
        <f t="shared" si="7"/>
        <v>-7.1052599999999994E-2</v>
      </c>
      <c r="CD8" s="11">
        <f t="shared" si="7"/>
        <v>0.18837709</v>
      </c>
      <c r="CE8" s="11">
        <f t="shared" si="7"/>
        <v>-0.23678650000000001</v>
      </c>
      <c r="CF8" s="11">
        <f t="shared" si="7"/>
        <v>7.4872069999999999E-2</v>
      </c>
      <c r="CG8" s="11">
        <f t="shared" si="7"/>
        <v>-0.11821</v>
      </c>
      <c r="CH8" s="11">
        <f t="shared" si="7"/>
        <v>0.13602172000000001</v>
      </c>
      <c r="CI8" s="11">
        <f t="shared" si="7"/>
        <v>-9.3741000000000005E-2</v>
      </c>
      <c r="CJ8" s="11">
        <f t="shared" si="7"/>
        <v>0.23067299999999999</v>
      </c>
      <c r="CK8" s="11">
        <f t="shared" si="7"/>
        <v>0.13277900000000001</v>
      </c>
      <c r="CL8" s="11">
        <f t="shared" si="7"/>
        <v>0.26354578000000001</v>
      </c>
      <c r="CM8" s="11">
        <f t="shared" si="7"/>
        <v>0.17898859</v>
      </c>
      <c r="CN8" s="11">
        <f t="shared" si="7"/>
        <v>0.22348899999999999</v>
      </c>
      <c r="CO8" s="11">
        <f t="shared" si="7"/>
        <v>-0.13939019999999999</v>
      </c>
      <c r="CP8" s="11">
        <f t="shared" si="7"/>
        <v>0.13265561000000001</v>
      </c>
      <c r="CQ8" s="11">
        <f t="shared" si="7"/>
        <v>-0.20723</v>
      </c>
      <c r="CR8" s="11">
        <f t="shared" si="7"/>
        <v>-0.13486000000000001</v>
      </c>
      <c r="CS8" s="11">
        <f t="shared" si="7"/>
        <v>7.3008000000000003E-2</v>
      </c>
      <c r="CT8" s="11">
        <f t="shared" si="7"/>
        <v>-0.1130791</v>
      </c>
      <c r="CU8" s="11">
        <f t="shared" ref="CU8:DZ8" si="8">IF(CU6=1,CU3,IF(CU6=2,CU4,IF(CU6=3,CU5)))</f>
        <v>-0.28688999999999998</v>
      </c>
      <c r="CV8" s="11">
        <f t="shared" si="8"/>
        <v>0.23073099999999999</v>
      </c>
      <c r="CW8" s="11">
        <f t="shared" si="8"/>
        <v>9.1076000000000004E-2</v>
      </c>
      <c r="CX8" s="11">
        <f t="shared" si="8"/>
        <v>0.13917409</v>
      </c>
      <c r="CY8" s="11">
        <f t="shared" si="8"/>
        <v>-9.6503500000000006E-2</v>
      </c>
      <c r="CZ8" s="11">
        <f t="shared" si="8"/>
        <v>0.21835291000000001</v>
      </c>
      <c r="DA8" s="11">
        <f t="shared" si="8"/>
        <v>-0.10996110000000001</v>
      </c>
      <c r="DB8" s="11">
        <f t="shared" si="8"/>
        <v>-0.1908205</v>
      </c>
      <c r="DC8" s="11">
        <f t="shared" si="8"/>
        <v>0.11395608</v>
      </c>
      <c r="DD8" s="11">
        <f t="shared" si="8"/>
        <v>-0.16450999999999999</v>
      </c>
      <c r="DE8" s="11">
        <f t="shared" si="8"/>
        <v>-0.11057</v>
      </c>
      <c r="DF8" s="11">
        <f t="shared" si="8"/>
        <v>-0.16687669999999999</v>
      </c>
      <c r="DG8" s="11">
        <f t="shared" si="8"/>
        <v>0.22243809</v>
      </c>
      <c r="DH8" s="11">
        <f t="shared" si="8"/>
        <v>-0.1442978</v>
      </c>
      <c r="DI8" s="11">
        <f t="shared" si="8"/>
        <v>-0.1196199</v>
      </c>
      <c r="DJ8" s="11">
        <f t="shared" si="8"/>
        <v>0.118802</v>
      </c>
      <c r="DK8" s="11">
        <f t="shared" si="8"/>
        <v>9.2855060000000003E-2</v>
      </c>
      <c r="DL8" s="11">
        <f t="shared" si="8"/>
        <v>7.1320999999999996E-2</v>
      </c>
      <c r="DM8" s="11">
        <f t="shared" si="8"/>
        <v>8.2732070000000005E-2</v>
      </c>
      <c r="DN8" s="11">
        <f t="shared" si="8"/>
        <v>0.10981299</v>
      </c>
      <c r="DO8" s="11">
        <f t="shared" si="8"/>
        <v>-9.8141999999999993E-2</v>
      </c>
      <c r="DP8" s="11">
        <f t="shared" si="8"/>
        <v>-0.23068</v>
      </c>
      <c r="DQ8" s="11">
        <f t="shared" si="8"/>
        <v>0.23818400000000001</v>
      </c>
      <c r="DR8" s="11">
        <f t="shared" si="8"/>
        <v>9.4328709999999996E-2</v>
      </c>
      <c r="DS8" s="11">
        <f t="shared" si="8"/>
        <v>-0.16103020000000001</v>
      </c>
      <c r="DT8" s="11">
        <f t="shared" si="8"/>
        <v>0.115106</v>
      </c>
      <c r="DU8" s="11">
        <f t="shared" si="8"/>
        <v>0.16407715</v>
      </c>
      <c r="DV8" s="11">
        <f t="shared" si="8"/>
        <v>0.13401742</v>
      </c>
      <c r="DW8" s="11">
        <f t="shared" si="8"/>
        <v>-0.1016452</v>
      </c>
      <c r="DX8" s="11">
        <f t="shared" si="8"/>
        <v>-0.1037732</v>
      </c>
      <c r="DY8" s="11">
        <f t="shared" si="8"/>
        <v>-0.10665669999999999</v>
      </c>
      <c r="DZ8" s="11">
        <f t="shared" si="8"/>
        <v>-6.9186600000000001E-2</v>
      </c>
      <c r="EA8" s="11">
        <f t="shared" ref="EA8:EG8" si="9">IF(EA6=1,EA3,IF(EA6=2,EA4,IF(EA6=3,EA5)))</f>
        <v>-0.29314000000000001</v>
      </c>
      <c r="EB8" s="11">
        <f t="shared" si="9"/>
        <v>-0.14097999999999999</v>
      </c>
      <c r="EC8" s="11">
        <f t="shared" si="9"/>
        <v>7.3988429999999994E-2</v>
      </c>
      <c r="ED8" s="11">
        <f t="shared" si="9"/>
        <v>-0.15737689999999999</v>
      </c>
      <c r="EE8" s="11">
        <f t="shared" si="9"/>
        <v>0.1576776</v>
      </c>
      <c r="EF8" s="11">
        <f t="shared" si="9"/>
        <v>-0.12717999999999999</v>
      </c>
      <c r="EG8" s="11">
        <f t="shared" si="9"/>
        <v>-0.15895948868776608</v>
      </c>
    </row>
    <row r="10" spans="1:137" x14ac:dyDescent="0.3">
      <c r="A10" s="22" t="s">
        <v>140</v>
      </c>
      <c r="B10" s="23"/>
      <c r="C10" s="1" t="s">
        <v>141</v>
      </c>
      <c r="D10" s="2">
        <v>964</v>
      </c>
    </row>
    <row r="11" spans="1:137" x14ac:dyDescent="0.3">
      <c r="A11" s="1" t="s">
        <v>142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144</v>
      </c>
    </row>
    <row r="12" spans="1:137" x14ac:dyDescent="0.3">
      <c r="A12" s="1">
        <v>10</v>
      </c>
      <c r="B12" s="1">
        <v>96</v>
      </c>
      <c r="C12" s="11">
        <f>IF(預測IC!C12&gt;預測IC!C$26,1,0)</f>
        <v>1</v>
      </c>
      <c r="D12" s="11">
        <f>C12+真實IC!D12</f>
        <v>1.1146886290452236</v>
      </c>
      <c r="E12" s="11">
        <f>D12+真實IC!E12</f>
        <v>1.1627154524324261</v>
      </c>
      <c r="F12" s="11">
        <f>E12+真實IC!F12</f>
        <v>1.218674837216885</v>
      </c>
      <c r="G12" s="11">
        <f>F12+真實IC!G12</f>
        <v>1.2506222857355154</v>
      </c>
      <c r="H12" s="11">
        <f>G12+真實IC!H12</f>
        <v>1.2891527979854034</v>
      </c>
      <c r="I12" s="11">
        <f>H12+真實IC!I12</f>
        <v>1.3254567348344555</v>
      </c>
      <c r="J12" s="11">
        <f>I12+真實IC!J12</f>
        <v>1.3692413135793271</v>
      </c>
      <c r="K12" s="11">
        <f>J12+真實IC!K12</f>
        <v>1.3984293117130262</v>
      </c>
      <c r="L12" s="11">
        <f>K12+真實IC!L12</f>
        <v>1.4403202527629999</v>
      </c>
      <c r="M12" s="11">
        <f>L12+真實IC!M12</f>
        <v>1.4672094265962068</v>
      </c>
      <c r="N12" s="11">
        <f>M12+真實IC!N12</f>
        <v>1.5365364133745596</v>
      </c>
      <c r="O12" s="11">
        <f>N12+真實IC!O12</f>
        <v>1.5644511724418</v>
      </c>
      <c r="P12" s="11">
        <f>O12+真實IC!P12</f>
        <v>1.5858715936462624</v>
      </c>
      <c r="Q12" s="11">
        <f>P12+真實IC!Q12</f>
        <v>1.6196643777671702</v>
      </c>
      <c r="R12" s="11">
        <f>Q12+真實IC!R12</f>
        <v>1.6330618840071058</v>
      </c>
      <c r="S12" s="11">
        <f>R12+真實IC!S12</f>
        <v>1.7041157811017129</v>
      </c>
      <c r="T12" s="11">
        <f>S12+真實IC!T12</f>
        <v>1.7519834974472377</v>
      </c>
      <c r="U12" s="11">
        <f>T12+真實IC!U12</f>
        <v>1.7723507180003686</v>
      </c>
      <c r="V12" s="11">
        <f>U12+真實IC!V12</f>
        <v>1.8173807088032172</v>
      </c>
      <c r="W12" s="11">
        <f>V12+真實IC!W12</f>
        <v>1.8814201237885981</v>
      </c>
      <c r="X12" s="11">
        <f>W12+真實IC!X12</f>
        <v>1.9910608751359335</v>
      </c>
      <c r="Y12" s="11">
        <f>X12+真實IC!Y12</f>
        <v>2.0078492523877496</v>
      </c>
      <c r="Z12" s="11">
        <f>Y12+真實IC!Z12</f>
        <v>2.0714729357033237</v>
      </c>
      <c r="AA12" s="11">
        <f>Z12+真實IC!AA12</f>
        <v>2.0983914151241354</v>
      </c>
      <c r="AB12" s="11">
        <f>AA12+真實IC!AB12</f>
        <v>2.1330805256756133</v>
      </c>
      <c r="AC12" s="11">
        <f>AB12+真實IC!AC12</f>
        <v>2.1798534713019246</v>
      </c>
      <c r="AD12" s="11">
        <f>AC12+真實IC!AD12</f>
        <v>2.1892457146336044</v>
      </c>
      <c r="AE12" s="11">
        <f>AD12+真實IC!AE12</f>
        <v>2.2356834313005884</v>
      </c>
      <c r="AF12" s="11">
        <f>AE12+真實IC!AF12</f>
        <v>2.2876955340773559</v>
      </c>
      <c r="AG12" s="11">
        <f>AF12+真實IC!AG12</f>
        <v>2.3176776790100804</v>
      </c>
      <c r="AH12" s="11">
        <f>AG12+真實IC!AH12</f>
        <v>2.3310834836597136</v>
      </c>
      <c r="AI12" s="11">
        <f>AH12+真實IC!AI12</f>
        <v>2.3543299428385782</v>
      </c>
      <c r="AJ12" s="11">
        <f>AI12+真實IC!AJ12</f>
        <v>2.3673136903846328</v>
      </c>
      <c r="AK12" s="11">
        <f>AJ12+真實IC!AK12</f>
        <v>2.4154373945367671</v>
      </c>
      <c r="AL12" s="11">
        <f>AK12+真實IC!AL12</f>
        <v>2.4495430157803435</v>
      </c>
      <c r="AM12" s="11">
        <f>AL12+真實IC!AM12</f>
        <v>2.4796291313929415</v>
      </c>
      <c r="AN12" s="11">
        <f>AM12+真實IC!AN12</f>
        <v>2.5488623657063698</v>
      </c>
      <c r="AO12" s="11">
        <f>AN12+真實IC!AO12</f>
        <v>2.5638578365494973</v>
      </c>
      <c r="AP12" s="11">
        <f>AO12+真實IC!AP12</f>
        <v>2.5975761813313465</v>
      </c>
      <c r="AQ12" s="11">
        <f>AP12+真實IC!AQ12</f>
        <v>2.6042585241171445</v>
      </c>
      <c r="AR12" s="11">
        <f>AQ12+真實IC!AR12</f>
        <v>2.6117629522059045</v>
      </c>
      <c r="AS12" s="11">
        <f>AR12+真實IC!AS12</f>
        <v>2.6317392251162759</v>
      </c>
      <c r="AT12" s="11">
        <f>AS12+真實IC!AT12</f>
        <v>2.7039346074687112</v>
      </c>
      <c r="AU12" s="11">
        <f>AT12+真實IC!AU12</f>
        <v>2.7673448695230825</v>
      </c>
      <c r="AV12" s="11">
        <f>AU12+真實IC!AV12</f>
        <v>2.8210605001798021</v>
      </c>
      <c r="AW12" s="11">
        <f>AV12+真實IC!AW12</f>
        <v>2.8382302049432053</v>
      </c>
      <c r="AX12" s="11">
        <f>AW12+真實IC!AX12</f>
        <v>2.8829262169161032</v>
      </c>
      <c r="AY12" s="11">
        <f>AX12+真實IC!AY12</f>
        <v>2.9078815099837763</v>
      </c>
      <c r="AZ12" s="11">
        <f>AY12+真實IC!AZ12</f>
        <v>2.9744453131630681</v>
      </c>
      <c r="BA12" s="11">
        <f>AZ12+真實IC!BA12</f>
        <v>3.0457214694440031</v>
      </c>
      <c r="BB12" s="11">
        <f>BA12+真實IC!BB12</f>
        <v>3.0747581240136448</v>
      </c>
      <c r="BC12" s="11">
        <f>BB12+真實IC!BC12</f>
        <v>3.1014490903059824</v>
      </c>
      <c r="BD12" s="11">
        <f>BC12+真實IC!BD12</f>
        <v>3.1506827119269532</v>
      </c>
      <c r="BE12" s="11">
        <f>BD12+真實IC!BE12</f>
        <v>3.1860512570694719</v>
      </c>
      <c r="BF12" s="11">
        <f>BE12+真實IC!BF12</f>
        <v>3.2536682063171671</v>
      </c>
      <c r="BG12" s="11">
        <f>BF12+真實IC!BG12</f>
        <v>3.3004259601984507</v>
      </c>
      <c r="BH12" s="11">
        <f>BG12+真實IC!BH12</f>
        <v>3.3355055492283676</v>
      </c>
      <c r="BI12" s="11">
        <f>BH12+真實IC!BI12</f>
        <v>3.3855268022593585</v>
      </c>
      <c r="BJ12" s="11">
        <f>BI12+真實IC!BJ12</f>
        <v>3.4289493013670307</v>
      </c>
      <c r="BK12" s="11">
        <f>BJ12+真實IC!BK12</f>
        <v>3.4490249533703086</v>
      </c>
      <c r="BL12" s="11">
        <f>BK12+真實IC!BL12</f>
        <v>3.4811540516708028</v>
      </c>
      <c r="BM12" s="11">
        <f>BL12+真實IC!BM12</f>
        <v>3.5314597361941273</v>
      </c>
      <c r="BN12" s="11">
        <f>BM12+真實IC!BN12</f>
        <v>3.5509622744042471</v>
      </c>
      <c r="BO12" s="11">
        <f>BN12+真實IC!BO12</f>
        <v>3.575208584660484</v>
      </c>
      <c r="BP12" s="11">
        <f>BO12+真實IC!BP12</f>
        <v>3.601630541994651</v>
      </c>
      <c r="BQ12" s="11">
        <f>BP12+真實IC!BQ12</f>
        <v>3.6155272916133976</v>
      </c>
      <c r="BR12" s="11">
        <f>BQ12+真實IC!BR12</f>
        <v>3.6842209067605109</v>
      </c>
      <c r="BS12" s="11">
        <f>BR12+真實IC!BS12</f>
        <v>3.7168637616489035</v>
      </c>
      <c r="BT12" s="11">
        <f>BS12+真實IC!BT12</f>
        <v>3.7381518588810021</v>
      </c>
      <c r="BU12" s="11">
        <f>BT12+真實IC!BU12</f>
        <v>3.7862352284571776</v>
      </c>
      <c r="BV12" s="11">
        <f>BU12+真實IC!BV12</f>
        <v>3.8285176175431075</v>
      </c>
      <c r="BW12" s="11">
        <f>BV12+真實IC!BW12</f>
        <v>3.8729946214347577</v>
      </c>
      <c r="BX12" s="11">
        <f>BW12+真實IC!BX12</f>
        <v>3.8889787730754874</v>
      </c>
      <c r="BY12" s="11">
        <f>BX12+真實IC!BY12</f>
        <v>3.9479086894330515</v>
      </c>
      <c r="BZ12" s="11">
        <f>BY12+真實IC!BZ12</f>
        <v>3.9932656351243243</v>
      </c>
      <c r="CA12" s="11">
        <f>BZ12+真實IC!CA12</f>
        <v>4.0276659225646672</v>
      </c>
      <c r="CB12" s="11">
        <f>CA12+真實IC!CB12</f>
        <v>4.1001417986368462</v>
      </c>
      <c r="CC12" s="11">
        <f>CB12+真實IC!CC12</f>
        <v>4.1657084112645357</v>
      </c>
      <c r="CD12" s="11">
        <f>CC12+真實IC!CD12</f>
        <v>4.2766420448489884</v>
      </c>
      <c r="CE12" s="11">
        <f>CD12+真實IC!CE12</f>
        <v>4.4306490577387301</v>
      </c>
      <c r="CF12" s="11">
        <f>CE12+真實IC!CF12</f>
        <v>4.4584166411525024</v>
      </c>
      <c r="CG12" s="11">
        <f>CF12+真實IC!CG12</f>
        <v>4.507694601115583</v>
      </c>
      <c r="CH12" s="11">
        <f>CG12+真實IC!CH12</f>
        <v>4.5709919734935429</v>
      </c>
      <c r="CI12" s="11">
        <f>CH12+真實IC!CI12</f>
        <v>4.605647885905749</v>
      </c>
      <c r="CJ12" s="11">
        <f>CI12+真實IC!CJ12</f>
        <v>4.6597679528199443</v>
      </c>
      <c r="CK12" s="11">
        <f>CJ12+真實IC!CK12</f>
        <v>4.7158693934677345</v>
      </c>
      <c r="CL12" s="11">
        <f>CK12+真實IC!CL12</f>
        <v>4.8338850011373449</v>
      </c>
      <c r="CM12" s="11">
        <f>CL12+真實IC!CM12</f>
        <v>4.9055933891545571</v>
      </c>
      <c r="CN12" s="11">
        <f>CM12+真實IC!CN12</f>
        <v>4.9840585931653631</v>
      </c>
      <c r="CO12" s="11">
        <f>CN12+真實IC!CO12</f>
        <v>5.0553508360389552</v>
      </c>
      <c r="CP12" s="11">
        <f>CO12+真實IC!CP12</f>
        <v>5.1006498575064487</v>
      </c>
      <c r="CQ12" s="11">
        <f>CP12+真實IC!CQ12</f>
        <v>5.1633342045100239</v>
      </c>
      <c r="CR12" s="11">
        <f>CQ12+真實IC!CR12</f>
        <v>5.2204941910315377</v>
      </c>
      <c r="CS12" s="11">
        <f>CR12+真實IC!CS12</f>
        <v>5.2214727646263901</v>
      </c>
      <c r="CT12" s="11">
        <f>CS12+真實IC!CT12</f>
        <v>5.2535867752344396</v>
      </c>
      <c r="CU12" s="11">
        <f>CT12+真實IC!CU12</f>
        <v>5.3283663045157965</v>
      </c>
      <c r="CV12" s="11">
        <f>CU12+真實IC!CV12</f>
        <v>5.3933996110114855</v>
      </c>
      <c r="CW12" s="11">
        <f>CV12+真實IC!CW12</f>
        <v>5.4064362803900634</v>
      </c>
      <c r="CX12" s="11">
        <f>CW12+真實IC!CX12</f>
        <v>5.4674261629270555</v>
      </c>
      <c r="CY12" s="11">
        <f>CX12+真實IC!CY12</f>
        <v>5.5134991405925105</v>
      </c>
      <c r="CZ12" s="11">
        <f>CY12+真實IC!CZ12</f>
        <v>5.5912914679320114</v>
      </c>
      <c r="DA12" s="11">
        <f>CZ12+真實IC!DA12</f>
        <v>5.6282701292912067</v>
      </c>
      <c r="DB12" s="11">
        <f>DA12+真實IC!DB12</f>
        <v>5.7172519457892514</v>
      </c>
      <c r="DC12" s="11">
        <f>DB12+真實IC!DC12</f>
        <v>5.7512251486640258</v>
      </c>
      <c r="DD12" s="11">
        <f>DC12+真實IC!DD12</f>
        <v>5.8211856943983689</v>
      </c>
      <c r="DE12" s="11">
        <f>DD12+真實IC!DE12</f>
        <v>5.8459233388134635</v>
      </c>
      <c r="DF12" s="11">
        <f>DE12+真實IC!DF12</f>
        <v>5.9014090728955368</v>
      </c>
      <c r="DG12" s="11">
        <f>DF12+真實IC!DG12</f>
        <v>5.9478188906750615</v>
      </c>
      <c r="DH12" s="11">
        <f>DG12+真實IC!DH12</f>
        <v>6.0090140454633785</v>
      </c>
      <c r="DI12" s="11">
        <f>DH12+真實IC!DI12</f>
        <v>6.0687631132431274</v>
      </c>
      <c r="DJ12" s="11">
        <f>DI12+真實IC!DJ12</f>
        <v>6.1101411561787993</v>
      </c>
      <c r="DK12" s="11">
        <f>DJ12+真實IC!DK12</f>
        <v>6.1420693555113948</v>
      </c>
      <c r="DL12" s="11">
        <f>DK12+真實IC!DL12</f>
        <v>6.1607391888451977</v>
      </c>
      <c r="DM12" s="11">
        <f>DL12+真實IC!DM12</f>
        <v>6.1799768824257582</v>
      </c>
      <c r="DN12" s="11">
        <f>DM12+真實IC!DN12</f>
        <v>6.222387247811823</v>
      </c>
      <c r="DO12" s="11">
        <f>DN12+真實IC!DO12</f>
        <v>6.2529441899133138</v>
      </c>
      <c r="DP12" s="11">
        <f>DO12+真實IC!DP12</f>
        <v>6.3123528844699743</v>
      </c>
      <c r="DQ12" s="11">
        <f>DP12+真實IC!DQ12</f>
        <v>6.386893531950447</v>
      </c>
      <c r="DR12" s="11">
        <f>DQ12+真實IC!DR12</f>
        <v>6.4056724752298342</v>
      </c>
      <c r="DS12" s="11">
        <f>DR12+真實IC!DS12</f>
        <v>6.4753230272995337</v>
      </c>
      <c r="DT12" s="11">
        <f>DS12+真實IC!DT12</f>
        <v>6.5001368688621204</v>
      </c>
      <c r="DU12" s="11">
        <f>DT12+真實IC!DU12</f>
        <v>6.5573671520064289</v>
      </c>
      <c r="DV12" s="11">
        <f>DU12+真實IC!DV12</f>
        <v>6.6059179764839593</v>
      </c>
      <c r="DW12" s="11">
        <f>DV12+真實IC!DW12</f>
        <v>6.6508858106964848</v>
      </c>
      <c r="DX12" s="11">
        <f>DW12+真實IC!DX12</f>
        <v>6.7010378912388466</v>
      </c>
      <c r="DY12" s="11">
        <f>DX12+真實IC!DY12</f>
        <v>6.7541832021264563</v>
      </c>
      <c r="DZ12" s="11">
        <f>DY12+真實IC!DZ12</f>
        <v>6.7604103514749445</v>
      </c>
      <c r="EA12" s="11">
        <f>DZ12+真實IC!EA12</f>
        <v>6.8735373932240815</v>
      </c>
      <c r="EB12" s="11">
        <f>EA12+真實IC!EB12</f>
        <v>6.9040631700419235</v>
      </c>
      <c r="EC12" s="11">
        <f>EB12+真實IC!EC12</f>
        <v>6.9307146796215884</v>
      </c>
      <c r="ED12" s="11">
        <f>EC12+真實IC!ED12</f>
        <v>6.9912228324300729</v>
      </c>
      <c r="EE12" s="11">
        <f>ED12+真實IC!EE12</f>
        <v>7.0177297245912209</v>
      </c>
      <c r="EF12" s="11">
        <f>EE12+真實IC!EF12</f>
        <v>7.0469634903464522</v>
      </c>
    </row>
    <row r="13" spans="1:137" x14ac:dyDescent="0.3">
      <c r="A13" s="1">
        <v>20</v>
      </c>
      <c r="B13" s="1">
        <v>48</v>
      </c>
      <c r="C13" s="11">
        <f>IF(預測IC!C13&gt;預測IC!C$26,1,0)</f>
        <v>0</v>
      </c>
      <c r="D13" s="11">
        <f>C13+真實IC!D13</f>
        <v>0.1237450287927723</v>
      </c>
      <c r="E13" s="11">
        <f>D13+真實IC!E13</f>
        <v>0.19360658514557877</v>
      </c>
      <c r="F13" s="11">
        <f>E13+真實IC!F13</f>
        <v>0.25359311183850175</v>
      </c>
      <c r="G13" s="11">
        <f>F13+真實IC!G13</f>
        <v>0.26564051613860767</v>
      </c>
      <c r="H13" s="11">
        <f>G13+真實IC!H13</f>
        <v>0.29563014786432895</v>
      </c>
      <c r="I13" s="11">
        <f>H13+真實IC!I13</f>
        <v>0.32831301084905129</v>
      </c>
      <c r="J13" s="11">
        <f>I13+真實IC!J13</f>
        <v>0.36286290281869599</v>
      </c>
      <c r="K13" s="11">
        <f>J13+真實IC!K13</f>
        <v>0.42318904204626612</v>
      </c>
      <c r="L13" s="11">
        <f>K13+真實IC!L13</f>
        <v>0.42921420333991978</v>
      </c>
      <c r="M13" s="11">
        <f>L13+真實IC!M13</f>
        <v>0.43249396156592451</v>
      </c>
      <c r="N13" s="11">
        <f>M13+真實IC!N13</f>
        <v>0.53230087852259511</v>
      </c>
      <c r="O13" s="11">
        <f>N13+真實IC!O13</f>
        <v>0.54972357733354504</v>
      </c>
      <c r="P13" s="11">
        <f>O13+真實IC!P13</f>
        <v>0.57058049039495062</v>
      </c>
      <c r="Q13" s="11">
        <f>P13+真實IC!Q13</f>
        <v>0.61479875462292066</v>
      </c>
      <c r="R13" s="11">
        <f>Q13+真實IC!R13</f>
        <v>0.62128866479899503</v>
      </c>
      <c r="S13" s="11">
        <f>R13+真實IC!S13</f>
        <v>0.74420396280254564</v>
      </c>
      <c r="T13" s="11">
        <f>S13+真實IC!T13</f>
        <v>0.81843804431426825</v>
      </c>
      <c r="U13" s="11">
        <f>T13+真實IC!U13</f>
        <v>0.87259911935596246</v>
      </c>
      <c r="V13" s="11">
        <f>U13+真實IC!V13</f>
        <v>0.92537885825619615</v>
      </c>
      <c r="W13" s="11">
        <f>V13+真實IC!W13</f>
        <v>1.0008554201163464</v>
      </c>
      <c r="X13" s="11">
        <f>W13+真實IC!X13</f>
        <v>1.1219831909690845</v>
      </c>
      <c r="Y13" s="11">
        <f>X13+真實IC!Y13</f>
        <v>1.148455074186427</v>
      </c>
      <c r="Z13" s="11">
        <f>Y13+真實IC!Z13</f>
        <v>1.2268795089916105</v>
      </c>
      <c r="AA13" s="11">
        <f>Z13+真實IC!AA13</f>
        <v>1.2745921574418686</v>
      </c>
      <c r="AB13" s="11">
        <f>AA13+真實IC!AB13</f>
        <v>1.3212703775632459</v>
      </c>
      <c r="AC13" s="11">
        <f>AB13+真實IC!AC13</f>
        <v>1.3880420779451759</v>
      </c>
      <c r="AD13" s="11">
        <f>AC13+真實IC!AD13</f>
        <v>1.4095857677304513</v>
      </c>
      <c r="AE13" s="11">
        <f>AD13+真實IC!AE13</f>
        <v>1.486657184457252</v>
      </c>
      <c r="AF13" s="11">
        <f>AE13+真實IC!AF13</f>
        <v>1.5599383452855633</v>
      </c>
      <c r="AG13" s="11">
        <f>AF13+真實IC!AG13</f>
        <v>1.5916201283405662</v>
      </c>
      <c r="AH13" s="11">
        <f>AG13+真實IC!AH13</f>
        <v>1.6012614675800827</v>
      </c>
      <c r="AI13" s="11">
        <f>AH13+真實IC!AI13</f>
        <v>1.6211713778004961</v>
      </c>
      <c r="AJ13" s="11">
        <f>AI13+真實IC!AJ13</f>
        <v>1.6048909078122204</v>
      </c>
      <c r="AK13" s="11">
        <f>AJ13+真實IC!AK13</f>
        <v>1.6708788206228764</v>
      </c>
      <c r="AL13" s="11">
        <f>AK13+真實IC!AL13</f>
        <v>1.6934291782094133</v>
      </c>
      <c r="AM13" s="11">
        <f>AL13+真實IC!AM13</f>
        <v>1.7397116217462423</v>
      </c>
      <c r="AN13" s="11">
        <f>AM13+真實IC!AN13</f>
        <v>1.8450418598822764</v>
      </c>
      <c r="AO13" s="11">
        <f>AN13+真實IC!AO13</f>
        <v>1.843333013193641</v>
      </c>
      <c r="AP13" s="11">
        <f>AO13+真實IC!AP13</f>
        <v>1.9028838535556387</v>
      </c>
      <c r="AQ13" s="11">
        <f>AP13+真實IC!AQ13</f>
        <v>1.9139668480187615</v>
      </c>
      <c r="AR13" s="11">
        <f>AQ13+真實IC!AR13</f>
        <v>1.9047161155354853</v>
      </c>
      <c r="AS13" s="11">
        <f>AR13+真實IC!AS13</f>
        <v>1.9281210790770826</v>
      </c>
      <c r="AT13" s="11">
        <f>AS13+真實IC!AT13</f>
        <v>2.0145439938046823</v>
      </c>
      <c r="AU13" s="11">
        <f>AT13+真實IC!AU13</f>
        <v>2.0913283274330565</v>
      </c>
      <c r="AV13" s="11">
        <f>AU13+真實IC!AV13</f>
        <v>2.1709943030815269</v>
      </c>
      <c r="AW13" s="11">
        <f>AV13+真實IC!AW13</f>
        <v>2.197815541051908</v>
      </c>
      <c r="AX13" s="11">
        <f>AW13+真實IC!AX13</f>
        <v>2.2306153731877636</v>
      </c>
      <c r="AY13" s="11">
        <f>AX13+真實IC!AY13</f>
        <v>2.2481797195363886</v>
      </c>
      <c r="AZ13" s="11">
        <f>AY13+真實IC!AZ13</f>
        <v>2.3036294954919536</v>
      </c>
      <c r="BA13" s="11">
        <f>AZ13+真實IC!BA13</f>
        <v>2.383458615835742</v>
      </c>
      <c r="BB13" s="11">
        <f>BA13+真實IC!BB13</f>
        <v>2.4060060168105211</v>
      </c>
      <c r="BC13" s="11">
        <f>BB13+真實IC!BC13</f>
        <v>2.4251168840853632</v>
      </c>
      <c r="BD13" s="11">
        <f>BC13+真實IC!BD13</f>
        <v>2.466793197832033</v>
      </c>
      <c r="BE13" s="11">
        <f>BD13+真實IC!BE13</f>
        <v>2.5105669872178162</v>
      </c>
      <c r="BF13" s="11">
        <f>BE13+真實IC!BF13</f>
        <v>2.6322241304837721</v>
      </c>
      <c r="BG13" s="11">
        <f>BF13+真實IC!BG13</f>
        <v>2.7206216763400928</v>
      </c>
      <c r="BH13" s="11">
        <f>BG13+真實IC!BH13</f>
        <v>2.7616453325322849</v>
      </c>
      <c r="BI13" s="11">
        <f>BH13+真實IC!BI13</f>
        <v>2.8140544649889865</v>
      </c>
      <c r="BJ13" s="11">
        <f>BI13+真實IC!BJ13</f>
        <v>2.8655063839489086</v>
      </c>
      <c r="BK13" s="11">
        <f>BJ13+真實IC!BK13</f>
        <v>2.8906321573121008</v>
      </c>
      <c r="BL13" s="11">
        <f>BK13+真實IC!BL13</f>
        <v>2.9250921977605517</v>
      </c>
      <c r="BM13" s="11">
        <f>BL13+真實IC!BM13</f>
        <v>2.9784639664557426</v>
      </c>
      <c r="BN13" s="11">
        <f>BM13+真實IC!BN13</f>
        <v>2.9736063633973293</v>
      </c>
      <c r="BO13" s="11">
        <f>BN13+真實IC!BO13</f>
        <v>3.0044850796308036</v>
      </c>
      <c r="BP13" s="11">
        <f>BO13+真實IC!BP13</f>
        <v>3.0124362260485782</v>
      </c>
      <c r="BQ13" s="11">
        <f>BP13+真實IC!BQ13</f>
        <v>3.0540892898380041</v>
      </c>
      <c r="BR13" s="11">
        <f>BQ13+真實IC!BR13</f>
        <v>3.133920746661337</v>
      </c>
      <c r="BS13" s="11">
        <f>BR13+真實IC!BS13</f>
        <v>3.1741012610227539</v>
      </c>
      <c r="BT13" s="11">
        <f>BS13+真實IC!BT13</f>
        <v>3.207769030780673</v>
      </c>
      <c r="BU13" s="11">
        <f>BT13+真實IC!BU13</f>
        <v>3.282427198790447</v>
      </c>
      <c r="BV13" s="11">
        <f>BU13+真實IC!BV13</f>
        <v>3.3623580328915046</v>
      </c>
      <c r="BW13" s="11">
        <f>BV13+真實IC!BW13</f>
        <v>3.4380720385281842</v>
      </c>
      <c r="BX13" s="11">
        <f>BW13+真實IC!BX13</f>
        <v>3.4395494733044263</v>
      </c>
      <c r="BY13" s="11">
        <f>BX13+真實IC!BY13</f>
        <v>3.4787514298795679</v>
      </c>
      <c r="BZ13" s="11">
        <f>BY13+真實IC!BZ13</f>
        <v>3.5548895529386182</v>
      </c>
      <c r="CA13" s="11">
        <f>BZ13+真實IC!CA13</f>
        <v>3.5884211185390149</v>
      </c>
      <c r="CB13" s="11">
        <f>CA13+真實IC!CB13</f>
        <v>3.7088480902710499</v>
      </c>
      <c r="CC13" s="11">
        <f>CB13+真實IC!CC13</f>
        <v>3.8289662640092832</v>
      </c>
      <c r="CD13" s="11">
        <f>CC13+真實IC!CD13</f>
        <v>3.9340520969016106</v>
      </c>
      <c r="CE13" s="11">
        <f>CD13+真實IC!CE13</f>
        <v>4.1178799333572194</v>
      </c>
      <c r="CF13" s="11">
        <f>CE13+真實IC!CF13</f>
        <v>4.1623942000822884</v>
      </c>
      <c r="CG13" s="11">
        <f>CF13+真實IC!CG13</f>
        <v>4.2204091678895281</v>
      </c>
      <c r="CH13" s="11">
        <f>CG13+真實IC!CH13</f>
        <v>4.2787437797167351</v>
      </c>
      <c r="CI13" s="11">
        <f>CH13+真實IC!CI13</f>
        <v>4.3305972888509983</v>
      </c>
      <c r="CJ13" s="11">
        <f>CI13+真實IC!CJ13</f>
        <v>4.385407469529838</v>
      </c>
      <c r="CK13" s="11">
        <f>CJ13+真實IC!CK13</f>
        <v>4.4510945957966355</v>
      </c>
      <c r="CL13" s="11">
        <f>CK13+真實IC!CL13</f>
        <v>4.5325479618988167</v>
      </c>
      <c r="CM13" s="11">
        <f>CL13+真實IC!CM13</f>
        <v>4.6340001806128353</v>
      </c>
      <c r="CN13" s="11">
        <f>CM13+真實IC!CN13</f>
        <v>4.7349943472610292</v>
      </c>
      <c r="CO13" s="11">
        <f>CN13+真實IC!CO13</f>
        <v>4.8205605865691057</v>
      </c>
      <c r="CP13" s="11">
        <f>CO13+真實IC!CP13</f>
        <v>4.8902871268468404</v>
      </c>
      <c r="CQ13" s="11">
        <f>CP13+真實IC!CQ13</f>
        <v>4.9614659918152446</v>
      </c>
      <c r="CR13" s="11">
        <f>CQ13+真實IC!CR13</f>
        <v>5.0731108781957195</v>
      </c>
      <c r="CS13" s="11">
        <f>CR13+真實IC!CS13</f>
        <v>5.0826785318608545</v>
      </c>
      <c r="CT13" s="11">
        <f>CS13+真實IC!CT13</f>
        <v>5.1261407998299067</v>
      </c>
      <c r="CU13" s="11">
        <f>CT13+真實IC!CU13</f>
        <v>5.2332317615435437</v>
      </c>
      <c r="CV13" s="11">
        <f>CU13+真實IC!CV13</f>
        <v>5.3108878128005168</v>
      </c>
      <c r="CW13" s="11">
        <f>CV13+真實IC!CW13</f>
        <v>5.3471969325569502</v>
      </c>
      <c r="CX13" s="11">
        <f>CW13+真實IC!CX13</f>
        <v>5.407230187797003</v>
      </c>
      <c r="CY13" s="11">
        <f>CX13+真實IC!CY13</f>
        <v>5.469527134802366</v>
      </c>
      <c r="CZ13" s="11">
        <f>CY13+真實IC!CZ13</f>
        <v>5.5267513551558514</v>
      </c>
      <c r="DA13" s="11">
        <f>CZ13+真實IC!DA13</f>
        <v>5.5761973888407308</v>
      </c>
      <c r="DB13" s="11">
        <f>DA13+真實IC!DB13</f>
        <v>5.6824327101436847</v>
      </c>
      <c r="DC13" s="11">
        <f>DB13+真實IC!DC13</f>
        <v>5.7122082760219772</v>
      </c>
      <c r="DD13" s="11">
        <f>DC13+真實IC!DD13</f>
        <v>5.7811853349463611</v>
      </c>
      <c r="DE13" s="11">
        <f>DD13+真實IC!DE13</f>
        <v>5.8036273313755968</v>
      </c>
      <c r="DF13" s="11">
        <f>DE13+真實IC!DF13</f>
        <v>5.8867495184436276</v>
      </c>
      <c r="DG13" s="11">
        <f>DF13+真實IC!DG13</f>
        <v>5.9344786020500875</v>
      </c>
      <c r="DH13" s="11">
        <f>DG13+真實IC!DH13</f>
        <v>6.0231992029963948</v>
      </c>
      <c r="DI13" s="11">
        <f>DH13+真實IC!DI13</f>
        <v>6.1129477665438889</v>
      </c>
      <c r="DJ13" s="11">
        <f>DI13+真實IC!DJ13</f>
        <v>6.1199688901594467</v>
      </c>
      <c r="DK13" s="11">
        <f>DJ13+真實IC!DK13</f>
        <v>6.1393555240233058</v>
      </c>
      <c r="DL13" s="11">
        <f>DK13+真實IC!DL13</f>
        <v>6.1614062147013939</v>
      </c>
      <c r="DM13" s="11">
        <f>DL13+真實IC!DM13</f>
        <v>6.1608745920909209</v>
      </c>
      <c r="DN13" s="11">
        <f>DM13+真實IC!DN13</f>
        <v>6.172374170013434</v>
      </c>
      <c r="DO13" s="11">
        <f>DN13+真實IC!DO13</f>
        <v>6.2102376350982267</v>
      </c>
      <c r="DP13" s="11">
        <f>DO13+真實IC!DP13</f>
        <v>6.268269943988928</v>
      </c>
      <c r="DQ13" s="11">
        <f>DP13+真實IC!DQ13</f>
        <v>6.3553989553814985</v>
      </c>
      <c r="DR13" s="11">
        <f>DQ13+真實IC!DR13</f>
        <v>6.3691701646538101</v>
      </c>
      <c r="DS13" s="11">
        <f>DR13+真實IC!DS13</f>
        <v>6.4377670172942008</v>
      </c>
      <c r="DT13" s="11">
        <f>DS13+真實IC!DT13</f>
        <v>6.4676128264552037</v>
      </c>
      <c r="DU13" s="11">
        <f>DT13+真實IC!DU13</f>
        <v>6.5006189858978223</v>
      </c>
      <c r="DV13" s="11">
        <f>DU13+真實IC!DV13</f>
        <v>6.5802391299220107</v>
      </c>
      <c r="DW13" s="11">
        <f>DV13+真實IC!DW13</f>
        <v>6.6222678156342107</v>
      </c>
      <c r="DX13" s="11">
        <f>DW13+真實IC!DX13</f>
        <v>6.6867911952127068</v>
      </c>
      <c r="DY13" s="11">
        <f>DX13+真實IC!DY13</f>
        <v>6.7437725342602661</v>
      </c>
      <c r="DZ13" s="11">
        <f>DY13+真實IC!DZ13</f>
        <v>6.7620746584065676</v>
      </c>
      <c r="EA13" s="11">
        <f>DZ13+真實IC!EA13</f>
        <v>6.8865436165556382</v>
      </c>
      <c r="EB13" s="11">
        <f>EA13+真實IC!EB13</f>
        <v>6.943748909304027</v>
      </c>
      <c r="EC13" s="11">
        <f>EB13+真實IC!EC13</f>
        <v>6.985408662739256</v>
      </c>
      <c r="ED13" s="11">
        <f>EC13+真實IC!ED13</f>
        <v>7.0510907563984908</v>
      </c>
      <c r="EE13" s="11">
        <f>ED13+真實IC!EE13</f>
        <v>7.0923251403944025</v>
      </c>
      <c r="EF13" s="11">
        <f>EE13+真實IC!EF13</f>
        <v>7.1368387499471222</v>
      </c>
    </row>
    <row r="14" spans="1:137" x14ac:dyDescent="0.3">
      <c r="A14" s="1">
        <v>50</v>
      </c>
      <c r="B14" s="1">
        <v>19</v>
      </c>
      <c r="C14" s="11">
        <f>IF(預測IC!C14&gt;預測IC!C$26,1,0)</f>
        <v>0</v>
      </c>
      <c r="D14" s="11">
        <f>C14+真實IC!D14</f>
        <v>0.22230844854062601</v>
      </c>
      <c r="E14" s="11">
        <f>D14+真實IC!E14</f>
        <v>0.32107669668284811</v>
      </c>
      <c r="F14" s="11">
        <f>E14+真實IC!F14</f>
        <v>0.38141860158888069</v>
      </c>
      <c r="G14" s="11">
        <f>F14+真實IC!G14</f>
        <v>0.43507523203166137</v>
      </c>
      <c r="H14" s="11">
        <f>G14+真實IC!H14</f>
        <v>0.49466303846710147</v>
      </c>
      <c r="I14" s="11">
        <f>H14+真實IC!I14</f>
        <v>0.53845039829024377</v>
      </c>
      <c r="J14" s="11">
        <f>I14+真實IC!J14</f>
        <v>0.56176037025515468</v>
      </c>
      <c r="K14" s="11">
        <f>J14+真實IC!K14</f>
        <v>0.61258783651600268</v>
      </c>
      <c r="L14" s="11">
        <f>K14+真實IC!L14</f>
        <v>0.62106828408155124</v>
      </c>
      <c r="M14" s="11">
        <f>L14+真實IC!M14</f>
        <v>0.60204656961656722</v>
      </c>
      <c r="N14" s="11">
        <f>M14+真實IC!N14</f>
        <v>0.8068791447577931</v>
      </c>
      <c r="O14" s="11">
        <f>N14+真實IC!O14</f>
        <v>0.80837355269634159</v>
      </c>
      <c r="P14" s="11">
        <f>O14+真實IC!P14</f>
        <v>0.86671947459458287</v>
      </c>
      <c r="Q14" s="11">
        <f>P14+真實IC!Q14</f>
        <v>0.99082334576603159</v>
      </c>
      <c r="R14" s="11">
        <f>Q14+真實IC!R14</f>
        <v>0.97488215846892978</v>
      </c>
      <c r="S14" s="11">
        <f>R14+真實IC!S14</f>
        <v>1.1407753856536385</v>
      </c>
      <c r="T14" s="11">
        <f>S14+真實IC!T14</f>
        <v>1.1757949404880386</v>
      </c>
      <c r="U14" s="11">
        <f>T14+真實IC!U14</f>
        <v>1.2800616051236862</v>
      </c>
      <c r="V14" s="11">
        <f>U14+真實IC!V14</f>
        <v>1.3001507323090646</v>
      </c>
      <c r="W14" s="11">
        <f>V14+真實IC!W14</f>
        <v>1.4163165228409613</v>
      </c>
      <c r="X14" s="11">
        <f>W14+真實IC!X14</f>
        <v>1.6030022184513082</v>
      </c>
      <c r="Y14" s="11">
        <f>X14+真實IC!Y14</f>
        <v>1.6082220930468401</v>
      </c>
      <c r="Z14" s="11">
        <f>Y14+真實IC!Z14</f>
        <v>1.6467340193271478</v>
      </c>
      <c r="AA14" s="11">
        <f>Z14+真實IC!AA14</f>
        <v>1.7466398988244725</v>
      </c>
      <c r="AB14" s="11">
        <f>AA14+真實IC!AB14</f>
        <v>1.8174092761717027</v>
      </c>
      <c r="AC14" s="11">
        <f>AB14+真實IC!AC14</f>
        <v>1.8143227138329134</v>
      </c>
      <c r="AD14" s="11">
        <f>AC14+真實IC!AD14</f>
        <v>1.8536506060229434</v>
      </c>
      <c r="AE14" s="11">
        <f>AD14+真實IC!AE14</f>
        <v>1.9704875258625094</v>
      </c>
      <c r="AF14" s="11">
        <f>AE14+真實IC!AF14</f>
        <v>2.0665676213191428</v>
      </c>
      <c r="AG14" s="11">
        <f>AF14+真實IC!AG14</f>
        <v>2.0870885159657053</v>
      </c>
      <c r="AH14" s="11">
        <f>AG14+真實IC!AH14</f>
        <v>2.0923387938962112</v>
      </c>
      <c r="AI14" s="11">
        <f>AH14+真實IC!AI14</f>
        <v>2.1033033645787853</v>
      </c>
      <c r="AJ14" s="11">
        <f>AI14+真實IC!AJ14</f>
        <v>2.1183624006619364</v>
      </c>
      <c r="AK14" s="11">
        <f>AJ14+真實IC!AK14</f>
        <v>2.1952738315202383</v>
      </c>
      <c r="AL14" s="11">
        <f>AK14+真實IC!AL14</f>
        <v>2.2138333737784452</v>
      </c>
      <c r="AM14" s="11">
        <f>AL14+真實IC!AM14</f>
        <v>2.2750755401570704</v>
      </c>
      <c r="AN14" s="11">
        <f>AM14+真實IC!AN14</f>
        <v>2.3736702069266142</v>
      </c>
      <c r="AO14" s="11">
        <f>AN14+真實IC!AO14</f>
        <v>2.3356258543845527</v>
      </c>
      <c r="AP14" s="11">
        <f>AO14+真實IC!AP14</f>
        <v>2.4056023795366368</v>
      </c>
      <c r="AQ14" s="11">
        <f>AP14+真實IC!AQ14</f>
        <v>2.4137307962444656</v>
      </c>
      <c r="AR14" s="11">
        <f>AQ14+真實IC!AR14</f>
        <v>2.3955599732255806</v>
      </c>
      <c r="AS14" s="11">
        <f>AR14+真實IC!AS14</f>
        <v>2.3888906348358909</v>
      </c>
      <c r="AT14" s="11">
        <f>AS14+真實IC!AT14</f>
        <v>2.4682941145465289</v>
      </c>
      <c r="AU14" s="11">
        <f>AT14+真實IC!AU14</f>
        <v>2.6061465905992645</v>
      </c>
      <c r="AV14" s="11">
        <f>AU14+真實IC!AV14</f>
        <v>2.6724053398155232</v>
      </c>
      <c r="AW14" s="11">
        <f>AV14+真實IC!AW14</f>
        <v>2.7263340210449507</v>
      </c>
      <c r="AX14" s="11">
        <f>AW14+真實IC!AX14</f>
        <v>2.7457042344204412</v>
      </c>
      <c r="AY14" s="11">
        <f>AX14+真實IC!AY14</f>
        <v>2.7607723531922028</v>
      </c>
      <c r="AZ14" s="11">
        <f>AY14+真實IC!AZ14</f>
        <v>2.7864012807016674</v>
      </c>
      <c r="BA14" s="11">
        <f>AZ14+真實IC!BA14</f>
        <v>2.8827386060576412</v>
      </c>
      <c r="BB14" s="11">
        <f>BA14+真實IC!BB14</f>
        <v>2.9930498549587616</v>
      </c>
      <c r="BC14" s="11">
        <f>BB14+真實IC!BC14</f>
        <v>2.9645441714594556</v>
      </c>
      <c r="BD14" s="11">
        <f>BC14+真實IC!BD14</f>
        <v>2.9809616812704012</v>
      </c>
      <c r="BE14" s="11">
        <f>BD14+真實IC!BE14</f>
        <v>3.05104345141973</v>
      </c>
      <c r="BF14" s="11">
        <f>BE14+真實IC!BF14</f>
        <v>3.2048727129937382</v>
      </c>
      <c r="BG14" s="11">
        <f>BF14+真實IC!BG14</f>
        <v>3.3301780194333279</v>
      </c>
      <c r="BH14" s="11">
        <f>BG14+真實IC!BH14</f>
        <v>3.4035914836120531</v>
      </c>
      <c r="BI14" s="11">
        <f>BH14+真實IC!BI14</f>
        <v>3.4537766965029069</v>
      </c>
      <c r="BJ14" s="11">
        <f>BI14+真實IC!BJ14</f>
        <v>3.4777936301885428</v>
      </c>
      <c r="BK14" s="11">
        <f>BJ14+真實IC!BK14</f>
        <v>3.4445562482102119</v>
      </c>
      <c r="BL14" s="11">
        <f>BK14+真實IC!BL14</f>
        <v>3.504553143737652</v>
      </c>
      <c r="BM14" s="11">
        <f>BL14+真實IC!BM14</f>
        <v>3.5508314687406526</v>
      </c>
      <c r="BN14" s="11">
        <f>BM14+真實IC!BN14</f>
        <v>3.5042548245442369</v>
      </c>
      <c r="BO14" s="11">
        <f>BN14+真實IC!BO14</f>
        <v>3.5378638702215013</v>
      </c>
      <c r="BP14" s="11">
        <f>BO14+真實IC!BP14</f>
        <v>3.487531586893756</v>
      </c>
      <c r="BQ14" s="11">
        <f>BP14+真實IC!BQ14</f>
        <v>3.5033751107637068</v>
      </c>
      <c r="BR14" s="11">
        <f>BQ14+真實IC!BR14</f>
        <v>3.6034275338390933</v>
      </c>
      <c r="BS14" s="11">
        <f>BR14+真實IC!BS14</f>
        <v>3.6337602578258639</v>
      </c>
      <c r="BT14" s="11">
        <f>BS14+真實IC!BT14</f>
        <v>3.6184723299224912</v>
      </c>
      <c r="BU14" s="11">
        <f>BT14+真實IC!BU14</f>
        <v>3.7296317842362359</v>
      </c>
      <c r="BV14" s="11">
        <f>BU14+真實IC!BV14</f>
        <v>3.8376134174362306</v>
      </c>
      <c r="BW14" s="11">
        <f>BV14+真實IC!BW14</f>
        <v>3.9685109259934159</v>
      </c>
      <c r="BX14" s="11">
        <f>BW14+真實IC!BX14</f>
        <v>3.9682037917687496</v>
      </c>
      <c r="BY14" s="11">
        <f>BX14+真實IC!BY14</f>
        <v>3.9255993021154003</v>
      </c>
      <c r="BZ14" s="11">
        <f>BY14+真實IC!BZ14</f>
        <v>3.9856333589441828</v>
      </c>
      <c r="CA14" s="11">
        <f>BZ14+真實IC!CA14</f>
        <v>4.0100986250591202</v>
      </c>
      <c r="CB14" s="11">
        <f>CA14+真實IC!CB14</f>
        <v>4.1745641263810267</v>
      </c>
      <c r="CC14" s="11">
        <f>CB14+真實IC!CC14</f>
        <v>4.2951602849702093</v>
      </c>
      <c r="CD14" s="11">
        <f>CC14+真實IC!CD14</f>
        <v>4.3931769949024071</v>
      </c>
      <c r="CE14" s="11">
        <f>CD14+真實IC!CE14</f>
        <v>4.563732297390958</v>
      </c>
      <c r="CF14" s="11">
        <f>CE14+真實IC!CF14</f>
        <v>4.6560629806730196</v>
      </c>
      <c r="CG14" s="11">
        <f>CF14+真實IC!CG14</f>
        <v>4.7133836443408406</v>
      </c>
      <c r="CH14" s="11">
        <f>CG14+真實IC!CH14</f>
        <v>4.7780450366190577</v>
      </c>
      <c r="CI14" s="11">
        <f>CH14+真實IC!CI14</f>
        <v>4.8839298139824168</v>
      </c>
      <c r="CJ14" s="11">
        <f>CI14+真實IC!CJ14</f>
        <v>4.9017259303315583</v>
      </c>
      <c r="CK14" s="11">
        <f>CJ14+真實IC!CK14</f>
        <v>4.9555180168455513</v>
      </c>
      <c r="CL14" s="11">
        <f>CK14+真實IC!CL14</f>
        <v>5.0177879717243874</v>
      </c>
      <c r="CM14" s="11">
        <f>CL14+真實IC!CM14</f>
        <v>5.127856944697097</v>
      </c>
      <c r="CN14" s="11">
        <f>CM14+真實IC!CN14</f>
        <v>5.3024526193821542</v>
      </c>
      <c r="CO14" s="11">
        <f>CN14+真實IC!CO14</f>
        <v>5.4757017733361089</v>
      </c>
      <c r="CP14" s="11">
        <f>CO14+真實IC!CP14</f>
        <v>5.5755111048178616</v>
      </c>
      <c r="CQ14" s="11">
        <f>CP14+真實IC!CQ14</f>
        <v>5.6077390047052491</v>
      </c>
      <c r="CR14" s="11">
        <f>CQ14+真實IC!CR14</f>
        <v>5.8154587172958969</v>
      </c>
      <c r="CS14" s="11">
        <f>CR14+真實IC!CS14</f>
        <v>5.8110460837626476</v>
      </c>
      <c r="CT14" s="11">
        <f>CS14+真實IC!CT14</f>
        <v>5.872918436154249</v>
      </c>
      <c r="CU14" s="11">
        <f>CT14+真實IC!CU14</f>
        <v>5.9744634361109634</v>
      </c>
      <c r="CV14" s="11">
        <f>CU14+真實IC!CV14</f>
        <v>6.1258602772685968</v>
      </c>
      <c r="CW14" s="11">
        <f>CV14+真實IC!CW14</f>
        <v>6.1706241617118565</v>
      </c>
      <c r="CX14" s="11">
        <f>CW14+真實IC!CX14</f>
        <v>6.2069235706000958</v>
      </c>
      <c r="CY14" s="11">
        <f>CX14+真實IC!CY14</f>
        <v>6.2570613140740452</v>
      </c>
      <c r="CZ14" s="11">
        <f>CY14+真實IC!CZ14</f>
        <v>6.3211248774244284</v>
      </c>
      <c r="DA14" s="11">
        <f>CZ14+真實IC!DA14</f>
        <v>6.3865182048489686</v>
      </c>
      <c r="DB14" s="11">
        <f>DA14+真實IC!DB14</f>
        <v>6.4911256459491984</v>
      </c>
      <c r="DC14" s="11">
        <f>DB14+真實IC!DC14</f>
        <v>6.5147582551540459</v>
      </c>
      <c r="DD14" s="11">
        <f>DC14+真實IC!DD14</f>
        <v>6.5939636070022303</v>
      </c>
      <c r="DE14" s="11">
        <f>DD14+真實IC!DE14</f>
        <v>6.6564905310086893</v>
      </c>
      <c r="DF14" s="11">
        <f>DE14+真實IC!DF14</f>
        <v>6.8580533704758011</v>
      </c>
      <c r="DG14" s="11">
        <f>DF14+真實IC!DG14</f>
        <v>6.9036367662026992</v>
      </c>
      <c r="DH14" s="11">
        <f>DG14+真實IC!DH14</f>
        <v>6.9623779603690732</v>
      </c>
      <c r="DI14" s="11">
        <f>DH14+真實IC!DI14</f>
        <v>7.0490244086675586</v>
      </c>
      <c r="DJ14" s="11">
        <f>DI14+真實IC!DJ14</f>
        <v>7.0578184380548796</v>
      </c>
      <c r="DK14" s="11">
        <f>DJ14+真實IC!DK14</f>
        <v>7.1394399875587382</v>
      </c>
      <c r="DL14" s="11">
        <f>DK14+真實IC!DL14</f>
        <v>7.1801948593906371</v>
      </c>
      <c r="DM14" s="11">
        <f>DL14+真實IC!DM14</f>
        <v>7.1813160091283974</v>
      </c>
      <c r="DN14" s="11">
        <f>DM14+真實IC!DN14</f>
        <v>7.2239785050216616</v>
      </c>
      <c r="DO14" s="11">
        <f>DN14+真實IC!DO14</f>
        <v>7.3265706943848956</v>
      </c>
      <c r="DP14" s="11">
        <f>DO14+真實IC!DP14</f>
        <v>7.3894855024551962</v>
      </c>
      <c r="DQ14" s="11">
        <f>DP14+真實IC!DQ14</f>
        <v>7.4606580670363289</v>
      </c>
      <c r="DR14" s="11">
        <f>DQ14+真實IC!DR14</f>
        <v>7.5132805864953287</v>
      </c>
      <c r="DS14" s="11">
        <f>DR14+真實IC!DS14</f>
        <v>7.569332406423892</v>
      </c>
      <c r="DT14" s="11">
        <f>DS14+真實IC!DT14</f>
        <v>7.5770866967629749</v>
      </c>
      <c r="DU14" s="11">
        <f>DT14+真實IC!DU14</f>
        <v>7.6458819699551395</v>
      </c>
      <c r="DV14" s="11">
        <f>DU14+真實IC!DV14</f>
        <v>7.7541443244852468</v>
      </c>
      <c r="DW14" s="11">
        <f>DV14+真實IC!DW14</f>
        <v>7.7559536339937631</v>
      </c>
      <c r="DX14" s="11">
        <f>DW14+真實IC!DX14</f>
        <v>7.857885139546184</v>
      </c>
      <c r="DY14" s="11">
        <f>DX14+真實IC!DY14</f>
        <v>7.9321438396249349</v>
      </c>
      <c r="DZ14" s="11">
        <f>DY14+真實IC!DZ14</f>
        <v>7.967174839488715</v>
      </c>
      <c r="EA14" s="11">
        <f>DZ14+真實IC!EA14</f>
        <v>8.0300875240614573</v>
      </c>
      <c r="EB14" s="11">
        <f>EA14+真實IC!EB14</f>
        <v>8.1082673547617201</v>
      </c>
      <c r="EC14" s="11">
        <f>EB14+真實IC!EC14</f>
        <v>8.1143467369098534</v>
      </c>
      <c r="ED14" s="11">
        <f>EC14+真實IC!ED14</f>
        <v>8.2169764460960408</v>
      </c>
      <c r="EE14" s="11">
        <f>ED14+真實IC!EE14</f>
        <v>8.2135771925779686</v>
      </c>
      <c r="EF14" s="11">
        <f>EE14+真實IC!EF14</f>
        <v>8.239102547779849</v>
      </c>
    </row>
    <row r="15" spans="1:137" x14ac:dyDescent="0.3">
      <c r="A15" s="1">
        <v>100</v>
      </c>
      <c r="B15" s="1">
        <v>10</v>
      </c>
      <c r="C15" s="11">
        <f>IF(預測IC!C15&gt;預測IC!C$26,1,0)</f>
        <v>0</v>
      </c>
      <c r="D15" s="11">
        <f>C15+真實IC!D15</f>
        <v>0.37270921560992559</v>
      </c>
      <c r="E15" s="11">
        <f>D15+真實IC!E15</f>
        <v>0.43475489572688336</v>
      </c>
      <c r="F15" s="11">
        <f>E15+真實IC!F15</f>
        <v>0.39983345917018598</v>
      </c>
      <c r="G15" s="11">
        <f>F15+真實IC!G15</f>
        <v>0.43423738013722246</v>
      </c>
      <c r="H15" s="11">
        <f>G15+真實IC!H15</f>
        <v>0.55308108384458177</v>
      </c>
      <c r="I15" s="11">
        <f>H15+真實IC!I15</f>
        <v>0.61151252812444734</v>
      </c>
      <c r="J15" s="11">
        <f>I15+真實IC!J15</f>
        <v>0.66147399337183699</v>
      </c>
      <c r="K15" s="11">
        <f>J15+真實IC!K15</f>
        <v>0.75598879096376792</v>
      </c>
      <c r="L15" s="11">
        <f>K15+真實IC!L15</f>
        <v>0.74302170600272754</v>
      </c>
      <c r="M15" s="11">
        <f>L15+真實IC!M15</f>
        <v>0.74088868956643983</v>
      </c>
      <c r="N15" s="11">
        <f>M15+真實IC!N15</f>
        <v>1.0711980264312468</v>
      </c>
      <c r="O15" s="11">
        <f>N15+真實IC!O15</f>
        <v>1.058927230672094</v>
      </c>
      <c r="P15" s="11">
        <f>O15+真實IC!P15</f>
        <v>1.1230434136937557</v>
      </c>
      <c r="Q15" s="11">
        <f>P15+真實IC!Q15</f>
        <v>1.2785802558015682</v>
      </c>
      <c r="R15" s="11">
        <f>Q15+真實IC!R15</f>
        <v>1.2264505656964508</v>
      </c>
      <c r="S15" s="11">
        <f>R15+真實IC!S15</f>
        <v>1.4964584607786047</v>
      </c>
      <c r="T15" s="11">
        <f>S15+真實IC!T15</f>
        <v>1.542349537895789</v>
      </c>
      <c r="U15" s="11">
        <f>T15+真實IC!U15</f>
        <v>1.6793175995630578</v>
      </c>
      <c r="V15" s="11">
        <f>U15+真實IC!V15</f>
        <v>1.662185746214945</v>
      </c>
      <c r="W15" s="11">
        <f>V15+真實IC!W15</f>
        <v>1.7691203013728782</v>
      </c>
      <c r="X15" s="11">
        <f>W15+真實IC!X15</f>
        <v>1.98030662870326</v>
      </c>
      <c r="Y15" s="11">
        <f>X15+真實IC!Y15</f>
        <v>1.9596766543374402</v>
      </c>
      <c r="Z15" s="11">
        <f>Y15+真實IC!Z15</f>
        <v>2.0063966263907989</v>
      </c>
      <c r="AA15" s="11">
        <f>Z15+真實IC!AA15</f>
        <v>2.1672470106038633</v>
      </c>
      <c r="AB15" s="11">
        <f>AA15+真實IC!AB15</f>
        <v>2.2509471831196937</v>
      </c>
      <c r="AC15" s="11">
        <f>AB15+真實IC!AC15</f>
        <v>2.2552648519677487</v>
      </c>
      <c r="AD15" s="11">
        <f>AC15+真實IC!AD15</f>
        <v>2.2949553330954569</v>
      </c>
      <c r="AE15" s="11">
        <f>AD15+真實IC!AE15</f>
        <v>2.5067479761427287</v>
      </c>
      <c r="AF15" s="11">
        <f>AE15+真實IC!AF15</f>
        <v>2.644474263320383</v>
      </c>
      <c r="AG15" s="11">
        <f>AF15+真實IC!AG15</f>
        <v>2.6545977415820388</v>
      </c>
      <c r="AH15" s="11">
        <f>AG15+真實IC!AH15</f>
        <v>2.6209933682243625</v>
      </c>
      <c r="AI15" s="11">
        <f>AH15+真實IC!AI15</f>
        <v>2.6952703284344444</v>
      </c>
      <c r="AJ15" s="11">
        <f>AI15+真實IC!AJ15</f>
        <v>2.7047351884019202</v>
      </c>
      <c r="AK15" s="11">
        <f>AJ15+真實IC!AK15</f>
        <v>2.7664948080603651</v>
      </c>
      <c r="AL15" s="11">
        <f>AK15+真實IC!AL15</f>
        <v>2.7596130489489288</v>
      </c>
      <c r="AM15" s="11">
        <f>AL15+真實IC!AM15</f>
        <v>2.814735671083556</v>
      </c>
      <c r="AN15" s="11">
        <f>AM15+真實IC!AN15</f>
        <v>2.9164243769959395</v>
      </c>
      <c r="AO15" s="11">
        <f>AN15+真實IC!AO15</f>
        <v>2.8650398567559723</v>
      </c>
      <c r="AP15" s="11">
        <f>AO15+真實IC!AP15</f>
        <v>2.9433255506487264</v>
      </c>
      <c r="AQ15" s="11">
        <f>AP15+真實IC!AQ15</f>
        <v>2.963076537877086</v>
      </c>
      <c r="AR15" s="11">
        <f>AQ15+真實IC!AR15</f>
        <v>2.9385257181788074</v>
      </c>
      <c r="AS15" s="11">
        <f>AR15+真實IC!AS15</f>
        <v>2.8897924968247057</v>
      </c>
      <c r="AT15" s="11">
        <f>AS15+真實IC!AT15</f>
        <v>2.9607823094284109</v>
      </c>
      <c r="AU15" s="11">
        <f>AT15+真實IC!AU15</f>
        <v>3.1278907404978415</v>
      </c>
      <c r="AV15" s="11">
        <f>AU15+真實IC!AV15</f>
        <v>3.1651886691969522</v>
      </c>
      <c r="AW15" s="11">
        <f>AV15+真實IC!AW15</f>
        <v>3.256916141990303</v>
      </c>
      <c r="AX15" s="11">
        <f>AW15+真實IC!AX15</f>
        <v>3.338276707945071</v>
      </c>
      <c r="AY15" s="11">
        <f>AX15+真實IC!AY15</f>
        <v>3.366293772055104</v>
      </c>
      <c r="AZ15" s="11">
        <f>AY15+真實IC!AZ15</f>
        <v>3.4031411238077065</v>
      </c>
      <c r="BA15" s="11">
        <f>AZ15+真實IC!BA15</f>
        <v>3.5608290722160452</v>
      </c>
      <c r="BB15" s="11">
        <f>BA15+真實IC!BB15</f>
        <v>3.7585422217203859</v>
      </c>
      <c r="BC15" s="11">
        <f>BB15+真實IC!BC15</f>
        <v>3.7276055300980357</v>
      </c>
      <c r="BD15" s="11">
        <f>BC15+真實IC!BD15</f>
        <v>3.7349684460607415</v>
      </c>
      <c r="BE15" s="11">
        <f>BD15+真實IC!BE15</f>
        <v>3.7763664167576496</v>
      </c>
      <c r="BF15" s="11">
        <f>BE15+真實IC!BF15</f>
        <v>3.987238504247637</v>
      </c>
      <c r="BG15" s="11">
        <f>BF15+真實IC!BG15</f>
        <v>4.1532897197122338</v>
      </c>
      <c r="BH15" s="11">
        <f>BG15+真實IC!BH15</f>
        <v>4.2519387661186547</v>
      </c>
      <c r="BI15" s="11">
        <f>BH15+真實IC!BI15</f>
        <v>4.3205254252336243</v>
      </c>
      <c r="BJ15" s="11">
        <f>BI15+真實IC!BJ15</f>
        <v>4.3956793233472995</v>
      </c>
      <c r="BK15" s="11">
        <f>BJ15+真實IC!BK15</f>
        <v>4.3228099044647106</v>
      </c>
      <c r="BL15" s="11">
        <f>BK15+真實IC!BL15</f>
        <v>4.3825653254390318</v>
      </c>
      <c r="BM15" s="11">
        <f>BL15+真實IC!BM15</f>
        <v>4.4307843299267757</v>
      </c>
      <c r="BN15" s="11">
        <f>BM15+真實IC!BN15</f>
        <v>4.3647302947011939</v>
      </c>
      <c r="BO15" s="11">
        <f>BN15+真實IC!BO15</f>
        <v>4.3924647706561251</v>
      </c>
      <c r="BP15" s="11">
        <f>BO15+真實IC!BP15</f>
        <v>4.3408479161840603</v>
      </c>
      <c r="BQ15" s="11">
        <f>BP15+真實IC!BQ15</f>
        <v>4.3536508474743885</v>
      </c>
      <c r="BR15" s="11">
        <f>BQ15+真實IC!BR15</f>
        <v>4.4774129839108436</v>
      </c>
      <c r="BS15" s="11">
        <f>BR15+真實IC!BS15</f>
        <v>4.4892788948194555</v>
      </c>
      <c r="BT15" s="11">
        <f>BS15+真實IC!BT15</f>
        <v>4.5259125610150157</v>
      </c>
      <c r="BU15" s="11">
        <f>BT15+真實IC!BU15</f>
        <v>4.6114582947364555</v>
      </c>
      <c r="BV15" s="11">
        <f>BU15+真實IC!BV15</f>
        <v>4.7160983390301459</v>
      </c>
      <c r="BW15" s="11">
        <f>BV15+真實IC!BW15</f>
        <v>5.0149773286060739</v>
      </c>
      <c r="BX15" s="11">
        <f>BW15+真實IC!BX15</f>
        <v>5.0389267600434158</v>
      </c>
      <c r="BY15" s="11">
        <f>BX15+真實IC!BY15</f>
        <v>4.9129031864663286</v>
      </c>
      <c r="BZ15" s="11">
        <f>BY15+真實IC!BZ15</f>
        <v>5.0158096554436762</v>
      </c>
      <c r="CA15" s="11">
        <f>BZ15+真實IC!CA15</f>
        <v>5.034401676240118</v>
      </c>
      <c r="CB15" s="11">
        <f>CA15+真實IC!CB15</f>
        <v>5.1654930790241798</v>
      </c>
      <c r="CC15" s="11">
        <f>CB15+真實IC!CC15</f>
        <v>5.3391447847463001</v>
      </c>
      <c r="CD15" s="11">
        <f>CC15+真實IC!CD15</f>
        <v>5.4592968687093846</v>
      </c>
      <c r="CE15" s="11">
        <f>CD15+真實IC!CE15</f>
        <v>5.5326649887578352</v>
      </c>
      <c r="CF15" s="11">
        <f>CE15+真實IC!CF15</f>
        <v>5.6270216391512555</v>
      </c>
      <c r="CG15" s="11">
        <f>CF15+真實IC!CG15</f>
        <v>5.7129076606814193</v>
      </c>
      <c r="CH15" s="11">
        <f>CG15+真實IC!CH15</f>
        <v>5.7757936189651202</v>
      </c>
      <c r="CI15" s="11">
        <f>CH15+真實IC!CI15</f>
        <v>5.8145920338601007</v>
      </c>
      <c r="CJ15" s="11">
        <f>CI15+真實IC!CJ15</f>
        <v>5.8552637508071621</v>
      </c>
      <c r="CK15" s="11">
        <f>CJ15+真實IC!CK15</f>
        <v>5.9509044989798676</v>
      </c>
      <c r="CL15" s="11">
        <f>CK15+真實IC!CL15</f>
        <v>5.9823264739731163</v>
      </c>
      <c r="CM15" s="11">
        <f>CL15+真實IC!CM15</f>
        <v>6.0904462296860391</v>
      </c>
      <c r="CN15" s="11">
        <f>CM15+真實IC!CN15</f>
        <v>6.2335960466572793</v>
      </c>
      <c r="CO15" s="11">
        <f>CN15+真實IC!CO15</f>
        <v>6.4069560358963287</v>
      </c>
      <c r="CP15" s="11">
        <f>CO15+真實IC!CP15</f>
        <v>6.5344918713292781</v>
      </c>
      <c r="CQ15" s="11">
        <f>CP15+真實IC!CQ15</f>
        <v>6.5095285108728396</v>
      </c>
      <c r="CR15" s="11">
        <f>CQ15+真實IC!CR15</f>
        <v>6.6910174431085743</v>
      </c>
      <c r="CS15" s="11">
        <f>CR15+真實IC!CS15</f>
        <v>6.6975004942076195</v>
      </c>
      <c r="CT15" s="11">
        <f>CS15+真實IC!CT15</f>
        <v>6.7297170506526713</v>
      </c>
      <c r="CU15" s="11">
        <f>CT15+真實IC!CU15</f>
        <v>6.8537669820665394</v>
      </c>
      <c r="CV15" s="11">
        <f>CU15+真實IC!CV15</f>
        <v>7.0363785297834553</v>
      </c>
      <c r="CW15" s="11">
        <f>CV15+真實IC!CW15</f>
        <v>7.0624506206865822</v>
      </c>
      <c r="CX15" s="11">
        <f>CW15+真實IC!CX15</f>
        <v>7.0864902277399135</v>
      </c>
      <c r="CY15" s="11">
        <f>CX15+真實IC!CY15</f>
        <v>7.1422229385647418</v>
      </c>
      <c r="CZ15" s="11">
        <f>CY15+真實IC!CZ15</f>
        <v>7.2221098865090845</v>
      </c>
      <c r="DA15" s="11">
        <f>CZ15+真實IC!DA15</f>
        <v>7.3109720987064399</v>
      </c>
      <c r="DB15" s="11">
        <f>DA15+真實IC!DB15</f>
        <v>7.4080203402319054</v>
      </c>
      <c r="DC15" s="11">
        <f>DB15+真實IC!DC15</f>
        <v>7.4430954902064874</v>
      </c>
      <c r="DD15" s="11">
        <f>DC15+真實IC!DD15</f>
        <v>7.4576022163379339</v>
      </c>
      <c r="DE15" s="11">
        <f>DD15+真實IC!DE15</f>
        <v>7.5147658510691864</v>
      </c>
      <c r="DF15" s="11">
        <f>DE15+真實IC!DF15</f>
        <v>7.8174863007119688</v>
      </c>
      <c r="DG15" s="11">
        <f>DF15+真實IC!DG15</f>
        <v>7.8654037856863113</v>
      </c>
      <c r="DH15" s="11">
        <f>DG15+真實IC!DH15</f>
        <v>7.9950257213541684</v>
      </c>
      <c r="DI15" s="11">
        <f>DH15+真實IC!DI15</f>
        <v>8.0378374885672823</v>
      </c>
      <c r="DJ15" s="11">
        <f>DI15+真實IC!DJ15</f>
        <v>8.0978612652583397</v>
      </c>
      <c r="DK15" s="11">
        <f>DJ15+真實IC!DK15</f>
        <v>8.1981901921264217</v>
      </c>
      <c r="DL15" s="11">
        <f>DK15+真實IC!DL15</f>
        <v>8.1978861989235945</v>
      </c>
      <c r="DM15" s="11">
        <f>DL15+真實IC!DM15</f>
        <v>8.1961129341863863</v>
      </c>
      <c r="DN15" s="11">
        <f>DM15+真實IC!DN15</f>
        <v>8.2401094316100068</v>
      </c>
      <c r="DO15" s="11">
        <f>DN15+真實IC!DO15</f>
        <v>8.3996548429692783</v>
      </c>
      <c r="DP15" s="11">
        <f>DO15+真實IC!DP15</f>
        <v>8.5339597903346451</v>
      </c>
      <c r="DQ15" s="11">
        <f>DP15+真實IC!DQ15</f>
        <v>8.5709984792868426</v>
      </c>
      <c r="DR15" s="11">
        <f>DQ15+真實IC!DR15</f>
        <v>8.6410090459047808</v>
      </c>
      <c r="DS15" s="11">
        <f>DR15+真實IC!DS15</f>
        <v>8.6785391896827484</v>
      </c>
      <c r="DT15" s="11">
        <f>DS15+真實IC!DT15</f>
        <v>8.7312579796718186</v>
      </c>
      <c r="DU15" s="11">
        <f>DT15+真實IC!DU15</f>
        <v>8.8483856331824668</v>
      </c>
      <c r="DV15" s="11">
        <f>DU15+真實IC!DV15</f>
        <v>8.9881539901233385</v>
      </c>
      <c r="DW15" s="11">
        <f>DV15+真實IC!DW15</f>
        <v>8.9273276637859578</v>
      </c>
      <c r="DX15" s="11">
        <f>DW15+真實IC!DX15</f>
        <v>9.045943914435945</v>
      </c>
      <c r="DY15" s="11">
        <f>DX15+真實IC!DY15</f>
        <v>9.1895534888167276</v>
      </c>
      <c r="DZ15" s="11">
        <f>DY15+真實IC!DZ15</f>
        <v>9.2300091421207373</v>
      </c>
      <c r="EA15" s="11">
        <f>DZ15+真實IC!EA15</f>
        <v>9.2734603624010621</v>
      </c>
      <c r="EB15" s="11">
        <f>EA15+真實IC!EB15</f>
        <v>9.3615478119283164</v>
      </c>
      <c r="EC15" s="11">
        <f>EB15+真實IC!EC15</f>
        <v>9.4276296679762623</v>
      </c>
      <c r="ED15" s="11">
        <f>EC15+真實IC!ED15</f>
        <v>9.5409867239115744</v>
      </c>
      <c r="EE15" s="11">
        <f>ED15+真實IC!EE15</f>
        <v>9.5441774444131013</v>
      </c>
      <c r="EF15" s="11">
        <f>EE15+真實IC!EF15</f>
        <v>9.5738234994851066</v>
      </c>
    </row>
    <row r="16" spans="1:137" x14ac:dyDescent="0.3">
      <c r="A16" s="1">
        <v>107</v>
      </c>
      <c r="B16" s="1">
        <v>9</v>
      </c>
      <c r="C16" s="11">
        <f>IF(預測IC!C16&gt;預測IC!C$26,1,0)</f>
        <v>0</v>
      </c>
      <c r="D16" s="11">
        <f>C16+真實IC!D16</f>
        <v>0.40819497873258059</v>
      </c>
      <c r="E16" s="11">
        <f>D16+真實IC!E16</f>
        <v>0.47320155584390883</v>
      </c>
      <c r="F16" s="11">
        <f>E16+真實IC!F16</f>
        <v>0.39448608393957785</v>
      </c>
      <c r="G16" s="11">
        <f>F16+真實IC!G16</f>
        <v>0.40263263459852711</v>
      </c>
      <c r="H16" s="11">
        <f>G16+真實IC!H16</f>
        <v>0.47548069088617462</v>
      </c>
      <c r="I16" s="11">
        <f>H16+真實IC!I16</f>
        <v>0.5330113095517961</v>
      </c>
      <c r="J16" s="11">
        <f>I16+真實IC!J16</f>
        <v>0.57972123559446231</v>
      </c>
      <c r="K16" s="11">
        <f>J16+真實IC!K16</f>
        <v>0.66614212717685284</v>
      </c>
      <c r="L16" s="11">
        <f>K16+真實IC!L16</f>
        <v>0.6351149762113798</v>
      </c>
      <c r="M16" s="11">
        <f>L16+真實IC!M16</f>
        <v>0.62112754034946271</v>
      </c>
      <c r="N16" s="11">
        <f>M16+真實IC!N16</f>
        <v>0.98811514947204904</v>
      </c>
      <c r="O16" s="11">
        <f>N16+真實IC!O16</f>
        <v>0.95952807259306983</v>
      </c>
      <c r="P16" s="11">
        <f>O16+真實IC!P16</f>
        <v>1.0205733043844922</v>
      </c>
      <c r="Q16" s="11">
        <f>P16+真實IC!Q16</f>
        <v>1.1784763748088303</v>
      </c>
      <c r="R16" s="11">
        <f>Q16+真實IC!R16</f>
        <v>1.1294853965259037</v>
      </c>
      <c r="S16" s="11">
        <f>R16+真實IC!S16</f>
        <v>1.4165484169246985</v>
      </c>
      <c r="T16" s="11">
        <f>S16+真實IC!T16</f>
        <v>1.4549550902183104</v>
      </c>
      <c r="U16" s="11">
        <f>T16+真實IC!U16</f>
        <v>1.5850175616480549</v>
      </c>
      <c r="V16" s="11">
        <f>U16+真實IC!V16</f>
        <v>1.5789954163150892</v>
      </c>
      <c r="W16" s="11">
        <f>V16+真實IC!W16</f>
        <v>1.6573689043427271</v>
      </c>
      <c r="X16" s="11">
        <f>W16+真實IC!X16</f>
        <v>1.8979008659698933</v>
      </c>
      <c r="Y16" s="11">
        <f>X16+真實IC!Y16</f>
        <v>1.8777202775502577</v>
      </c>
      <c r="Z16" s="11">
        <f>Y16+真實IC!Z16</f>
        <v>1.9207782084344693</v>
      </c>
      <c r="AA16" s="11">
        <f>Z16+真實IC!AA16</f>
        <v>2.0869370997317862</v>
      </c>
      <c r="AB16" s="11">
        <f>AA16+真實IC!AB16</f>
        <v>2.1619221413697667</v>
      </c>
      <c r="AC16" s="11">
        <f>AB16+真實IC!AC16</f>
        <v>2.14915669333435</v>
      </c>
      <c r="AD16" s="11">
        <f>AC16+真實IC!AD16</f>
        <v>2.1839678651916015</v>
      </c>
      <c r="AE16" s="11">
        <f>AD16+真實IC!AE16</f>
        <v>2.3935961063685118</v>
      </c>
      <c r="AF16" s="11">
        <f>AE16+真實IC!AF16</f>
        <v>2.5415117166329382</v>
      </c>
      <c r="AG16" s="11">
        <f>AF16+真實IC!AG16</f>
        <v>2.5548024696694736</v>
      </c>
      <c r="AH16" s="11">
        <f>AG16+真實IC!AH16</f>
        <v>2.5230370692200328</v>
      </c>
      <c r="AI16" s="11">
        <f>AH16+真實IC!AI16</f>
        <v>2.6135597184371875</v>
      </c>
      <c r="AJ16" s="11">
        <f>AI16+真實IC!AJ16</f>
        <v>2.6065337523653116</v>
      </c>
      <c r="AK16" s="11">
        <f>AJ16+真實IC!AK16</f>
        <v>2.6709551531976836</v>
      </c>
      <c r="AL16" s="11">
        <f>AK16+真實IC!AL16</f>
        <v>2.656482641680225</v>
      </c>
      <c r="AM16" s="11">
        <f>AL16+真實IC!AM16</f>
        <v>2.7225593722820229</v>
      </c>
      <c r="AN16" s="11">
        <f>AM16+真實IC!AN16</f>
        <v>2.8290155723716985</v>
      </c>
      <c r="AO16" s="11">
        <f>AN16+真實IC!AO16</f>
        <v>2.7879254190099574</v>
      </c>
      <c r="AP16" s="11">
        <f>AO16+真實IC!AP16</f>
        <v>2.8657237871555461</v>
      </c>
      <c r="AQ16" s="11">
        <f>AP16+真實IC!AQ16</f>
        <v>2.8897598410100986</v>
      </c>
      <c r="AR16" s="11">
        <f>AQ16+真實IC!AR16</f>
        <v>2.8572670812900349</v>
      </c>
      <c r="AS16" s="11">
        <f>AR16+真實IC!AS16</f>
        <v>2.8046243630518011</v>
      </c>
      <c r="AT16" s="11">
        <f>AS16+真實IC!AT16</f>
        <v>2.9271884064020859</v>
      </c>
      <c r="AU16" s="11">
        <f>AT16+真實IC!AU16</f>
        <v>3.0974242952192257</v>
      </c>
      <c r="AV16" s="11">
        <f>AU16+真實IC!AV16</f>
        <v>3.1495051306559634</v>
      </c>
      <c r="AW16" s="11">
        <f>AV16+真實IC!AW16</f>
        <v>3.2584900692974923</v>
      </c>
      <c r="AX16" s="11">
        <f>AW16+真實IC!AX16</f>
        <v>3.3591113983988952</v>
      </c>
      <c r="AY16" s="11">
        <f>AX16+真實IC!AY16</f>
        <v>3.3929239882432412</v>
      </c>
      <c r="AZ16" s="11">
        <f>AY16+真實IC!AZ16</f>
        <v>3.4397508642466179</v>
      </c>
      <c r="BA16" s="11">
        <f>AZ16+真實IC!BA16</f>
        <v>3.5997415644212389</v>
      </c>
      <c r="BB16" s="11">
        <f>BA16+真實IC!BB16</f>
        <v>3.8252151274969783</v>
      </c>
      <c r="BC16" s="11">
        <f>BB16+真實IC!BC16</f>
        <v>3.7862157355747468</v>
      </c>
      <c r="BD16" s="11">
        <f>BC16+真實IC!BD16</f>
        <v>3.7924979199996303</v>
      </c>
      <c r="BE16" s="11">
        <f>BD16+真實IC!BE16</f>
        <v>3.8536955639260895</v>
      </c>
      <c r="BF16" s="11">
        <f>BE16+真實IC!BF16</f>
        <v>4.1014824230265496</v>
      </c>
      <c r="BG16" s="11">
        <f>BF16+真實IC!BG16</f>
        <v>4.2627119926109005</v>
      </c>
      <c r="BH16" s="11">
        <f>BG16+真實IC!BH16</f>
        <v>4.3588740271186346</v>
      </c>
      <c r="BI16" s="11">
        <f>BH16+真實IC!BI16</f>
        <v>4.4003178348818963</v>
      </c>
      <c r="BJ16" s="11">
        <f>BI16+真實IC!BJ16</f>
        <v>4.4817459536578701</v>
      </c>
      <c r="BK16" s="11">
        <f>BJ16+真實IC!BK16</f>
        <v>4.3769727507373011</v>
      </c>
      <c r="BL16" s="11">
        <f>BK16+真實IC!BL16</f>
        <v>4.4381463502217713</v>
      </c>
      <c r="BM16" s="11">
        <f>BL16+真實IC!BM16</f>
        <v>4.4776443357128777</v>
      </c>
      <c r="BN16" s="11">
        <f>BM16+真實IC!BN16</f>
        <v>4.4104463653081885</v>
      </c>
      <c r="BO16" s="11">
        <f>BN16+真實IC!BO16</f>
        <v>4.4323367252618464</v>
      </c>
      <c r="BP16" s="11">
        <f>BO16+真實IC!BP16</f>
        <v>4.3745866645813907</v>
      </c>
      <c r="BQ16" s="11">
        <f>BP16+真實IC!BQ16</f>
        <v>4.391064680836319</v>
      </c>
      <c r="BR16" s="11">
        <f>BQ16+真實IC!BR16</f>
        <v>4.5216476490613404</v>
      </c>
      <c r="BS16" s="11">
        <f>BR16+真實IC!BS16</f>
        <v>4.5536546362542234</v>
      </c>
      <c r="BT16" s="11">
        <f>BS16+真實IC!BT16</f>
        <v>4.5917207144664687</v>
      </c>
      <c r="BU16" s="11">
        <f>BT16+真實IC!BU16</f>
        <v>4.6932572886947739</v>
      </c>
      <c r="BV16" s="11">
        <f>BU16+真實IC!BV16</f>
        <v>4.7298429266185202</v>
      </c>
      <c r="BW16" s="11">
        <f>BV16+真實IC!BW16</f>
        <v>5.0478137611568874</v>
      </c>
      <c r="BX16" s="11">
        <f>BW16+真實IC!BX16</f>
        <v>5.0718920329862343</v>
      </c>
      <c r="BY16" s="11">
        <f>BX16+真實IC!BY16</f>
        <v>4.9393336237288548</v>
      </c>
      <c r="BZ16" s="11">
        <f>BY16+真實IC!BZ16</f>
        <v>5.0508594722305036</v>
      </c>
      <c r="CA16" s="11">
        <f>BZ16+真實IC!CA16</f>
        <v>5.0805738619860668</v>
      </c>
      <c r="CB16" s="11">
        <f>CA16+真實IC!CB16</f>
        <v>5.2198825979194003</v>
      </c>
      <c r="CC16" s="11">
        <f>CB16+真實IC!CC16</f>
        <v>5.2642707510896063</v>
      </c>
      <c r="CD16" s="11">
        <f>CC16+真實IC!CD16</f>
        <v>5.4193420227159681</v>
      </c>
      <c r="CE16" s="11">
        <f>CD16+真實IC!CE16</f>
        <v>5.5129562531838836</v>
      </c>
      <c r="CF16" s="11">
        <f>CE16+真實IC!CF16</f>
        <v>5.6181575171936347</v>
      </c>
      <c r="CG16" s="11">
        <f>CF16+真實IC!CG16</f>
        <v>5.6798853953403015</v>
      </c>
      <c r="CH16" s="11">
        <f>CG16+真實IC!CH16</f>
        <v>5.7215828100433281</v>
      </c>
      <c r="CI16" s="11">
        <f>CH16+真實IC!CI16</f>
        <v>5.7602926918718458</v>
      </c>
      <c r="CJ16" s="11">
        <f>CI16+真實IC!CJ16</f>
        <v>5.7899960773656094</v>
      </c>
      <c r="CK16" s="11">
        <f>CJ16+真實IC!CK16</f>
        <v>5.8784187671472168</v>
      </c>
      <c r="CL16" s="11">
        <f>CK16+真實IC!CL16</f>
        <v>5.8942974494819262</v>
      </c>
      <c r="CM16" s="11">
        <f>CL16+真實IC!CM16</f>
        <v>6.0073532878733005</v>
      </c>
      <c r="CN16" s="11">
        <f>CM16+真實IC!CN16</f>
        <v>6.1677132041898277</v>
      </c>
      <c r="CO16" s="11">
        <f>CN16+真實IC!CO16</f>
        <v>6.3772607226495799</v>
      </c>
      <c r="CP16" s="11">
        <f>CO16+真實IC!CP16</f>
        <v>6.5138924121316713</v>
      </c>
      <c r="CQ16" s="11">
        <f>CP16+真實IC!CQ16</f>
        <v>6.4935586323113101</v>
      </c>
      <c r="CR16" s="11">
        <f>CQ16+真實IC!CR16</f>
        <v>6.6828451657787085</v>
      </c>
      <c r="CS16" s="11">
        <f>CR16+真實IC!CS16</f>
        <v>6.7236973533734519</v>
      </c>
      <c r="CT16" s="11">
        <f>CS16+真實IC!CT16</f>
        <v>6.7726008792048811</v>
      </c>
      <c r="CU16" s="11">
        <f>CT16+真實IC!CU16</f>
        <v>6.9080725800690868</v>
      </c>
      <c r="CV16" s="11">
        <f>CU16+真實IC!CV16</f>
        <v>7.0803241027075732</v>
      </c>
      <c r="CW16" s="11">
        <f>CV16+真實IC!CW16</f>
        <v>7.1276657618818531</v>
      </c>
      <c r="CX16" s="11">
        <f>CW16+真實IC!CX16</f>
        <v>7.1399060466361028</v>
      </c>
      <c r="CY16" s="11">
        <f>CX16+真實IC!CY16</f>
        <v>7.1984603528073556</v>
      </c>
      <c r="CZ16" s="11">
        <f>CY16+真實IC!CZ16</f>
        <v>7.3010936119854879</v>
      </c>
      <c r="DA16" s="11">
        <f>CZ16+真實IC!DA16</f>
        <v>7.4192749423479372</v>
      </c>
      <c r="DB16" s="11">
        <f>DA16+真實IC!DB16</f>
        <v>7.5172922252337342</v>
      </c>
      <c r="DC16" s="11">
        <f>DB16+真實IC!DC16</f>
        <v>7.5602345875542341</v>
      </c>
      <c r="DD16" s="11">
        <f>DC16+真實IC!DD16</f>
        <v>7.5919782980415143</v>
      </c>
      <c r="DE16" s="11">
        <f>DD16+真實IC!DE16</f>
        <v>7.6265306984003045</v>
      </c>
      <c r="DF16" s="11">
        <f>DE16+真實IC!DF16</f>
        <v>7.9521102493174567</v>
      </c>
      <c r="DG16" s="11">
        <f>DF16+真實IC!DG16</f>
        <v>7.9977871643463487</v>
      </c>
      <c r="DH16" s="11">
        <f>DG16+真實IC!DH16</f>
        <v>8.1349349247588574</v>
      </c>
      <c r="DI16" s="11">
        <f>DH16+真實IC!DI16</f>
        <v>8.1827645324758453</v>
      </c>
      <c r="DJ16" s="11">
        <f>DI16+真實IC!DJ16</f>
        <v>8.2537195849127301</v>
      </c>
      <c r="DK16" s="11">
        <f>DJ16+真實IC!DK16</f>
        <v>8.3499742097119274</v>
      </c>
      <c r="DL16" s="11">
        <f>DK16+真實IC!DL16</f>
        <v>8.3281013354621525</v>
      </c>
      <c r="DM16" s="11">
        <f>DL16+真實IC!DM16</f>
        <v>8.2899663399015999</v>
      </c>
      <c r="DN16" s="11">
        <f>DM16+真實IC!DN16</f>
        <v>8.3324041932610076</v>
      </c>
      <c r="DO16" s="11">
        <f>DN16+真實IC!DO16</f>
        <v>8.5019951396490825</v>
      </c>
      <c r="DP16" s="11">
        <f>DO16+真實IC!DP16</f>
        <v>8.6623291341248958</v>
      </c>
      <c r="DQ16" s="11">
        <f>DP16+真實IC!DQ16</f>
        <v>8.7093992901294275</v>
      </c>
      <c r="DR16" s="11">
        <f>DQ16+真實IC!DR16</f>
        <v>8.7645905417789418</v>
      </c>
      <c r="DS16" s="11">
        <f>DR16+真實IC!DS16</f>
        <v>8.7860312144914356</v>
      </c>
      <c r="DT16" s="11">
        <f>DS16+真實IC!DT16</f>
        <v>8.8451441895696217</v>
      </c>
      <c r="DU16" s="11">
        <f>DT16+真實IC!DU16</f>
        <v>8.9679162360925861</v>
      </c>
      <c r="DV16" s="11">
        <f>DU16+真實IC!DV16</f>
        <v>9.1048699681103802</v>
      </c>
      <c r="DW16" s="11">
        <f>DV16+真實IC!DW16</f>
        <v>9.033567393987024</v>
      </c>
      <c r="DX16" s="11">
        <f>DW16+真實IC!DX16</f>
        <v>9.1588521003110017</v>
      </c>
      <c r="DY16" s="11">
        <f>DX16+真實IC!DY16</f>
        <v>9.3164242330463747</v>
      </c>
      <c r="DZ16" s="11">
        <f>DY16+真實IC!DZ16</f>
        <v>9.3752349812374209</v>
      </c>
      <c r="EA16" s="11">
        <f>DZ16+真實IC!EA16</f>
        <v>9.3756554964776644</v>
      </c>
      <c r="EB16" s="11">
        <f>EA16+真實IC!EB16</f>
        <v>9.4763345971548656</v>
      </c>
      <c r="EC16" s="11">
        <f>EB16+真實IC!EC16</f>
        <v>9.5398666637894358</v>
      </c>
      <c r="ED16" s="11">
        <f>EC16+真實IC!ED16</f>
        <v>9.655283411288357</v>
      </c>
      <c r="EE16" s="11">
        <f>ED16+真實IC!EE16</f>
        <v>9.6596800865951167</v>
      </c>
      <c r="EF16" s="11">
        <f>EE16+真實IC!EF16</f>
        <v>9.6942307225750959</v>
      </c>
    </row>
    <row r="17" spans="1:136" x14ac:dyDescent="0.3">
      <c r="A17" s="1">
        <v>120</v>
      </c>
      <c r="B17" s="1">
        <v>8</v>
      </c>
      <c r="C17" s="11">
        <f>IF(預測IC!C17&gt;預測IC!C$26,1,0)</f>
        <v>0</v>
      </c>
      <c r="D17" s="11">
        <f>C17+真實IC!D17</f>
        <v>0.43958848862462141</v>
      </c>
      <c r="E17" s="11">
        <f>D17+真實IC!E17</f>
        <v>0.51917833801537439</v>
      </c>
      <c r="F17" s="11">
        <f>E17+真實IC!F17</f>
        <v>0.43842617386305527</v>
      </c>
      <c r="G17" s="11">
        <f>F17+真實IC!G17</f>
        <v>0.54381324852678592</v>
      </c>
      <c r="H17" s="11">
        <f>G17+真實IC!H17</f>
        <v>0.64880730215452687</v>
      </c>
      <c r="I17" s="11">
        <f>H17+真實IC!I17</f>
        <v>0.76253232995671438</v>
      </c>
      <c r="J17" s="11">
        <f>I17+真實IC!J17</f>
        <v>0.80439072507494358</v>
      </c>
      <c r="K17" s="11">
        <f>J17+真實IC!K17</f>
        <v>0.90595080479725354</v>
      </c>
      <c r="L17" s="11">
        <f>K17+真實IC!L17</f>
        <v>0.87217487525861537</v>
      </c>
      <c r="M17" s="11">
        <f>L17+真實IC!M17</f>
        <v>0.88683401734890377</v>
      </c>
      <c r="N17" s="11">
        <f>M17+真實IC!N17</f>
        <v>1.2919420262883659</v>
      </c>
      <c r="O17" s="11">
        <f>N17+真實IC!O17</f>
        <v>1.2806353502242336</v>
      </c>
      <c r="P17" s="11">
        <f>O17+真實IC!P17</f>
        <v>1.3469747193630646</v>
      </c>
      <c r="Q17" s="11">
        <f>P17+真實IC!Q17</f>
        <v>1.5087760139781914</v>
      </c>
      <c r="R17" s="11">
        <f>Q17+真實IC!R17</f>
        <v>1.4567184050736641</v>
      </c>
      <c r="S17" s="11">
        <f>R17+真實IC!S17</f>
        <v>1.7673718377289624</v>
      </c>
      <c r="T17" s="11">
        <f>S17+真實IC!T17</f>
        <v>1.7907144232399033</v>
      </c>
      <c r="U17" s="11">
        <f>T17+真實IC!U17</f>
        <v>1.9319855657784601</v>
      </c>
      <c r="V17" s="11">
        <f>U17+真實IC!V17</f>
        <v>1.9359967556081585</v>
      </c>
      <c r="W17" s="11">
        <f>V17+真實IC!W17</f>
        <v>2.0151387444101756</v>
      </c>
      <c r="X17" s="11">
        <f>W17+真實IC!X17</f>
        <v>2.2531281757304904</v>
      </c>
      <c r="Y17" s="11">
        <f>X17+真實IC!Y17</f>
        <v>2.2302001646678353</v>
      </c>
      <c r="Z17" s="11">
        <f>Y17+真實IC!Z17</f>
        <v>2.284068653958701</v>
      </c>
      <c r="AA17" s="11">
        <f>Z17+真實IC!AA17</f>
        <v>2.4753520908741105</v>
      </c>
      <c r="AB17" s="11">
        <f>AA17+真實IC!AB17</f>
        <v>2.5602041537522826</v>
      </c>
      <c r="AC17" s="11">
        <f>AB17+真實IC!AC17</f>
        <v>2.5401178990142612</v>
      </c>
      <c r="AD17" s="11">
        <f>AC17+真實IC!AD17</f>
        <v>2.6087377222511079</v>
      </c>
      <c r="AE17" s="11">
        <f>AD17+真實IC!AE17</f>
        <v>2.8308604266795587</v>
      </c>
      <c r="AF17" s="11">
        <f>AE17+真實IC!AF17</f>
        <v>2.951146751335405</v>
      </c>
      <c r="AG17" s="11">
        <f>AF17+真實IC!AG17</f>
        <v>2.9738877321231953</v>
      </c>
      <c r="AH17" s="11">
        <f>AG17+真實IC!AH17</f>
        <v>2.9384151129503064</v>
      </c>
      <c r="AI17" s="11">
        <f>AH17+真實IC!AI17</f>
        <v>3.053279558348593</v>
      </c>
      <c r="AJ17" s="11">
        <f>AI17+真實IC!AJ17</f>
        <v>3.0106769278296359</v>
      </c>
      <c r="AK17" s="11">
        <f>AJ17+真實IC!AK17</f>
        <v>3.0843932025686724</v>
      </c>
      <c r="AL17" s="11">
        <f>AK17+真實IC!AL17</f>
        <v>3.0744094692336739</v>
      </c>
      <c r="AM17" s="11">
        <f>AL17+真實IC!AM17</f>
        <v>3.1497788368213309</v>
      </c>
      <c r="AN17" s="11">
        <f>AM17+真實IC!AN17</f>
        <v>3.2630659571672487</v>
      </c>
      <c r="AO17" s="11">
        <f>AN17+真實IC!AO17</f>
        <v>3.1863714295446255</v>
      </c>
      <c r="AP17" s="11">
        <f>AO17+真實IC!AP17</f>
        <v>3.2636142439642111</v>
      </c>
      <c r="AQ17" s="11">
        <f>AP17+真實IC!AQ17</f>
        <v>3.2728482374400003</v>
      </c>
      <c r="AR17" s="11">
        <f>AQ17+真實IC!AR17</f>
        <v>3.2378509564049427</v>
      </c>
      <c r="AS17" s="11">
        <f>AR17+真實IC!AS17</f>
        <v>3.1790479994607082</v>
      </c>
      <c r="AT17" s="11">
        <f>AS17+真實IC!AT17</f>
        <v>3.30611979256796</v>
      </c>
      <c r="AU17" s="11">
        <f>AT17+真實IC!AU17</f>
        <v>3.4836818183161316</v>
      </c>
      <c r="AV17" s="11">
        <f>AU17+真實IC!AV17</f>
        <v>3.5422112676507629</v>
      </c>
      <c r="AW17" s="11">
        <f>AV17+真實IC!AW17</f>
        <v>3.6184008778805796</v>
      </c>
      <c r="AX17" s="11">
        <f>AW17+真實IC!AX17</f>
        <v>3.7160199829981875</v>
      </c>
      <c r="AY17" s="11">
        <f>AX17+真實IC!AY17</f>
        <v>3.7434436796887884</v>
      </c>
      <c r="AZ17" s="11">
        <f>AY17+真實IC!AZ17</f>
        <v>3.7914241134979614</v>
      </c>
      <c r="BA17" s="11">
        <f>AZ17+真實IC!BA17</f>
        <v>3.9542305233077242</v>
      </c>
      <c r="BB17" s="11">
        <f>BA17+真實IC!BB17</f>
        <v>4.1846725682555945</v>
      </c>
      <c r="BC17" s="11">
        <f>BB17+真實IC!BC17</f>
        <v>4.1573797438751043</v>
      </c>
      <c r="BD17" s="11">
        <f>BC17+真實IC!BD17</f>
        <v>4.1767916157679812</v>
      </c>
      <c r="BE17" s="11">
        <f>BD17+真實IC!BE17</f>
        <v>4.2209018691128195</v>
      </c>
      <c r="BF17" s="11">
        <f>BE17+真實IC!BF17</f>
        <v>4.3686786993929783</v>
      </c>
      <c r="BG17" s="11">
        <f>BF17+真實IC!BG17</f>
        <v>4.554430277523859</v>
      </c>
      <c r="BH17" s="11">
        <f>BG17+真實IC!BH17</f>
        <v>4.6876213908491877</v>
      </c>
      <c r="BI17" s="11">
        <f>BH17+真實IC!BI17</f>
        <v>4.7747333362891347</v>
      </c>
      <c r="BJ17" s="11">
        <f>BI17+真實IC!BJ17</f>
        <v>4.8639248138457942</v>
      </c>
      <c r="BK17" s="11">
        <f>BJ17+真實IC!BK17</f>
        <v>4.7491090218462766</v>
      </c>
      <c r="BL17" s="11">
        <f>BK17+真實IC!BL17</f>
        <v>4.7832614691705713</v>
      </c>
      <c r="BM17" s="11">
        <f>BL17+真實IC!BM17</f>
        <v>4.8123204803229251</v>
      </c>
      <c r="BN17" s="11">
        <f>BM17+真實IC!BN17</f>
        <v>4.7386637123865594</v>
      </c>
      <c r="BO17" s="11">
        <f>BN17+真實IC!BO17</f>
        <v>4.7738433278032826</v>
      </c>
      <c r="BP17" s="11">
        <f>BO17+真實IC!BP17</f>
        <v>4.7132051808933655</v>
      </c>
      <c r="BQ17" s="11">
        <f>BP17+真實IC!BQ17</f>
        <v>4.7245816913398171</v>
      </c>
      <c r="BR17" s="11">
        <f>BQ17+真實IC!BR17</f>
        <v>4.8396040443655686</v>
      </c>
      <c r="BS17" s="11">
        <f>BR17+真實IC!BS17</f>
        <v>4.8605100625792641</v>
      </c>
      <c r="BT17" s="11">
        <f>BS17+真實IC!BT17</f>
        <v>4.8941576358256222</v>
      </c>
      <c r="BU17" s="11">
        <f>BT17+真實IC!BU17</f>
        <v>4.9986819353584826</v>
      </c>
      <c r="BV17" s="11">
        <f>BU17+真實IC!BV17</f>
        <v>5.0369228918606765</v>
      </c>
      <c r="BW17" s="11">
        <f>BV17+真實IC!BW17</f>
        <v>5.2452597173780653</v>
      </c>
      <c r="BX17" s="11">
        <f>BW17+真實IC!BX17</f>
        <v>5.2523555072195318</v>
      </c>
      <c r="BY17" s="11">
        <f>BX17+真實IC!BY17</f>
        <v>5.1098781320930646</v>
      </c>
      <c r="BZ17" s="11">
        <f>BY17+真實IC!BZ17</f>
        <v>5.2304562879741496</v>
      </c>
      <c r="CA17" s="11">
        <f>BZ17+真實IC!CA17</f>
        <v>5.2583911203326394</v>
      </c>
      <c r="CB17" s="11">
        <f>CA17+真實IC!CB17</f>
        <v>5.408024278025529</v>
      </c>
      <c r="CC17" s="11">
        <f>CB17+真實IC!CC17</f>
        <v>5.4497845304997643</v>
      </c>
      <c r="CD17" s="11">
        <f>CC17+真實IC!CD17</f>
        <v>5.6227442717189131</v>
      </c>
      <c r="CE17" s="11">
        <f>CD17+真實IC!CE17</f>
        <v>5.7184523453804079</v>
      </c>
      <c r="CF17" s="11">
        <f>CE17+真實IC!CF17</f>
        <v>5.8171985428066062</v>
      </c>
      <c r="CG17" s="11">
        <f>CF17+真實IC!CG17</f>
        <v>5.8919135314353372</v>
      </c>
      <c r="CH17" s="11">
        <f>CG17+真實IC!CH17</f>
        <v>5.9505499780423872</v>
      </c>
      <c r="CI17" s="11">
        <f>CH17+真實IC!CI17</f>
        <v>5.965081163031976</v>
      </c>
      <c r="CJ17" s="11">
        <f>CI17+真實IC!CJ17</f>
        <v>5.9860319905133244</v>
      </c>
      <c r="CK17" s="11">
        <f>CJ17+真實IC!CK17</f>
        <v>6.0699878387729553</v>
      </c>
      <c r="CL17" s="11">
        <f>CK17+真實IC!CL17</f>
        <v>6.0605614940039239</v>
      </c>
      <c r="CM17" s="11">
        <f>CL17+真實IC!CM17</f>
        <v>6.1560553648204772</v>
      </c>
      <c r="CN17" s="11">
        <f>CM17+真實IC!CN17</f>
        <v>6.3325866434018643</v>
      </c>
      <c r="CO17" s="11">
        <f>CN17+真實IC!CO17</f>
        <v>6.530667063291653</v>
      </c>
      <c r="CP17" s="11">
        <f>CO17+真實IC!CP17</f>
        <v>6.6788263324889963</v>
      </c>
      <c r="CQ17" s="11">
        <f>CP17+真實IC!CQ17</f>
        <v>6.7307334358307225</v>
      </c>
      <c r="CR17" s="11">
        <f>CQ17+真實IC!CR17</f>
        <v>6.927136067593012</v>
      </c>
      <c r="CS17" s="11">
        <f>CR17+真實IC!CS17</f>
        <v>6.9584818859887303</v>
      </c>
      <c r="CT17" s="11">
        <f>CS17+真實IC!CT17</f>
        <v>7.017135682591344</v>
      </c>
      <c r="CU17" s="11">
        <f>CT17+真實IC!CU17</f>
        <v>7.172487575391103</v>
      </c>
      <c r="CV17" s="11">
        <f>CU17+真實IC!CV17</f>
        <v>7.3239589602524573</v>
      </c>
      <c r="CW17" s="11">
        <f>CV17+真實IC!CW17</f>
        <v>7.3873521790569452</v>
      </c>
      <c r="CX17" s="11">
        <f>CW17+真實IC!CX17</f>
        <v>7.3981245735808931</v>
      </c>
      <c r="CY17" s="11">
        <f>CX17+真實IC!CY17</f>
        <v>7.4576225254407156</v>
      </c>
      <c r="CZ17" s="11">
        <f>CY17+真實IC!CZ17</f>
        <v>7.5818713632883359</v>
      </c>
      <c r="DA17" s="11">
        <f>CZ17+真實IC!DA17</f>
        <v>7.6763677625078266</v>
      </c>
      <c r="DB17" s="11">
        <f>DA17+真實IC!DB17</f>
        <v>7.7806393884109095</v>
      </c>
      <c r="DC17" s="11">
        <f>DB17+真實IC!DC17</f>
        <v>7.8240028573884084</v>
      </c>
      <c r="DD17" s="11">
        <f>DC17+真實IC!DD17</f>
        <v>7.8531582782712892</v>
      </c>
      <c r="DE17" s="11">
        <f>DD17+真實IC!DE17</f>
        <v>7.8772831416180109</v>
      </c>
      <c r="DF17" s="11">
        <f>DE17+真實IC!DF17</f>
        <v>8.2295086958894839</v>
      </c>
      <c r="DG17" s="11">
        <f>DF17+真實IC!DG17</f>
        <v>8.2767196843180084</v>
      </c>
      <c r="DH17" s="11">
        <f>DG17+真實IC!DH17</f>
        <v>8.4401514855299968</v>
      </c>
      <c r="DI17" s="11">
        <f>DH17+真實IC!DI17</f>
        <v>8.5103338756007254</v>
      </c>
      <c r="DJ17" s="11">
        <f>DI17+真實IC!DJ17</f>
        <v>8.6392589353867351</v>
      </c>
      <c r="DK17" s="11">
        <f>DJ17+真實IC!DK17</f>
        <v>8.7420402041350407</v>
      </c>
      <c r="DL17" s="11">
        <f>DK17+真實IC!DL17</f>
        <v>8.7381104724439123</v>
      </c>
      <c r="DM17" s="11">
        <f>DL17+真實IC!DM17</f>
        <v>8.6955468637321598</v>
      </c>
      <c r="DN17" s="11">
        <f>DM17+真實IC!DN17</f>
        <v>8.7310358964464996</v>
      </c>
      <c r="DO17" s="11">
        <f>DN17+真實IC!DO17</f>
        <v>8.9107988225452281</v>
      </c>
      <c r="DP17" s="11">
        <f>DO17+真實IC!DP17</f>
        <v>9.0528329807958627</v>
      </c>
      <c r="DQ17" s="11">
        <f>DP17+真實IC!DQ17</f>
        <v>9.1254869859018868</v>
      </c>
      <c r="DR17" s="11">
        <f>DQ17+真實IC!DR17</f>
        <v>9.1813718007782157</v>
      </c>
      <c r="DS17" s="11">
        <f>DR17+真實IC!DS17</f>
        <v>9.2187258895333173</v>
      </c>
      <c r="DT17" s="11">
        <f>DS17+真實IC!DT17</f>
        <v>9.2785378247682928</v>
      </c>
      <c r="DU17" s="11">
        <f>DT17+真實IC!DU17</f>
        <v>9.4080307810882822</v>
      </c>
      <c r="DV17" s="11">
        <f>DU17+真實IC!DV17</f>
        <v>9.5257961791992365</v>
      </c>
      <c r="DW17" s="11">
        <f>DV17+真實IC!DW17</f>
        <v>9.4491972661632406</v>
      </c>
      <c r="DX17" s="11">
        <f>DW17+真實IC!DX17</f>
        <v>9.5787362487597143</v>
      </c>
      <c r="DY17" s="11">
        <f>DX17+真實IC!DY17</f>
        <v>9.6860191443615662</v>
      </c>
      <c r="DZ17" s="11">
        <f>DY17+真實IC!DZ17</f>
        <v>9.7352317735313747</v>
      </c>
      <c r="EA17" s="11">
        <f>DZ17+真實IC!EA17</f>
        <v>9.7305992493146505</v>
      </c>
      <c r="EB17" s="11">
        <f>EA17+真實IC!EB17</f>
        <v>9.8378845760684079</v>
      </c>
      <c r="EC17" s="11">
        <f>EB17+真實IC!EC17</f>
        <v>9.8543097932844681</v>
      </c>
      <c r="ED17" s="11">
        <f>EC17+真實IC!ED17</f>
        <v>9.9826342372133805</v>
      </c>
      <c r="EE17" s="11">
        <f>ED17+真實IC!EE17</f>
        <v>9.9824407160673019</v>
      </c>
      <c r="EF17" s="11">
        <f>EE17+真實IC!EF17</f>
        <v>10.023427921491203</v>
      </c>
    </row>
    <row r="18" spans="1:136" x14ac:dyDescent="0.3">
      <c r="A18" s="1">
        <v>137</v>
      </c>
      <c r="B18" s="1">
        <v>7</v>
      </c>
      <c r="C18" s="11">
        <f>IF(預測IC!C18&gt;預測IC!C$26,1,0)</f>
        <v>0</v>
      </c>
      <c r="D18" s="11">
        <f>C18+真實IC!D18</f>
        <v>0.40188368142206798</v>
      </c>
      <c r="E18" s="11">
        <f>D18+真實IC!E18</f>
        <v>0.45532303168979199</v>
      </c>
      <c r="F18" s="11">
        <f>E18+真實IC!F18</f>
        <v>0.3359400715876022</v>
      </c>
      <c r="G18" s="11">
        <f>F18+真實IC!G18</f>
        <v>0.44425644487268218</v>
      </c>
      <c r="H18" s="11">
        <f>G18+真實IC!H18</f>
        <v>0.5727960066472535</v>
      </c>
      <c r="I18" s="11">
        <f>H18+真實IC!I18</f>
        <v>0.70829618687049456</v>
      </c>
      <c r="J18" s="11">
        <f>I18+真實IC!J18</f>
        <v>0.75170770262213615</v>
      </c>
      <c r="K18" s="11">
        <f>J18+真實IC!K18</f>
        <v>0.88735559139976838</v>
      </c>
      <c r="L18" s="11">
        <f>K18+真實IC!L18</f>
        <v>0.84068287105909523</v>
      </c>
      <c r="M18" s="11">
        <f>L18+真實IC!M18</f>
        <v>0.86973433543555256</v>
      </c>
      <c r="N18" s="11">
        <f>M18+真實IC!N18</f>
        <v>1.3315543535061658</v>
      </c>
      <c r="O18" s="11">
        <f>N18+真實IC!O18</f>
        <v>1.3632922946036641</v>
      </c>
      <c r="P18" s="11">
        <f>O18+真實IC!P18</f>
        <v>1.4458449061736118</v>
      </c>
      <c r="Q18" s="11">
        <f>P18+真實IC!Q18</f>
        <v>1.6348203248631017</v>
      </c>
      <c r="R18" s="11">
        <f>Q18+真實IC!R18</f>
        <v>1.5733280869911268</v>
      </c>
      <c r="S18" s="11">
        <f>R18+真實IC!S18</f>
        <v>1.9570607159230211</v>
      </c>
      <c r="T18" s="11">
        <f>S18+真實IC!T18</f>
        <v>2.0093704134737518</v>
      </c>
      <c r="U18" s="11">
        <f>T18+真實IC!U18</f>
        <v>2.1418654379035709</v>
      </c>
      <c r="V18" s="11">
        <f>U18+真實IC!V18</f>
        <v>2.1547605729734216</v>
      </c>
      <c r="W18" s="11">
        <f>V18+真實IC!W18</f>
        <v>2.2320568530331601</v>
      </c>
      <c r="X18" s="11">
        <f>W18+真實IC!X18</f>
        <v>2.4471779104331119</v>
      </c>
      <c r="Y18" s="11">
        <f>X18+真實IC!Y18</f>
        <v>2.4279455760756763</v>
      </c>
      <c r="Z18" s="11">
        <f>Y18+真實IC!Z18</f>
        <v>2.5171799395161991</v>
      </c>
      <c r="AA18" s="11">
        <f>Z18+真實IC!AA18</f>
        <v>2.6897505970507276</v>
      </c>
      <c r="AB18" s="11">
        <f>AA18+真實IC!AB18</f>
        <v>2.774448896781212</v>
      </c>
      <c r="AC18" s="11">
        <f>AB18+真實IC!AC18</f>
        <v>2.7758143172580443</v>
      </c>
      <c r="AD18" s="11">
        <f>AC18+真實IC!AD18</f>
        <v>2.8721001624434637</v>
      </c>
      <c r="AE18" s="11">
        <f>AD18+真實IC!AE18</f>
        <v>3.130491511358672</v>
      </c>
      <c r="AF18" s="11">
        <f>AE18+真實IC!AF18</f>
        <v>3.2810351511827456</v>
      </c>
      <c r="AG18" s="11">
        <f>AF18+真實IC!AG18</f>
        <v>3.3135282672806214</v>
      </c>
      <c r="AH18" s="11">
        <f>AG18+真實IC!AH18</f>
        <v>3.2733308063121069</v>
      </c>
      <c r="AI18" s="11">
        <f>AH18+真實IC!AI18</f>
        <v>3.3914165408701074</v>
      </c>
      <c r="AJ18" s="11">
        <f>AI18+真實IC!AJ18</f>
        <v>3.3440227847036583</v>
      </c>
      <c r="AK18" s="11">
        <f>AJ18+真實IC!AK18</f>
        <v>3.3741752653012842</v>
      </c>
      <c r="AL18" s="11">
        <f>AK18+真實IC!AL18</f>
        <v>3.3733197102469119</v>
      </c>
      <c r="AM18" s="11">
        <f>AL18+真實IC!AM18</f>
        <v>3.439963115671683</v>
      </c>
      <c r="AN18" s="11">
        <f>AM18+真實IC!AN18</f>
        <v>3.5192577556268847</v>
      </c>
      <c r="AO18" s="11">
        <f>AN18+真實IC!AO18</f>
        <v>3.5438420360716916</v>
      </c>
      <c r="AP18" s="11">
        <f>AO18+真實IC!AP18</f>
        <v>3.6221206280054985</v>
      </c>
      <c r="AQ18" s="11">
        <f>AP18+真實IC!AQ18</f>
        <v>3.6053354864363829</v>
      </c>
      <c r="AR18" s="11">
        <f>AQ18+真實IC!AR18</f>
        <v>3.5436409628356014</v>
      </c>
      <c r="AS18" s="11">
        <f>AR18+真實IC!AS18</f>
        <v>3.4603878349464154</v>
      </c>
      <c r="AT18" s="11">
        <f>AS18+真實IC!AT18</f>
        <v>3.6267736443704743</v>
      </c>
      <c r="AU18" s="11">
        <f>AT18+真實IC!AU18</f>
        <v>3.8234333755091527</v>
      </c>
      <c r="AV18" s="11">
        <f>AU18+真實IC!AV18</f>
        <v>3.8836690402156226</v>
      </c>
      <c r="AW18" s="11">
        <f>AV18+真實IC!AW18</f>
        <v>3.9814359020368579</v>
      </c>
      <c r="AX18" s="11">
        <f>AW18+真實IC!AX18</f>
        <v>4.1075002394629854</v>
      </c>
      <c r="AY18" s="11">
        <f>AX18+真實IC!AY18</f>
        <v>4.1422835181041338</v>
      </c>
      <c r="AZ18" s="11">
        <f>AY18+真實IC!AZ18</f>
        <v>4.2086247938415555</v>
      </c>
      <c r="BA18" s="11">
        <f>AZ18+真實IC!BA18</f>
        <v>4.3891045585111019</v>
      </c>
      <c r="BB18" s="11">
        <f>BA18+真實IC!BB18</f>
        <v>4.7065619841752149</v>
      </c>
      <c r="BC18" s="11">
        <f>BB18+真實IC!BC18</f>
        <v>4.734504034877185</v>
      </c>
      <c r="BD18" s="11">
        <f>BC18+真實IC!BD18</f>
        <v>4.7547791745342121</v>
      </c>
      <c r="BE18" s="11">
        <f>BD18+真實IC!BE18</f>
        <v>4.8459520273901342</v>
      </c>
      <c r="BF18" s="11">
        <f>BE18+真實IC!BF18</f>
        <v>5.0109385220861418</v>
      </c>
      <c r="BG18" s="11">
        <f>BF18+真實IC!BG18</f>
        <v>5.1576524969144302</v>
      </c>
      <c r="BH18" s="11">
        <f>BG18+真實IC!BH18</f>
        <v>5.2955507620645728</v>
      </c>
      <c r="BI18" s="11">
        <f>BH18+真實IC!BI18</f>
        <v>5.4045507689832384</v>
      </c>
      <c r="BJ18" s="11">
        <f>BI18+真實IC!BJ18</f>
        <v>5.5040822882563853</v>
      </c>
      <c r="BK18" s="11">
        <f>BJ18+真實IC!BK18</f>
        <v>5.4306266614323802</v>
      </c>
      <c r="BL18" s="11">
        <f>BK18+真實IC!BL18</f>
        <v>5.4864145422941597</v>
      </c>
      <c r="BM18" s="11">
        <f>BL18+真實IC!BM18</f>
        <v>5.5144958986672554</v>
      </c>
      <c r="BN18" s="11">
        <f>BM18+真實IC!BN18</f>
        <v>5.4362871991848802</v>
      </c>
      <c r="BO18" s="11">
        <f>BN18+真實IC!BO18</f>
        <v>5.4565146952912551</v>
      </c>
      <c r="BP18" s="11">
        <f>BO18+真實IC!BP18</f>
        <v>5.394051263254803</v>
      </c>
      <c r="BQ18" s="11">
        <f>BP18+真實IC!BQ18</f>
        <v>5.3959680473646516</v>
      </c>
      <c r="BR18" s="11">
        <f>BQ18+真實IC!BR18</f>
        <v>5.5169298652471275</v>
      </c>
      <c r="BS18" s="11">
        <f>BR18+真實IC!BS18</f>
        <v>5.5498031218231594</v>
      </c>
      <c r="BT18" s="11">
        <f>BS18+真實IC!BT18</f>
        <v>5.5631022726008368</v>
      </c>
      <c r="BU18" s="11">
        <f>BT18+真實IC!BU18</f>
        <v>5.6745638181299398</v>
      </c>
      <c r="BV18" s="11">
        <f>BU18+真實IC!BV18</f>
        <v>5.7141882442540872</v>
      </c>
      <c r="BW18" s="11">
        <f>BV18+真實IC!BW18</f>
        <v>5.9325637433850762</v>
      </c>
      <c r="BX18" s="11">
        <f>BW18+真實IC!BX18</f>
        <v>5.9167518194392841</v>
      </c>
      <c r="BY18" s="11">
        <f>BX18+真實IC!BY18</f>
        <v>5.8292865511671828</v>
      </c>
      <c r="BZ18" s="11">
        <f>BY18+真實IC!BZ18</f>
        <v>5.9826065389697805</v>
      </c>
      <c r="CA18" s="11">
        <f>BZ18+真實IC!CA18</f>
        <v>5.998683082862641</v>
      </c>
      <c r="CB18" s="11">
        <f>CA18+真實IC!CB18</f>
        <v>6.1055291433327143</v>
      </c>
      <c r="CC18" s="11">
        <f>CB18+真實IC!CC18</f>
        <v>6.2101897671743593</v>
      </c>
      <c r="CD18" s="11">
        <f>CC18+真實IC!CD18</f>
        <v>6.4039065858211899</v>
      </c>
      <c r="CE18" s="11">
        <f>CD18+真實IC!CE18</f>
        <v>6.4811669806994123</v>
      </c>
      <c r="CF18" s="11">
        <f>CE18+真實IC!CF18</f>
        <v>6.5529845723997866</v>
      </c>
      <c r="CG18" s="11">
        <f>CF18+真實IC!CG18</f>
        <v>6.644593827963706</v>
      </c>
      <c r="CH18" s="11">
        <f>CG18+真實IC!CH18</f>
        <v>6.807250874650939</v>
      </c>
      <c r="CI18" s="11">
        <f>CH18+真實IC!CI18</f>
        <v>6.8461200145286289</v>
      </c>
      <c r="CJ18" s="11">
        <f>CI18+真實IC!CJ18</f>
        <v>6.8423476480282313</v>
      </c>
      <c r="CK18" s="11">
        <f>CJ18+真實IC!CK18</f>
        <v>6.9384056796937541</v>
      </c>
      <c r="CL18" s="11">
        <f>CK18+真實IC!CL18</f>
        <v>6.9074161346355609</v>
      </c>
      <c r="CM18" s="11">
        <f>CL18+真實IC!CM18</f>
        <v>7.0101857462635122</v>
      </c>
      <c r="CN18" s="11">
        <f>CM18+真實IC!CN18</f>
        <v>7.1311288798050869</v>
      </c>
      <c r="CO18" s="11">
        <f>CN18+真實IC!CO18</f>
        <v>7.3594109656805484</v>
      </c>
      <c r="CP18" s="11">
        <f>CO18+真實IC!CP18</f>
        <v>7.522250074628559</v>
      </c>
      <c r="CQ18" s="11">
        <f>CP18+真實IC!CQ18</f>
        <v>7.560492750223502</v>
      </c>
      <c r="CR18" s="11">
        <f>CQ18+真實IC!CR18</f>
        <v>7.754215157875711</v>
      </c>
      <c r="CS18" s="11">
        <f>CR18+真實IC!CS18</f>
        <v>7.8119058065271263</v>
      </c>
      <c r="CT18" s="11">
        <f>CS18+真實IC!CT18</f>
        <v>7.8887760332993491</v>
      </c>
      <c r="CU18" s="11">
        <f>CT18+真實IC!CU18</f>
        <v>8.0333408544754832</v>
      </c>
      <c r="CV18" s="11">
        <f>CU18+真實IC!CV18</f>
        <v>8.1603631226084907</v>
      </c>
      <c r="CW18" s="11">
        <f>CV18+真實IC!CW18</f>
        <v>8.2269216971068069</v>
      </c>
      <c r="CX18" s="11">
        <f>CW18+真實IC!CX18</f>
        <v>8.2884818829405855</v>
      </c>
      <c r="CY18" s="11">
        <f>CX18+真實IC!CY18</f>
        <v>8.35991434185296</v>
      </c>
      <c r="CZ18" s="11">
        <f>CY18+真實IC!CZ18</f>
        <v>8.4927572051547315</v>
      </c>
      <c r="DA18" s="11">
        <f>CZ18+真實IC!DA18</f>
        <v>8.5711158360621642</v>
      </c>
      <c r="DB18" s="11">
        <f>DA18+真實IC!DB18</f>
        <v>8.6892305543473753</v>
      </c>
      <c r="DC18" s="11">
        <f>DB18+真實IC!DC18</f>
        <v>8.7256393358428816</v>
      </c>
      <c r="DD18" s="11">
        <f>DC18+真實IC!DD18</f>
        <v>8.7666535231622156</v>
      </c>
      <c r="DE18" s="11">
        <f>DD18+真實IC!DE18</f>
        <v>8.8050741106486665</v>
      </c>
      <c r="DF18" s="11">
        <f>DE18+真實IC!DF18</f>
        <v>9.1717661202626815</v>
      </c>
      <c r="DG18" s="11">
        <f>DF18+真實IC!DG18</f>
        <v>9.2265366043895547</v>
      </c>
      <c r="DH18" s="11">
        <f>DG18+真實IC!DH18</f>
        <v>9.4189379863486966</v>
      </c>
      <c r="DI18" s="11">
        <f>DH18+真實IC!DI18</f>
        <v>9.516901113827652</v>
      </c>
      <c r="DJ18" s="11">
        <f>DI18+真實IC!DJ18</f>
        <v>9.6630971899270648</v>
      </c>
      <c r="DK18" s="11">
        <f>DJ18+真實IC!DK18</f>
        <v>9.7696244519294986</v>
      </c>
      <c r="DL18" s="11">
        <f>DK18+真實IC!DL18</f>
        <v>9.7657941778619062</v>
      </c>
      <c r="DM18" s="11">
        <f>DL18+真實IC!DM18</f>
        <v>9.7073370135717312</v>
      </c>
      <c r="DN18" s="11">
        <f>DM18+真實IC!DN18</f>
        <v>9.6906149494937104</v>
      </c>
      <c r="DO18" s="11">
        <f>DN18+真實IC!DO18</f>
        <v>9.9109351612850087</v>
      </c>
      <c r="DP18" s="11">
        <f>DO18+真實IC!DP18</f>
        <v>10.04442163356209</v>
      </c>
      <c r="DQ18" s="11">
        <f>DP18+真實IC!DQ18</f>
        <v>10.110171091745988</v>
      </c>
      <c r="DR18" s="11">
        <f>DQ18+真實IC!DR18</f>
        <v>10.18701174651795</v>
      </c>
      <c r="DS18" s="11">
        <f>DR18+真實IC!DS18</f>
        <v>10.198289728773632</v>
      </c>
      <c r="DT18" s="11">
        <f>DS18+真實IC!DT18</f>
        <v>10.22089076361474</v>
      </c>
      <c r="DU18" s="11">
        <f>DT18+真實IC!DU18</f>
        <v>10.379605586331417</v>
      </c>
      <c r="DV18" s="11">
        <f>DU18+真實IC!DV18</f>
        <v>10.485246195131479</v>
      </c>
      <c r="DW18" s="11">
        <f>DV18+真實IC!DW18</f>
        <v>10.416609245179362</v>
      </c>
      <c r="DX18" s="11">
        <f>DW18+真實IC!DX18</f>
        <v>10.570212222641844</v>
      </c>
      <c r="DY18" s="11">
        <f>DX18+真實IC!DY18</f>
        <v>10.707045337580096</v>
      </c>
      <c r="DZ18" s="11">
        <f>DY18+真實IC!DZ18</f>
        <v>10.761675711736679</v>
      </c>
      <c r="EA18" s="11">
        <f>DZ18+真實IC!EA18</f>
        <v>10.756937414498434</v>
      </c>
      <c r="EB18" s="11">
        <f>EA18+真實IC!EB18</f>
        <v>10.86690176894863</v>
      </c>
      <c r="EC18" s="11">
        <f>EB18+真實IC!EC18</f>
        <v>10.869665884374001</v>
      </c>
      <c r="ED18" s="11">
        <f>EC18+真實IC!ED18</f>
        <v>10.980143906239766</v>
      </c>
      <c r="EE18" s="11">
        <f>ED18+真實IC!EE18</f>
        <v>10.981255193912123</v>
      </c>
      <c r="EF18" s="11">
        <f>EE18+真實IC!EF18</f>
        <v>11.045209527601267</v>
      </c>
    </row>
    <row r="19" spans="1:136" x14ac:dyDescent="0.3">
      <c r="A19" s="1">
        <v>160</v>
      </c>
      <c r="B19" s="1">
        <v>6</v>
      </c>
      <c r="C19" s="11">
        <f>IF(預測IC!C19&gt;預測IC!C$26,1,0)</f>
        <v>0</v>
      </c>
      <c r="D19" s="11">
        <f>C19+真實IC!D19</f>
        <v>0.40752071008946927</v>
      </c>
      <c r="E19" s="11">
        <f>D19+真實IC!E19</f>
        <v>0.47333491741948708</v>
      </c>
      <c r="F19" s="11">
        <f>E19+真實IC!F19</f>
        <v>0.29564625561392655</v>
      </c>
      <c r="G19" s="11">
        <f>F19+真實IC!G19</f>
        <v>0.39171222747110396</v>
      </c>
      <c r="H19" s="11">
        <f>G19+真實IC!H19</f>
        <v>0.56932254629375589</v>
      </c>
      <c r="I19" s="11">
        <f>H19+真實IC!I19</f>
        <v>0.70397687918522234</v>
      </c>
      <c r="J19" s="11">
        <f>I19+真實IC!J19</f>
        <v>0.73940646370541341</v>
      </c>
      <c r="K19" s="11">
        <f>J19+真實IC!K19</f>
        <v>0.97819587842933009</v>
      </c>
      <c r="L19" s="11">
        <f>K19+真實IC!L19</f>
        <v>0.94783304537330093</v>
      </c>
      <c r="M19" s="11">
        <f>L19+真實IC!M19</f>
        <v>0.90414280921699364</v>
      </c>
      <c r="N19" s="11">
        <f>M19+真實IC!N19</f>
        <v>1.436516846905235</v>
      </c>
      <c r="O19" s="11">
        <f>N19+真實IC!O19</f>
        <v>1.4680787213941509</v>
      </c>
      <c r="P19" s="11">
        <f>O19+真實IC!P19</f>
        <v>1.5606129075808479</v>
      </c>
      <c r="Q19" s="11">
        <f>P19+真實IC!Q19</f>
        <v>1.7577759958453678</v>
      </c>
      <c r="R19" s="11">
        <f>Q19+真實IC!R19</f>
        <v>1.6674769052145115</v>
      </c>
      <c r="S19" s="11">
        <f>R19+真實IC!S19</f>
        <v>1.8516370219121194</v>
      </c>
      <c r="T19" s="11">
        <f>S19+真實IC!T19</f>
        <v>1.903101739157429</v>
      </c>
      <c r="U19" s="11">
        <f>T19+真實IC!U19</f>
        <v>2.038800077789352</v>
      </c>
      <c r="V19" s="11">
        <f>U19+真實IC!V19</f>
        <v>2.0754187655748035</v>
      </c>
      <c r="W19" s="11">
        <f>V19+真實IC!W19</f>
        <v>2.1478343348943025</v>
      </c>
      <c r="X19" s="11">
        <f>W19+真實IC!X19</f>
        <v>2.2972342082470298</v>
      </c>
      <c r="Y19" s="11">
        <f>X19+真實IC!Y19</f>
        <v>2.2716055707188731</v>
      </c>
      <c r="Z19" s="11">
        <f>Y19+真實IC!Z19</f>
        <v>2.3632246812948967</v>
      </c>
      <c r="AA19" s="11">
        <f>Z19+真實IC!AA19</f>
        <v>2.4950575807759878</v>
      </c>
      <c r="AB19" s="11">
        <f>AA19+真實IC!AB19</f>
        <v>2.5973111866599305</v>
      </c>
      <c r="AC19" s="11">
        <f>AB19+真實IC!AC19</f>
        <v>2.6114527293685406</v>
      </c>
      <c r="AD19" s="11">
        <f>AC19+真實IC!AD19</f>
        <v>2.7074461071666089</v>
      </c>
      <c r="AE19" s="11">
        <f>AD19+真實IC!AE19</f>
        <v>3.0159389650919777</v>
      </c>
      <c r="AF19" s="11">
        <f>AE19+真實IC!AF19</f>
        <v>3.1847695458000209</v>
      </c>
      <c r="AG19" s="11">
        <f>AF19+真實IC!AG19</f>
        <v>3.2069057648725687</v>
      </c>
      <c r="AH19" s="11">
        <f>AG19+真實IC!AH19</f>
        <v>3.1503480496508653</v>
      </c>
      <c r="AI19" s="11">
        <f>AH19+真實IC!AI19</f>
        <v>3.24189671257554</v>
      </c>
      <c r="AJ19" s="11">
        <f>AI19+真實IC!AJ19</f>
        <v>3.1903514222482778</v>
      </c>
      <c r="AK19" s="11">
        <f>AJ19+真實IC!AK19</f>
        <v>3.1979034647542304</v>
      </c>
      <c r="AL19" s="11">
        <f>AK19+真實IC!AL19</f>
        <v>3.1967672025728779</v>
      </c>
      <c r="AM19" s="11">
        <f>AL19+真實IC!AM19</f>
        <v>3.239873214384283</v>
      </c>
      <c r="AN19" s="11">
        <f>AM19+真實IC!AN19</f>
        <v>3.3234415087499651</v>
      </c>
      <c r="AO19" s="11">
        <f>AN19+真實IC!AO19</f>
        <v>3.3793316348790796</v>
      </c>
      <c r="AP19" s="11">
        <f>AO19+真實IC!AP19</f>
        <v>3.4669057551519318</v>
      </c>
      <c r="AQ19" s="11">
        <f>AP19+真實IC!AQ19</f>
        <v>3.4119802627783185</v>
      </c>
      <c r="AR19" s="11">
        <f>AQ19+真實IC!AR19</f>
        <v>3.3373633651436596</v>
      </c>
      <c r="AS19" s="11">
        <f>AR19+真實IC!AS19</f>
        <v>3.2281644890905934</v>
      </c>
      <c r="AT19" s="11">
        <f>AS19+真實IC!AT19</f>
        <v>3.4127581529006514</v>
      </c>
      <c r="AU19" s="11">
        <f>AT19+真實IC!AU19</f>
        <v>3.6516023912996656</v>
      </c>
      <c r="AV19" s="11">
        <f>AU19+真實IC!AV19</f>
        <v>3.6485697816970575</v>
      </c>
      <c r="AW19" s="11">
        <f>AV19+真實IC!AW19</f>
        <v>3.7852631788259701</v>
      </c>
      <c r="AX19" s="11">
        <f>AW19+真實IC!AX19</f>
        <v>4.0093869741268264</v>
      </c>
      <c r="AY19" s="11">
        <f>AX19+真實IC!AY19</f>
        <v>4.0389159445202063</v>
      </c>
      <c r="AZ19" s="11">
        <f>AY19+真實IC!AZ19</f>
        <v>4.1229484167938457</v>
      </c>
      <c r="BA19" s="11">
        <f>AZ19+真實IC!BA19</f>
        <v>4.309945194348626</v>
      </c>
      <c r="BB19" s="11">
        <f>BA19+真實IC!BB19</f>
        <v>4.6741061261418455</v>
      </c>
      <c r="BC19" s="11">
        <f>BB19+真實IC!BC19</f>
        <v>4.8586779155482729</v>
      </c>
      <c r="BD19" s="11">
        <f>BC19+真實IC!BD19</f>
        <v>4.8586042085803856</v>
      </c>
      <c r="BE19" s="11">
        <f>BD19+真實IC!BE19</f>
        <v>4.948084930340757</v>
      </c>
      <c r="BF19" s="11">
        <f>BE19+真實IC!BF19</f>
        <v>5.0898943653044988</v>
      </c>
      <c r="BG19" s="11">
        <f>BF19+真實IC!BG19</f>
        <v>5.2432031164742874</v>
      </c>
      <c r="BH19" s="11">
        <f>BG19+真實IC!BH19</f>
        <v>5.3837000224278606</v>
      </c>
      <c r="BI19" s="11">
        <f>BH19+真實IC!BI19</f>
        <v>5.5114986512470789</v>
      </c>
      <c r="BJ19" s="11">
        <f>BI19+真實IC!BJ19</f>
        <v>5.5633179596757483</v>
      </c>
      <c r="BK19" s="11">
        <f>BJ19+真實IC!BK19</f>
        <v>5.4662795367303625</v>
      </c>
      <c r="BL19" s="11">
        <f>BK19+真實IC!BL19</f>
        <v>5.529444070477382</v>
      </c>
      <c r="BM19" s="11">
        <f>BL19+真實IC!BM19</f>
        <v>5.5612303353465276</v>
      </c>
      <c r="BN19" s="11">
        <f>BM19+真實IC!BN19</f>
        <v>5.47981707514636</v>
      </c>
      <c r="BO19" s="11">
        <f>BN19+真實IC!BO19</f>
        <v>5.5055460364114754</v>
      </c>
      <c r="BP19" s="11">
        <f>BO19+真實IC!BP19</f>
        <v>5.4931356951338746</v>
      </c>
      <c r="BQ19" s="11">
        <f>BP19+真實IC!BQ19</f>
        <v>5.5030697395881978</v>
      </c>
      <c r="BR19" s="11">
        <f>BQ19+真實IC!BR19</f>
        <v>5.6399089751313429</v>
      </c>
      <c r="BS19" s="11">
        <f>BR19+真實IC!BS19</f>
        <v>5.636409043191704</v>
      </c>
      <c r="BT19" s="11">
        <f>BS19+真實IC!BT19</f>
        <v>5.6232153739885664</v>
      </c>
      <c r="BU19" s="11">
        <f>BT19+真實IC!BU19</f>
        <v>5.7538860088799542</v>
      </c>
      <c r="BV19" s="11">
        <f>BU19+真實IC!BV19</f>
        <v>5.7842368008458518</v>
      </c>
      <c r="BW19" s="11">
        <f>BV19+真實IC!BW19</f>
        <v>6.0916898076555857</v>
      </c>
      <c r="BX19" s="11">
        <f>BW19+真實IC!BX19</f>
        <v>6.0552909180967918</v>
      </c>
      <c r="BY19" s="11">
        <f>BX19+真實IC!BY19</f>
        <v>5.9754239910278457</v>
      </c>
      <c r="BZ19" s="11">
        <f>BY19+真實IC!BZ19</f>
        <v>6.0441261158498998</v>
      </c>
      <c r="CA19" s="11">
        <f>BZ19+真實IC!CA19</f>
        <v>6.0734548710736744</v>
      </c>
      <c r="CB19" s="11">
        <f>CA19+真實IC!CB19</f>
        <v>6.2012930801745716</v>
      </c>
      <c r="CC19" s="11">
        <f>CB19+真實IC!CC19</f>
        <v>6.2237993130730889</v>
      </c>
      <c r="CD19" s="11">
        <f>CC19+真實IC!CD19</f>
        <v>6.4394185111668065</v>
      </c>
      <c r="CE19" s="11">
        <f>CD19+真實IC!CE19</f>
        <v>6.5278933701044748</v>
      </c>
      <c r="CF19" s="11">
        <f>CE19+真實IC!CF19</f>
        <v>6.6077977673105242</v>
      </c>
      <c r="CG19" s="11">
        <f>CF19+真實IC!CG19</f>
        <v>6.6649153921774813</v>
      </c>
      <c r="CH19" s="11">
        <f>CG19+真實IC!CH19</f>
        <v>6.8178052592274074</v>
      </c>
      <c r="CI19" s="11">
        <f>CH19+真實IC!CI19</f>
        <v>6.8548722053876023</v>
      </c>
      <c r="CJ19" s="11">
        <f>CI19+真實IC!CJ19</f>
        <v>6.8430602826256077</v>
      </c>
      <c r="CK19" s="11">
        <f>CJ19+真實IC!CK19</f>
        <v>6.9618575455829426</v>
      </c>
      <c r="CL19" s="11">
        <f>CK19+真實IC!CL19</f>
        <v>6.9186172656081526</v>
      </c>
      <c r="CM19" s="11">
        <f>CL19+真實IC!CM19</f>
        <v>7.0288531443455202</v>
      </c>
      <c r="CN19" s="11">
        <f>CM19+真實IC!CN19</f>
        <v>7.1720463548150546</v>
      </c>
      <c r="CO19" s="11">
        <f>CN19+真實IC!CO19</f>
        <v>7.4232819860353692</v>
      </c>
      <c r="CP19" s="11">
        <f>CO19+真實IC!CP19</f>
        <v>7.5823145850177021</v>
      </c>
      <c r="CQ19" s="11">
        <f>CP19+真實IC!CQ19</f>
        <v>7.6147091925341206</v>
      </c>
      <c r="CR19" s="11">
        <f>CQ19+真實IC!CR19</f>
        <v>7.7910159167803128</v>
      </c>
      <c r="CS19" s="11">
        <f>CR19+真實IC!CS19</f>
        <v>7.8452663663286462</v>
      </c>
      <c r="CT19" s="11">
        <f>CS19+真實IC!CT19</f>
        <v>7.8716875676169051</v>
      </c>
      <c r="CU19" s="11">
        <f>CT19+真實IC!CU19</f>
        <v>8.018295110877844</v>
      </c>
      <c r="CV19" s="11">
        <f>CU19+真實IC!CV19</f>
        <v>8.1128481188492234</v>
      </c>
      <c r="CW19" s="11">
        <f>CV19+真實IC!CW19</f>
        <v>8.1733639974222605</v>
      </c>
      <c r="CX19" s="11">
        <f>CW19+真實IC!CX19</f>
        <v>8.2309987237904458</v>
      </c>
      <c r="CY19" s="11">
        <f>CX19+真實IC!CY19</f>
        <v>8.304150061098408</v>
      </c>
      <c r="CZ19" s="11">
        <f>CY19+真實IC!CZ19</f>
        <v>8.417001889739872</v>
      </c>
      <c r="DA19" s="11">
        <f>CZ19+真實IC!DA19</f>
        <v>8.4921843668435528</v>
      </c>
      <c r="DB19" s="11">
        <f>DA19+真實IC!DB19</f>
        <v>8.6401462136131695</v>
      </c>
      <c r="DC19" s="11">
        <f>DB19+真實IC!DC19</f>
        <v>8.6049668137110746</v>
      </c>
      <c r="DD19" s="11">
        <f>DC19+真實IC!DD19</f>
        <v>8.6111679389659042</v>
      </c>
      <c r="DE19" s="11">
        <f>DD19+真實IC!DE19</f>
        <v>8.6441863536216967</v>
      </c>
      <c r="DF19" s="11">
        <f>DE19+真實IC!DF19</f>
        <v>8.8496880992159923</v>
      </c>
      <c r="DG19" s="11">
        <f>DF19+真實IC!DG19</f>
        <v>8.9160623642104291</v>
      </c>
      <c r="DH19" s="11">
        <f>DG19+真實IC!DH19</f>
        <v>9.1406521449299163</v>
      </c>
      <c r="DI19" s="11">
        <f>DH19+真實IC!DI19</f>
        <v>9.249113583764677</v>
      </c>
      <c r="DJ19" s="11">
        <f>DI19+真實IC!DJ19</f>
        <v>9.414364052723748</v>
      </c>
      <c r="DK19" s="11">
        <f>DJ19+真實IC!DK19</f>
        <v>9.5358063622341991</v>
      </c>
      <c r="DL19" s="11">
        <f>DK19+真實IC!DL19</f>
        <v>9.5238235763252259</v>
      </c>
      <c r="DM19" s="11">
        <f>DL19+真實IC!DM19</f>
        <v>9.4665231450868959</v>
      </c>
      <c r="DN19" s="11">
        <f>DM19+真實IC!DN19</f>
        <v>9.468998268184535</v>
      </c>
      <c r="DO19" s="11">
        <f>DN19+真實IC!DO19</f>
        <v>9.7182602198942796</v>
      </c>
      <c r="DP19" s="11">
        <f>DO19+真實IC!DP19</f>
        <v>9.8885283505742407</v>
      </c>
      <c r="DQ19" s="11">
        <f>DP19+真實IC!DQ19</f>
        <v>9.968902522412316</v>
      </c>
      <c r="DR19" s="11">
        <f>DQ19+真實IC!DR19</f>
        <v>10.044864875737364</v>
      </c>
      <c r="DS19" s="11">
        <f>DR19+真實IC!DS19</f>
        <v>10.039187562218373</v>
      </c>
      <c r="DT19" s="11">
        <f>DS19+真實IC!DT19</f>
        <v>10.044220808738478</v>
      </c>
      <c r="DU19" s="11">
        <f>DT19+真實IC!DU19</f>
        <v>10.194802730694791</v>
      </c>
      <c r="DV19" s="11">
        <f>DU19+真實IC!DV19</f>
        <v>10.306327437135396</v>
      </c>
      <c r="DW19" s="11">
        <f>DV19+真實IC!DW19</f>
        <v>10.20503146818673</v>
      </c>
      <c r="DX19" s="11">
        <f>DW19+真實IC!DX19</f>
        <v>10.343396602424908</v>
      </c>
      <c r="DY19" s="11">
        <f>DX19+真實IC!DY19</f>
        <v>10.482645281110507</v>
      </c>
      <c r="DZ19" s="11">
        <f>DY19+真實IC!DZ19</f>
        <v>10.561183228733039</v>
      </c>
      <c r="EA19" s="11">
        <f>DZ19+真實IC!EA19</f>
        <v>10.594102955928054</v>
      </c>
      <c r="EB19" s="11">
        <f>EA19+真實IC!EB19</f>
        <v>10.702856465566306</v>
      </c>
      <c r="EC19" s="11">
        <f>EB19+真實IC!EC19</f>
        <v>10.690666422342604</v>
      </c>
      <c r="ED19" s="11">
        <f>EC19+真實IC!ED19</f>
        <v>10.841601739332761</v>
      </c>
      <c r="EE19" s="11">
        <f>ED19+真實IC!EE19</f>
        <v>10.834295212655633</v>
      </c>
      <c r="EF19" s="11">
        <f>EE19+真實IC!EF19</f>
        <v>10.908318132053138</v>
      </c>
    </row>
    <row r="20" spans="1:136" x14ac:dyDescent="0.3">
      <c r="A20" s="1">
        <v>192</v>
      </c>
      <c r="B20" s="1">
        <v>5</v>
      </c>
      <c r="C20" s="11">
        <f>IF(預測IC!C20&gt;預測IC!C$26,1,0)</f>
        <v>1</v>
      </c>
      <c r="D20" s="11">
        <f>C20+真實IC!D20</f>
        <v>1.3820250200473498</v>
      </c>
      <c r="E20" s="11">
        <f>D20+真實IC!E20</f>
        <v>1.4393613703741304</v>
      </c>
      <c r="F20" s="11">
        <f>E20+真實IC!F20</f>
        <v>1.2338301060409562</v>
      </c>
      <c r="G20" s="11">
        <f>F20+真實IC!G20</f>
        <v>1.3510132473298953</v>
      </c>
      <c r="H20" s="11">
        <f>G20+真實IC!H20</f>
        <v>1.4949455295855707</v>
      </c>
      <c r="I20" s="11">
        <f>H20+真實IC!I20</f>
        <v>1.6530950921866725</v>
      </c>
      <c r="J20" s="11">
        <f>I20+真實IC!J20</f>
        <v>1.6875663509135288</v>
      </c>
      <c r="K20" s="11">
        <f>J20+真實IC!K20</f>
        <v>1.9022908546746107</v>
      </c>
      <c r="L20" s="11">
        <f>K20+真實IC!L20</f>
        <v>1.8715953716735152</v>
      </c>
      <c r="M20" s="11">
        <f>L20+真實IC!M20</f>
        <v>1.7938771433822418</v>
      </c>
      <c r="N20" s="11">
        <f>M20+真實IC!N20</f>
        <v>2.2938886213917158</v>
      </c>
      <c r="O20" s="11">
        <f>N20+真實IC!O20</f>
        <v>2.3437535074609901</v>
      </c>
      <c r="P20" s="11">
        <f>O20+真實IC!P20</f>
        <v>2.4349234351295155</v>
      </c>
      <c r="Q20" s="11">
        <f>P20+真實IC!Q20</f>
        <v>2.6516491741324941</v>
      </c>
      <c r="R20" s="11">
        <f>Q20+真實IC!R20</f>
        <v>2.5423961184950254</v>
      </c>
      <c r="S20" s="11">
        <f>R20+真實IC!S20</f>
        <v>2.6975787368227682</v>
      </c>
      <c r="T20" s="11">
        <f>S20+真實IC!T20</f>
        <v>2.7830441925605838</v>
      </c>
      <c r="U20" s="11">
        <f>T20+真實IC!U20</f>
        <v>2.9316938726783586</v>
      </c>
      <c r="V20" s="11">
        <f>U20+真實IC!V20</f>
        <v>2.9443379757955475</v>
      </c>
      <c r="W20" s="11">
        <f>V20+真實IC!W20</f>
        <v>3.0354228452280925</v>
      </c>
      <c r="X20" s="11">
        <f>W20+真實IC!X20</f>
        <v>3.2458092581508775</v>
      </c>
      <c r="Y20" s="11">
        <f>X20+真實IC!Y20</f>
        <v>3.2037417686122804</v>
      </c>
      <c r="Z20" s="11">
        <f>Y20+真實IC!Z20</f>
        <v>3.3093587290959396</v>
      </c>
      <c r="AA20" s="11">
        <f>Z20+真實IC!AA20</f>
        <v>3.4398420975765855</v>
      </c>
      <c r="AB20" s="11">
        <f>AA20+真實IC!AB20</f>
        <v>3.5246019383027587</v>
      </c>
      <c r="AC20" s="11">
        <f>AB20+真實IC!AC20</f>
        <v>3.5718502010307263</v>
      </c>
      <c r="AD20" s="11">
        <f>AC20+真實IC!AD20</f>
        <v>3.7016936197443906</v>
      </c>
      <c r="AE20" s="11">
        <f>AD20+真實IC!AE20</f>
        <v>3.8629148268995017</v>
      </c>
      <c r="AF20" s="11">
        <f>AE20+真實IC!AF20</f>
        <v>4.0864126465358748</v>
      </c>
      <c r="AG20" s="11">
        <f>AF20+真實IC!AG20</f>
        <v>4.1140718650757666</v>
      </c>
      <c r="AH20" s="11">
        <f>AG20+真實IC!AH20</f>
        <v>4.0238936643609842</v>
      </c>
      <c r="AI20" s="11">
        <f>AH20+真實IC!AI20</f>
        <v>4.1402304194163078</v>
      </c>
      <c r="AJ20" s="11">
        <f>AI20+真實IC!AJ20</f>
        <v>4.0782403848687601</v>
      </c>
      <c r="AK20" s="11">
        <f>AJ20+真實IC!AK20</f>
        <v>4.0646452693727575</v>
      </c>
      <c r="AL20" s="11">
        <f>AK20+真實IC!AL20</f>
        <v>4.0590286430110165</v>
      </c>
      <c r="AM20" s="11">
        <f>AL20+真實IC!AM20</f>
        <v>4.092124623759819</v>
      </c>
      <c r="AN20" s="11">
        <f>AM20+真實IC!AN20</f>
        <v>4.1675948172788173</v>
      </c>
      <c r="AO20" s="11">
        <f>AN20+真實IC!AO20</f>
        <v>4.2167031119182168</v>
      </c>
      <c r="AP20" s="11">
        <f>AO20+真實IC!AP20</f>
        <v>4.3484335731736046</v>
      </c>
      <c r="AQ20" s="11">
        <f>AP20+真實IC!AQ20</f>
        <v>4.4213343193138259</v>
      </c>
      <c r="AR20" s="11">
        <f>AQ20+真實IC!AR20</f>
        <v>4.4080450462239922</v>
      </c>
      <c r="AS20" s="11">
        <f>AR20+真實IC!AS20</f>
        <v>4.365753329775016</v>
      </c>
      <c r="AT20" s="11">
        <f>AS20+真實IC!AT20</f>
        <v>4.6048770772200864</v>
      </c>
      <c r="AU20" s="11">
        <f>AT20+真實IC!AU20</f>
        <v>4.886574949803288</v>
      </c>
      <c r="AV20" s="11">
        <f>AU20+真實IC!AV20</f>
        <v>4.8543283370165247</v>
      </c>
      <c r="AW20" s="11">
        <f>AV20+真實IC!AW20</f>
        <v>5.0793261777948695</v>
      </c>
      <c r="AX20" s="11">
        <f>AW20+真實IC!AX20</f>
        <v>5.2836653977554162</v>
      </c>
      <c r="AY20" s="11">
        <f>AX20+真實IC!AY20</f>
        <v>5.3223400961983254</v>
      </c>
      <c r="AZ20" s="11">
        <f>AY20+真實IC!AZ20</f>
        <v>5.4221443994706489</v>
      </c>
      <c r="BA20" s="11">
        <f>AZ20+真實IC!BA20</f>
        <v>5.5734821249765618</v>
      </c>
      <c r="BB20" s="11">
        <f>BA20+真實IC!BB20</f>
        <v>5.9519289102859059</v>
      </c>
      <c r="BC20" s="11">
        <f>BB20+真實IC!BC20</f>
        <v>6.1920695852763199</v>
      </c>
      <c r="BD20" s="11">
        <f>BC20+真實IC!BD20</f>
        <v>6.2004297586428399</v>
      </c>
      <c r="BE20" s="11">
        <f>BD20+真實IC!BE20</f>
        <v>6.2987081333771959</v>
      </c>
      <c r="BF20" s="11">
        <f>BE20+真實IC!BF20</f>
        <v>6.4366793964461708</v>
      </c>
      <c r="BG20" s="11">
        <f>BF20+真實IC!BG20</f>
        <v>6.5307414520545111</v>
      </c>
      <c r="BH20" s="11">
        <f>BG20+真實IC!BH20</f>
        <v>6.6807987526179655</v>
      </c>
      <c r="BI20" s="11">
        <f>BH20+真實IC!BI20</f>
        <v>6.8125440197031404</v>
      </c>
      <c r="BJ20" s="11">
        <f>BI20+真實IC!BJ20</f>
        <v>6.8676999403219972</v>
      </c>
      <c r="BK20" s="11">
        <f>BJ20+真實IC!BK20</f>
        <v>6.7500495679169754</v>
      </c>
      <c r="BL20" s="11">
        <f>BK20+真實IC!BL20</f>
        <v>6.8199090098541957</v>
      </c>
      <c r="BM20" s="11">
        <f>BL20+真實IC!BM20</f>
        <v>6.8673775613183849</v>
      </c>
      <c r="BN20" s="11">
        <f>BM20+真實IC!BN20</f>
        <v>6.886015588571551</v>
      </c>
      <c r="BO20" s="11">
        <f>BN20+真實IC!BO20</f>
        <v>6.8475538710555721</v>
      </c>
      <c r="BP20" s="11">
        <f>BO20+真實IC!BP20</f>
        <v>6.8548361185618969</v>
      </c>
      <c r="BQ20" s="11">
        <f>BP20+真實IC!BQ20</f>
        <v>6.8702878255227402</v>
      </c>
      <c r="BR20" s="11">
        <f>BQ20+真實IC!BR20</f>
        <v>7.0514149069944017</v>
      </c>
      <c r="BS20" s="11">
        <f>BR20+真實IC!BS20</f>
        <v>7.0188787092695453</v>
      </c>
      <c r="BT20" s="11">
        <f>BS20+真實IC!BT20</f>
        <v>6.9664110859876391</v>
      </c>
      <c r="BU20" s="11">
        <f>BT20+真實IC!BU20</f>
        <v>7.1158520900329609</v>
      </c>
      <c r="BV20" s="11">
        <f>BU20+真實IC!BV20</f>
        <v>7.0343086482723622</v>
      </c>
      <c r="BW20" s="11">
        <f>BV20+真實IC!BW20</f>
        <v>7.3861381983207668</v>
      </c>
      <c r="BX20" s="11">
        <f>BW20+真實IC!BX20</f>
        <v>7.3332767765902416</v>
      </c>
      <c r="BY20" s="11">
        <f>BX20+真實IC!BY20</f>
        <v>7.3286374174405733</v>
      </c>
      <c r="BZ20" s="11">
        <f>BY20+真實IC!BZ20</f>
        <v>7.4189088217008567</v>
      </c>
      <c r="CA20" s="11">
        <f>BZ20+真實IC!CA20</f>
        <v>7.4590115497526099</v>
      </c>
      <c r="CB20" s="11">
        <f>CA20+真實IC!CB20</f>
        <v>7.5855065955226291</v>
      </c>
      <c r="CC20" s="11">
        <f>CB20+真實IC!CC20</f>
        <v>7.5984217430007099</v>
      </c>
      <c r="CD20" s="11">
        <f>CC20+真實IC!CD20</f>
        <v>7.7794492404913074</v>
      </c>
      <c r="CE20" s="11">
        <f>CD20+真實IC!CE20</f>
        <v>7.8652274130937476</v>
      </c>
      <c r="CF20" s="11">
        <f>CE20+真實IC!CF20</f>
        <v>7.9461853502924242</v>
      </c>
      <c r="CG20" s="11">
        <f>CF20+真實IC!CG20</f>
        <v>8.0221555910355331</v>
      </c>
      <c r="CH20" s="11">
        <f>CG20+真實IC!CH20</f>
        <v>8.0940196166326714</v>
      </c>
      <c r="CI20" s="11">
        <f>CH20+真實IC!CI20</f>
        <v>8.124414290401754</v>
      </c>
      <c r="CJ20" s="11">
        <f>CI20+真實IC!CJ20</f>
        <v>8.0829043056178254</v>
      </c>
      <c r="CK20" s="11">
        <f>CJ20+真實IC!CK20</f>
        <v>8.163493929558447</v>
      </c>
      <c r="CL20" s="11">
        <f>CK20+真實IC!CL20</f>
        <v>8.0713089953693178</v>
      </c>
      <c r="CM20" s="11">
        <f>CL20+真實IC!CM20</f>
        <v>8.168084801218555</v>
      </c>
      <c r="CN20" s="11">
        <f>CM20+真實IC!CN20</f>
        <v>8.3729766348596577</v>
      </c>
      <c r="CO20" s="11">
        <f>CN20+真實IC!CO20</f>
        <v>8.6695499399646874</v>
      </c>
      <c r="CP20" s="11">
        <f>CO20+真實IC!CP20</f>
        <v>8.8615811450737141</v>
      </c>
      <c r="CQ20" s="11">
        <f>CP20+真實IC!CQ20</f>
        <v>8.8846991903739969</v>
      </c>
      <c r="CR20" s="11">
        <f>CQ20+真實IC!CR20</f>
        <v>9.0801853008589397</v>
      </c>
      <c r="CS20" s="11">
        <f>CR20+真實IC!CS20</f>
        <v>9.1773223995932618</v>
      </c>
      <c r="CT20" s="11">
        <f>CS20+真實IC!CT20</f>
        <v>9.2057368069898491</v>
      </c>
      <c r="CU20" s="11">
        <f>CT20+真實IC!CU20</f>
        <v>9.3524648160614756</v>
      </c>
      <c r="CV20" s="11">
        <f>CU20+真實IC!CV20</f>
        <v>9.47167894427416</v>
      </c>
      <c r="CW20" s="11">
        <f>CV20+真實IC!CW20</f>
        <v>9.5395826524490062</v>
      </c>
      <c r="CX20" s="11">
        <f>CW20+真實IC!CX20</f>
        <v>9.6298812033167707</v>
      </c>
      <c r="CY20" s="11">
        <f>CX20+真實IC!CY20</f>
        <v>9.7386140417188418</v>
      </c>
      <c r="CZ20" s="11">
        <f>CY20+真實IC!CZ20</f>
        <v>9.8937756868680395</v>
      </c>
      <c r="DA20" s="11">
        <f>CZ20+真實IC!DA20</f>
        <v>9.9708573835215883</v>
      </c>
      <c r="DB20" s="11">
        <f>DA20+真實IC!DB20</f>
        <v>10.047825453292372</v>
      </c>
      <c r="DC20" s="11">
        <f>DB20+真實IC!DC20</f>
        <v>9.9982123840568171</v>
      </c>
      <c r="DD20" s="11">
        <f>DC20+真實IC!DD20</f>
        <v>10.001809568813767</v>
      </c>
      <c r="DE20" s="11">
        <f>DD20+真實IC!DE20</f>
        <v>10.012228290420619</v>
      </c>
      <c r="DF20" s="11">
        <f>DE20+真實IC!DF20</f>
        <v>10.257802495698204</v>
      </c>
      <c r="DG20" s="11">
        <f>DF20+真實IC!DG20</f>
        <v>10.310147308998022</v>
      </c>
      <c r="DH20" s="11">
        <f>DG20+真實IC!DH20</f>
        <v>10.588446162166965</v>
      </c>
      <c r="DI20" s="11">
        <f>DH20+真實IC!DI20</f>
        <v>10.72604192147964</v>
      </c>
      <c r="DJ20" s="11">
        <f>DI20+真實IC!DJ20</f>
        <v>10.862600013912337</v>
      </c>
      <c r="DK20" s="11">
        <f>DJ20+真實IC!DK20</f>
        <v>10.947787553932841</v>
      </c>
      <c r="DL20" s="11">
        <f>DK20+真實IC!DL20</f>
        <v>10.928322180599221</v>
      </c>
      <c r="DM20" s="11">
        <f>DL20+真實IC!DM20</f>
        <v>10.858986073924104</v>
      </c>
      <c r="DN20" s="11">
        <f>DM20+真實IC!DN20</f>
        <v>10.917005280578303</v>
      </c>
      <c r="DO20" s="11">
        <f>DN20+真實IC!DO20</f>
        <v>11.175006644037314</v>
      </c>
      <c r="DP20" s="11">
        <f>DO20+真實IC!DP20</f>
        <v>11.375162078791703</v>
      </c>
      <c r="DQ20" s="11">
        <f>DP20+真實IC!DQ20</f>
        <v>11.432622260416403</v>
      </c>
      <c r="DR20" s="11">
        <f>DQ20+真實IC!DR20</f>
        <v>11.511134920444693</v>
      </c>
      <c r="DS20" s="11">
        <f>DR20+真實IC!DS20</f>
        <v>11.503644224690934</v>
      </c>
      <c r="DT20" s="11">
        <f>DS20+真實IC!DT20</f>
        <v>11.473958885892092</v>
      </c>
      <c r="DU20" s="11">
        <f>DT20+真實IC!DU20</f>
        <v>11.650334054822489</v>
      </c>
      <c r="DV20" s="11">
        <f>DU20+真實IC!DV20</f>
        <v>11.779679526661347</v>
      </c>
      <c r="DW20" s="11">
        <f>DV20+真實IC!DW20</f>
        <v>11.676133358521541</v>
      </c>
      <c r="DX20" s="11">
        <f>DW20+真實IC!DX20</f>
        <v>11.829999688127856</v>
      </c>
      <c r="DY20" s="11">
        <f>DX20+真實IC!DY20</f>
        <v>11.951591145903258</v>
      </c>
      <c r="DZ20" s="11">
        <f>DY20+真實IC!DZ20</f>
        <v>12.041790792062233</v>
      </c>
      <c r="EA20" s="11">
        <f>DZ20+真實IC!EA20</f>
        <v>12.035865192788899</v>
      </c>
      <c r="EB20" s="11">
        <f>EA20+真實IC!EB20</f>
        <v>12.118272335233318</v>
      </c>
      <c r="EC20" s="11">
        <f>EB20+真實IC!EC20</f>
        <v>12.15232191664726</v>
      </c>
      <c r="ED20" s="11">
        <f>EC20+真實IC!ED20</f>
        <v>12.32924077771427</v>
      </c>
      <c r="EE20" s="11">
        <f>ED20+真實IC!EE20</f>
        <v>12.327499797962416</v>
      </c>
      <c r="EF20" s="11">
        <f>EE20+真實IC!EF20</f>
        <v>12.413302858804665</v>
      </c>
    </row>
    <row r="21" spans="1:136" x14ac:dyDescent="0.3">
      <c r="A21" s="1">
        <v>241</v>
      </c>
      <c r="B21" s="1">
        <v>4</v>
      </c>
      <c r="C21" s="11">
        <f>IF(預測IC!C21&gt;預測IC!C$26,1,0)</f>
        <v>1</v>
      </c>
      <c r="D21" s="11">
        <f>C21+真實IC!D21</f>
        <v>1.1263879167668236</v>
      </c>
      <c r="E21" s="11">
        <f>D21+真實IC!E21</f>
        <v>1.112697746481033</v>
      </c>
      <c r="F21" s="11">
        <f>E21+真實IC!F21</f>
        <v>0.92865916487490308</v>
      </c>
      <c r="G21" s="11">
        <f>F21+真實IC!G21</f>
        <v>1.0725013159874677</v>
      </c>
      <c r="H21" s="11">
        <f>G21+真實IC!H21</f>
        <v>1.2346654037813056</v>
      </c>
      <c r="I21" s="11">
        <f>H21+真實IC!I21</f>
        <v>1.3819210119087786</v>
      </c>
      <c r="J21" s="11">
        <f>I21+真實IC!J21</f>
        <v>1.4423563376004209</v>
      </c>
      <c r="K21" s="11">
        <f>J21+真實IC!K21</f>
        <v>1.6492363636038165</v>
      </c>
      <c r="L21" s="11">
        <f>K21+真實IC!L21</f>
        <v>1.6542655169098772</v>
      </c>
      <c r="M21" s="11">
        <f>L21+真實IC!M21</f>
        <v>1.5545809235016659</v>
      </c>
      <c r="N21" s="11">
        <f>M21+真實IC!N21</f>
        <v>2.139472188122391</v>
      </c>
      <c r="O21" s="11">
        <f>N21+真實IC!O21</f>
        <v>2.1738241775830818</v>
      </c>
      <c r="P21" s="11">
        <f>O21+真實IC!P21</f>
        <v>2.3185967784727666</v>
      </c>
      <c r="Q21" s="11">
        <f>P21+真實IC!Q21</f>
        <v>2.575906852567019</v>
      </c>
      <c r="R21" s="11">
        <f>Q21+真實IC!R21</f>
        <v>2.4803315414603886</v>
      </c>
      <c r="S21" s="11">
        <f>R21+真實IC!S21</f>
        <v>2.6089218269103456</v>
      </c>
      <c r="T21" s="11">
        <f>S21+真實IC!T21</f>
        <v>2.7073834996671429</v>
      </c>
      <c r="U21" s="11">
        <f>T21+真實IC!U21</f>
        <v>2.793661917278901</v>
      </c>
      <c r="V21" s="11">
        <f>U21+真實IC!V21</f>
        <v>2.8472195366449324</v>
      </c>
      <c r="W21" s="11">
        <f>V21+真實IC!W21</f>
        <v>2.9717181554734404</v>
      </c>
      <c r="X21" s="11">
        <f>W21+真實IC!X21</f>
        <v>3.1853490976785568</v>
      </c>
      <c r="Y21" s="11">
        <f>X21+真實IC!Y21</f>
        <v>3.164516014786122</v>
      </c>
      <c r="Z21" s="11">
        <f>Y21+真實IC!Z21</f>
        <v>3.2787200020088463</v>
      </c>
      <c r="AA21" s="11">
        <f>Z21+真實IC!AA21</f>
        <v>3.389355909011325</v>
      </c>
      <c r="AB21" s="11">
        <f>AA21+真實IC!AB21</f>
        <v>3.5191954914083947</v>
      </c>
      <c r="AC21" s="11">
        <f>AB21+真實IC!AC21</f>
        <v>3.5380232281151947</v>
      </c>
      <c r="AD21" s="11">
        <f>AC21+真實IC!AD21</f>
        <v>3.6668478937627524</v>
      </c>
      <c r="AE21" s="11">
        <f>AD21+真實IC!AE21</f>
        <v>3.7949528725589983</v>
      </c>
      <c r="AF21" s="11">
        <f>AE21+真實IC!AF21</f>
        <v>4.0900971306423619</v>
      </c>
      <c r="AG21" s="11">
        <f>AF21+真實IC!AG21</f>
        <v>4.1343999084321563</v>
      </c>
      <c r="AH21" s="11">
        <f>AG21+真實IC!AH21</f>
        <v>4.026818545867358</v>
      </c>
      <c r="AI21" s="11">
        <f>AH21+真實IC!AI21</f>
        <v>4.1289422213788418</v>
      </c>
      <c r="AJ21" s="11">
        <f>AI21+真實IC!AJ21</f>
        <v>4.0585368794323733</v>
      </c>
      <c r="AK21" s="11">
        <f>AJ21+真實IC!AK21</f>
        <v>4.0227337118142632</v>
      </c>
      <c r="AL21" s="11">
        <f>AK21+真實IC!AL21</f>
        <v>4.0425145253741146</v>
      </c>
      <c r="AM21" s="11">
        <f>AL21+真實IC!AM21</f>
        <v>4.1110503328217449</v>
      </c>
      <c r="AN21" s="11">
        <f>AM21+真實IC!AN21</f>
        <v>4.2230063888848388</v>
      </c>
      <c r="AO21" s="11">
        <f>AN21+真實IC!AO21</f>
        <v>4.3085741637987258</v>
      </c>
      <c r="AP21" s="11">
        <f>AO21+真實IC!AP21</f>
        <v>4.381109307368745</v>
      </c>
      <c r="AQ21" s="11">
        <f>AP21+真實IC!AQ21</f>
        <v>4.5143357675777143</v>
      </c>
      <c r="AR21" s="11">
        <f>AQ21+真實IC!AR21</f>
        <v>4.5623239089810248</v>
      </c>
      <c r="AS21" s="11">
        <f>AR21+真實IC!AS21</f>
        <v>4.5169172269210165</v>
      </c>
      <c r="AT21" s="11">
        <f>AS21+真實IC!AT21</f>
        <v>4.7817554844690138</v>
      </c>
      <c r="AU21" s="11">
        <f>AT21+真實IC!AU21</f>
        <v>5.1282367484324407</v>
      </c>
      <c r="AV21" s="11">
        <f>AU21+真實IC!AV21</f>
        <v>5.0595228357359607</v>
      </c>
      <c r="AW21" s="11">
        <f>AV21+真實IC!AW21</f>
        <v>5.3227777521097757</v>
      </c>
      <c r="AX21" s="11">
        <f>AW21+真實IC!AX21</f>
        <v>5.5404960546268134</v>
      </c>
      <c r="AY21" s="11">
        <f>AX21+真實IC!AY21</f>
        <v>5.5875173456048515</v>
      </c>
      <c r="AZ21" s="11">
        <f>AY21+真實IC!AZ21</f>
        <v>5.6960197040194576</v>
      </c>
      <c r="BA21" s="11">
        <f>AZ21+真實IC!BA21</f>
        <v>5.8356123861807845</v>
      </c>
      <c r="BB21" s="11">
        <f>BA21+真實IC!BB21</f>
        <v>6.2400438143139336</v>
      </c>
      <c r="BC21" s="11">
        <f>BB21+真實IC!BC21</f>
        <v>6.40450434624276</v>
      </c>
      <c r="BD21" s="11">
        <f>BC21+真實IC!BD21</f>
        <v>6.4427234935106741</v>
      </c>
      <c r="BE21" s="11">
        <f>BD21+真實IC!BE21</f>
        <v>6.5794688494186389</v>
      </c>
      <c r="BF21" s="11">
        <f>BE21+真實IC!BF21</f>
        <v>6.7785860658492423</v>
      </c>
      <c r="BG21" s="11">
        <f>BF21+真實IC!BG21</f>
        <v>6.8708716373564958</v>
      </c>
      <c r="BH21" s="11">
        <f>BG21+真實IC!BH21</f>
        <v>6.9777137469939259</v>
      </c>
      <c r="BI21" s="11">
        <f>BH21+真實IC!BI21</f>
        <v>7.1436833431723175</v>
      </c>
      <c r="BJ21" s="11">
        <f>BI21+真實IC!BJ21</f>
        <v>7.1660774055364271</v>
      </c>
      <c r="BK21" s="11">
        <f>BJ21+真實IC!BK21</f>
        <v>7.0933542907877127</v>
      </c>
      <c r="BL21" s="11">
        <f>BK21+真實IC!BL21</f>
        <v>7.1806950812554113</v>
      </c>
      <c r="BM21" s="11">
        <f>BL21+真實IC!BM21</f>
        <v>7.2214903672841322</v>
      </c>
      <c r="BN21" s="11">
        <f>BM21+真實IC!BN21</f>
        <v>7.2472811337325789</v>
      </c>
      <c r="BO21" s="11">
        <f>BN21+真實IC!BO21</f>
        <v>7.1834238973188986</v>
      </c>
      <c r="BP21" s="11">
        <f>BO21+真實IC!BP21</f>
        <v>7.1792430949873056</v>
      </c>
      <c r="BQ21" s="11">
        <f>BP21+真實IC!BQ21</f>
        <v>7.2337853258218106</v>
      </c>
      <c r="BR21" s="11">
        <f>BQ21+真實IC!BR21</f>
        <v>7.375846781731906</v>
      </c>
      <c r="BS21" s="11">
        <f>BR21+真實IC!BS21</f>
        <v>7.3101049607715582</v>
      </c>
      <c r="BT21" s="11">
        <f>BS21+真實IC!BT21</f>
        <v>7.2492842182290333</v>
      </c>
      <c r="BU21" s="11">
        <f>BT21+真實IC!BU21</f>
        <v>7.4200227287794513</v>
      </c>
      <c r="BV21" s="11">
        <f>BU21+真實IC!BV21</f>
        <v>7.3756827487381775</v>
      </c>
      <c r="BW21" s="11">
        <f>BV21+真實IC!BW21</f>
        <v>7.560143419458587</v>
      </c>
      <c r="BX21" s="11">
        <f>BW21+真實IC!BX21</f>
        <v>7.48297841693799</v>
      </c>
      <c r="BY21" s="11">
        <f>BX21+真實IC!BY21</f>
        <v>7.427312124695753</v>
      </c>
      <c r="BZ21" s="11">
        <f>BY21+真實IC!BZ21</f>
        <v>7.4749750534164683</v>
      </c>
      <c r="CA21" s="11">
        <f>BZ21+真實IC!CA21</f>
        <v>7.5354926567188665</v>
      </c>
      <c r="CB21" s="11">
        <f>CA21+真實IC!CB21</f>
        <v>7.7433625046204542</v>
      </c>
      <c r="CC21" s="11">
        <f>CB21+真實IC!CC21</f>
        <v>7.7353435503494881</v>
      </c>
      <c r="CD21" s="11">
        <f>CC21+真實IC!CD21</f>
        <v>8.0233996147119608</v>
      </c>
      <c r="CE21" s="11">
        <f>CD21+真實IC!CE21</f>
        <v>8.0849144970661158</v>
      </c>
      <c r="CF21" s="11">
        <f>CE21+真實IC!CF21</f>
        <v>8.2161801738671887</v>
      </c>
      <c r="CG21" s="11">
        <f>CF21+真實IC!CG21</f>
        <v>8.3012655093413201</v>
      </c>
      <c r="CH21" s="11">
        <f>CG21+真實IC!CH21</f>
        <v>8.3813658304175327</v>
      </c>
      <c r="CI21" s="11">
        <f>CH21+真實IC!CI21</f>
        <v>8.461865446808515</v>
      </c>
      <c r="CJ21" s="11">
        <f>CI21+真實IC!CJ21</f>
        <v>8.406724598247358</v>
      </c>
      <c r="CK21" s="11">
        <f>CJ21+真實IC!CK21</f>
        <v>8.4738842285442129</v>
      </c>
      <c r="CL21" s="11">
        <f>CK21+真實IC!CL21</f>
        <v>8.3399938039212476</v>
      </c>
      <c r="CM21" s="11">
        <f>CL21+真實IC!CM21</f>
        <v>8.4562256231018065</v>
      </c>
      <c r="CN21" s="11">
        <f>CM21+真實IC!CN21</f>
        <v>8.5370771319312393</v>
      </c>
      <c r="CO21" s="11">
        <f>CN21+真實IC!CO21</f>
        <v>8.8725608901261186</v>
      </c>
      <c r="CP21" s="11">
        <f>CO21+真實IC!CP21</f>
        <v>9.0952609510040308</v>
      </c>
      <c r="CQ21" s="11">
        <f>CP21+真實IC!CQ21</f>
        <v>9.1181731451735271</v>
      </c>
      <c r="CR21" s="11">
        <f>CQ21+真實IC!CR21</f>
        <v>9.3572331115347946</v>
      </c>
      <c r="CS21" s="11">
        <f>CR21+真實IC!CS21</f>
        <v>9.4185021477541255</v>
      </c>
      <c r="CT21" s="11">
        <f>CS21+真實IC!CT21</f>
        <v>9.4664952518271299</v>
      </c>
      <c r="CU21" s="11">
        <f>CT21+真實IC!CU21</f>
        <v>9.6254118741445804</v>
      </c>
      <c r="CV21" s="11">
        <f>CU21+真實IC!CV21</f>
        <v>9.7797437189191534</v>
      </c>
      <c r="CW21" s="11">
        <f>CV21+真實IC!CW21</f>
        <v>9.8180892357908363</v>
      </c>
      <c r="CX21" s="11">
        <f>CW21+真實IC!CX21</f>
        <v>9.9202114114482427</v>
      </c>
      <c r="CY21" s="11">
        <f>CX21+真實IC!CY21</f>
        <v>10.022716572529806</v>
      </c>
      <c r="CZ21" s="11">
        <f>CY21+真實IC!CZ21</f>
        <v>10.260167943355636</v>
      </c>
      <c r="DA21" s="11">
        <f>CZ21+真實IC!DA21</f>
        <v>10.301877007419563</v>
      </c>
      <c r="DB21" s="11">
        <f>DA21+真實IC!DB21</f>
        <v>10.373338221193562</v>
      </c>
      <c r="DC21" s="11">
        <f>DB21+真實IC!DC21</f>
        <v>10.328290661970271</v>
      </c>
      <c r="DD21" s="11">
        <f>DC21+真實IC!DD21</f>
        <v>10.331109456361343</v>
      </c>
      <c r="DE21" s="11">
        <f>DD21+真實IC!DE21</f>
        <v>10.36008719342167</v>
      </c>
      <c r="DF21" s="11">
        <f>DE21+真實IC!DF21</f>
        <v>10.661237405103714</v>
      </c>
      <c r="DG21" s="11">
        <f>DF21+真實IC!DG21</f>
        <v>10.720646923948628</v>
      </c>
      <c r="DH21" s="11">
        <f>DG21+真實IC!DH21</f>
        <v>10.802083112228656</v>
      </c>
      <c r="DI21" s="11">
        <f>DH21+真實IC!DI21</f>
        <v>10.98192293739606</v>
      </c>
      <c r="DJ21" s="11">
        <f>DI21+真實IC!DJ21</f>
        <v>11.138528655859702</v>
      </c>
      <c r="DK21" s="11">
        <f>DJ21+真實IC!DK21</f>
        <v>11.229424246766648</v>
      </c>
      <c r="DL21" s="11">
        <f>DK21+真實IC!DL21</f>
        <v>11.216687255265635</v>
      </c>
      <c r="DM21" s="11">
        <f>DL21+真實IC!DM21</f>
        <v>11.19169845282349</v>
      </c>
      <c r="DN21" s="11">
        <f>DM21+真實IC!DN21</f>
        <v>11.262896065317483</v>
      </c>
      <c r="DO21" s="11">
        <f>DN21+真實IC!DO21</f>
        <v>11.594522870196128</v>
      </c>
      <c r="DP21" s="11">
        <f>DO21+真實IC!DP21</f>
        <v>11.823542759876362</v>
      </c>
      <c r="DQ21" s="11">
        <f>DP21+真實IC!DQ21</f>
        <v>11.893965458684546</v>
      </c>
      <c r="DR21" s="11">
        <f>DQ21+真實IC!DR21</f>
        <v>11.944136317721627</v>
      </c>
      <c r="DS21" s="11">
        <f>DR21+真實IC!DS21</f>
        <v>11.942464223042306</v>
      </c>
      <c r="DT21" s="11">
        <f>DS21+真實IC!DT21</f>
        <v>11.937249032695627</v>
      </c>
      <c r="DU21" s="11">
        <f>DT21+真實IC!DU21</f>
        <v>12.08586374933404</v>
      </c>
      <c r="DV21" s="11">
        <f>DU21+真實IC!DV21</f>
        <v>12.226139726203918</v>
      </c>
      <c r="DW21" s="11">
        <f>DV21+真實IC!DW21</f>
        <v>12.122605233607615</v>
      </c>
      <c r="DX21" s="11">
        <f>DW21+真實IC!DX21</f>
        <v>12.308571447638798</v>
      </c>
      <c r="DY21" s="11">
        <f>DX21+真實IC!DY21</f>
        <v>12.47530241872739</v>
      </c>
      <c r="DZ21" s="11">
        <f>DY21+真實IC!DZ21</f>
        <v>12.574232992387294</v>
      </c>
      <c r="EA21" s="11">
        <f>DZ21+真實IC!EA21</f>
        <v>12.539166535202058</v>
      </c>
      <c r="EB21" s="11">
        <f>EA21+真實IC!EB21</f>
        <v>12.565468729200592</v>
      </c>
      <c r="EC21" s="11">
        <f>EB21+真實IC!EC21</f>
        <v>12.579505784298634</v>
      </c>
      <c r="ED21" s="11">
        <f>EC21+真實IC!ED21</f>
        <v>12.634004640646815</v>
      </c>
      <c r="EE21" s="11">
        <f>ED21+真實IC!EE21</f>
        <v>12.655315232954683</v>
      </c>
      <c r="EF21" s="11">
        <f>EE21+真實IC!EF21</f>
        <v>12.684112459374354</v>
      </c>
    </row>
    <row r="22" spans="1:136" x14ac:dyDescent="0.3">
      <c r="A22" s="1">
        <v>321</v>
      </c>
      <c r="B22" s="1">
        <v>3</v>
      </c>
      <c r="C22" s="11">
        <f>IF(預測IC!C22&gt;預測IC!C$26,1,0)</f>
        <v>1</v>
      </c>
      <c r="D22" s="11">
        <f>C22+真實IC!D22</f>
        <v>1.1424278520773985</v>
      </c>
      <c r="E22" s="11">
        <f>D22+真實IC!E22</f>
        <v>1.1250727531609395</v>
      </c>
      <c r="F22" s="11">
        <f>E22+真實IC!F22</f>
        <v>1.0572416922396619</v>
      </c>
      <c r="G22" s="11">
        <f>F22+真實IC!G22</f>
        <v>1.161126055529996</v>
      </c>
      <c r="H22" s="11">
        <f>G22+真實IC!H22</f>
        <v>1.2853041184906424</v>
      </c>
      <c r="I22" s="11">
        <f>H22+真實IC!I22</f>
        <v>1.4087972878287123</v>
      </c>
      <c r="J22" s="11">
        <f>I22+真實IC!J22</f>
        <v>1.4613958770940552</v>
      </c>
      <c r="K22" s="11">
        <f>J22+真實IC!K22</f>
        <v>1.7067617897768108</v>
      </c>
      <c r="L22" s="11">
        <f>K22+真實IC!L22</f>
        <v>1.6924885810918286</v>
      </c>
      <c r="M22" s="11">
        <f>L22+真實IC!M22</f>
        <v>1.6183885223212562</v>
      </c>
      <c r="N22" s="11">
        <f>M22+真實IC!N22</f>
        <v>2.374531965438595</v>
      </c>
      <c r="O22" s="11">
        <f>N22+真實IC!O22</f>
        <v>2.3678160871272276</v>
      </c>
      <c r="P22" s="11">
        <f>O22+真實IC!P22</f>
        <v>2.4405989712560445</v>
      </c>
      <c r="Q22" s="11">
        <f>P22+真實IC!Q22</f>
        <v>2.7173758650890965</v>
      </c>
      <c r="R22" s="11">
        <f>Q22+真實IC!R22</f>
        <v>2.6807474308175085</v>
      </c>
      <c r="S22" s="11">
        <f>R22+真實IC!S22</f>
        <v>2.8503939863754493</v>
      </c>
      <c r="T22" s="11">
        <f>S22+真實IC!T22</f>
        <v>2.9792064083585723</v>
      </c>
      <c r="U22" s="11">
        <f>T22+真實IC!U22</f>
        <v>3.0897964317610764</v>
      </c>
      <c r="V22" s="11">
        <f>U22+真實IC!V22</f>
        <v>3.1280832082809318</v>
      </c>
      <c r="W22" s="11">
        <f>V22+真實IC!W22</f>
        <v>3.2861309614448824</v>
      </c>
      <c r="X22" s="11">
        <f>W22+真實IC!X22</f>
        <v>3.5079177204787526</v>
      </c>
      <c r="Y22" s="11">
        <f>X22+真實IC!Y22</f>
        <v>3.4921855120652316</v>
      </c>
      <c r="Z22" s="11">
        <f>Y22+真實IC!Z22</f>
        <v>3.5677337812110776</v>
      </c>
      <c r="AA22" s="11">
        <f>Z22+真實IC!AA22</f>
        <v>3.6502582067891907</v>
      </c>
      <c r="AB22" s="11">
        <f>AA22+真實IC!AB22</f>
        <v>3.7846944195025163</v>
      </c>
      <c r="AC22" s="11">
        <f>AB22+真實IC!AC22</f>
        <v>3.8704708802179488</v>
      </c>
      <c r="AD22" s="11">
        <f>AC22+真實IC!AD22</f>
        <v>3.8840436689903099</v>
      </c>
      <c r="AE22" s="11">
        <f>AD22+真實IC!AE22</f>
        <v>4.0148675118066439</v>
      </c>
      <c r="AF22" s="11">
        <f>AE22+真實IC!AF22</f>
        <v>4.4447842798552557</v>
      </c>
      <c r="AG22" s="11">
        <f>AF22+真實IC!AG22</f>
        <v>4.49762582003099</v>
      </c>
      <c r="AH22" s="11">
        <f>AG22+真實IC!AH22</f>
        <v>4.3917598606105175</v>
      </c>
      <c r="AI22" s="11">
        <f>AH22+真實IC!AI22</f>
        <v>4.5027635718374661</v>
      </c>
      <c r="AJ22" s="11">
        <f>AI22+真實IC!AJ22</f>
        <v>4.4710637225110581</v>
      </c>
      <c r="AK22" s="11">
        <f>AJ22+真實IC!AK22</f>
        <v>4.5723522832514538</v>
      </c>
      <c r="AL22" s="11">
        <f>AK22+真實IC!AL22</f>
        <v>4.5629125447777437</v>
      </c>
      <c r="AM22" s="11">
        <f>AL22+真實IC!AM22</f>
        <v>4.6470014482454474</v>
      </c>
      <c r="AN22" s="11">
        <f>AM22+真實IC!AN22</f>
        <v>4.7581342579090062</v>
      </c>
      <c r="AO22" s="11">
        <f>AN22+真實IC!AO22</f>
        <v>4.9162871332027329</v>
      </c>
      <c r="AP22" s="11">
        <f>AO22+真實IC!AP22</f>
        <v>4.9788234870907253</v>
      </c>
      <c r="AQ22" s="11">
        <f>AP22+真實IC!AQ22</f>
        <v>5.0889551993820037</v>
      </c>
      <c r="AR22" s="11">
        <f>AQ22+真實IC!AR22</f>
        <v>5.1568796870856071</v>
      </c>
      <c r="AS22" s="11">
        <f>AR22+真實IC!AS22</f>
        <v>5.2307233897714402</v>
      </c>
      <c r="AT22" s="11">
        <f>AS22+真實IC!AT22</f>
        <v>5.2484517607658772</v>
      </c>
      <c r="AU22" s="11">
        <f>AT22+真實IC!AU22</f>
        <v>5.6778055454442233</v>
      </c>
      <c r="AV22" s="11">
        <f>AU22+真實IC!AV22</f>
        <v>5.5880515635725905</v>
      </c>
      <c r="AW22" s="11">
        <f>AV22+真實IC!AW22</f>
        <v>5.9588508422637636</v>
      </c>
      <c r="AX22" s="11">
        <f>AW22+真實IC!AX22</f>
        <v>5.94897565625807</v>
      </c>
      <c r="AY22" s="11">
        <f>AX22+真實IC!AY22</f>
        <v>6.0207090415923004</v>
      </c>
      <c r="AZ22" s="11">
        <f>AY22+真實IC!AZ22</f>
        <v>6.175897445635834</v>
      </c>
      <c r="BA22" s="11">
        <f>AZ22+真實IC!BA22</f>
        <v>6.2256724032200212</v>
      </c>
      <c r="BB22" s="11">
        <f>BA22+真實IC!BB22</f>
        <v>6.7439364526700585</v>
      </c>
      <c r="BC22" s="11">
        <f>BB22+真實IC!BC22</f>
        <v>6.9395624880205764</v>
      </c>
      <c r="BD22" s="11">
        <f>BC22+真實IC!BD22</f>
        <v>7.0188220329400126</v>
      </c>
      <c r="BE22" s="11">
        <f>BD22+真實IC!BE22</f>
        <v>7.146889916905673</v>
      </c>
      <c r="BF22" s="11">
        <f>BE22+真實IC!BF22</f>
        <v>7.3459923654541113</v>
      </c>
      <c r="BG22" s="11">
        <f>BF22+真實IC!BG22</f>
        <v>7.3047608963013309</v>
      </c>
      <c r="BH22" s="11">
        <f>BG22+真實IC!BH22</f>
        <v>7.432467905697747</v>
      </c>
      <c r="BI22" s="11">
        <f>BH22+真實IC!BI22</f>
        <v>7.5435566251076542</v>
      </c>
      <c r="BJ22" s="11">
        <f>BI22+真實IC!BJ22</f>
        <v>7.5844469567871782</v>
      </c>
      <c r="BK22" s="11">
        <f>BJ22+真實IC!BK22</f>
        <v>7.5361317157355137</v>
      </c>
      <c r="BL22" s="11">
        <f>BK22+真實IC!BL22</f>
        <v>7.6756031061363776</v>
      </c>
      <c r="BM22" s="11">
        <f>BL22+真實IC!BM22</f>
        <v>7.6780335893819105</v>
      </c>
      <c r="BN22" s="11">
        <f>BM22+真實IC!BN22</f>
        <v>7.760971488582233</v>
      </c>
      <c r="BO22" s="11">
        <f>BN22+真實IC!BO22</f>
        <v>7.7104870594694823</v>
      </c>
      <c r="BP22" s="11">
        <f>BO22+真實IC!BP22</f>
        <v>7.7099460593449507</v>
      </c>
      <c r="BQ22" s="11">
        <f>BP22+真實IC!BQ22</f>
        <v>7.737776156743263</v>
      </c>
      <c r="BR22" s="11">
        <f>BQ22+真實IC!BR22</f>
        <v>7.8443429387109536</v>
      </c>
      <c r="BS22" s="11">
        <f>BR22+真實IC!BS22</f>
        <v>7.7472953490064089</v>
      </c>
      <c r="BT22" s="11">
        <f>BS22+真實IC!BT22</f>
        <v>7.836021543339192</v>
      </c>
      <c r="BU22" s="11">
        <f>BT22+真實IC!BU22</f>
        <v>7.9403721264215568</v>
      </c>
      <c r="BV22" s="11">
        <f>BU22+真實IC!BV22</f>
        <v>7.8917685918324789</v>
      </c>
      <c r="BW22" s="11">
        <f>BV22+真實IC!BW22</f>
        <v>8.0239403833682594</v>
      </c>
      <c r="BX22" s="11">
        <f>BW22+真實IC!BX22</f>
        <v>7.9109114844638944</v>
      </c>
      <c r="BY22" s="11">
        <f>BX22+真實IC!BY22</f>
        <v>7.8553144344935237</v>
      </c>
      <c r="BZ22" s="11">
        <f>BY22+真實IC!BZ22</f>
        <v>7.9025721703564162</v>
      </c>
      <c r="CA22" s="11">
        <f>BZ22+真實IC!CA22</f>
        <v>7.93006224883674</v>
      </c>
      <c r="CB22" s="11">
        <f>CA22+真實IC!CB22</f>
        <v>8.1848015045516007</v>
      </c>
      <c r="CC22" s="11">
        <f>CB22+真實IC!CC22</f>
        <v>8.059697509231567</v>
      </c>
      <c r="CD22" s="11">
        <f>CC22+真實IC!CD22</f>
        <v>8.3935755459442891</v>
      </c>
      <c r="CE22" s="11">
        <f>CD22+真實IC!CE22</f>
        <v>8.4604156915811064</v>
      </c>
      <c r="CF22" s="11">
        <f>CE22+真實IC!CF22</f>
        <v>8.6492154773413841</v>
      </c>
      <c r="CG22" s="11">
        <f>CF22+真實IC!CG22</f>
        <v>8.856300809974897</v>
      </c>
      <c r="CH22" s="11">
        <f>CG22+真實IC!CH22</f>
        <v>8.972219581254345</v>
      </c>
      <c r="CI22" s="11">
        <f>CH22+真實IC!CI22</f>
        <v>9.0899993275327038</v>
      </c>
      <c r="CJ22" s="11">
        <f>CI22+真實IC!CJ22</f>
        <v>8.9636739682541169</v>
      </c>
      <c r="CK22" s="11">
        <f>CJ22+真實IC!CK22</f>
        <v>9.074597508540899</v>
      </c>
      <c r="CL22" s="11">
        <f>CK22+真實IC!CL22</f>
        <v>8.8339457099158576</v>
      </c>
      <c r="CM22" s="11">
        <f>CL22+真實IC!CM22</f>
        <v>9.0537781951133205</v>
      </c>
      <c r="CN22" s="11">
        <f>CM22+真實IC!CN22</f>
        <v>9.2065821119235274</v>
      </c>
      <c r="CO22" s="11">
        <f>CN22+真實IC!CO22</f>
        <v>9.4786416100704027</v>
      </c>
      <c r="CP22" s="11">
        <f>CO22+真實IC!CP22</f>
        <v>9.7380501670398054</v>
      </c>
      <c r="CQ22" s="11">
        <f>CP22+真實IC!CQ22</f>
        <v>9.7552097825589286</v>
      </c>
      <c r="CR22" s="11">
        <f>CQ22+真實IC!CR22</f>
        <v>10.001982552550816</v>
      </c>
      <c r="CS22" s="11">
        <f>CR22+真實IC!CS22</f>
        <v>10.086764488435181</v>
      </c>
      <c r="CT22" s="11">
        <f>CS22+真實IC!CT22</f>
        <v>10.125027103010456</v>
      </c>
      <c r="CU22" s="11">
        <f>CT22+真實IC!CU22</f>
        <v>10.292381014196824</v>
      </c>
      <c r="CV22" s="11">
        <f>CU22+真實IC!CV22</f>
        <v>10.458603692886378</v>
      </c>
      <c r="CW22" s="11">
        <f>CV22+真實IC!CW22</f>
        <v>10.481487735218362</v>
      </c>
      <c r="CX22" s="11">
        <f>CW22+真實IC!CX22</f>
        <v>10.48523732848621</v>
      </c>
      <c r="CY22" s="11">
        <f>CX22+真實IC!CY22</f>
        <v>10.589748154554272</v>
      </c>
      <c r="CZ22" s="11">
        <f>CY22+真實IC!CZ22</f>
        <v>10.85266863915351</v>
      </c>
      <c r="DA22" s="11">
        <f>CZ22+真實IC!DA22</f>
        <v>10.885122633963649</v>
      </c>
      <c r="DB22" s="11">
        <f>DA22+真實IC!DB22</f>
        <v>10.939164255674171</v>
      </c>
      <c r="DC22" s="11">
        <f>DB22+真實IC!DC22</f>
        <v>10.918439471230014</v>
      </c>
      <c r="DD22" s="11">
        <f>DC22+真實IC!DD22</f>
        <v>10.950149640355839</v>
      </c>
      <c r="DE22" s="11">
        <f>DD22+真實IC!DE22</f>
        <v>10.932393136853907</v>
      </c>
      <c r="DF22" s="11">
        <f>DE22+真實IC!DF22</f>
        <v>11.322060770548031</v>
      </c>
      <c r="DG22" s="11">
        <f>DF22+真實IC!DG22</f>
        <v>11.393950269965034</v>
      </c>
      <c r="DH22" s="11">
        <f>DG22+真實IC!DH22</f>
        <v>11.475404651580941</v>
      </c>
      <c r="DI22" s="11">
        <f>DH22+真實IC!DI22</f>
        <v>11.53552676285153</v>
      </c>
      <c r="DJ22" s="11">
        <f>DI22+真實IC!DJ22</f>
        <v>11.68922652568186</v>
      </c>
      <c r="DK22" s="11">
        <f>DJ22+真實IC!DK22</f>
        <v>11.780654930741372</v>
      </c>
      <c r="DL22" s="11">
        <f>DK22+真實IC!DL22</f>
        <v>11.777441599998234</v>
      </c>
      <c r="DM22" s="11">
        <f>DL22+真實IC!DM22</f>
        <v>11.745556890708503</v>
      </c>
      <c r="DN22" s="11">
        <f>DM22+真實IC!DN22</f>
        <v>11.792320218912511</v>
      </c>
      <c r="DO22" s="11">
        <f>DN22+真實IC!DO22</f>
        <v>11.868036034967417</v>
      </c>
      <c r="DP22" s="11">
        <f>DO22+真實IC!DP22</f>
        <v>12.037598467108149</v>
      </c>
      <c r="DQ22" s="11">
        <f>DP22+真實IC!DQ22</f>
        <v>12.203002633652789</v>
      </c>
      <c r="DR22" s="11">
        <f>DQ22+真實IC!DR22</f>
        <v>12.196910081037471</v>
      </c>
      <c r="DS22" s="11">
        <f>DR22+真實IC!DS22</f>
        <v>12.160563818787935</v>
      </c>
      <c r="DT22" s="11">
        <f>DS22+真實IC!DT22</f>
        <v>12.187692572766105</v>
      </c>
      <c r="DU22" s="11">
        <f>DT22+真實IC!DU22</f>
        <v>12.349239483648836</v>
      </c>
      <c r="DV22" s="11">
        <f>DU22+真實IC!DV22</f>
        <v>12.474944601327014</v>
      </c>
      <c r="DW22" s="11">
        <f>DV22+真實IC!DW22</f>
        <v>12.39352918794709</v>
      </c>
      <c r="DX22" s="11">
        <f>DW22+真實IC!DX22</f>
        <v>12.615971796395385</v>
      </c>
      <c r="DY22" s="11">
        <f>DX22+真實IC!DY22</f>
        <v>12.735927821114046</v>
      </c>
      <c r="DZ22" s="11">
        <f>DY22+真實IC!DZ22</f>
        <v>12.846762325901757</v>
      </c>
      <c r="EA22" s="11">
        <f>DZ22+真實IC!EA22</f>
        <v>12.812571083491884</v>
      </c>
      <c r="EB22" s="11">
        <f>EA22+真實IC!EB22</f>
        <v>12.942337033797953</v>
      </c>
      <c r="EC22" s="11">
        <f>EB22+真實IC!EC22</f>
        <v>12.963832135373591</v>
      </c>
      <c r="ED22" s="11">
        <f>EC22+真實IC!ED22</f>
        <v>13.041245702431199</v>
      </c>
      <c r="EE22" s="11">
        <f>ED22+真實IC!EE22</f>
        <v>13.088882361815898</v>
      </c>
      <c r="EF22" s="11">
        <f>EE22+真實IC!EF22</f>
        <v>13.125477830947677</v>
      </c>
    </row>
    <row r="23" spans="1:136" x14ac:dyDescent="0.3">
      <c r="A23" s="1">
        <v>482</v>
      </c>
      <c r="B23" s="1">
        <v>2</v>
      </c>
      <c r="C23" s="11">
        <f>IF(預測IC!C23&gt;預測IC!C$26,1,0)</f>
        <v>1</v>
      </c>
      <c r="D23" s="11">
        <f>C23+真實IC!D23</f>
        <v>1.2540926274514612</v>
      </c>
      <c r="E23" s="11">
        <f>D23+真實IC!E23</f>
        <v>1.3870978215076322</v>
      </c>
      <c r="F23" s="11">
        <f>E23+真實IC!F23</f>
        <v>1.2047017461867535</v>
      </c>
      <c r="G23" s="11">
        <f>F23+真實IC!G23</f>
        <v>1.1777301776623854</v>
      </c>
      <c r="H23" s="11">
        <f>G23+真實IC!H23</f>
        <v>1.1595417068209009</v>
      </c>
      <c r="I23" s="11">
        <f>H23+真實IC!I23</f>
        <v>1.3076937354211948</v>
      </c>
      <c r="J23" s="11">
        <f>I23+真實IC!J23</f>
        <v>1.2095314442747425</v>
      </c>
      <c r="K23" s="11">
        <f>J23+真實IC!K23</f>
        <v>1.3521390193993974</v>
      </c>
      <c r="L23" s="11">
        <f>K23+真實IC!L23</f>
        <v>1.3013681856942145</v>
      </c>
      <c r="M23" s="11">
        <f>L23+真實IC!M23</f>
        <v>1.0429182693355721</v>
      </c>
      <c r="N23" s="11">
        <f>M23+真實IC!N23</f>
        <v>2.0188197126068523</v>
      </c>
      <c r="O23" s="11">
        <f>N23+真實IC!O23</f>
        <v>1.9994120013400831</v>
      </c>
      <c r="P23" s="11">
        <f>O23+真實IC!P23</f>
        <v>2.0898137125222087</v>
      </c>
      <c r="Q23" s="11">
        <f>P23+真實IC!Q23</f>
        <v>2.0302456956216881</v>
      </c>
      <c r="R23" s="11">
        <f>Q23+真實IC!R23</f>
        <v>1.9740345523084331</v>
      </c>
      <c r="S23" s="11">
        <f>R23+真實IC!S23</f>
        <v>2.0877590851356951</v>
      </c>
      <c r="T23" s="11">
        <f>S23+真實IC!T23</f>
        <v>2.2423617784631236</v>
      </c>
      <c r="U23" s="11">
        <f>T23+真實IC!U23</f>
        <v>2.336119200903918</v>
      </c>
      <c r="V23" s="11">
        <f>U23+真實IC!V23</f>
        <v>2.3130897437941269</v>
      </c>
      <c r="W23" s="11">
        <f>V23+真實IC!W23</f>
        <v>2.5726370674711863</v>
      </c>
      <c r="X23" s="11">
        <f>W23+真實IC!X23</f>
        <v>2.7544182532690091</v>
      </c>
      <c r="Y23" s="11">
        <f>X23+真實IC!Y23</f>
        <v>2.7397584517385187</v>
      </c>
      <c r="Z23" s="11">
        <f>Y23+真實IC!Z23</f>
        <v>2.7727909671823938</v>
      </c>
      <c r="AA23" s="11">
        <f>Z23+真實IC!AA23</f>
        <v>2.7160425212222834</v>
      </c>
      <c r="AB23" s="11">
        <f>AA23+真實IC!AB23</f>
        <v>2.7800823010990667</v>
      </c>
      <c r="AC23" s="11">
        <f>AB23+真實IC!AC23</f>
        <v>2.9488371007359793</v>
      </c>
      <c r="AD23" s="11">
        <f>AC23+真實IC!AD23</f>
        <v>3.0204659688216533</v>
      </c>
      <c r="AE23" s="11">
        <f>AD23+真實IC!AE23</f>
        <v>3.1576779575793132</v>
      </c>
      <c r="AF23" s="11">
        <f>AE23+真實IC!AF23</f>
        <v>3.4823372832195245</v>
      </c>
      <c r="AG23" s="11">
        <f>AF23+真實IC!AG23</f>
        <v>3.5742109408658846</v>
      </c>
      <c r="AH23" s="11">
        <f>AG23+真實IC!AH23</f>
        <v>3.4900393563427015</v>
      </c>
      <c r="AI23" s="11">
        <f>AH23+真實IC!AI23</f>
        <v>3.6991909549629653</v>
      </c>
      <c r="AJ23" s="11">
        <f>AI23+真實IC!AJ23</f>
        <v>3.7048340928111196</v>
      </c>
      <c r="AK23" s="11">
        <f>AJ23+真實IC!AK23</f>
        <v>3.8189451921583109</v>
      </c>
      <c r="AL23" s="11">
        <f>AK23+真實IC!AL23</f>
        <v>3.8048785990513063</v>
      </c>
      <c r="AM23" s="11">
        <f>AL23+真實IC!AM23</f>
        <v>3.8126480880561715</v>
      </c>
      <c r="AN23" s="11">
        <f>AM23+真實IC!AN23</f>
        <v>4.0549627874134719</v>
      </c>
      <c r="AO23" s="11">
        <f>AN23+真實IC!AO23</f>
        <v>4.1457452669430896</v>
      </c>
      <c r="AP23" s="11">
        <f>AO23+真實IC!AP23</f>
        <v>4.1426241675907836</v>
      </c>
      <c r="AQ23" s="11">
        <f>AP23+真實IC!AQ23</f>
        <v>4.2420048066035356</v>
      </c>
      <c r="AR23" s="11">
        <f>AQ23+真實IC!AR23</f>
        <v>4.3881409709429029</v>
      </c>
      <c r="AS23" s="11">
        <f>AR23+真實IC!AS23</f>
        <v>4.4698045917234728</v>
      </c>
      <c r="AT23" s="11">
        <f>AS23+真實IC!AT23</f>
        <v>4.5793104946883734</v>
      </c>
      <c r="AU23" s="11">
        <f>AT23+真實IC!AU23</f>
        <v>5.1876425389378502</v>
      </c>
      <c r="AV23" s="11">
        <f>AU23+真實IC!AV23</f>
        <v>5.1384924723085579</v>
      </c>
      <c r="AW23" s="11">
        <f>AV23+真實IC!AW23</f>
        <v>5.7207524464827726</v>
      </c>
      <c r="AX23" s="11">
        <f>AW23+真實IC!AX23</f>
        <v>5.7059396674742322</v>
      </c>
      <c r="AY23" s="11">
        <f>AX23+真實IC!AY23</f>
        <v>5.8761736483148139</v>
      </c>
      <c r="AZ23" s="11">
        <f>AY23+真實IC!AZ23</f>
        <v>5.9542452248360211</v>
      </c>
      <c r="BA23" s="11">
        <f>AZ23+真實IC!BA23</f>
        <v>6.0082435634658786</v>
      </c>
      <c r="BB23" s="11">
        <f>BA23+真實IC!BB23</f>
        <v>6.6942668931456124</v>
      </c>
      <c r="BC23" s="11">
        <f>BB23+真實IC!BC23</f>
        <v>6.9471360750455515</v>
      </c>
      <c r="BD23" s="11">
        <f>BC23+真實IC!BD23</f>
        <v>7.0731088595200475</v>
      </c>
      <c r="BE23" s="11">
        <f>BD23+真實IC!BE23</f>
        <v>7.1974010025459467</v>
      </c>
      <c r="BF23" s="11">
        <f>BE23+真實IC!BF23</f>
        <v>7.4074101154063978</v>
      </c>
      <c r="BG23" s="11">
        <f>BF23+真實IC!BG23</f>
        <v>7.4457329428255434</v>
      </c>
      <c r="BH23" s="11">
        <f>BG23+真實IC!BH23</f>
        <v>7.5090981385287821</v>
      </c>
      <c r="BI23" s="11">
        <f>BH23+真實IC!BI23</f>
        <v>7.7002102178519811</v>
      </c>
      <c r="BJ23" s="11">
        <f>BI23+真實IC!BJ23</f>
        <v>7.757704078657472</v>
      </c>
      <c r="BK23" s="11">
        <f>BJ23+真實IC!BK23</f>
        <v>7.7098547553562842</v>
      </c>
      <c r="BL23" s="11">
        <f>BK23+真實IC!BL23</f>
        <v>7.8242210454979535</v>
      </c>
      <c r="BM23" s="11">
        <f>BL23+真實IC!BM23</f>
        <v>7.7547255834735029</v>
      </c>
      <c r="BN23" s="11">
        <f>BM23+真實IC!BN23</f>
        <v>7.7931788207137762</v>
      </c>
      <c r="BO23" s="11">
        <f>BN23+真實IC!BO23</f>
        <v>7.8297037624597756</v>
      </c>
      <c r="BP23" s="11">
        <f>BO23+真實IC!BP23</f>
        <v>7.807228041067094</v>
      </c>
      <c r="BQ23" s="11">
        <f>BP23+真實IC!BQ23</f>
        <v>7.8792759425023604</v>
      </c>
      <c r="BR23" s="11">
        <f>BQ23+真實IC!BR23</f>
        <v>7.982098532682711</v>
      </c>
      <c r="BS23" s="11">
        <f>BR23+真實IC!BS23</f>
        <v>7.7615314382803202</v>
      </c>
      <c r="BT23" s="11">
        <f>BS23+真實IC!BT23</f>
        <v>7.9797181144132239</v>
      </c>
      <c r="BU23" s="11">
        <f>BT23+真實IC!BU23</f>
        <v>8.0854033882066272</v>
      </c>
      <c r="BV23" s="11">
        <f>BU23+真實IC!BV23</f>
        <v>8.0321343376487384</v>
      </c>
      <c r="BW23" s="11">
        <f>BV23+真實IC!BW23</f>
        <v>8.0474968526918289</v>
      </c>
      <c r="BX23" s="11">
        <f>BW23+真實IC!BX23</f>
        <v>7.9787617633610308</v>
      </c>
      <c r="BY23" s="11">
        <f>BX23+真實IC!BY23</f>
        <v>8.0970109972879865</v>
      </c>
      <c r="BZ23" s="11">
        <f>BY23+真實IC!BZ23</f>
        <v>8.104680759719832</v>
      </c>
      <c r="CA23" s="11">
        <f>BZ23+真實IC!CA23</f>
        <v>8.180333959466461</v>
      </c>
      <c r="CB23" s="11">
        <f>CA23+真實IC!CB23</f>
        <v>8.4965007212252104</v>
      </c>
      <c r="CC23" s="11">
        <f>CB23+真實IC!CC23</f>
        <v>8.4119561065094359</v>
      </c>
      <c r="CD23" s="11">
        <f>CC23+真實IC!CD23</f>
        <v>8.6036325615242202</v>
      </c>
      <c r="CE23" s="11">
        <f>CD23+真實IC!CE23</f>
        <v>8.6632348633619376</v>
      </c>
      <c r="CF23" s="11">
        <f>CE23+真實IC!CF23</f>
        <v>8.8203697731531019</v>
      </c>
      <c r="CG23" s="11">
        <f>CF23+真實IC!CG23</f>
        <v>9.0370070147803041</v>
      </c>
      <c r="CH23" s="11">
        <f>CG23+真實IC!CH23</f>
        <v>9.2172034637017326</v>
      </c>
      <c r="CI23" s="11">
        <f>CH23+真實IC!CI23</f>
        <v>9.5271028808298297</v>
      </c>
      <c r="CJ23" s="11">
        <f>CI23+真實IC!CJ23</f>
        <v>9.3705869844119292</v>
      </c>
      <c r="CK23" s="11">
        <f>CJ23+真實IC!CK23</f>
        <v>9.4424433749484731</v>
      </c>
      <c r="CL23" s="11">
        <f>CK23+真實IC!CL23</f>
        <v>9.0337823622810554</v>
      </c>
      <c r="CM23" s="11">
        <f>CL23+真實IC!CM23</f>
        <v>9.2684873348971539</v>
      </c>
      <c r="CN23" s="11">
        <f>CM23+真實IC!CN23</f>
        <v>9.5455915968532228</v>
      </c>
      <c r="CO23" s="11">
        <f>CN23+真實IC!CO23</f>
        <v>9.8117501345803237</v>
      </c>
      <c r="CP23" s="11">
        <f>CO23+真實IC!CP23</f>
        <v>10.12311087774308</v>
      </c>
      <c r="CQ23" s="11">
        <f>CP23+真實IC!CQ23</f>
        <v>10.0984086076637</v>
      </c>
      <c r="CR23" s="11">
        <f>CQ23+真實IC!CR23</f>
        <v>10.249406778137647</v>
      </c>
      <c r="CS23" s="11">
        <f>CR23+真實IC!CS23</f>
        <v>10.31456666243086</v>
      </c>
      <c r="CT23" s="11">
        <f>CS23+真實IC!CT23</f>
        <v>10.379956877810809</v>
      </c>
      <c r="CU23" s="11">
        <f>CT23+真實IC!CU23</f>
        <v>10.582060762797965</v>
      </c>
      <c r="CV23" s="11">
        <f>CU23+真實IC!CV23</f>
        <v>10.735391731069541</v>
      </c>
      <c r="CW23" s="11">
        <f>CV23+真實IC!CW23</f>
        <v>10.711205443280539</v>
      </c>
      <c r="CX23" s="11">
        <f>CW23+真實IC!CX23</f>
        <v>10.622488449184013</v>
      </c>
      <c r="CY23" s="11">
        <f>CX23+真實IC!CY23</f>
        <v>10.776238782855552</v>
      </c>
      <c r="CZ23" s="11">
        <f>CY23+真實IC!CZ23</f>
        <v>10.958237576712904</v>
      </c>
      <c r="DA23" s="11">
        <f>CZ23+真實IC!DA23</f>
        <v>11.022882459161293</v>
      </c>
      <c r="DB23" s="11">
        <f>DA23+真實IC!DB23</f>
        <v>11.041629525604513</v>
      </c>
      <c r="DC23" s="11">
        <f>DB23+真實IC!DC23</f>
        <v>11.160820011674927</v>
      </c>
      <c r="DD23" s="11">
        <f>DC23+真實IC!DD23</f>
        <v>11.25361868635208</v>
      </c>
      <c r="DE23" s="11">
        <f>DD23+真實IC!DE23</f>
        <v>11.19353273884191</v>
      </c>
      <c r="DF23" s="11">
        <f>DE23+真實IC!DF23</f>
        <v>11.60232765940283</v>
      </c>
      <c r="DG23" s="11">
        <f>DF23+真實IC!DG23</f>
        <v>11.669948086809239</v>
      </c>
      <c r="DH23" s="11">
        <f>DG23+真實IC!DH23</f>
        <v>11.809174980321346</v>
      </c>
      <c r="DI23" s="11">
        <f>DH23+真實IC!DI23</f>
        <v>11.905215531192242</v>
      </c>
      <c r="DJ23" s="11">
        <f>DI23+真實IC!DJ23</f>
        <v>12.025248113016161</v>
      </c>
      <c r="DK23" s="11">
        <f>DJ23+真實IC!DK23</f>
        <v>12.116493101756989</v>
      </c>
      <c r="DL23" s="11">
        <f>DK23+真實IC!DL23</f>
        <v>12.142735753861613</v>
      </c>
      <c r="DM23" s="11">
        <f>DL23+真實IC!DM23</f>
        <v>12.096258437872372</v>
      </c>
      <c r="DN23" s="11">
        <f>DM23+真實IC!DN23</f>
        <v>12.102755633916342</v>
      </c>
      <c r="DO23" s="11">
        <f>DN23+真實IC!DO23</f>
        <v>12.226824075904071</v>
      </c>
      <c r="DP23" s="11">
        <f>DO23+真實IC!DP23</f>
        <v>12.403663694388978</v>
      </c>
      <c r="DQ23" s="11">
        <f>DP23+真實IC!DQ23</f>
        <v>12.649609801947765</v>
      </c>
      <c r="DR23" s="11">
        <f>DQ23+真實IC!DR23</f>
        <v>12.559723799216458</v>
      </c>
      <c r="DS23" s="11">
        <f>DR23+真實IC!DS23</f>
        <v>12.443147807549519</v>
      </c>
      <c r="DT23" s="11">
        <f>DS23+真實IC!DT23</f>
        <v>12.420851350479762</v>
      </c>
      <c r="DU23" s="11">
        <f>DT23+真實IC!DU23</f>
        <v>12.476490829188045</v>
      </c>
      <c r="DV23" s="11">
        <f>DU23+真實IC!DV23</f>
        <v>12.752762437517484</v>
      </c>
      <c r="DW23" s="11">
        <f>DV23+真實IC!DW23</f>
        <v>12.775814258272547</v>
      </c>
      <c r="DX23" s="11">
        <f>DW23+真實IC!DX23</f>
        <v>13.089307464651514</v>
      </c>
      <c r="DY23" s="11">
        <f>DX23+真實IC!DY23</f>
        <v>13.035381240113923</v>
      </c>
      <c r="DZ23" s="11">
        <f>DY23+真實IC!DZ23</f>
        <v>12.81820725236148</v>
      </c>
      <c r="EA23" s="11">
        <f>DZ23+真實IC!EA23</f>
        <v>12.724845172892511</v>
      </c>
      <c r="EB23" s="11">
        <f>EA23+真實IC!EB23</f>
        <v>12.969129831016433</v>
      </c>
      <c r="EC23" s="11">
        <f>EB23+真實IC!EC23</f>
        <v>12.93254551469062</v>
      </c>
      <c r="ED23" s="11">
        <f>EC23+真實IC!ED23</f>
        <v>13.023971419310401</v>
      </c>
      <c r="EE23" s="11">
        <f>ED23+真實IC!EE23</f>
        <v>13.093183495295394</v>
      </c>
      <c r="EF23" s="11">
        <f>EE23+真實IC!EF23</f>
        <v>13.186599353209083</v>
      </c>
    </row>
    <row r="24" spans="1:136" x14ac:dyDescent="0.3">
      <c r="A24" s="1">
        <v>964</v>
      </c>
      <c r="B24" s="1">
        <v>1</v>
      </c>
      <c r="C24" s="11">
        <f>IF(預測IC!C24&gt;預測IC!C$26,1,0)</f>
        <v>1</v>
      </c>
      <c r="D24" s="11">
        <f>C24+真實IC!D24</f>
        <v>1.1006099128992286</v>
      </c>
      <c r="E24" s="11">
        <f>D24+真實IC!E24</f>
        <v>1.3851224105897306</v>
      </c>
      <c r="F24" s="11">
        <f>E24+真實IC!F24</f>
        <v>1.1835766917180843</v>
      </c>
      <c r="G24" s="11">
        <f>F24+真實IC!G24</f>
        <v>1.1609543031554668</v>
      </c>
      <c r="H24" s="11">
        <f>G24+真實IC!H24</f>
        <v>1.1968100998104234</v>
      </c>
      <c r="I24" s="11">
        <f>H24+真實IC!I24</f>
        <v>1.19469816660728</v>
      </c>
      <c r="J24" s="11">
        <f>I24+真實IC!J24</f>
        <v>1.094725973697144</v>
      </c>
      <c r="K24" s="11">
        <f>J24+真實IC!K24</f>
        <v>1.1451703096906327</v>
      </c>
      <c r="L24" s="11">
        <f>K24+真實IC!L24</f>
        <v>1.0513706164338823</v>
      </c>
      <c r="M24" s="11">
        <f>L24+真實IC!M24</f>
        <v>0.90455127753437381</v>
      </c>
      <c r="N24" s="11">
        <f>M24+真實IC!N24</f>
        <v>2.6735826466469428</v>
      </c>
      <c r="O24" s="11">
        <f>N24+真實IC!O24</f>
        <v>2.7102314373864864</v>
      </c>
      <c r="P24" s="11">
        <f>O24+真實IC!P24</f>
        <v>2.8144798517954861</v>
      </c>
      <c r="Q24" s="11">
        <f>P24+真實IC!Q24</f>
        <v>2.75351489014878</v>
      </c>
      <c r="R24" s="11">
        <f>Q24+真實IC!R24</f>
        <v>2.5078175193695205</v>
      </c>
      <c r="S24" s="11">
        <f>R24+真實IC!S24</f>
        <v>2.860331980429685</v>
      </c>
      <c r="T24" s="11">
        <f>S24+真實IC!T24</f>
        <v>2.5898452657556676</v>
      </c>
      <c r="U24" s="11">
        <f>T24+真實IC!U24</f>
        <v>2.7383639399795858</v>
      </c>
      <c r="V24" s="11">
        <f>U24+真實IC!V24</f>
        <v>2.6712246371419575</v>
      </c>
      <c r="W24" s="11">
        <f>V24+真實IC!W24</f>
        <v>2.5066601195550775</v>
      </c>
      <c r="X24" s="11">
        <f>W24+真實IC!X24</f>
        <v>2.4705022231938254</v>
      </c>
      <c r="Y24" s="11">
        <f>X24+真實IC!Y24</f>
        <v>2.4610252082674084</v>
      </c>
      <c r="Z24" s="11">
        <f>Y24+真實IC!Z24</f>
        <v>2.5668675355462156</v>
      </c>
      <c r="AA24" s="11">
        <f>Z24+真實IC!AA24</f>
        <v>2.7854121152373703</v>
      </c>
      <c r="AB24" s="11">
        <f>AA24+真實IC!AB24</f>
        <v>2.9807517379126143</v>
      </c>
      <c r="AC24" s="11">
        <f>AB24+真實IC!AC24</f>
        <v>3.3824990717595691</v>
      </c>
      <c r="AD24" s="11">
        <f>AC24+真實IC!AD24</f>
        <v>3.4836743710162921</v>
      </c>
      <c r="AE24" s="11">
        <f>AD24+真實IC!AE24</f>
        <v>3.6768161607280501</v>
      </c>
      <c r="AF24" s="11">
        <f>AE24+真實IC!AF24</f>
        <v>4.1722055735322119</v>
      </c>
      <c r="AG24" s="11">
        <f>AF24+真實IC!AG24</f>
        <v>4.3109412911588496</v>
      </c>
      <c r="AH24" s="11">
        <f>AG24+真實IC!AH24</f>
        <v>4.25424393109106</v>
      </c>
      <c r="AI24" s="11">
        <f>AH24+真實IC!AI24</f>
        <v>4.5646581663204024</v>
      </c>
      <c r="AJ24" s="11">
        <f>AI24+真實IC!AJ24</f>
        <v>4.4837669223210268</v>
      </c>
      <c r="AK24" s="11">
        <f>AJ24+真實IC!AK24</f>
        <v>4.5686508753892188</v>
      </c>
      <c r="AL24" s="11">
        <f>AK24+真實IC!AL24</f>
        <v>4.6558245768658537</v>
      </c>
      <c r="AM24" s="11">
        <f>AL24+真實IC!AM24</f>
        <v>4.6369052954453274</v>
      </c>
      <c r="AN24" s="11">
        <f>AM24+真實IC!AN24</f>
        <v>4.8580947605907587</v>
      </c>
      <c r="AO24" s="11">
        <f>AN24+真實IC!AO24</f>
        <v>4.9610004631685483</v>
      </c>
      <c r="AP24" s="11">
        <f>AO24+真實IC!AP24</f>
        <v>4.9838521786576448</v>
      </c>
      <c r="AQ24" s="11">
        <f>AP24+真實IC!AQ24</f>
        <v>5.2009793817857091</v>
      </c>
      <c r="AR24" s="11">
        <f>AQ24+真實IC!AR24</f>
        <v>5.3718127879565349</v>
      </c>
      <c r="AS24" s="11">
        <f>AR24+真實IC!AS24</f>
        <v>5.3750995616631574</v>
      </c>
      <c r="AT24" s="11">
        <f>AS24+真實IC!AT24</f>
        <v>5.5258685415888378</v>
      </c>
      <c r="AU24" s="11">
        <f>AT24+真實IC!AU24</f>
        <v>6.0029227288312397</v>
      </c>
      <c r="AV24" s="11">
        <f>AU24+真實IC!AV24</f>
        <v>6.2506073890615674</v>
      </c>
      <c r="AW24" s="11">
        <f>AV24+真實IC!AW24</f>
        <v>6.1018964325301273</v>
      </c>
      <c r="AX24" s="11">
        <f>AW24+真實IC!AX24</f>
        <v>6.2133877694463431</v>
      </c>
      <c r="AY24" s="11">
        <f>AX24+真實IC!AY24</f>
        <v>6.3815150633312321</v>
      </c>
      <c r="AZ24" s="11">
        <f>AY24+真實IC!AZ24</f>
        <v>6.5001387884024089</v>
      </c>
      <c r="BA24" s="11">
        <f>AZ24+真實IC!BA24</f>
        <v>6.5506300938144211</v>
      </c>
      <c r="BB24" s="11">
        <f>BA24+真實IC!BB24</f>
        <v>7.4233332429209113</v>
      </c>
      <c r="BC24" s="11">
        <f>BB24+真實IC!BC24</f>
        <v>7.4189663733065281</v>
      </c>
      <c r="BD24" s="11">
        <f>BC24+真實IC!BD24</f>
        <v>7.4375974073933921</v>
      </c>
      <c r="BE24" s="11">
        <f>BD24+真實IC!BE24</f>
        <v>7.3802168694083123</v>
      </c>
      <c r="BF24" s="11">
        <f>BE24+真實IC!BF24</f>
        <v>7.3158464484588492</v>
      </c>
      <c r="BG24" s="11">
        <f>BF24+真實IC!BG24</f>
        <v>7.2248622207514135</v>
      </c>
      <c r="BH24" s="11">
        <f>BG24+真實IC!BH24</f>
        <v>7.3725357860031329</v>
      </c>
      <c r="BI24" s="11">
        <f>BH24+真實IC!BI24</f>
        <v>7.5961648920731797</v>
      </c>
      <c r="BJ24" s="11">
        <f>BI24+真實IC!BJ24</f>
        <v>7.7958049252436306</v>
      </c>
      <c r="BK24" s="11">
        <f>BJ24+真實IC!BK24</f>
        <v>7.7609772780708566</v>
      </c>
      <c r="BL24" s="11">
        <f>BK24+真實IC!BL24</f>
        <v>7.867084198222023</v>
      </c>
      <c r="BM24" s="11">
        <f>BL24+真實IC!BM24</f>
        <v>7.9518671380610115</v>
      </c>
      <c r="BN24" s="11">
        <f>BM24+真實IC!BN24</f>
        <v>8.0607803983775597</v>
      </c>
      <c r="BO24" s="11">
        <f>BN24+真實IC!BO24</f>
        <v>7.8996707072819179</v>
      </c>
      <c r="BP24" s="11">
        <f>BO24+真實IC!BP24</f>
        <v>7.9314648116118081</v>
      </c>
      <c r="BQ24" s="11">
        <f>BP24+真實IC!BQ24</f>
        <v>7.8672951782816929</v>
      </c>
      <c r="BR24" s="11">
        <f>BQ24+真實IC!BR24</f>
        <v>7.9662160674669344</v>
      </c>
      <c r="BS24" s="11">
        <f>BR24+真實IC!BS24</f>
        <v>7.8445950309373282</v>
      </c>
      <c r="BT24" s="11">
        <f>BS24+真實IC!BT24</f>
        <v>8.1213140470775365</v>
      </c>
      <c r="BU24" s="11">
        <f>BT24+真實IC!BU24</f>
        <v>8.130062539392382</v>
      </c>
      <c r="BV24" s="11">
        <f>BU24+真實IC!BV24</f>
        <v>8.0838038336517197</v>
      </c>
      <c r="BW24" s="11">
        <f>BV24+真實IC!BW24</f>
        <v>8.2348312790741396</v>
      </c>
      <c r="BX24" s="11">
        <f>BW24+真實IC!BX24</f>
        <v>8.130876245025048</v>
      </c>
      <c r="BY24" s="11">
        <f>BX24+真實IC!BY24</f>
        <v>8.2492844760753492</v>
      </c>
      <c r="BZ24" s="11">
        <f>BY24+真實IC!BZ24</f>
        <v>8.5081773749253458</v>
      </c>
      <c r="CA24" s="11">
        <f>BZ24+真實IC!CA24</f>
        <v>8.6233990556987603</v>
      </c>
      <c r="CB24" s="11">
        <f>CA24+真實IC!CB24</f>
        <v>9.2630971893332745</v>
      </c>
      <c r="CC24" s="11">
        <f>CB24+真實IC!CC24</f>
        <v>9.0806273094457133</v>
      </c>
      <c r="CD24" s="11">
        <f>CC24+真實IC!CD24</f>
        <v>9.2249336201879082</v>
      </c>
      <c r="CE24" s="11">
        <f>CD24+真實IC!CE24</f>
        <v>9.3904984941790222</v>
      </c>
      <c r="CF24" s="11">
        <f>CE24+真實IC!CF24</f>
        <v>9.6122198564244101</v>
      </c>
      <c r="CG24" s="11">
        <f>CF24+真實IC!CG24</f>
        <v>10.132188822498332</v>
      </c>
      <c r="CH24" s="11">
        <f>CG24+真實IC!CH24</f>
        <v>10.486466119340834</v>
      </c>
      <c r="CI24" s="11">
        <f>CH24+真實IC!CI24</f>
        <v>10.158014298631569</v>
      </c>
      <c r="CJ24" s="11">
        <f>CI24+真實IC!CJ24</f>
        <v>9.8578274050413128</v>
      </c>
      <c r="CK24" s="11">
        <f>CJ24+真實IC!CK24</f>
        <v>10.180886670369697</v>
      </c>
      <c r="CL24" s="11">
        <f>CK24+真實IC!CL24</f>
        <v>10.322642003742237</v>
      </c>
      <c r="CM24" s="11">
        <f>CL24+真實IC!CM24</f>
        <v>10.959075268101747</v>
      </c>
      <c r="CN24" s="11">
        <f>CM24+真實IC!CN24</f>
        <v>11.568752465368821</v>
      </c>
      <c r="CO24" s="11">
        <f>CN24+真實IC!CO24</f>
        <v>12.021229907159274</v>
      </c>
      <c r="CP24" s="11">
        <f>CO24+真實IC!CP24</f>
        <v>12.181574111974117</v>
      </c>
      <c r="CQ24" s="11">
        <f>CP24+真實IC!CQ24</f>
        <v>12.021384465346616</v>
      </c>
      <c r="CR24" s="11">
        <f>CQ24+真實IC!CR24</f>
        <v>12.159171921395318</v>
      </c>
      <c r="CS24" s="11">
        <f>CR24+真實IC!CS24</f>
        <v>12.267146157334345</v>
      </c>
      <c r="CT24" s="11">
        <f>CS24+真實IC!CT24</f>
        <v>12.147601768998506</v>
      </c>
      <c r="CU24" s="11">
        <f>CT24+真實IC!CU24</f>
        <v>12.20033081381216</v>
      </c>
      <c r="CV24" s="11">
        <f>CU24+真實IC!CV24</f>
        <v>12.383194908719384</v>
      </c>
      <c r="CW24" s="11">
        <f>CV24+真實IC!CW24</f>
        <v>12.148201693446538</v>
      </c>
      <c r="CX24" s="11">
        <f>CW24+真實IC!CX24</f>
        <v>12.203408887155225</v>
      </c>
      <c r="CY24" s="11">
        <f>CX24+真實IC!CY24</f>
        <v>12.524556639361967</v>
      </c>
      <c r="CZ24" s="11">
        <f>CY24+真實IC!CZ24</f>
        <v>12.636763267806534</v>
      </c>
      <c r="DA24" s="11">
        <f>CZ24+真實IC!DA24</f>
        <v>12.670742852898988</v>
      </c>
      <c r="DB24" s="11">
        <f>DA24+真實IC!DB24</f>
        <v>12.654240987049992</v>
      </c>
      <c r="DC24" s="11">
        <f>DB24+真實IC!DC24</f>
        <v>12.845416745220527</v>
      </c>
      <c r="DD24" s="11">
        <f>DC24+真實IC!DD24</f>
        <v>12.649572023038086</v>
      </c>
      <c r="DE24" s="11">
        <f>DD24+真實IC!DE24</f>
        <v>12.781157614333619</v>
      </c>
      <c r="DF24" s="11">
        <f>DE24+真實IC!DF24</f>
        <v>13.306742620478117</v>
      </c>
      <c r="DG24" s="11">
        <f>DF24+真實IC!DG24</f>
        <v>13.426287906878249</v>
      </c>
      <c r="DH24" s="11">
        <f>DG24+真實IC!DH24</f>
        <v>13.692090582870762</v>
      </c>
      <c r="DI24" s="11">
        <f>DH24+真實IC!DI24</f>
        <v>13.729275491145142</v>
      </c>
      <c r="DJ24" s="11">
        <f>DI24+真實IC!DJ24</f>
        <v>13.958645365676231</v>
      </c>
      <c r="DK24" s="11">
        <f>DJ24+真實IC!DK24</f>
        <v>14.078325546884422</v>
      </c>
      <c r="DL24" s="11">
        <f>DK24+真實IC!DL24</f>
        <v>14.139686060099839</v>
      </c>
      <c r="DM24" s="11">
        <f>DL24+真實IC!DM24</f>
        <v>14.139272614854772</v>
      </c>
      <c r="DN24" s="11">
        <f>DM24+真實IC!DN24</f>
        <v>14.372607185629468</v>
      </c>
      <c r="DO24" s="11">
        <f>DN24+真實IC!DO24</f>
        <v>14.488219140652948</v>
      </c>
      <c r="DP24" s="11">
        <f>DO24+真實IC!DP24</f>
        <v>14.711790964136645</v>
      </c>
      <c r="DQ24" s="11">
        <f>DP24+真實IC!DQ24</f>
        <v>15.070862266233293</v>
      </c>
      <c r="DR24" s="11">
        <f>DQ24+真實IC!DR24</f>
        <v>15.050346636021263</v>
      </c>
      <c r="DS24" s="11">
        <f>DR24+真實IC!DS24</f>
        <v>14.982984090307319</v>
      </c>
      <c r="DT24" s="11">
        <f>DS24+真實IC!DT24</f>
        <v>14.953548363918456</v>
      </c>
      <c r="DU24" s="11">
        <f>DT24+真實IC!DU24</f>
        <v>14.931766968557225</v>
      </c>
      <c r="DV24" s="11">
        <f>DU24+真實IC!DV24</f>
        <v>15.089991667201039</v>
      </c>
      <c r="DW24" s="11">
        <f>DV24+真實IC!DW24</f>
        <v>15.191174163856283</v>
      </c>
      <c r="DX24" s="11">
        <f>DW24+真實IC!DX24</f>
        <v>15.502767291648787</v>
      </c>
      <c r="DY24" s="11">
        <f>DX24+真實IC!DY24</f>
        <v>15.499527415040244</v>
      </c>
      <c r="DZ24" s="11">
        <f>DY24+真實IC!DZ24</f>
        <v>15.066020836303553</v>
      </c>
      <c r="EA24" s="11">
        <f>DZ24+真實IC!EA24</f>
        <v>15.042849334456879</v>
      </c>
      <c r="EB24" s="11">
        <f>EA24+真實IC!EB24</f>
        <v>15.63254725145597</v>
      </c>
      <c r="EC24" s="11">
        <f>EB24+真實IC!EC24</f>
        <v>15.618237332685291</v>
      </c>
      <c r="ED24" s="11">
        <f>EC24+真實IC!ED24</f>
        <v>15.674410177983654</v>
      </c>
      <c r="EE24" s="11">
        <f>ED24+真實IC!EE24</f>
        <v>15.781890835218073</v>
      </c>
      <c r="EF24" s="11">
        <f>EE24+真實IC!EF24</f>
        <v>15.915977911568287</v>
      </c>
    </row>
    <row r="25" spans="1:136" s="13" customFormat="1" x14ac:dyDescent="0.3">
      <c r="A25" s="16" t="s">
        <v>147</v>
      </c>
      <c r="B25" s="16" t="s">
        <v>148</v>
      </c>
      <c r="C25" s="17">
        <v>-1.7446770539390338E-2</v>
      </c>
      <c r="D25" s="18">
        <f>C25+預測IC!D25</f>
        <v>3.2542899924252917E-3</v>
      </c>
      <c r="E25" s="18">
        <f>D25+預測IC!E25</f>
        <v>2.7236419247192001E-2</v>
      </c>
      <c r="F25" s="18">
        <f>E25+預測IC!F25</f>
        <v>2.0678840274368924E-2</v>
      </c>
      <c r="G25" s="18">
        <f>F25+預測IC!G25</f>
        <v>5.2523970074888612E-2</v>
      </c>
      <c r="H25" s="18">
        <f>G25+預測IC!H25</f>
        <v>8.6872502811879138E-2</v>
      </c>
      <c r="I25" s="18">
        <f>H25+預測IC!I25</f>
        <v>7.8617570030553904E-2</v>
      </c>
      <c r="J25" s="18">
        <f>I25+預測IC!J25</f>
        <v>9.1461094424606662E-2</v>
      </c>
      <c r="K25" s="18">
        <f>J25+預測IC!K25</f>
        <v>4.0442569797815839E-2</v>
      </c>
      <c r="L25" s="18">
        <f>K25+預測IC!L25</f>
        <v>4.1316512538852428E-2</v>
      </c>
      <c r="M25" s="18">
        <f>L25+預測IC!M25</f>
        <v>6.4706088044348353E-2</v>
      </c>
      <c r="N25" s="18">
        <f>M25+預測IC!N25</f>
        <v>7.7695060244681202E-2</v>
      </c>
      <c r="O25" s="18">
        <f>N25+預測IC!O25</f>
        <v>8.3549648970316082E-2</v>
      </c>
      <c r="P25" s="18">
        <f>O25+預測IC!P25</f>
        <v>0.11096285554210664</v>
      </c>
      <c r="Q25" s="18">
        <f>P25+預測IC!Q25</f>
        <v>0.10724991942441378</v>
      </c>
      <c r="R25" s="18">
        <f>Q25+預測IC!R25</f>
        <v>0.13132653347223711</v>
      </c>
      <c r="S25" s="18">
        <f>R25+預測IC!S25</f>
        <v>0.11913650817319715</v>
      </c>
      <c r="T25" s="18">
        <f>S25+預測IC!T25</f>
        <v>7.9386930013607554E-2</v>
      </c>
      <c r="U25" s="18">
        <f>T25+預測IC!U25</f>
        <v>6.2314801819580018E-3</v>
      </c>
      <c r="V25" s="18">
        <f>U25+預測IC!V25</f>
        <v>-5.2028749728156659E-2</v>
      </c>
      <c r="W25" s="18">
        <f>V25+預測IC!W25</f>
        <v>-5.1255952162648284E-2</v>
      </c>
      <c r="X25" s="18">
        <f>W25+預測IC!X25</f>
        <v>-6.6644310274293142E-3</v>
      </c>
      <c r="Y25" s="18">
        <f>X25+預測IC!Y25</f>
        <v>-3.4364111077642409E-2</v>
      </c>
      <c r="Z25" s="18">
        <f>Y25+預測IC!Z25</f>
        <v>-3.226910512789876E-2</v>
      </c>
      <c r="AA25" s="18">
        <f>Z25+預測IC!AA25</f>
        <v>-5.5669656120462874E-2</v>
      </c>
      <c r="AB25" s="18">
        <f>AA25+預測IC!AB25</f>
        <v>-2.3540285023140685E-2</v>
      </c>
      <c r="AC25" s="18">
        <f>AB25+預測IC!AC25</f>
        <v>1.5362988070925745E-2</v>
      </c>
      <c r="AD25" s="18">
        <f>AC25+預測IC!AD25</f>
        <v>-2.7502394100178525E-2</v>
      </c>
      <c r="AE25" s="18">
        <f>AD25+預測IC!AE25</f>
        <v>-8.8551995500263658E-3</v>
      </c>
      <c r="AF25" s="18">
        <f>AE25+預測IC!AF25</f>
        <v>6.3745687725025833E-3</v>
      </c>
      <c r="AG25" s="18">
        <f>AF25+預測IC!AG25</f>
        <v>4.2391172551395004E-2</v>
      </c>
      <c r="AH25" s="18">
        <f>AG25+預測IC!AH25</f>
        <v>5.174578393671117E-2</v>
      </c>
      <c r="AI25" s="18">
        <f>AH25+預測IC!AI25</f>
        <v>6.2494035273549312E-2</v>
      </c>
      <c r="AJ25" s="18">
        <f>AI25+預測IC!AJ25</f>
        <v>7.5851789326630281E-2</v>
      </c>
      <c r="AK25" s="18">
        <f>AJ25+預測IC!AK25</f>
        <v>7.0519041997534893E-2</v>
      </c>
      <c r="AL25" s="18">
        <f>AK25+預測IC!AL25</f>
        <v>7.1902177804796574E-2</v>
      </c>
      <c r="AM25" s="18">
        <f>AL25+預測IC!AM25</f>
        <v>9.2698106224871041E-2</v>
      </c>
      <c r="AN25" s="18">
        <f>AM25+預測IC!AN25</f>
        <v>0.12421580844526167</v>
      </c>
      <c r="AO25" s="18">
        <f>AN25+預測IC!AO25</f>
        <v>0.13045752497859112</v>
      </c>
      <c r="AP25" s="18">
        <f>AO25+預測IC!AP25</f>
        <v>0.13660278663216249</v>
      </c>
      <c r="AQ25" s="18">
        <f>AP25+預測IC!AQ25</f>
        <v>0.15354914430885899</v>
      </c>
      <c r="AR25" s="18">
        <f>AQ25+預測IC!AR25</f>
        <v>0.18823197476316722</v>
      </c>
      <c r="AS25" s="18">
        <f>AR25+預測IC!AS25</f>
        <v>0.19133056338036419</v>
      </c>
      <c r="AT25" s="18">
        <f>AS25+預測IC!AT25</f>
        <v>0.2064119105238503</v>
      </c>
      <c r="AU25" s="18">
        <f>AT25+預測IC!AU25</f>
        <v>0.18716070129398632</v>
      </c>
      <c r="AV25" s="18">
        <f>AU25+預測IC!AV25</f>
        <v>0.22587221468161775</v>
      </c>
      <c r="AW25" s="18">
        <f>AV25+預測IC!AW25</f>
        <v>0.20401526354588115</v>
      </c>
      <c r="AX25" s="18">
        <f>AW25+預測IC!AX25</f>
        <v>0.21178956425567083</v>
      </c>
      <c r="AY25" s="18">
        <f>AX25+預測IC!AY25</f>
        <v>0.25418681095099677</v>
      </c>
      <c r="AZ25" s="18">
        <f>AY25+預測IC!AZ25</f>
        <v>0.22787783608983703</v>
      </c>
      <c r="BA25" s="18">
        <f>AZ25+預測IC!BA25</f>
        <v>0.23744958539855326</v>
      </c>
      <c r="BB25" s="18">
        <f>BA25+預測IC!BB25</f>
        <v>0.21319984413227844</v>
      </c>
      <c r="BC25" s="18">
        <f>BB25+預測IC!BC25</f>
        <v>0.23336321827619427</v>
      </c>
      <c r="BD25" s="18">
        <f>BC25+預測IC!BD25</f>
        <v>0.22985821949407825</v>
      </c>
      <c r="BE25" s="18">
        <f>BD25+預測IC!BE25</f>
        <v>0.25001015459262055</v>
      </c>
      <c r="BF25" s="18">
        <f>BE25+預測IC!BF25</f>
        <v>0.25059149082339083</v>
      </c>
      <c r="BG25" s="18">
        <f>BF25+預測IC!BG25</f>
        <v>0.24537178987013822</v>
      </c>
      <c r="BH25" s="18">
        <f>BG25+預測IC!BH25</f>
        <v>0.12950002846800823</v>
      </c>
      <c r="BI25" s="18">
        <f>BH25+預測IC!BI25</f>
        <v>0.13822525416044559</v>
      </c>
      <c r="BJ25" s="18">
        <f>BI25+預測IC!BJ25</f>
        <v>0.12184799318262345</v>
      </c>
      <c r="BK25" s="18">
        <f>BJ25+預測IC!BK25</f>
        <v>0.14268836478288388</v>
      </c>
      <c r="BL25" s="18">
        <f>BK25+預測IC!BL25</f>
        <v>0.18766423688499859</v>
      </c>
      <c r="BM25" s="18">
        <f>BL25+預測IC!BM25</f>
        <v>0.21161854296686244</v>
      </c>
      <c r="BN25" s="18">
        <f>BM25+預測IC!BN25</f>
        <v>0.24185764435830504</v>
      </c>
      <c r="BO25" s="18">
        <f>BN25+預測IC!BO25</f>
        <v>0.19813175676721753</v>
      </c>
      <c r="BP25" s="18">
        <f>BO25+預測IC!BP25</f>
        <v>0.22002122633541615</v>
      </c>
      <c r="BQ25" s="18">
        <f>BP25+預測IC!BQ25</f>
        <v>0.22864865659892455</v>
      </c>
      <c r="BR25" s="18">
        <f>BQ25+預測IC!BR25</f>
        <v>0.20945570260426577</v>
      </c>
      <c r="BS25" s="18">
        <f>BR25+預測IC!BS25</f>
        <v>0.22919083249239883</v>
      </c>
      <c r="BT25" s="18">
        <f>BS25+預測IC!BT25</f>
        <v>0.27688516997609824</v>
      </c>
      <c r="BU25" s="18">
        <f>BT25+預測IC!BU25</f>
        <v>0.28833998678268163</v>
      </c>
      <c r="BV25" s="18">
        <f>BU25+預測IC!BV25</f>
        <v>0.33156860751789485</v>
      </c>
      <c r="BW25" s="18">
        <f>BV25+預測IC!BW25</f>
        <v>0.28882117708097205</v>
      </c>
      <c r="BX25" s="18">
        <f>BW25+預測IC!BX25</f>
        <v>0.27100988465317749</v>
      </c>
      <c r="BY25" s="18">
        <f>BX25+預測IC!BY25</f>
        <v>0.11985678778410189</v>
      </c>
      <c r="BZ25" s="18">
        <f>BY25+預測IC!BZ25</f>
        <v>0.24408079140367717</v>
      </c>
      <c r="CA25" s="18">
        <f>BZ25+預測IC!CA25</f>
        <v>0.23952353755914751</v>
      </c>
      <c r="CB25" s="18">
        <f>CA25+預測IC!CB25</f>
        <v>0.29973477776405871</v>
      </c>
      <c r="CC25" s="18">
        <f>CB25+預測IC!CC25</f>
        <v>0.385726811246561</v>
      </c>
      <c r="CD25" s="18">
        <f>CC25+預測IC!CD25</f>
        <v>0.37991833166419492</v>
      </c>
      <c r="CE25" s="18">
        <f>CD25+預測IC!CE25</f>
        <v>0.37387698467522684</v>
      </c>
      <c r="CF25" s="18">
        <f>CE25+預測IC!CF25</f>
        <v>0.37632930904747891</v>
      </c>
      <c r="CG25" s="18">
        <f>CF25+預測IC!CG25</f>
        <v>0.46596556098450181</v>
      </c>
      <c r="CH25" s="18">
        <f>CG25+預測IC!CH25</f>
        <v>0.53695829351125968</v>
      </c>
      <c r="CI25" s="18">
        <f>CH25+預測IC!CI25</f>
        <v>0.56412893641304307</v>
      </c>
      <c r="CJ25" s="18">
        <f>CI25+預測IC!CJ25</f>
        <v>0.61659736483837313</v>
      </c>
      <c r="CK25" s="18">
        <f>CJ25+預測IC!CK25</f>
        <v>0.64607802578142259</v>
      </c>
      <c r="CL25" s="18">
        <f>CK25+預測IC!CL25</f>
        <v>0.71290310684162383</v>
      </c>
      <c r="CM25" s="18">
        <f>CL25+預測IC!CM25</f>
        <v>0.68413087782180682</v>
      </c>
      <c r="CN25" s="18">
        <f>CM25+預測IC!CN25</f>
        <v>0.72359339372344467</v>
      </c>
      <c r="CO25" s="18">
        <f>CN25+預測IC!CO25</f>
        <v>0.69456230674608477</v>
      </c>
      <c r="CP25" s="18">
        <f>CO25+預測IC!CP25</f>
        <v>0.70854618926555268</v>
      </c>
      <c r="CQ25" s="18">
        <f>CP25+預測IC!CQ25</f>
        <v>0.67626922430621883</v>
      </c>
      <c r="CR25" s="18">
        <f>CQ25+預測IC!CR25</f>
        <v>0.6793728009191129</v>
      </c>
      <c r="CS25" s="18">
        <f>CR25+預測IC!CS25</f>
        <v>0.70496465668619601</v>
      </c>
      <c r="CT25" s="18">
        <f>CS25+預測IC!CT25</f>
        <v>0.74935654297338927</v>
      </c>
      <c r="CU25" s="18">
        <f>CT25+預測IC!CU25</f>
        <v>0.71901758442381181</v>
      </c>
      <c r="CV25" s="18">
        <f>CU25+預測IC!CV25</f>
        <v>0.7177596079692401</v>
      </c>
      <c r="CW25" s="18">
        <f>CV25+預測IC!CW25</f>
        <v>0.72009596442509805</v>
      </c>
      <c r="CX25" s="18">
        <f>CW25+預測IC!CX25</f>
        <v>0.655831819499192</v>
      </c>
      <c r="CY25" s="18">
        <f>CX25+預測IC!CY25</f>
        <v>0.66874159895818441</v>
      </c>
      <c r="CZ25" s="18">
        <f>CY25+預測IC!CZ25</f>
        <v>0.54326450428732564</v>
      </c>
      <c r="DA25" s="18">
        <f>CZ25+預測IC!DA25</f>
        <v>0.55495518722711823</v>
      </c>
      <c r="DB25" s="18">
        <f>DA25+預測IC!DB25</f>
        <v>0.56129303092785998</v>
      </c>
      <c r="DC25" s="18">
        <f>DB25+預測IC!DC25</f>
        <v>0.44398767445847448</v>
      </c>
      <c r="DD25" s="18">
        <f>DC25+預測IC!DD25</f>
        <v>0.40797680240902789</v>
      </c>
      <c r="DE25" s="18">
        <f>DD25+預測IC!DE25</f>
        <v>0.54688810648129582</v>
      </c>
      <c r="DF25" s="18">
        <f>DE25+預測IC!DF25</f>
        <v>0.49574460025519007</v>
      </c>
      <c r="DG25" s="18">
        <f>DF25+預測IC!DG25</f>
        <v>0.57247604743715907</v>
      </c>
      <c r="DH25" s="18">
        <f>DG25+預測IC!DH25</f>
        <v>0.58798482963416721</v>
      </c>
      <c r="DI25" s="18">
        <f>DH25+預測IC!DI25</f>
        <v>0.61120860330892302</v>
      </c>
      <c r="DJ25" s="18">
        <f>DI25+預測IC!DJ25</f>
        <v>0.59283572694769515</v>
      </c>
      <c r="DK25" s="18">
        <f>DJ25+預測IC!DK25</f>
        <v>0.65503474103279458</v>
      </c>
      <c r="DL25" s="18">
        <f>DK25+預測IC!DL25</f>
        <v>0.67513304551975173</v>
      </c>
      <c r="DM25" s="18">
        <f>DL25+預測IC!DM25</f>
        <v>0.68863198526781977</v>
      </c>
      <c r="DN25" s="18">
        <f>DM25+預測IC!DN25</f>
        <v>0.65837977253939894</v>
      </c>
      <c r="DO25" s="18">
        <f>DN25+預測IC!DO25</f>
        <v>0.64135693683134509</v>
      </c>
      <c r="DP25" s="18">
        <f>DO25+預測IC!DP25</f>
        <v>0.61956841355888315</v>
      </c>
      <c r="DQ25" s="18">
        <f>DP25+預測IC!DQ25</f>
        <v>0.70531403814402038</v>
      </c>
      <c r="DR25" s="18">
        <f>DQ25+預測IC!DR25</f>
        <v>0.73342078174899417</v>
      </c>
      <c r="DS25" s="18">
        <f>DR25+預測IC!DS25</f>
        <v>0.73111762194163477</v>
      </c>
      <c r="DT25" s="18">
        <f>DS25+預測IC!DT25</f>
        <v>0.78958882007312226</v>
      </c>
      <c r="DU25" s="18">
        <f>DT25+預測IC!DU25</f>
        <v>0.85724776912176992</v>
      </c>
      <c r="DV25" s="18">
        <f>DU25+預測IC!DV25</f>
        <v>0.86226853976220219</v>
      </c>
      <c r="DW25" s="18">
        <f>DV25+預測IC!DW25</f>
        <v>0.89968472343740924</v>
      </c>
      <c r="DX25" s="18">
        <f>DW25+預測IC!DX25</f>
        <v>0.98379572718345132</v>
      </c>
      <c r="DY25" s="18">
        <f>DX25+預測IC!DY25</f>
        <v>0.94696332863943844</v>
      </c>
      <c r="DZ25" s="18">
        <f>DY25+預測IC!DZ25</f>
        <v>0.95005503145637549</v>
      </c>
      <c r="EA25" s="18">
        <f>DZ25+預測IC!EA25</f>
        <v>0.94809740324208092</v>
      </c>
      <c r="EB25" s="18">
        <f>EA25+預測IC!EB25</f>
        <v>0.97455650684560069</v>
      </c>
      <c r="EC25" s="18">
        <f>EB25+預測IC!EC25</f>
        <v>0.94980396808491041</v>
      </c>
      <c r="ED25" s="18">
        <f>EC25+預測IC!ED25</f>
        <v>0.98391945906747036</v>
      </c>
      <c r="EE25" s="18">
        <f>ED25+預測IC!EE25</f>
        <v>1.0049814330565034</v>
      </c>
      <c r="EF25" s="18">
        <f>EE25+預測IC!EF25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G25"/>
  <sheetViews>
    <sheetView topLeftCell="CB17" zoomScale="45" workbookViewId="0">
      <selection activeCell="DN58" sqref="DN58"/>
    </sheetView>
  </sheetViews>
  <sheetFormatPr defaultRowHeight="15" x14ac:dyDescent="0.3"/>
  <cols>
    <col min="1" max="136" width="9" customWidth="1"/>
    <col min="137" max="137" width="10" bestFit="1" customWidth="1"/>
    <col min="138" max="138" width="9" customWidth="1"/>
  </cols>
  <sheetData>
    <row r="1" spans="1:137" x14ac:dyDescent="0.3">
      <c r="A1" t="s">
        <v>149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144</v>
      </c>
    </row>
    <row r="3" spans="1:137" x14ac:dyDescent="0.3">
      <c r="B3" s="1" t="s">
        <v>136</v>
      </c>
      <c r="C3" s="7">
        <v>7.8798868708971931E-2</v>
      </c>
      <c r="D3" s="7">
        <v>0.1797330866000155</v>
      </c>
      <c r="E3" s="7">
        <v>1.5489078774061971E-2</v>
      </c>
      <c r="F3" s="7">
        <v>-2.2168251176828441E-2</v>
      </c>
      <c r="G3" s="7">
        <v>-8.1037288150826448E-3</v>
      </c>
      <c r="H3" s="7">
        <v>-1.5401268795349249E-2</v>
      </c>
      <c r="I3" s="7">
        <v>-0.196765586355543</v>
      </c>
      <c r="J3" s="7">
        <v>0.27883034253821021</v>
      </c>
      <c r="K3" s="7">
        <v>-5.6931615083873344E-3</v>
      </c>
      <c r="L3" s="7">
        <v>-4.7889749224815682E-2</v>
      </c>
      <c r="M3" s="7">
        <v>-5.2700847804917073E-3</v>
      </c>
      <c r="N3" s="7">
        <v>-0.1910696506679144</v>
      </c>
      <c r="O3" s="7">
        <v>0.31084678168383018</v>
      </c>
      <c r="P3" s="7">
        <v>0.113770913143069</v>
      </c>
      <c r="Q3" s="7">
        <v>-0.12307050339382571</v>
      </c>
      <c r="R3" s="7">
        <v>-0.1125584938483795</v>
      </c>
      <c r="S3" s="7">
        <v>0.1046658927019708</v>
      </c>
      <c r="T3" s="7">
        <v>-0.14458476697667119</v>
      </c>
      <c r="U3" s="7">
        <v>-0.26280780822848671</v>
      </c>
      <c r="V3" s="7">
        <v>3.0188655456815931E-3</v>
      </c>
      <c r="W3" s="7">
        <v>0.13196040423464189</v>
      </c>
      <c r="X3" s="7">
        <v>-8.9415173838412076E-2</v>
      </c>
      <c r="Y3" s="7">
        <v>0.27906324575998881</v>
      </c>
      <c r="Z3" s="7">
        <v>0.1030897419422631</v>
      </c>
      <c r="AA3" s="7">
        <v>0.48637748963693123</v>
      </c>
      <c r="AB3" s="7">
        <v>-0.23481983175156351</v>
      </c>
      <c r="AC3" s="7">
        <v>1.209651139005685E-2</v>
      </c>
      <c r="AD3" s="7">
        <v>2.4631762383159009E-2</v>
      </c>
      <c r="AE3" s="7">
        <v>-5.6680955135345323E-3</v>
      </c>
      <c r="AF3" s="7">
        <v>-5.6269213313917182E-2</v>
      </c>
      <c r="AG3" s="7">
        <v>0.1224049331936681</v>
      </c>
      <c r="AH3" s="7">
        <v>4.3996774628333513E-2</v>
      </c>
      <c r="AI3" s="7">
        <v>0.16226838670026769</v>
      </c>
      <c r="AJ3" s="7">
        <v>6.8930166950288974E-2</v>
      </c>
      <c r="AK3" s="7">
        <v>8.7359955926435195E-2</v>
      </c>
      <c r="AL3" s="7">
        <v>0.1873807232887153</v>
      </c>
      <c r="AM3" s="7">
        <v>9.6837349683265961E-2</v>
      </c>
      <c r="AN3" s="7">
        <v>0.2075736584826228</v>
      </c>
      <c r="AO3" s="7">
        <v>0.1179758622033649</v>
      </c>
      <c r="AP3" s="7">
        <v>-2.8503518413618201E-2</v>
      </c>
      <c r="AQ3" s="7">
        <v>-0.2114396427417905</v>
      </c>
      <c r="AR3" s="7">
        <v>-3.2302566009505602E-2</v>
      </c>
      <c r="AS3" s="7">
        <v>0.14111009314114389</v>
      </c>
      <c r="AT3" s="7">
        <v>-3.480751243628416E-2</v>
      </c>
      <c r="AU3" s="7">
        <v>4.4456114444751893E-2</v>
      </c>
      <c r="AV3" s="7">
        <v>2.116273888563508E-2</v>
      </c>
      <c r="AW3" s="7">
        <v>-0.1741550037979904</v>
      </c>
      <c r="AX3" s="7">
        <v>7.6317816973352492E-2</v>
      </c>
      <c r="AY3" s="7">
        <v>9.0306432388433944E-3</v>
      </c>
      <c r="AZ3" s="7">
        <v>1.6638949885503629E-2</v>
      </c>
      <c r="BA3" s="7">
        <v>0.16049954912817649</v>
      </c>
      <c r="BB3" s="7">
        <v>-0.123740953293938</v>
      </c>
      <c r="BC3" s="7">
        <v>0.1567368975950931</v>
      </c>
      <c r="BD3" s="7">
        <v>0.16688346547535879</v>
      </c>
      <c r="BE3" s="7">
        <v>-0.13147229447438241</v>
      </c>
      <c r="BF3" s="7">
        <v>9.9500132775893202E-3</v>
      </c>
      <c r="BG3" s="7">
        <v>0.31531123716866039</v>
      </c>
      <c r="BH3" s="7">
        <v>0.27010117711850462</v>
      </c>
      <c r="BI3" s="7">
        <v>5.6315448743319063E-2</v>
      </c>
      <c r="BJ3" s="7">
        <v>-2.409816856997149E-3</v>
      </c>
      <c r="BK3" s="7">
        <v>7.9800375711835514E-2</v>
      </c>
      <c r="BL3" s="7">
        <v>-2.3392393936945088E-2</v>
      </c>
      <c r="BM3" s="7">
        <v>9.4008939681696324E-2</v>
      </c>
      <c r="BN3" s="7">
        <v>1.764390595780152E-2</v>
      </c>
      <c r="BO3" s="7">
        <v>-0.149287939972541</v>
      </c>
      <c r="BP3" s="7">
        <v>4.1225940656230857E-2</v>
      </c>
      <c r="BQ3" s="7">
        <v>-8.2741207352384993E-2</v>
      </c>
      <c r="BR3" s="7">
        <v>0.21346470331308601</v>
      </c>
      <c r="BS3" s="7">
        <v>-6.7985397750362997E-2</v>
      </c>
      <c r="BT3" s="7">
        <v>0.14435039701784511</v>
      </c>
      <c r="BU3" s="7">
        <v>0.1137793780847101</v>
      </c>
      <c r="BV3" s="7">
        <v>5.6009583131789156E-3</v>
      </c>
      <c r="BW3" s="7">
        <v>0.1131466357554793</v>
      </c>
      <c r="BX3" s="7">
        <v>-9.0571156630968819E-2</v>
      </c>
      <c r="BY3" s="7">
        <v>0.1185697363729489</v>
      </c>
      <c r="BZ3" s="7">
        <v>-0.14071284467671319</v>
      </c>
      <c r="CA3" s="7">
        <v>7.3472777058867567E-2</v>
      </c>
      <c r="CB3" s="7">
        <v>-0.1710256064919487</v>
      </c>
      <c r="CC3" s="7">
        <v>8.6731635966007636E-2</v>
      </c>
      <c r="CD3" s="7">
        <v>3.1267715866912023E-2</v>
      </c>
      <c r="CE3" s="7">
        <v>0.21879703659667429</v>
      </c>
      <c r="CF3" s="7">
        <v>-0.14159470736568711</v>
      </c>
      <c r="CG3" s="7">
        <v>9.9731607421901125E-2</v>
      </c>
      <c r="CH3" s="7">
        <v>4.5308069873117418E-2</v>
      </c>
      <c r="CI3" s="7">
        <v>8.9441140161070076E-2</v>
      </c>
      <c r="CJ3" s="7">
        <v>-0.39111281147264998</v>
      </c>
      <c r="CK3" s="7">
        <v>-0.1097911700085549</v>
      </c>
      <c r="CL3" s="7">
        <v>-4.3456184080796323E-2</v>
      </c>
      <c r="CM3" s="7">
        <v>0.18311247425732111</v>
      </c>
      <c r="CN3" s="7">
        <v>-0.39746167912504499</v>
      </c>
      <c r="CO3" s="7">
        <v>-9.6930225730283204E-2</v>
      </c>
      <c r="CP3" s="7">
        <v>-9.5682049872747255E-2</v>
      </c>
      <c r="CQ3" s="7">
        <v>0.1719749674179798</v>
      </c>
      <c r="CR3" s="7">
        <v>6.193948475943406E-2</v>
      </c>
      <c r="CS3" s="7">
        <v>-4.766403897443855E-2</v>
      </c>
      <c r="CT3" s="7">
        <v>-1.0473980040770331E-2</v>
      </c>
      <c r="CU3" s="7">
        <v>-3.4400594909697269E-2</v>
      </c>
      <c r="CV3" s="7">
        <v>-2.258422919649378E-2</v>
      </c>
      <c r="CW3" s="7">
        <v>3.9676013642423347E-2</v>
      </c>
      <c r="CX3" s="7">
        <v>-5.3904732790442063E-2</v>
      </c>
      <c r="CY3" s="7">
        <v>2.7221884648997659E-2</v>
      </c>
      <c r="CZ3" s="7">
        <v>9.887843547877545E-2</v>
      </c>
      <c r="DA3" s="7">
        <v>0.31254073484350059</v>
      </c>
      <c r="DB3" s="7">
        <v>-0.15564612733519101</v>
      </c>
      <c r="DC3" s="7">
        <v>-0.1869585274246745</v>
      </c>
      <c r="DD3" s="7">
        <v>-0.1685228634155537</v>
      </c>
      <c r="DE3" s="7">
        <v>0.167797614048632</v>
      </c>
      <c r="DF3" s="7">
        <v>-9.1638386466207117E-2</v>
      </c>
      <c r="DG3" s="7">
        <v>-7.5708963031610038E-2</v>
      </c>
      <c r="DH3" s="7">
        <v>7.7960520930383534E-3</v>
      </c>
      <c r="DI3" s="7">
        <v>-2.550037968045427E-3</v>
      </c>
      <c r="DJ3" s="7">
        <v>-6.8988362574604056E-2</v>
      </c>
      <c r="DK3" s="7">
        <v>4.6125318624910372E-2</v>
      </c>
      <c r="DL3" s="7">
        <v>-5.8337699674184812E-2</v>
      </c>
      <c r="DM3" s="7">
        <v>-7.0566061856034673E-2</v>
      </c>
      <c r="DN3" s="7">
        <v>2.8092871036590469E-2</v>
      </c>
      <c r="DO3" s="7">
        <v>-7.0883392118803512E-2</v>
      </c>
      <c r="DP3" s="7">
        <v>0.16113140194021491</v>
      </c>
      <c r="DQ3" s="7">
        <v>0.1547440050249741</v>
      </c>
      <c r="DR3" s="7">
        <v>-0.1074253347743111</v>
      </c>
      <c r="DS3" s="7">
        <v>0.1128417239921658</v>
      </c>
      <c r="DT3" s="7">
        <v>-9.1401515312696358E-2</v>
      </c>
      <c r="DU3" s="7">
        <v>-6.5441570505782948E-2</v>
      </c>
      <c r="DV3" s="7">
        <v>-7.3758705524151646E-2</v>
      </c>
      <c r="DW3" s="7">
        <v>6.6155769939567149E-2</v>
      </c>
      <c r="DX3" s="7">
        <v>6.9417132083775007E-2</v>
      </c>
      <c r="DY3" s="7">
        <v>-0.1029921683468592</v>
      </c>
      <c r="DZ3" s="7">
        <v>0.26391340422439702</v>
      </c>
      <c r="EA3" s="7">
        <v>-8.9759100562535832E-2</v>
      </c>
      <c r="EB3" s="7">
        <v>0.1943247699855464</v>
      </c>
      <c r="EC3" s="7">
        <v>-3.0097119912413432E-2</v>
      </c>
      <c r="ED3" s="7">
        <v>2.8618294955548351E-2</v>
      </c>
      <c r="EE3" s="7">
        <v>-8.7371804917649953E-2</v>
      </c>
      <c r="EF3" s="7">
        <v>-2.097644515945218E-2</v>
      </c>
      <c r="EG3" s="1"/>
    </row>
    <row r="4" spans="1:137" x14ac:dyDescent="0.3">
      <c r="B4" s="1" t="s">
        <v>137</v>
      </c>
      <c r="C4" s="7">
        <v>-0.20373737278850079</v>
      </c>
      <c r="D4" s="7">
        <v>-0.19625335237819111</v>
      </c>
      <c r="E4" s="7">
        <v>-0.25415940811056359</v>
      </c>
      <c r="F4" s="7">
        <v>4.6203751390931913E-2</v>
      </c>
      <c r="G4" s="7">
        <v>3.0789039449800271E-2</v>
      </c>
      <c r="H4" s="7">
        <v>-5.1609232396986122E-2</v>
      </c>
      <c r="I4" s="7">
        <v>1.151272534425374E-3</v>
      </c>
      <c r="J4" s="7">
        <v>4.8762634606076112E-2</v>
      </c>
      <c r="K4" s="7">
        <v>-0.1019817977011339</v>
      </c>
      <c r="L4" s="7">
        <v>-1.8321503973252721E-2</v>
      </c>
      <c r="M4" s="7">
        <v>-5.4833735050777932E-2</v>
      </c>
      <c r="N4" s="7">
        <v>-3.0149620485337539E-2</v>
      </c>
      <c r="O4" s="7">
        <v>-0.18672650958156109</v>
      </c>
      <c r="P4" s="7">
        <v>3.0188496442265841E-2</v>
      </c>
      <c r="Q4" s="7">
        <v>9.7889818288440011E-2</v>
      </c>
      <c r="R4" s="7">
        <v>-9.380784496339345E-2</v>
      </c>
      <c r="S4" s="7">
        <v>2.2756317670806329E-2</v>
      </c>
      <c r="T4" s="7">
        <v>7.3507175756873266E-2</v>
      </c>
      <c r="U4" s="7">
        <v>6.8550642870981449E-3</v>
      </c>
      <c r="V4" s="7">
        <v>-2.1638526708681379E-2</v>
      </c>
      <c r="W4" s="7">
        <v>-6.0385491305918748E-3</v>
      </c>
      <c r="X4" s="7">
        <v>-0.16973075948726549</v>
      </c>
      <c r="Y4" s="7">
        <v>-0.2336530995268635</v>
      </c>
      <c r="Z4" s="7">
        <v>-9.998148525383499E-3</v>
      </c>
      <c r="AA4" s="7">
        <v>-2.4349471614097951E-3</v>
      </c>
      <c r="AB4" s="7">
        <v>-0.16380781721638549</v>
      </c>
      <c r="AC4" s="7">
        <v>-6.5405588207859466E-2</v>
      </c>
      <c r="AD4" s="7">
        <v>-5.3691935268133761E-2</v>
      </c>
      <c r="AE4" s="7">
        <v>4.3446009950345747E-2</v>
      </c>
      <c r="AF4" s="7">
        <v>8.0856156973185378E-2</v>
      </c>
      <c r="AG4" s="7">
        <v>-0.1008200200700493</v>
      </c>
      <c r="AH4" s="7">
        <v>0.1185484902349838</v>
      </c>
      <c r="AI4" s="7">
        <v>-8.6917583432359891E-2</v>
      </c>
      <c r="AJ4" s="7">
        <v>-9.6714761437004526E-2</v>
      </c>
      <c r="AK4" s="7">
        <v>7.7115472579782463E-2</v>
      </c>
      <c r="AL4" s="7">
        <v>1.9375682024094228E-2</v>
      </c>
      <c r="AM4" s="7">
        <v>-6.6846435244087843E-3</v>
      </c>
      <c r="AN4" s="7">
        <v>1.143271994558326E-2</v>
      </c>
      <c r="AO4" s="7">
        <v>-4.4564575721720352E-2</v>
      </c>
      <c r="AP4" s="7">
        <v>7.9750638168698984E-2</v>
      </c>
      <c r="AQ4" s="7">
        <v>-9.0693006788388431E-2</v>
      </c>
      <c r="AR4" s="7">
        <v>0.1144314103616733</v>
      </c>
      <c r="AS4" s="7">
        <v>8.2295799616039389E-2</v>
      </c>
      <c r="AT4" s="7">
        <v>1.0311530981850231E-2</v>
      </c>
      <c r="AU4" s="7">
        <v>-3.3710155553132282E-2</v>
      </c>
      <c r="AV4" s="7">
        <v>-0.21769900369851489</v>
      </c>
      <c r="AW4" s="7">
        <v>5.245717031440833E-2</v>
      </c>
      <c r="AX4" s="7">
        <v>1.3927468226748729E-2</v>
      </c>
      <c r="AY4" s="7">
        <v>0.1050107086686278</v>
      </c>
      <c r="AZ4" s="7">
        <v>1.7528918973958699E-2</v>
      </c>
      <c r="BA4" s="7">
        <v>-0.15432648292571119</v>
      </c>
      <c r="BB4" s="7">
        <v>-0.25246377965845751</v>
      </c>
      <c r="BC4" s="7">
        <v>-0.14987217699416711</v>
      </c>
      <c r="BD4" s="7">
        <v>-2.2774061820067359E-2</v>
      </c>
      <c r="BE4" s="7">
        <v>-3.1425095001580423E-2</v>
      </c>
      <c r="BF4" s="7">
        <v>0.1232771881685419</v>
      </c>
      <c r="BG4" s="7">
        <v>-7.5330977107530117E-2</v>
      </c>
      <c r="BH4" s="7">
        <v>-6.4736813987872566E-2</v>
      </c>
      <c r="BI4" s="7">
        <v>1.821390966158987E-2</v>
      </c>
      <c r="BJ4" s="7">
        <v>-0.1508508871203755</v>
      </c>
      <c r="BK4" s="7">
        <v>-5.8953203032860557E-2</v>
      </c>
      <c r="BL4" s="7">
        <v>-4.7773781438463558E-2</v>
      </c>
      <c r="BM4" s="7">
        <v>2.034180601101987E-2</v>
      </c>
      <c r="BN4" s="7">
        <v>4.0714107422102692E-2</v>
      </c>
      <c r="BO4" s="7">
        <v>4.5214638741134287E-2</v>
      </c>
      <c r="BP4" s="7">
        <v>8.3627121253362802E-2</v>
      </c>
      <c r="BQ4" s="7">
        <v>3.0825396788037199E-2</v>
      </c>
      <c r="BR4" s="7">
        <v>-0.11545472065009039</v>
      </c>
      <c r="BS4" s="7">
        <v>-1.926452999418871E-2</v>
      </c>
      <c r="BT4" s="7">
        <v>-3.4111549917248851E-2</v>
      </c>
      <c r="BU4" s="7">
        <v>-4.5269937245304703E-2</v>
      </c>
      <c r="BV4" s="7">
        <v>0.17197266141593739</v>
      </c>
      <c r="BW4" s="7">
        <v>-0.10029050755647261</v>
      </c>
      <c r="BX4" s="7">
        <v>-6.8044962494687056E-2</v>
      </c>
      <c r="BY4" s="7">
        <v>-0.1826948620902353</v>
      </c>
      <c r="BZ4" s="7">
        <v>8.5574019762324482E-2</v>
      </c>
      <c r="CA4" s="7">
        <v>9.9907862663961566E-3</v>
      </c>
      <c r="CB4" s="7">
        <v>0.19801890737320349</v>
      </c>
      <c r="CC4" s="7">
        <v>-0.29446404903659129</v>
      </c>
      <c r="CD4" s="7">
        <v>-0.13184913857205419</v>
      </c>
      <c r="CE4" s="7">
        <v>-5.9049425825826063E-2</v>
      </c>
      <c r="CF4" s="7">
        <v>-0.11382074234660421</v>
      </c>
      <c r="CG4" s="7">
        <v>5.6476011311058727E-2</v>
      </c>
      <c r="CH4" s="7">
        <v>-4.7278812128794812E-3</v>
      </c>
      <c r="CI4" s="7">
        <v>8.4060042745477404E-2</v>
      </c>
      <c r="CJ4" s="7">
        <v>2.860589104349032E-2</v>
      </c>
      <c r="CK4" s="7">
        <v>-2.196015758338277E-2</v>
      </c>
      <c r="CL4" s="7">
        <v>-6.7870860352922335E-2</v>
      </c>
      <c r="CM4" s="7">
        <v>4.0070082430315068E-2</v>
      </c>
      <c r="CN4" s="7">
        <v>0.18816019391077179</v>
      </c>
      <c r="CO4" s="7">
        <v>2.367017674917093E-3</v>
      </c>
      <c r="CP4" s="7">
        <v>1.9450901205715351E-2</v>
      </c>
      <c r="CQ4" s="7">
        <v>-3.0616705499888042E-2</v>
      </c>
      <c r="CR4" s="7">
        <v>-0.28761057639089671</v>
      </c>
      <c r="CS4" s="7">
        <v>-0.27901111949972451</v>
      </c>
      <c r="CT4" s="7">
        <v>8.2166791936902683E-2</v>
      </c>
      <c r="CU4" s="7">
        <v>-0.1044948676458937</v>
      </c>
      <c r="CV4" s="7">
        <v>0.1117497704879042</v>
      </c>
      <c r="CW4" s="7">
        <v>-5.0011486829184548E-2</v>
      </c>
      <c r="CX4" s="7">
        <v>5.9209700317154557E-2</v>
      </c>
      <c r="CY4" s="7">
        <v>-0.17471118648177961</v>
      </c>
      <c r="CZ4" s="7">
        <v>-0.13109686697720241</v>
      </c>
      <c r="DA4" s="7">
        <v>-0.2203257151296327</v>
      </c>
      <c r="DB4" s="7">
        <v>-5.1224388631531781E-2</v>
      </c>
      <c r="DC4" s="7">
        <v>-0.14279358769975301</v>
      </c>
      <c r="DD4" s="7">
        <v>0.1020904846945818</v>
      </c>
      <c r="DE4" s="7">
        <v>4.4656291464193032E-2</v>
      </c>
      <c r="DF4" s="7">
        <v>5.6233135690451519E-2</v>
      </c>
      <c r="DG4" s="7">
        <v>-0.1416822717519004</v>
      </c>
      <c r="DH4" s="7">
        <v>0.15762567020768259</v>
      </c>
      <c r="DI4" s="7">
        <v>-6.2035901643650249E-2</v>
      </c>
      <c r="DJ4" s="7">
        <v>-0.1196792904639139</v>
      </c>
      <c r="DK4" s="7">
        <v>-0.1636929902628452</v>
      </c>
      <c r="DL4" s="7">
        <v>9.4429634312145794E-2</v>
      </c>
      <c r="DM4" s="7">
        <v>0.23372019522840051</v>
      </c>
      <c r="DN4" s="7">
        <v>7.3797400786563827E-2</v>
      </c>
      <c r="DO4" s="7">
        <v>-4.5812944635489572E-2</v>
      </c>
      <c r="DP4" s="7">
        <v>-6.8308325202590225E-2</v>
      </c>
      <c r="DQ4" s="7">
        <v>-0.16930629268172481</v>
      </c>
      <c r="DR4" s="7">
        <v>-0.1292436792863576</v>
      </c>
      <c r="DS4" s="7">
        <v>-7.3886793403296736E-2</v>
      </c>
      <c r="DT4" s="7">
        <v>-0.20370624475922131</v>
      </c>
      <c r="DU4" s="7">
        <v>-5.4891500526604631E-2</v>
      </c>
      <c r="DV4" s="7">
        <v>1.2036945748828741E-2</v>
      </c>
      <c r="DW4" s="7">
        <v>-6.1300239407735546E-3</v>
      </c>
      <c r="DX4" s="7">
        <v>-8.4900404469877344E-2</v>
      </c>
      <c r="DY4" s="7">
        <v>0.1000065013622802</v>
      </c>
      <c r="DZ4" s="7">
        <v>-0.1310602433648711</v>
      </c>
      <c r="EA4" s="7">
        <v>-0.1948807812701929</v>
      </c>
      <c r="EB4" s="7">
        <v>-0.31979832241280798</v>
      </c>
      <c r="EC4" s="7">
        <v>4.9837267550007169E-2</v>
      </c>
      <c r="ED4" s="7">
        <v>5.4627759739140913E-2</v>
      </c>
      <c r="EE4" s="7">
        <v>0.1200464788195035</v>
      </c>
      <c r="EF4" s="7">
        <v>0.24381115553913091</v>
      </c>
      <c r="EG4" s="1"/>
    </row>
    <row r="5" spans="1:137" x14ac:dyDescent="0.3">
      <c r="B5" s="1" t="s">
        <v>138</v>
      </c>
      <c r="C5" s="7">
        <v>-0.20935792122733929</v>
      </c>
      <c r="D5" s="7">
        <v>-0.1073627692333063</v>
      </c>
      <c r="E5" s="7">
        <v>0.52484760680152232</v>
      </c>
      <c r="F5" s="7">
        <v>4.6837059958046809E-2</v>
      </c>
      <c r="G5" s="7">
        <v>-0.2104714261735883</v>
      </c>
      <c r="H5" s="7">
        <v>0.4744149628629204</v>
      </c>
      <c r="I5" s="7">
        <v>0.14678498763585299</v>
      </c>
      <c r="J5" s="7">
        <v>-5.6231752728838222E-2</v>
      </c>
      <c r="K5" s="7">
        <v>0.27552845629080469</v>
      </c>
      <c r="L5" s="7">
        <v>-0.43004286310886081</v>
      </c>
      <c r="M5" s="7">
        <v>0.32376774959305898</v>
      </c>
      <c r="N5" s="7">
        <v>-0.34824165047033961</v>
      </c>
      <c r="O5" s="7">
        <v>-9.7528911512976074E-2</v>
      </c>
      <c r="P5" s="7">
        <v>0.39546612391174241</v>
      </c>
      <c r="Q5" s="7">
        <v>4.8467491330228173E-2</v>
      </c>
      <c r="R5" s="7">
        <v>-9.8851331549351315E-2</v>
      </c>
      <c r="S5" s="7">
        <v>0.3057921371194337</v>
      </c>
      <c r="T5" s="7">
        <v>7.2071946189346189E-2</v>
      </c>
      <c r="U5" s="7">
        <v>-4.7890408561752917E-4</v>
      </c>
      <c r="V5" s="7">
        <v>-0.13936695356286269</v>
      </c>
      <c r="W5" s="7">
        <v>-0.39469012652483237</v>
      </c>
      <c r="X5" s="7">
        <v>-0.12947787244850251</v>
      </c>
      <c r="Y5" s="7">
        <v>-0.68127295831176804</v>
      </c>
      <c r="Z5" s="7">
        <v>-4.1720386960932424E-3</v>
      </c>
      <c r="AA5" s="7">
        <v>1.8198047382592619E-2</v>
      </c>
      <c r="AB5" s="7">
        <v>0.20112165888415301</v>
      </c>
      <c r="AC5" s="7">
        <v>-8.9163225286403025E-2</v>
      </c>
      <c r="AD5" s="7">
        <v>0.14514145822358679</v>
      </c>
      <c r="AE5" s="7">
        <v>7.4669147590605167E-2</v>
      </c>
      <c r="AF5" s="7">
        <v>0.17577042279847119</v>
      </c>
      <c r="AG5" s="7">
        <v>-0.30336041259100399</v>
      </c>
      <c r="AH5" s="7">
        <v>-0.3482499081721625</v>
      </c>
      <c r="AI5" s="7">
        <v>0.25872371710226461</v>
      </c>
      <c r="AJ5" s="7">
        <v>-0.48889196953357</v>
      </c>
      <c r="AK5" s="7">
        <v>0.13254842946584691</v>
      </c>
      <c r="AL5" s="7">
        <v>-2.3789775596635129E-2</v>
      </c>
      <c r="AM5" s="7">
        <v>1.17524054827144E-2</v>
      </c>
      <c r="AN5" s="7">
        <v>-7.4933432869098024E-2</v>
      </c>
      <c r="AO5" s="7">
        <v>0.1844633194704077</v>
      </c>
      <c r="AP5" s="7">
        <v>3.2348031051998787E-2</v>
      </c>
      <c r="AQ5" s="7">
        <v>0.1511984265546954</v>
      </c>
      <c r="AR5" s="7">
        <v>-9.5283109587288514E-2</v>
      </c>
      <c r="AS5" s="7">
        <v>-0.1260043749729467</v>
      </c>
      <c r="AT5" s="7">
        <v>0.1516447920969482</v>
      </c>
      <c r="AU5" s="7">
        <v>-0.20083705233961571</v>
      </c>
      <c r="AV5" s="7">
        <v>7.890636801828628E-2</v>
      </c>
      <c r="AW5" s="7">
        <v>6.7935762483271878E-4</v>
      </c>
      <c r="AX5" s="7">
        <v>0.1122931240608864</v>
      </c>
      <c r="AY5" s="7">
        <v>-0.118056117907044</v>
      </c>
      <c r="AZ5" s="7">
        <v>0.20621977214253931</v>
      </c>
      <c r="BA5" s="7">
        <v>-3.9691918773370187E-2</v>
      </c>
      <c r="BB5" s="7">
        <v>8.2995939761629778E-2</v>
      </c>
      <c r="BC5" s="7">
        <v>-0.13000542995066139</v>
      </c>
      <c r="BD5" s="7">
        <v>-0.1063161628626854</v>
      </c>
      <c r="BE5" s="7">
        <v>0.1159333959862182</v>
      </c>
      <c r="BF5" s="7">
        <v>-0.28526227318364472</v>
      </c>
      <c r="BG5" s="7">
        <v>-0.15093334040887121</v>
      </c>
      <c r="BH5" s="7">
        <v>2.919940093087194E-3</v>
      </c>
      <c r="BI5" s="7">
        <v>5.812657406460206E-2</v>
      </c>
      <c r="BJ5" s="7">
        <v>-0.25986983403483388</v>
      </c>
      <c r="BK5" s="7">
        <v>0.18487944696901781</v>
      </c>
      <c r="BL5" s="7">
        <v>-0.26913172790454543</v>
      </c>
      <c r="BM5" s="7">
        <v>0.1717381908649544</v>
      </c>
      <c r="BN5" s="7">
        <v>-0.18092216130584951</v>
      </c>
      <c r="BO5" s="7">
        <v>-6.3203737577877367E-2</v>
      </c>
      <c r="BP5" s="7">
        <v>7.1867500126512024E-2</v>
      </c>
      <c r="BQ5" s="7">
        <v>-0.16861046240236999</v>
      </c>
      <c r="BR5" s="7">
        <v>-2.5447831594333319E-2</v>
      </c>
      <c r="BS5" s="7">
        <v>0.1244241075337672</v>
      </c>
      <c r="BT5" s="7">
        <v>0.20772231279415901</v>
      </c>
      <c r="BU5" s="7">
        <v>-6.0051294436158628E-2</v>
      </c>
      <c r="BV5" s="7">
        <v>-5.1700003009333508E-2</v>
      </c>
      <c r="BW5" s="7">
        <v>-0.1268015683060742</v>
      </c>
      <c r="BX5" s="7">
        <v>-0.10582029087279909</v>
      </c>
      <c r="BY5" s="7">
        <v>5.3607320437496067E-2</v>
      </c>
      <c r="BZ5" s="7">
        <v>-3.4479447424122608E-2</v>
      </c>
      <c r="CA5" s="7">
        <v>-2.0066210971329639E-2</v>
      </c>
      <c r="CB5" s="7">
        <v>8.4589606751002688E-2</v>
      </c>
      <c r="CC5" s="7">
        <v>-0.1103836570393476</v>
      </c>
      <c r="CD5" s="7">
        <v>0.32742328506094998</v>
      </c>
      <c r="CE5" s="7">
        <v>-1.486719718236725E-2</v>
      </c>
      <c r="CF5" s="7">
        <v>-0.14937324914413941</v>
      </c>
      <c r="CG5" s="7">
        <v>0.16320028060313421</v>
      </c>
      <c r="CH5" s="7">
        <v>-6.9038325074175663E-2</v>
      </c>
      <c r="CI5" s="7">
        <v>-0.11536214708505139</v>
      </c>
      <c r="CJ5" s="7">
        <v>-0.26301723908525793</v>
      </c>
      <c r="CK5" s="7">
        <v>0.37897350211797709</v>
      </c>
      <c r="CL5" s="7">
        <v>-7.6383453932209341E-2</v>
      </c>
      <c r="CM5" s="7">
        <v>4.2833444041791832E-2</v>
      </c>
      <c r="CN5" s="7">
        <v>-0.15161552738072651</v>
      </c>
      <c r="CO5" s="7">
        <v>0.43716796518582229</v>
      </c>
      <c r="CP5" s="7">
        <v>-4.1833927507883796E-3</v>
      </c>
      <c r="CQ5" s="7">
        <v>-0.49935244279872992</v>
      </c>
      <c r="CR5" s="7">
        <v>0.3398570382696095</v>
      </c>
      <c r="CS5" s="7">
        <v>-0.18988696947799641</v>
      </c>
      <c r="CT5" s="7">
        <v>0.2246197528310597</v>
      </c>
      <c r="CU5" s="7">
        <v>-0.25171771168640761</v>
      </c>
      <c r="CV5" s="7">
        <v>-6.0587944319075937E-2</v>
      </c>
      <c r="CW5" s="7">
        <v>0.2108770628752098</v>
      </c>
      <c r="CX5" s="7">
        <v>0.25016150139728283</v>
      </c>
      <c r="CY5" s="7">
        <v>-0.52413353929587791</v>
      </c>
      <c r="CZ5" s="7">
        <v>0.8216183061041753</v>
      </c>
      <c r="DA5" s="7">
        <v>-0.17652298417539669</v>
      </c>
      <c r="DB5" s="7">
        <v>0.13115957739194459</v>
      </c>
      <c r="DC5" s="7">
        <v>0.1757366545058428</v>
      </c>
      <c r="DD5" s="7">
        <v>-0.42083892435479142</v>
      </c>
      <c r="DE5" s="7">
        <v>-0.2279724207651195</v>
      </c>
      <c r="DF5" s="7">
        <v>-0.33715973842927388</v>
      </c>
      <c r="DG5" s="7">
        <v>-0.44400370439279008</v>
      </c>
      <c r="DH5" s="7">
        <v>-4.293279443633978E-2</v>
      </c>
      <c r="DI5" s="7">
        <v>0.30896916307249689</v>
      </c>
      <c r="DJ5" s="7">
        <v>-0.28669247758290828</v>
      </c>
      <c r="DK5" s="7">
        <v>0.84621248517861269</v>
      </c>
      <c r="DL5" s="7">
        <v>-0.16924034367306559</v>
      </c>
      <c r="DM5" s="7">
        <v>-0.43945016692248923</v>
      </c>
      <c r="DN5" s="7">
        <v>0.74751336560070059</v>
      </c>
      <c r="DO5" s="7">
        <v>-0.39996426308914668</v>
      </c>
      <c r="DP5" s="7">
        <v>-4.4863264481034962E-2</v>
      </c>
      <c r="DQ5" s="7">
        <v>-0.58863430244229409</v>
      </c>
      <c r="DR5" s="7">
        <v>-6.5627469319089037E-3</v>
      </c>
      <c r="DS5" s="7">
        <v>-0.19878519438361211</v>
      </c>
      <c r="DT5" s="7">
        <v>0.4132117833889476</v>
      </c>
      <c r="DU5" s="7">
        <v>-0.17065403209770361</v>
      </c>
      <c r="DV5" s="7">
        <v>0.68828031734213269</v>
      </c>
      <c r="DW5" s="7">
        <v>4.0806005098273937E-2</v>
      </c>
      <c r="DX5" s="7">
        <v>-0.1999347157162332</v>
      </c>
      <c r="DY5" s="7">
        <v>0.56631420698904078</v>
      </c>
      <c r="DZ5" s="7">
        <v>0.47362880432099852</v>
      </c>
      <c r="EA5" s="7">
        <v>9.5444977871898054E-2</v>
      </c>
      <c r="EB5" s="7">
        <v>-1.076360940060376</v>
      </c>
      <c r="EC5" s="7">
        <v>-0.13610628648279391</v>
      </c>
      <c r="ED5" s="7">
        <v>-0.27349656344743889</v>
      </c>
      <c r="EE5" s="7">
        <v>0.60134859370029736</v>
      </c>
      <c r="EF5" s="7">
        <v>6.7468790588863341E-3</v>
      </c>
      <c r="EG5" s="1"/>
    </row>
    <row r="6" spans="1:137" x14ac:dyDescent="0.3">
      <c r="A6" s="22" t="s">
        <v>139</v>
      </c>
      <c r="B6" s="23"/>
      <c r="C6" s="7">
        <f t="array" ref="C6">MATCH(MAX(ABS(C3:C5)), ABS(C3:C5), 0)</f>
        <v>3</v>
      </c>
      <c r="D6" s="7">
        <f t="array" ref="D6">MATCH(MAX(ABS(D3:D5)), ABS(D3:D5), 0)</f>
        <v>2</v>
      </c>
      <c r="E6" s="7">
        <f t="array" ref="E6">MATCH(MAX(ABS(E3:E5)), ABS(E3:E5), 0)</f>
        <v>3</v>
      </c>
      <c r="F6" s="7">
        <f t="array" ref="F6">MATCH(MAX(ABS(F3:F5)), ABS(F3:F5), 0)</f>
        <v>3</v>
      </c>
      <c r="G6" s="7">
        <f t="array" ref="G6">MATCH(MAX(ABS(G3:G5)), ABS(G3:G5), 0)</f>
        <v>3</v>
      </c>
      <c r="H6" s="7">
        <f t="array" ref="H6">MATCH(MAX(ABS(H3:H5)), ABS(H3:H5), 0)</f>
        <v>3</v>
      </c>
      <c r="I6" s="7">
        <f t="array" ref="I6">MATCH(MAX(ABS(I3:I5)), ABS(I3:I5), 0)</f>
        <v>1</v>
      </c>
      <c r="J6" s="7">
        <f t="array" ref="J6">MATCH(MAX(ABS(J3:J5)), ABS(J3:J5), 0)</f>
        <v>1</v>
      </c>
      <c r="K6" s="7">
        <f t="array" ref="K6">MATCH(MAX(ABS(K3:K5)), ABS(K3:K5), 0)</f>
        <v>3</v>
      </c>
      <c r="L6" s="7">
        <f t="array" ref="L6">MATCH(MAX(ABS(L3:L5)), ABS(L3:L5), 0)</f>
        <v>3</v>
      </c>
      <c r="M6" s="7">
        <f t="array" ref="M6">MATCH(MAX(ABS(M3:M5)), ABS(M3:M5), 0)</f>
        <v>3</v>
      </c>
      <c r="N6" s="7">
        <f t="array" ref="N6">MATCH(MAX(ABS(N3:N5)), ABS(N3:N5), 0)</f>
        <v>3</v>
      </c>
      <c r="O6" s="7">
        <f t="array" ref="O6">MATCH(MAX(ABS(O3:O5)), ABS(O3:O5), 0)</f>
        <v>1</v>
      </c>
      <c r="P6" s="7">
        <f t="array" ref="P6">MATCH(MAX(ABS(P3:P5)), ABS(P3:P5), 0)</f>
        <v>3</v>
      </c>
      <c r="Q6" s="7">
        <f t="array" ref="Q6">MATCH(MAX(ABS(Q3:Q5)), ABS(Q3:Q5), 0)</f>
        <v>1</v>
      </c>
      <c r="R6" s="7">
        <f t="array" ref="R6">MATCH(MAX(ABS(R3:R5)), ABS(R3:R5), 0)</f>
        <v>1</v>
      </c>
      <c r="S6" s="7">
        <f t="array" ref="S6">MATCH(MAX(ABS(S3:S5)), ABS(S3:S5), 0)</f>
        <v>3</v>
      </c>
      <c r="T6" s="7">
        <f t="array" ref="T6">MATCH(MAX(ABS(T3:T5)), ABS(T3:T5), 0)</f>
        <v>1</v>
      </c>
      <c r="U6" s="7">
        <f t="array" ref="U6">MATCH(MAX(ABS(U3:U5)), ABS(U3:U5), 0)</f>
        <v>1</v>
      </c>
      <c r="V6" s="7">
        <f t="array" ref="V6">MATCH(MAX(ABS(V3:V5)), ABS(V3:V5), 0)</f>
        <v>3</v>
      </c>
      <c r="W6" s="7">
        <f t="array" ref="W6">MATCH(MAX(ABS(W3:W5)), ABS(W3:W5), 0)</f>
        <v>3</v>
      </c>
      <c r="X6" s="7">
        <f t="array" ref="X6">MATCH(MAX(ABS(X3:X5)), ABS(X3:X5), 0)</f>
        <v>2</v>
      </c>
      <c r="Y6" s="7">
        <f t="array" ref="Y6">MATCH(MAX(ABS(Y3:Y5)), ABS(Y3:Y5), 0)</f>
        <v>3</v>
      </c>
      <c r="Z6" s="7">
        <f t="array" ref="Z6">MATCH(MAX(ABS(Z3:Z5)), ABS(Z3:Z5), 0)</f>
        <v>1</v>
      </c>
      <c r="AA6" s="7">
        <f t="array" ref="AA6">MATCH(MAX(ABS(AA3:AA5)), ABS(AA3:AA5), 0)</f>
        <v>1</v>
      </c>
      <c r="AB6" s="7">
        <f t="array" ref="AB6">MATCH(MAX(ABS(AB3:AB5)), ABS(AB3:AB5), 0)</f>
        <v>1</v>
      </c>
      <c r="AC6" s="7">
        <f t="array" ref="AC6">MATCH(MAX(ABS(AC3:AC5)), ABS(AC3:AC5), 0)</f>
        <v>3</v>
      </c>
      <c r="AD6" s="7">
        <f t="array" ref="AD6">MATCH(MAX(ABS(AD3:AD5)), ABS(AD3:AD5), 0)</f>
        <v>3</v>
      </c>
      <c r="AE6" s="7">
        <f t="array" ref="AE6">MATCH(MAX(ABS(AE3:AE5)), ABS(AE3:AE5), 0)</f>
        <v>3</v>
      </c>
      <c r="AF6" s="7">
        <f t="array" ref="AF6">MATCH(MAX(ABS(AF3:AF5)), ABS(AF3:AF5), 0)</f>
        <v>3</v>
      </c>
      <c r="AG6" s="7">
        <f t="array" ref="AG6">MATCH(MAX(ABS(AG3:AG5)), ABS(AG3:AG5), 0)</f>
        <v>3</v>
      </c>
      <c r="AH6" s="7">
        <f t="array" ref="AH6">MATCH(MAX(ABS(AH3:AH5)), ABS(AH3:AH5), 0)</f>
        <v>3</v>
      </c>
      <c r="AI6" s="7">
        <f t="array" ref="AI6">MATCH(MAX(ABS(AI3:AI5)), ABS(AI3:AI5), 0)</f>
        <v>3</v>
      </c>
      <c r="AJ6" s="7">
        <f t="array" ref="AJ6">MATCH(MAX(ABS(AJ3:AJ5)), ABS(AJ3:AJ5), 0)</f>
        <v>3</v>
      </c>
      <c r="AK6" s="7">
        <f t="array" ref="AK6">MATCH(MAX(ABS(AK3:AK5)), ABS(AK3:AK5), 0)</f>
        <v>3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3</v>
      </c>
      <c r="AP6" s="7">
        <f t="array" ref="AP6">MATCH(MAX(ABS(AP3:AP5)), ABS(AP3:AP5), 0)</f>
        <v>2</v>
      </c>
      <c r="AQ6" s="7">
        <f t="array" ref="AQ6">MATCH(MAX(ABS(AQ3:AQ5)), ABS(AQ3:AQ5), 0)</f>
        <v>1</v>
      </c>
      <c r="AR6" s="7">
        <f t="array" ref="AR6">MATCH(MAX(ABS(AR3:AR5)), ABS(AR3:AR5), 0)</f>
        <v>2</v>
      </c>
      <c r="AS6" s="7">
        <f t="array" ref="AS6">MATCH(MAX(ABS(AS3:AS5)), ABS(AS3:AS5), 0)</f>
        <v>1</v>
      </c>
      <c r="AT6" s="7">
        <f t="array" ref="AT6">MATCH(MAX(ABS(AT3:AT5)), ABS(AT3:AT5), 0)</f>
        <v>3</v>
      </c>
      <c r="AU6" s="7">
        <f t="array" ref="AU6">MATCH(MAX(ABS(AU3:AU5)), ABS(AU3:AU5), 0)</f>
        <v>3</v>
      </c>
      <c r="AV6" s="7">
        <f t="array" ref="AV6">MATCH(MAX(ABS(AV3:AV5)), ABS(AV3:AV5), 0)</f>
        <v>2</v>
      </c>
      <c r="AW6" s="7">
        <f t="array" ref="AW6">MATCH(MAX(ABS(AW3:AW5)), ABS(AW3:AW5), 0)</f>
        <v>1</v>
      </c>
      <c r="AX6" s="7">
        <f t="array" ref="AX6">MATCH(MAX(ABS(AX3:AX5)), ABS(AX3:AX5), 0)</f>
        <v>3</v>
      </c>
      <c r="AY6" s="7">
        <f t="array" ref="AY6">MATCH(MAX(ABS(AY3:AY5)), ABS(AY3:AY5), 0)</f>
        <v>3</v>
      </c>
      <c r="AZ6" s="7">
        <f t="array" ref="AZ6">MATCH(MAX(ABS(AZ3:AZ5)), ABS(AZ3:AZ5), 0)</f>
        <v>3</v>
      </c>
      <c r="BA6" s="7">
        <f t="array" ref="BA6">MATCH(MAX(ABS(BA3:BA5)), ABS(BA3:BA5), 0)</f>
        <v>1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3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3</v>
      </c>
      <c r="BJ6" s="7">
        <f t="array" ref="BJ6">MATCH(MAX(ABS(BJ3:BJ5)), ABS(BJ3:BJ5), 0)</f>
        <v>3</v>
      </c>
      <c r="BK6" s="7">
        <f t="array" ref="BK6">MATCH(MAX(ABS(BK3:BK5)), ABS(BK3:BK5), 0)</f>
        <v>3</v>
      </c>
      <c r="BL6" s="7">
        <f t="array" ref="BL6">MATCH(MAX(ABS(BL3:BL5)), ABS(BL3:BL5), 0)</f>
        <v>3</v>
      </c>
      <c r="BM6" s="7">
        <f t="array" ref="BM6">MATCH(MAX(ABS(BM3:BM5)), ABS(BM3:BM5), 0)</f>
        <v>3</v>
      </c>
      <c r="BN6" s="7">
        <f t="array" ref="BN6">MATCH(MAX(ABS(BN3:BN5)), ABS(BN3:BN5), 0)</f>
        <v>3</v>
      </c>
      <c r="BO6" s="7">
        <f t="array" ref="BO6">MATCH(MAX(ABS(BO3:BO5)), ABS(BO3:BO5), 0)</f>
        <v>1</v>
      </c>
      <c r="BP6" s="7">
        <f t="array" ref="BP6">MATCH(MAX(ABS(BP3:BP5)), ABS(BP3:BP5), 0)</f>
        <v>2</v>
      </c>
      <c r="BQ6" s="7">
        <f t="array" ref="BQ6">MATCH(MAX(ABS(BQ3:BQ5)), ABS(BQ3:BQ5), 0)</f>
        <v>3</v>
      </c>
      <c r="BR6" s="7">
        <f t="array" ref="BR6">MATCH(MAX(ABS(BR3:BR5)), ABS(BR3:BR5), 0)</f>
        <v>1</v>
      </c>
      <c r="BS6" s="7">
        <f t="array" ref="BS6">MATCH(MAX(ABS(BS3:BS5)), ABS(BS3:BS5), 0)</f>
        <v>3</v>
      </c>
      <c r="BT6" s="7">
        <f t="array" ref="BT6">MATCH(MAX(ABS(BT3:BT5)), ABS(BT3:BT5), 0)</f>
        <v>3</v>
      </c>
      <c r="BU6" s="7">
        <f t="array" ref="BU6">MATCH(MAX(ABS(BU3:BU5)), ABS(BU3:BU5), 0)</f>
        <v>1</v>
      </c>
      <c r="BV6" s="7">
        <f t="array" ref="BV6">MATCH(MAX(ABS(BV3:BV5)), ABS(BV3:BV5), 0)</f>
        <v>2</v>
      </c>
      <c r="BW6" s="7">
        <f t="array" ref="BW6">MATCH(MAX(ABS(BW3:BW5)), ABS(BW3:BW5), 0)</f>
        <v>3</v>
      </c>
      <c r="BX6" s="7">
        <f t="array" ref="BX6">MATCH(MAX(ABS(BX3:BX5)), ABS(BX3:BX5), 0)</f>
        <v>3</v>
      </c>
      <c r="BY6" s="7">
        <f t="array" ref="BY6">MATCH(MAX(ABS(BY3:BY5)), ABS(BY3:BY5), 0)</f>
        <v>2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2</v>
      </c>
      <c r="CC6" s="7">
        <f t="array" ref="CC6">MATCH(MAX(ABS(CC3:CC5)), ABS(CC3:CC5), 0)</f>
        <v>2</v>
      </c>
      <c r="CD6" s="7">
        <f t="array" ref="CD6">MATCH(MAX(ABS(CD3:CD5)), ABS(CD3:CD5), 0)</f>
        <v>3</v>
      </c>
      <c r="CE6" s="7">
        <f t="array" ref="CE6">MATCH(MAX(ABS(CE3:CE5)), ABS(CE3:CE5), 0)</f>
        <v>1</v>
      </c>
      <c r="CF6" s="7">
        <f t="array" ref="CF6">MATCH(MAX(ABS(CF3:CF5)), ABS(CF3:CF5), 0)</f>
        <v>3</v>
      </c>
      <c r="CG6" s="7">
        <f t="array" ref="CG6">MATCH(MAX(ABS(CG3:CG5)), ABS(CG3:CG5), 0)</f>
        <v>3</v>
      </c>
      <c r="CH6" s="7">
        <f t="array" ref="CH6">MATCH(MAX(ABS(CH3:CH5)), ABS(CH3:CH5), 0)</f>
        <v>3</v>
      </c>
      <c r="CI6" s="7">
        <f t="array" ref="CI6">MATCH(MAX(ABS(CI3:CI5)), ABS(CI3:CI5), 0)</f>
        <v>3</v>
      </c>
      <c r="CJ6" s="7">
        <f t="array" ref="CJ6">MATCH(MAX(ABS(CJ3:CJ5)), ABS(CJ3:CJ5), 0)</f>
        <v>1</v>
      </c>
      <c r="CK6" s="7">
        <f t="array" ref="CK6">MATCH(MAX(ABS(CK3:CK5)), ABS(CK3:CK5), 0)</f>
        <v>3</v>
      </c>
      <c r="CL6" s="7">
        <f t="array" ref="CL6">MATCH(MAX(ABS(CL3:CL5)), ABS(CL3:CL5), 0)</f>
        <v>3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3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3</v>
      </c>
      <c r="CS6" s="7">
        <f t="array" ref="CS6">MATCH(MAX(ABS(CS3:CS5)), ABS(CS3:CS5), 0)</f>
        <v>2</v>
      </c>
      <c r="CT6" s="7">
        <f t="array" ref="CT6">MATCH(MAX(ABS(CT3:CT5)), ABS(CT3:CT5), 0)</f>
        <v>3</v>
      </c>
      <c r="CU6" s="7">
        <f t="array" ref="CU6">MATCH(MAX(ABS(CU3:CU5)), ABS(CU3:CU5), 0)</f>
        <v>3</v>
      </c>
      <c r="CV6" s="7">
        <f t="array" ref="CV6">MATCH(MAX(ABS(CV3:CV5)), ABS(CV3:CV5), 0)</f>
        <v>2</v>
      </c>
      <c r="CW6" s="7">
        <f t="array" ref="CW6">MATCH(MAX(ABS(CW3:CW5)), ABS(CW3:CW5), 0)</f>
        <v>3</v>
      </c>
      <c r="CX6" s="7">
        <f t="array" ref="CX6">MATCH(MAX(ABS(CX3:CX5)), ABS(CX3:CX5), 0)</f>
        <v>3</v>
      </c>
      <c r="CY6" s="7">
        <f t="array" ref="CY6">MATCH(MAX(ABS(CY3:CY5)), ABS(CY3:CY5), 0)</f>
        <v>3</v>
      </c>
      <c r="CZ6" s="7">
        <f t="array" ref="CZ6">MATCH(MAX(ABS(CZ3:CZ5)), ABS(CZ3:CZ5), 0)</f>
        <v>3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1</v>
      </c>
      <c r="DD6" s="7">
        <f t="array" ref="DD6">MATCH(MAX(ABS(DD3:DD5)), ABS(DD3:DD5), 0)</f>
        <v>3</v>
      </c>
      <c r="DE6" s="7">
        <f t="array" ref="DE6">MATCH(MAX(ABS(DE3:DE5)), ABS(DE3:DE5), 0)</f>
        <v>3</v>
      </c>
      <c r="DF6" s="7">
        <f t="array" ref="DF6">MATCH(MAX(ABS(DF3:DF5)), ABS(DF3:DF5), 0)</f>
        <v>3</v>
      </c>
      <c r="DG6" s="7">
        <f t="array" ref="DG6">MATCH(MAX(ABS(DG3:DG5)), ABS(DG3:DG5), 0)</f>
        <v>3</v>
      </c>
      <c r="DH6" s="7">
        <f t="array" ref="DH6">MATCH(MAX(ABS(DH3:DH5)), ABS(DH3:DH5), 0)</f>
        <v>2</v>
      </c>
      <c r="DI6" s="7">
        <f t="array" ref="DI6">MATCH(MAX(ABS(DI3:DI5)), ABS(DI3:DI5), 0)</f>
        <v>3</v>
      </c>
      <c r="DJ6" s="7">
        <f t="array" ref="DJ6">MATCH(MAX(ABS(DJ3:DJ5)), ABS(DJ3:DJ5), 0)</f>
        <v>3</v>
      </c>
      <c r="DK6" s="7">
        <f t="array" ref="DK6">MATCH(MAX(ABS(DK3:DK5)), ABS(DK3:DK5), 0)</f>
        <v>3</v>
      </c>
      <c r="DL6" s="7">
        <f t="array" ref="DL6">MATCH(MAX(ABS(DL3:DL5)), ABS(DL3:DL5), 0)</f>
        <v>3</v>
      </c>
      <c r="DM6" s="7">
        <f t="array" ref="DM6">MATCH(MAX(ABS(DM3:DM5)), ABS(DM3:DM5), 0)</f>
        <v>3</v>
      </c>
      <c r="DN6" s="7">
        <f t="array" ref="DN6">MATCH(MAX(ABS(DN3:DN5)), ABS(DN3:DN5), 0)</f>
        <v>3</v>
      </c>
      <c r="DO6" s="7">
        <f t="array" ref="DO6">MATCH(MAX(ABS(DO3:DO5)), ABS(DO3:DO5), 0)</f>
        <v>3</v>
      </c>
      <c r="DP6" s="7">
        <f t="array" ref="DP6">MATCH(MAX(ABS(DP3:DP5)), ABS(DP3:DP5), 0)</f>
        <v>1</v>
      </c>
      <c r="DQ6" s="7">
        <f t="array" ref="DQ6">MATCH(MAX(ABS(DQ3:DQ5)), ABS(DQ3:DQ5), 0)</f>
        <v>3</v>
      </c>
      <c r="DR6" s="7">
        <f t="array" ref="DR6">MATCH(MAX(ABS(DR3:DR5)), ABS(DR3:DR5), 0)</f>
        <v>2</v>
      </c>
      <c r="DS6" s="7">
        <f t="array" ref="DS6">MATCH(MAX(ABS(DS3:DS5)), ABS(DS3:DS5), 0)</f>
        <v>3</v>
      </c>
      <c r="DT6" s="7">
        <f t="array" ref="DT6">MATCH(MAX(ABS(DT3:DT5)), ABS(DT3:DT5), 0)</f>
        <v>3</v>
      </c>
      <c r="DU6" s="7">
        <f t="array" ref="DU6">MATCH(MAX(ABS(DU3:DU5)), ABS(DU3:DU5), 0)</f>
        <v>3</v>
      </c>
      <c r="DV6" s="7">
        <f t="array" ref="DV6">MATCH(MAX(ABS(DV3:DV5)), ABS(DV3:DV5), 0)</f>
        <v>3</v>
      </c>
      <c r="DW6" s="7">
        <f t="array" ref="DW6">MATCH(MAX(ABS(DW3:DW5)), ABS(DW3:DW5), 0)</f>
        <v>1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3</v>
      </c>
      <c r="EC6" s="7">
        <f t="array" ref="EC6">MATCH(MAX(ABS(EC3:EC5)), ABS(EC3:EC5), 0)</f>
        <v>3</v>
      </c>
      <c r="ED6" s="7">
        <f t="array" ref="ED6">MATCH(MAX(ABS(ED3:ED5)), ABS(ED3:ED5), 0)</f>
        <v>3</v>
      </c>
      <c r="EE6" s="7">
        <f t="array" ref="EE6">MATCH(MAX(ABS(EE3:EE5)), ABS(EE3:EE5), 0)</f>
        <v>3</v>
      </c>
      <c r="EF6" s="7">
        <f t="array" ref="EF6">MATCH(MAX(ABS(EF3:EF5)), ABS(EF3:EF5), 0)</f>
        <v>2</v>
      </c>
      <c r="EG6" s="1">
        <f t="array" ref="EG6">MATCH(MAX(ABS(EG3:EG5)), ABS(EG3:EG5), 0)</f>
        <v>1</v>
      </c>
    </row>
    <row r="7" spans="1:137" x14ac:dyDescent="0.3">
      <c r="C7" s="7" t="str">
        <f t="shared" ref="C7:AH7" si="0">IF(C6=1,"bm",IF(C6=2,"size",IF(C6=3,"mom")))</f>
        <v>mom</v>
      </c>
      <c r="D7" s="7" t="str">
        <f t="shared" si="0"/>
        <v>size</v>
      </c>
      <c r="E7" s="7" t="str">
        <f t="shared" si="0"/>
        <v>mom</v>
      </c>
      <c r="F7" s="7" t="str">
        <f t="shared" si="0"/>
        <v>mom</v>
      </c>
      <c r="G7" s="7" t="str">
        <f t="shared" si="0"/>
        <v>mom</v>
      </c>
      <c r="H7" s="7" t="str">
        <f t="shared" si="0"/>
        <v>mom</v>
      </c>
      <c r="I7" s="7" t="str">
        <f t="shared" si="0"/>
        <v>bm</v>
      </c>
      <c r="J7" s="7" t="str">
        <f t="shared" si="0"/>
        <v>bm</v>
      </c>
      <c r="K7" s="7" t="str">
        <f t="shared" si="0"/>
        <v>mom</v>
      </c>
      <c r="L7" s="7" t="str">
        <f t="shared" si="0"/>
        <v>mom</v>
      </c>
      <c r="M7" s="7" t="str">
        <f t="shared" si="0"/>
        <v>mom</v>
      </c>
      <c r="N7" s="7" t="str">
        <f t="shared" si="0"/>
        <v>mom</v>
      </c>
      <c r="O7" s="7" t="str">
        <f t="shared" si="0"/>
        <v>bm</v>
      </c>
      <c r="P7" s="7" t="str">
        <f t="shared" si="0"/>
        <v>mom</v>
      </c>
      <c r="Q7" s="7" t="str">
        <f t="shared" si="0"/>
        <v>bm</v>
      </c>
      <c r="R7" s="7" t="str">
        <f t="shared" si="0"/>
        <v>bm</v>
      </c>
      <c r="S7" s="7" t="str">
        <f t="shared" si="0"/>
        <v>mom</v>
      </c>
      <c r="T7" s="7" t="str">
        <f t="shared" si="0"/>
        <v>bm</v>
      </c>
      <c r="U7" s="7" t="str">
        <f t="shared" si="0"/>
        <v>bm</v>
      </c>
      <c r="V7" s="7" t="str">
        <f t="shared" si="0"/>
        <v>mom</v>
      </c>
      <c r="W7" s="7" t="str">
        <f t="shared" si="0"/>
        <v>mom</v>
      </c>
      <c r="X7" s="7" t="str">
        <f t="shared" si="0"/>
        <v>size</v>
      </c>
      <c r="Y7" s="7" t="str">
        <f t="shared" si="0"/>
        <v>mom</v>
      </c>
      <c r="Z7" s="7" t="str">
        <f t="shared" si="0"/>
        <v>bm</v>
      </c>
      <c r="AA7" s="7" t="str">
        <f t="shared" si="0"/>
        <v>bm</v>
      </c>
      <c r="AB7" s="7" t="str">
        <f t="shared" si="0"/>
        <v>bm</v>
      </c>
      <c r="AC7" s="7" t="str">
        <f t="shared" si="0"/>
        <v>mom</v>
      </c>
      <c r="AD7" s="7" t="str">
        <f t="shared" si="0"/>
        <v>mom</v>
      </c>
      <c r="AE7" s="7" t="str">
        <f t="shared" si="0"/>
        <v>mom</v>
      </c>
      <c r="AF7" s="7" t="str">
        <f t="shared" si="0"/>
        <v>mom</v>
      </c>
      <c r="AG7" s="7" t="str">
        <f t="shared" si="0"/>
        <v>mom</v>
      </c>
      <c r="AH7" s="7" t="str">
        <f t="shared" si="0"/>
        <v>mom</v>
      </c>
      <c r="AI7" s="7" t="str">
        <f t="shared" ref="AI7:BN7" si="1">IF(AI6=1,"bm",IF(AI6=2,"size",IF(AI6=3,"mom")))</f>
        <v>mom</v>
      </c>
      <c r="AJ7" s="7" t="str">
        <f t="shared" si="1"/>
        <v>mom</v>
      </c>
      <c r="AK7" s="7" t="str">
        <f t="shared" si="1"/>
        <v>mom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mom</v>
      </c>
      <c r="AP7" s="7" t="str">
        <f t="shared" si="1"/>
        <v>size</v>
      </c>
      <c r="AQ7" s="7" t="str">
        <f t="shared" si="1"/>
        <v>bm</v>
      </c>
      <c r="AR7" s="7" t="str">
        <f t="shared" si="1"/>
        <v>size</v>
      </c>
      <c r="AS7" s="7" t="str">
        <f t="shared" si="1"/>
        <v>bm</v>
      </c>
      <c r="AT7" s="7" t="str">
        <f t="shared" si="1"/>
        <v>mom</v>
      </c>
      <c r="AU7" s="7" t="str">
        <f t="shared" si="1"/>
        <v>mom</v>
      </c>
      <c r="AV7" s="7" t="str">
        <f t="shared" si="1"/>
        <v>size</v>
      </c>
      <c r="AW7" s="7" t="str">
        <f t="shared" si="1"/>
        <v>bm</v>
      </c>
      <c r="AX7" s="7" t="str">
        <f t="shared" si="1"/>
        <v>mom</v>
      </c>
      <c r="AY7" s="7" t="str">
        <f t="shared" si="1"/>
        <v>mom</v>
      </c>
      <c r="AZ7" s="7" t="str">
        <f t="shared" si="1"/>
        <v>mom</v>
      </c>
      <c r="BA7" s="7" t="str">
        <f t="shared" si="1"/>
        <v>bm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mom</v>
      </c>
      <c r="BG7" s="7" t="str">
        <f t="shared" si="1"/>
        <v>bm</v>
      </c>
      <c r="BH7" s="7" t="str">
        <f t="shared" si="1"/>
        <v>bm</v>
      </c>
      <c r="BI7" s="7" t="str">
        <f t="shared" si="1"/>
        <v>mom</v>
      </c>
      <c r="BJ7" s="7" t="str">
        <f t="shared" si="1"/>
        <v>mom</v>
      </c>
      <c r="BK7" s="7" t="str">
        <f t="shared" si="1"/>
        <v>mom</v>
      </c>
      <c r="BL7" s="7" t="str">
        <f t="shared" si="1"/>
        <v>mom</v>
      </c>
      <c r="BM7" s="7" t="str">
        <f t="shared" si="1"/>
        <v>mom</v>
      </c>
      <c r="BN7" s="7" t="str">
        <f t="shared" si="1"/>
        <v>mom</v>
      </c>
      <c r="BO7" s="7" t="str">
        <f t="shared" ref="BO7:CT7" si="2">IF(BO6=1,"bm",IF(BO6=2,"size",IF(BO6=3,"mom")))</f>
        <v>bm</v>
      </c>
      <c r="BP7" s="7" t="str">
        <f t="shared" si="2"/>
        <v>size</v>
      </c>
      <c r="BQ7" s="7" t="str">
        <f t="shared" si="2"/>
        <v>mom</v>
      </c>
      <c r="BR7" s="7" t="str">
        <f t="shared" si="2"/>
        <v>bm</v>
      </c>
      <c r="BS7" s="7" t="str">
        <f t="shared" si="2"/>
        <v>mom</v>
      </c>
      <c r="BT7" s="7" t="str">
        <f t="shared" si="2"/>
        <v>mom</v>
      </c>
      <c r="BU7" s="7" t="str">
        <f t="shared" si="2"/>
        <v>bm</v>
      </c>
      <c r="BV7" s="7" t="str">
        <f t="shared" si="2"/>
        <v>size</v>
      </c>
      <c r="BW7" s="7" t="str">
        <f t="shared" si="2"/>
        <v>mom</v>
      </c>
      <c r="BX7" s="7" t="str">
        <f t="shared" si="2"/>
        <v>mom</v>
      </c>
      <c r="BY7" s="7" t="str">
        <f t="shared" si="2"/>
        <v>size</v>
      </c>
      <c r="BZ7" s="7" t="str">
        <f t="shared" si="2"/>
        <v>bm</v>
      </c>
      <c r="CA7" s="7" t="str">
        <f t="shared" si="2"/>
        <v>bm</v>
      </c>
      <c r="CB7" s="7" t="str">
        <f t="shared" si="2"/>
        <v>size</v>
      </c>
      <c r="CC7" s="7" t="str">
        <f t="shared" si="2"/>
        <v>size</v>
      </c>
      <c r="CD7" s="7" t="str">
        <f t="shared" si="2"/>
        <v>mom</v>
      </c>
      <c r="CE7" s="7" t="str">
        <f t="shared" si="2"/>
        <v>bm</v>
      </c>
      <c r="CF7" s="7" t="str">
        <f t="shared" si="2"/>
        <v>mom</v>
      </c>
      <c r="CG7" s="7" t="str">
        <f t="shared" si="2"/>
        <v>mom</v>
      </c>
      <c r="CH7" s="7" t="str">
        <f t="shared" si="2"/>
        <v>mom</v>
      </c>
      <c r="CI7" s="7" t="str">
        <f t="shared" si="2"/>
        <v>mom</v>
      </c>
      <c r="CJ7" s="7" t="str">
        <f t="shared" si="2"/>
        <v>bm</v>
      </c>
      <c r="CK7" s="7" t="str">
        <f t="shared" si="2"/>
        <v>mom</v>
      </c>
      <c r="CL7" s="7" t="str">
        <f t="shared" si="2"/>
        <v>mom</v>
      </c>
      <c r="CM7" s="7" t="str">
        <f t="shared" si="2"/>
        <v>bm</v>
      </c>
      <c r="CN7" s="7" t="str">
        <f t="shared" si="2"/>
        <v>bm</v>
      </c>
      <c r="CO7" s="7" t="str">
        <f t="shared" si="2"/>
        <v>mom</v>
      </c>
      <c r="CP7" s="7" t="str">
        <f t="shared" si="2"/>
        <v>bm</v>
      </c>
      <c r="CQ7" s="7" t="str">
        <f t="shared" si="2"/>
        <v>mom</v>
      </c>
      <c r="CR7" s="7" t="str">
        <f t="shared" si="2"/>
        <v>mom</v>
      </c>
      <c r="CS7" s="7" t="str">
        <f t="shared" si="2"/>
        <v>size</v>
      </c>
      <c r="CT7" s="7" t="str">
        <f t="shared" si="2"/>
        <v>mom</v>
      </c>
      <c r="CU7" s="7" t="str">
        <f t="shared" ref="CU7:DZ7" si="3">IF(CU6=1,"bm",IF(CU6=2,"size",IF(CU6=3,"mom")))</f>
        <v>mom</v>
      </c>
      <c r="CV7" s="7" t="str">
        <f t="shared" si="3"/>
        <v>size</v>
      </c>
      <c r="CW7" s="7" t="str">
        <f t="shared" si="3"/>
        <v>mom</v>
      </c>
      <c r="CX7" s="7" t="str">
        <f t="shared" si="3"/>
        <v>mom</v>
      </c>
      <c r="CY7" s="7" t="str">
        <f t="shared" si="3"/>
        <v>mom</v>
      </c>
      <c r="CZ7" s="7" t="str">
        <f t="shared" si="3"/>
        <v>mom</v>
      </c>
      <c r="DA7" s="7" t="str">
        <f t="shared" si="3"/>
        <v>bm</v>
      </c>
      <c r="DB7" s="7" t="str">
        <f t="shared" si="3"/>
        <v>bm</v>
      </c>
      <c r="DC7" s="7" t="str">
        <f t="shared" si="3"/>
        <v>bm</v>
      </c>
      <c r="DD7" s="7" t="str">
        <f t="shared" si="3"/>
        <v>mom</v>
      </c>
      <c r="DE7" s="7" t="str">
        <f t="shared" si="3"/>
        <v>mom</v>
      </c>
      <c r="DF7" s="7" t="str">
        <f t="shared" si="3"/>
        <v>mom</v>
      </c>
      <c r="DG7" s="7" t="str">
        <f t="shared" si="3"/>
        <v>mom</v>
      </c>
      <c r="DH7" s="7" t="str">
        <f t="shared" si="3"/>
        <v>size</v>
      </c>
      <c r="DI7" s="7" t="str">
        <f t="shared" si="3"/>
        <v>mom</v>
      </c>
      <c r="DJ7" s="7" t="str">
        <f t="shared" si="3"/>
        <v>mom</v>
      </c>
      <c r="DK7" s="7" t="str">
        <f t="shared" si="3"/>
        <v>mom</v>
      </c>
      <c r="DL7" s="7" t="str">
        <f t="shared" si="3"/>
        <v>mom</v>
      </c>
      <c r="DM7" s="7" t="str">
        <f t="shared" si="3"/>
        <v>mom</v>
      </c>
      <c r="DN7" s="7" t="str">
        <f t="shared" si="3"/>
        <v>mom</v>
      </c>
      <c r="DO7" s="7" t="str">
        <f t="shared" si="3"/>
        <v>mom</v>
      </c>
      <c r="DP7" s="7" t="str">
        <f t="shared" si="3"/>
        <v>bm</v>
      </c>
      <c r="DQ7" s="7" t="str">
        <f t="shared" si="3"/>
        <v>mom</v>
      </c>
      <c r="DR7" s="7" t="str">
        <f t="shared" si="3"/>
        <v>size</v>
      </c>
      <c r="DS7" s="7" t="str">
        <f t="shared" si="3"/>
        <v>mom</v>
      </c>
      <c r="DT7" s="7" t="str">
        <f t="shared" si="3"/>
        <v>mom</v>
      </c>
      <c r="DU7" s="7" t="str">
        <f t="shared" si="3"/>
        <v>mom</v>
      </c>
      <c r="DV7" s="7" t="str">
        <f t="shared" si="3"/>
        <v>mom</v>
      </c>
      <c r="DW7" s="7" t="str">
        <f t="shared" si="3"/>
        <v>bm</v>
      </c>
      <c r="DX7" s="7" t="str">
        <f t="shared" si="3"/>
        <v>mom</v>
      </c>
      <c r="DY7" s="7" t="str">
        <f t="shared" si="3"/>
        <v>mom</v>
      </c>
      <c r="DZ7" s="7" t="str">
        <f t="shared" si="3"/>
        <v>mom</v>
      </c>
      <c r="EA7" s="7" t="str">
        <f t="shared" ref="EA7:EG7" si="4">IF(EA6=1,"bm",IF(EA6=2,"size",IF(EA6=3,"mom")))</f>
        <v>size</v>
      </c>
      <c r="EB7" s="7" t="str">
        <f t="shared" si="4"/>
        <v>mom</v>
      </c>
      <c r="EC7" s="7" t="str">
        <f t="shared" si="4"/>
        <v>mom</v>
      </c>
      <c r="ED7" s="7" t="str">
        <f t="shared" si="4"/>
        <v>mom</v>
      </c>
      <c r="EE7" s="7" t="str">
        <f t="shared" si="4"/>
        <v>mom</v>
      </c>
      <c r="EF7" s="7" t="str">
        <f t="shared" si="4"/>
        <v>size</v>
      </c>
      <c r="EG7" s="1" t="str">
        <f t="shared" si="4"/>
        <v>bm</v>
      </c>
    </row>
    <row r="8" spans="1:137" x14ac:dyDescent="0.3">
      <c r="C8" s="7">
        <f t="shared" ref="C8:AH8" si="5">IF(C6=1,C3,IF(C6=2,C4,IF(C6=3,C5)))</f>
        <v>-0.20935792122733929</v>
      </c>
      <c r="D8" s="7">
        <f t="shared" si="5"/>
        <v>-0.19625335237819111</v>
      </c>
      <c r="E8" s="7">
        <f t="shared" si="5"/>
        <v>0.52484760680152232</v>
      </c>
      <c r="F8" s="7">
        <f t="shared" si="5"/>
        <v>4.6837059958046809E-2</v>
      </c>
      <c r="G8" s="7">
        <f t="shared" si="5"/>
        <v>-0.2104714261735883</v>
      </c>
      <c r="H8" s="7">
        <f t="shared" si="5"/>
        <v>0.4744149628629204</v>
      </c>
      <c r="I8" s="7">
        <f t="shared" si="5"/>
        <v>-0.196765586355543</v>
      </c>
      <c r="J8" s="7">
        <f t="shared" si="5"/>
        <v>0.27883034253821021</v>
      </c>
      <c r="K8" s="7">
        <f t="shared" si="5"/>
        <v>0.27552845629080469</v>
      </c>
      <c r="L8" s="7">
        <f t="shared" si="5"/>
        <v>-0.43004286310886081</v>
      </c>
      <c r="M8" s="7">
        <f t="shared" si="5"/>
        <v>0.32376774959305898</v>
      </c>
      <c r="N8" s="7">
        <f t="shared" si="5"/>
        <v>-0.34824165047033961</v>
      </c>
      <c r="O8" s="7">
        <f t="shared" si="5"/>
        <v>0.31084678168383018</v>
      </c>
      <c r="P8" s="7">
        <f t="shared" si="5"/>
        <v>0.39546612391174241</v>
      </c>
      <c r="Q8" s="7">
        <f t="shared" si="5"/>
        <v>-0.12307050339382571</v>
      </c>
      <c r="R8" s="7">
        <f t="shared" si="5"/>
        <v>-0.1125584938483795</v>
      </c>
      <c r="S8" s="7">
        <f t="shared" si="5"/>
        <v>0.3057921371194337</v>
      </c>
      <c r="T8" s="7">
        <f t="shared" si="5"/>
        <v>-0.14458476697667119</v>
      </c>
      <c r="U8" s="7">
        <f t="shared" si="5"/>
        <v>-0.26280780822848671</v>
      </c>
      <c r="V8" s="7">
        <f t="shared" si="5"/>
        <v>-0.13936695356286269</v>
      </c>
      <c r="W8" s="7">
        <f t="shared" si="5"/>
        <v>-0.39469012652483237</v>
      </c>
      <c r="X8" s="7">
        <f t="shared" si="5"/>
        <v>-0.16973075948726549</v>
      </c>
      <c r="Y8" s="7">
        <f t="shared" si="5"/>
        <v>-0.68127295831176804</v>
      </c>
      <c r="Z8" s="7">
        <f t="shared" si="5"/>
        <v>0.1030897419422631</v>
      </c>
      <c r="AA8" s="7">
        <f t="shared" si="5"/>
        <v>0.48637748963693123</v>
      </c>
      <c r="AB8" s="7">
        <f t="shared" si="5"/>
        <v>-0.23481983175156351</v>
      </c>
      <c r="AC8" s="7">
        <f t="shared" si="5"/>
        <v>-8.9163225286403025E-2</v>
      </c>
      <c r="AD8" s="7">
        <f t="shared" si="5"/>
        <v>0.14514145822358679</v>
      </c>
      <c r="AE8" s="7">
        <f t="shared" si="5"/>
        <v>7.4669147590605167E-2</v>
      </c>
      <c r="AF8" s="7">
        <f t="shared" si="5"/>
        <v>0.17577042279847119</v>
      </c>
      <c r="AG8" s="7">
        <f t="shared" si="5"/>
        <v>-0.30336041259100399</v>
      </c>
      <c r="AH8" s="7">
        <f t="shared" si="5"/>
        <v>-0.3482499081721625</v>
      </c>
      <c r="AI8" s="7">
        <f t="shared" ref="AI8:BN8" si="6">IF(AI6=1,AI3,IF(AI6=2,AI4,IF(AI6=3,AI5)))</f>
        <v>0.25872371710226461</v>
      </c>
      <c r="AJ8" s="7">
        <f t="shared" si="6"/>
        <v>-0.48889196953357</v>
      </c>
      <c r="AK8" s="7">
        <f t="shared" si="6"/>
        <v>0.13254842946584691</v>
      </c>
      <c r="AL8" s="7">
        <f t="shared" si="6"/>
        <v>0.1873807232887153</v>
      </c>
      <c r="AM8" s="7">
        <f t="shared" si="6"/>
        <v>9.6837349683265961E-2</v>
      </c>
      <c r="AN8" s="7">
        <f t="shared" si="6"/>
        <v>0.2075736584826228</v>
      </c>
      <c r="AO8" s="7">
        <f t="shared" si="6"/>
        <v>0.1844633194704077</v>
      </c>
      <c r="AP8" s="7">
        <f t="shared" si="6"/>
        <v>7.9750638168698984E-2</v>
      </c>
      <c r="AQ8" s="7">
        <f t="shared" si="6"/>
        <v>-0.2114396427417905</v>
      </c>
      <c r="AR8" s="7">
        <f t="shared" si="6"/>
        <v>0.1144314103616733</v>
      </c>
      <c r="AS8" s="7">
        <f t="shared" si="6"/>
        <v>0.14111009314114389</v>
      </c>
      <c r="AT8" s="7">
        <f t="shared" si="6"/>
        <v>0.1516447920969482</v>
      </c>
      <c r="AU8" s="7">
        <f t="shared" si="6"/>
        <v>-0.20083705233961571</v>
      </c>
      <c r="AV8" s="7">
        <f t="shared" si="6"/>
        <v>-0.21769900369851489</v>
      </c>
      <c r="AW8" s="7">
        <f t="shared" si="6"/>
        <v>-0.1741550037979904</v>
      </c>
      <c r="AX8" s="7">
        <f t="shared" si="6"/>
        <v>0.1122931240608864</v>
      </c>
      <c r="AY8" s="7">
        <f t="shared" si="6"/>
        <v>-0.118056117907044</v>
      </c>
      <c r="AZ8" s="7">
        <f t="shared" si="6"/>
        <v>0.20621977214253931</v>
      </c>
      <c r="BA8" s="7">
        <f t="shared" si="6"/>
        <v>0.16049954912817649</v>
      </c>
      <c r="BB8" s="7">
        <f t="shared" si="6"/>
        <v>-0.25246377965845751</v>
      </c>
      <c r="BC8" s="7">
        <f t="shared" si="6"/>
        <v>0.1567368975950931</v>
      </c>
      <c r="BD8" s="7">
        <f t="shared" si="6"/>
        <v>0.16688346547535879</v>
      </c>
      <c r="BE8" s="7">
        <f t="shared" si="6"/>
        <v>-0.13147229447438241</v>
      </c>
      <c r="BF8" s="7">
        <f t="shared" si="6"/>
        <v>-0.28526227318364472</v>
      </c>
      <c r="BG8" s="7">
        <f t="shared" si="6"/>
        <v>0.31531123716866039</v>
      </c>
      <c r="BH8" s="7">
        <f t="shared" si="6"/>
        <v>0.27010117711850462</v>
      </c>
      <c r="BI8" s="7">
        <f t="shared" si="6"/>
        <v>5.812657406460206E-2</v>
      </c>
      <c r="BJ8" s="7">
        <f t="shared" si="6"/>
        <v>-0.25986983403483388</v>
      </c>
      <c r="BK8" s="7">
        <f t="shared" si="6"/>
        <v>0.18487944696901781</v>
      </c>
      <c r="BL8" s="7">
        <f t="shared" si="6"/>
        <v>-0.26913172790454543</v>
      </c>
      <c r="BM8" s="7">
        <f t="shared" si="6"/>
        <v>0.1717381908649544</v>
      </c>
      <c r="BN8" s="7">
        <f t="shared" si="6"/>
        <v>-0.18092216130584951</v>
      </c>
      <c r="BO8" s="7">
        <f t="shared" ref="BO8:CT8" si="7">IF(BO6=1,BO3,IF(BO6=2,BO4,IF(BO6=3,BO5)))</f>
        <v>-0.149287939972541</v>
      </c>
      <c r="BP8" s="7">
        <f t="shared" si="7"/>
        <v>8.3627121253362802E-2</v>
      </c>
      <c r="BQ8" s="7">
        <f t="shared" si="7"/>
        <v>-0.16861046240236999</v>
      </c>
      <c r="BR8" s="7">
        <f t="shared" si="7"/>
        <v>0.21346470331308601</v>
      </c>
      <c r="BS8" s="7">
        <f t="shared" si="7"/>
        <v>0.1244241075337672</v>
      </c>
      <c r="BT8" s="7">
        <f t="shared" si="7"/>
        <v>0.20772231279415901</v>
      </c>
      <c r="BU8" s="7">
        <f t="shared" si="7"/>
        <v>0.1137793780847101</v>
      </c>
      <c r="BV8" s="7">
        <f t="shared" si="7"/>
        <v>0.17197266141593739</v>
      </c>
      <c r="BW8" s="7">
        <f t="shared" si="7"/>
        <v>-0.1268015683060742</v>
      </c>
      <c r="BX8" s="7">
        <f t="shared" si="7"/>
        <v>-0.10582029087279909</v>
      </c>
      <c r="BY8" s="7">
        <f t="shared" si="7"/>
        <v>-0.1826948620902353</v>
      </c>
      <c r="BZ8" s="7">
        <f t="shared" si="7"/>
        <v>-0.14071284467671319</v>
      </c>
      <c r="CA8" s="7">
        <f t="shared" si="7"/>
        <v>7.3472777058867567E-2</v>
      </c>
      <c r="CB8" s="7">
        <f t="shared" si="7"/>
        <v>0.19801890737320349</v>
      </c>
      <c r="CC8" s="7">
        <f t="shared" si="7"/>
        <v>-0.29446404903659129</v>
      </c>
      <c r="CD8" s="7">
        <f t="shared" si="7"/>
        <v>0.32742328506094998</v>
      </c>
      <c r="CE8" s="7">
        <f t="shared" si="7"/>
        <v>0.21879703659667429</v>
      </c>
      <c r="CF8" s="7">
        <f t="shared" si="7"/>
        <v>-0.14937324914413941</v>
      </c>
      <c r="CG8" s="7">
        <f t="shared" si="7"/>
        <v>0.16320028060313421</v>
      </c>
      <c r="CH8" s="7">
        <f t="shared" si="7"/>
        <v>-6.9038325074175663E-2</v>
      </c>
      <c r="CI8" s="7">
        <f t="shared" si="7"/>
        <v>-0.11536214708505139</v>
      </c>
      <c r="CJ8" s="7">
        <f t="shared" si="7"/>
        <v>-0.39111281147264998</v>
      </c>
      <c r="CK8" s="7">
        <f t="shared" si="7"/>
        <v>0.37897350211797709</v>
      </c>
      <c r="CL8" s="7">
        <f t="shared" si="7"/>
        <v>-7.6383453932209341E-2</v>
      </c>
      <c r="CM8" s="7">
        <f t="shared" si="7"/>
        <v>0.18311247425732111</v>
      </c>
      <c r="CN8" s="7">
        <f t="shared" si="7"/>
        <v>-0.39746167912504499</v>
      </c>
      <c r="CO8" s="7">
        <f t="shared" si="7"/>
        <v>0.43716796518582229</v>
      </c>
      <c r="CP8" s="7">
        <f t="shared" si="7"/>
        <v>-9.5682049872747255E-2</v>
      </c>
      <c r="CQ8" s="7">
        <f t="shared" si="7"/>
        <v>-0.49935244279872992</v>
      </c>
      <c r="CR8" s="7">
        <f t="shared" si="7"/>
        <v>0.3398570382696095</v>
      </c>
      <c r="CS8" s="7">
        <f t="shared" si="7"/>
        <v>-0.27901111949972451</v>
      </c>
      <c r="CT8" s="7">
        <f t="shared" si="7"/>
        <v>0.2246197528310597</v>
      </c>
      <c r="CU8" s="7">
        <f t="shared" ref="CU8:DZ8" si="8">IF(CU6=1,CU3,IF(CU6=2,CU4,IF(CU6=3,CU5)))</f>
        <v>-0.25171771168640761</v>
      </c>
      <c r="CV8" s="7">
        <f t="shared" si="8"/>
        <v>0.1117497704879042</v>
      </c>
      <c r="CW8" s="7">
        <f t="shared" si="8"/>
        <v>0.2108770628752098</v>
      </c>
      <c r="CX8" s="7">
        <f t="shared" si="8"/>
        <v>0.25016150139728283</v>
      </c>
      <c r="CY8" s="7">
        <f t="shared" si="8"/>
        <v>-0.52413353929587791</v>
      </c>
      <c r="CZ8" s="7">
        <f t="shared" si="8"/>
        <v>0.8216183061041753</v>
      </c>
      <c r="DA8" s="7">
        <f t="shared" si="8"/>
        <v>0.31254073484350059</v>
      </c>
      <c r="DB8" s="7">
        <f t="shared" si="8"/>
        <v>-0.15564612733519101</v>
      </c>
      <c r="DC8" s="7">
        <f t="shared" si="8"/>
        <v>-0.1869585274246745</v>
      </c>
      <c r="DD8" s="7">
        <f t="shared" si="8"/>
        <v>-0.42083892435479142</v>
      </c>
      <c r="DE8" s="7">
        <f t="shared" si="8"/>
        <v>-0.2279724207651195</v>
      </c>
      <c r="DF8" s="7">
        <f t="shared" si="8"/>
        <v>-0.33715973842927388</v>
      </c>
      <c r="DG8" s="7">
        <f t="shared" si="8"/>
        <v>-0.44400370439279008</v>
      </c>
      <c r="DH8" s="7">
        <f t="shared" si="8"/>
        <v>0.15762567020768259</v>
      </c>
      <c r="DI8" s="7">
        <f t="shared" si="8"/>
        <v>0.30896916307249689</v>
      </c>
      <c r="DJ8" s="7">
        <f t="shared" si="8"/>
        <v>-0.28669247758290828</v>
      </c>
      <c r="DK8" s="7">
        <f t="shared" si="8"/>
        <v>0.84621248517861269</v>
      </c>
      <c r="DL8" s="7">
        <f t="shared" si="8"/>
        <v>-0.16924034367306559</v>
      </c>
      <c r="DM8" s="7">
        <f t="shared" si="8"/>
        <v>-0.43945016692248923</v>
      </c>
      <c r="DN8" s="7">
        <f t="shared" si="8"/>
        <v>0.74751336560070059</v>
      </c>
      <c r="DO8" s="7">
        <f t="shared" si="8"/>
        <v>-0.39996426308914668</v>
      </c>
      <c r="DP8" s="7">
        <f t="shared" si="8"/>
        <v>0.16113140194021491</v>
      </c>
      <c r="DQ8" s="7">
        <f t="shared" si="8"/>
        <v>-0.58863430244229409</v>
      </c>
      <c r="DR8" s="7">
        <f t="shared" si="8"/>
        <v>-0.1292436792863576</v>
      </c>
      <c r="DS8" s="7">
        <f t="shared" si="8"/>
        <v>-0.19878519438361211</v>
      </c>
      <c r="DT8" s="7">
        <f t="shared" si="8"/>
        <v>0.4132117833889476</v>
      </c>
      <c r="DU8" s="7">
        <f t="shared" si="8"/>
        <v>-0.17065403209770361</v>
      </c>
      <c r="DV8" s="7">
        <f t="shared" si="8"/>
        <v>0.68828031734213269</v>
      </c>
      <c r="DW8" s="7">
        <f t="shared" si="8"/>
        <v>6.6155769939567149E-2</v>
      </c>
      <c r="DX8" s="7">
        <f t="shared" si="8"/>
        <v>-0.1999347157162332</v>
      </c>
      <c r="DY8" s="7">
        <f t="shared" si="8"/>
        <v>0.56631420698904078</v>
      </c>
      <c r="DZ8" s="7">
        <f t="shared" si="8"/>
        <v>0.47362880432099852</v>
      </c>
      <c r="EA8" s="7">
        <f t="shared" ref="EA8:EG8" si="9">IF(EA6=1,EA3,IF(EA6=2,EA4,IF(EA6=3,EA5)))</f>
        <v>-0.1948807812701929</v>
      </c>
      <c r="EB8" s="7">
        <f t="shared" si="9"/>
        <v>-1.076360940060376</v>
      </c>
      <c r="EC8" s="7">
        <f t="shared" si="9"/>
        <v>-0.13610628648279391</v>
      </c>
      <c r="ED8" s="7">
        <f t="shared" si="9"/>
        <v>-0.27349656344743889</v>
      </c>
      <c r="EE8" s="7">
        <f t="shared" si="9"/>
        <v>0.60134859370029736</v>
      </c>
      <c r="EF8" s="7">
        <f t="shared" si="9"/>
        <v>0.24381115553913091</v>
      </c>
      <c r="EG8" s="1">
        <f t="shared" si="9"/>
        <v>0</v>
      </c>
    </row>
    <row r="10" spans="1:137" x14ac:dyDescent="0.3">
      <c r="A10" s="22" t="s">
        <v>140</v>
      </c>
      <c r="B10" s="23"/>
      <c r="C10" s="1" t="s">
        <v>141</v>
      </c>
      <c r="D10" s="2">
        <v>964</v>
      </c>
    </row>
    <row r="11" spans="1:137" x14ac:dyDescent="0.3">
      <c r="A11" s="1" t="s">
        <v>158</v>
      </c>
      <c r="B11" s="1" t="s">
        <v>142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144</v>
      </c>
    </row>
    <row r="12" spans="1:137" x14ac:dyDescent="0.3">
      <c r="A12" s="1">
        <v>96</v>
      </c>
      <c r="B12" s="1" t="s">
        <v>159</v>
      </c>
      <c r="C12" s="15">
        <v>1.44992469840961E-2</v>
      </c>
      <c r="D12" s="15">
        <f>C12+預測IC!D12</f>
        <v>0.12918787602931961</v>
      </c>
      <c r="E12" s="15">
        <f>D12+預測IC!E12</f>
        <v>0.12779415148845316</v>
      </c>
      <c r="F12" s="15">
        <f>E12+預測IC!F12</f>
        <v>7.183476670399444E-2</v>
      </c>
      <c r="G12" s="15">
        <f>F12+預測IC!G12</f>
        <v>3.9887318185363979E-2</v>
      </c>
      <c r="H12" s="15">
        <f>G12+預測IC!H12</f>
        <v>4.9486576541963562E-2</v>
      </c>
      <c r="I12" s="15">
        <f>H12+預測IC!I12</f>
        <v>1.3182639692911551E-2</v>
      </c>
      <c r="J12" s="15">
        <f>I12+預測IC!J12</f>
        <v>5.6967218437783074E-2</v>
      </c>
      <c r="K12" s="15">
        <f>J12+預測IC!K12</f>
        <v>8.6155216571482257E-2</v>
      </c>
      <c r="L12" s="15">
        <f>K12+預測IC!L12</f>
        <v>7.7396660607316023E-2</v>
      </c>
      <c r="M12" s="15">
        <f>L12+預測IC!M12</f>
        <v>0.10428583444052297</v>
      </c>
      <c r="N12" s="15">
        <f>M12+預測IC!N12</f>
        <v>0.1389891886839858</v>
      </c>
      <c r="O12" s="15">
        <f>N12+預測IC!O12</f>
        <v>0.15761907732996477</v>
      </c>
      <c r="P12" s="15">
        <f>O12+預測IC!P12</f>
        <v>0.15736474922180765</v>
      </c>
      <c r="Q12" s="15">
        <f>P12+預測IC!Q12</f>
        <v>0.19115753334271537</v>
      </c>
      <c r="R12" s="15">
        <f>Q12+預測IC!R12</f>
        <v>0.17776002710277963</v>
      </c>
      <c r="S12" s="15">
        <f>R12+預測IC!S12</f>
        <v>0.18881505687611885</v>
      </c>
      <c r="T12" s="15">
        <f>S12+預測IC!T12</f>
        <v>0.23205854569563203</v>
      </c>
      <c r="U12" s="15">
        <f>T12+預測IC!U12</f>
        <v>0.25242576624876301</v>
      </c>
      <c r="V12" s="15">
        <f>U12+預測IC!V12</f>
        <v>0.24291481259511477</v>
      </c>
      <c r="W12" s="15">
        <f>V12+預測IC!W12</f>
        <v>0.27133247545327788</v>
      </c>
      <c r="X12" s="15">
        <f>W12+預測IC!X12</f>
        <v>0.29840636587782499</v>
      </c>
      <c r="Y12" s="15">
        <f>X12+預測IC!Y12</f>
        <v>0.27780797235013371</v>
      </c>
      <c r="Z12" s="15">
        <f>Y12+預測IC!Z12</f>
        <v>0.34143165566570766</v>
      </c>
      <c r="AA12" s="15">
        <f>Z12+預測IC!AA12</f>
        <v>0.30202799426459587</v>
      </c>
      <c r="AB12" s="15">
        <f>AA12+預測IC!AB12</f>
        <v>0.2673388837131177</v>
      </c>
      <c r="AC12" s="15">
        <f>AB12+預測IC!AC12</f>
        <v>0.31411182933942894</v>
      </c>
      <c r="AD12" s="15">
        <f>AC12+預測IC!AD12</f>
        <v>0.3115813995082054</v>
      </c>
      <c r="AE12" s="15">
        <f>AD12+預測IC!AE12</f>
        <v>0.35801911617518944</v>
      </c>
      <c r="AF12" s="15">
        <f>AE12+預測IC!AF12</f>
        <v>0.30600701339842173</v>
      </c>
      <c r="AG12" s="15">
        <f>AF12+預測IC!AG12</f>
        <v>0.30982194381923156</v>
      </c>
      <c r="AH12" s="15">
        <f>AG12+預測IC!AH12</f>
        <v>0.32553497758851241</v>
      </c>
      <c r="AI12" s="15">
        <f>AH12+預測IC!AI12</f>
        <v>0.334328770080774</v>
      </c>
      <c r="AJ12" s="15">
        <f>AI12+預測IC!AJ12</f>
        <v>0.35305206641370818</v>
      </c>
      <c r="AK12" s="15">
        <f>AJ12+預測IC!AK12</f>
        <v>0.33657669818957248</v>
      </c>
      <c r="AL12" s="15">
        <f>AK12+預測IC!AL12</f>
        <v>0.35443570121149454</v>
      </c>
      <c r="AM12" s="15">
        <f>AL12+預測IC!AM12</f>
        <v>0.38452181682409248</v>
      </c>
      <c r="AN12" s="15">
        <f>AM12+預測IC!AN12</f>
        <v>0.45375505113752101</v>
      </c>
      <c r="AO12" s="15">
        <f>AN12+預測IC!AO12</f>
        <v>0.46875052198064832</v>
      </c>
      <c r="AP12" s="15">
        <f>AO12+預測IC!AP12</f>
        <v>0.47338445850847743</v>
      </c>
      <c r="AQ12" s="15">
        <f>AP12+預測IC!AQ12</f>
        <v>0.48100639489706126</v>
      </c>
      <c r="AR12" s="15">
        <f>AQ12+預測IC!AR12</f>
        <v>0.48851082298582132</v>
      </c>
      <c r="AS12" s="15">
        <f>AR12+預測IC!AS12</f>
        <v>0.50761054144052198</v>
      </c>
      <c r="AT12" s="15">
        <f>AS12+預測IC!AT12</f>
        <v>0.57980592379295703</v>
      </c>
      <c r="AU12" s="15">
        <f>AT12+預測IC!AU12</f>
        <v>0.57609238735291246</v>
      </c>
      <c r="AV12" s="15">
        <f>AU12+預測IC!AV12</f>
        <v>0.55430249212848592</v>
      </c>
      <c r="AW12" s="15">
        <f>AV12+預測IC!AW12</f>
        <v>0.55368101511046985</v>
      </c>
      <c r="AX12" s="15">
        <f>AW12+預測IC!AX12</f>
        <v>0.508985003137572</v>
      </c>
      <c r="AY12" s="15">
        <f>AX12+預測IC!AY12</f>
        <v>0.49149368147856448</v>
      </c>
      <c r="AZ12" s="15">
        <f>AY12+預測IC!AZ12</f>
        <v>0.46787912831326384</v>
      </c>
      <c r="BA12" s="15">
        <f>AZ12+預測IC!BA12</f>
        <v>0.47281701649650565</v>
      </c>
      <c r="BB12" s="15">
        <f>BA12+預測IC!BB12</f>
        <v>0.47860241141078086</v>
      </c>
      <c r="BC12" s="15">
        <f>BB12+預測IC!BC12</f>
        <v>0.49087520044925737</v>
      </c>
      <c r="BD12" s="15">
        <f>BC12+預測IC!BD12</f>
        <v>0.50450575739090997</v>
      </c>
      <c r="BE12" s="15">
        <f>BD12+預測IC!BE12</f>
        <v>0.48589694755152468</v>
      </c>
      <c r="BF12" s="15">
        <f>BE12+預測IC!BF12</f>
        <v>0.55351389679922003</v>
      </c>
      <c r="BG12" s="15">
        <f>BF12+預測IC!BG12</f>
        <v>0.58718475924048286</v>
      </c>
      <c r="BH12" s="15">
        <f>BG12+預測IC!BH12</f>
        <v>0.60140811925180482</v>
      </c>
      <c r="BI12" s="15">
        <f>BH12+預測IC!BI12</f>
        <v>0.55765205487196023</v>
      </c>
      <c r="BJ12" s="15">
        <f>BI12+預測IC!BJ12</f>
        <v>0.58231518104707958</v>
      </c>
      <c r="BK12" s="15">
        <f>BJ12+預測IC!BK12</f>
        <v>0.58165779755204505</v>
      </c>
      <c r="BL12" s="15">
        <f>BK12+預測IC!BL12</f>
        <v>0.6137868958525392</v>
      </c>
      <c r="BM12" s="15">
        <f>BL12+預測IC!BM12</f>
        <v>0.66409258037586372</v>
      </c>
      <c r="BN12" s="15">
        <f>BM12+預測IC!BN12</f>
        <v>0.67566854754880434</v>
      </c>
      <c r="BO12" s="15">
        <f>BN12+預測IC!BO12</f>
        <v>0.65142223729256743</v>
      </c>
      <c r="BP12" s="15">
        <f>BO12+預測IC!BP12</f>
        <v>0.67784419462673473</v>
      </c>
      <c r="BQ12" s="15">
        <f>BP12+預測IC!BQ12</f>
        <v>0.69655970353148899</v>
      </c>
      <c r="BR12" s="15">
        <f>BQ12+預測IC!BR12</f>
        <v>0.69429869507809017</v>
      </c>
      <c r="BS12" s="15">
        <f>BR12+預測IC!BS12</f>
        <v>0.66165584018969748</v>
      </c>
      <c r="BT12" s="15">
        <f>BS12+預測IC!BT12</f>
        <v>0.67802062350412284</v>
      </c>
      <c r="BU12" s="15">
        <f>BT12+預測IC!BU12</f>
        <v>0.68680214064421929</v>
      </c>
      <c r="BV12" s="15">
        <f>BU12+預測IC!BV12</f>
        <v>0.65474891447382477</v>
      </c>
      <c r="BW12" s="15">
        <f>BV12+預測IC!BW12</f>
        <v>0.69922591836547499</v>
      </c>
      <c r="BX12" s="15">
        <f>BW12+預測IC!BX12</f>
        <v>0.70621107222361423</v>
      </c>
      <c r="BY12" s="15">
        <f>BX12+預測IC!BY12</f>
        <v>0.66039508599078389</v>
      </c>
      <c r="BZ12" s="15">
        <f>BY12+預測IC!BZ12</f>
        <v>0.61503814029951087</v>
      </c>
      <c r="CA12" s="15">
        <f>BZ12+預測IC!CA12</f>
        <v>0.58063785285916836</v>
      </c>
      <c r="CB12" s="15">
        <f>CA12+預測IC!CB12</f>
        <v>0.50816197678698904</v>
      </c>
      <c r="CC12" s="15">
        <f>CB12+預測IC!CC12</f>
        <v>0.57372858941467897</v>
      </c>
      <c r="CD12" s="15">
        <f>CC12+預測IC!CD12</f>
        <v>0.52937332605799436</v>
      </c>
      <c r="CE12" s="15">
        <f>CD12+預測IC!CE12</f>
        <v>0.54099273450022356</v>
      </c>
      <c r="CF12" s="15">
        <f>CE12+預測IC!CF12</f>
        <v>0.53297145998629358</v>
      </c>
      <c r="CG12" s="15">
        <f>CF12+預測IC!CG12</f>
        <v>0.48369350002321299</v>
      </c>
      <c r="CH12" s="15">
        <f>CG12+預測IC!CH12</f>
        <v>0.50015661240199882</v>
      </c>
      <c r="CI12" s="15">
        <f>CH12+預測IC!CI12</f>
        <v>0.53575464330310463</v>
      </c>
      <c r="CJ12" s="15">
        <f>CI12+預測IC!CJ12</f>
        <v>0.52030946282441581</v>
      </c>
      <c r="CK12" s="15">
        <f>CJ12+預測IC!CK12</f>
        <v>0.57641090347220603</v>
      </c>
      <c r="CL12" s="15">
        <f>CK12+預測IC!CL12</f>
        <v>0.49797062318618512</v>
      </c>
      <c r="CM12" s="15">
        <f>CL12+預測IC!CM12</f>
        <v>0.48275089701884433</v>
      </c>
      <c r="CN12" s="15">
        <f>CM12+預測IC!CN12</f>
        <v>0.50983459823340371</v>
      </c>
      <c r="CO12" s="15">
        <f>CN12+預測IC!CO12</f>
        <v>0.4850148129781911</v>
      </c>
      <c r="CP12" s="15">
        <f>CO12+預測IC!CP12</f>
        <v>0.43971579151069734</v>
      </c>
      <c r="CQ12" s="15">
        <f>CP12+預測IC!CQ12</f>
        <v>0.50240013851427212</v>
      </c>
      <c r="CR12" s="15">
        <f>CQ12+預測IC!CR12</f>
        <v>0.44524015199275857</v>
      </c>
      <c r="CS12" s="15">
        <f>CR12+預測IC!CS12</f>
        <v>0.43073050155428905</v>
      </c>
      <c r="CT12" s="15">
        <f>CS12+預測IC!CT12</f>
        <v>0.42140143832431215</v>
      </c>
      <c r="CU12" s="15">
        <f>CT12+預測IC!CU12</f>
        <v>0.49618096760566888</v>
      </c>
      <c r="CV12" s="15">
        <f>CU12+預測IC!CV12</f>
        <v>0.49177760949049076</v>
      </c>
      <c r="CW12" s="15">
        <f>CV12+預測IC!CW12</f>
        <v>0.50481427886906838</v>
      </c>
      <c r="CX12" s="15">
        <f>CW12+預測IC!CX12</f>
        <v>0.47406164060160538</v>
      </c>
      <c r="CY12" s="15">
        <f>CX12+預測IC!CY12</f>
        <v>0.45764104435379976</v>
      </c>
      <c r="CZ12" s="15">
        <f>CY12+預測IC!CZ12</f>
        <v>0.44531678229388316</v>
      </c>
      <c r="DA12" s="15">
        <f>CZ12+預測IC!DA12</f>
        <v>0.45092056636424371</v>
      </c>
      <c r="DB12" s="15">
        <f>DA12+預測IC!DB12</f>
        <v>0.47390244231837075</v>
      </c>
      <c r="DC12" s="15">
        <f>DB12+預測IC!DC12</f>
        <v>0.43992923944359608</v>
      </c>
      <c r="DD12" s="15">
        <f>DC12+預測IC!DD12</f>
        <v>0.50988978517793937</v>
      </c>
      <c r="DE12" s="15">
        <f>DD12+預測IC!DE12</f>
        <v>0.53462742959303444</v>
      </c>
      <c r="DF12" s="15">
        <f>DE12+預測IC!DF12</f>
        <v>0.52300310990516541</v>
      </c>
      <c r="DG12" s="15">
        <f>DF12+預測IC!DG12</f>
        <v>0.57039753153498973</v>
      </c>
      <c r="DH12" s="15">
        <f>DG12+預測IC!DH12</f>
        <v>0.50920237674667279</v>
      </c>
      <c r="DI12" s="15">
        <f>DH12+預測IC!DI12</f>
        <v>0.53918163130417252</v>
      </c>
      <c r="DJ12" s="15">
        <f>DI12+預測IC!DJ12</f>
        <v>0.49780358836850097</v>
      </c>
      <c r="DK12" s="15">
        <f>DJ12+預測IC!DK12</f>
        <v>0.49887478699708165</v>
      </c>
      <c r="DL12" s="15">
        <f>DK12+預測IC!DL12</f>
        <v>0.48020495366327859</v>
      </c>
      <c r="DM12" s="15">
        <f>DL12+預測IC!DM12</f>
        <v>0.47106146032974944</v>
      </c>
      <c r="DN12" s="15">
        <f>DM12+預測IC!DN12</f>
        <v>0.45252001687113702</v>
      </c>
      <c r="DO12" s="15">
        <f>DN12+預測IC!DO12</f>
        <v>0.47155074513903483</v>
      </c>
      <c r="DP12" s="15">
        <f>DO12+預測IC!DP12</f>
        <v>0.50413519473933199</v>
      </c>
      <c r="DQ12" s="15">
        <f>DP12+預測IC!DQ12</f>
        <v>0.42959454725885926</v>
      </c>
      <c r="DR12" s="15">
        <f>DQ12+預測IC!DR12</f>
        <v>0.44665952670897741</v>
      </c>
      <c r="DS12" s="15">
        <f>DR12+預測IC!DS12</f>
        <v>0.40063524770385261</v>
      </c>
      <c r="DT12" s="15">
        <f>DS12+預測IC!DT12</f>
        <v>0.42544908926643932</v>
      </c>
      <c r="DU12" s="15">
        <f>DT12+預測IC!DU12</f>
        <v>0.37966194729197233</v>
      </c>
      <c r="DV12" s="15">
        <f>DU12+預測IC!DV12</f>
        <v>0.36291050577815176</v>
      </c>
      <c r="DW12" s="15">
        <f>DV12+預測IC!DW12</f>
        <v>0.40663606999818919</v>
      </c>
      <c r="DX12" s="15">
        <f>DW12+預測IC!DX12</f>
        <v>0.38853693321985577</v>
      </c>
      <c r="DY12" s="15">
        <f>DX12+預測IC!DY12</f>
        <v>0.45126515531462569</v>
      </c>
      <c r="DZ12" s="15">
        <f>DY12+預測IC!DZ12</f>
        <v>0.4713040454382148</v>
      </c>
      <c r="EA12" s="15">
        <f>DZ12+預測IC!EA12</f>
        <v>0.5224016779757461</v>
      </c>
      <c r="EB12" s="15">
        <f>EA12+預測IC!EB12</f>
        <v>0.55292745479358774</v>
      </c>
      <c r="EC12" s="15">
        <f>EB12+預測IC!EC12</f>
        <v>0.53804353666406857</v>
      </c>
      <c r="ED12" s="15">
        <f>EC12+預測IC!ED12</f>
        <v>0.51459896142112738</v>
      </c>
      <c r="EE12" s="15">
        <f>ED12+預測IC!EE12</f>
        <v>0.486382681153324</v>
      </c>
      <c r="EF12" s="15">
        <f>EE12+預測IC!EF12</f>
        <v>0.4571489153980926</v>
      </c>
    </row>
    <row r="13" spans="1:137" x14ac:dyDescent="0.3">
      <c r="A13" s="1">
        <v>48</v>
      </c>
      <c r="B13" s="1" t="s">
        <v>160</v>
      </c>
      <c r="C13" s="15">
        <v>-7.4773642018864783E-3</v>
      </c>
      <c r="D13" s="15">
        <f>C13+預測IC!D13</f>
        <v>0.11626766459088582</v>
      </c>
      <c r="E13" s="15">
        <f>D13+預測IC!E13</f>
        <v>0.11074403788759948</v>
      </c>
      <c r="F13" s="15">
        <f>E13+預測IC!F13</f>
        <v>5.0757511194676516E-2</v>
      </c>
      <c r="G13" s="15">
        <f>F13+預測IC!G13</f>
        <v>3.8710106894570585E-2</v>
      </c>
      <c r="H13" s="15">
        <f>G13+預測IC!H13</f>
        <v>5.6098493922069573E-2</v>
      </c>
      <c r="I13" s="15">
        <f>H13+預測IC!I13</f>
        <v>2.3415630937347234E-2</v>
      </c>
      <c r="J13" s="15">
        <f>I13+預測IC!J13</f>
        <v>5.7965522906991931E-2</v>
      </c>
      <c r="K13" s="15">
        <f>J13+預測IC!K13</f>
        <v>0.11829166213456208</v>
      </c>
      <c r="L13" s="15">
        <f>K13+預測IC!L13</f>
        <v>9.6311191755839298E-2</v>
      </c>
      <c r="M13" s="15">
        <f>L13+預測IC!M13</f>
        <v>9.9590949981844021E-2</v>
      </c>
      <c r="N13" s="15">
        <f>M13+預測IC!N13</f>
        <v>0.14298336744754081</v>
      </c>
      <c r="O13" s="15">
        <f>N13+預測IC!O13</f>
        <v>0.17925664316746329</v>
      </c>
      <c r="P13" s="15">
        <f>O13+預測IC!P13</f>
        <v>0.17297899550673035</v>
      </c>
      <c r="Q13" s="15">
        <f>P13+預測IC!Q13</f>
        <v>0.21719725973470039</v>
      </c>
      <c r="R13" s="15">
        <f>Q13+預測IC!R13</f>
        <v>0.21070734955862599</v>
      </c>
      <c r="S13" s="15">
        <f>R13+預測IC!S13</f>
        <v>0.20469354655158373</v>
      </c>
      <c r="T13" s="15">
        <f>S13+預測IC!T13</f>
        <v>0.25759334946027707</v>
      </c>
      <c r="U13" s="15">
        <f>T13+預測IC!U13</f>
        <v>0.31175442450197122</v>
      </c>
      <c r="V13" s="15">
        <f>U13+預測IC!V13</f>
        <v>0.30953778459891729</v>
      </c>
      <c r="W13" s="15">
        <f>V13+預測IC!W13</f>
        <v>0.34050668867040018</v>
      </c>
      <c r="X13" s="15">
        <f>W13+預測IC!X13</f>
        <v>0.39378358339634378</v>
      </c>
      <c r="Y13" s="15">
        <f>X13+預測IC!Y13</f>
        <v>0.40046694212288925</v>
      </c>
      <c r="Z13" s="15">
        <f>Y13+預測IC!Z13</f>
        <v>0.47889137692807282</v>
      </c>
      <c r="AA13" s="15">
        <f>Z13+預測IC!AA13</f>
        <v>0.44677186658960155</v>
      </c>
      <c r="AB13" s="15">
        <f>AA13+預測IC!AB13</f>
        <v>0.40009364646822426</v>
      </c>
      <c r="AC13" s="15">
        <f>AB13+預測IC!AC13</f>
        <v>0.46686534685015413</v>
      </c>
      <c r="AD13" s="15">
        <f>AC13+預測IC!AD13</f>
        <v>0.44642511847636168</v>
      </c>
      <c r="AE13" s="15">
        <f>AD13+預測IC!AE13</f>
        <v>0.52349653520316242</v>
      </c>
      <c r="AF13" s="15">
        <f>AE13+預測IC!AF13</f>
        <v>0.45021537437485126</v>
      </c>
      <c r="AG13" s="15">
        <f>AF13+預測IC!AG13</f>
        <v>0.44031016664777717</v>
      </c>
      <c r="AH13" s="15">
        <f>AG13+預測IC!AH13</f>
        <v>0.46526537319764405</v>
      </c>
      <c r="AI13" s="15">
        <f>AH13+預測IC!AI13</f>
        <v>0.48391141957761008</v>
      </c>
      <c r="AJ13" s="15">
        <f>AI13+預測IC!AJ13</f>
        <v>0.48561887041622903</v>
      </c>
      <c r="AK13" s="15">
        <f>AJ13+預測IC!AK13</f>
        <v>0.44725948013335692</v>
      </c>
      <c r="AL13" s="15">
        <f>AK13+預測IC!AL13</f>
        <v>0.47041090872852798</v>
      </c>
      <c r="AM13" s="15">
        <f>AL13+預測IC!AM13</f>
        <v>0.51669335226535695</v>
      </c>
      <c r="AN13" s="15">
        <f>AM13+預測IC!AN13</f>
        <v>0.6220235904013911</v>
      </c>
      <c r="AO13" s="15">
        <f>AN13+預測IC!AO13</f>
        <v>0.62031474371275575</v>
      </c>
      <c r="AP13" s="15">
        <f>AO13+預測IC!AP13</f>
        <v>0.6269027336203985</v>
      </c>
      <c r="AQ13" s="15">
        <f>AP13+預測IC!AQ13</f>
        <v>0.63295202238929815</v>
      </c>
      <c r="AR13" s="15">
        <f>AQ13+預測IC!AR13</f>
        <v>0.62370128990602192</v>
      </c>
      <c r="AS13" s="15">
        <f>AR13+預測IC!AS13</f>
        <v>0.66501440839025605</v>
      </c>
      <c r="AT13" s="15">
        <f>AS13+預測IC!AT13</f>
        <v>0.75143732311785549</v>
      </c>
      <c r="AU13" s="15">
        <f>AT13+預測IC!AU13</f>
        <v>0.76713274154432798</v>
      </c>
      <c r="AV13" s="15">
        <f>AU13+預測IC!AV13</f>
        <v>0.75617383131402749</v>
      </c>
      <c r="AW13" s="15">
        <f>AV13+預測IC!AW13</f>
        <v>0.75209381773096406</v>
      </c>
      <c r="AX13" s="15">
        <f>AW13+預測IC!AX13</f>
        <v>0.71929398559510827</v>
      </c>
      <c r="AY13" s="15">
        <f>AX13+預測IC!AY13</f>
        <v>0.70503178168796954</v>
      </c>
      <c r="AZ13" s="15">
        <f>AY13+預測IC!AZ13</f>
        <v>0.67381124559419947</v>
      </c>
      <c r="BA13" s="15">
        <f>AZ13+預測IC!BA13</f>
        <v>0.68035218320126045</v>
      </c>
      <c r="BB13" s="15">
        <f>BA13+預測IC!BB13</f>
        <v>0.70639852873415654</v>
      </c>
      <c r="BC13" s="15">
        <f>BB13+預測IC!BC13</f>
        <v>0.71768229584581422</v>
      </c>
      <c r="BD13" s="15">
        <f>BC13+預測IC!BD13</f>
        <v>0.72102672422949554</v>
      </c>
      <c r="BE13" s="15">
        <f>BD13+預測IC!BE13</f>
        <v>0.69363491792385401</v>
      </c>
      <c r="BF13" s="15">
        <f>BE13+預測IC!BF13</f>
        <v>0.81529206118980968</v>
      </c>
      <c r="BG13" s="15">
        <f>BF13+預測IC!BG13</f>
        <v>0.86185852352852133</v>
      </c>
      <c r="BH13" s="15">
        <f>BG13+預測IC!BH13</f>
        <v>0.87033425334014036</v>
      </c>
      <c r="BI13" s="15">
        <f>BH13+預測IC!BI13</f>
        <v>0.84873269423720743</v>
      </c>
      <c r="BJ13" s="15">
        <f>BI13+預測IC!BJ13</f>
        <v>0.87299878185031632</v>
      </c>
      <c r="BK13" s="15">
        <f>BJ13+預測IC!BK13</f>
        <v>0.86412038593422491</v>
      </c>
      <c r="BL13" s="15">
        <f>BK13+預測IC!BL13</f>
        <v>0.89858042638267577</v>
      </c>
      <c r="BM13" s="15">
        <f>BL13+預測IC!BM13</f>
        <v>0.95195219507786644</v>
      </c>
      <c r="BN13" s="15">
        <f>BM13+預測IC!BN13</f>
        <v>0.98750490849027373</v>
      </c>
      <c r="BO13" s="15">
        <f>BN13+預測IC!BO13</f>
        <v>0.95662619225679957</v>
      </c>
      <c r="BP13" s="15">
        <f>BO13+預測IC!BP13</f>
        <v>0.96457733867457418</v>
      </c>
      <c r="BQ13" s="15">
        <f>BP13+預測IC!BQ13</f>
        <v>0.96342651944917213</v>
      </c>
      <c r="BR13" s="15">
        <f>BQ13+預測IC!BR13</f>
        <v>0.95674510196561469</v>
      </c>
      <c r="BS13" s="15">
        <f>BR13+預測IC!BS13</f>
        <v>0.91656458760419779</v>
      </c>
      <c r="BT13" s="15">
        <f>BS13+預測IC!BT13</f>
        <v>0.91708565928000074</v>
      </c>
      <c r="BU13" s="15">
        <f>BT13+預測IC!BU13</f>
        <v>0.93479221431655446</v>
      </c>
      <c r="BV13" s="15">
        <f>BU13+預測IC!BV13</f>
        <v>0.90335147588094178</v>
      </c>
      <c r="BW13" s="15">
        <f>BV13+預測IC!BW13</f>
        <v>0.97906548151762129</v>
      </c>
      <c r="BX13" s="15">
        <f>BW13+預測IC!BX13</f>
        <v>0.97981112032363138</v>
      </c>
      <c r="BY13" s="15">
        <f>BX13+預測IC!BY13</f>
        <v>0.94898336065925815</v>
      </c>
      <c r="BZ13" s="15">
        <f>BY13+預測IC!BZ13</f>
        <v>0.87284523760020793</v>
      </c>
      <c r="CA13" s="15">
        <f>BZ13+預測IC!CA13</f>
        <v>0.83931367199981111</v>
      </c>
      <c r="CB13" s="15">
        <f>CA13+預測IC!CB13</f>
        <v>0.7188867002677759</v>
      </c>
      <c r="CC13" s="15">
        <f>CB13+預測IC!CC13</f>
        <v>0.83900487400600909</v>
      </c>
      <c r="CD13" s="15">
        <f>CC13+預測IC!CD13</f>
        <v>0.81780073012540255</v>
      </c>
      <c r="CE13" s="15">
        <f>CD13+預測IC!CE13</f>
        <v>0.82702171445081629</v>
      </c>
      <c r="CF13" s="15">
        <f>CE13+預測IC!CF13</f>
        <v>0.83906538146587561</v>
      </c>
      <c r="CG13" s="15">
        <f>CF13+預測IC!CG13</f>
        <v>0.78105041365863626</v>
      </c>
      <c r="CH13" s="15">
        <f>CG13+預測IC!CH13</f>
        <v>0.78507991971684654</v>
      </c>
      <c r="CI13" s="15">
        <f>CH13+預測IC!CI13</f>
        <v>0.79961322295012638</v>
      </c>
      <c r="CJ13" s="15">
        <f>CI13+預測IC!CJ13</f>
        <v>0.8027193109220776</v>
      </c>
      <c r="CK13" s="15">
        <f>CJ13+預測IC!CK13</f>
        <v>0.868406437188875</v>
      </c>
      <c r="CL13" s="15">
        <f>CK13+預測IC!CL13</f>
        <v>0.79568226203565651</v>
      </c>
      <c r="CM13" s="15">
        <f>CL13+預測IC!CM13</f>
        <v>0.78538545827926154</v>
      </c>
      <c r="CN13" s="15">
        <f>CM13+預測IC!CN13</f>
        <v>0.81227302427811388</v>
      </c>
      <c r="CO13" s="15">
        <f>CN13+預測IC!CO13</f>
        <v>0.77693868019745649</v>
      </c>
      <c r="CP13" s="15">
        <f>CO13+預測IC!CP13</f>
        <v>0.7072121399197222</v>
      </c>
      <c r="CQ13" s="15">
        <f>CP13+預測IC!CQ13</f>
        <v>0.77839100488812607</v>
      </c>
      <c r="CR13" s="15">
        <f>CQ13+預測IC!CR13</f>
        <v>0.66674611850765131</v>
      </c>
      <c r="CS13" s="15">
        <f>CR13+預測IC!CS13</f>
        <v>0.67069376917061185</v>
      </c>
      <c r="CT13" s="15">
        <f>CS13+預測IC!CT13</f>
        <v>0.67110230928622816</v>
      </c>
      <c r="CU13" s="15">
        <f>CT13+預測IC!CU13</f>
        <v>0.77819327099986546</v>
      </c>
      <c r="CV13" s="15">
        <f>CU13+預測IC!CV13</f>
        <v>0.75387428798116884</v>
      </c>
      <c r="CW13" s="15">
        <f>CV13+預測IC!CW13</f>
        <v>0.79018340773760221</v>
      </c>
      <c r="CX13" s="15">
        <f>CW13+預測IC!CX13</f>
        <v>0.75960056625791239</v>
      </c>
      <c r="CY13" s="15">
        <f>CX13+預測IC!CY13</f>
        <v>0.71839881437381559</v>
      </c>
      <c r="CZ13" s="15">
        <f>CY13+預測IC!CZ13</f>
        <v>0.71350059821375034</v>
      </c>
      <c r="DA13" s="15">
        <f>CZ13+預測IC!DA13</f>
        <v>0.70791692128792894</v>
      </c>
      <c r="DB13" s="15">
        <f>DA13+預測IC!DB13</f>
        <v>0.74967849100471351</v>
      </c>
      <c r="DC13" s="15">
        <f>DB13+預測IC!DC13</f>
        <v>0.71990292512642062</v>
      </c>
      <c r="DD13" s="15">
        <f>DC13+預測IC!DD13</f>
        <v>0.78887998405080406</v>
      </c>
      <c r="DE13" s="15">
        <f>DD13+預測IC!DE13</f>
        <v>0.81132198048004012</v>
      </c>
      <c r="DF13" s="15">
        <f>DE13+預測IC!DF13</f>
        <v>0.79405034845185773</v>
      </c>
      <c r="DG13" s="15">
        <f>DF13+預測IC!DG13</f>
        <v>0.86538610866677734</v>
      </c>
      <c r="DH13" s="15">
        <f>DG13+預測IC!DH13</f>
        <v>0.77666550772047027</v>
      </c>
      <c r="DI13" s="15">
        <f>DH13+預測IC!DI13</f>
        <v>0.80623592735489846</v>
      </c>
      <c r="DJ13" s="15">
        <f>DI13+預測IC!DJ13</f>
        <v>0.79921480373934051</v>
      </c>
      <c r="DK13" s="15">
        <f>DJ13+預測IC!DK13</f>
        <v>0.77581391184375026</v>
      </c>
      <c r="DL13" s="15">
        <f>DK13+預測IC!DL13</f>
        <v>0.75376322116566208</v>
      </c>
      <c r="DM13" s="15">
        <f>DL13+預測IC!DM13</f>
        <v>0.76541911558118225</v>
      </c>
      <c r="DN13" s="15">
        <f>DM13+預測IC!DN13</f>
        <v>0.75264322609497902</v>
      </c>
      <c r="DO13" s="15">
        <f>DN13+預測IC!DO13</f>
        <v>0.79696836551718186</v>
      </c>
      <c r="DP13" s="15">
        <f>DO13+預測IC!DP13</f>
        <v>0.84575500137345139</v>
      </c>
      <c r="DQ13" s="15">
        <f>DP13+預測IC!DQ13</f>
        <v>0.75862598998088093</v>
      </c>
      <c r="DR13" s="15">
        <f>DQ13+預測IC!DR13</f>
        <v>0.77379454012684201</v>
      </c>
      <c r="DS13" s="15">
        <f>DR13+預測IC!DS13</f>
        <v>0.74387934623551488</v>
      </c>
      <c r="DT13" s="15">
        <f>DS13+預測IC!DT13</f>
        <v>0.7737251553965182</v>
      </c>
      <c r="DU13" s="15">
        <f>DT13+預測IC!DU13</f>
        <v>0.75002630161531669</v>
      </c>
      <c r="DV13" s="15">
        <f>DU13+預測IC!DV13</f>
        <v>0.74017349685306866</v>
      </c>
      <c r="DW13" s="15">
        <f>DV13+預測IC!DW13</f>
        <v>0.78459128647741894</v>
      </c>
      <c r="DX13" s="15">
        <f>DW13+預測IC!DX13</f>
        <v>0.7613616769284528</v>
      </c>
      <c r="DY13" s="15">
        <f>DX13+預測IC!DY13</f>
        <v>0.77086630173233028</v>
      </c>
      <c r="DZ13" s="15">
        <f>DY13+預測IC!DZ13</f>
        <v>0.80115155320727161</v>
      </c>
      <c r="EA13" s="15">
        <f>DZ13+預測IC!EA13</f>
        <v>0.86327023038330153</v>
      </c>
      <c r="EB13" s="15">
        <f>EA13+預測IC!EB13</f>
        <v>0.92047552313169057</v>
      </c>
      <c r="EC13" s="15">
        <f>EB13+預測IC!EC13</f>
        <v>0.89849067060016619</v>
      </c>
      <c r="ED13" s="15">
        <f>EC13+預測IC!ED13</f>
        <v>0.84451265097091088</v>
      </c>
      <c r="EE13" s="15">
        <f>ED13+預測IC!EE13</f>
        <v>0.80864517107009082</v>
      </c>
      <c r="EF13" s="15">
        <f>EE13+預測IC!EF13</f>
        <v>0.76413156151737083</v>
      </c>
    </row>
    <row r="14" spans="1:137" x14ac:dyDescent="0.3">
      <c r="A14" s="1">
        <v>19</v>
      </c>
      <c r="B14" s="1" t="s">
        <v>161</v>
      </c>
      <c r="C14" s="15">
        <v>-3.3228977675766179E-2</v>
      </c>
      <c r="D14" s="15">
        <f>C14+預測IC!D14</f>
        <v>0.18907947086485982</v>
      </c>
      <c r="E14" s="15">
        <f>D14+預測IC!E14</f>
        <v>0.14115872485159059</v>
      </c>
      <c r="F14" s="15">
        <f>E14+預測IC!F14</f>
        <v>8.0816819945558033E-2</v>
      </c>
      <c r="G14" s="15">
        <f>F14+預測IC!G14</f>
        <v>2.7160189502777356E-2</v>
      </c>
      <c r="H14" s="15">
        <f>G14+預測IC!H14</f>
        <v>1.5651928640653765E-2</v>
      </c>
      <c r="I14" s="15">
        <f>H14+預測IC!I14</f>
        <v>-2.8135431182488537E-2</v>
      </c>
      <c r="J14" s="15">
        <f>I14+預測IC!J14</f>
        <v>-4.8254592175776476E-3</v>
      </c>
      <c r="K14" s="15">
        <f>J14+預測IC!K14</f>
        <v>4.6002007043270315E-2</v>
      </c>
      <c r="L14" s="15">
        <f>K14+預測IC!L14</f>
        <v>-1.0269077932965207E-2</v>
      </c>
      <c r="M14" s="15">
        <f>L14+預測IC!M14</f>
        <v>-2.9290792397949187E-2</v>
      </c>
      <c r="N14" s="15">
        <f>M14+預測IC!N14</f>
        <v>2.8078634259072862E-2</v>
      </c>
      <c r="O14" s="15">
        <f>N14+預測IC!O14</f>
        <v>6.5554421272079361E-2</v>
      </c>
      <c r="P14" s="15">
        <f>O14+預測IC!P14</f>
        <v>7.2095842230229759E-2</v>
      </c>
      <c r="Q14" s="15">
        <f>P14+預測IC!Q14</f>
        <v>0.19619971340167847</v>
      </c>
      <c r="R14" s="15">
        <f>Q14+預測IC!R14</f>
        <v>0.21214090069878028</v>
      </c>
      <c r="S14" s="15">
        <f>R14+預測IC!S14</f>
        <v>0.18733415460601249</v>
      </c>
      <c r="T14" s="15">
        <f>S14+預測IC!T14</f>
        <v>0.25717563412690836</v>
      </c>
      <c r="U14" s="15">
        <f>T14+預測IC!U14</f>
        <v>0.36144229876255596</v>
      </c>
      <c r="V14" s="15">
        <f>U14+預測IC!V14</f>
        <v>0.41386359892144103</v>
      </c>
      <c r="W14" s="15">
        <f>V14+預測IC!W14</f>
        <v>0.46165860165496109</v>
      </c>
      <c r="X14" s="15">
        <f>W14+預測IC!X14</f>
        <v>0.51524031016914429</v>
      </c>
      <c r="Y14" s="15">
        <f>X14+預測IC!Y14</f>
        <v>0.57043130158136601</v>
      </c>
      <c r="Z14" s="15">
        <f>Y14+預測IC!Z14</f>
        <v>0.60894322786167365</v>
      </c>
      <c r="AA14" s="15">
        <f>Z14+預測IC!AA14</f>
        <v>0.56949304755959151</v>
      </c>
      <c r="AB14" s="15">
        <f>AA14+預測IC!AB14</f>
        <v>0.4987236702123613</v>
      </c>
      <c r="AC14" s="15">
        <f>AB14+預測IC!AC14</f>
        <v>0.49563710787357201</v>
      </c>
      <c r="AD14" s="15">
        <f>AC14+預測IC!AD14</f>
        <v>0.42576251613842991</v>
      </c>
      <c r="AE14" s="15">
        <f>AD14+預測IC!AE14</f>
        <v>0.54259943597799598</v>
      </c>
      <c r="AF14" s="15">
        <f>AE14+預測IC!AF14</f>
        <v>0.44651934052136233</v>
      </c>
      <c r="AG14" s="15">
        <f>AF14+預測IC!AG14</f>
        <v>0.42119004551040928</v>
      </c>
      <c r="AH14" s="15">
        <f>AG14+預測IC!AH14</f>
        <v>0.50214222993421087</v>
      </c>
      <c r="AI14" s="15">
        <f>AH14+預測IC!AI14</f>
        <v>0.46667958603559895</v>
      </c>
      <c r="AJ14" s="15">
        <f>AI14+預測IC!AJ14</f>
        <v>0.44217401093451403</v>
      </c>
      <c r="AK14" s="15">
        <f>AJ14+預測IC!AK14</f>
        <v>0.36469867191206001</v>
      </c>
      <c r="AL14" s="15">
        <f>AK14+預測IC!AL14</f>
        <v>0.40266786163452073</v>
      </c>
      <c r="AM14" s="15">
        <f>AL14+預測IC!AM14</f>
        <v>0.46391002801314596</v>
      </c>
      <c r="AN14" s="15">
        <f>AM14+預測IC!AN14</f>
        <v>0.56250469478268972</v>
      </c>
      <c r="AO14" s="15">
        <f>AN14+預測IC!AO14</f>
        <v>0.52446034224062843</v>
      </c>
      <c r="AP14" s="15">
        <f>AO14+預測IC!AP14</f>
        <v>0.51740551370386356</v>
      </c>
      <c r="AQ14" s="15">
        <f>AP14+預測IC!AQ14</f>
        <v>0.5177734814416235</v>
      </c>
      <c r="AR14" s="15">
        <f>AQ14+預測IC!AR14</f>
        <v>0.49960265842273827</v>
      </c>
      <c r="AS14" s="15">
        <f>AR14+預測IC!AS14</f>
        <v>0.58497964437578509</v>
      </c>
      <c r="AT14" s="15">
        <f>AS14+預測IC!AT14</f>
        <v>0.66438312408642308</v>
      </c>
      <c r="AU14" s="15">
        <f>AT14+預測IC!AU14</f>
        <v>0.72180473720055693</v>
      </c>
      <c r="AV14" s="15">
        <f>AU14+預測IC!AV14</f>
        <v>0.73023119050553031</v>
      </c>
      <c r="AW14" s="15">
        <f>AV14+預測IC!AW14</f>
        <v>0.74859412201148778</v>
      </c>
      <c r="AX14" s="15">
        <f>AW14+預測IC!AX14</f>
        <v>0.72922390863599718</v>
      </c>
      <c r="AY14" s="15">
        <f>AX14+預測IC!AY14</f>
        <v>0.72753333681099008</v>
      </c>
      <c r="AZ14" s="15">
        <f>AY14+預測IC!AZ14</f>
        <v>0.66646275632975083</v>
      </c>
      <c r="BA14" s="15">
        <f>AZ14+預測IC!BA14</f>
        <v>0.684084401873994</v>
      </c>
      <c r="BB14" s="15">
        <f>BA14+預測IC!BB14</f>
        <v>0.78598274213245201</v>
      </c>
      <c r="BC14" s="15">
        <f>BB14+預測IC!BC14</f>
        <v>0.77616174317717457</v>
      </c>
      <c r="BD14" s="15">
        <f>BC14+預測IC!BD14</f>
        <v>0.81948952484457993</v>
      </c>
      <c r="BE14" s="15">
        <f>BD14+預測IC!BE14</f>
        <v>0.7757024623090929</v>
      </c>
      <c r="BF14" s="15">
        <f>BE14+預測IC!BF14</f>
        <v>0.92953172388310124</v>
      </c>
      <c r="BG14" s="15">
        <f>BF14+預測IC!BG14</f>
        <v>0.97090598795703398</v>
      </c>
      <c r="BH14" s="15">
        <f>BG14+預測IC!BH14</f>
        <v>0.97624874352563462</v>
      </c>
      <c r="BI14" s="15">
        <f>BH14+預測IC!BI14</f>
        <v>1.0172798114588666</v>
      </c>
      <c r="BJ14" s="15">
        <f>BI14+預測IC!BJ14</f>
        <v>1.0858840070611693</v>
      </c>
      <c r="BK14" s="15">
        <f>BJ14+預測IC!BK14</f>
        <v>1.0521925871904008</v>
      </c>
      <c r="BL14" s="15">
        <f>BK14+預測IC!BL14</f>
        <v>1.1121894827178411</v>
      </c>
      <c r="BM14" s="15">
        <f>BL14+預測IC!BM14</f>
        <v>1.1584678077208415</v>
      </c>
      <c r="BN14" s="15">
        <f>BM14+預測IC!BN14</f>
        <v>1.1845557679964211</v>
      </c>
      <c r="BO14" s="15">
        <f>BN14+預測IC!BO14</f>
        <v>1.1509467223191567</v>
      </c>
      <c r="BP14" s="15">
        <f>BO14+預測IC!BP14</f>
        <v>1.1006144389914114</v>
      </c>
      <c r="BQ14" s="15">
        <f>BP14+預測IC!BQ14</f>
        <v>1.0497299567973308</v>
      </c>
      <c r="BR14" s="15">
        <f>BQ14+預測IC!BR14</f>
        <v>1.0218005272647128</v>
      </c>
      <c r="BS14" s="15">
        <f>BR14+預測IC!BS14</f>
        <v>0.99146780327794215</v>
      </c>
      <c r="BT14" s="15">
        <f>BS14+預測IC!BT14</f>
        <v>0.96074132715217775</v>
      </c>
      <c r="BU14" s="15">
        <f>BT14+預測IC!BU14</f>
        <v>0.95188649179414686</v>
      </c>
      <c r="BV14" s="15">
        <f>BU14+預測IC!BV14</f>
        <v>0.91060400293624844</v>
      </c>
      <c r="BW14" s="15">
        <f>BV14+預測IC!BW14</f>
        <v>1.0415015114934336</v>
      </c>
      <c r="BX14" s="15">
        <f>BW14+預測IC!BX14</f>
        <v>1.027166216216133</v>
      </c>
      <c r="BY14" s="15">
        <f>BX14+預測IC!BY14</f>
        <v>0.94676644763237183</v>
      </c>
      <c r="BZ14" s="15">
        <f>BY14+預測IC!BZ14</f>
        <v>0.88673239080358957</v>
      </c>
      <c r="CA14" s="15">
        <f>BZ14+預測IC!CA14</f>
        <v>0.86226712468865252</v>
      </c>
      <c r="CB14" s="15">
        <f>CA14+預測IC!CB14</f>
        <v>0.69780162336674567</v>
      </c>
      <c r="CC14" s="15">
        <f>CB14+預測IC!CC14</f>
        <v>0.81839778195592816</v>
      </c>
      <c r="CD14" s="15">
        <f>CC14+預測IC!CD14</f>
        <v>0.8513241693087118</v>
      </c>
      <c r="CE14" s="15">
        <f>CD14+預測IC!CE14</f>
        <v>0.77916745009701383</v>
      </c>
      <c r="CF14" s="15">
        <f>CE14+預測IC!CF14</f>
        <v>0.82204486017233069</v>
      </c>
      <c r="CG14" s="15">
        <f>CF14+預測IC!CG14</f>
        <v>0.76472419650451007</v>
      </c>
      <c r="CH14" s="15">
        <f>CG14+預測IC!CH14</f>
        <v>0.81360386696057585</v>
      </c>
      <c r="CI14" s="15">
        <f>CH14+預測IC!CI14</f>
        <v>0.82830547897201856</v>
      </c>
      <c r="CJ14" s="15">
        <f>CI14+預測IC!CJ14</f>
        <v>0.85697333391619313</v>
      </c>
      <c r="CK14" s="15">
        <f>CJ14+預測IC!CK14</f>
        <v>0.91076542043018605</v>
      </c>
      <c r="CL14" s="15">
        <f>CK14+預測IC!CL14</f>
        <v>0.7734218499767116</v>
      </c>
      <c r="CM14" s="15">
        <f>CL14+預測IC!CM14</f>
        <v>0.80546186034502876</v>
      </c>
      <c r="CN14" s="15">
        <f>CM14+預測IC!CN14</f>
        <v>0.82848854901595481</v>
      </c>
      <c r="CO14" s="15">
        <f>CN14+預測IC!CO14</f>
        <v>0.74972479029763073</v>
      </c>
      <c r="CP14" s="15">
        <f>CO14+預測IC!CP14</f>
        <v>0.64991545881587787</v>
      </c>
      <c r="CQ14" s="15">
        <f>CP14+預測IC!CQ14</f>
        <v>0.68214335870326559</v>
      </c>
      <c r="CR14" s="15">
        <f>CQ14+預測IC!CR14</f>
        <v>0.47442364611261756</v>
      </c>
      <c r="CS14" s="15">
        <f>CR14+預測IC!CS14</f>
        <v>0.47060753276909761</v>
      </c>
      <c r="CT14" s="15">
        <f>CS14+預測IC!CT14</f>
        <v>0.46094564648704239</v>
      </c>
      <c r="CU14" s="15">
        <f>CT14+預測IC!CU14</f>
        <v>0.5624906464437569</v>
      </c>
      <c r="CV14" s="15">
        <f>CU14+預測IC!CV14</f>
        <v>0.5230912125425371</v>
      </c>
      <c r="CW14" s="15">
        <f>CV14+預測IC!CW14</f>
        <v>0.56785509698579717</v>
      </c>
      <c r="CX14" s="15">
        <f>CW14+預測IC!CX14</f>
        <v>0.47721586963587348</v>
      </c>
      <c r="CY14" s="15">
        <f>CX14+預測IC!CY14</f>
        <v>0.38085473950858956</v>
      </c>
      <c r="CZ14" s="15">
        <f>CY14+預測IC!CZ14</f>
        <v>0.3705533398501662</v>
      </c>
      <c r="DA14" s="15">
        <f>CZ14+預測IC!DA14</f>
        <v>0.34624905067958173</v>
      </c>
      <c r="DB14" s="15">
        <f>DA14+預測IC!DB14</f>
        <v>0.36981012386777257</v>
      </c>
      <c r="DC14" s="15">
        <f>DB14+預測IC!DC14</f>
        <v>0.34617751466292507</v>
      </c>
      <c r="DD14" s="15">
        <f>DC14+預測IC!DD14</f>
        <v>0.42538286651110957</v>
      </c>
      <c r="DE14" s="15">
        <f>DD14+預測IC!DE14</f>
        <v>0.48790979051756855</v>
      </c>
      <c r="DF14" s="15">
        <f>DE14+預測IC!DF14</f>
        <v>0.423729382646514</v>
      </c>
      <c r="DG14" s="15">
        <f>DF14+預測IC!DG14</f>
        <v>0.51105418840504702</v>
      </c>
      <c r="DH14" s="15">
        <f>DG14+預測IC!DH14</f>
        <v>0.45231299423867333</v>
      </c>
      <c r="DI14" s="15">
        <f>DH14+預測IC!DI14</f>
        <v>0.49297212887424496</v>
      </c>
      <c r="DJ14" s="15">
        <f>DI14+預測IC!DJ14</f>
        <v>0.4841780994869242</v>
      </c>
      <c r="DK14" s="15">
        <f>DJ14+預測IC!DK14</f>
        <v>0.40676481519678798</v>
      </c>
      <c r="DL14" s="15">
        <f>DK14+預測IC!DL14</f>
        <v>0.36600994336488896</v>
      </c>
      <c r="DM14" s="15">
        <f>DL14+預測IC!DM14</f>
        <v>0.39843186010666792</v>
      </c>
      <c r="DN14" s="15">
        <f>DM14+預測IC!DN14</f>
        <v>0.44336760071516357</v>
      </c>
      <c r="DO14" s="15">
        <f>DN14+預測IC!DO14</f>
        <v>0.51365614965969519</v>
      </c>
      <c r="DP14" s="15">
        <f>DO14+預測IC!DP14</f>
        <v>0.55719586601734716</v>
      </c>
      <c r="DQ14" s="15">
        <f>DP14+預測IC!DQ14</f>
        <v>0.48602330143621419</v>
      </c>
      <c r="DR14" s="15">
        <f>DQ14+預測IC!DR14</f>
        <v>0.49381772324529949</v>
      </c>
      <c r="DS14" s="15">
        <f>DR14+預測IC!DS14</f>
        <v>0.40437996885633232</v>
      </c>
      <c r="DT14" s="15">
        <f>DS14+預測IC!DT14</f>
        <v>0.41213425919541519</v>
      </c>
      <c r="DU14" s="15">
        <f>DT14+預測IC!DU14</f>
        <v>0.29321667262784207</v>
      </c>
      <c r="DV14" s="15">
        <f>DU14+預測IC!DV14</f>
        <v>0.24806344872335906</v>
      </c>
      <c r="DW14" s="15">
        <f>DV14+預測IC!DW14</f>
        <v>0.34640781574113677</v>
      </c>
      <c r="DX14" s="15">
        <f>DW14+預測IC!DX14</f>
        <v>0.31871811838073816</v>
      </c>
      <c r="DY14" s="15">
        <f>DX14+預測IC!DY14</f>
        <v>0.36637910498307935</v>
      </c>
      <c r="DZ14" s="15">
        <f>DY14+預測IC!DZ14</f>
        <v>0.38807669423919616</v>
      </c>
      <c r="EA14" s="15">
        <f>DZ14+預測IC!EA14</f>
        <v>0.49560217743671997</v>
      </c>
      <c r="EB14" s="15">
        <f>EA14+預測IC!EB14</f>
        <v>0.5737820081369831</v>
      </c>
      <c r="EC14" s="15">
        <f>EB14+預測IC!EC14</f>
        <v>0.53052199060767546</v>
      </c>
      <c r="ED14" s="15">
        <f>EC14+預測IC!ED14</f>
        <v>0.45212272646261198</v>
      </c>
      <c r="EE14" s="15">
        <f>ED14+預測IC!EE14</f>
        <v>0.40961698716125372</v>
      </c>
      <c r="EF14" s="15">
        <f>EE14+預測IC!EF14</f>
        <v>0.38409163195937246</v>
      </c>
    </row>
    <row r="15" spans="1:137" x14ac:dyDescent="0.3">
      <c r="A15" s="1">
        <v>10</v>
      </c>
      <c r="B15" s="1" t="s">
        <v>162</v>
      </c>
      <c r="C15" s="15">
        <v>-3.6350225217569622E-2</v>
      </c>
      <c r="D15" s="15">
        <f>C15+預測IC!D15</f>
        <v>0.33635899039235595</v>
      </c>
      <c r="E15" s="15">
        <f>D15+預測IC!E15</f>
        <v>0.24101438492138549</v>
      </c>
      <c r="F15" s="15">
        <f>E15+預測IC!F15</f>
        <v>0.27593582147808288</v>
      </c>
      <c r="G15" s="15">
        <f>F15+預測IC!G15</f>
        <v>0.24153190051104637</v>
      </c>
      <c r="H15" s="15">
        <f>G15+預測IC!H15</f>
        <v>0.24028817445294126</v>
      </c>
      <c r="I15" s="15">
        <f>H15+預測IC!I15</f>
        <v>0.18185673017307571</v>
      </c>
      <c r="J15" s="15">
        <f>I15+預測IC!J15</f>
        <v>0.23181819542046536</v>
      </c>
      <c r="K15" s="15">
        <f>J15+預測IC!K15</f>
        <v>0.32633299301239627</v>
      </c>
      <c r="L15" s="15">
        <f>K15+預測IC!L15</f>
        <v>0.24516193244375001</v>
      </c>
      <c r="M15" s="15">
        <f>L15+預測IC!M15</f>
        <v>0.24302891600746232</v>
      </c>
      <c r="N15" s="15">
        <f>M15+預測IC!N15</f>
        <v>0.35282511043259601</v>
      </c>
      <c r="O15" s="15">
        <f>N15+預測IC!O15</f>
        <v>0.42658245467891065</v>
      </c>
      <c r="P15" s="15">
        <f>O15+預測IC!P15</f>
        <v>0.44847902452413468</v>
      </c>
      <c r="Q15" s="15">
        <f>P15+預測IC!Q15</f>
        <v>0.60401586663194717</v>
      </c>
      <c r="R15" s="15">
        <f>Q15+預測IC!R15</f>
        <v>0.65614555673706465</v>
      </c>
      <c r="S15" s="15">
        <f>R15+預測IC!S15</f>
        <v>0.74163344694300548</v>
      </c>
      <c r="T15" s="15">
        <f>S15+預測IC!T15</f>
        <v>0.80843357188611753</v>
      </c>
      <c r="U15" s="15">
        <f>T15+預測IC!U15</f>
        <v>0.94540163355338636</v>
      </c>
      <c r="V15" s="15">
        <f>U15+預測IC!V15</f>
        <v>1.0555286398842223</v>
      </c>
      <c r="W15" s="15">
        <f>V15+預測IC!W15</f>
        <v>1.1062000641292129</v>
      </c>
      <c r="X15" s="15">
        <f>W15+預測IC!X15</f>
        <v>1.1846364765748003</v>
      </c>
      <c r="Y15" s="15">
        <f>X15+預測IC!Y15</f>
        <v>1.2366652746319424</v>
      </c>
      <c r="Z15" s="15">
        <f>Y15+預測IC!Z15</f>
        <v>1.2833852466853011</v>
      </c>
      <c r="AA15" s="15">
        <f>Z15+預測IC!AA15</f>
        <v>1.2293040996572675</v>
      </c>
      <c r="AB15" s="15">
        <f>AA15+預測IC!AB15</f>
        <v>1.1456039271414369</v>
      </c>
      <c r="AC15" s="15">
        <f>AB15+預測IC!AC15</f>
        <v>1.149921595989492</v>
      </c>
      <c r="AD15" s="15">
        <f>AC15+預測IC!AD15</f>
        <v>1.0682082211013095</v>
      </c>
      <c r="AE15" s="15">
        <f>AD15+預測IC!AE15</f>
        <v>1.2800008641485816</v>
      </c>
      <c r="AF15" s="15">
        <f>AE15+預測IC!AF15</f>
        <v>1.1422745769709273</v>
      </c>
      <c r="AG15" s="15">
        <f>AF15+預測IC!AG15</f>
        <v>1.0979500327558513</v>
      </c>
      <c r="AH15" s="15">
        <f>AG15+預測IC!AH15</f>
        <v>1.2309173977655741</v>
      </c>
      <c r="AI15" s="15">
        <f>AH15+預測IC!AI15</f>
        <v>1.2060681406330431</v>
      </c>
      <c r="AJ15" s="15">
        <f>AI15+預測IC!AJ15</f>
        <v>1.1723502185138699</v>
      </c>
      <c r="AK15" s="15">
        <f>AJ15+預測IC!AK15</f>
        <v>1.1029887673219534</v>
      </c>
      <c r="AL15" s="15">
        <f>AK15+預測IC!AL15</f>
        <v>1.1474204298177679</v>
      </c>
      <c r="AM15" s="15">
        <f>AL15+預測IC!AM15</f>
        <v>1.202543051952395</v>
      </c>
      <c r="AN15" s="15">
        <f>AM15+預測IC!AN15</f>
        <v>1.3042317578647784</v>
      </c>
      <c r="AO15" s="15">
        <f>AN15+預測IC!AO15</f>
        <v>1.252847237624811</v>
      </c>
      <c r="AP15" s="15">
        <f>AO15+預測IC!AP15</f>
        <v>1.2402652926691653</v>
      </c>
      <c r="AQ15" s="15">
        <f>AP15+預測IC!AQ15</f>
        <v>1.2776324194652871</v>
      </c>
      <c r="AR15" s="15">
        <f>AQ15+預測IC!AR15</f>
        <v>1.2530815997670084</v>
      </c>
      <c r="AS15" s="15">
        <f>AR15+預測IC!AS15</f>
        <v>1.3069027788041223</v>
      </c>
      <c r="AT15" s="15">
        <f>AS15+預測IC!AT15</f>
        <v>1.3778925914078273</v>
      </c>
      <c r="AU15" s="15">
        <f>AT15+預測IC!AU15</f>
        <v>1.4550666686577891</v>
      </c>
      <c r="AV15" s="15">
        <f>AU15+預測IC!AV15</f>
        <v>1.4882919708761677</v>
      </c>
      <c r="AW15" s="15">
        <f>AV15+預測IC!AW15</f>
        <v>1.4726320316215868</v>
      </c>
      <c r="AX15" s="15">
        <f>AW15+預測IC!AX15</f>
        <v>1.3912714656668188</v>
      </c>
      <c r="AY15" s="15">
        <f>AX15+預測IC!AY15</f>
        <v>1.3622658063663271</v>
      </c>
      <c r="AZ15" s="15">
        <f>AY15+預測IC!AZ15</f>
        <v>1.2944194772476767</v>
      </c>
      <c r="BA15" s="15">
        <f>AZ15+預測IC!BA15</f>
        <v>1.3050329920553296</v>
      </c>
      <c r="BB15" s="15">
        <f>BA15+預測IC!BB15</f>
        <v>1.4138220918714524</v>
      </c>
      <c r="BC15" s="15">
        <f>BB15+預測IC!BC15</f>
        <v>1.4759772355392826</v>
      </c>
      <c r="BD15" s="15">
        <f>BC15+預測IC!BD15</f>
        <v>1.5290205094440787</v>
      </c>
      <c r="BE15" s="15">
        <f>BD15+預測IC!BE15</f>
        <v>1.4805777884264155</v>
      </c>
      <c r="BF15" s="15">
        <f>BE15+預測IC!BF15</f>
        <v>1.6914498759164029</v>
      </c>
      <c r="BG15" s="15">
        <f>BF15+預測IC!BG15</f>
        <v>1.6939394146509681</v>
      </c>
      <c r="BH15" s="15">
        <f>BG15+預測IC!BH15</f>
        <v>1.7283812601326576</v>
      </c>
      <c r="BI15" s="15">
        <f>BH15+預測IC!BI15</f>
        <v>1.7495403745393971</v>
      </c>
      <c r="BJ15" s="15">
        <f>BI15+預測IC!BJ15</f>
        <v>1.8796506295755666</v>
      </c>
      <c r="BK15" s="15">
        <f>BJ15+預測IC!BK15</f>
        <v>1.9252555618759801</v>
      </c>
      <c r="BL15" s="15">
        <f>BK15+預測IC!BL15</f>
        <v>1.9850109828503011</v>
      </c>
      <c r="BM15" s="15">
        <f>BL15+預測IC!BM15</f>
        <v>2.0332299873380451</v>
      </c>
      <c r="BN15" s="15">
        <f>BM15+預測IC!BN15</f>
        <v>2.0969507147490569</v>
      </c>
      <c r="BO15" s="15">
        <f>BN15+預測IC!BO15</f>
        <v>2.0692162387941258</v>
      </c>
      <c r="BP15" s="15">
        <f>BO15+預測IC!BP15</f>
        <v>2.017599384322061</v>
      </c>
      <c r="BQ15" s="15">
        <f>BP15+預測IC!BQ15</f>
        <v>1.9741681308291652</v>
      </c>
      <c r="BR15" s="15">
        <f>BQ15+預測IC!BR15</f>
        <v>1.9240107017071055</v>
      </c>
      <c r="BS15" s="15">
        <f>BR15+預測IC!BS15</f>
        <v>1.9121447907984939</v>
      </c>
      <c r="BT15" s="15">
        <f>BS15+預測IC!BT15</f>
        <v>1.8522938547066432</v>
      </c>
      <c r="BU15" s="15">
        <f>BT15+預測IC!BU15</f>
        <v>1.8717702745024367</v>
      </c>
      <c r="BV15" s="15">
        <f>BU15+預測IC!BV15</f>
        <v>1.7855901377865167</v>
      </c>
      <c r="BW15" s="15">
        <f>BV15+預測IC!BW15</f>
        <v>2.0844691273624445</v>
      </c>
      <c r="BX15" s="15">
        <f>BW15+預測IC!BX15</f>
        <v>2.0306175584179806</v>
      </c>
      <c r="BY15" s="15">
        <f>BX15+預測IC!BY15</f>
        <v>1.9372791659541437</v>
      </c>
      <c r="BZ15" s="15">
        <f>BY15+預測IC!BZ15</f>
        <v>1.8343726969767964</v>
      </c>
      <c r="CA15" s="15">
        <f>BZ15+預測IC!CA15</f>
        <v>1.8157806761803541</v>
      </c>
      <c r="CB15" s="15">
        <f>CA15+預測IC!CB15</f>
        <v>1.6846892733962928</v>
      </c>
      <c r="CC15" s="15">
        <f>CB15+預測IC!CC15</f>
        <v>1.8583409791184127</v>
      </c>
      <c r="CD15" s="15">
        <f>CC15+預測IC!CD15</f>
        <v>1.811226510989739</v>
      </c>
      <c r="CE15" s="15">
        <f>CD15+預測IC!CE15</f>
        <v>1.6947099419196183</v>
      </c>
      <c r="CF15" s="15">
        <f>CE15+預測IC!CF15</f>
        <v>1.7360593717875858</v>
      </c>
      <c r="CG15" s="15">
        <f>CF15+預測IC!CG15</f>
        <v>1.6501733502574221</v>
      </c>
      <c r="CH15" s="15">
        <f>CG15+預測IC!CH15</f>
        <v>1.7315159582407502</v>
      </c>
      <c r="CI15" s="15">
        <f>CH15+預測IC!CI15</f>
        <v>1.7290050194604178</v>
      </c>
      <c r="CJ15" s="15">
        <f>CI15+預測IC!CJ15</f>
        <v>1.8160493755331359</v>
      </c>
      <c r="CK15" s="15">
        <f>CJ15+預測IC!CK15</f>
        <v>1.9116901237058412</v>
      </c>
      <c r="CL15" s="15">
        <f>CK15+預測IC!CL15</f>
        <v>1.7500356506626646</v>
      </c>
      <c r="CM15" s="15">
        <f>CL15+預測IC!CM15</f>
        <v>1.8246667667911185</v>
      </c>
      <c r="CN15" s="15">
        <f>CM15+預測IC!CN15</f>
        <v>1.8673008825902788</v>
      </c>
      <c r="CO15" s="15">
        <f>CN15+預測IC!CO15</f>
        <v>1.7603216383907108</v>
      </c>
      <c r="CP15" s="15">
        <f>CO15+預測IC!CP15</f>
        <v>1.6327858029577611</v>
      </c>
      <c r="CQ15" s="15">
        <f>CP15+預測IC!CQ15</f>
        <v>1.6078224425013223</v>
      </c>
      <c r="CR15" s="15">
        <f>CQ15+預測IC!CR15</f>
        <v>1.4263335102655872</v>
      </c>
      <c r="CS15" s="15">
        <f>CR15+預測IC!CS15</f>
        <v>1.4432444969698428</v>
      </c>
      <c r="CT15" s="15">
        <f>CS15+預測IC!CT15</f>
        <v>1.4481861673354548</v>
      </c>
      <c r="CU15" s="15">
        <f>CT15+預測IC!CU15</f>
        <v>1.5722360987493229</v>
      </c>
      <c r="CV15" s="15">
        <f>CU15+預測IC!CV15</f>
        <v>1.511791603059933</v>
      </c>
      <c r="CW15" s="15">
        <f>CV15+預測IC!CW15</f>
        <v>1.5378636939630597</v>
      </c>
      <c r="CX15" s="15">
        <f>CW15+預測IC!CX15</f>
        <v>1.3854759150714917</v>
      </c>
      <c r="CY15" s="15">
        <f>CX15+預測IC!CY15</f>
        <v>1.2925280107361337</v>
      </c>
      <c r="CZ15" s="15">
        <f>CY15+預測IC!CZ15</f>
        <v>1.2687646755956516</v>
      </c>
      <c r="DA15" s="15">
        <f>CZ15+預測IC!DA15</f>
        <v>1.242388840153775</v>
      </c>
      <c r="DB15" s="15">
        <f>DA15+預測IC!DB15</f>
        <v>1.2726154583678988</v>
      </c>
      <c r="DC15" s="15">
        <f>DB15+預測IC!DC15</f>
        <v>1.2375403083933167</v>
      </c>
      <c r="DD15" s="15">
        <f>DC15+預測IC!DD15</f>
        <v>1.252047034524763</v>
      </c>
      <c r="DE15" s="15">
        <f>DD15+預測IC!DE15</f>
        <v>1.3092106692560155</v>
      </c>
      <c r="DF15" s="15">
        <f>DE15+預測IC!DF15</f>
        <v>1.3152651955286196</v>
      </c>
      <c r="DG15" s="15">
        <f>DF15+預測IC!DG15</f>
        <v>1.4283567583689794</v>
      </c>
      <c r="DH15" s="15">
        <f>DG15+預測IC!DH15</f>
        <v>1.2987348227011224</v>
      </c>
      <c r="DI15" s="15">
        <f>DH15+預測IC!DI15</f>
        <v>1.3528431413582527</v>
      </c>
      <c r="DJ15" s="15">
        <f>DI15+預測IC!DJ15</f>
        <v>1.2928193646671955</v>
      </c>
      <c r="DK15" s="15">
        <f>DJ15+預測IC!DK15</f>
        <v>1.220630766861398</v>
      </c>
      <c r="DL15" s="15">
        <f>DK15+預測IC!DL15</f>
        <v>1.220934760064226</v>
      </c>
      <c r="DM15" s="15">
        <f>DL15+預測IC!DM15</f>
        <v>1.2599868767578917</v>
      </c>
      <c r="DN15" s="15">
        <f>DM15+預測IC!DN15</f>
        <v>1.3417175890090207</v>
      </c>
      <c r="DO15" s="15">
        <f>DN15+預測IC!DO15</f>
        <v>1.3758220047581178</v>
      </c>
      <c r="DP15" s="15">
        <f>DO15+預測IC!DP15</f>
        <v>1.3995576067650104</v>
      </c>
      <c r="DQ15" s="15">
        <f>DP15+預測IC!DQ15</f>
        <v>1.362518917812813</v>
      </c>
      <c r="DR15" s="15">
        <f>DQ15+預測IC!DR15</f>
        <v>1.3404836528179389</v>
      </c>
      <c r="DS15" s="15">
        <f>DR15+預測IC!DS15</f>
        <v>1.3309121103591743</v>
      </c>
      <c r="DT15" s="15">
        <f>DS15+預測IC!DT15</f>
        <v>1.3836309003482439</v>
      </c>
      <c r="DU15" s="15">
        <f>DT15+預測IC!DU15</f>
        <v>1.194990255445856</v>
      </c>
      <c r="DV15" s="15">
        <f>DU15+預測IC!DV15</f>
        <v>1.1482625260926163</v>
      </c>
      <c r="DW15" s="15">
        <f>DV15+預測IC!DW15</f>
        <v>1.1738011532394488</v>
      </c>
      <c r="DX15" s="15">
        <f>DW15+預測IC!DX15</f>
        <v>1.1522554829189688</v>
      </c>
      <c r="DY15" s="15">
        <f>DX15+預測IC!DY15</f>
        <v>1.06858184822643</v>
      </c>
      <c r="DZ15" s="15">
        <f>DY15+預測IC!DZ15</f>
        <v>1.105178345990234</v>
      </c>
      <c r="EA15" s="15">
        <f>DZ15+預測IC!EA15</f>
        <v>1.2143552789001126</v>
      </c>
      <c r="EB15" s="15">
        <f>EA15+預測IC!EB15</f>
        <v>1.3024427284273674</v>
      </c>
      <c r="EC15" s="15">
        <f>EB15+預測IC!EC15</f>
        <v>1.2262856516307477</v>
      </c>
      <c r="ED15" s="15">
        <f>EC15+預測IC!ED15</f>
        <v>1.1156256171425274</v>
      </c>
      <c r="EE15" s="15">
        <f>ED15+預測IC!EE15</f>
        <v>1.0662814372023679</v>
      </c>
      <c r="EF15" s="15">
        <f>EE15+預測IC!EF15</f>
        <v>1.0366353821303618</v>
      </c>
    </row>
    <row r="16" spans="1:137" x14ac:dyDescent="0.3">
      <c r="A16" s="1">
        <v>9</v>
      </c>
      <c r="B16" s="1" t="s">
        <v>163</v>
      </c>
      <c r="C16" s="15">
        <v>-3.9435389831589431E-2</v>
      </c>
      <c r="D16" s="15">
        <f>C16+預測IC!D16</f>
        <v>0.36875958890099114</v>
      </c>
      <c r="E16" s="15">
        <f>D16+預測IC!E16</f>
        <v>0.28205541747243784</v>
      </c>
      <c r="F16" s="15">
        <f>E16+預測IC!F16</f>
        <v>0.36077088937676882</v>
      </c>
      <c r="G16" s="15">
        <f>F16+預測IC!G16</f>
        <v>0.35262433871781956</v>
      </c>
      <c r="H16" s="15">
        <f>G16+預測IC!H16</f>
        <v>0.35197498926099652</v>
      </c>
      <c r="I16" s="15">
        <f>H16+預測IC!I16</f>
        <v>0.29444437059537509</v>
      </c>
      <c r="J16" s="15">
        <f>I16+預測IC!J16</f>
        <v>0.34115429663804125</v>
      </c>
      <c r="K16" s="15">
        <f>J16+預測IC!K16</f>
        <v>0.42757518822043183</v>
      </c>
      <c r="L16" s="15">
        <f>K16+預測IC!L16</f>
        <v>0.34241358410622041</v>
      </c>
      <c r="M16" s="15">
        <f>L16+預測IC!M16</f>
        <v>0.32842614824430333</v>
      </c>
      <c r="N16" s="15">
        <f>M16+預測IC!N16</f>
        <v>0.44866864652350003</v>
      </c>
      <c r="O16" s="15">
        <f>N16+預測IC!O16</f>
        <v>0.52849550709461712</v>
      </c>
      <c r="P16" s="15">
        <f>O16+預測IC!P16</f>
        <v>0.53668368660894905</v>
      </c>
      <c r="Q16" s="15">
        <f>P16+預測IC!Q16</f>
        <v>0.69458675703328709</v>
      </c>
      <c r="R16" s="15">
        <f>Q16+預測IC!R16</f>
        <v>0.74357773531621363</v>
      </c>
      <c r="S16" s="15">
        <f>R16+預測IC!S16</f>
        <v>0.85343677965102027</v>
      </c>
      <c r="T16" s="15">
        <f>S16+預測IC!T16</f>
        <v>0.92065583980862153</v>
      </c>
      <c r="U16" s="15">
        <f>T16+預測IC!U16</f>
        <v>1.050718311238366</v>
      </c>
      <c r="V16" s="15">
        <f>U16+預測IC!V16</f>
        <v>1.126289797347273</v>
      </c>
      <c r="W16" s="15">
        <f>V16+預測IC!W16</f>
        <v>1.2279211544784483</v>
      </c>
      <c r="X16" s="15">
        <f>W16+預測IC!X16</f>
        <v>1.3015994321359154</v>
      </c>
      <c r="Y16" s="15">
        <f>X16+預測IC!Y16</f>
        <v>1.351878266596978</v>
      </c>
      <c r="Z16" s="15">
        <f>Y16+預測IC!Z16</f>
        <v>1.3949361974811896</v>
      </c>
      <c r="AA16" s="15">
        <f>Z16+預測IC!AA16</f>
        <v>1.3514485616451974</v>
      </c>
      <c r="AB16" s="15">
        <f>AA16+預測IC!AB16</f>
        <v>1.276463520007217</v>
      </c>
      <c r="AC16" s="15">
        <f>AB16+預測IC!AC16</f>
        <v>1.2636980719718003</v>
      </c>
      <c r="AD16" s="15">
        <f>AC16+預測IC!AD16</f>
        <v>1.2105620164239435</v>
      </c>
      <c r="AE16" s="15">
        <f>AD16+預測IC!AE16</f>
        <v>1.420190257600854</v>
      </c>
      <c r="AF16" s="15">
        <f>AE16+預測IC!AF16</f>
        <v>1.2722746473364275</v>
      </c>
      <c r="AG16" s="15">
        <f>AF16+預測IC!AG16</f>
        <v>1.2284984876006551</v>
      </c>
      <c r="AH16" s="15">
        <f>AG16+預測IC!AH16</f>
        <v>1.3769001127678075</v>
      </c>
      <c r="AI16" s="15">
        <f>AH16+預測IC!AI16</f>
        <v>1.3435168570961602</v>
      </c>
      <c r="AJ16" s="15">
        <f>AI16+預測IC!AJ16</f>
        <v>1.2953963785598299</v>
      </c>
      <c r="AK16" s="15">
        <f>AJ16+預測IC!AK16</f>
        <v>1.257962925578342</v>
      </c>
      <c r="AL16" s="15">
        <f>AK16+預測IC!AL16</f>
        <v>1.3066518586828653</v>
      </c>
      <c r="AM16" s="15">
        <f>AL16+預測IC!AM16</f>
        <v>1.3727285892846632</v>
      </c>
      <c r="AN16" s="15">
        <f>AM16+預測IC!AN16</f>
        <v>1.4791847893743388</v>
      </c>
      <c r="AO16" s="15">
        <f>AN16+預測IC!AO16</f>
        <v>1.4380946360125977</v>
      </c>
      <c r="AP16" s="15">
        <f>AO16+預測IC!AP16</f>
        <v>1.4328547464492527</v>
      </c>
      <c r="AQ16" s="15">
        <f>AP16+預測IC!AQ16</f>
        <v>1.4713209465953212</v>
      </c>
      <c r="AR16" s="15">
        <f>AQ16+預測IC!AR16</f>
        <v>1.4388281868752575</v>
      </c>
      <c r="AS16" s="15">
        <f>AR16+預測IC!AS16</f>
        <v>1.5038964123492269</v>
      </c>
      <c r="AT16" s="15">
        <f>AS16+預測IC!AT16</f>
        <v>1.6264604556995117</v>
      </c>
      <c r="AU16" s="15">
        <f>AT16+預測IC!AU16</f>
        <v>1.7085507275425136</v>
      </c>
      <c r="AV16" s="15">
        <f>AU16+預測IC!AV16</f>
        <v>1.7321596038905724</v>
      </c>
      <c r="AW16" s="15">
        <f>AV16+預測IC!AW16</f>
        <v>1.6929066738159217</v>
      </c>
      <c r="AX16" s="15">
        <f>AW16+預測IC!AX16</f>
        <v>1.5922853447145189</v>
      </c>
      <c r="AY16" s="15">
        <f>AX16+預測IC!AY16</f>
        <v>1.5726834911153798</v>
      </c>
      <c r="AZ16" s="15">
        <f>AY16+預測IC!AZ16</f>
        <v>1.484533309594807</v>
      </c>
      <c r="BA16" s="15">
        <f>AZ16+預測IC!BA16</f>
        <v>1.499456414652393</v>
      </c>
      <c r="BB16" s="15">
        <f>BA16+預測IC!BB16</f>
        <v>1.6319311522489648</v>
      </c>
      <c r="BC16" s="15">
        <f>BB16+預測IC!BC16</f>
        <v>1.6990526183566566</v>
      </c>
      <c r="BD16" s="15">
        <f>BC16+預測IC!BD16</f>
        <v>1.7349893299025605</v>
      </c>
      <c r="BE16" s="15">
        <f>BD16+預測IC!BE16</f>
        <v>1.6835783355080856</v>
      </c>
      <c r="BF16" s="15">
        <f>BE16+預測IC!BF16</f>
        <v>1.9313651946085457</v>
      </c>
      <c r="BG16" s="15">
        <f>BF16+預測IC!BG16</f>
        <v>1.9448384766565023</v>
      </c>
      <c r="BH16" s="15">
        <f>BG16+預測IC!BH16</f>
        <v>1.9310628621725405</v>
      </c>
      <c r="BI16" s="15">
        <f>BH16+預測IC!BI16</f>
        <v>1.9800528026054516</v>
      </c>
      <c r="BJ16" s="15">
        <f>BI16+預測IC!BJ16</f>
        <v>2.0766196061309898</v>
      </c>
      <c r="BK16" s="15">
        <f>BJ16+預測IC!BK16</f>
        <v>2.1279912306570012</v>
      </c>
      <c r="BL16" s="15">
        <f>BK16+預測IC!BL16</f>
        <v>2.1891648301414715</v>
      </c>
      <c r="BM16" s="15">
        <f>BL16+預測IC!BM16</f>
        <v>2.2286628156325774</v>
      </c>
      <c r="BN16" s="15">
        <f>BM16+預測IC!BN16</f>
        <v>2.2899675655424621</v>
      </c>
      <c r="BO16" s="15">
        <f>BN16+預測IC!BO16</f>
        <v>2.2680772055888045</v>
      </c>
      <c r="BP16" s="15">
        <f>BO16+預測IC!BP16</f>
        <v>2.2103271449083488</v>
      </c>
      <c r="BQ16" s="15">
        <f>BP16+預測IC!BQ16</f>
        <v>2.1866364262411015</v>
      </c>
      <c r="BR16" s="15">
        <f>BQ16+預測IC!BR16</f>
        <v>2.1603395782196571</v>
      </c>
      <c r="BS16" s="15">
        <f>BR16+預測IC!BS16</f>
        <v>2.1283325910267741</v>
      </c>
      <c r="BT16" s="15">
        <f>BS16+預測IC!BT16</f>
        <v>2.0816717085332557</v>
      </c>
      <c r="BU16" s="15">
        <f>BT16+預測IC!BU16</f>
        <v>2.1394368187180559</v>
      </c>
      <c r="BV16" s="15">
        <f>BU16+預測IC!BV16</f>
        <v>2.0449263502511306</v>
      </c>
      <c r="BW16" s="15">
        <f>BV16+預測IC!BW16</f>
        <v>2.3628971847894977</v>
      </c>
      <c r="BX16" s="15">
        <f>BW16+預測IC!BX16</f>
        <v>2.2963376656714147</v>
      </c>
      <c r="BY16" s="15">
        <f>BX16+預測IC!BY16</f>
        <v>2.1773429576181362</v>
      </c>
      <c r="BZ16" s="15">
        <f>BY16+預測IC!BZ16</f>
        <v>2.065817109116487</v>
      </c>
      <c r="CA16" s="15">
        <f>BZ16+預測IC!CA16</f>
        <v>2.0361027193609238</v>
      </c>
      <c r="CB16" s="15">
        <f>CA16+預測IC!CB16</f>
        <v>1.8967939834275898</v>
      </c>
      <c r="CC16" s="15">
        <f>CB16+預測IC!CC16</f>
        <v>1.9411821365977955</v>
      </c>
      <c r="CD16" s="15">
        <f>CC16+預測IC!CD16</f>
        <v>1.8801936107240655</v>
      </c>
      <c r="CE16" s="15">
        <f>CD16+預測IC!CE16</f>
        <v>1.7475985499305542</v>
      </c>
      <c r="CF16" s="15">
        <f>CE16+預測IC!CF16</f>
        <v>1.8003986342658351</v>
      </c>
      <c r="CG16" s="15">
        <f>CF16+預測IC!CG16</f>
        <v>1.7386707561191685</v>
      </c>
      <c r="CH16" s="15">
        <f>CG16+預測IC!CH16</f>
        <v>1.7891194808231647</v>
      </c>
      <c r="CI16" s="15">
        <f>CH16+預測IC!CI16</f>
        <v>1.784878812711014</v>
      </c>
      <c r="CJ16" s="15">
        <f>CI16+預測IC!CJ16</f>
        <v>1.8304023634986806</v>
      </c>
      <c r="CK16" s="15">
        <f>CJ16+預測IC!CK16</f>
        <v>1.9188250532802882</v>
      </c>
      <c r="CL16" s="15">
        <f>CK16+預測IC!CL16</f>
        <v>1.7220846151210745</v>
      </c>
      <c r="CM16" s="15">
        <f>CL16+預測IC!CM16</f>
        <v>1.8110732432705861</v>
      </c>
      <c r="CN16" s="15">
        <f>CM16+預測IC!CN16</f>
        <v>1.8441307584115361</v>
      </c>
      <c r="CO16" s="15">
        <f>CN16+預測IC!CO16</f>
        <v>1.7094905496176307</v>
      </c>
      <c r="CP16" s="15">
        <f>CO16+預測IC!CP16</f>
        <v>1.5728588601355393</v>
      </c>
      <c r="CQ16" s="15">
        <f>CP16+預測IC!CQ16</f>
        <v>1.5525250803151784</v>
      </c>
      <c r="CR16" s="15">
        <f>CQ16+預測IC!CR16</f>
        <v>1.3632385468477801</v>
      </c>
      <c r="CS16" s="15">
        <f>CR16+預測IC!CS16</f>
        <v>1.3850455557574022</v>
      </c>
      <c r="CT16" s="15">
        <f>CS16+預測IC!CT16</f>
        <v>1.4106029337182369</v>
      </c>
      <c r="CU16" s="15">
        <f>CT16+預測IC!CU16</f>
        <v>1.546074634582443</v>
      </c>
      <c r="CV16" s="15">
        <f>CU16+預測IC!CV16</f>
        <v>1.486620641796607</v>
      </c>
      <c r="CW16" s="15">
        <f>CV16+預測IC!CW16</f>
        <v>1.5339623009708869</v>
      </c>
      <c r="CX16" s="15">
        <f>CW16+預測IC!CX16</f>
        <v>1.3716963256682708</v>
      </c>
      <c r="CY16" s="15">
        <f>CX16+預測IC!CY16</f>
        <v>1.2904156877940567</v>
      </c>
      <c r="CZ16" s="15">
        <f>CY16+預測IC!CZ16</f>
        <v>1.2576908655519126</v>
      </c>
      <c r="DA16" s="15">
        <f>CZ16+預測IC!DA16</f>
        <v>1.2278860715846771</v>
      </c>
      <c r="DB16" s="15">
        <f>DA16+預測IC!DB16</f>
        <v>1.2705982413649031</v>
      </c>
      <c r="DC16" s="15">
        <f>DB16+預測IC!DC16</f>
        <v>1.2276558790444028</v>
      </c>
      <c r="DD16" s="15">
        <f>DC16+預測IC!DD16</f>
        <v>1.2593995895316827</v>
      </c>
      <c r="DE16" s="15">
        <f>DD16+預測IC!DE16</f>
        <v>1.2939519898904728</v>
      </c>
      <c r="DF16" s="15">
        <f>DE16+預測IC!DF16</f>
        <v>1.2966500034427988</v>
      </c>
      <c r="DG16" s="15">
        <f>DF16+預測IC!DG16</f>
        <v>1.4230219232932715</v>
      </c>
      <c r="DH16" s="15">
        <f>DG16+預測IC!DH16</f>
        <v>1.2858741628807633</v>
      </c>
      <c r="DI16" s="15">
        <f>DH16+預測IC!DI16</f>
        <v>1.3312736607820246</v>
      </c>
      <c r="DJ16" s="15">
        <f>DI16+預測IC!DJ16</f>
        <v>1.260318608345139</v>
      </c>
      <c r="DK16" s="15">
        <f>DJ16+預測IC!DK16</f>
        <v>1.2026328389978795</v>
      </c>
      <c r="DL16" s="15">
        <f>DK16+預測IC!DL16</f>
        <v>1.2245057132476538</v>
      </c>
      <c r="DM16" s="15">
        <f>DL16+預測IC!DM16</f>
        <v>1.243416087416197</v>
      </c>
      <c r="DN16" s="15">
        <f>DM16+預測IC!DN16</f>
        <v>1.3593028191611887</v>
      </c>
      <c r="DO16" s="15">
        <f>DN16+預測IC!DO16</f>
        <v>1.4058666856409667</v>
      </c>
      <c r="DP16" s="15">
        <f>DO16+預測IC!DP16</f>
        <v>1.4257086342201928</v>
      </c>
      <c r="DQ16" s="15">
        <f>DP16+預測IC!DQ16</f>
        <v>1.3786384782156611</v>
      </c>
      <c r="DR16" s="15">
        <f>DQ16+預測IC!DR16</f>
        <v>1.3674603105665597</v>
      </c>
      <c r="DS16" s="15">
        <f>DR16+預測IC!DS16</f>
        <v>1.3778833349430746</v>
      </c>
      <c r="DT16" s="15">
        <f>DS16+預測IC!DT16</f>
        <v>1.4369963100212606</v>
      </c>
      <c r="DU16" s="15">
        <f>DT16+預測IC!DU16</f>
        <v>1.2468880675753422</v>
      </c>
      <c r="DV16" s="15">
        <f>DU16+預測IC!DV16</f>
        <v>1.2011597504028553</v>
      </c>
      <c r="DW16" s="15">
        <f>DV16+預測IC!DW16</f>
        <v>1.242077480102546</v>
      </c>
      <c r="DX16" s="15">
        <f>DW16+預測IC!DX16</f>
        <v>1.2201297523265051</v>
      </c>
      <c r="DY16" s="15">
        <f>DX16+預測IC!DY16</f>
        <v>1.1251448881052681</v>
      </c>
      <c r="DZ16" s="15">
        <f>DY16+預測IC!DZ16</f>
        <v>1.1377940596910574</v>
      </c>
      <c r="EA16" s="15">
        <f>DZ16+預測IC!EA16</f>
        <v>1.2775930784344471</v>
      </c>
      <c r="EB16" s="15">
        <f>EA16+預測IC!EB16</f>
        <v>1.3782721791116488</v>
      </c>
      <c r="EC16" s="15">
        <f>EB16+預測IC!EC16</f>
        <v>1.3097706985438098</v>
      </c>
      <c r="ED16" s="15">
        <f>EC16+預測IC!ED16</f>
        <v>1.1950714709028929</v>
      </c>
      <c r="EE16" s="15">
        <f>ED16+預測IC!EE16</f>
        <v>1.135830474247707</v>
      </c>
      <c r="EF16" s="15">
        <f>EE16+預測IC!EF16</f>
        <v>1.1012798382677274</v>
      </c>
    </row>
    <row r="17" spans="1:136" x14ac:dyDescent="0.3">
      <c r="A17" s="1">
        <v>8</v>
      </c>
      <c r="B17" s="1" t="s">
        <v>164</v>
      </c>
      <c r="C17" s="15">
        <v>-3.8913468982799751E-2</v>
      </c>
      <c r="D17" s="15">
        <f>C17+預測IC!D17</f>
        <v>0.40067501964182167</v>
      </c>
      <c r="E17" s="15">
        <f>D17+預測IC!E17</f>
        <v>0.30400391044921082</v>
      </c>
      <c r="F17" s="15">
        <f>E17+預測IC!F17</f>
        <v>0.38475607460152994</v>
      </c>
      <c r="G17" s="15">
        <f>F17+預測IC!G17</f>
        <v>0.27936899993779923</v>
      </c>
      <c r="H17" s="15">
        <f>G17+預測IC!H17</f>
        <v>0.2873118567858009</v>
      </c>
      <c r="I17" s="15">
        <f>H17+預測IC!I17</f>
        <v>0.17358682898361338</v>
      </c>
      <c r="J17" s="15">
        <f>I17+預測IC!J17</f>
        <v>0.21544522410184258</v>
      </c>
      <c r="K17" s="15">
        <f>J17+預測IC!K17</f>
        <v>0.31700530382415248</v>
      </c>
      <c r="L17" s="15">
        <f>K17+預測IC!L17</f>
        <v>0.27477051267881036</v>
      </c>
      <c r="M17" s="15">
        <f>L17+預測IC!M17</f>
        <v>0.28942965476909877</v>
      </c>
      <c r="N17" s="15">
        <f>M17+預測IC!N17</f>
        <v>0.39870748159890457</v>
      </c>
      <c r="O17" s="15">
        <f>N17+預測IC!O17</f>
        <v>0.49993425087124027</v>
      </c>
      <c r="P17" s="15">
        <f>O17+預測IC!P17</f>
        <v>0.51331719761460859</v>
      </c>
      <c r="Q17" s="15">
        <f>P17+預測IC!Q17</f>
        <v>0.67511849222973552</v>
      </c>
      <c r="R17" s="15">
        <f>Q17+預測IC!R17</f>
        <v>0.72717610113426279</v>
      </c>
      <c r="S17" s="15">
        <f>R17+預測IC!S17</f>
        <v>0.84623049045959353</v>
      </c>
      <c r="T17" s="15">
        <f>S17+預測IC!T17</f>
        <v>0.91743250499240059</v>
      </c>
      <c r="U17" s="15">
        <f>T17+預測IC!U17</f>
        <v>1.0587036475309575</v>
      </c>
      <c r="V17" s="15">
        <f>U17+預測IC!V17</f>
        <v>1.1559633033835606</v>
      </c>
      <c r="W17" s="15">
        <f>V17+預測IC!W17</f>
        <v>1.2846305577412291</v>
      </c>
      <c r="X17" s="15">
        <f>W17+預測IC!X17</f>
        <v>1.3848165247452173</v>
      </c>
      <c r="Y17" s="15">
        <f>X17+預測IC!Y17</f>
        <v>1.458439656235625</v>
      </c>
      <c r="Z17" s="15">
        <f>Y17+預測IC!Z17</f>
        <v>1.5123081455264908</v>
      </c>
      <c r="AA17" s="15">
        <f>Z17+預測IC!AA17</f>
        <v>1.4770983559442918</v>
      </c>
      <c r="AB17" s="15">
        <f>AA17+預測IC!AB17</f>
        <v>1.3922462930661195</v>
      </c>
      <c r="AC17" s="15">
        <f>AB17+預測IC!AC17</f>
        <v>1.3721600383280979</v>
      </c>
      <c r="AD17" s="15">
        <f>AC17+預測IC!AD17</f>
        <v>1.3223826628673438</v>
      </c>
      <c r="AE17" s="15">
        <f>AD17+預測IC!AE17</f>
        <v>1.5445053672957947</v>
      </c>
      <c r="AF17" s="15">
        <f>AE17+預測IC!AF17</f>
        <v>1.4242190426399481</v>
      </c>
      <c r="AG17" s="15">
        <f>AF17+預測IC!AG17</f>
        <v>1.3615789010688095</v>
      </c>
      <c r="AH17" s="15">
        <f>AG17+預測IC!AH17</f>
        <v>1.5086037903246141</v>
      </c>
      <c r="AI17" s="15">
        <f>AH17+預測IC!AI17</f>
        <v>1.4515658146691275</v>
      </c>
      <c r="AJ17" s="15">
        <f>AI17+預測IC!AJ17</f>
        <v>1.3899531960603853</v>
      </c>
      <c r="AK17" s="15">
        <f>AJ17+預測IC!AK17</f>
        <v>1.36057730645081</v>
      </c>
      <c r="AL17" s="15">
        <f>AK17+預測IC!AL17</f>
        <v>1.4113017121993665</v>
      </c>
      <c r="AM17" s="15">
        <f>AL17+預測IC!AM17</f>
        <v>1.4866710797870235</v>
      </c>
      <c r="AN17" s="15">
        <f>AM17+預測IC!AN17</f>
        <v>1.5999582001329413</v>
      </c>
      <c r="AO17" s="15">
        <f>AN17+預測IC!AO17</f>
        <v>1.5232636725103184</v>
      </c>
      <c r="AP17" s="15">
        <f>AO17+預測IC!AP17</f>
        <v>1.5195056009214678</v>
      </c>
      <c r="AQ17" s="15">
        <f>AP17+預測IC!AQ17</f>
        <v>1.5800327383229669</v>
      </c>
      <c r="AR17" s="15">
        <f>AQ17+預測IC!AR17</f>
        <v>1.5450354572879095</v>
      </c>
      <c r="AS17" s="15">
        <f>AR17+預測IC!AS17</f>
        <v>1.6013590193223852</v>
      </c>
      <c r="AT17" s="15">
        <f>AS17+預測IC!AT17</f>
        <v>1.7284308124296368</v>
      </c>
      <c r="AU17" s="15">
        <f>AT17+預測IC!AU17</f>
        <v>1.8441304219637418</v>
      </c>
      <c r="AV17" s="15">
        <f>AU17+預測IC!AV17</f>
        <v>1.8716934760390191</v>
      </c>
      <c r="AW17" s="15">
        <f>AV17+預測IC!AW17</f>
        <v>1.8632715879971824</v>
      </c>
      <c r="AX17" s="15">
        <f>AW17+預測IC!AX17</f>
        <v>1.7656524828795745</v>
      </c>
      <c r="AY17" s="15">
        <f>AX17+預測IC!AY17</f>
        <v>1.7501744371743282</v>
      </c>
      <c r="AZ17" s="15">
        <f>AY17+預測IC!AZ17</f>
        <v>1.6796802062578937</v>
      </c>
      <c r="BA17" s="15">
        <f>AZ17+預測IC!BA17</f>
        <v>1.6895053853650066</v>
      </c>
      <c r="BB17" s="15">
        <f>BA17+預測IC!BB17</f>
        <v>1.8427766696433914</v>
      </c>
      <c r="BC17" s="15">
        <f>BB17+預測IC!BC17</f>
        <v>1.9266398648212051</v>
      </c>
      <c r="BD17" s="15">
        <f>BC17+預測IC!BD17</f>
        <v>1.9489963470674099</v>
      </c>
      <c r="BE17" s="15">
        <f>BD17+預測IC!BE17</f>
        <v>1.8716461048293496</v>
      </c>
      <c r="BF17" s="15">
        <f>BE17+預測IC!BF17</f>
        <v>2.0194229351095077</v>
      </c>
      <c r="BG17" s="15">
        <f>BF17+預測IC!BG17</f>
        <v>1.9840286990214704</v>
      </c>
      <c r="BH17" s="15">
        <f>BG17+預測IC!BH17</f>
        <v>1.9975481598732234</v>
      </c>
      <c r="BI17" s="15">
        <f>BH17+預測IC!BI17</f>
        <v>2.0782865594315751</v>
      </c>
      <c r="BJ17" s="15">
        <f>BI17+預測IC!BJ17</f>
        <v>2.1761548037999989</v>
      </c>
      <c r="BK17" s="15">
        <f>BJ17+預測IC!BK17</f>
        <v>2.1929061305503796</v>
      </c>
      <c r="BL17" s="15">
        <f>BK17+預測IC!BL17</f>
        <v>2.2270585778746739</v>
      </c>
      <c r="BM17" s="15">
        <f>BL17+預測IC!BM17</f>
        <v>2.2561175890270282</v>
      </c>
      <c r="BN17" s="15">
        <f>BM17+預測IC!BN17</f>
        <v>2.3095877699741805</v>
      </c>
      <c r="BO17" s="15">
        <f>BN17+預測IC!BO17</f>
        <v>2.2744081545574568</v>
      </c>
      <c r="BP17" s="15">
        <f>BO17+預測IC!BP17</f>
        <v>2.2137700076475397</v>
      </c>
      <c r="BQ17" s="15">
        <f>BP17+預測IC!BQ17</f>
        <v>2.1881682921320915</v>
      </c>
      <c r="BR17" s="15">
        <f>BQ17+預測IC!BR17</f>
        <v>2.1785219170073415</v>
      </c>
      <c r="BS17" s="15">
        <f>BR17+預測IC!BS17</f>
        <v>2.157615898793646</v>
      </c>
      <c r="BT17" s="15">
        <f>BS17+預測IC!BT17</f>
        <v>2.1049657385316682</v>
      </c>
      <c r="BU17" s="15">
        <f>BT17+預測IC!BU17</f>
        <v>2.1760935572824205</v>
      </c>
      <c r="BV17" s="15">
        <f>BU17+預測IC!BV17</f>
        <v>2.0694496396490285</v>
      </c>
      <c r="BW17" s="15">
        <f>BV17+預測IC!BW17</f>
        <v>2.2777864651664168</v>
      </c>
      <c r="BX17" s="15">
        <f>BW17+預測IC!BX17</f>
        <v>2.1951454756287685</v>
      </c>
      <c r="BY17" s="15">
        <f>BX17+預測IC!BY17</f>
        <v>2.0992846037087776</v>
      </c>
      <c r="BZ17" s="15">
        <f>BY17+預測IC!BZ17</f>
        <v>1.9787064478276923</v>
      </c>
      <c r="CA17" s="15">
        <f>BZ17+預測IC!CA17</f>
        <v>1.9507716154692027</v>
      </c>
      <c r="CB17" s="15">
        <f>CA17+預測IC!CB17</f>
        <v>1.8011384577763132</v>
      </c>
      <c r="CC17" s="15">
        <f>CB17+預測IC!CC17</f>
        <v>1.8428987102505487</v>
      </c>
      <c r="CD17" s="15">
        <f>CC17+預測IC!CD17</f>
        <v>1.7665135949710746</v>
      </c>
      <c r="CE17" s="15">
        <f>CD17+預測IC!CE17</f>
        <v>1.5913973494650231</v>
      </c>
      <c r="CF17" s="15">
        <f>CE17+預測IC!CF17</f>
        <v>1.6496361460597195</v>
      </c>
      <c r="CG17" s="15">
        <f>CF17+預測IC!CG17</f>
        <v>1.5749211574309885</v>
      </c>
      <c r="CH17" s="15">
        <f>CG17+預測IC!CH17</f>
        <v>1.6078902296014415</v>
      </c>
      <c r="CI17" s="15">
        <f>CH17+預測IC!CI17</f>
        <v>1.604188446226557</v>
      </c>
      <c r="CJ17" s="15">
        <f>CI17+預測IC!CJ17</f>
        <v>1.654930767710999</v>
      </c>
      <c r="CK17" s="15">
        <f>CJ17+預測IC!CK17</f>
        <v>1.7388866159706298</v>
      </c>
      <c r="CL17" s="15">
        <f>CK17+預測IC!CL17</f>
        <v>1.602047517005893</v>
      </c>
      <c r="CM17" s="15">
        <f>CL17+預測IC!CM17</f>
        <v>1.7366168614374673</v>
      </c>
      <c r="CN17" s="15">
        <f>CM17+預測IC!CN17</f>
        <v>1.7633349225884543</v>
      </c>
      <c r="CO17" s="15">
        <f>CN17+預測IC!CO17</f>
        <v>1.6259220472589291</v>
      </c>
      <c r="CP17" s="15">
        <f>CO17+預測IC!CP17</f>
        <v>1.4777627780615854</v>
      </c>
      <c r="CQ17" s="15">
        <f>CP17+預測IC!CQ17</f>
        <v>1.5296698814033118</v>
      </c>
      <c r="CR17" s="15">
        <f>CQ17+預測IC!CR17</f>
        <v>1.3332672496410225</v>
      </c>
      <c r="CS17" s="15">
        <f>CR17+預測IC!CS17</f>
        <v>1.3448127653580277</v>
      </c>
      <c r="CT17" s="15">
        <f>CS17+預測IC!CT17</f>
        <v>1.3621520457631184</v>
      </c>
      <c r="CU17" s="15">
        <f>CT17+預測IC!CU17</f>
        <v>1.5175039385628779</v>
      </c>
      <c r="CV17" s="15">
        <f>CU17+預測IC!CV17</f>
        <v>1.4496129214915985</v>
      </c>
      <c r="CW17" s="15">
        <f>CV17+預測IC!CW17</f>
        <v>1.5130061402960864</v>
      </c>
      <c r="CX17" s="15">
        <f>CW17+預測IC!CX17</f>
        <v>1.3879962848963689</v>
      </c>
      <c r="CY17" s="15">
        <f>CX17+預測IC!CY17</f>
        <v>1.3123873714865633</v>
      </c>
      <c r="CZ17" s="15">
        <f>CY17+預測IC!CZ17</f>
        <v>1.2807946871062226</v>
      </c>
      <c r="DA17" s="15">
        <f>CZ17+預測IC!DA17</f>
        <v>1.2368988279610884</v>
      </c>
      <c r="DB17" s="15">
        <f>DA17+預測IC!DB17</f>
        <v>1.2717818387535562</v>
      </c>
      <c r="DC17" s="15">
        <f>DB17+預測IC!DC17</f>
        <v>1.2284183697760569</v>
      </c>
      <c r="DD17" s="15">
        <f>DC17+預測IC!DD17</f>
        <v>1.2575737906589377</v>
      </c>
      <c r="DE17" s="15">
        <f>DD17+預測IC!DE17</f>
        <v>1.2816986540056596</v>
      </c>
      <c r="DF17" s="15">
        <f>DE17+預測IC!DF17</f>
        <v>1.2973730989421894</v>
      </c>
      <c r="DG17" s="15">
        <f>DF17+預測IC!DG17</f>
        <v>1.4205855650728287</v>
      </c>
      <c r="DH17" s="15">
        <f>DG17+預測IC!DH17</f>
        <v>1.2571537638608397</v>
      </c>
      <c r="DI17" s="15">
        <f>DH17+預測IC!DI17</f>
        <v>1.2921982999267847</v>
      </c>
      <c r="DJ17" s="15">
        <f>DI17+預測IC!DJ17</f>
        <v>1.1632732401407753</v>
      </c>
      <c r="DK17" s="15">
        <f>DJ17+預測IC!DK17</f>
        <v>1.0951551286518901</v>
      </c>
      <c r="DL17" s="15">
        <f>DK17+預測IC!DL17</f>
        <v>1.0990848603430188</v>
      </c>
      <c r="DM17" s="15">
        <f>DL17+預測IC!DM17</f>
        <v>1.136312335859011</v>
      </c>
      <c r="DN17" s="15">
        <f>DM17+預測IC!DN17</f>
        <v>1.2427922984662974</v>
      </c>
      <c r="DO17" s="15">
        <f>DN17+預測IC!DO17</f>
        <v>1.3080428428177511</v>
      </c>
      <c r="DP17" s="15">
        <f>DO17+預測IC!DP17</f>
        <v>1.2915243345611276</v>
      </c>
      <c r="DQ17" s="15">
        <f>DP17+預測IC!DQ17</f>
        <v>1.2188703294551027</v>
      </c>
      <c r="DR17" s="15">
        <f>DQ17+預測IC!DR17</f>
        <v>1.1931438899888291</v>
      </c>
      <c r="DS17" s="15">
        <f>DR17+預測IC!DS17</f>
        <v>1.1996494262203015</v>
      </c>
      <c r="DT17" s="15">
        <f>DS17+預測IC!DT17</f>
        <v>1.2594613614552777</v>
      </c>
      <c r="DU17" s="15">
        <f>DT17+預測IC!DU17</f>
        <v>1.0999062619768338</v>
      </c>
      <c r="DV17" s="15">
        <f>DU17+預測IC!DV17</f>
        <v>1.054757425827775</v>
      </c>
      <c r="DW17" s="15">
        <f>DV17+預測IC!DW17</f>
        <v>1.1034389092419252</v>
      </c>
      <c r="DX17" s="15">
        <f>DW17+預測IC!DX17</f>
        <v>1.1264740894111138</v>
      </c>
      <c r="DY17" s="15">
        <f>DX17+預測IC!DY17</f>
        <v>1.0004635515100591</v>
      </c>
      <c r="DZ17" s="15">
        <f>DY17+預測IC!DZ17</f>
        <v>0.99567249826407045</v>
      </c>
      <c r="EA17" s="15">
        <f>DZ17+預測IC!EA17</f>
        <v>1.1602440214961853</v>
      </c>
      <c r="EB17" s="15">
        <f>EA17+預測IC!EB17</f>
        <v>1.2675293482499428</v>
      </c>
      <c r="EC17" s="15">
        <f>EB17+預測IC!EC17</f>
        <v>1.1460173309819197</v>
      </c>
      <c r="ED17" s="15">
        <f>EC17+預測IC!ED17</f>
        <v>1.0427266570448905</v>
      </c>
      <c r="EE17" s="15">
        <f>ED17+預測IC!EE17</f>
        <v>0.97844795707600152</v>
      </c>
      <c r="EF17" s="15">
        <f>EE17+預測IC!EF17</f>
        <v>0.93746075165210041</v>
      </c>
    </row>
    <row r="18" spans="1:136" x14ac:dyDescent="0.3">
      <c r="A18" s="1">
        <v>7</v>
      </c>
      <c r="B18" s="1" t="s">
        <v>165</v>
      </c>
      <c r="C18" s="15">
        <v>-5.9146797802220617E-2</v>
      </c>
      <c r="D18" s="15">
        <f>C18+預測IC!D18</f>
        <v>0.34273688361984739</v>
      </c>
      <c r="E18" s="15">
        <f>D18+預測IC!E18</f>
        <v>0.24226126061675518</v>
      </c>
      <c r="F18" s="15">
        <f>E18+預測IC!F18</f>
        <v>0.36164422071894498</v>
      </c>
      <c r="G18" s="15">
        <f>F18+預測IC!G18</f>
        <v>0.25332784743386499</v>
      </c>
      <c r="H18" s="15">
        <f>G18+預測IC!H18</f>
        <v>0.26195007518830932</v>
      </c>
      <c r="I18" s="15">
        <f>H18+預測IC!I18</f>
        <v>0.12644989496506823</v>
      </c>
      <c r="J18" s="15">
        <f>I18+預測IC!J18</f>
        <v>0.16986141071670985</v>
      </c>
      <c r="K18" s="15">
        <f>J18+預測IC!K18</f>
        <v>0.30550929949434213</v>
      </c>
      <c r="L18" s="15">
        <f>K18+預測IC!L18</f>
        <v>0.25475109238762311</v>
      </c>
      <c r="M18" s="15">
        <f>L18+預測IC!M18</f>
        <v>0.28380255676408045</v>
      </c>
      <c r="N18" s="15">
        <f>M18+預測IC!N18</f>
        <v>0.42501004526037656</v>
      </c>
      <c r="O18" s="15">
        <f>N18+預測IC!O18</f>
        <v>0.52868053488999578</v>
      </c>
      <c r="P18" s="15">
        <f>O18+預測IC!P18</f>
        <v>0.53700862074390476</v>
      </c>
      <c r="Q18" s="15">
        <f>P18+預測IC!Q18</f>
        <v>0.72598403943339462</v>
      </c>
      <c r="R18" s="15">
        <f>Q18+預測IC!R18</f>
        <v>0.78747627730536962</v>
      </c>
      <c r="S18" s="15">
        <f>R18+預測IC!S18</f>
        <v>0.93128150460426884</v>
      </c>
      <c r="T18" s="15">
        <f>S18+預測IC!T18</f>
        <v>0.9855259446358775</v>
      </c>
      <c r="U18" s="15">
        <f>T18+預測IC!U18</f>
        <v>1.1180209690656966</v>
      </c>
      <c r="V18" s="15">
        <f>U18+預測IC!V18</f>
        <v>1.2394124304916223</v>
      </c>
      <c r="W18" s="15">
        <f>V18+預測IC!W18</f>
        <v>1.4055472597609213</v>
      </c>
      <c r="X18" s="15">
        <f>W18+預測IC!X18</f>
        <v>1.5326700683864116</v>
      </c>
      <c r="Y18" s="15">
        <f>X18+預測IC!Y18</f>
        <v>1.6365493122952228</v>
      </c>
      <c r="Z18" s="15">
        <f>Y18+預測IC!Z18</f>
        <v>1.7257836757357456</v>
      </c>
      <c r="AA18" s="15">
        <f>Z18+預測IC!AA18</f>
        <v>1.6840784305530216</v>
      </c>
      <c r="AB18" s="15">
        <f>AA18+預測IC!AB18</f>
        <v>1.5993801308225375</v>
      </c>
      <c r="AC18" s="15">
        <f>AB18+預測IC!AC18</f>
        <v>1.6007455512993698</v>
      </c>
      <c r="AD18" s="15">
        <f>AC18+預測IC!AD18</f>
        <v>1.5283017622108384</v>
      </c>
      <c r="AE18" s="15">
        <f>AD18+預測IC!AE18</f>
        <v>1.7866931111260469</v>
      </c>
      <c r="AF18" s="15">
        <f>AE18+預測IC!AF18</f>
        <v>1.6361494713019735</v>
      </c>
      <c r="AG18" s="15">
        <f>AF18+預測IC!AG18</f>
        <v>1.5544294914092198</v>
      </c>
      <c r="AH18" s="15">
        <f>AG18+預測IC!AH18</f>
        <v>1.7174979962340695</v>
      </c>
      <c r="AI18" s="15">
        <f>AH18+預測IC!AI18</f>
        <v>1.6360742461828999</v>
      </c>
      <c r="AJ18" s="15">
        <f>AI18+預測IC!AJ18</f>
        <v>1.5652070285212973</v>
      </c>
      <c r="AK18" s="15">
        <f>AJ18+預測IC!AK18</f>
        <v>1.542374143159301</v>
      </c>
      <c r="AL18" s="15">
        <f>AK18+預測IC!AL18</f>
        <v>1.5899019067915587</v>
      </c>
      <c r="AM18" s="15">
        <f>AL18+預測IC!AM18</f>
        <v>1.6565453122163301</v>
      </c>
      <c r="AN18" s="15">
        <f>AM18+預測IC!AN18</f>
        <v>1.7358399521715318</v>
      </c>
      <c r="AO18" s="15">
        <f>AN18+預測IC!AO18</f>
        <v>1.7604242326163386</v>
      </c>
      <c r="AP18" s="15">
        <f>AO18+預測IC!AP18</f>
        <v>1.7584098011684304</v>
      </c>
      <c r="AQ18" s="15">
        <f>AP18+預測IC!AQ18</f>
        <v>1.8346406464948803</v>
      </c>
      <c r="AR18" s="15">
        <f>AQ18+預測IC!AR18</f>
        <v>1.7729461228940988</v>
      </c>
      <c r="AS18" s="15">
        <f>AR18+預測IC!AS18</f>
        <v>1.8587726744480679</v>
      </c>
      <c r="AT18" s="15">
        <f>AS18+預測IC!AT18</f>
        <v>2.0251584838721266</v>
      </c>
      <c r="AU18" s="15">
        <f>AT18+預測IC!AU18</f>
        <v>2.1640566985183463</v>
      </c>
      <c r="AV18" s="15">
        <f>AU18+預測IC!AV18</f>
        <v>2.1991143860942226</v>
      </c>
      <c r="AW18" s="15">
        <f>AV18+預測IC!AW18</f>
        <v>2.1745763518531152</v>
      </c>
      <c r="AX18" s="15">
        <f>AW18+預測IC!AX18</f>
        <v>2.0485120144269877</v>
      </c>
      <c r="AY18" s="15">
        <f>AX18+預測IC!AY18</f>
        <v>2.0183226556984977</v>
      </c>
      <c r="AZ18" s="15">
        <f>AY18+預測IC!AZ18</f>
        <v>1.9666763283049893</v>
      </c>
      <c r="BA18" s="15">
        <f>AZ18+預測IC!BA18</f>
        <v>1.9673086392296748</v>
      </c>
      <c r="BB18" s="15">
        <f>BA18+預測IC!BB18</f>
        <v>2.1345666577104674</v>
      </c>
      <c r="BC18" s="15">
        <f>BB18+預測IC!BC18</f>
        <v>2.217768230303788</v>
      </c>
      <c r="BD18" s="15">
        <f>BC18+預測IC!BD18</f>
        <v>2.1937519586164878</v>
      </c>
      <c r="BE18" s="15">
        <f>BD18+預測IC!BE18</f>
        <v>2.1253907453783247</v>
      </c>
      <c r="BF18" s="15">
        <f>BE18+預測IC!BF18</f>
        <v>2.2903772400743323</v>
      </c>
      <c r="BG18" s="15">
        <f>BF18+預測IC!BG18</f>
        <v>2.2735709988481281</v>
      </c>
      <c r="BH18" s="15">
        <f>BG18+預測IC!BH18</f>
        <v>2.2940748519119336</v>
      </c>
      <c r="BI18" s="15">
        <f>BH18+預測IC!BI18</f>
        <v>2.3700659456523923</v>
      </c>
      <c r="BJ18" s="15">
        <f>BI18+預測IC!BJ18</f>
        <v>2.4685998023378142</v>
      </c>
      <c r="BK18" s="15">
        <f>BJ18+預測IC!BK18</f>
        <v>2.469580886240931</v>
      </c>
      <c r="BL18" s="15">
        <f>BK18+預測IC!BL18</f>
        <v>2.525368767102711</v>
      </c>
      <c r="BM18" s="15">
        <f>BL18+預測IC!BM18</f>
        <v>2.5534501234758062</v>
      </c>
      <c r="BN18" s="15">
        <f>BM18+預測IC!BN18</f>
        <v>2.5956417122806097</v>
      </c>
      <c r="BO18" s="15">
        <f>BN18+預測IC!BO18</f>
        <v>2.5754142161742353</v>
      </c>
      <c r="BP18" s="15">
        <f>BO18+預測IC!BP18</f>
        <v>2.5129507841377836</v>
      </c>
      <c r="BQ18" s="15">
        <f>BP18+預測IC!BQ18</f>
        <v>2.4264910932255543</v>
      </c>
      <c r="BR18" s="15">
        <f>BQ18+預測IC!BR18</f>
        <v>2.4207428996415996</v>
      </c>
      <c r="BS18" s="15">
        <f>BR18+預測IC!BS18</f>
        <v>2.3878696430655677</v>
      </c>
      <c r="BT18" s="15">
        <f>BS18+預測IC!BT18</f>
        <v>2.3263243201728629</v>
      </c>
      <c r="BU18" s="15">
        <f>BT18+預測IC!BU18</f>
        <v>2.4070017642129038</v>
      </c>
      <c r="BV18" s="15">
        <f>BU18+預測IC!BV18</f>
        <v>2.2914962455002597</v>
      </c>
      <c r="BW18" s="15">
        <f>BV18+預測IC!BW18</f>
        <v>2.5098717446312482</v>
      </c>
      <c r="BX18" s="15">
        <f>BW18+預測IC!BX18</f>
        <v>2.43529088121665</v>
      </c>
      <c r="BY18" s="15">
        <f>BX18+預測IC!BY18</f>
        <v>2.3726041367665651</v>
      </c>
      <c r="BZ18" s="15">
        <f>BY18+預測IC!BZ18</f>
        <v>2.219284148963967</v>
      </c>
      <c r="CA18" s="15">
        <f>BZ18+預測IC!CA18</f>
        <v>2.203207605071106</v>
      </c>
      <c r="CB18" s="15">
        <f>CA18+預測IC!CB18</f>
        <v>2.0963615446010326</v>
      </c>
      <c r="CC18" s="15">
        <f>CB18+預測IC!CC18</f>
        <v>2.2010221684426776</v>
      </c>
      <c r="CD18" s="15">
        <f>CC18+預測IC!CD18</f>
        <v>2.0794269452739136</v>
      </c>
      <c r="CE18" s="15">
        <f>CD18+預測IC!CE18</f>
        <v>1.9015005889650363</v>
      </c>
      <c r="CF18" s="15">
        <f>CE18+預測IC!CF18</f>
        <v>1.8575428455784275</v>
      </c>
      <c r="CG18" s="15">
        <f>CF18+預測IC!CG18</f>
        <v>1.7659335900145081</v>
      </c>
      <c r="CH18" s="15">
        <f>CG18+預測IC!CH18</f>
        <v>1.8112992389736668</v>
      </c>
      <c r="CI18" s="15">
        <f>CH18+預測IC!CI18</f>
        <v>1.9263585497828453</v>
      </c>
      <c r="CJ18" s="15">
        <f>CI18+預測IC!CJ18</f>
        <v>1.9886722276077549</v>
      </c>
      <c r="CK18" s="15">
        <f>CJ18+預測IC!CK18</f>
        <v>2.0847302592732779</v>
      </c>
      <c r="CL18" s="15">
        <f>CK18+預測IC!CL18</f>
        <v>1.9318163154637928</v>
      </c>
      <c r="CM18" s="15">
        <f>CL18+預測IC!CM18</f>
        <v>2.0754648586281865</v>
      </c>
      <c r="CN18" s="15">
        <f>CM18+預測IC!CN18</f>
        <v>2.110551112606363</v>
      </c>
      <c r="CO18" s="15">
        <f>CN18+預測IC!CO18</f>
        <v>1.9599536029841156</v>
      </c>
      <c r="CP18" s="15">
        <f>CO18+預測IC!CP18</f>
        <v>1.7971144940361048</v>
      </c>
      <c r="CQ18" s="15">
        <f>CP18+預測IC!CQ18</f>
        <v>1.8353571696310476</v>
      </c>
      <c r="CR18" s="15">
        <f>CQ18+預測IC!CR18</f>
        <v>1.6416347619788383</v>
      </c>
      <c r="CS18" s="15">
        <f>CR18+預測IC!CS18</f>
        <v>1.6697633223929269</v>
      </c>
      <c r="CT18" s="15">
        <f>CS18+預測IC!CT18</f>
        <v>1.6534908281929181</v>
      </c>
      <c r="CU18" s="15">
        <f>CT18+預測IC!CU18</f>
        <v>1.7980556493690529</v>
      </c>
      <c r="CV18" s="15">
        <f>CU18+預測IC!CV18</f>
        <v>1.73511102732459</v>
      </c>
      <c r="CW18" s="15">
        <f>CV18+預測IC!CW18</f>
        <v>1.8016696018229061</v>
      </c>
      <c r="CX18" s="15">
        <f>CW18+預測IC!CX18</f>
        <v>1.648593912213753</v>
      </c>
      <c r="CY18" s="15">
        <f>CX18+預測IC!CY18</f>
        <v>1.5554155283058455</v>
      </c>
      <c r="CZ18" s="15">
        <f>CY18+預測IC!CZ18</f>
        <v>1.4639563148931429</v>
      </c>
      <c r="DA18" s="15">
        <f>CZ18+預測IC!DA18</f>
        <v>1.4165753753744494</v>
      </c>
      <c r="DB18" s="15">
        <f>DA18+預測IC!DB18</f>
        <v>1.4623105840532089</v>
      </c>
      <c r="DC18" s="15">
        <f>DB18+預測IC!DC18</f>
        <v>1.4259018025577026</v>
      </c>
      <c r="DD18" s="15">
        <f>DC18+預測IC!DD18</f>
        <v>1.4669159898770365</v>
      </c>
      <c r="DE18" s="15">
        <f>DD18+預測IC!DE18</f>
        <v>1.5053365773634875</v>
      </c>
      <c r="DF18" s="15">
        <f>DE18+預測IC!DF18</f>
        <v>1.5334085524414489</v>
      </c>
      <c r="DG18" s="15">
        <f>DF18+預測IC!DG18</f>
        <v>1.6516256457150442</v>
      </c>
      <c r="DH18" s="15">
        <f>DG18+預測IC!DH18</f>
        <v>1.459224263755903</v>
      </c>
      <c r="DI18" s="15">
        <f>DH18+預測IC!DI18</f>
        <v>1.4778375117863212</v>
      </c>
      <c r="DJ18" s="15">
        <f>DI18+預測IC!DJ18</f>
        <v>1.3316414356869088</v>
      </c>
      <c r="DK18" s="15">
        <f>DJ18+預測IC!DK18</f>
        <v>1.2743908457002828</v>
      </c>
      <c r="DL18" s="15">
        <f>DK18+預測IC!DL18</f>
        <v>1.278221119767875</v>
      </c>
      <c r="DM18" s="15">
        <f>DL18+預測IC!DM18</f>
        <v>1.2834717985101389</v>
      </c>
      <c r="DN18" s="15">
        <f>DM18+預測IC!DN18</f>
        <v>1.4085804817796697</v>
      </c>
      <c r="DO18" s="15">
        <f>DN18+預測IC!DO18</f>
        <v>1.4387794992412595</v>
      </c>
      <c r="DP18" s="15">
        <f>DO18+預測IC!DP18</f>
        <v>1.4181748127743938</v>
      </c>
      <c r="DQ18" s="15">
        <f>DP18+預測IC!DQ18</f>
        <v>1.352425354590495</v>
      </c>
      <c r="DR18" s="15">
        <f>DQ18+預測IC!DR18</f>
        <v>1.3419741057709784</v>
      </c>
      <c r="DS18" s="15">
        <f>DR18+預測IC!DS18</f>
        <v>1.3673597570281166</v>
      </c>
      <c r="DT18" s="15">
        <f>DS18+預測IC!DT18</f>
        <v>1.3899607918692241</v>
      </c>
      <c r="DU18" s="15">
        <f>DT18+預測IC!DU18</f>
        <v>1.2273720074449739</v>
      </c>
      <c r="DV18" s="15">
        <f>DU18+預測IC!DV18</f>
        <v>1.1568443149388963</v>
      </c>
      <c r="DW18" s="15">
        <f>DV18+預測IC!DW18</f>
        <v>1.2387530072232695</v>
      </c>
      <c r="DX18" s="15">
        <f>DW18+預測IC!DX18</f>
        <v>1.3069303007450048</v>
      </c>
      <c r="DY18" s="15">
        <f>DX18+預測IC!DY18</f>
        <v>1.1411671960830017</v>
      </c>
      <c r="DZ18" s="15">
        <f>DY18+預測IC!DZ18</f>
        <v>1.0979393412135598</v>
      </c>
      <c r="EA18" s="15">
        <f>DZ18+預測IC!EA18</f>
        <v>1.2968850893778971</v>
      </c>
      <c r="EB18" s="15">
        <f>EA18+預測IC!EB18</f>
        <v>1.4068494438280925</v>
      </c>
      <c r="EC18" s="15">
        <f>EB18+預測IC!EC18</f>
        <v>1.2638092132353069</v>
      </c>
      <c r="ED18" s="15">
        <f>EC18+預測IC!ED18</f>
        <v>1.1810501118467402</v>
      </c>
      <c r="EE18" s="15">
        <f>ED18+預測IC!EE18</f>
        <v>1.1280350715313761</v>
      </c>
      <c r="EF18" s="15">
        <f>EE18+預測IC!EF18</f>
        <v>1.0640807378422317</v>
      </c>
    </row>
    <row r="19" spans="1:136" x14ac:dyDescent="0.3">
      <c r="A19" s="1">
        <v>6</v>
      </c>
      <c r="B19" s="1" t="s">
        <v>166</v>
      </c>
      <c r="C19" s="15">
        <v>-7.386192988077088E-2</v>
      </c>
      <c r="D19" s="15">
        <f>C19+預測IC!D19</f>
        <v>0.33365878020869838</v>
      </c>
      <c r="E19" s="15">
        <f>D19+預測IC!E19</f>
        <v>0.19307510361736718</v>
      </c>
      <c r="F19" s="15">
        <f>E19+預測IC!F19</f>
        <v>0.37076376542292766</v>
      </c>
      <c r="G19" s="15">
        <f>F19+預測IC!G19</f>
        <v>0.27469779356575025</v>
      </c>
      <c r="H19" s="15">
        <f>G19+預測IC!H19</f>
        <v>0.26262900510326531</v>
      </c>
      <c r="I19" s="15">
        <f>H19+預測IC!I19</f>
        <v>0.12797467221179881</v>
      </c>
      <c r="J19" s="15">
        <f>I19+預測IC!J19</f>
        <v>0.16340425673198983</v>
      </c>
      <c r="K19" s="15">
        <f>J19+預測IC!K19</f>
        <v>0.40219367145590657</v>
      </c>
      <c r="L19" s="15">
        <f>K19+預測IC!L19</f>
        <v>0.38186702181556148</v>
      </c>
      <c r="M19" s="15">
        <f>L19+預測IC!M19</f>
        <v>0.33817678565925419</v>
      </c>
      <c r="N19" s="15">
        <f>M19+預測IC!N19</f>
        <v>0.49002036680723426</v>
      </c>
      <c r="O19" s="15">
        <f>N19+預測IC!O19</f>
        <v>0.58224174982669152</v>
      </c>
      <c r="P19" s="15">
        <f>O19+預測IC!P19</f>
        <v>0.60575491065121156</v>
      </c>
      <c r="Q19" s="15">
        <f>P19+預測IC!Q19</f>
        <v>0.80291799891573146</v>
      </c>
      <c r="R19" s="15">
        <f>Q19+預測IC!R19</f>
        <v>0.89321708954658774</v>
      </c>
      <c r="S19" s="15">
        <f>R19+預測IC!S19</f>
        <v>1.0159089658823293</v>
      </c>
      <c r="T19" s="15">
        <f>S19+預測IC!T19</f>
        <v>1.0430632438686285</v>
      </c>
      <c r="U19" s="15">
        <f>T19+預測IC!U19</f>
        <v>1.1787615825005517</v>
      </c>
      <c r="V19" s="15">
        <f>U19+預測IC!V19</f>
        <v>1.271449902225865</v>
      </c>
      <c r="W19" s="15">
        <f>V19+預測IC!W19</f>
        <v>1.4461846655280965</v>
      </c>
      <c r="X19" s="15">
        <f>W19+預測IC!X19</f>
        <v>1.5691078117738135</v>
      </c>
      <c r="Y19" s="15">
        <f>X19+預測IC!Y19</f>
        <v>1.6722380507042518</v>
      </c>
      <c r="Z19" s="15">
        <f>Y19+預測IC!Z19</f>
        <v>1.7638571612802754</v>
      </c>
      <c r="AA19" s="15">
        <f>Z19+預測IC!AA19</f>
        <v>1.7222869767421196</v>
      </c>
      <c r="AB19" s="15">
        <f>AA19+預測IC!AB19</f>
        <v>1.6200333708581769</v>
      </c>
      <c r="AC19" s="15">
        <f>AB19+預測IC!AC19</f>
        <v>1.6341749135667867</v>
      </c>
      <c r="AD19" s="15">
        <f>AC19+預測IC!AD19</f>
        <v>1.6101774563057261</v>
      </c>
      <c r="AE19" s="15">
        <f>AD19+預測IC!AE19</f>
        <v>1.9186703142310948</v>
      </c>
      <c r="AF19" s="15">
        <f>AE19+預測IC!AF19</f>
        <v>1.7498397335230518</v>
      </c>
      <c r="AG19" s="15">
        <f>AF19+預測IC!AG19</f>
        <v>1.7083526300787402</v>
      </c>
      <c r="AH19" s="15">
        <f>AG19+預測IC!AH19</f>
        <v>1.9125089172439498</v>
      </c>
      <c r="AI19" s="15">
        <f>AH19+預測IC!AI19</f>
        <v>1.8647425644841533</v>
      </c>
      <c r="AJ19" s="15">
        <f>AI19+預測IC!AJ19</f>
        <v>1.7875398548395818</v>
      </c>
      <c r="AK19" s="15">
        <f>AJ19+預測IC!AK19</f>
        <v>1.7469583317264188</v>
      </c>
      <c r="AL19" s="15">
        <f>AK19+預測IC!AL19</f>
        <v>1.8172292773972243</v>
      </c>
      <c r="AM19" s="15">
        <f>AL19+預測IC!AM19</f>
        <v>1.8603352892086291</v>
      </c>
      <c r="AN19" s="15">
        <f>AM19+預測IC!AN19</f>
        <v>1.9439035835743113</v>
      </c>
      <c r="AO19" s="15">
        <f>AN19+預測IC!AO19</f>
        <v>1.999793709703426</v>
      </c>
      <c r="AP19" s="15">
        <f>AO19+預測IC!AP19</f>
        <v>1.9900815887618259</v>
      </c>
      <c r="AQ19" s="15">
        <f>AP19+預測IC!AQ19</f>
        <v>2.0783343458224768</v>
      </c>
      <c r="AR19" s="15">
        <f>AQ19+預測IC!AR19</f>
        <v>2.0037174481878179</v>
      </c>
      <c r="AS19" s="15">
        <f>AR19+預測IC!AS19</f>
        <v>2.1015144034561324</v>
      </c>
      <c r="AT19" s="15">
        <f>AS19+預測IC!AT19</f>
        <v>2.2861080672661904</v>
      </c>
      <c r="AU19" s="15">
        <f>AT19+預測IC!AU19</f>
        <v>2.4391226937404511</v>
      </c>
      <c r="AV19" s="15">
        <f>AU19+預測IC!AV19</f>
        <v>2.4817999894647884</v>
      </c>
      <c r="AW19" s="15">
        <f>AV19+預測IC!AW19</f>
        <v>2.4594438213106518</v>
      </c>
      <c r="AX19" s="15">
        <f>AW19+預測IC!AX19</f>
        <v>2.2353200260097958</v>
      </c>
      <c r="AY19" s="15">
        <f>AX19+預測IC!AY19</f>
        <v>2.1690467832973237</v>
      </c>
      <c r="AZ19" s="15">
        <f>AY19+預測IC!AZ19</f>
        <v>2.0534352549279</v>
      </c>
      <c r="BA19" s="15">
        <f>AZ19+預測IC!BA19</f>
        <v>2.0190713709738271</v>
      </c>
      <c r="BB19" s="15">
        <f>BA19+預測IC!BB19</f>
        <v>2.2208732816370347</v>
      </c>
      <c r="BC19" s="15">
        <f>BB19+預測IC!BC19</f>
        <v>2.2849287679832204</v>
      </c>
      <c r="BD19" s="15">
        <f>BC19+預測IC!BD19</f>
        <v>2.2816943753531524</v>
      </c>
      <c r="BE19" s="15">
        <f>BD19+預測IC!BE19</f>
        <v>2.2305625013894859</v>
      </c>
      <c r="BF19" s="15">
        <f>BE19+預測IC!BF19</f>
        <v>2.3723719363532276</v>
      </c>
      <c r="BG19" s="15">
        <f>BF19+預測IC!BG19</f>
        <v>2.3560282780203856</v>
      </c>
      <c r="BH19" s="15">
        <f>BG19+預測IC!BH19</f>
        <v>2.3580464797218168</v>
      </c>
      <c r="BI19" s="15">
        <f>BH19+預測IC!BI19</f>
        <v>2.4593307096810331</v>
      </c>
      <c r="BJ19" s="15">
        <f>BI19+預測IC!BJ19</f>
        <v>2.5182429268534889</v>
      </c>
      <c r="BK19" s="15">
        <f>BJ19+預測IC!BK19</f>
        <v>2.4487238902240471</v>
      </c>
      <c r="BL19" s="15">
        <f>BK19+預測IC!BL19</f>
        <v>2.5118884239710666</v>
      </c>
      <c r="BM19" s="15">
        <f>BL19+預測IC!BM19</f>
        <v>2.5436746888402118</v>
      </c>
      <c r="BN19" s="15">
        <f>BM19+預測IC!BN19</f>
        <v>2.6158597885627128</v>
      </c>
      <c r="BO19" s="15">
        <f>BN19+預測IC!BO19</f>
        <v>2.5901308272975974</v>
      </c>
      <c r="BP19" s="15">
        <f>BO19+預測IC!BP19</f>
        <v>2.5777204860199965</v>
      </c>
      <c r="BQ19" s="15">
        <f>BP19+預測IC!BQ19</f>
        <v>2.4680673510869395</v>
      </c>
      <c r="BR19" s="15">
        <f>BQ19+預測IC!BR19</f>
        <v>2.4747425971104597</v>
      </c>
      <c r="BS19" s="15">
        <f>BR19+預測IC!BS19</f>
        <v>2.4782425290500987</v>
      </c>
      <c r="BT19" s="15">
        <f>BS19+預測IC!BT19</f>
        <v>2.3959191253727874</v>
      </c>
      <c r="BU19" s="15">
        <f>BT19+預測IC!BU19</f>
        <v>2.4718553766070253</v>
      </c>
      <c r="BV19" s="15">
        <f>BU19+預測IC!BV19</f>
        <v>2.3717701110254099</v>
      </c>
      <c r="BW19" s="15">
        <f>BV19+預測IC!BW19</f>
        <v>2.6792231178351433</v>
      </c>
      <c r="BX19" s="15">
        <f>BW19+預測IC!BX19</f>
        <v>2.6243928362748266</v>
      </c>
      <c r="BY19" s="15">
        <f>BX19+預測IC!BY19</f>
        <v>2.5967173438631659</v>
      </c>
      <c r="BZ19" s="15">
        <f>BY19+預測IC!BZ19</f>
        <v>2.5280152190411118</v>
      </c>
      <c r="CA19" s="15">
        <f>BZ19+預測IC!CA19</f>
        <v>2.4986864638173372</v>
      </c>
      <c r="CB19" s="15">
        <f>CA19+預測IC!CB19</f>
        <v>2.37084825471644</v>
      </c>
      <c r="CC19" s="15">
        <f>CB19+預測IC!CC19</f>
        <v>2.3933544876149573</v>
      </c>
      <c r="CD19" s="15">
        <f>CC19+預測IC!CD19</f>
        <v>2.24462257432655</v>
      </c>
      <c r="CE19" s="15">
        <f>CD19+預測IC!CE19</f>
        <v>2.0463567451495908</v>
      </c>
      <c r="CF19" s="15">
        <f>CE19+預測IC!CF19</f>
        <v>1.9673052201787764</v>
      </c>
      <c r="CG19" s="15">
        <f>CF19+預測IC!CG19</f>
        <v>1.9101875953118193</v>
      </c>
      <c r="CH19" s="15">
        <f>CG19+預測IC!CH19</f>
        <v>1.9529026390545534</v>
      </c>
      <c r="CI19" s="15">
        <f>CH19+預測IC!CI19</f>
        <v>2.063636846808258</v>
      </c>
      <c r="CJ19" s="15">
        <f>CI19+預測IC!CJ19</f>
        <v>2.125577346774294</v>
      </c>
      <c r="CK19" s="15">
        <f>CJ19+預測IC!CK19</f>
        <v>2.2443746097316284</v>
      </c>
      <c r="CL19" s="15">
        <f>CK19+預測IC!CL19</f>
        <v>2.1290268280928908</v>
      </c>
      <c r="CM19" s="15">
        <f>CL19+預測IC!CM19</f>
        <v>2.304374469674606</v>
      </c>
      <c r="CN19" s="15">
        <f>CM19+預測IC!CN19</f>
        <v>2.3813071243419093</v>
      </c>
      <c r="CO19" s="15">
        <f>CN19+預測IC!CO19</f>
        <v>2.2151605665666287</v>
      </c>
      <c r="CP19" s="15">
        <f>CO19+預測IC!CP19</f>
        <v>2.0561279675842958</v>
      </c>
      <c r="CQ19" s="15">
        <f>CP19+預測IC!CQ19</f>
        <v>2.0885225751007144</v>
      </c>
      <c r="CR19" s="15">
        <f>CQ19+預測IC!CR19</f>
        <v>1.9122158508545224</v>
      </c>
      <c r="CS19" s="15">
        <f>CR19+預測IC!CS19</f>
        <v>1.9559908378328266</v>
      </c>
      <c r="CT19" s="15">
        <f>CS19+預測IC!CT19</f>
        <v>1.9280502006478297</v>
      </c>
      <c r="CU19" s="15">
        <f>CT19+預測IC!CU19</f>
        <v>2.0746577439087686</v>
      </c>
      <c r="CV19" s="15">
        <f>CU19+預測IC!CV19</f>
        <v>1.9985152494296716</v>
      </c>
      <c r="CW19" s="15">
        <f>CV19+預測IC!CW19</f>
        <v>2.0590311280027089</v>
      </c>
      <c r="CX19" s="15">
        <f>CW19+預測IC!CX19</f>
        <v>1.910880837198204</v>
      </c>
      <c r="CY19" s="15">
        <f>CX19+預測IC!CY19</f>
        <v>1.8029887177410131</v>
      </c>
      <c r="CZ19" s="15">
        <f>CY19+預測IC!CZ19</f>
        <v>1.745489454652501</v>
      </c>
      <c r="DA19" s="15">
        <f>CZ19+預測IC!DA19</f>
        <v>1.6872655779492642</v>
      </c>
      <c r="DB19" s="15">
        <f>DA19+預測IC!DB19</f>
        <v>1.7229864769744798</v>
      </c>
      <c r="DC19" s="15">
        <f>DB19+預測IC!DC19</f>
        <v>1.758165876876574</v>
      </c>
      <c r="DD19" s="15">
        <f>DC19+預測IC!DD19</f>
        <v>1.7643670021314029</v>
      </c>
      <c r="DE19" s="15">
        <f>DD19+預測IC!DE19</f>
        <v>1.7973854167871948</v>
      </c>
      <c r="DF19" s="15">
        <f>DE19+預測IC!DF19</f>
        <v>1.8186817592143618</v>
      </c>
      <c r="DG19" s="15">
        <f>DF19+預測IC!DG19</f>
        <v>1.9451725570518832</v>
      </c>
      <c r="DH19" s="15">
        <f>DG19+預測IC!DH19</f>
        <v>1.7205827763323951</v>
      </c>
      <c r="DI19" s="15">
        <f>DH19+預測IC!DI19</f>
        <v>1.7792298093436636</v>
      </c>
      <c r="DJ19" s="15">
        <f>DI19+預測IC!DJ19</f>
        <v>1.6139793403845917</v>
      </c>
      <c r="DK19" s="15">
        <f>DJ19+預測IC!DK19</f>
        <v>1.5979950508099277</v>
      </c>
      <c r="DL19" s="15">
        <f>DK19+預測IC!DL19</f>
        <v>1.6099778367189015</v>
      </c>
      <c r="DM19" s="15">
        <f>DL19+預測IC!DM19</f>
        <v>1.5638799342332739</v>
      </c>
      <c r="DN19" s="15">
        <f>DM19+預測IC!DN19</f>
        <v>1.7378082359618221</v>
      </c>
      <c r="DO19" s="15">
        <f>DN19+預測IC!DO19</f>
        <v>1.786513755822416</v>
      </c>
      <c r="DP19" s="15">
        <f>DO19+預測IC!DP19</f>
        <v>1.8143517703054097</v>
      </c>
      <c r="DQ19" s="15">
        <f>DP19+預測IC!DQ19</f>
        <v>1.7339775984673347</v>
      </c>
      <c r="DR19" s="15">
        <f>DQ19+預測IC!DR19</f>
        <v>1.7164327991915265</v>
      </c>
      <c r="DS19" s="15">
        <f>DR19+預測IC!DS19</f>
        <v>1.7613517623434065</v>
      </c>
      <c r="DT19" s="15">
        <f>DS19+預測IC!DT19</f>
        <v>1.7663850088635116</v>
      </c>
      <c r="DU19" s="15">
        <f>DT19+預測IC!DU19</f>
        <v>1.5718655694005323</v>
      </c>
      <c r="DV19" s="15">
        <f>DU19+預測IC!DV19</f>
        <v>1.5002721828031302</v>
      </c>
      <c r="DW19" s="15">
        <f>DV19+預測IC!DW19</f>
        <v>1.5608813221438145</v>
      </c>
      <c r="DX19" s="15">
        <f>DW19+預測IC!DX19</f>
        <v>1.6554955155013522</v>
      </c>
      <c r="DY19" s="15">
        <f>DX19+預測IC!DY19</f>
        <v>1.5033761058968653</v>
      </c>
      <c r="DZ19" s="15">
        <f>DY19+預測IC!DZ19</f>
        <v>1.4237325377584302</v>
      </c>
      <c r="EA19" s="15">
        <f>DZ19+預測IC!EA19</f>
        <v>1.6567783680637107</v>
      </c>
      <c r="EB19" s="15">
        <f>EA19+預測IC!EB19</f>
        <v>1.7655318777019633</v>
      </c>
      <c r="EC19" s="15">
        <f>EB19+預測IC!EC19</f>
        <v>1.6217576748769542</v>
      </c>
      <c r="ED19" s="15">
        <f>EC19+預測IC!ED19</f>
        <v>1.5414724166005791</v>
      </c>
      <c r="EE19" s="15">
        <f>ED19+預測IC!EE19</f>
        <v>1.5186565307566662</v>
      </c>
      <c r="EF19" s="15">
        <f>EE19+預測IC!EF19</f>
        <v>1.4446336113591611</v>
      </c>
    </row>
    <row r="20" spans="1:136" x14ac:dyDescent="0.3">
      <c r="A20" s="1">
        <v>5</v>
      </c>
      <c r="B20" s="1" t="s">
        <v>167</v>
      </c>
      <c r="C20" s="15">
        <v>1.1241331728202891E-2</v>
      </c>
      <c r="D20" s="15">
        <f>C20+預測IC!D20</f>
        <v>0.3932663517755528</v>
      </c>
      <c r="E20" s="15">
        <f>D20+預測IC!E20</f>
        <v>0.2471414465113069</v>
      </c>
      <c r="F20" s="15">
        <f>E20+預測IC!F20</f>
        <v>0.45267271084448113</v>
      </c>
      <c r="G20" s="15">
        <f>F20+預測IC!G20</f>
        <v>0.33548956955554204</v>
      </c>
      <c r="H20" s="15">
        <f>G20+預測IC!H20</f>
        <v>0.34707259563411974</v>
      </c>
      <c r="I20" s="15">
        <f>H20+預測IC!I20</f>
        <v>0.18892303303301805</v>
      </c>
      <c r="J20" s="15">
        <f>I20+預測IC!J20</f>
        <v>0.2233942917598743</v>
      </c>
      <c r="K20" s="15">
        <f>J20+預測IC!K20</f>
        <v>0.43811879552095612</v>
      </c>
      <c r="L20" s="15">
        <f>K20+預測IC!L20</f>
        <v>0.42911902417976777</v>
      </c>
      <c r="M20" s="15">
        <f>L20+預測IC!M20</f>
        <v>0.35140079588849427</v>
      </c>
      <c r="N20" s="15">
        <f>M20+預測IC!N20</f>
        <v>0.51954438407803816</v>
      </c>
      <c r="O20" s="15">
        <f>N20+預測IC!O20</f>
        <v>0.61864586822251189</v>
      </c>
      <c r="P20" s="15">
        <f>O20+預測IC!P20</f>
        <v>0.6617845471110394</v>
      </c>
      <c r="Q20" s="15">
        <f>P20+預測IC!Q20</f>
        <v>0.87851028611401794</v>
      </c>
      <c r="R20" s="15">
        <f>Q20+預測IC!R20</f>
        <v>0.98776334175148672</v>
      </c>
      <c r="S20" s="15">
        <f>R20+預測IC!S20</f>
        <v>1.0703259524587747</v>
      </c>
      <c r="T20" s="15">
        <f>S20+預測IC!T20</f>
        <v>1.0546630419395153</v>
      </c>
      <c r="U20" s="15">
        <f>T20+預測IC!U20</f>
        <v>1.2033127220572903</v>
      </c>
      <c r="V20" s="15">
        <f>U20+預測IC!V20</f>
        <v>1.3068303252619078</v>
      </c>
      <c r="W20" s="15">
        <f>V20+預測IC!W20</f>
        <v>1.5332739873450092</v>
      </c>
      <c r="X20" s="15">
        <f>W20+預測IC!X20</f>
        <v>1.6833162989725479</v>
      </c>
      <c r="Y20" s="15">
        <f>X20+預測IC!Y20</f>
        <v>1.8122813378549216</v>
      </c>
      <c r="Z20" s="15">
        <f>Y20+預測IC!Z20</f>
        <v>1.9178982983385808</v>
      </c>
      <c r="AA20" s="15">
        <f>Z20+預測IC!AA20</f>
        <v>1.8963037449512836</v>
      </c>
      <c r="AB20" s="15">
        <f>AA20+預測IC!AB20</f>
        <v>1.8115439042251105</v>
      </c>
      <c r="AC20" s="15">
        <f>AB20+預測IC!AC20</f>
        <v>1.858792166953078</v>
      </c>
      <c r="AD20" s="15">
        <f>AC20+預測IC!AD20</f>
        <v>1.8318048633824</v>
      </c>
      <c r="AE20" s="15">
        <f>AD20+預測IC!AE20</f>
        <v>1.9930260705375109</v>
      </c>
      <c r="AF20" s="15">
        <f>AE20+預測IC!AF20</f>
        <v>1.7695282509011383</v>
      </c>
      <c r="AG20" s="15">
        <f>AF20+預測IC!AG20</f>
        <v>1.7373650020194618</v>
      </c>
      <c r="AH20" s="15">
        <f>AG20+預測IC!AH20</f>
        <v>1.9540074546678226</v>
      </c>
      <c r="AI20" s="15">
        <f>AH20+預測IC!AI20</f>
        <v>1.8707281009170991</v>
      </c>
      <c r="AJ20" s="15">
        <f>AI20+預測IC!AJ20</f>
        <v>1.8100024162563149</v>
      </c>
      <c r="AK20" s="15">
        <f>AJ20+預測IC!AK20</f>
        <v>1.8017539011937018</v>
      </c>
      <c r="AL20" s="15">
        <f>AK20+預測IC!AL20</f>
        <v>1.8746473532306789</v>
      </c>
      <c r="AM20" s="15">
        <f>AL20+預測IC!AM20</f>
        <v>1.9077433339794816</v>
      </c>
      <c r="AN20" s="15">
        <f>AM20+預測IC!AN20</f>
        <v>1.9832135274984799</v>
      </c>
      <c r="AO20" s="15">
        <f>AN20+預測IC!AO20</f>
        <v>2.0323218221378796</v>
      </c>
      <c r="AP20" s="15">
        <f>AO20+預測IC!AP20</f>
        <v>2.0197173061747131</v>
      </c>
      <c r="AQ20" s="15">
        <f>AP20+預測IC!AQ20</f>
        <v>1.9922648208417622</v>
      </c>
      <c r="AR20" s="15">
        <f>AQ20+預測IC!AR20</f>
        <v>1.978975547751928</v>
      </c>
      <c r="AS20" s="15">
        <f>AR20+預測IC!AS20</f>
        <v>2.0910713574347448</v>
      </c>
      <c r="AT20" s="15">
        <f>AS20+預測IC!AT20</f>
        <v>2.3301951048798153</v>
      </c>
      <c r="AU20" s="15">
        <f>AT20+預測IC!AU20</f>
        <v>2.4732677458069809</v>
      </c>
      <c r="AV20" s="15">
        <f>AU20+預測IC!AV20</f>
        <v>2.5447409314609142</v>
      </c>
      <c r="AW20" s="15">
        <f>AV20+預測IC!AW20</f>
        <v>2.5378756632817634</v>
      </c>
      <c r="AX20" s="15">
        <f>AW20+預測IC!AX20</f>
        <v>2.3335364433212167</v>
      </c>
      <c r="AY20" s="15">
        <f>AX20+預測IC!AY20</f>
        <v>2.4155940793387831</v>
      </c>
      <c r="AZ20" s="15">
        <f>AY20+預測IC!AZ20</f>
        <v>2.2593200716321191</v>
      </c>
      <c r="BA20" s="15">
        <f>AZ20+預測IC!BA20</f>
        <v>2.2225212067715785</v>
      </c>
      <c r="BB20" s="15">
        <f>BA20+預測IC!BB20</f>
        <v>2.4537348329596553</v>
      </c>
      <c r="BC20" s="15">
        <f>BB20+預測IC!BC20</f>
        <v>2.5243404006373957</v>
      </c>
      <c r="BD20" s="15">
        <f>BC20+預測IC!BD20</f>
        <v>2.4709105874157986</v>
      </c>
      <c r="BE20" s="15">
        <f>BD20+預測IC!BE20</f>
        <v>2.4768573845550588</v>
      </c>
      <c r="BF20" s="15">
        <f>BE20+預測IC!BF20</f>
        <v>2.6148286476240341</v>
      </c>
      <c r="BG20" s="15">
        <f>BF20+預測IC!BG20</f>
        <v>2.6079025049153408</v>
      </c>
      <c r="BH20" s="15">
        <f>BG20+預測IC!BH20</f>
        <v>2.5362960578012297</v>
      </c>
      <c r="BI20" s="15">
        <f>BH20+預測IC!BI20</f>
        <v>2.6505517235357532</v>
      </c>
      <c r="BJ20" s="15">
        <f>BI20+預測IC!BJ20</f>
        <v>2.6996915073470271</v>
      </c>
      <c r="BK20" s="15">
        <f>BJ20+預測IC!BK20</f>
        <v>2.5970932231925818</v>
      </c>
      <c r="BL20" s="15">
        <f>BK20+預測IC!BL20</f>
        <v>2.6669526651298026</v>
      </c>
      <c r="BM20" s="15">
        <f>BL20+預測IC!BM20</f>
        <v>2.7144212165939914</v>
      </c>
      <c r="BN20" s="15">
        <f>BM20+預測IC!BN20</f>
        <v>2.800085848035172</v>
      </c>
      <c r="BO20" s="15">
        <f>BN20+預測IC!BO20</f>
        <v>2.8385475655511514</v>
      </c>
      <c r="BP20" s="15">
        <f>BO20+預測IC!BP20</f>
        <v>2.8458298130574762</v>
      </c>
      <c r="BQ20" s="15">
        <f>BP20+預測IC!BQ20</f>
        <v>2.7372295454982241</v>
      </c>
      <c r="BR20" s="15">
        <f>BQ20+預測IC!BR20</f>
        <v>2.7493031772286964</v>
      </c>
      <c r="BS20" s="15">
        <f>BR20+預測IC!BS20</f>
        <v>2.7818393749535524</v>
      </c>
      <c r="BT20" s="15">
        <f>BS20+預測IC!BT20</f>
        <v>2.6853088737390967</v>
      </c>
      <c r="BU20" s="15">
        <f>BT20+預測IC!BU20</f>
        <v>2.7840638231068033</v>
      </c>
      <c r="BV20" s="15">
        <f>BU20+預測IC!BV20</f>
        <v>2.6503538986297968</v>
      </c>
      <c r="BW20" s="15">
        <f>BV20+預測IC!BW20</f>
        <v>3.0021834486782013</v>
      </c>
      <c r="BX20" s="15">
        <f>BW20+預測IC!BX20</f>
        <v>2.9441954304021705</v>
      </c>
      <c r="BY20" s="15">
        <f>BX20+預測IC!BY20</f>
        <v>2.9010119477149341</v>
      </c>
      <c r="BZ20" s="15">
        <f>BY20+預測IC!BZ20</f>
        <v>2.8107405434546506</v>
      </c>
      <c r="CA20" s="15">
        <f>BZ20+預測IC!CA20</f>
        <v>2.7706378154028979</v>
      </c>
      <c r="CB20" s="15">
        <f>CA20+預測IC!CB20</f>
        <v>2.6441427696328788</v>
      </c>
      <c r="CC20" s="15">
        <f>CB20+預測IC!CC20</f>
        <v>2.6570579171109592</v>
      </c>
      <c r="CD20" s="15">
        <f>CC20+預測IC!CD20</f>
        <v>2.4681984045675636</v>
      </c>
      <c r="CE20" s="15">
        <f>CD20+預測IC!CE20</f>
        <v>2.2242346090978304</v>
      </c>
      <c r="CF20" s="15">
        <f>CE20+預測IC!CF20</f>
        <v>2.1184497198217387</v>
      </c>
      <c r="CG20" s="15">
        <f>CF20+預測IC!CG20</f>
        <v>2.0424794790786307</v>
      </c>
      <c r="CH20" s="15">
        <f>CG20+預測IC!CH20</f>
        <v>2.0646747081027637</v>
      </c>
      <c r="CI20" s="15">
        <f>CH20+預測IC!CI20</f>
        <v>2.1498829105378392</v>
      </c>
      <c r="CJ20" s="15">
        <f>CI20+預測IC!CJ20</f>
        <v>2.27332323042519</v>
      </c>
      <c r="CK20" s="15">
        <f>CJ20+預測IC!CK20</f>
        <v>2.3539128543658117</v>
      </c>
      <c r="CL20" s="15">
        <f>CK20+預測IC!CL20</f>
        <v>2.20459970373556</v>
      </c>
      <c r="CM20" s="15">
        <f>CL20+預測IC!CM20</f>
        <v>2.3936508689061808</v>
      </c>
      <c r="CN20" s="15">
        <f>CM20+預測IC!CN20</f>
        <v>2.3714914575356962</v>
      </c>
      <c r="CO20" s="15">
        <f>CN20+預測IC!CO20</f>
        <v>2.1429732543541551</v>
      </c>
      <c r="CP20" s="15">
        <f>CO20+預測IC!CP20</f>
        <v>1.9509420492451277</v>
      </c>
      <c r="CQ20" s="15">
        <f>CP20+預測IC!CQ20</f>
        <v>1.9740600945454108</v>
      </c>
      <c r="CR20" s="15">
        <f>CQ20+預測IC!CR20</f>
        <v>1.7785739840604686</v>
      </c>
      <c r="CS20" s="15">
        <f>CR20+預測IC!CS20</f>
        <v>1.8008670222198282</v>
      </c>
      <c r="CT20" s="15">
        <f>CS20+預測IC!CT20</f>
        <v>1.7827903114399932</v>
      </c>
      <c r="CU20" s="15">
        <f>CT20+預測IC!CU20</f>
        <v>1.92951832051162</v>
      </c>
      <c r="CV20" s="15">
        <f>CU20+預測IC!CV20</f>
        <v>1.8325143661898999</v>
      </c>
      <c r="CW20" s="15">
        <f>CV20+預測IC!CW20</f>
        <v>1.9004180743647454</v>
      </c>
      <c r="CX20" s="15">
        <f>CW20+預測IC!CX20</f>
        <v>1.7552638863648786</v>
      </c>
      <c r="CY20" s="15">
        <f>CX20+預測IC!CY20</f>
        <v>1.6542972292530551</v>
      </c>
      <c r="CZ20" s="15">
        <f>CY20+預測IC!CZ20</f>
        <v>1.6412345953907246</v>
      </c>
      <c r="DA20" s="15">
        <f>CZ20+預測IC!DA20</f>
        <v>1.5937627022355469</v>
      </c>
      <c r="DB20" s="15">
        <f>DA20+預測IC!DB20</f>
        <v>1.6506654119926811</v>
      </c>
      <c r="DC20" s="15">
        <f>DB20+預測IC!DC20</f>
        <v>1.700278481228237</v>
      </c>
      <c r="DD20" s="15">
        <f>DC20+預測IC!DD20</f>
        <v>1.7038756659851872</v>
      </c>
      <c r="DE20" s="15">
        <f>DD20+預測IC!DE20</f>
        <v>1.71429438759204</v>
      </c>
      <c r="DF20" s="15">
        <f>DE20+預測IC!DF20</f>
        <v>1.7597943460828385</v>
      </c>
      <c r="DG20" s="15">
        <f>DF20+預測IC!DG20</f>
        <v>1.8838676540669597</v>
      </c>
      <c r="DH20" s="15">
        <f>DG20+預測IC!DH20</f>
        <v>1.6055688008980173</v>
      </c>
      <c r="DI20" s="15">
        <f>DH20+預測IC!DI20</f>
        <v>1.6798171364901107</v>
      </c>
      <c r="DJ20" s="15">
        <f>DI20+預測IC!DJ20</f>
        <v>1.5432590440574132</v>
      </c>
      <c r="DK20" s="15">
        <f>DJ20+預測IC!DK20</f>
        <v>1.5224933855694185</v>
      </c>
      <c r="DL20" s="15">
        <f>DK20+預測IC!DL20</f>
        <v>1.5419587589030384</v>
      </c>
      <c r="DM20" s="15">
        <f>DL20+預測IC!DM20</f>
        <v>1.5848235330113842</v>
      </c>
      <c r="DN20" s="15">
        <f>DM20+預測IC!DN20</f>
        <v>1.7680582666325531</v>
      </c>
      <c r="DO20" s="15">
        <f>DN20+預測IC!DO20</f>
        <v>1.817879121309449</v>
      </c>
      <c r="DP20" s="15">
        <f>DO20+預測IC!DP20</f>
        <v>1.8277096527003363</v>
      </c>
      <c r="DQ20" s="15">
        <f>DP20+預測IC!DQ20</f>
        <v>1.7702494710756362</v>
      </c>
      <c r="DR20" s="15">
        <f>DQ20+預測IC!DR20</f>
        <v>1.7146914788489049</v>
      </c>
      <c r="DS20" s="15">
        <f>DR20+預測IC!DS20</f>
        <v>1.6448987209506225</v>
      </c>
      <c r="DT20" s="15">
        <f>DS20+預測IC!DT20</f>
        <v>1.61521338215178</v>
      </c>
      <c r="DU20" s="15">
        <f>DT20+預測IC!DU20</f>
        <v>1.3425690543098345</v>
      </c>
      <c r="DV20" s="15">
        <f>DU20+預測IC!DV20</f>
        <v>1.2405268731273593</v>
      </c>
      <c r="DW20" s="15">
        <f>DV20+預測IC!DW20</f>
        <v>1.309587077085399</v>
      </c>
      <c r="DX20" s="15">
        <f>DW20+預測IC!DX20</f>
        <v>1.4074382952901243</v>
      </c>
      <c r="DY20" s="15">
        <f>DX20+預測IC!DY20</f>
        <v>1.220036465250931</v>
      </c>
      <c r="DZ20" s="15">
        <f>DY20+預測IC!DZ20</f>
        <v>1.2381515917633137</v>
      </c>
      <c r="EA20" s="15">
        <f>DZ20+預測IC!EA20</f>
        <v>1.531841575727485</v>
      </c>
      <c r="EB20" s="15">
        <f>EA20+預測IC!EB20</f>
        <v>1.6142487181719047</v>
      </c>
      <c r="EC20" s="15">
        <f>EB20+預測IC!EC20</f>
        <v>1.4832425724098373</v>
      </c>
      <c r="ED20" s="15">
        <f>EC20+預測IC!ED20</f>
        <v>1.4254150082096386</v>
      </c>
      <c r="EE20" s="15">
        <f>ED20+預測IC!EE20</f>
        <v>1.4053974209126199</v>
      </c>
      <c r="EF20" s="15">
        <f>EE20+預測IC!EF20</f>
        <v>1.3195943600703703</v>
      </c>
    </row>
    <row r="21" spans="1:136" x14ac:dyDescent="0.3">
      <c r="A21" s="1">
        <v>4</v>
      </c>
      <c r="B21" s="1" t="s">
        <v>168</v>
      </c>
      <c r="C21" s="15">
        <v>1.038483447742689E-2</v>
      </c>
      <c r="D21" s="15">
        <f>C21+預測IC!D21</f>
        <v>0.13677275124425048</v>
      </c>
      <c r="E21" s="15">
        <f>D21+預測IC!E21</f>
        <v>9.3055196364529469E-2</v>
      </c>
      <c r="F21" s="15">
        <f>E21+預測IC!F21</f>
        <v>0.27709377797065948</v>
      </c>
      <c r="G21" s="15">
        <f>F21+預測IC!G21</f>
        <v>0.133251626858095</v>
      </c>
      <c r="H21" s="15">
        <f>G21+預測IC!H21</f>
        <v>9.5407549829802596E-2</v>
      </c>
      <c r="I21" s="15">
        <f>H21+預測IC!I21</f>
        <v>-5.1848058297670391E-2</v>
      </c>
      <c r="J21" s="15">
        <f>I21+預測IC!J21</f>
        <v>8.5872673939719271E-3</v>
      </c>
      <c r="K21" s="15">
        <f>J21+預測IC!K21</f>
        <v>0.21546729339736742</v>
      </c>
      <c r="L21" s="15">
        <f>K21+預測IC!L21</f>
        <v>0.158241126532423</v>
      </c>
      <c r="M21" s="15">
        <f>L21+預測IC!M21</f>
        <v>5.8556533124211746E-2</v>
      </c>
      <c r="N21" s="15">
        <f>M21+預測IC!N21</f>
        <v>0.19760720898501155</v>
      </c>
      <c r="O21" s="15">
        <f>N21+預測IC!O21</f>
        <v>0.32738966751536502</v>
      </c>
      <c r="P21" s="15">
        <f>O21+預測IC!P21</f>
        <v>0.36728139037546775</v>
      </c>
      <c r="Q21" s="15">
        <f>P21+預測IC!Q21</f>
        <v>0.62459146446972003</v>
      </c>
      <c r="R21" s="15">
        <f>Q21+預測IC!R21</f>
        <v>0.72016677557635023</v>
      </c>
      <c r="S21" s="15">
        <f>R21+預測IC!S21</f>
        <v>0.92932625105131472</v>
      </c>
      <c r="T21" s="15">
        <f>S21+預測IC!T21</f>
        <v>0.94336661539151967</v>
      </c>
      <c r="U21" s="15">
        <f>T21+預測IC!U21</f>
        <v>1.0296450330032776</v>
      </c>
      <c r="V21" s="15">
        <f>U21+預測IC!V21</f>
        <v>1.1350158033926321</v>
      </c>
      <c r="W21" s="15">
        <f>V21+預測IC!W21</f>
        <v>1.4579363520808191</v>
      </c>
      <c r="X21" s="15">
        <f>W21+預測IC!X21</f>
        <v>1.6657376194341569</v>
      </c>
      <c r="Y21" s="15">
        <f>X21+預測IC!Y21</f>
        <v>1.7584668433803614</v>
      </c>
      <c r="Z21" s="15">
        <f>Y21+預測IC!Z21</f>
        <v>1.8726708306030859</v>
      </c>
      <c r="AA21" s="15">
        <f>Z21+預測IC!AA21</f>
        <v>1.8921618741431798</v>
      </c>
      <c r="AB21" s="15">
        <f>AA21+預測IC!AB21</f>
        <v>1.7623222917461101</v>
      </c>
      <c r="AC21" s="15">
        <f>AB21+預測IC!AC21</f>
        <v>1.7811500284529103</v>
      </c>
      <c r="AD21" s="15">
        <f>AC21+預測IC!AD21</f>
        <v>1.8070833044503452</v>
      </c>
      <c r="AE21" s="15">
        <f>AD21+預測IC!AE21</f>
        <v>1.935188283246591</v>
      </c>
      <c r="AF21" s="15">
        <f>AE21+預測IC!AF21</f>
        <v>1.6400440251632276</v>
      </c>
      <c r="AG21" s="15">
        <f>AF21+預測IC!AG21</f>
        <v>1.6289974530567837</v>
      </c>
      <c r="AH21" s="15">
        <f>AG21+預測IC!AH21</f>
        <v>1.8693487087155505</v>
      </c>
      <c r="AI21" s="15">
        <f>AH21+預測IC!AI21</f>
        <v>1.8016190281203994</v>
      </c>
      <c r="AJ21" s="15">
        <f>AI21+預測IC!AJ21</f>
        <v>1.7226778641087002</v>
      </c>
      <c r="AK21" s="15">
        <f>AJ21+預測IC!AK21</f>
        <v>1.7409962330180129</v>
      </c>
      <c r="AL21" s="15">
        <f>AK21+預測IC!AL21</f>
        <v>1.8063760557511235</v>
      </c>
      <c r="AM21" s="15">
        <f>AL21+預測IC!AM21</f>
        <v>1.874911863198754</v>
      </c>
      <c r="AN21" s="15">
        <f>AM21+預測IC!AN21</f>
        <v>1.9868679192618484</v>
      </c>
      <c r="AO21" s="15">
        <f>AN21+預測IC!AO21</f>
        <v>2.0724356941757356</v>
      </c>
      <c r="AP21" s="15">
        <f>AO21+預測IC!AP21</f>
        <v>2.0534933152595625</v>
      </c>
      <c r="AQ21" s="15">
        <f>AP21+預測IC!AQ21</f>
        <v>1.9766278082490147</v>
      </c>
      <c r="AR21" s="15">
        <f>AQ21+預測IC!AR21</f>
        <v>2.0246159496523251</v>
      </c>
      <c r="AS21" s="15">
        <f>AR21+預測IC!AS21</f>
        <v>2.0890718182989545</v>
      </c>
      <c r="AT21" s="15">
        <f>AS21+預測IC!AT21</f>
        <v>2.3539100758469518</v>
      </c>
      <c r="AU21" s="15">
        <f>AT21+預測IC!AU21</f>
        <v>2.4173654054602318</v>
      </c>
      <c r="AV21" s="15">
        <f>AU21+預測IC!AV21</f>
        <v>2.4682629734316741</v>
      </c>
      <c r="AW21" s="15">
        <f>AV21+預測IC!AW21</f>
        <v>2.4584719434775768</v>
      </c>
      <c r="AX21" s="15">
        <f>AW21+預測IC!AX21</f>
        <v>2.2407536409605395</v>
      </c>
      <c r="AY21" s="15">
        <f>AX21+預測IC!AY21</f>
        <v>2.3064759356930464</v>
      </c>
      <c r="AZ21" s="15">
        <f>AY21+預測IC!AZ21</f>
        <v>2.2134165415644533</v>
      </c>
      <c r="BA21" s="15">
        <f>AZ21+預測IC!BA21</f>
        <v>2.1423843599163677</v>
      </c>
      <c r="BB21" s="15">
        <f>BA21+預測IC!BB21</f>
        <v>2.4368969968936893</v>
      </c>
      <c r="BC21" s="15">
        <f>BB21+預測IC!BC21</f>
        <v>2.475218144618883</v>
      </c>
      <c r="BD21" s="15">
        <f>BC21+預測IC!BD21</f>
        <v>2.4534672812482552</v>
      </c>
      <c r="BE21" s="15">
        <f>BD21+預測IC!BE21</f>
        <v>2.4471167478508535</v>
      </c>
      <c r="BF21" s="15">
        <f>BE21+預測IC!BF21</f>
        <v>2.646233964281457</v>
      </c>
      <c r="BG21" s="15">
        <f>BF21+預測IC!BG21</f>
        <v>2.6828691534982694</v>
      </c>
      <c r="BH21" s="15">
        <f>BG21+預測IC!BH21</f>
        <v>2.6065477903595142</v>
      </c>
      <c r="BI21" s="15">
        <f>BH21+預測IC!BI21</f>
        <v>2.7604224364517709</v>
      </c>
      <c r="BJ21" s="15">
        <f>BI21+預測IC!BJ21</f>
        <v>2.7924049508627631</v>
      </c>
      <c r="BK21" s="15">
        <f>BJ21+預測IC!BK21</f>
        <v>2.7094317889726973</v>
      </c>
      <c r="BL21" s="15">
        <f>BK21+預測IC!BL21</f>
        <v>2.7967725794403955</v>
      </c>
      <c r="BM21" s="15">
        <f>BL21+預測IC!BM21</f>
        <v>2.8375678654691163</v>
      </c>
      <c r="BN21" s="15">
        <f>BM21+預測IC!BN21</f>
        <v>3.0258153680615045</v>
      </c>
      <c r="BO21" s="15">
        <f>BN21+預測IC!BO21</f>
        <v>3.0896726044751848</v>
      </c>
      <c r="BP21" s="15">
        <f>BO21+預測IC!BP21</f>
        <v>3.0854918021435918</v>
      </c>
      <c r="BQ21" s="15">
        <f>BP21+預測IC!BQ21</f>
        <v>3.0126010591092487</v>
      </c>
      <c r="BR21" s="15">
        <f>BQ21+預測IC!BR21</f>
        <v>3.0249249212931133</v>
      </c>
      <c r="BS21" s="15">
        <f>BR21+預測IC!BS21</f>
        <v>3.0906667422534606</v>
      </c>
      <c r="BT21" s="15">
        <f>BS21+預測IC!BT21</f>
        <v>2.9977145389052033</v>
      </c>
      <c r="BU21" s="15">
        <f>BT21+預測IC!BU21</f>
        <v>3.1332110011037724</v>
      </c>
      <c r="BV21" s="15">
        <f>BU21+預測IC!BV21</f>
        <v>3.1139705129515329</v>
      </c>
      <c r="BW21" s="15">
        <f>BV21+預測IC!BW21</f>
        <v>3.298431183671942</v>
      </c>
      <c r="BX21" s="15">
        <f>BW21+預測IC!BX21</f>
        <v>3.2100518488843033</v>
      </c>
      <c r="BY21" s="15">
        <f>BX21+預測IC!BY21</f>
        <v>3.1951354699674663</v>
      </c>
      <c r="BZ21" s="15">
        <f>BY21+預測IC!BZ21</f>
        <v>3.1474725412467506</v>
      </c>
      <c r="CA21" s="15">
        <f>BZ21+預測IC!CA21</f>
        <v>3.0869549379443519</v>
      </c>
      <c r="CB21" s="15">
        <f>CA21+預測IC!CB21</f>
        <v>2.8790850900427643</v>
      </c>
      <c r="CC21" s="15">
        <f>CB21+預測IC!CC21</f>
        <v>2.8710661357717981</v>
      </c>
      <c r="CD21" s="15">
        <f>CC21+預測IC!CD21</f>
        <v>2.7202777455695175</v>
      </c>
      <c r="CE21" s="15">
        <f>CD21+預測IC!CE21</f>
        <v>2.3252018031044721</v>
      </c>
      <c r="CF21" s="15">
        <f>CE21+預測IC!CF21</f>
        <v>2.2106756454933039</v>
      </c>
      <c r="CG21" s="15">
        <f>CF21+預測IC!CG21</f>
        <v>2.1255903100191729</v>
      </c>
      <c r="CH21" s="15">
        <f>CG21+預測IC!CH21</f>
        <v>2.2822167506461413</v>
      </c>
      <c r="CI21" s="15">
        <f>CH21+預測IC!CI21</f>
        <v>2.3553994777211402</v>
      </c>
      <c r="CJ21" s="15">
        <f>CI21+預測IC!CJ21</f>
        <v>2.4410272347376427</v>
      </c>
      <c r="CK21" s="15">
        <f>CJ21+預測IC!CK21</f>
        <v>2.5081868650344985</v>
      </c>
      <c r="CL21" s="15">
        <f>CK21+預測IC!CL21</f>
        <v>2.3207537434937717</v>
      </c>
      <c r="CM21" s="15">
        <f>CL21+預測IC!CM21</f>
        <v>2.546256731897143</v>
      </c>
      <c r="CN21" s="15">
        <f>CM21+預測IC!CN21</f>
        <v>2.5157178416933674</v>
      </c>
      <c r="CO21" s="15">
        <f>CN21+預測IC!CO21</f>
        <v>2.2779258605539749</v>
      </c>
      <c r="CP21" s="15">
        <f>CO21+預測IC!CP21</f>
        <v>2.0552257996760623</v>
      </c>
      <c r="CQ21" s="15">
        <f>CP21+預測IC!CQ21</f>
        <v>2.0781379938455586</v>
      </c>
      <c r="CR21" s="15">
        <f>CQ21+預測IC!CR21</f>
        <v>1.8390780274842908</v>
      </c>
      <c r="CS21" s="15">
        <f>CR21+預測IC!CS21</f>
        <v>1.8699857731667886</v>
      </c>
      <c r="CT21" s="15">
        <f>CS21+預測IC!CT21</f>
        <v>1.7839132162953926</v>
      </c>
      <c r="CU21" s="15">
        <f>CT21+預測IC!CU21</f>
        <v>1.9428298386128426</v>
      </c>
      <c r="CV21" s="15">
        <f>CU21+預測IC!CV21</f>
        <v>1.8112023074508861</v>
      </c>
      <c r="CW21" s="15">
        <f>CV21+預測IC!CW21</f>
        <v>1.8495478243225687</v>
      </c>
      <c r="CX21" s="15">
        <f>CW21+預測IC!CX21</f>
        <v>1.6925789774109572</v>
      </c>
      <c r="CY21" s="15">
        <f>CX21+預測IC!CY21</f>
        <v>1.5401266711656381</v>
      </c>
      <c r="CZ21" s="15">
        <f>CY21+預測IC!CZ21</f>
        <v>1.5262794647539375</v>
      </c>
      <c r="DA21" s="15">
        <f>CZ21+預測IC!DA21</f>
        <v>1.5274717212106692</v>
      </c>
      <c r="DB21" s="15">
        <f>DA21+預測IC!DB21</f>
        <v>1.5790961548868239</v>
      </c>
      <c r="DC21" s="15">
        <f>DB21+預測IC!DC21</f>
        <v>1.6241437141101145</v>
      </c>
      <c r="DD21" s="15">
        <f>DC21+預測IC!DD21</f>
        <v>1.6269625085011852</v>
      </c>
      <c r="DE21" s="15">
        <f>DD21+預測IC!DE21</f>
        <v>1.6559402455615118</v>
      </c>
      <c r="DF21" s="15">
        <f>DE21+預測IC!DF21</f>
        <v>1.804749148051255</v>
      </c>
      <c r="DG21" s="15">
        <f>DF21+預測IC!DG21</f>
        <v>1.9529340791829846</v>
      </c>
      <c r="DH21" s="15">
        <f>DG21+預測IC!DH21</f>
        <v>1.8714978909029572</v>
      </c>
      <c r="DI21" s="15">
        <f>DH21+預測IC!DI21</f>
        <v>1.9616470936207777</v>
      </c>
      <c r="DJ21" s="15">
        <f>DI21+預測IC!DJ21</f>
        <v>1.8050413751571361</v>
      </c>
      <c r="DK21" s="15">
        <f>DJ21+預測IC!DK21</f>
        <v>1.7840753130051177</v>
      </c>
      <c r="DL21" s="15">
        <f>DK21+預測IC!DL21</f>
        <v>1.7968123045061308</v>
      </c>
      <c r="DM21" s="15">
        <f>DL21+預測IC!DM21</f>
        <v>1.7925577404852453</v>
      </c>
      <c r="DN21" s="15">
        <f>DM21+預測IC!DN21</f>
        <v>2.0128533813497729</v>
      </c>
      <c r="DO21" s="15">
        <f>DN21+預測IC!DO21</f>
        <v>1.9942945722919854</v>
      </c>
      <c r="DP21" s="15">
        <f>DO21+預測IC!DP21</f>
        <v>2.0185607273855513</v>
      </c>
      <c r="DQ21" s="15">
        <f>DP21+預測IC!DQ21</f>
        <v>1.948138028577368</v>
      </c>
      <c r="DR21" s="15">
        <f>DQ21+預測IC!DR21</f>
        <v>1.8945810387706736</v>
      </c>
      <c r="DS21" s="15">
        <f>DR21+預測IC!DS21</f>
        <v>1.8099756051651377</v>
      </c>
      <c r="DT21" s="15">
        <f>DS21+預測IC!DT21</f>
        <v>1.8047604148184584</v>
      </c>
      <c r="DU21" s="15">
        <f>DT21+預測IC!DU21</f>
        <v>1.4649537759608906</v>
      </c>
      <c r="DV21" s="15">
        <f>DU21+預測IC!DV21</f>
        <v>1.310055524830986</v>
      </c>
      <c r="DW21" s="15">
        <f>DV21+預測IC!DW21</f>
        <v>1.4383033934951071</v>
      </c>
      <c r="DX21" s="15">
        <f>DW21+預測IC!DX21</f>
        <v>1.5551322833698895</v>
      </c>
      <c r="DY21" s="15">
        <f>DX21+預測IC!DY21</f>
        <v>1.3294704021819004</v>
      </c>
      <c r="DZ21" s="15">
        <f>DY21+預測IC!DZ21</f>
        <v>1.5093614239068007</v>
      </c>
      <c r="EA21" s="15">
        <f>DZ21+預測IC!EA21</f>
        <v>1.7754182561861467</v>
      </c>
      <c r="EB21" s="15">
        <f>EA21+預測IC!EB21</f>
        <v>1.8017204501846806</v>
      </c>
      <c r="EC21" s="15">
        <f>EB21+預測IC!EC21</f>
        <v>1.6616264322324548</v>
      </c>
      <c r="ED21" s="15">
        <f>EC21+預測IC!ED21</f>
        <v>1.7907816355696411</v>
      </c>
      <c r="EE21" s="15">
        <f>ED21+預測IC!EE21</f>
        <v>1.8017375809765155</v>
      </c>
      <c r="EF21" s="15">
        <f>EE21+預測IC!EF21</f>
        <v>1.7729403545568445</v>
      </c>
    </row>
    <row r="22" spans="1:136" x14ac:dyDescent="0.3">
      <c r="A22" s="1">
        <v>3</v>
      </c>
      <c r="B22" s="1" t="s">
        <v>169</v>
      </c>
      <c r="C22" s="15">
        <v>2.5922326608526759E-2</v>
      </c>
      <c r="D22" s="15">
        <f>C22+預測IC!D22</f>
        <v>0.16835017868592525</v>
      </c>
      <c r="E22" s="15">
        <f>D22+預測IC!E22</f>
        <v>0.14611976642668711</v>
      </c>
      <c r="F22" s="15">
        <f>E22+預測IC!F22</f>
        <v>0.21395082734796467</v>
      </c>
      <c r="G22" s="15">
        <f>F22+預測IC!G22</f>
        <v>0.11006646405763057</v>
      </c>
      <c r="H22" s="15">
        <f>G22+預測IC!H22</f>
        <v>-0.11973908043377002</v>
      </c>
      <c r="I22" s="15">
        <f>H22+預測IC!I22</f>
        <v>-0.24323224977183983</v>
      </c>
      <c r="J22" s="15">
        <f>I22+預測IC!J22</f>
        <v>-0.19063366050649691</v>
      </c>
      <c r="K22" s="15">
        <f>J22+預測IC!K22</f>
        <v>5.4732252176258794E-2</v>
      </c>
      <c r="L22" s="15">
        <f>K22+預測IC!L22</f>
        <v>-5.275491647498301E-2</v>
      </c>
      <c r="M22" s="15">
        <f>L22+預測IC!M22</f>
        <v>-0.12685497524555556</v>
      </c>
      <c r="N22" s="15">
        <f>M22+預測IC!N22</f>
        <v>-2.8824114437922793E-2</v>
      </c>
      <c r="O22" s="15">
        <f>N22+預測IC!O22</f>
        <v>0.1146562315663496</v>
      </c>
      <c r="P22" s="15">
        <f>O22+預測IC!P22</f>
        <v>0.15751472008533951</v>
      </c>
      <c r="Q22" s="15">
        <f>P22+預測IC!Q22</f>
        <v>0.43429161391839133</v>
      </c>
      <c r="R22" s="15">
        <f>Q22+預測IC!R22</f>
        <v>0.4709200481899794</v>
      </c>
      <c r="S22" s="15">
        <f>R22+預測IC!S22</f>
        <v>0.71797667771970897</v>
      </c>
      <c r="T22" s="15">
        <f>S22+預測IC!T22</f>
        <v>0.73821529019654297</v>
      </c>
      <c r="U22" s="15">
        <f>T22+預測IC!U22</f>
        <v>0.84880531359904721</v>
      </c>
      <c r="V22" s="15">
        <f>U22+預測IC!V22</f>
        <v>0.90582944823333689</v>
      </c>
      <c r="W22" s="15">
        <f>V22+預測IC!W22</f>
        <v>1.2520229335325854</v>
      </c>
      <c r="X22" s="15">
        <f>W22+預測IC!X22</f>
        <v>1.5092252847460825</v>
      </c>
      <c r="Y22" s="15">
        <f>X22+預測IC!Y22</f>
        <v>1.5571636169258509</v>
      </c>
      <c r="Z22" s="15">
        <f>Y22+預測IC!Z22</f>
        <v>1.6327118860716969</v>
      </c>
      <c r="AA22" s="15">
        <f>Z22+預測IC!AA22</f>
        <v>1.6397599029585537</v>
      </c>
      <c r="AB22" s="15">
        <f>AA22+預測IC!AB22</f>
        <v>1.5053236902452283</v>
      </c>
      <c r="AC22" s="15">
        <f>AB22+預測IC!AC22</f>
        <v>1.5911001509606608</v>
      </c>
      <c r="AD22" s="15">
        <f>AC22+預測IC!AD22</f>
        <v>1.6096939001753221</v>
      </c>
      <c r="AE22" s="15">
        <f>AD22+預測IC!AE22</f>
        <v>1.7405177429916563</v>
      </c>
      <c r="AF22" s="15">
        <f>AE22+預測IC!AF22</f>
        <v>1.3106009749430443</v>
      </c>
      <c r="AG22" s="15">
        <f>AF22+預測IC!AG22</f>
        <v>1.2997888743762021</v>
      </c>
      <c r="AH22" s="15">
        <f>AG22+預測IC!AH22</f>
        <v>1.5474111205396033</v>
      </c>
      <c r="AI22" s="15">
        <f>AH22+預測IC!AI22</f>
        <v>1.4800182195284173</v>
      </c>
      <c r="AJ22" s="15">
        <f>AI22+預測IC!AJ22</f>
        <v>1.4341520900302627</v>
      </c>
      <c r="AK22" s="15">
        <f>AJ22+預測IC!AK22</f>
        <v>1.5127278587351769</v>
      </c>
      <c r="AL22" s="15">
        <f>AK22+預測IC!AL22</f>
        <v>1.5530688255420773</v>
      </c>
      <c r="AM22" s="15">
        <f>AL22+預測IC!AM22</f>
        <v>1.6371577290097807</v>
      </c>
      <c r="AN22" s="15">
        <f>AM22+預測IC!AN22</f>
        <v>1.7482905386733401</v>
      </c>
      <c r="AO22" s="15">
        <f>AN22+預測IC!AO22</f>
        <v>1.906443413967067</v>
      </c>
      <c r="AP22" s="15">
        <f>AO22+預測IC!AP22</f>
        <v>1.8859506854490884</v>
      </c>
      <c r="AQ22" s="15">
        <f>AP22+預測IC!AQ22</f>
        <v>1.8065245679704953</v>
      </c>
      <c r="AR22" s="15">
        <f>AQ22+預測IC!AR22</f>
        <v>1.8744490556740987</v>
      </c>
      <c r="AS22" s="15">
        <f>AR22+預測IC!AS22</f>
        <v>1.9572594945726487</v>
      </c>
      <c r="AT22" s="15">
        <f>AS22+預測IC!AT22</f>
        <v>1.9749878655670854</v>
      </c>
      <c r="AU22" s="15">
        <f>AT22+預測IC!AU22</f>
        <v>2.0849024628852697</v>
      </c>
      <c r="AV22" s="15">
        <f>AU22+預測IC!AV22</f>
        <v>2.1445486030589351</v>
      </c>
      <c r="AW22" s="15">
        <f>AV22+預測IC!AW22</f>
        <v>2.1746979922659442</v>
      </c>
      <c r="AX22" s="15">
        <f>AW22+預測IC!AX22</f>
        <v>2.1845731782716382</v>
      </c>
      <c r="AY22" s="15">
        <f>AX22+預測IC!AY22</f>
        <v>2.2830294544010017</v>
      </c>
      <c r="AZ22" s="15">
        <f>AY22+預測IC!AZ22</f>
        <v>2.0555439581675481</v>
      </c>
      <c r="BA22" s="15">
        <f>AZ22+預測IC!BA22</f>
        <v>2.0099455330000859</v>
      </c>
      <c r="BB22" s="15">
        <f>BA22+預測IC!BB22</f>
        <v>2.3794961162965738</v>
      </c>
      <c r="BC22" s="15">
        <f>BB22+預測IC!BC22</f>
        <v>2.2486591781736185</v>
      </c>
      <c r="BD22" s="15">
        <f>BC22+預測IC!BD22</f>
        <v>2.2264849967077902</v>
      </c>
      <c r="BE22" s="15">
        <f>BD22+預測IC!BE22</f>
        <v>2.2042688133133099</v>
      </c>
      <c r="BF22" s="15">
        <f>BE22+預測IC!BF22</f>
        <v>2.4033712618617482</v>
      </c>
      <c r="BG22" s="15">
        <f>BF22+預測IC!BG22</f>
        <v>2.4496507740301343</v>
      </c>
      <c r="BH22" s="15">
        <f>BG22+預測IC!BH22</f>
        <v>2.3216902316920023</v>
      </c>
      <c r="BI22" s="15">
        <f>BH22+預測IC!BI22</f>
        <v>2.4090082908691781</v>
      </c>
      <c r="BJ22" s="15">
        <f>BI22+預測IC!BJ22</f>
        <v>2.3987743154200745</v>
      </c>
      <c r="BK22" s="15">
        <f>BJ22+預測IC!BK22</f>
        <v>2.3779195600903078</v>
      </c>
      <c r="BL22" s="15">
        <f>BK22+預測IC!BL22</f>
        <v>2.5173909504911713</v>
      </c>
      <c r="BM22" s="15">
        <f>BL22+預測IC!BM22</f>
        <v>2.5198214337367046</v>
      </c>
      <c r="BN22" s="15">
        <f>BM22+預測IC!BN22</f>
        <v>2.4913026272727294</v>
      </c>
      <c r="BO22" s="15">
        <f>BN22+預測IC!BO22</f>
        <v>2.5417870563854796</v>
      </c>
      <c r="BP22" s="15">
        <f>BO22+預測IC!BP22</f>
        <v>2.541246056260948</v>
      </c>
      <c r="BQ22" s="15">
        <f>BP22+預測IC!BQ22</f>
        <v>2.4500178650665387</v>
      </c>
      <c r="BR22" s="15">
        <f>BQ22+預測IC!BR22</f>
        <v>2.4708314745329916</v>
      </c>
      <c r="BS22" s="15">
        <f>BR22+預測IC!BS22</f>
        <v>2.5678790642375366</v>
      </c>
      <c r="BT22" s="15">
        <f>BS22+預測IC!BT22</f>
        <v>2.6350222796552618</v>
      </c>
      <c r="BU22" s="15">
        <f>BT22+預測IC!BU22</f>
        <v>2.8479710457932721</v>
      </c>
      <c r="BV22" s="15">
        <f>BU22+預測IC!BV22</f>
        <v>2.8472892856257146</v>
      </c>
      <c r="BW22" s="15">
        <f>BV22+預測IC!BW22</f>
        <v>2.979461077161496</v>
      </c>
      <c r="BX22" s="15">
        <f>BW22+預測IC!BX22</f>
        <v>2.8265237069115039</v>
      </c>
      <c r="BY22" s="15">
        <f>BX22+預測IC!BY22</f>
        <v>2.8588765824320035</v>
      </c>
      <c r="BZ22" s="15">
        <f>BY22+預測IC!BZ22</f>
        <v>2.8116188465691114</v>
      </c>
      <c r="CA22" s="15">
        <f>BZ22+預測IC!CA22</f>
        <v>2.7841287680887881</v>
      </c>
      <c r="CB22" s="15">
        <f>CA22+預測IC!CB22</f>
        <v>2.529389512373927</v>
      </c>
      <c r="CC22" s="15">
        <f>CB22+預測IC!CC22</f>
        <v>2.4042855170538942</v>
      </c>
      <c r="CD22" s="15">
        <f>CC22+預測IC!CD22</f>
        <v>2.0885138568510451</v>
      </c>
      <c r="CE22" s="15">
        <f>CD22+預測IC!CE22</f>
        <v>1.6951265177467669</v>
      </c>
      <c r="CF22" s="15">
        <f>CE22+預測IC!CF22</f>
        <v>1.5943561607127021</v>
      </c>
      <c r="CG22" s="15">
        <f>CF22+預測IC!CG22</f>
        <v>1.3872708280791892</v>
      </c>
      <c r="CH22" s="15">
        <f>CG22+預測IC!CH22</f>
        <v>1.5408771128887326</v>
      </c>
      <c r="CI22" s="15">
        <f>CH22+預測IC!CI22</f>
        <v>1.6054944356991068</v>
      </c>
      <c r="CJ22" s="15">
        <f>CI22+預測IC!CJ22</f>
        <v>1.7088739407886695</v>
      </c>
      <c r="CK22" s="15">
        <f>CJ22+預測IC!CK22</f>
        <v>1.8197974810754518</v>
      </c>
      <c r="CL22" s="15">
        <f>CK22+預測IC!CL22</f>
        <v>1.7248004690519063</v>
      </c>
      <c r="CM22" s="15">
        <f>CL22+預測IC!CM22</f>
        <v>2.0452324727097317</v>
      </c>
      <c r="CN22" s="15">
        <f>CM22+預測IC!CN22</f>
        <v>2.0537792445306393</v>
      </c>
      <c r="CO22" s="15">
        <f>CN22+預測IC!CO22</f>
        <v>1.8684934866254126</v>
      </c>
      <c r="CP22" s="15">
        <f>CO22+預測IC!CP22</f>
        <v>1.6090849296560101</v>
      </c>
      <c r="CQ22" s="15">
        <f>CP22+預測IC!CQ22</f>
        <v>1.6262445451751339</v>
      </c>
      <c r="CR22" s="15">
        <f>CQ22+預測IC!CR22</f>
        <v>1.3794717751832473</v>
      </c>
      <c r="CS22" s="15">
        <f>CR22+預測IC!CS22</f>
        <v>1.4039113620152799</v>
      </c>
      <c r="CT22" s="15">
        <f>CS22+預測IC!CT22</f>
        <v>1.2778199838265083</v>
      </c>
      <c r="CU22" s="15">
        <f>CT22+預測IC!CU22</f>
        <v>1.4451738950128765</v>
      </c>
      <c r="CV22" s="15">
        <f>CU22+預測IC!CV22</f>
        <v>1.2621273482681783</v>
      </c>
      <c r="CW22" s="15">
        <f>CV22+預測IC!CW22</f>
        <v>1.285011390600163</v>
      </c>
      <c r="CX22" s="15">
        <f>CW22+預測IC!CX22</f>
        <v>1.2307180951263592</v>
      </c>
      <c r="CY22" s="15">
        <f>CX22+預測IC!CY22</f>
        <v>1.0682782264129125</v>
      </c>
      <c r="CZ22" s="15">
        <f>CY22+預測IC!CZ22</f>
        <v>1.0606909799717734</v>
      </c>
      <c r="DA22" s="15">
        <f>CZ22+預測IC!DA22</f>
        <v>1.0566992260898493</v>
      </c>
      <c r="DB22" s="15">
        <f>DA22+預測IC!DB22</f>
        <v>1.1150827329183415</v>
      </c>
      <c r="DC22" s="15">
        <f>DB22+預測IC!DC22</f>
        <v>1.1358075173624991</v>
      </c>
      <c r="DD22" s="15">
        <f>DC22+預測IC!DD22</f>
        <v>1.1675176864883245</v>
      </c>
      <c r="DE22" s="15">
        <f>DD22+預測IC!DE22</f>
        <v>1.1497611829863916</v>
      </c>
      <c r="DF22" s="15">
        <f>DE22+預測IC!DF22</f>
        <v>1.2468328886226185</v>
      </c>
      <c r="DG22" s="15">
        <f>DF22+預測IC!DG22</f>
        <v>1.3349542991256822</v>
      </c>
      <c r="DH22" s="15">
        <f>DG22+預測IC!DH22</f>
        <v>1.2534999175097736</v>
      </c>
      <c r="DI22" s="15">
        <f>DH22+預測IC!DI22</f>
        <v>1.3346054613500438</v>
      </c>
      <c r="DJ22" s="15">
        <f>DI22+預測IC!DJ22</f>
        <v>1.1809056985197142</v>
      </c>
      <c r="DK22" s="15">
        <f>DJ22+預測IC!DK22</f>
        <v>1.1575595218867527</v>
      </c>
      <c r="DL22" s="15">
        <f>DK22+預測IC!DL22</f>
        <v>1.1607728526298915</v>
      </c>
      <c r="DM22" s="15">
        <f>DL22+預測IC!DM22</f>
        <v>1.1180963035138507</v>
      </c>
      <c r="DN22" s="15">
        <f>DM22+預測IC!DN22</f>
        <v>1.4234713317860539</v>
      </c>
      <c r="DO22" s="15">
        <f>DN22+預測IC!DO22</f>
        <v>1.4472400000735028</v>
      </c>
      <c r="DP22" s="15">
        <f>DO22+預測IC!DP22</f>
        <v>1.4574672579264067</v>
      </c>
      <c r="DQ22" s="15">
        <f>DP22+預測IC!DQ22</f>
        <v>1.2920630913817668</v>
      </c>
      <c r="DR22" s="15">
        <f>DQ22+預測IC!DR22</f>
        <v>1.2208267917086311</v>
      </c>
      <c r="DS22" s="15">
        <f>DR22+預測IC!DS22</f>
        <v>1.091302952339426</v>
      </c>
      <c r="DT22" s="15">
        <f>DS22+預測IC!DT22</f>
        <v>1.1184317063175961</v>
      </c>
      <c r="DU22" s="15">
        <f>DT22+預測IC!DU22</f>
        <v>0.74316283397562399</v>
      </c>
      <c r="DV22" s="15">
        <f>DU22+預測IC!DV22</f>
        <v>0.58610046442587316</v>
      </c>
      <c r="DW22" s="15">
        <f>DV22+預測IC!DW22</f>
        <v>0.66449018813287031</v>
      </c>
      <c r="DX22" s="15">
        <f>DW22+預測IC!DX22</f>
        <v>0.82884231217440951</v>
      </c>
      <c r="DY22" s="15">
        <f>DX22+預測IC!DY22</f>
        <v>0.51108793980992706</v>
      </c>
      <c r="DZ22" s="15">
        <f>DY22+預測IC!DZ22</f>
        <v>0.67671418603568267</v>
      </c>
      <c r="EA22" s="15">
        <f>DZ22+預測IC!EA22</f>
        <v>0.81707034803637624</v>
      </c>
      <c r="EB22" s="15">
        <f>EA22+預測IC!EB22</f>
        <v>0.94683629834244531</v>
      </c>
      <c r="EC22" s="15">
        <f>EB22+預測IC!EC22</f>
        <v>0.97526511012049621</v>
      </c>
      <c r="ED22" s="15">
        <f>EC22+預測IC!ED22</f>
        <v>1.158947096624652</v>
      </c>
      <c r="EE22" s="15">
        <f>ED22+預測IC!EE22</f>
        <v>1.1948464538207209</v>
      </c>
      <c r="EF22" s="15">
        <f>EE22+預測IC!EF22</f>
        <v>1.1582509846889426</v>
      </c>
    </row>
    <row r="23" spans="1:136" x14ac:dyDescent="0.3">
      <c r="A23" s="1">
        <v>2</v>
      </c>
      <c r="B23" s="1" t="s">
        <v>170</v>
      </c>
      <c r="C23" s="15">
        <v>3.1325684581971477E-2</v>
      </c>
      <c r="D23" s="15">
        <f>C23+預測IC!D23</f>
        <v>0.28541831203343276</v>
      </c>
      <c r="E23" s="15">
        <f>D23+預測IC!E23</f>
        <v>0.27035672434646735</v>
      </c>
      <c r="F23" s="15">
        <f>E23+預測IC!F23</f>
        <v>0.45275279966734605</v>
      </c>
      <c r="G23" s="15">
        <f>F23+預測IC!G23</f>
        <v>0.47972436819171405</v>
      </c>
      <c r="H23" s="15">
        <f>G23+預測IC!H23</f>
        <v>0.21691412699026125</v>
      </c>
      <c r="I23" s="15">
        <f>H23+預測IC!I23</f>
        <v>6.8762098389967247E-2</v>
      </c>
      <c r="J23" s="15">
        <f>I23+預測IC!J23</f>
        <v>-2.940019275648513E-2</v>
      </c>
      <c r="K23" s="15">
        <f>J23+預測IC!K23</f>
        <v>0.11320738236816978</v>
      </c>
      <c r="L23" s="15">
        <f>K23+預測IC!L23</f>
        <v>-0.11923697867429241</v>
      </c>
      <c r="M23" s="15">
        <f>L23+預測IC!M23</f>
        <v>-0.37768689503293479</v>
      </c>
      <c r="N23" s="15">
        <f>M23+預測IC!N23</f>
        <v>-0.25088688134060633</v>
      </c>
      <c r="O23" s="15">
        <f>N23+預測IC!O23</f>
        <v>-4.632250336760424E-2</v>
      </c>
      <c r="P23" s="15">
        <f>O23+預測IC!P23</f>
        <v>-3.5638998607857492E-2</v>
      </c>
      <c r="Q23" s="15">
        <f>P23+預測IC!Q23</f>
        <v>-9.5207015508377985E-2</v>
      </c>
      <c r="R23" s="15">
        <f>Q23+預測IC!R23</f>
        <v>-3.8995872195122933E-2</v>
      </c>
      <c r="S23" s="15">
        <f>R23+預測IC!S23</f>
        <v>0.13029912771812108</v>
      </c>
      <c r="T23" s="15">
        <f>S23+預測IC!T23</f>
        <v>0.13067249692659982</v>
      </c>
      <c r="U23" s="15">
        <f>T23+預測IC!U23</f>
        <v>0.2244299193673942</v>
      </c>
      <c r="V23" s="15">
        <f>U23+預測IC!V23</f>
        <v>0.16107290838832816</v>
      </c>
      <c r="W23" s="15">
        <f>V23+預測IC!W23</f>
        <v>0.66499223957363895</v>
      </c>
      <c r="X23" s="15">
        <f>W23+預測IC!X23</f>
        <v>0.85954870103128322</v>
      </c>
      <c r="Y23" s="15">
        <f>X23+預測IC!Y23</f>
        <v>0.86713746445996143</v>
      </c>
      <c r="Z23" s="15">
        <f>Y23+預測IC!Z23</f>
        <v>0.90016997990383674</v>
      </c>
      <c r="AA23" s="15">
        <f>Z23+預測IC!AA23</f>
        <v>0.906776271873307</v>
      </c>
      <c r="AB23" s="15">
        <f>AA23+預測IC!AB23</f>
        <v>0.84273649199652345</v>
      </c>
      <c r="AC23" s="15">
        <f>AB23+預測IC!AC23</f>
        <v>1.0114912916334362</v>
      </c>
      <c r="AD23" s="15">
        <f>AC23+預測IC!AD23</f>
        <v>1.0144865832039205</v>
      </c>
      <c r="AE23" s="15">
        <f>AD23+預測IC!AE23</f>
        <v>1.1516985719615804</v>
      </c>
      <c r="AF23" s="15">
        <f>AE23+預測IC!AF23</f>
        <v>0.82703924632136916</v>
      </c>
      <c r="AG23" s="15">
        <f>AF23+預測IC!AG23</f>
        <v>0.97293313926104119</v>
      </c>
      <c r="AH23" s="15">
        <f>AG23+預測IC!AH23</f>
        <v>0.83728421891037397</v>
      </c>
      <c r="AI23" s="15">
        <f>AH23+預測IC!AI23</f>
        <v>0.76183404917091169</v>
      </c>
      <c r="AJ23" s="15">
        <f>AI23+預測IC!AJ23</f>
        <v>0.7787965045560612</v>
      </c>
      <c r="AK23" s="15">
        <f>AJ23+預測IC!AK23</f>
        <v>0.86999572883132092</v>
      </c>
      <c r="AL23" s="15">
        <f>AK23+預測IC!AL23</f>
        <v>1.0014274420238565</v>
      </c>
      <c r="AM23" s="15">
        <f>AL23+預測IC!AM23</f>
        <v>1.0091969310287217</v>
      </c>
      <c r="AN23" s="15">
        <f>AM23+預測IC!AN23</f>
        <v>1.2515116303860223</v>
      </c>
      <c r="AO23" s="15">
        <f>AN23+預測IC!AO23</f>
        <v>1.3422941099156398</v>
      </c>
      <c r="AP23" s="15">
        <f>AO23+預測IC!AP23</f>
        <v>1.507560482249132</v>
      </c>
      <c r="AQ23" s="15">
        <f>AP23+預測IC!AQ23</f>
        <v>1.4181354899895213</v>
      </c>
      <c r="AR23" s="15">
        <f>AQ23+預測IC!AR23</f>
        <v>1.5642716543288884</v>
      </c>
      <c r="AS23" s="15">
        <f>AR23+預測IC!AS23</f>
        <v>1.5495647663315109</v>
      </c>
      <c r="AT23" s="15">
        <f>AS23+預測IC!AT23</f>
        <v>1.659070669296411</v>
      </c>
      <c r="AU23" s="15">
        <f>AT23+預測IC!AU23</f>
        <v>1.8626665604779968</v>
      </c>
      <c r="AV23" s="15">
        <f>AU23+預測IC!AV23</f>
        <v>1.7659093100778633</v>
      </c>
      <c r="AW23" s="15">
        <f>AV23+預測IC!AW23</f>
        <v>1.8179362199162661</v>
      </c>
      <c r="AX23" s="15">
        <f>AW23+預測IC!AX23</f>
        <v>1.8327489989248069</v>
      </c>
      <c r="AY23" s="15">
        <f>AX23+預測IC!AY23</f>
        <v>1.8908885990315969</v>
      </c>
      <c r="AZ23" s="15">
        <f>AY23+預測IC!AZ23</f>
        <v>1.5749040777757957</v>
      </c>
      <c r="BA23" s="15">
        <f>AZ23+預測IC!BA23</f>
        <v>1.5845508578558964</v>
      </c>
      <c r="BB23" s="15">
        <f>BA23+預測IC!BB23</f>
        <v>2.1513773839033368</v>
      </c>
      <c r="BC23" s="15">
        <f>BB23+預測IC!BC23</f>
        <v>1.8505491347302709</v>
      </c>
      <c r="BD23" s="15">
        <f>BC23+預測IC!BD23</f>
        <v>1.9453800160767212</v>
      </c>
      <c r="BE23" s="15">
        <f>BD23+預測IC!BE23</f>
        <v>2.0168107784740177</v>
      </c>
      <c r="BF23" s="15">
        <f>BE23+預測IC!BF23</f>
        <v>2.2268198913344688</v>
      </c>
      <c r="BG23" s="15">
        <f>BF23+預測IC!BG23</f>
        <v>2.3015813625312211</v>
      </c>
      <c r="BH23" s="15">
        <f>BG23+預測IC!BH23</f>
        <v>2.098097381175934</v>
      </c>
      <c r="BI23" s="15">
        <f>BH23+預測IC!BI23</f>
        <v>2.2363169364023809</v>
      </c>
      <c r="BJ23" s="15">
        <f>BI23+預測IC!BJ23</f>
        <v>2.2943371499470233</v>
      </c>
      <c r="BK23" s="15">
        <f>BJ23+預測IC!BK23</f>
        <v>2.2893272864724881</v>
      </c>
      <c r="BL23" s="15">
        <f>BK23+預測IC!BL23</f>
        <v>2.4036935766141569</v>
      </c>
      <c r="BM23" s="15">
        <f>BL23+預測IC!BM23</f>
        <v>2.3341981145897064</v>
      </c>
      <c r="BN23" s="15">
        <f>BM23+預測IC!BN23</f>
        <v>2.3075946445677289</v>
      </c>
      <c r="BO23" s="15">
        <f>BN23+預測IC!BO23</f>
        <v>2.2710697028217299</v>
      </c>
      <c r="BP23" s="15">
        <f>BO23+預測IC!BP23</f>
        <v>2.2485939814290479</v>
      </c>
      <c r="BQ23" s="15">
        <f>BP23+預測IC!BQ23</f>
        <v>2.1892375565686302</v>
      </c>
      <c r="BR23" s="15">
        <f>BQ23+預測IC!BR23</f>
        <v>2.2070818780325929</v>
      </c>
      <c r="BS23" s="15">
        <f>BR23+預測IC!BS23</f>
        <v>2.4276489724349837</v>
      </c>
      <c r="BT23" s="15">
        <f>BS23+預測IC!BT23</f>
        <v>2.4978382365996206</v>
      </c>
      <c r="BU23" s="15">
        <f>BT23+預測IC!BU23</f>
        <v>2.7035259724455667</v>
      </c>
      <c r="BV23" s="15">
        <f>BU23+預測IC!BV23</f>
        <v>2.7205449233214947</v>
      </c>
      <c r="BW23" s="15">
        <f>BV23+預測IC!BW23</f>
        <v>2.7359074383645852</v>
      </c>
      <c r="BX23" s="15">
        <f>BW23+預測IC!BX23</f>
        <v>2.6116879148199499</v>
      </c>
      <c r="BY23" s="15">
        <f>BX23+預測IC!BY23</f>
        <v>2.6516273636960803</v>
      </c>
      <c r="BZ23" s="15">
        <f>BY23+預測IC!BZ23</f>
        <v>2.6439576012642356</v>
      </c>
      <c r="CA23" s="15">
        <f>BZ23+預測IC!CA23</f>
        <v>2.5683044015176066</v>
      </c>
      <c r="CB23" s="15">
        <f>CA23+預測IC!CB23</f>
        <v>2.2521376397588568</v>
      </c>
      <c r="CC23" s="15">
        <f>CB23+預測IC!CC23</f>
        <v>2.1675930250430815</v>
      </c>
      <c r="CD23" s="15">
        <f>CC23+預測IC!CD23</f>
        <v>1.5268464475265289</v>
      </c>
      <c r="CE23" s="15">
        <f>CD23+預測IC!CE23</f>
        <v>1.4102218407300675</v>
      </c>
      <c r="CF23" s="15">
        <f>CE23+預測IC!CF23</f>
        <v>1.3940610052999858</v>
      </c>
      <c r="CG23" s="15">
        <f>CF23+預測IC!CG23</f>
        <v>1.1774237636727829</v>
      </c>
      <c r="CH23" s="15">
        <f>CG23+預測IC!CH23</f>
        <v>1.3395463379898536</v>
      </c>
      <c r="CI23" s="15">
        <f>CH23+預測IC!CI23</f>
        <v>1.4747685346413328</v>
      </c>
      <c r="CJ23" s="15">
        <f>CI23+預測IC!CJ23</f>
        <v>1.4946439021917435</v>
      </c>
      <c r="CK23" s="15">
        <f>CJ23+預測IC!CK23</f>
        <v>1.5665002927282881</v>
      </c>
      <c r="CL23" s="15">
        <f>CK23+預測IC!CL23</f>
        <v>1.4024508335493739</v>
      </c>
      <c r="CM23" s="15">
        <f>CL23+預測IC!CM23</f>
        <v>1.7891837800722834</v>
      </c>
      <c r="CN23" s="15">
        <f>CM23+預測IC!CN23</f>
        <v>1.8421889584420867</v>
      </c>
      <c r="CO23" s="15">
        <f>CN23+預測IC!CO23</f>
        <v>1.5737379815389376</v>
      </c>
      <c r="CP23" s="15">
        <f>CO23+預測IC!CP23</f>
        <v>1.2623772383761809</v>
      </c>
      <c r="CQ23" s="15">
        <f>CP23+預測IC!CQ23</f>
        <v>1.2376749682968</v>
      </c>
      <c r="CR23" s="15">
        <f>CQ23+預測IC!CR23</f>
        <v>1.0866767978228524</v>
      </c>
      <c r="CS23" s="15">
        <f>CR23+預測IC!CS23</f>
        <v>1.1556921686797577</v>
      </c>
      <c r="CT23" s="15">
        <f>CS23+預測IC!CT23</f>
        <v>1.1228419446736129</v>
      </c>
      <c r="CU23" s="15">
        <f>CT23+預測IC!CU23</f>
        <v>1.3249458296607697</v>
      </c>
      <c r="CV23" s="15">
        <f>CU23+預測IC!CV23</f>
        <v>1.1230943667738913</v>
      </c>
      <c r="CW23" s="15">
        <f>CV23+預測IC!CW23</f>
        <v>1.09890807898489</v>
      </c>
      <c r="CX23" s="15">
        <f>CW23+預測IC!CX23</f>
        <v>1.0370480858376092</v>
      </c>
      <c r="CY23" s="15">
        <f>CX23+預測IC!CY23</f>
        <v>0.75533725836358934</v>
      </c>
      <c r="CZ23" s="15">
        <f>CY23+預測IC!CZ23</f>
        <v>0.8166183588782302</v>
      </c>
      <c r="DA23" s="15">
        <f>CZ23+預測IC!DA23</f>
        <v>0.7856362226523198</v>
      </c>
      <c r="DB23" s="15">
        <f>DA23+預測IC!DB23</f>
        <v>0.80159137951931625</v>
      </c>
      <c r="DC23" s="15">
        <f>DB23+預測IC!DC23</f>
        <v>0.68240089344890209</v>
      </c>
      <c r="DD23" s="15">
        <f>DC23+預測IC!DD23</f>
        <v>0.77519956812605517</v>
      </c>
      <c r="DE23" s="15">
        <f>DD23+預測IC!DE23</f>
        <v>0.71511362061588357</v>
      </c>
      <c r="DF23" s="15">
        <f>DE23+預測IC!DF23</f>
        <v>0.90648749442833487</v>
      </c>
      <c r="DG23" s="15">
        <f>DF23+預測IC!DG23</f>
        <v>1.0594641487233876</v>
      </c>
      <c r="DH23" s="15">
        <f>DG23+預測IC!DH23</f>
        <v>0.92023725521127919</v>
      </c>
      <c r="DI23" s="15">
        <f>DH23+預測IC!DI23</f>
        <v>1.1051499687593844</v>
      </c>
      <c r="DJ23" s="15">
        <f>DI23+預測IC!DJ23</f>
        <v>0.98511738693546569</v>
      </c>
      <c r="DK23" s="15">
        <f>DJ23+預測IC!DK23</f>
        <v>0.93736758988688673</v>
      </c>
      <c r="DL23" s="15">
        <f>DK23+預測IC!DL23</f>
        <v>0.91112493778226222</v>
      </c>
      <c r="DM23" s="15">
        <f>DL23+預測IC!DM23</f>
        <v>0.92183527208908722</v>
      </c>
      <c r="DN23" s="15">
        <f>DM23+預測IC!DN23</f>
        <v>1.1868101285730785</v>
      </c>
      <c r="DO23" s="15">
        <f>DN23+預測IC!DO23</f>
        <v>1.1021393007658964</v>
      </c>
      <c r="DP23" s="15">
        <f>DO23+預測IC!DP23</f>
        <v>1.1492275334216193</v>
      </c>
      <c r="DQ23" s="15">
        <f>DP23+預測IC!DQ23</f>
        <v>0.903281425862833</v>
      </c>
      <c r="DR23" s="15">
        <f>DQ23+預測IC!DR23</f>
        <v>0.80085563062783183</v>
      </c>
      <c r="DS23" s="15">
        <f>DR23+預測IC!DS23</f>
        <v>0.55366107918536334</v>
      </c>
      <c r="DT23" s="15">
        <f>DS23+預測IC!DT23</f>
        <v>0.53136462211560609</v>
      </c>
      <c r="DU23" s="15">
        <f>DT23+預測IC!DU23</f>
        <v>6.1229154625062066E-3</v>
      </c>
      <c r="DV23" s="15">
        <f>DU23+預測IC!DV23</f>
        <v>-0.18661848575539081</v>
      </c>
      <c r="DW23" s="15">
        <f>DV23+預測IC!DW23</f>
        <v>-4.5390253172552214E-2</v>
      </c>
      <c r="DX23" s="15">
        <f>DW23+預測IC!DX23</f>
        <v>0.12561253379590229</v>
      </c>
      <c r="DY23" s="15">
        <f>DX23+預測IC!DY23</f>
        <v>-0.14260939557622163</v>
      </c>
      <c r="DZ23" s="15">
        <f>DY23+預測IC!DZ23</f>
        <v>-1.3276380024502821E-2</v>
      </c>
      <c r="EA23" s="15">
        <f>DZ23+預測IC!EA23</f>
        <v>-4.2035159800907801E-2</v>
      </c>
      <c r="EB23" s="15">
        <f>EA23+預測IC!EB23</f>
        <v>0.20224949832301439</v>
      </c>
      <c r="EC23" s="15">
        <f>EB23+預測IC!EC23</f>
        <v>0.32545444127867906</v>
      </c>
      <c r="ED23" s="15">
        <f>EC23+預測IC!ED23</f>
        <v>0.51977771980059806</v>
      </c>
      <c r="EE23" s="15">
        <f>ED23+預測IC!EE23</f>
        <v>0.58932327789558459</v>
      </c>
      <c r="EF23" s="15">
        <f>EE23+預測IC!EF23</f>
        <v>0.49590741998189669</v>
      </c>
    </row>
    <row r="24" spans="1:136" x14ac:dyDescent="0.3">
      <c r="A24" s="1">
        <v>1</v>
      </c>
      <c r="B24" s="1" t="s">
        <v>171</v>
      </c>
      <c r="C24" s="15">
        <v>2.776696731044102E-2</v>
      </c>
      <c r="D24" s="15">
        <f>C24+預測IC!D24</f>
        <v>0.12837688020966961</v>
      </c>
      <c r="E24" s="15">
        <f>D24+預測IC!E24</f>
        <v>0.2102572148200671</v>
      </c>
      <c r="F24" s="15">
        <f>E24+預測IC!F24</f>
        <v>0.41180293369171328</v>
      </c>
      <c r="G24" s="15">
        <f>F24+預測IC!G24</f>
        <v>0.43442532225433095</v>
      </c>
      <c r="H24" s="15">
        <f>G24+預測IC!H24</f>
        <v>8.3603130923292135E-2</v>
      </c>
      <c r="I24" s="15">
        <f>H24+預測IC!I24</f>
        <v>8.5715064126435633E-2</v>
      </c>
      <c r="J24" s="15">
        <f>I24+預測IC!J24</f>
        <v>-1.4257128783700501E-2</v>
      </c>
      <c r="K24" s="15">
        <f>J24+預測IC!K24</f>
        <v>3.6187207209788207E-2</v>
      </c>
      <c r="L24" s="15">
        <f>K24+預測IC!L24</f>
        <v>-0.29757223726585841</v>
      </c>
      <c r="M24" s="15">
        <f>L24+預測IC!M24</f>
        <v>-0.4443915761653669</v>
      </c>
      <c r="N24" s="15">
        <f>M24+預測IC!N24</f>
        <v>-0.33919986536952151</v>
      </c>
      <c r="O24" s="15">
        <f>N24+預測IC!O24</f>
        <v>-0.10389067196409851</v>
      </c>
      <c r="P24" s="15">
        <f>O24+預測IC!P24</f>
        <v>-2.6154186110041278E-2</v>
      </c>
      <c r="Q24" s="15">
        <f>P24+預測IC!Q24</f>
        <v>-8.7119147756747548E-2</v>
      </c>
      <c r="R24" s="15">
        <f>Q24+預測IC!R24</f>
        <v>0.15857822302251218</v>
      </c>
      <c r="S24" s="15">
        <f>R24+預測IC!S24</f>
        <v>0.29846202258951277</v>
      </c>
      <c r="T24" s="15">
        <f>S24+預測IC!T24</f>
        <v>0.17477097849772355</v>
      </c>
      <c r="U24" s="15">
        <f>T24+預測IC!U24</f>
        <v>0.32328965272164156</v>
      </c>
      <c r="V24" s="15">
        <f>U24+預測IC!V24</f>
        <v>0.20674933600479076</v>
      </c>
      <c r="W24" s="15">
        <f>V24+預測IC!W24</f>
        <v>0.84968286461045017</v>
      </c>
      <c r="X24" s="15">
        <f>W24+預測IC!X24</f>
        <v>0.84878398814543299</v>
      </c>
      <c r="Y24" s="15">
        <f>X24+預測IC!Y24</f>
        <v>0.87818282772586564</v>
      </c>
      <c r="Z24" s="15">
        <f>Y24+預測IC!Z24</f>
        <v>0.98402515500467269</v>
      </c>
      <c r="AA24" s="15">
        <f>Z24+預測IC!AA24</f>
        <v>0.99757292324225</v>
      </c>
      <c r="AB24" s="15">
        <f>AA24+預測IC!AB24</f>
        <v>0.80223330056700615</v>
      </c>
      <c r="AC24" s="15">
        <f>AB24+預測IC!AC24</f>
        <v>1.2039806344139607</v>
      </c>
      <c r="AD24" s="15">
        <f>AC24+預測IC!AD24</f>
        <v>1.2639027812247798</v>
      </c>
      <c r="AE24" s="15">
        <f>AD24+預測IC!AE24</f>
        <v>1.4570445709365378</v>
      </c>
      <c r="AF24" s="15">
        <f>AE24+預測IC!AF24</f>
        <v>0.96165515813237601</v>
      </c>
      <c r="AG24" s="15">
        <f>AF24+預測IC!AG24</f>
        <v>1.3417105507151721</v>
      </c>
      <c r="AH24" s="15">
        <f>AG24+預測IC!AH24</f>
        <v>1.0395877941085967</v>
      </c>
      <c r="AI24" s="15">
        <f>AH24+預測IC!AI24</f>
        <v>0.88767611932519941</v>
      </c>
      <c r="AJ24" s="15">
        <f>AI24+預測IC!AJ24</f>
        <v>0.90778848469839835</v>
      </c>
      <c r="AK24" s="15">
        <f>AJ24+預測IC!AK24</f>
        <v>1.0209676484740224</v>
      </c>
      <c r="AL24" s="15">
        <f>AK24+預測IC!AL24</f>
        <v>0.96629071298338709</v>
      </c>
      <c r="AM24" s="15">
        <f>AL24+預測IC!AM24</f>
        <v>0.94737143156286041</v>
      </c>
      <c r="AN24" s="15">
        <f>AM24+預測IC!AN24</f>
        <v>1.1685608967082917</v>
      </c>
      <c r="AO24" s="15">
        <f>AN24+預測IC!AO24</f>
        <v>1.2714665992860812</v>
      </c>
      <c r="AP24" s="15">
        <f>AO24+預測IC!AP24</f>
        <v>1.4359532884440016</v>
      </c>
      <c r="AQ24" s="15">
        <f>AP24+預測IC!AQ24</f>
        <v>1.3888763156097559</v>
      </c>
      <c r="AR24" s="15">
        <f>AQ24+預測IC!AR24</f>
        <v>1.5597097217805815</v>
      </c>
      <c r="AS24" s="15">
        <f>AR24+預測IC!AS24</f>
        <v>1.5317536445139914</v>
      </c>
      <c r="AT24" s="15">
        <f>AS24+預測IC!AT24</f>
        <v>1.6825226244396723</v>
      </c>
      <c r="AU24" s="15">
        <f>AT24+預測IC!AU24</f>
        <v>1.9123636401190922</v>
      </c>
      <c r="AV24" s="15">
        <f>AU24+預測IC!AV24</f>
        <v>1.8928414256965682</v>
      </c>
      <c r="AW24" s="15">
        <f>AV24+預測IC!AW24</f>
        <v>1.887853884185529</v>
      </c>
      <c r="AX24" s="15">
        <f>AW24+預測IC!AX24</f>
        <v>1.7763625472693134</v>
      </c>
      <c r="AY24" s="15">
        <f>AX24+預測IC!AY24</f>
        <v>2.0437982919557833</v>
      </c>
      <c r="AZ24" s="15">
        <f>AY24+預測IC!AZ24</f>
        <v>1.4338987317710066</v>
      </c>
      <c r="BA24" s="15">
        <f>AZ24+預測IC!BA24</f>
        <v>1.3801039996863733</v>
      </c>
      <c r="BB24" s="15">
        <f>BA24+預測IC!BB24</f>
        <v>2.0708805310670453</v>
      </c>
      <c r="BC24" s="15">
        <f>BB24+預測IC!BC24</f>
        <v>1.2676645180226678</v>
      </c>
      <c r="BD24" s="15">
        <f>BC24+預測IC!BD24</f>
        <v>1.453259737269103</v>
      </c>
      <c r="BE24" s="15">
        <f>BD24+預測IC!BE24</f>
        <v>1.4993240913007899</v>
      </c>
      <c r="BF24" s="15">
        <f>BE24+預測IC!BF24</f>
        <v>1.4349536703513264</v>
      </c>
      <c r="BG24" s="15">
        <f>BF24+預測IC!BG24</f>
        <v>1.4617896362176372</v>
      </c>
      <c r="BH24" s="15">
        <f>BG24+預測IC!BH24</f>
        <v>1.0755342993041022</v>
      </c>
      <c r="BI24" s="15">
        <f>BH24+預測IC!BI24</f>
        <v>1.0473826671559239</v>
      </c>
      <c r="BJ24" s="15">
        <f>BI24+預測IC!BJ24</f>
        <v>0.98681541283346452</v>
      </c>
      <c r="BK24" s="15">
        <f>BJ24+預測IC!BK24</f>
        <v>0.97679568588439447</v>
      </c>
      <c r="BL24" s="15">
        <f>BK24+預測IC!BL24</f>
        <v>1.0829026060355611</v>
      </c>
      <c r="BM24" s="15">
        <f>BL24+預測IC!BM24</f>
        <v>1.1676855458745494</v>
      </c>
      <c r="BN24" s="15">
        <f>BM24+預測IC!BN24</f>
        <v>1.1477953873953297</v>
      </c>
      <c r="BO24" s="15">
        <f>BN24+預測IC!BO24</f>
        <v>1.3089050784909717</v>
      </c>
      <c r="BP24" s="15">
        <f>BO24+預測IC!BP24</f>
        <v>1.3406991828208614</v>
      </c>
      <c r="BQ24" s="15">
        <f>BP24+預測IC!BQ24</f>
        <v>1.3545566492449976</v>
      </c>
      <c r="BR24" s="15">
        <f>BQ24+預測IC!BR24</f>
        <v>1.3969128725484155</v>
      </c>
      <c r="BS24" s="15">
        <f>BR24+預測IC!BS24</f>
        <v>1.5185339090780221</v>
      </c>
      <c r="BT24" s="15">
        <f>BS24+預測IC!BT24</f>
        <v>1.5743331653862787</v>
      </c>
      <c r="BU24" s="15">
        <f>BT24+預測IC!BU24</f>
        <v>1.8026597969462195</v>
      </c>
      <c r="BV24" s="15">
        <f>BU24+預測IC!BV24</f>
        <v>2.0059639487766701</v>
      </c>
      <c r="BW24" s="15">
        <f>BV24+預測IC!BW24</f>
        <v>2.1569913941990895</v>
      </c>
      <c r="BX24" s="15">
        <f>BW24+預測IC!BX24</f>
        <v>2.0989480245491743</v>
      </c>
      <c r="BY24" s="15">
        <f>BX24+預測IC!BY24</f>
        <v>1.8086111496037574</v>
      </c>
      <c r="BZ24" s="15">
        <f>BY24+預測IC!BZ24</f>
        <v>1.5497182507537604</v>
      </c>
      <c r="CA24" s="15">
        <f>BZ24+預測IC!CA24</f>
        <v>1.4344965699803456</v>
      </c>
      <c r="CB24" s="15">
        <f>CA24+預測IC!CB24</f>
        <v>0.79479843634583058</v>
      </c>
      <c r="CC24" s="15">
        <f>CB24+預測IC!CC24</f>
        <v>0.612328556458269</v>
      </c>
      <c r="CD24" s="15">
        <f>CC24+預測IC!CD24</f>
        <v>-7.9003412131113948E-2</v>
      </c>
      <c r="CE24" s="15">
        <f>CD24+預測IC!CE24</f>
        <v>-0.28912484736720234</v>
      </c>
      <c r="CF24" s="15">
        <f>CE24+預測IC!CF24</f>
        <v>-0.24516021337047078</v>
      </c>
      <c r="CG24" s="15">
        <f>CF24+預測IC!CG24</f>
        <v>-0.76512917944439285</v>
      </c>
      <c r="CH24" s="15">
        <f>CG24+預測IC!CH24</f>
        <v>-0.55215629541507449</v>
      </c>
      <c r="CI24" s="15">
        <f>CH24+預測IC!CI24</f>
        <v>-0.25855665176539061</v>
      </c>
      <c r="CJ24" s="15">
        <f>CI24+預測IC!CJ24</f>
        <v>-0.2716661371848102</v>
      </c>
      <c r="CK24" s="15">
        <f>CJ24+預測IC!CK24</f>
        <v>5.1393128143573885E-2</v>
      </c>
      <c r="CL24" s="15">
        <f>CK24+預測IC!CL24</f>
        <v>3.5709380254207362E-2</v>
      </c>
      <c r="CM24" s="15">
        <f>CL24+預測IC!CM24</f>
        <v>0.58529649021330754</v>
      </c>
      <c r="CN24" s="15">
        <f>CM24+預測IC!CN24</f>
        <v>0.69303525667052068</v>
      </c>
      <c r="CO24" s="15">
        <f>CN24+預測IC!CO24</f>
        <v>0.12062564693584565</v>
      </c>
      <c r="CP24" s="15">
        <f>CO24+預測IC!CP24</f>
        <v>-3.9718557878996447E-2</v>
      </c>
      <c r="CQ24" s="15">
        <f>CP24+預測IC!CQ24</f>
        <v>-0.19990820450649704</v>
      </c>
      <c r="CR24" s="15">
        <f>CQ24+預測IC!CR24</f>
        <v>-0.33769566055520017</v>
      </c>
      <c r="CS24" s="15">
        <f>CR24+預測IC!CS24</f>
        <v>-0.36455058307630872</v>
      </c>
      <c r="CT24" s="15">
        <f>CS24+預測IC!CT24</f>
        <v>-0.18165399578419222</v>
      </c>
      <c r="CU24" s="15">
        <f>CT24+預測IC!CU24</f>
        <v>-0.12892495097053741</v>
      </c>
      <c r="CV24" s="15">
        <f>CU24+預測IC!CV24</f>
        <v>-0.49040524632194749</v>
      </c>
      <c r="CW24" s="15">
        <f>CV24+預測IC!CW24</f>
        <v>-0.72539846159479349</v>
      </c>
      <c r="CX24" s="15">
        <f>CW24+預測IC!CX24</f>
        <v>-0.87209308726508095</v>
      </c>
      <c r="CY24" s="15">
        <f>CX24+預測IC!CY24</f>
        <v>-1.2323211340338187</v>
      </c>
      <c r="CZ24" s="15">
        <f>CY24+預測IC!CZ24</f>
        <v>-1.0702142241556585</v>
      </c>
      <c r="DA24" s="15">
        <f>CZ24+預測IC!DA24</f>
        <v>-1.0457030199929036</v>
      </c>
      <c r="DB24" s="15">
        <f>DA24+預測IC!DB24</f>
        <v>-0.85024234748024929</v>
      </c>
      <c r="DC24" s="15">
        <f>DB24+預測IC!DC24</f>
        <v>-1.0414181056507841</v>
      </c>
      <c r="DD24" s="15">
        <f>DC24+預測IC!DD24</f>
        <v>-1.2372628278332254</v>
      </c>
      <c r="DE24" s="15">
        <f>DD24+預測IC!DE24</f>
        <v>-1.1056772365376926</v>
      </c>
      <c r="DF24" s="15">
        <f>DE24+預測IC!DF24</f>
        <v>-0.91103917278176205</v>
      </c>
      <c r="DG24" s="15">
        <f>DF24+預測IC!DG24</f>
        <v>-0.66245019004853201</v>
      </c>
      <c r="DH24" s="15">
        <f>DG24+預測IC!DH24</f>
        <v>-0.92825286604104429</v>
      </c>
      <c r="DI24" s="15">
        <f>DH24+預測IC!DI24</f>
        <v>-0.50515406631270521</v>
      </c>
      <c r="DJ24" s="15">
        <f>DI24+預測IC!DJ24</f>
        <v>-0.73452394084379458</v>
      </c>
      <c r="DK24" s="15">
        <f>DJ24+預測IC!DK24</f>
        <v>-0.90054566919804457</v>
      </c>
      <c r="DL24" s="15">
        <f>DK24+預測IC!DL24</f>
        <v>-0.96190618241346149</v>
      </c>
      <c r="DM24" s="15">
        <f>DL24+預測IC!DM24</f>
        <v>-0.85359008728727648</v>
      </c>
      <c r="DN24" s="15">
        <f>DM24+預測IC!DN24</f>
        <v>-0.33674214828974425</v>
      </c>
      <c r="DO24" s="15">
        <f>DN24+預測IC!DO24</f>
        <v>-0.41985643787974997</v>
      </c>
      <c r="DP24" s="15">
        <f>DO24+預測IC!DP24</f>
        <v>-0.3054830123937361</v>
      </c>
      <c r="DQ24" s="15">
        <f>DP24+預測IC!DQ24</f>
        <v>-0.66455431449038449</v>
      </c>
      <c r="DR24" s="15">
        <f>DQ24+預測IC!DR24</f>
        <v>-0.68794604576391349</v>
      </c>
      <c r="DS24" s="15">
        <f>DR24+預測IC!DS24</f>
        <v>-0.8319530206027278</v>
      </c>
      <c r="DT24" s="15">
        <f>DS24+預測IC!DT24</f>
        <v>-0.86138874699159118</v>
      </c>
      <c r="DU24" s="15">
        <f>DT24+預測IC!DU24</f>
        <v>-1.63193205474755</v>
      </c>
      <c r="DV24" s="15">
        <f>DU24+預測IC!DV24</f>
        <v>-2.3823886039367714</v>
      </c>
      <c r="DW24" s="15">
        <f>DV24+預測IC!DW24</f>
        <v>-2.2735315140454411</v>
      </c>
      <c r="DX24" s="15">
        <f>DW24+預測IC!DX24</f>
        <v>-2.0997941835973619</v>
      </c>
      <c r="DY24" s="15">
        <f>DX24+預測IC!DY24</f>
        <v>-2.1318607193273134</v>
      </c>
      <c r="DZ24" s="15">
        <f>DY24+預測IC!DZ24</f>
        <v>-2.1807653835861132</v>
      </c>
      <c r="EA24" s="15">
        <f>DZ24+預測IC!EA24</f>
        <v>-2.2356855674276157</v>
      </c>
      <c r="EB24" s="15">
        <f>EA24+預測IC!EB24</f>
        <v>-1.6459876504285251</v>
      </c>
      <c r="EC24" s="15">
        <f>EB24+預測IC!EC24</f>
        <v>-1.3893362704649987</v>
      </c>
      <c r="ED24" s="15">
        <f>EC24+預測IC!ED24</f>
        <v>-1.3047961778977339</v>
      </c>
      <c r="EE24" s="15">
        <f>ED24+預測IC!EE24</f>
        <v>-1.3404601607686988</v>
      </c>
      <c r="EF24" s="15">
        <f>EE24+預測IC!EF24</f>
        <v>-1.4745472371189134</v>
      </c>
    </row>
    <row r="25" spans="1:136" s="13" customFormat="1" x14ac:dyDescent="0.3">
      <c r="A25" s="16" t="s">
        <v>147</v>
      </c>
      <c r="B25" s="16" t="s">
        <v>148</v>
      </c>
      <c r="C25" s="17">
        <v>-1.7446770539390338E-2</v>
      </c>
      <c r="D25" s="18">
        <f>C25+預測IC!D25</f>
        <v>3.2542899924252917E-3</v>
      </c>
      <c r="E25" s="18">
        <f>D25+預測IC!E25</f>
        <v>2.7236419247192001E-2</v>
      </c>
      <c r="F25" s="18">
        <f>E25+預測IC!F25</f>
        <v>2.0678840274368924E-2</v>
      </c>
      <c r="G25" s="18">
        <f>F25+預測IC!G25</f>
        <v>5.2523970074888612E-2</v>
      </c>
      <c r="H25" s="18">
        <f>G25+預測IC!H25</f>
        <v>8.6872502811879138E-2</v>
      </c>
      <c r="I25" s="18">
        <f>H25+預測IC!I25</f>
        <v>7.8617570030553904E-2</v>
      </c>
      <c r="J25" s="18">
        <f>I25+預測IC!J25</f>
        <v>9.1461094424606662E-2</v>
      </c>
      <c r="K25" s="18">
        <f>J25+預測IC!K25</f>
        <v>4.0442569797815839E-2</v>
      </c>
      <c r="L25" s="18">
        <f>K25+預測IC!L25</f>
        <v>4.1316512538852428E-2</v>
      </c>
      <c r="M25" s="18">
        <f>L25+預測IC!M25</f>
        <v>6.4706088044348353E-2</v>
      </c>
      <c r="N25" s="18">
        <f>M25+預測IC!N25</f>
        <v>7.7695060244681202E-2</v>
      </c>
      <c r="O25" s="18">
        <f>N25+預測IC!O25</f>
        <v>8.3549648970316082E-2</v>
      </c>
      <c r="P25" s="18">
        <f>O25+預測IC!P25</f>
        <v>0.11096285554210664</v>
      </c>
      <c r="Q25" s="18">
        <f>P25+預測IC!Q25</f>
        <v>0.10724991942441378</v>
      </c>
      <c r="R25" s="18">
        <f>Q25+預測IC!R25</f>
        <v>0.13132653347223711</v>
      </c>
      <c r="S25" s="18">
        <f>R25+預測IC!S25</f>
        <v>0.11913650817319715</v>
      </c>
      <c r="T25" s="18">
        <f>S25+預測IC!T25</f>
        <v>7.9386930013607554E-2</v>
      </c>
      <c r="U25" s="18">
        <f>T25+預測IC!U25</f>
        <v>6.2314801819580018E-3</v>
      </c>
      <c r="V25" s="18">
        <f>U25+預測IC!V25</f>
        <v>-5.2028749728156659E-2</v>
      </c>
      <c r="W25" s="18">
        <f>V25+預測IC!W25</f>
        <v>-5.1255952162648284E-2</v>
      </c>
      <c r="X25" s="18">
        <f>W25+預測IC!X25</f>
        <v>-6.6644310274293142E-3</v>
      </c>
      <c r="Y25" s="18">
        <f>X25+預測IC!Y25</f>
        <v>-3.4364111077642409E-2</v>
      </c>
      <c r="Z25" s="18">
        <f>Y25+預測IC!Z25</f>
        <v>-3.226910512789876E-2</v>
      </c>
      <c r="AA25" s="18">
        <f>Z25+預測IC!AA25</f>
        <v>-5.5669656120462874E-2</v>
      </c>
      <c r="AB25" s="18">
        <f>AA25+預測IC!AB25</f>
        <v>-2.3540285023140685E-2</v>
      </c>
      <c r="AC25" s="18">
        <f>AB25+預測IC!AC25</f>
        <v>1.5362988070925745E-2</v>
      </c>
      <c r="AD25" s="18">
        <f>AC25+預測IC!AD25</f>
        <v>-2.7502394100178525E-2</v>
      </c>
      <c r="AE25" s="18">
        <f>AD25+預測IC!AE25</f>
        <v>-8.8551995500263658E-3</v>
      </c>
      <c r="AF25" s="18">
        <f>AE25+預測IC!AF25</f>
        <v>6.3745687725025833E-3</v>
      </c>
      <c r="AG25" s="18">
        <f>AF25+預測IC!AG25</f>
        <v>4.2391172551395004E-2</v>
      </c>
      <c r="AH25" s="18">
        <f>AG25+預測IC!AH25</f>
        <v>5.174578393671117E-2</v>
      </c>
      <c r="AI25" s="18">
        <f>AH25+預測IC!AI25</f>
        <v>6.2494035273549312E-2</v>
      </c>
      <c r="AJ25" s="18">
        <f>AI25+預測IC!AJ25</f>
        <v>7.5851789326630281E-2</v>
      </c>
      <c r="AK25" s="18">
        <f>AJ25+預測IC!AK25</f>
        <v>7.0519041997534893E-2</v>
      </c>
      <c r="AL25" s="18">
        <f>AK25+預測IC!AL25</f>
        <v>7.1902177804796574E-2</v>
      </c>
      <c r="AM25" s="18">
        <f>AL25+預測IC!AM25</f>
        <v>9.2698106224871041E-2</v>
      </c>
      <c r="AN25" s="18">
        <f>AM25+預測IC!AN25</f>
        <v>0.12421580844526167</v>
      </c>
      <c r="AO25" s="18">
        <f>AN25+預測IC!AO25</f>
        <v>0.13045752497859112</v>
      </c>
      <c r="AP25" s="18">
        <f>AO25+預測IC!AP25</f>
        <v>0.13660278663216249</v>
      </c>
      <c r="AQ25" s="18">
        <f>AP25+預測IC!AQ25</f>
        <v>0.15354914430885899</v>
      </c>
      <c r="AR25" s="18">
        <f>AQ25+預測IC!AR25</f>
        <v>0.18823197476316722</v>
      </c>
      <c r="AS25" s="18">
        <f>AR25+預測IC!AS25</f>
        <v>0.19133056338036419</v>
      </c>
      <c r="AT25" s="18">
        <f>AS25+預測IC!AT25</f>
        <v>0.2064119105238503</v>
      </c>
      <c r="AU25" s="18">
        <f>AT25+預測IC!AU25</f>
        <v>0.18716070129398632</v>
      </c>
      <c r="AV25" s="18">
        <f>AU25+預測IC!AV25</f>
        <v>0.22587221468161775</v>
      </c>
      <c r="AW25" s="18">
        <f>AV25+預測IC!AW25</f>
        <v>0.20401526354588115</v>
      </c>
      <c r="AX25" s="18">
        <f>AW25+預測IC!AX25</f>
        <v>0.21178956425567083</v>
      </c>
      <c r="AY25" s="18">
        <f>AX25+預測IC!AY25</f>
        <v>0.25418681095099677</v>
      </c>
      <c r="AZ25" s="18">
        <f>AY25+預測IC!AZ25</f>
        <v>0.22787783608983703</v>
      </c>
      <c r="BA25" s="18">
        <f>AZ25+預測IC!BA25</f>
        <v>0.23744958539855326</v>
      </c>
      <c r="BB25" s="18">
        <f>BA25+預測IC!BB25</f>
        <v>0.21319984413227844</v>
      </c>
      <c r="BC25" s="18">
        <f>BB25+預測IC!BC25</f>
        <v>0.23336321827619427</v>
      </c>
      <c r="BD25" s="18">
        <f>BC25+預測IC!BD25</f>
        <v>0.22985821949407825</v>
      </c>
      <c r="BE25" s="18">
        <f>BD25+預測IC!BE25</f>
        <v>0.25001015459262055</v>
      </c>
      <c r="BF25" s="18">
        <f>BE25+預測IC!BF25</f>
        <v>0.25059149082339083</v>
      </c>
      <c r="BG25" s="18">
        <f>BF25+預測IC!BG25</f>
        <v>0.24537178987013822</v>
      </c>
      <c r="BH25" s="18">
        <f>BG25+預測IC!BH25</f>
        <v>0.12950002846800823</v>
      </c>
      <c r="BI25" s="18">
        <f>BH25+預測IC!BI25</f>
        <v>0.13822525416044559</v>
      </c>
      <c r="BJ25" s="18">
        <f>BI25+預測IC!BJ25</f>
        <v>0.12184799318262345</v>
      </c>
      <c r="BK25" s="18">
        <f>BJ25+預測IC!BK25</f>
        <v>0.14268836478288388</v>
      </c>
      <c r="BL25" s="18">
        <f>BK25+預測IC!BL25</f>
        <v>0.18766423688499859</v>
      </c>
      <c r="BM25" s="18">
        <f>BL25+預測IC!BM25</f>
        <v>0.21161854296686244</v>
      </c>
      <c r="BN25" s="18">
        <f>BM25+預測IC!BN25</f>
        <v>0.24185764435830504</v>
      </c>
      <c r="BO25" s="18">
        <f>BN25+預測IC!BO25</f>
        <v>0.19813175676721753</v>
      </c>
      <c r="BP25" s="18">
        <f>BO25+預測IC!BP25</f>
        <v>0.22002122633541615</v>
      </c>
      <c r="BQ25" s="18">
        <f>BP25+預測IC!BQ25</f>
        <v>0.22864865659892455</v>
      </c>
      <c r="BR25" s="18">
        <f>BQ25+預測IC!BR25</f>
        <v>0.20945570260426577</v>
      </c>
      <c r="BS25" s="18">
        <f>BR25+預測IC!BS25</f>
        <v>0.22919083249239883</v>
      </c>
      <c r="BT25" s="18">
        <f>BS25+預測IC!BT25</f>
        <v>0.27688516997609824</v>
      </c>
      <c r="BU25" s="18">
        <f>BT25+預測IC!BU25</f>
        <v>0.28833998678268163</v>
      </c>
      <c r="BV25" s="18">
        <f>BU25+預測IC!BV25</f>
        <v>0.33156860751789485</v>
      </c>
      <c r="BW25" s="18">
        <f>BV25+預測IC!BW25</f>
        <v>0.28882117708097205</v>
      </c>
      <c r="BX25" s="18">
        <f>BW25+預測IC!BX25</f>
        <v>0.27100988465317749</v>
      </c>
      <c r="BY25" s="18">
        <f>BX25+預測IC!BY25</f>
        <v>0.11985678778410189</v>
      </c>
      <c r="BZ25" s="18">
        <f>BY25+預測IC!BZ25</f>
        <v>0.24408079140367717</v>
      </c>
      <c r="CA25" s="18">
        <f>BZ25+預測IC!CA25</f>
        <v>0.23952353755914751</v>
      </c>
      <c r="CB25" s="18">
        <f>CA25+預測IC!CB25</f>
        <v>0.29973477776405871</v>
      </c>
      <c r="CC25" s="18">
        <f>CB25+預測IC!CC25</f>
        <v>0.385726811246561</v>
      </c>
      <c r="CD25" s="18">
        <f>CC25+預測IC!CD25</f>
        <v>0.37991833166419492</v>
      </c>
      <c r="CE25" s="18">
        <f>CD25+預測IC!CE25</f>
        <v>0.37387698467522684</v>
      </c>
      <c r="CF25" s="18">
        <f>CE25+預測IC!CF25</f>
        <v>0.37632930904747891</v>
      </c>
      <c r="CG25" s="18">
        <f>CF25+預測IC!CG25</f>
        <v>0.46596556098450181</v>
      </c>
      <c r="CH25" s="18">
        <f>CG25+預測IC!CH25</f>
        <v>0.53695829351125968</v>
      </c>
      <c r="CI25" s="18">
        <f>CH25+預測IC!CI25</f>
        <v>0.56412893641304307</v>
      </c>
      <c r="CJ25" s="18">
        <f>CI25+預測IC!CJ25</f>
        <v>0.61659736483837313</v>
      </c>
      <c r="CK25" s="18">
        <f>CJ25+預測IC!CK25</f>
        <v>0.64607802578142259</v>
      </c>
      <c r="CL25" s="18">
        <f>CK25+預測IC!CL25</f>
        <v>0.71290310684162383</v>
      </c>
      <c r="CM25" s="18">
        <f>CL25+預測IC!CM25</f>
        <v>0.68413087782180682</v>
      </c>
      <c r="CN25" s="18">
        <f>CM25+預測IC!CN25</f>
        <v>0.72359339372344467</v>
      </c>
      <c r="CO25" s="18">
        <f>CN25+預測IC!CO25</f>
        <v>0.69456230674608477</v>
      </c>
      <c r="CP25" s="18">
        <f>CO25+預測IC!CP25</f>
        <v>0.70854618926555268</v>
      </c>
      <c r="CQ25" s="18">
        <f>CP25+預測IC!CQ25</f>
        <v>0.67626922430621883</v>
      </c>
      <c r="CR25" s="18">
        <f>CQ25+預測IC!CR25</f>
        <v>0.6793728009191129</v>
      </c>
      <c r="CS25" s="18">
        <f>CR25+預測IC!CS25</f>
        <v>0.70496465668619601</v>
      </c>
      <c r="CT25" s="18">
        <f>CS25+預測IC!CT25</f>
        <v>0.74935654297338927</v>
      </c>
      <c r="CU25" s="18">
        <f>CT25+預測IC!CU25</f>
        <v>0.71901758442381181</v>
      </c>
      <c r="CV25" s="18">
        <f>CU25+預測IC!CV25</f>
        <v>0.7177596079692401</v>
      </c>
      <c r="CW25" s="18">
        <f>CV25+預測IC!CW25</f>
        <v>0.72009596442509805</v>
      </c>
      <c r="CX25" s="18">
        <f>CW25+預測IC!CX25</f>
        <v>0.655831819499192</v>
      </c>
      <c r="CY25" s="18">
        <f>CX25+預測IC!CY25</f>
        <v>0.66874159895818441</v>
      </c>
      <c r="CZ25" s="18">
        <f>CY25+預測IC!CZ25</f>
        <v>0.54326450428732564</v>
      </c>
      <c r="DA25" s="18">
        <f>CZ25+預測IC!DA25</f>
        <v>0.55495518722711823</v>
      </c>
      <c r="DB25" s="18">
        <f>DA25+預測IC!DB25</f>
        <v>0.56129303092785998</v>
      </c>
      <c r="DC25" s="18">
        <f>DB25+預測IC!DC25</f>
        <v>0.44398767445847448</v>
      </c>
      <c r="DD25" s="18">
        <f>DC25+預測IC!DD25</f>
        <v>0.40797680240902789</v>
      </c>
      <c r="DE25" s="18">
        <f>DD25+預測IC!DE25</f>
        <v>0.54688810648129582</v>
      </c>
      <c r="DF25" s="18">
        <f>DE25+預測IC!DF25</f>
        <v>0.49574460025519007</v>
      </c>
      <c r="DG25" s="18">
        <f>DF25+預測IC!DG25</f>
        <v>0.57247604743715907</v>
      </c>
      <c r="DH25" s="18">
        <f>DG25+預測IC!DH25</f>
        <v>0.58798482963416721</v>
      </c>
      <c r="DI25" s="18">
        <f>DH25+預測IC!DI25</f>
        <v>0.61120860330892302</v>
      </c>
      <c r="DJ25" s="18">
        <f>DI25+預測IC!DJ25</f>
        <v>0.59283572694769515</v>
      </c>
      <c r="DK25" s="18">
        <f>DJ25+預測IC!DK25</f>
        <v>0.65503474103279458</v>
      </c>
      <c r="DL25" s="18">
        <f>DK25+預測IC!DL25</f>
        <v>0.67513304551975173</v>
      </c>
      <c r="DM25" s="18">
        <f>DL25+預測IC!DM25</f>
        <v>0.68863198526781977</v>
      </c>
      <c r="DN25" s="18">
        <f>DM25+預測IC!DN25</f>
        <v>0.65837977253939894</v>
      </c>
      <c r="DO25" s="18">
        <f>DN25+預測IC!DO25</f>
        <v>0.64135693683134509</v>
      </c>
      <c r="DP25" s="18">
        <f>DO25+預測IC!DP25</f>
        <v>0.61956841355888315</v>
      </c>
      <c r="DQ25" s="18">
        <f>DP25+預測IC!DQ25</f>
        <v>0.70531403814402038</v>
      </c>
      <c r="DR25" s="18">
        <f>DQ25+預測IC!DR25</f>
        <v>0.73342078174899417</v>
      </c>
      <c r="DS25" s="18">
        <f>DR25+預測IC!DS25</f>
        <v>0.73111762194163477</v>
      </c>
      <c r="DT25" s="18">
        <f>DS25+預測IC!DT25</f>
        <v>0.78958882007312226</v>
      </c>
      <c r="DU25" s="18">
        <f>DT25+預測IC!DU25</f>
        <v>0.85724776912176992</v>
      </c>
      <c r="DV25" s="18">
        <f>DU25+預測IC!DV25</f>
        <v>0.86226853976220219</v>
      </c>
      <c r="DW25" s="18">
        <f>DV25+預測IC!DW25</f>
        <v>0.89968472343740924</v>
      </c>
      <c r="DX25" s="18">
        <f>DW25+預測IC!DX25</f>
        <v>0.98379572718345132</v>
      </c>
      <c r="DY25" s="18">
        <f>DX25+預測IC!DY25</f>
        <v>0.94696332863943844</v>
      </c>
      <c r="DZ25" s="18">
        <f>DY25+預測IC!DZ25</f>
        <v>0.95005503145637549</v>
      </c>
      <c r="EA25" s="18">
        <f>DZ25+預測IC!EA25</f>
        <v>0.94809740324208092</v>
      </c>
      <c r="EB25" s="18">
        <f>EA25+預測IC!EB25</f>
        <v>0.97455650684560069</v>
      </c>
      <c r="EC25" s="18">
        <f>EB25+預測IC!EC25</f>
        <v>0.94980396808491041</v>
      </c>
      <c r="ED25" s="18">
        <f>EC25+預測IC!ED25</f>
        <v>0.98391945906747036</v>
      </c>
      <c r="EE25" s="18">
        <f>ED25+預測IC!EE25</f>
        <v>1.0049814330565034</v>
      </c>
      <c r="EF25" s="18">
        <f>EE25+預測IC!EF25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G25"/>
  <sheetViews>
    <sheetView topLeftCell="DI17" workbookViewId="0">
      <selection activeCell="EA28" sqref="EA28"/>
    </sheetView>
  </sheetViews>
  <sheetFormatPr defaultRowHeight="15" x14ac:dyDescent="0.3"/>
  <sheetData>
    <row r="1" spans="1:137" x14ac:dyDescent="0.3">
      <c r="A1" t="s">
        <v>0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</row>
    <row r="3" spans="1:137" x14ac:dyDescent="0.3">
      <c r="B3" s="1" t="s">
        <v>136</v>
      </c>
      <c r="C3" s="9">
        <v>0.10910583</v>
      </c>
      <c r="D3" s="9">
        <v>1.457658E-2</v>
      </c>
      <c r="E3" s="9">
        <v>-3.6154400000000003E-2</v>
      </c>
      <c r="F3" s="9">
        <v>-4.7425999999999996E-3</v>
      </c>
      <c r="G3" s="9">
        <v>-5.7478E-3</v>
      </c>
      <c r="H3" s="9">
        <v>4.9378020000000002E-2</v>
      </c>
      <c r="I3" s="9">
        <v>0.18325177000000001</v>
      </c>
      <c r="J3" s="9">
        <v>0.11648631</v>
      </c>
      <c r="K3" s="9">
        <v>-3.0594900000000001E-2</v>
      </c>
      <c r="L3" s="9">
        <v>1.982805E-2</v>
      </c>
      <c r="M3" s="9">
        <v>-2.0999E-2</v>
      </c>
      <c r="N3" s="9">
        <v>0.14977942</v>
      </c>
      <c r="O3" s="9">
        <v>1.546341E-2</v>
      </c>
      <c r="P3" s="9">
        <v>-9.1792299999999993E-2</v>
      </c>
      <c r="Q3" s="9">
        <v>-7.7409000000000006E-2</v>
      </c>
      <c r="R3" s="9">
        <v>5.4776600000000002E-2</v>
      </c>
      <c r="S3" s="9">
        <v>-0.12533440000000001</v>
      </c>
      <c r="T3" s="9">
        <v>-0.1190534</v>
      </c>
      <c r="U3" s="9">
        <v>-3.7770100000000001E-2</v>
      </c>
      <c r="V3" s="9">
        <v>8.1183820000000004E-2</v>
      </c>
      <c r="W3" s="9">
        <v>8.4008970000000002E-2</v>
      </c>
      <c r="X3" s="9">
        <v>0.14701136000000001</v>
      </c>
      <c r="Y3" s="9">
        <v>-0.12536050000000001</v>
      </c>
      <c r="Z3" s="9">
        <v>0.19195355</v>
      </c>
      <c r="AA3" s="9">
        <v>-8.4370799999999996E-2</v>
      </c>
      <c r="AB3" s="9">
        <v>7.2897610000000002E-2</v>
      </c>
      <c r="AC3" s="9">
        <v>0.10260456</v>
      </c>
      <c r="AD3" s="9">
        <v>1.577017E-2</v>
      </c>
      <c r="AE3" s="9">
        <v>-0.15200720000000001</v>
      </c>
      <c r="AF3" s="9">
        <v>5.9250249999999997E-2</v>
      </c>
      <c r="AG3" s="9">
        <v>0.13005884000000001</v>
      </c>
      <c r="AH3" s="9">
        <v>0.11525639999999999</v>
      </c>
      <c r="AI3" s="9">
        <v>3.2606620000000003E-2</v>
      </c>
      <c r="AJ3" s="9">
        <v>2.7999110000000001E-2</v>
      </c>
      <c r="AK3" s="9">
        <v>0.14657042000000001</v>
      </c>
      <c r="AL3" s="9">
        <v>4.0841919999999997E-2</v>
      </c>
      <c r="AM3" s="9">
        <v>0.13137636999999999</v>
      </c>
      <c r="AN3" s="9">
        <v>0.22143296000000001</v>
      </c>
      <c r="AO3" s="9">
        <v>-2.0941000000000001E-2</v>
      </c>
      <c r="AP3" s="9">
        <v>-0.13716</v>
      </c>
      <c r="AQ3" s="9">
        <v>-2.4882899999999999E-2</v>
      </c>
      <c r="AR3" s="9">
        <v>1.551397E-2</v>
      </c>
      <c r="AS3" s="9">
        <v>3.4373040000000001E-2</v>
      </c>
      <c r="AT3" s="9">
        <v>6.3095689999999996E-2</v>
      </c>
      <c r="AU3" s="9">
        <v>4.3237699999999997E-2</v>
      </c>
      <c r="AV3" s="9">
        <v>-7.4230400000000002E-2</v>
      </c>
      <c r="AW3" s="9">
        <v>2.7994829999999998E-2</v>
      </c>
      <c r="AX3" s="9">
        <v>0.11986442</v>
      </c>
      <c r="AY3" s="9">
        <v>7.6559569999999993E-2</v>
      </c>
      <c r="AZ3" s="9">
        <v>-2.17304E-2</v>
      </c>
      <c r="BA3" s="9">
        <v>-1.2465E-3</v>
      </c>
      <c r="BB3" s="9">
        <v>0.10099582</v>
      </c>
      <c r="BC3" s="9">
        <v>2.9826930000000001E-2</v>
      </c>
      <c r="BD3" s="9">
        <v>8.6757699999999993E-3</v>
      </c>
      <c r="BE3" s="9">
        <v>6.8557209999999993E-2</v>
      </c>
      <c r="BF3" s="9">
        <v>0.15691260000000001</v>
      </c>
      <c r="BG3" s="9">
        <v>0.15920372999999999</v>
      </c>
      <c r="BH3" s="9">
        <v>6.1121670000000003E-2</v>
      </c>
      <c r="BI3" s="9">
        <v>9.6912849999999995E-2</v>
      </c>
      <c r="BJ3" s="9">
        <v>-5.4746200000000002E-2</v>
      </c>
      <c r="BK3" s="9">
        <v>-8.7493000000000001E-2</v>
      </c>
      <c r="BL3" s="9">
        <v>9.4426750000000004E-2</v>
      </c>
      <c r="BM3" s="9">
        <v>-2.2191099999999998E-2</v>
      </c>
      <c r="BN3" s="9">
        <v>1.5628610000000001E-2</v>
      </c>
      <c r="BO3" s="9">
        <v>8.1418240000000003E-2</v>
      </c>
      <c r="BP3" s="9">
        <v>-1.8508899999999998E-2</v>
      </c>
      <c r="BQ3" s="9">
        <v>6.8729570000000004E-2</v>
      </c>
      <c r="BR3" s="9">
        <v>3.1023600000000002E-3</v>
      </c>
      <c r="BS3" s="9">
        <v>7.4964420000000004E-2</v>
      </c>
      <c r="BT3" s="9">
        <v>4.520159E-2</v>
      </c>
      <c r="BU3" s="9">
        <v>2.5677330000000002E-2</v>
      </c>
      <c r="BV3" s="9">
        <v>9.1804029999999995E-2</v>
      </c>
      <c r="BW3" s="9">
        <v>-2.6353999999999999E-2</v>
      </c>
      <c r="BX3" s="9">
        <v>1.9394829999999998E-2</v>
      </c>
      <c r="BY3" s="9">
        <v>-7.6838900000000002E-2</v>
      </c>
      <c r="BZ3" s="9">
        <v>0.11330931</v>
      </c>
      <c r="CA3" s="9">
        <v>-0.1073549</v>
      </c>
      <c r="CB3" s="9">
        <v>4.0844789999999999E-2</v>
      </c>
      <c r="CC3" s="9">
        <v>-1.9801699999999998E-2</v>
      </c>
      <c r="CD3" s="9">
        <v>0.18837709</v>
      </c>
      <c r="CE3" s="9">
        <v>5.5574909999999998E-2</v>
      </c>
      <c r="CF3" s="9">
        <v>7.4872069999999999E-2</v>
      </c>
      <c r="CG3" s="9">
        <v>0.10000019</v>
      </c>
      <c r="CH3" s="9">
        <v>0.13602172000000001</v>
      </c>
      <c r="CI3" s="9">
        <v>-9.3741000000000005E-2</v>
      </c>
      <c r="CJ3" s="9">
        <v>3.9306000000000002E-3</v>
      </c>
      <c r="CK3" s="9">
        <v>5.6507780000000001E-2</v>
      </c>
      <c r="CL3" s="9">
        <v>0.26354578000000001</v>
      </c>
      <c r="CM3" s="9">
        <v>-9.5554000000000004E-3</v>
      </c>
      <c r="CN3" s="9">
        <v>-3.1511900000000002E-2</v>
      </c>
      <c r="CO3" s="9">
        <v>-2.2619E-2</v>
      </c>
      <c r="CP3" s="9">
        <v>0.13265561000000001</v>
      </c>
      <c r="CQ3" s="9">
        <v>0.13307278</v>
      </c>
      <c r="CR3" s="9">
        <v>-1.49564E-2</v>
      </c>
      <c r="CS3" s="9">
        <v>-3.3419900000000002E-2</v>
      </c>
      <c r="CT3" s="9">
        <v>1.2281210000000001E-2</v>
      </c>
      <c r="CU3" s="9">
        <v>0.11681498</v>
      </c>
      <c r="CV3" s="9">
        <v>-3.1589000000000001E-3</v>
      </c>
      <c r="CW3" s="9">
        <v>3.8217760000000003E-2</v>
      </c>
      <c r="CX3" s="9">
        <v>0.13917409</v>
      </c>
      <c r="CY3" s="9">
        <v>-2.3712299999999999E-2</v>
      </c>
      <c r="CZ3" s="9">
        <v>0.21835291000000001</v>
      </c>
      <c r="DA3" s="9">
        <v>-5.7967400000000002E-2</v>
      </c>
      <c r="DB3" s="9">
        <v>-1.4104200000000001E-2</v>
      </c>
      <c r="DC3" s="9">
        <v>0.11395608</v>
      </c>
      <c r="DD3" s="9">
        <v>7.4472259999999998E-2</v>
      </c>
      <c r="DE3" s="9">
        <v>-8.9970000000000002E-4</v>
      </c>
      <c r="DF3" s="9">
        <v>9.7707000000000002E-4</v>
      </c>
      <c r="DG3" s="9">
        <v>-7.2980100000000006E-2</v>
      </c>
      <c r="DH3" s="9">
        <v>-2.38453E-2</v>
      </c>
      <c r="DI3" s="9">
        <v>-0.1015307</v>
      </c>
      <c r="DJ3" s="9">
        <v>2.7692540000000002E-2</v>
      </c>
      <c r="DK3" s="9">
        <v>-4.9335200000000003E-2</v>
      </c>
      <c r="DL3" s="9">
        <v>-5.6994000000000003E-3</v>
      </c>
      <c r="DM3" s="9">
        <v>-3.6981800000000002E-2</v>
      </c>
      <c r="DN3" s="9">
        <v>0.10981299</v>
      </c>
      <c r="DO3" s="9">
        <v>4.2036829999999997E-2</v>
      </c>
      <c r="DP3" s="9">
        <v>8.4566669999999997E-2</v>
      </c>
      <c r="DQ3" s="9">
        <v>-0.1102798</v>
      </c>
      <c r="DR3" s="9">
        <v>9.4328709999999996E-2</v>
      </c>
      <c r="DS3" s="9">
        <v>-7.1906899999999996E-2</v>
      </c>
      <c r="DT3" s="9">
        <v>-9.62364E-2</v>
      </c>
      <c r="DU3" s="9">
        <v>2.3455500000000001E-3</v>
      </c>
      <c r="DV3" s="9">
        <v>0.13401742</v>
      </c>
      <c r="DW3" s="9">
        <v>9.4732520000000001E-2</v>
      </c>
      <c r="DX3" s="9">
        <v>-0.1037732</v>
      </c>
      <c r="DY3" s="9">
        <v>7.576215E-2</v>
      </c>
      <c r="DZ3" s="9">
        <v>-3.1829700000000002E-2</v>
      </c>
      <c r="EA3" s="9">
        <v>0.16130802</v>
      </c>
      <c r="EB3" s="9">
        <v>1.0203530000000001E-2</v>
      </c>
      <c r="EC3" s="9">
        <v>7.3988429999999994E-2</v>
      </c>
      <c r="ED3" s="9">
        <v>-0.15737689999999999</v>
      </c>
      <c r="EE3" s="9">
        <v>7.9137550000000001E-2</v>
      </c>
      <c r="EF3" s="9">
        <v>7.2528549999999997E-2</v>
      </c>
      <c r="EG3" s="10">
        <f>CORREL([1]bm補值!EG$2:EG$972,[1]下個月月報酬補值!EG$2:EG$972)</f>
        <v>0.14231065676311483</v>
      </c>
    </row>
    <row r="4" spans="1:137" x14ac:dyDescent="0.3">
      <c r="B4" s="1" t="s">
        <v>137</v>
      </c>
      <c r="C4" s="9">
        <v>-0.24758869999999999</v>
      </c>
      <c r="D4" s="9">
        <v>-0.27469329999999997</v>
      </c>
      <c r="E4" s="9">
        <v>-8.4648399999999999E-2</v>
      </c>
      <c r="F4" s="9">
        <v>2.2644629999999999E-2</v>
      </c>
      <c r="G4" s="9">
        <v>-4.9680000000000002E-2</v>
      </c>
      <c r="H4" s="9">
        <v>-0.1007596</v>
      </c>
      <c r="I4" s="9">
        <v>-1.2522699999999999E-2</v>
      </c>
      <c r="J4" s="9">
        <v>7.8736539999999994E-2</v>
      </c>
      <c r="K4" s="9">
        <v>-3.4185100000000003E-2</v>
      </c>
      <c r="L4" s="9">
        <v>8.8406789999999999E-2</v>
      </c>
      <c r="M4" s="9">
        <v>-3.0634999999999998E-3</v>
      </c>
      <c r="N4" s="9">
        <v>-0.21221799999999999</v>
      </c>
      <c r="O4" s="9">
        <v>-3.6805400000000002E-2</v>
      </c>
      <c r="P4" s="9">
        <v>7.1033120000000005E-2</v>
      </c>
      <c r="Q4" s="9">
        <v>-7.1261099999999994E-2</v>
      </c>
      <c r="R4" s="9">
        <v>2.1560449999999998E-2</v>
      </c>
      <c r="S4" s="9">
        <v>0.10111125999999999</v>
      </c>
      <c r="T4" s="9">
        <v>4.3224730000000003E-2</v>
      </c>
      <c r="U4" s="9">
        <v>1.488195E-2</v>
      </c>
      <c r="V4" s="9">
        <v>6.3260199999999999E-3</v>
      </c>
      <c r="W4" s="9">
        <v>-0.14355299999999999</v>
      </c>
      <c r="X4" s="9">
        <v>-6.4282199999999998E-2</v>
      </c>
      <c r="Y4" s="9">
        <v>-1.9034200000000001E-2</v>
      </c>
      <c r="Z4" s="9">
        <v>-2.0644599999999999E-2</v>
      </c>
      <c r="AA4" s="9">
        <v>3.3059529999999997E-2</v>
      </c>
      <c r="AB4" s="9">
        <v>-1.94182E-2</v>
      </c>
      <c r="AC4" s="9">
        <v>-6.3126799999999997E-2</v>
      </c>
      <c r="AD4" s="9">
        <v>-6.5629699999999999E-2</v>
      </c>
      <c r="AE4" s="9">
        <v>0.13799568000000001</v>
      </c>
      <c r="AF4" s="9">
        <v>-0.1005679</v>
      </c>
      <c r="AG4" s="9">
        <v>-3.7969099999999999E-2</v>
      </c>
      <c r="AH4" s="9">
        <v>-4.5839499999999998E-2</v>
      </c>
      <c r="AI4" s="9">
        <v>-5.1034099999999999E-2</v>
      </c>
      <c r="AJ4" s="9">
        <v>-3.2204E-3</v>
      </c>
      <c r="AK4" s="9">
        <v>4.8952000000000002E-4</v>
      </c>
      <c r="AL4" s="9">
        <v>-0.10644670000000001</v>
      </c>
      <c r="AM4" s="9">
        <v>-1.3724E-2</v>
      </c>
      <c r="AN4" s="9">
        <v>-0.1219647</v>
      </c>
      <c r="AO4" s="9">
        <v>-4.85897E-2</v>
      </c>
      <c r="AP4" s="9">
        <v>-1.9032000000000001E-3</v>
      </c>
      <c r="AQ4" s="9">
        <v>2.9067490000000001E-2</v>
      </c>
      <c r="AR4" s="9">
        <v>5.2635769999999998E-2</v>
      </c>
      <c r="AS4" s="9">
        <v>-1.28933E-2</v>
      </c>
      <c r="AT4" s="9">
        <v>-2.1310999999999999E-3</v>
      </c>
      <c r="AU4" s="9">
        <v>-0.15538440000000001</v>
      </c>
      <c r="AV4" s="9">
        <v>1.268178E-2</v>
      </c>
      <c r="AW4" s="9">
        <v>-1.1942299999999999E-2</v>
      </c>
      <c r="AX4" s="9">
        <v>-4.2538000000000003E-3</v>
      </c>
      <c r="AY4" s="9">
        <v>2.930087E-2</v>
      </c>
      <c r="AZ4" s="9">
        <v>-0.13412750000000001</v>
      </c>
      <c r="BA4" s="9">
        <v>-0.1371115</v>
      </c>
      <c r="BB4" s="9">
        <v>1.7546599999999999E-3</v>
      </c>
      <c r="BC4" s="9">
        <v>2.511712E-2</v>
      </c>
      <c r="BD4" s="9">
        <v>-0.1196019</v>
      </c>
      <c r="BE4" s="9">
        <v>0.13576165000000001</v>
      </c>
      <c r="BF4" s="9">
        <v>4.7091170000000002E-2</v>
      </c>
      <c r="BG4" s="9">
        <v>-2.60501E-2</v>
      </c>
      <c r="BH4" s="9">
        <v>4.3752760000000002E-2</v>
      </c>
      <c r="BI4" s="9">
        <v>-8.13918E-2</v>
      </c>
      <c r="BJ4" s="9">
        <v>-0.1006008</v>
      </c>
      <c r="BK4" s="9">
        <v>9.0490070000000006E-2</v>
      </c>
      <c r="BL4" s="9">
        <v>-3.0898499999999999E-2</v>
      </c>
      <c r="BM4" s="9">
        <v>5.8814169999999999E-2</v>
      </c>
      <c r="BN4" s="9">
        <v>8.1345630000000002E-2</v>
      </c>
      <c r="BO4" s="9">
        <v>-7.7164E-3</v>
      </c>
      <c r="BP4" s="9">
        <v>0.10673487</v>
      </c>
      <c r="BQ4" s="9">
        <v>-2.7156300000000001E-2</v>
      </c>
      <c r="BR4" s="9">
        <v>-5.4431E-2</v>
      </c>
      <c r="BS4" s="9">
        <v>-6.8229300000000007E-2</v>
      </c>
      <c r="BT4" s="9">
        <v>9.861222E-2</v>
      </c>
      <c r="BU4" s="9">
        <v>0.12839854000000001</v>
      </c>
      <c r="BV4" s="9">
        <v>-7.84025E-2</v>
      </c>
      <c r="BW4" s="9">
        <v>-0.1191337</v>
      </c>
      <c r="BX4" s="9">
        <v>-4.6890099999999997E-2</v>
      </c>
      <c r="BY4" s="9">
        <v>0.10169835000000001</v>
      </c>
      <c r="BZ4" s="9">
        <v>-2.5680100000000001E-2</v>
      </c>
      <c r="CA4" s="9">
        <v>-8.3301799999999995E-2</v>
      </c>
      <c r="CB4" s="9">
        <v>-0.15782760000000001</v>
      </c>
      <c r="CC4" s="9">
        <v>-7.1052599999999994E-2</v>
      </c>
      <c r="CD4" s="9">
        <v>-7.3875499999999997E-2</v>
      </c>
      <c r="CE4" s="9">
        <v>-0.23678650000000001</v>
      </c>
      <c r="CF4" s="9">
        <v>3.2627709999999997E-2</v>
      </c>
      <c r="CG4" s="9">
        <v>1.342309E-2</v>
      </c>
      <c r="CH4" s="9">
        <v>-2.7967000000000001E-3</v>
      </c>
      <c r="CI4" s="9">
        <v>4.7925700000000002E-2</v>
      </c>
      <c r="CJ4" s="9">
        <v>-3.2520000000000001E-3</v>
      </c>
      <c r="CK4" s="9">
        <v>-7.5708200000000003E-2</v>
      </c>
      <c r="CL4" s="9">
        <v>-4.4397300000000001E-2</v>
      </c>
      <c r="CM4" s="9">
        <v>0.17898859</v>
      </c>
      <c r="CN4" s="9">
        <v>5.7994270000000001E-2</v>
      </c>
      <c r="CO4" s="9">
        <v>-0.13939019999999999</v>
      </c>
      <c r="CP4" s="9">
        <v>6.4714670000000002E-2</v>
      </c>
      <c r="CQ4" s="9">
        <v>-0.18118790000000001</v>
      </c>
      <c r="CR4" s="9">
        <v>-8.8633500000000004E-2</v>
      </c>
      <c r="CS4" s="9">
        <v>-2.5321799999999998E-2</v>
      </c>
      <c r="CT4" s="9">
        <v>-0.1130791</v>
      </c>
      <c r="CU4" s="9">
        <v>8.0959599999999993E-3</v>
      </c>
      <c r="CV4" s="9">
        <v>-4.5200200000000003E-2</v>
      </c>
      <c r="CW4" s="9">
        <v>-5.8941199999999999E-2</v>
      </c>
      <c r="CX4" s="9">
        <v>-0.1077283</v>
      </c>
      <c r="CY4" s="9">
        <v>-9.6503500000000006E-2</v>
      </c>
      <c r="CZ4" s="9">
        <v>-0.21035429999999999</v>
      </c>
      <c r="DA4" s="9">
        <v>-0.10996110000000001</v>
      </c>
      <c r="DB4" s="9">
        <v>-0.1908205</v>
      </c>
      <c r="DC4" s="9">
        <v>-2.0727300000000001E-2</v>
      </c>
      <c r="DD4" s="9">
        <v>8.7029090000000003E-2</v>
      </c>
      <c r="DE4" s="9">
        <v>8.2024589999999994E-2</v>
      </c>
      <c r="DF4" s="9">
        <v>-0.16687669999999999</v>
      </c>
      <c r="DG4" s="9">
        <v>0.22243809</v>
      </c>
      <c r="DH4" s="9">
        <v>-0.1442978</v>
      </c>
      <c r="DI4" s="9">
        <v>-0.1196199</v>
      </c>
      <c r="DJ4" s="9">
        <v>-0.1015928</v>
      </c>
      <c r="DK4" s="9">
        <v>9.2855060000000003E-2</v>
      </c>
      <c r="DL4" s="9">
        <v>-4.2630500000000002E-2</v>
      </c>
      <c r="DM4" s="9">
        <v>8.2732070000000005E-2</v>
      </c>
      <c r="DN4" s="9">
        <v>-3.1049500000000001E-2</v>
      </c>
      <c r="DO4" s="9">
        <v>-9.8141999999999993E-2</v>
      </c>
      <c r="DP4" s="9">
        <v>-0.13058890000000001</v>
      </c>
      <c r="DQ4" s="9">
        <v>4.865572E-2</v>
      </c>
      <c r="DR4" s="9">
        <v>-3.9251899999999999E-2</v>
      </c>
      <c r="DS4" s="9">
        <v>-0.16103020000000001</v>
      </c>
      <c r="DT4" s="9">
        <v>-7.8883999999999996E-2</v>
      </c>
      <c r="DU4" s="9">
        <v>0.16407715</v>
      </c>
      <c r="DV4" s="9">
        <v>7.5052599999999997E-3</v>
      </c>
      <c r="DW4" s="9">
        <v>-0.1016452</v>
      </c>
      <c r="DX4" s="9">
        <v>-5.6040300000000001E-2</v>
      </c>
      <c r="DY4" s="9">
        <v>-0.10665669999999999</v>
      </c>
      <c r="DZ4" s="9">
        <v>-6.9186600000000001E-2</v>
      </c>
      <c r="EA4" s="9">
        <v>-0.12618869999999999</v>
      </c>
      <c r="EB4" s="9">
        <v>-6.4737100000000006E-2</v>
      </c>
      <c r="EC4" s="9">
        <v>5.1426090000000001E-2</v>
      </c>
      <c r="ED4" s="9">
        <v>3.4496730000000003E-2</v>
      </c>
      <c r="EE4" s="9">
        <v>0.1576776</v>
      </c>
      <c r="EF4" s="9">
        <v>-0.12717999999999999</v>
      </c>
      <c r="EG4" s="10">
        <f>CORREL([2]size補值!EG$2:EG$965,[2]下個月月報酬補值!EG$2:EG$965)</f>
        <v>-0.15895948868776608</v>
      </c>
    </row>
    <row r="5" spans="1:137" x14ac:dyDescent="0.3">
      <c r="B5" s="1" t="s">
        <v>138</v>
      </c>
      <c r="C5" s="9">
        <v>-5.4239999999999997E-2</v>
      </c>
      <c r="D5" s="9">
        <v>4.5377000000000001E-2</v>
      </c>
      <c r="E5" s="9">
        <v>-1.7749999999999998E-2</v>
      </c>
      <c r="F5" s="9">
        <v>-8.7690000000000004E-2</v>
      </c>
      <c r="G5" s="9">
        <v>0.102759</v>
      </c>
      <c r="H5" s="9">
        <v>2.5110000000000002E-3</v>
      </c>
      <c r="I5" s="9">
        <v>-1.83E-2</v>
      </c>
      <c r="J5" s="9">
        <v>2.2110999999999999E-2</v>
      </c>
      <c r="K5" s="9">
        <v>7.7257999999999993E-2</v>
      </c>
      <c r="L5" s="9">
        <v>9.3439999999999999E-3</v>
      </c>
      <c r="M5" s="9">
        <v>5.3601999999999997E-2</v>
      </c>
      <c r="N5" s="9">
        <v>-6.7879999999999996E-2</v>
      </c>
      <c r="O5" s="9">
        <v>6.4930000000000002E-2</v>
      </c>
      <c r="P5" s="9">
        <v>4.8809999999999999E-3</v>
      </c>
      <c r="Q5" s="9">
        <v>1.9198E-2</v>
      </c>
      <c r="R5" s="9">
        <v>-5.47E-3</v>
      </c>
      <c r="S5" s="9">
        <v>3.6551E-2</v>
      </c>
      <c r="T5" s="9">
        <v>0.12918499999999999</v>
      </c>
      <c r="U5" s="9">
        <v>1.3691999999999999E-2</v>
      </c>
      <c r="V5" s="9">
        <v>1.5295E-2</v>
      </c>
      <c r="W5" s="9">
        <v>-0.10469000000000001</v>
      </c>
      <c r="X5" s="9">
        <v>-0.29385</v>
      </c>
      <c r="Y5" s="9">
        <v>5.9212000000000001E-2</v>
      </c>
      <c r="Z5" s="9">
        <v>-0.18495</v>
      </c>
      <c r="AA5" s="9">
        <v>9.8247000000000001E-2</v>
      </c>
      <c r="AB5" s="9">
        <v>-6.6E-4</v>
      </c>
      <c r="AC5" s="9">
        <v>-0.10369</v>
      </c>
      <c r="AD5" s="9">
        <v>3.545E-3</v>
      </c>
      <c r="AE5" s="9">
        <v>0.17560100000000001</v>
      </c>
      <c r="AF5" s="9">
        <v>-0.15503</v>
      </c>
      <c r="AG5" s="9">
        <v>-2.6329999999999999E-2</v>
      </c>
      <c r="AH5" s="9">
        <v>-5.0000000000000001E-3</v>
      </c>
      <c r="AI5" s="9">
        <v>2.8067999999999999E-2</v>
      </c>
      <c r="AJ5" s="9">
        <v>-2.2380000000000001E-2</v>
      </c>
      <c r="AK5" s="9">
        <v>-4.7019999999999999E-2</v>
      </c>
      <c r="AL5" s="9">
        <v>-0.10156</v>
      </c>
      <c r="AM5" s="9">
        <v>2.3525000000000001E-2</v>
      </c>
      <c r="AN5" s="9">
        <v>5.2525000000000002E-2</v>
      </c>
      <c r="AO5" s="9">
        <v>5.8502999999999999E-2</v>
      </c>
      <c r="AP5" s="9">
        <v>3.3446999999999998E-2</v>
      </c>
      <c r="AQ5" s="9">
        <v>1.43E-2</v>
      </c>
      <c r="AR5" s="9">
        <v>3.5903999999999998E-2</v>
      </c>
      <c r="AS5" s="9">
        <v>3.9781999999999998E-2</v>
      </c>
      <c r="AT5" s="9">
        <v>0.148456</v>
      </c>
      <c r="AU5" s="9">
        <v>-4.079E-2</v>
      </c>
      <c r="AV5" s="9">
        <v>0.138959</v>
      </c>
      <c r="AW5" s="9">
        <v>5.9863E-2</v>
      </c>
      <c r="AX5" s="9">
        <v>-0.14979000000000001</v>
      </c>
      <c r="AY5" s="9">
        <v>6.1595999999999998E-2</v>
      </c>
      <c r="AZ5" s="9">
        <v>-6.1949999999999998E-2</v>
      </c>
      <c r="BA5" s="9">
        <v>-2.3900000000000002E-3</v>
      </c>
      <c r="BB5" s="9">
        <v>-0.14887</v>
      </c>
      <c r="BC5" s="9">
        <v>6.0351000000000002E-2</v>
      </c>
      <c r="BD5" s="9">
        <v>-1.469E-2</v>
      </c>
      <c r="BE5" s="9">
        <v>-0.14652000000000001</v>
      </c>
      <c r="BF5" s="9">
        <v>-0.20876</v>
      </c>
      <c r="BG5" s="9">
        <v>-0.20144000000000001</v>
      </c>
      <c r="BH5" s="9">
        <v>-0.11805</v>
      </c>
      <c r="BI5" s="9">
        <v>-7.7030000000000001E-2</v>
      </c>
      <c r="BJ5" s="9">
        <v>-3.6220000000000002E-2</v>
      </c>
      <c r="BK5" s="9">
        <v>-1.891E-2</v>
      </c>
      <c r="BL5" s="9">
        <v>-0.17126</v>
      </c>
      <c r="BM5" s="9">
        <v>0.13291700000000001</v>
      </c>
      <c r="BN5" s="9">
        <v>-3.5909999999999997E-2</v>
      </c>
      <c r="BO5" s="9">
        <v>2.1344999999999999E-2</v>
      </c>
      <c r="BP5" s="9">
        <v>4.9634999999999999E-2</v>
      </c>
      <c r="BQ5" s="9">
        <v>-1.721E-2</v>
      </c>
      <c r="BR5" s="9">
        <v>0.189827</v>
      </c>
      <c r="BS5" s="9">
        <v>-9.7610000000000002E-2</v>
      </c>
      <c r="BT5" s="9">
        <v>3.7830999999999997E-2</v>
      </c>
      <c r="BU5" s="9">
        <v>5.6008000000000002E-2</v>
      </c>
      <c r="BV5" s="9">
        <v>-0.11674</v>
      </c>
      <c r="BW5" s="9">
        <v>-0.14132</v>
      </c>
      <c r="BX5" s="9">
        <v>-3.3800000000000002E-3</v>
      </c>
      <c r="BY5" s="9">
        <v>0.13033600000000001</v>
      </c>
      <c r="BZ5" s="9">
        <v>3.1697999999999997E-2</v>
      </c>
      <c r="CA5" s="9">
        <v>4.0555000000000001E-2</v>
      </c>
      <c r="CB5" s="9">
        <v>-4.2040000000000001E-2</v>
      </c>
      <c r="CC5" s="9">
        <v>5.0014000000000003E-2</v>
      </c>
      <c r="CD5" s="9">
        <v>-6.8459999999999993E-2</v>
      </c>
      <c r="CE5" s="9">
        <v>-8.0829999999999999E-2</v>
      </c>
      <c r="CF5" s="9">
        <v>-1.9499999999999999E-3</v>
      </c>
      <c r="CG5" s="9">
        <v>-0.11821</v>
      </c>
      <c r="CH5" s="9">
        <v>-3.6720000000000003E-2</v>
      </c>
      <c r="CI5" s="9">
        <v>-8.3330000000000001E-2</v>
      </c>
      <c r="CJ5" s="9">
        <v>0.23067299999999999</v>
      </c>
      <c r="CK5" s="9">
        <v>0.13277900000000001</v>
      </c>
      <c r="CL5" s="9">
        <v>0.141287</v>
      </c>
      <c r="CM5" s="9">
        <v>-0.11269</v>
      </c>
      <c r="CN5" s="9">
        <v>0.22348899999999999</v>
      </c>
      <c r="CO5" s="9">
        <v>-0.10442</v>
      </c>
      <c r="CP5" s="9">
        <v>-1.443E-2</v>
      </c>
      <c r="CQ5" s="9">
        <v>-0.20723</v>
      </c>
      <c r="CR5" s="9">
        <v>-0.13486000000000001</v>
      </c>
      <c r="CS5" s="9">
        <v>7.3008000000000003E-2</v>
      </c>
      <c r="CT5" s="9">
        <v>-3.022E-2</v>
      </c>
      <c r="CU5" s="9">
        <v>-0.28688999999999998</v>
      </c>
      <c r="CV5" s="9">
        <v>0.23073099999999999</v>
      </c>
      <c r="CW5" s="9">
        <v>9.1076000000000004E-2</v>
      </c>
      <c r="CX5" s="9">
        <v>-0.12249</v>
      </c>
      <c r="CY5" s="9">
        <v>7.8381999999999993E-2</v>
      </c>
      <c r="CZ5" s="9">
        <v>-4.5949999999999998E-2</v>
      </c>
      <c r="DA5" s="9">
        <v>8.2669999999999993E-2</v>
      </c>
      <c r="DB5" s="9">
        <v>0.14934900000000001</v>
      </c>
      <c r="DC5" s="9">
        <v>-4.7800000000000002E-2</v>
      </c>
      <c r="DD5" s="9">
        <v>-0.16450999999999999</v>
      </c>
      <c r="DE5" s="9">
        <v>-0.11057</v>
      </c>
      <c r="DF5" s="9">
        <v>5.7417000000000003E-2</v>
      </c>
      <c r="DG5" s="9">
        <v>-0.21489</v>
      </c>
      <c r="DH5" s="9">
        <v>6.2996999999999997E-2</v>
      </c>
      <c r="DI5" s="9">
        <v>6.7721000000000003E-2</v>
      </c>
      <c r="DJ5" s="9">
        <v>0.118802</v>
      </c>
      <c r="DK5" s="9">
        <v>7.2830000000000004E-3</v>
      </c>
      <c r="DL5" s="9">
        <v>7.1320999999999996E-2</v>
      </c>
      <c r="DM5" s="9">
        <v>2.1021999999999999E-2</v>
      </c>
      <c r="DN5" s="9">
        <v>-3.04E-2</v>
      </c>
      <c r="DO5" s="9">
        <v>-9.6949999999999995E-2</v>
      </c>
      <c r="DP5" s="9">
        <v>-0.23068</v>
      </c>
      <c r="DQ5" s="9">
        <v>0.23818400000000001</v>
      </c>
      <c r="DR5" s="9">
        <v>3.5750000000000001E-3</v>
      </c>
      <c r="DS5" s="9">
        <v>0.13395599999999999</v>
      </c>
      <c r="DT5" s="9">
        <v>0.115106</v>
      </c>
      <c r="DU5" s="9">
        <v>0.10408000000000001</v>
      </c>
      <c r="DV5" s="9">
        <v>-5.4609999999999999E-2</v>
      </c>
      <c r="DW5" s="9">
        <v>-3.329E-2</v>
      </c>
      <c r="DX5" s="9">
        <v>5.5094999999999998E-2</v>
      </c>
      <c r="DY5" s="9">
        <v>6.8793999999999994E-2</v>
      </c>
      <c r="DZ5" s="9">
        <v>1.4481000000000001E-2</v>
      </c>
      <c r="EA5" s="9">
        <v>-0.29314000000000001</v>
      </c>
      <c r="EB5" s="9">
        <v>-0.14097999999999999</v>
      </c>
      <c r="EC5" s="9">
        <v>-1.221E-2</v>
      </c>
      <c r="ED5" s="9">
        <v>5.8167999999999997E-2</v>
      </c>
      <c r="EE5" s="9">
        <v>-0.1444</v>
      </c>
      <c r="EF5" s="9">
        <v>-9.7009999999999999E-2</v>
      </c>
      <c r="EG5" s="10"/>
    </row>
    <row r="6" spans="1:137" x14ac:dyDescent="0.3">
      <c r="A6" s="22" t="s">
        <v>139</v>
      </c>
      <c r="B6" s="23"/>
      <c r="C6" s="11">
        <f t="array" ref="C6">MATCH(MAX(ABS(C3:C5)), ABS(C3:C5), 0)</f>
        <v>2</v>
      </c>
      <c r="D6" s="11">
        <f t="array" ref="D6">MATCH(MAX(ABS(D3:D5)), ABS(D3:D5), 0)</f>
        <v>2</v>
      </c>
      <c r="E6" s="11">
        <f t="array" ref="E6">MATCH(MAX(ABS(E3:E5)), ABS(E3:E5), 0)</f>
        <v>2</v>
      </c>
      <c r="F6" s="11">
        <f t="array" ref="F6">MATCH(MAX(ABS(F3:F5)), ABS(F3:F5), 0)</f>
        <v>3</v>
      </c>
      <c r="G6" s="11">
        <f t="array" ref="G6">MATCH(MAX(ABS(G3:G5)), ABS(G3:G5), 0)</f>
        <v>3</v>
      </c>
      <c r="H6" s="11">
        <f t="array" ref="H6">MATCH(MAX(ABS(H3:H5)), ABS(H3:H5), 0)</f>
        <v>2</v>
      </c>
      <c r="I6" s="11">
        <f t="array" ref="I6">MATCH(MAX(ABS(I3:I5)), ABS(I3:I5), 0)</f>
        <v>1</v>
      </c>
      <c r="J6" s="11">
        <f t="array" ref="J6">MATCH(MAX(ABS(J3:J5)), ABS(J3:J5), 0)</f>
        <v>1</v>
      </c>
      <c r="K6" s="11">
        <f t="array" ref="K6">MATCH(MAX(ABS(K3:K5)), ABS(K3:K5), 0)</f>
        <v>3</v>
      </c>
      <c r="L6" s="11">
        <f t="array" ref="L6">MATCH(MAX(ABS(L3:L5)), ABS(L3:L5), 0)</f>
        <v>2</v>
      </c>
      <c r="M6" s="11">
        <f t="array" ref="M6">MATCH(MAX(ABS(M3:M5)), ABS(M3:M5), 0)</f>
        <v>3</v>
      </c>
      <c r="N6" s="11">
        <f t="array" ref="N6">MATCH(MAX(ABS(N3:N5)), ABS(N3:N5), 0)</f>
        <v>2</v>
      </c>
      <c r="O6" s="11">
        <f t="array" ref="O6">MATCH(MAX(ABS(O3:O5)), ABS(O3:O5), 0)</f>
        <v>3</v>
      </c>
      <c r="P6" s="11">
        <f t="array" ref="P6">MATCH(MAX(ABS(P3:P5)), ABS(P3:P5), 0)</f>
        <v>1</v>
      </c>
      <c r="Q6" s="11">
        <f t="array" ref="Q6">MATCH(MAX(ABS(Q3:Q5)), ABS(Q3:Q5), 0)</f>
        <v>1</v>
      </c>
      <c r="R6" s="11">
        <f t="array" ref="R6">MATCH(MAX(ABS(R3:R5)), ABS(R3:R5), 0)</f>
        <v>1</v>
      </c>
      <c r="S6" s="11">
        <f t="array" ref="S6">MATCH(MAX(ABS(S3:S5)), ABS(S3:S5), 0)</f>
        <v>1</v>
      </c>
      <c r="T6" s="11">
        <f t="array" ref="T6">MATCH(MAX(ABS(T3:T5)), ABS(T3:T5), 0)</f>
        <v>3</v>
      </c>
      <c r="U6" s="11">
        <f t="array" ref="U6">MATCH(MAX(ABS(U3:U5)), ABS(U3:U5), 0)</f>
        <v>1</v>
      </c>
      <c r="V6" s="11">
        <f t="array" ref="V6">MATCH(MAX(ABS(V3:V5)), ABS(V3:V5), 0)</f>
        <v>1</v>
      </c>
      <c r="W6" s="11">
        <f t="array" ref="W6">MATCH(MAX(ABS(W3:W5)), ABS(W3:W5), 0)</f>
        <v>2</v>
      </c>
      <c r="X6" s="11">
        <f t="array" ref="X6">MATCH(MAX(ABS(X3:X5)), ABS(X3:X5), 0)</f>
        <v>3</v>
      </c>
      <c r="Y6" s="11">
        <f t="array" ref="Y6">MATCH(MAX(ABS(Y3:Y5)), ABS(Y3:Y5), 0)</f>
        <v>1</v>
      </c>
      <c r="Z6" s="11">
        <f t="array" ref="Z6">MATCH(MAX(ABS(Z3:Z5)), ABS(Z3:Z5), 0)</f>
        <v>1</v>
      </c>
      <c r="AA6" s="11">
        <f t="array" ref="AA6">MATCH(MAX(ABS(AA3:AA5)), ABS(AA3:AA5), 0)</f>
        <v>3</v>
      </c>
      <c r="AB6" s="11">
        <f t="array" ref="AB6">MATCH(MAX(ABS(AB3:AB5)), ABS(AB3:AB5), 0)</f>
        <v>1</v>
      </c>
      <c r="AC6" s="11">
        <f t="array" ref="AC6">MATCH(MAX(ABS(AC3:AC5)), ABS(AC3:AC5), 0)</f>
        <v>3</v>
      </c>
      <c r="AD6" s="11">
        <f t="array" ref="AD6">MATCH(MAX(ABS(AD3:AD5)), ABS(AD3:AD5), 0)</f>
        <v>2</v>
      </c>
      <c r="AE6" s="11">
        <f t="array" ref="AE6">MATCH(MAX(ABS(AE3:AE5)), ABS(AE3:AE5), 0)</f>
        <v>3</v>
      </c>
      <c r="AF6" s="11">
        <f t="array" ref="AF6">MATCH(MAX(ABS(AF3:AF5)), ABS(AF3:AF5), 0)</f>
        <v>3</v>
      </c>
      <c r="AG6" s="11">
        <f t="array" ref="AG6">MATCH(MAX(ABS(AG3:AG5)), ABS(AG3:AG5), 0)</f>
        <v>1</v>
      </c>
      <c r="AH6" s="11">
        <f t="array" ref="AH6">MATCH(MAX(ABS(AH3:AH5)), ABS(AH3:AH5), 0)</f>
        <v>1</v>
      </c>
      <c r="AI6" s="11">
        <f t="array" ref="AI6">MATCH(MAX(ABS(AI3:AI5)), ABS(AI3:AI5), 0)</f>
        <v>2</v>
      </c>
      <c r="AJ6" s="11">
        <f t="array" ref="AJ6">MATCH(MAX(ABS(AJ3:AJ5)), ABS(AJ3:AJ5), 0)</f>
        <v>1</v>
      </c>
      <c r="AK6" s="11">
        <f t="array" ref="AK6">MATCH(MAX(ABS(AK3:AK5)), ABS(AK3:AK5), 0)</f>
        <v>1</v>
      </c>
      <c r="AL6" s="11">
        <f t="array" ref="AL6">MATCH(MAX(ABS(AL3:AL5)), ABS(AL3:AL5), 0)</f>
        <v>2</v>
      </c>
      <c r="AM6" s="11">
        <f t="array" ref="AM6">MATCH(MAX(ABS(AM3:AM5)), ABS(AM3:AM5), 0)</f>
        <v>1</v>
      </c>
      <c r="AN6" s="11">
        <f t="array" ref="AN6">MATCH(MAX(ABS(AN3:AN5)), ABS(AN3:AN5), 0)</f>
        <v>1</v>
      </c>
      <c r="AO6" s="11">
        <f t="array" ref="AO6">MATCH(MAX(ABS(AO3:AO5)), ABS(AO3:AO5), 0)</f>
        <v>3</v>
      </c>
      <c r="AP6" s="11">
        <f t="array" ref="AP6">MATCH(MAX(ABS(AP3:AP5)), ABS(AP3:AP5), 0)</f>
        <v>1</v>
      </c>
      <c r="AQ6" s="11">
        <f t="array" ref="AQ6">MATCH(MAX(ABS(AQ3:AQ5)), ABS(AQ3:AQ5), 0)</f>
        <v>2</v>
      </c>
      <c r="AR6" s="11">
        <f t="array" ref="AR6">MATCH(MAX(ABS(AR3:AR5)), ABS(AR3:AR5), 0)</f>
        <v>2</v>
      </c>
      <c r="AS6" s="11">
        <f t="array" ref="AS6">MATCH(MAX(ABS(AS3:AS5)), ABS(AS3:AS5), 0)</f>
        <v>3</v>
      </c>
      <c r="AT6" s="11">
        <f t="array" ref="AT6">MATCH(MAX(ABS(AT3:AT5)), ABS(AT3:AT5), 0)</f>
        <v>3</v>
      </c>
      <c r="AU6" s="11">
        <f t="array" ref="AU6">MATCH(MAX(ABS(AU3:AU5)), ABS(AU3:AU5), 0)</f>
        <v>2</v>
      </c>
      <c r="AV6" s="11">
        <f t="array" ref="AV6">MATCH(MAX(ABS(AV3:AV5)), ABS(AV3:AV5), 0)</f>
        <v>3</v>
      </c>
      <c r="AW6" s="11">
        <f t="array" ref="AW6">MATCH(MAX(ABS(AW3:AW5)), ABS(AW3:AW5), 0)</f>
        <v>3</v>
      </c>
      <c r="AX6" s="11">
        <f t="array" ref="AX6">MATCH(MAX(ABS(AX3:AX5)), ABS(AX3:AX5), 0)</f>
        <v>3</v>
      </c>
      <c r="AY6" s="11">
        <f t="array" ref="AY6">MATCH(MAX(ABS(AY3:AY5)), ABS(AY3:AY5), 0)</f>
        <v>1</v>
      </c>
      <c r="AZ6" s="11">
        <f t="array" ref="AZ6">MATCH(MAX(ABS(AZ3:AZ5)), ABS(AZ3:AZ5), 0)</f>
        <v>2</v>
      </c>
      <c r="BA6" s="11">
        <f t="array" ref="BA6">MATCH(MAX(ABS(BA3:BA5)), ABS(BA3:BA5), 0)</f>
        <v>2</v>
      </c>
      <c r="BB6" s="11">
        <f t="array" ref="BB6">MATCH(MAX(ABS(BB3:BB5)), ABS(BB3:BB5), 0)</f>
        <v>3</v>
      </c>
      <c r="BC6" s="11">
        <f t="array" ref="BC6">MATCH(MAX(ABS(BC3:BC5)), ABS(BC3:BC5), 0)</f>
        <v>3</v>
      </c>
      <c r="BD6" s="11">
        <f t="array" ref="BD6">MATCH(MAX(ABS(BD3:BD5)), ABS(BD3:BD5), 0)</f>
        <v>2</v>
      </c>
      <c r="BE6" s="11">
        <f t="array" ref="BE6">MATCH(MAX(ABS(BE3:BE5)), ABS(BE3:BE5), 0)</f>
        <v>3</v>
      </c>
      <c r="BF6" s="11">
        <f t="array" ref="BF6">MATCH(MAX(ABS(BF3:BF5)), ABS(BF3:BF5), 0)</f>
        <v>3</v>
      </c>
      <c r="BG6" s="11">
        <f t="array" ref="BG6">MATCH(MAX(ABS(BG3:BG5)), ABS(BG3:BG5), 0)</f>
        <v>3</v>
      </c>
      <c r="BH6" s="11">
        <f t="array" ref="BH6">MATCH(MAX(ABS(BH3:BH5)), ABS(BH3:BH5), 0)</f>
        <v>3</v>
      </c>
      <c r="BI6" s="11">
        <f t="array" ref="BI6">MATCH(MAX(ABS(BI3:BI5)), ABS(BI3:BI5), 0)</f>
        <v>1</v>
      </c>
      <c r="BJ6" s="11">
        <f t="array" ref="BJ6">MATCH(MAX(ABS(BJ3:BJ5)), ABS(BJ3:BJ5), 0)</f>
        <v>2</v>
      </c>
      <c r="BK6" s="11">
        <f t="array" ref="BK6">MATCH(MAX(ABS(BK3:BK5)), ABS(BK3:BK5), 0)</f>
        <v>2</v>
      </c>
      <c r="BL6" s="11">
        <f t="array" ref="BL6">MATCH(MAX(ABS(BL3:BL5)), ABS(BL3:BL5), 0)</f>
        <v>3</v>
      </c>
      <c r="BM6" s="11">
        <f t="array" ref="BM6">MATCH(MAX(ABS(BM3:BM5)), ABS(BM3:BM5), 0)</f>
        <v>3</v>
      </c>
      <c r="BN6" s="11">
        <f t="array" ref="BN6">MATCH(MAX(ABS(BN3:BN5)), ABS(BN3:BN5), 0)</f>
        <v>2</v>
      </c>
      <c r="BO6" s="11">
        <f t="array" ref="BO6">MATCH(MAX(ABS(BO3:BO5)), ABS(BO3:BO5), 0)</f>
        <v>1</v>
      </c>
      <c r="BP6" s="11">
        <f t="array" ref="BP6">MATCH(MAX(ABS(BP3:BP5)), ABS(BP3:BP5), 0)</f>
        <v>2</v>
      </c>
      <c r="BQ6" s="11">
        <f t="array" ref="BQ6">MATCH(MAX(ABS(BQ3:BQ5)), ABS(BQ3:BQ5), 0)</f>
        <v>1</v>
      </c>
      <c r="BR6" s="11">
        <f t="array" ref="BR6">MATCH(MAX(ABS(BR3:BR5)), ABS(BR3:BR5), 0)</f>
        <v>3</v>
      </c>
      <c r="BS6" s="11">
        <f t="array" ref="BS6">MATCH(MAX(ABS(BS3:BS5)), ABS(BS3:BS5), 0)</f>
        <v>3</v>
      </c>
      <c r="BT6" s="11">
        <f t="array" ref="BT6">MATCH(MAX(ABS(BT3:BT5)), ABS(BT3:BT5), 0)</f>
        <v>2</v>
      </c>
      <c r="BU6" s="11">
        <f t="array" ref="BU6">MATCH(MAX(ABS(BU3:BU5)), ABS(BU3:BU5), 0)</f>
        <v>2</v>
      </c>
      <c r="BV6" s="11">
        <f t="array" ref="BV6">MATCH(MAX(ABS(BV3:BV5)), ABS(BV3:BV5), 0)</f>
        <v>3</v>
      </c>
      <c r="BW6" s="11">
        <f t="array" ref="BW6">MATCH(MAX(ABS(BW3:BW5)), ABS(BW3:BW5), 0)</f>
        <v>3</v>
      </c>
      <c r="BX6" s="11">
        <f t="array" ref="BX6">MATCH(MAX(ABS(BX3:BX5)), ABS(BX3:BX5), 0)</f>
        <v>2</v>
      </c>
      <c r="BY6" s="11">
        <f t="array" ref="BY6">MATCH(MAX(ABS(BY3:BY5)), ABS(BY3:BY5), 0)</f>
        <v>3</v>
      </c>
      <c r="BZ6" s="11">
        <f t="array" ref="BZ6">MATCH(MAX(ABS(BZ3:BZ5)), ABS(BZ3:BZ5), 0)</f>
        <v>1</v>
      </c>
      <c r="CA6" s="11">
        <f t="array" ref="CA6">MATCH(MAX(ABS(CA3:CA5)), ABS(CA3:CA5), 0)</f>
        <v>1</v>
      </c>
      <c r="CB6" s="11">
        <f t="array" ref="CB6">MATCH(MAX(ABS(CB3:CB5)), ABS(CB3:CB5), 0)</f>
        <v>2</v>
      </c>
      <c r="CC6" s="11">
        <f t="array" ref="CC6">MATCH(MAX(ABS(CC3:CC5)), ABS(CC3:CC5), 0)</f>
        <v>2</v>
      </c>
      <c r="CD6" s="11">
        <f t="array" ref="CD6">MATCH(MAX(ABS(CD3:CD5)), ABS(CD3:CD5), 0)</f>
        <v>1</v>
      </c>
      <c r="CE6" s="11">
        <f t="array" ref="CE6">MATCH(MAX(ABS(CE3:CE5)), ABS(CE3:CE5), 0)</f>
        <v>2</v>
      </c>
      <c r="CF6" s="11">
        <f t="array" ref="CF6">MATCH(MAX(ABS(CF3:CF5)), ABS(CF3:CF5), 0)</f>
        <v>1</v>
      </c>
      <c r="CG6" s="11">
        <f t="array" ref="CG6">MATCH(MAX(ABS(CG3:CG5)), ABS(CG3:CG5), 0)</f>
        <v>3</v>
      </c>
      <c r="CH6" s="11">
        <f t="array" ref="CH6">MATCH(MAX(ABS(CH3:CH5)), ABS(CH3:CH5), 0)</f>
        <v>1</v>
      </c>
      <c r="CI6" s="11">
        <f t="array" ref="CI6">MATCH(MAX(ABS(CI3:CI5)), ABS(CI3:CI5), 0)</f>
        <v>1</v>
      </c>
      <c r="CJ6" s="11">
        <f t="array" ref="CJ6">MATCH(MAX(ABS(CJ3:CJ5)), ABS(CJ3:CJ5), 0)</f>
        <v>3</v>
      </c>
      <c r="CK6" s="11">
        <f t="array" ref="CK6">MATCH(MAX(ABS(CK3:CK5)), ABS(CK3:CK5), 0)</f>
        <v>3</v>
      </c>
      <c r="CL6" s="11">
        <f t="array" ref="CL6">MATCH(MAX(ABS(CL3:CL5)), ABS(CL3:CL5), 0)</f>
        <v>1</v>
      </c>
      <c r="CM6" s="11">
        <f t="array" ref="CM6">MATCH(MAX(ABS(CM3:CM5)), ABS(CM3:CM5), 0)</f>
        <v>2</v>
      </c>
      <c r="CN6" s="11">
        <f t="array" ref="CN6">MATCH(MAX(ABS(CN3:CN5)), ABS(CN3:CN5), 0)</f>
        <v>3</v>
      </c>
      <c r="CO6" s="11">
        <f t="array" ref="CO6">MATCH(MAX(ABS(CO3:CO5)), ABS(CO3:CO5), 0)</f>
        <v>2</v>
      </c>
      <c r="CP6" s="11">
        <f t="array" ref="CP6">MATCH(MAX(ABS(CP3:CP5)), ABS(CP3:CP5), 0)</f>
        <v>1</v>
      </c>
      <c r="CQ6" s="11">
        <f t="array" ref="CQ6">MATCH(MAX(ABS(CQ3:CQ5)), ABS(CQ3:CQ5), 0)</f>
        <v>3</v>
      </c>
      <c r="CR6" s="11">
        <f t="array" ref="CR6">MATCH(MAX(ABS(CR3:CR5)), ABS(CR3:CR5), 0)</f>
        <v>3</v>
      </c>
      <c r="CS6" s="11">
        <f t="array" ref="CS6">MATCH(MAX(ABS(CS3:CS5)), ABS(CS3:CS5), 0)</f>
        <v>3</v>
      </c>
      <c r="CT6" s="11">
        <f t="array" ref="CT6">MATCH(MAX(ABS(CT3:CT5)), ABS(CT3:CT5), 0)</f>
        <v>2</v>
      </c>
      <c r="CU6" s="11">
        <f t="array" ref="CU6">MATCH(MAX(ABS(CU3:CU5)), ABS(CU3:CU5), 0)</f>
        <v>3</v>
      </c>
      <c r="CV6" s="11">
        <f t="array" ref="CV6">MATCH(MAX(ABS(CV3:CV5)), ABS(CV3:CV5), 0)</f>
        <v>3</v>
      </c>
      <c r="CW6" s="11">
        <f t="array" ref="CW6">MATCH(MAX(ABS(CW3:CW5)), ABS(CW3:CW5), 0)</f>
        <v>3</v>
      </c>
      <c r="CX6" s="11">
        <f t="array" ref="CX6">MATCH(MAX(ABS(CX3:CX5)), ABS(CX3:CX5), 0)</f>
        <v>1</v>
      </c>
      <c r="CY6" s="11">
        <f t="array" ref="CY6">MATCH(MAX(ABS(CY3:CY5)), ABS(CY3:CY5), 0)</f>
        <v>2</v>
      </c>
      <c r="CZ6" s="11">
        <f t="array" ref="CZ6">MATCH(MAX(ABS(CZ3:CZ5)), ABS(CZ3:CZ5), 0)</f>
        <v>1</v>
      </c>
      <c r="DA6" s="11">
        <f t="array" ref="DA6">MATCH(MAX(ABS(DA3:DA5)), ABS(DA3:DA5), 0)</f>
        <v>2</v>
      </c>
      <c r="DB6" s="11">
        <f t="array" ref="DB6">MATCH(MAX(ABS(DB3:DB5)), ABS(DB3:DB5), 0)</f>
        <v>2</v>
      </c>
      <c r="DC6" s="11">
        <f t="array" ref="DC6">MATCH(MAX(ABS(DC3:DC5)), ABS(DC3:DC5), 0)</f>
        <v>1</v>
      </c>
      <c r="DD6" s="11">
        <f t="array" ref="DD6">MATCH(MAX(ABS(DD3:DD5)), ABS(DD3:DD5), 0)</f>
        <v>3</v>
      </c>
      <c r="DE6" s="11">
        <f t="array" ref="DE6">MATCH(MAX(ABS(DE3:DE5)), ABS(DE3:DE5), 0)</f>
        <v>3</v>
      </c>
      <c r="DF6" s="11">
        <f t="array" ref="DF6">MATCH(MAX(ABS(DF3:DF5)), ABS(DF3:DF5), 0)</f>
        <v>2</v>
      </c>
      <c r="DG6" s="11">
        <f t="array" ref="DG6">MATCH(MAX(ABS(DG3:DG5)), ABS(DG3:DG5), 0)</f>
        <v>2</v>
      </c>
      <c r="DH6" s="11">
        <f t="array" ref="DH6">MATCH(MAX(ABS(DH3:DH5)), ABS(DH3:DH5), 0)</f>
        <v>2</v>
      </c>
      <c r="DI6" s="11">
        <f t="array" ref="DI6">MATCH(MAX(ABS(DI3:DI5)), ABS(DI3:DI5), 0)</f>
        <v>2</v>
      </c>
      <c r="DJ6" s="11">
        <f t="array" ref="DJ6">MATCH(MAX(ABS(DJ3:DJ5)), ABS(DJ3:DJ5), 0)</f>
        <v>3</v>
      </c>
      <c r="DK6" s="11">
        <f t="array" ref="DK6">MATCH(MAX(ABS(DK3:DK5)), ABS(DK3:DK5), 0)</f>
        <v>2</v>
      </c>
      <c r="DL6" s="11">
        <f t="array" ref="DL6">MATCH(MAX(ABS(DL3:DL5)), ABS(DL3:DL5), 0)</f>
        <v>3</v>
      </c>
      <c r="DM6" s="11">
        <f t="array" ref="DM6">MATCH(MAX(ABS(DM3:DM5)), ABS(DM3:DM5), 0)</f>
        <v>2</v>
      </c>
      <c r="DN6" s="11">
        <f t="array" ref="DN6">MATCH(MAX(ABS(DN3:DN5)), ABS(DN3:DN5), 0)</f>
        <v>1</v>
      </c>
      <c r="DO6" s="11">
        <f t="array" ref="DO6">MATCH(MAX(ABS(DO3:DO5)), ABS(DO3:DO5), 0)</f>
        <v>2</v>
      </c>
      <c r="DP6" s="11">
        <f t="array" ref="DP6">MATCH(MAX(ABS(DP3:DP5)), ABS(DP3:DP5), 0)</f>
        <v>3</v>
      </c>
      <c r="DQ6" s="11">
        <f t="array" ref="DQ6">MATCH(MAX(ABS(DQ3:DQ5)), ABS(DQ3:DQ5), 0)</f>
        <v>3</v>
      </c>
      <c r="DR6" s="11">
        <f t="array" ref="DR6">MATCH(MAX(ABS(DR3:DR5)), ABS(DR3:DR5), 0)</f>
        <v>1</v>
      </c>
      <c r="DS6" s="11">
        <f t="array" ref="DS6">MATCH(MAX(ABS(DS3:DS5)), ABS(DS3:DS5), 0)</f>
        <v>2</v>
      </c>
      <c r="DT6" s="11">
        <f t="array" ref="DT6">MATCH(MAX(ABS(DT3:DT5)), ABS(DT3:DT5), 0)</f>
        <v>3</v>
      </c>
      <c r="DU6" s="11">
        <f t="array" ref="DU6">MATCH(MAX(ABS(DU3:DU5)), ABS(DU3:DU5), 0)</f>
        <v>2</v>
      </c>
      <c r="DV6" s="11">
        <f t="array" ref="DV6">MATCH(MAX(ABS(DV3:DV5)), ABS(DV3:DV5), 0)</f>
        <v>1</v>
      </c>
      <c r="DW6" s="11">
        <f t="array" ref="DW6">MATCH(MAX(ABS(DW3:DW5)), ABS(DW3:DW5), 0)</f>
        <v>2</v>
      </c>
      <c r="DX6" s="11">
        <f t="array" ref="DX6">MATCH(MAX(ABS(DX3:DX5)), ABS(DX3:DX5), 0)</f>
        <v>1</v>
      </c>
      <c r="DY6" s="11">
        <f t="array" ref="DY6">MATCH(MAX(ABS(DY3:DY5)), ABS(DY3:DY5), 0)</f>
        <v>2</v>
      </c>
      <c r="DZ6" s="11">
        <f t="array" ref="DZ6">MATCH(MAX(ABS(DZ3:DZ5)), ABS(DZ3:DZ5), 0)</f>
        <v>2</v>
      </c>
      <c r="EA6" s="11">
        <f t="array" ref="EA6">MATCH(MAX(ABS(EA3:EA5)), ABS(EA3:EA5), 0)</f>
        <v>3</v>
      </c>
      <c r="EB6" s="11">
        <f t="array" ref="EB6">MATCH(MAX(ABS(EB3:EB5)), ABS(EB3:EB5), 0)</f>
        <v>3</v>
      </c>
      <c r="EC6" s="11">
        <f t="array" ref="EC6">MATCH(MAX(ABS(EC3:EC5)), ABS(EC3:EC5), 0)</f>
        <v>1</v>
      </c>
      <c r="ED6" s="11">
        <f t="array" ref="ED6">MATCH(MAX(ABS(ED3:ED5)), ABS(ED3:ED5), 0)</f>
        <v>1</v>
      </c>
      <c r="EE6" s="11">
        <f t="array" ref="EE6">MATCH(MAX(ABS(EE3:EE5)), ABS(EE3:EE5), 0)</f>
        <v>2</v>
      </c>
      <c r="EF6" s="11">
        <f t="array" ref="EF6">MATCH(MAX(ABS(EF3:EF5)), ABS(EF3:EF5), 0)</f>
        <v>2</v>
      </c>
      <c r="EG6" s="11">
        <f t="array" ref="EG6">MATCH(MAX(ABS(EG3:EG5)), ABS(EG3:EG5), 0)</f>
        <v>2</v>
      </c>
    </row>
    <row r="7" spans="1:137" x14ac:dyDescent="0.3">
      <c r="C7" s="11" t="str">
        <f t="shared" ref="C7:BN7" si="0">IF(C6=1,"bm",IF(C6=2,"size",IF(C6=3,"mom")))</f>
        <v>size</v>
      </c>
      <c r="D7" s="11" t="str">
        <f t="shared" si="0"/>
        <v>size</v>
      </c>
      <c r="E7" s="11" t="str">
        <f t="shared" si="0"/>
        <v>size</v>
      </c>
      <c r="F7" s="11" t="str">
        <f t="shared" si="0"/>
        <v>mom</v>
      </c>
      <c r="G7" s="11" t="str">
        <f t="shared" si="0"/>
        <v>mom</v>
      </c>
      <c r="H7" s="11" t="str">
        <f t="shared" si="0"/>
        <v>size</v>
      </c>
      <c r="I7" s="11" t="str">
        <f t="shared" si="0"/>
        <v>bm</v>
      </c>
      <c r="J7" s="11" t="str">
        <f t="shared" si="0"/>
        <v>bm</v>
      </c>
      <c r="K7" s="11" t="str">
        <f t="shared" si="0"/>
        <v>mom</v>
      </c>
      <c r="L7" s="11" t="str">
        <f t="shared" si="0"/>
        <v>size</v>
      </c>
      <c r="M7" s="11" t="str">
        <f t="shared" si="0"/>
        <v>mom</v>
      </c>
      <c r="N7" s="11" t="str">
        <f t="shared" si="0"/>
        <v>size</v>
      </c>
      <c r="O7" s="11" t="str">
        <f t="shared" si="0"/>
        <v>mom</v>
      </c>
      <c r="P7" s="11" t="str">
        <f t="shared" si="0"/>
        <v>bm</v>
      </c>
      <c r="Q7" s="11" t="str">
        <f t="shared" si="0"/>
        <v>bm</v>
      </c>
      <c r="R7" s="11" t="str">
        <f t="shared" si="0"/>
        <v>bm</v>
      </c>
      <c r="S7" s="11" t="str">
        <f t="shared" si="0"/>
        <v>bm</v>
      </c>
      <c r="T7" s="11" t="str">
        <f t="shared" si="0"/>
        <v>mom</v>
      </c>
      <c r="U7" s="11" t="str">
        <f t="shared" si="0"/>
        <v>bm</v>
      </c>
      <c r="V7" s="11" t="str">
        <f t="shared" si="0"/>
        <v>bm</v>
      </c>
      <c r="W7" s="11" t="str">
        <f t="shared" si="0"/>
        <v>size</v>
      </c>
      <c r="X7" s="11" t="str">
        <f t="shared" si="0"/>
        <v>mom</v>
      </c>
      <c r="Y7" s="11" t="str">
        <f t="shared" si="0"/>
        <v>bm</v>
      </c>
      <c r="Z7" s="11" t="str">
        <f t="shared" si="0"/>
        <v>bm</v>
      </c>
      <c r="AA7" s="11" t="str">
        <f t="shared" si="0"/>
        <v>mom</v>
      </c>
      <c r="AB7" s="11" t="str">
        <f t="shared" si="0"/>
        <v>bm</v>
      </c>
      <c r="AC7" s="11" t="str">
        <f t="shared" si="0"/>
        <v>mom</v>
      </c>
      <c r="AD7" s="11" t="str">
        <f t="shared" si="0"/>
        <v>size</v>
      </c>
      <c r="AE7" s="11" t="str">
        <f t="shared" si="0"/>
        <v>mom</v>
      </c>
      <c r="AF7" s="11" t="str">
        <f t="shared" si="0"/>
        <v>mom</v>
      </c>
      <c r="AG7" s="11" t="str">
        <f t="shared" si="0"/>
        <v>bm</v>
      </c>
      <c r="AH7" s="11" t="str">
        <f t="shared" si="0"/>
        <v>bm</v>
      </c>
      <c r="AI7" s="11" t="str">
        <f t="shared" si="0"/>
        <v>size</v>
      </c>
      <c r="AJ7" s="11" t="str">
        <f t="shared" si="0"/>
        <v>bm</v>
      </c>
      <c r="AK7" s="11" t="str">
        <f t="shared" si="0"/>
        <v>bm</v>
      </c>
      <c r="AL7" s="11" t="str">
        <f t="shared" si="0"/>
        <v>size</v>
      </c>
      <c r="AM7" s="11" t="str">
        <f t="shared" si="0"/>
        <v>bm</v>
      </c>
      <c r="AN7" s="11" t="str">
        <f t="shared" si="0"/>
        <v>bm</v>
      </c>
      <c r="AO7" s="11" t="str">
        <f t="shared" si="0"/>
        <v>mom</v>
      </c>
      <c r="AP7" s="11" t="str">
        <f t="shared" si="0"/>
        <v>bm</v>
      </c>
      <c r="AQ7" s="11" t="str">
        <f t="shared" si="0"/>
        <v>size</v>
      </c>
      <c r="AR7" s="11" t="str">
        <f t="shared" si="0"/>
        <v>size</v>
      </c>
      <c r="AS7" s="11" t="str">
        <f t="shared" si="0"/>
        <v>mom</v>
      </c>
      <c r="AT7" s="11" t="str">
        <f t="shared" si="0"/>
        <v>mom</v>
      </c>
      <c r="AU7" s="11" t="str">
        <f t="shared" si="0"/>
        <v>size</v>
      </c>
      <c r="AV7" s="11" t="str">
        <f t="shared" si="0"/>
        <v>mom</v>
      </c>
      <c r="AW7" s="11" t="str">
        <f t="shared" si="0"/>
        <v>mom</v>
      </c>
      <c r="AX7" s="11" t="str">
        <f t="shared" si="0"/>
        <v>mom</v>
      </c>
      <c r="AY7" s="11" t="str">
        <f t="shared" si="0"/>
        <v>bm</v>
      </c>
      <c r="AZ7" s="11" t="str">
        <f t="shared" si="0"/>
        <v>size</v>
      </c>
      <c r="BA7" s="11" t="str">
        <f t="shared" si="0"/>
        <v>size</v>
      </c>
      <c r="BB7" s="11" t="str">
        <f t="shared" si="0"/>
        <v>mom</v>
      </c>
      <c r="BC7" s="11" t="str">
        <f t="shared" si="0"/>
        <v>mom</v>
      </c>
      <c r="BD7" s="11" t="str">
        <f t="shared" si="0"/>
        <v>size</v>
      </c>
      <c r="BE7" s="11" t="str">
        <f t="shared" si="0"/>
        <v>mom</v>
      </c>
      <c r="BF7" s="11" t="str">
        <f t="shared" si="0"/>
        <v>mom</v>
      </c>
      <c r="BG7" s="11" t="str">
        <f t="shared" si="0"/>
        <v>mom</v>
      </c>
      <c r="BH7" s="11" t="str">
        <f t="shared" si="0"/>
        <v>mom</v>
      </c>
      <c r="BI7" s="11" t="str">
        <f t="shared" si="0"/>
        <v>bm</v>
      </c>
      <c r="BJ7" s="11" t="str">
        <f t="shared" si="0"/>
        <v>size</v>
      </c>
      <c r="BK7" s="11" t="str">
        <f t="shared" si="0"/>
        <v>size</v>
      </c>
      <c r="BL7" s="11" t="str">
        <f t="shared" si="0"/>
        <v>mom</v>
      </c>
      <c r="BM7" s="11" t="str">
        <f t="shared" si="0"/>
        <v>mom</v>
      </c>
      <c r="BN7" s="11" t="str">
        <f t="shared" si="0"/>
        <v>size</v>
      </c>
      <c r="BO7" s="11" t="str">
        <f t="shared" ref="BO7:DZ7" si="1">IF(BO6=1,"bm",IF(BO6=2,"size",IF(BO6=3,"mom")))</f>
        <v>bm</v>
      </c>
      <c r="BP7" s="11" t="str">
        <f t="shared" si="1"/>
        <v>size</v>
      </c>
      <c r="BQ7" s="11" t="str">
        <f t="shared" si="1"/>
        <v>bm</v>
      </c>
      <c r="BR7" s="11" t="str">
        <f t="shared" si="1"/>
        <v>mom</v>
      </c>
      <c r="BS7" s="11" t="str">
        <f t="shared" si="1"/>
        <v>mom</v>
      </c>
      <c r="BT7" s="11" t="str">
        <f t="shared" si="1"/>
        <v>size</v>
      </c>
      <c r="BU7" s="11" t="str">
        <f t="shared" si="1"/>
        <v>size</v>
      </c>
      <c r="BV7" s="11" t="str">
        <f t="shared" si="1"/>
        <v>mom</v>
      </c>
      <c r="BW7" s="11" t="str">
        <f t="shared" si="1"/>
        <v>mom</v>
      </c>
      <c r="BX7" s="11" t="str">
        <f t="shared" si="1"/>
        <v>size</v>
      </c>
      <c r="BY7" s="11" t="str">
        <f t="shared" si="1"/>
        <v>mom</v>
      </c>
      <c r="BZ7" s="11" t="str">
        <f t="shared" si="1"/>
        <v>bm</v>
      </c>
      <c r="CA7" s="11" t="str">
        <f t="shared" si="1"/>
        <v>bm</v>
      </c>
      <c r="CB7" s="11" t="str">
        <f t="shared" si="1"/>
        <v>size</v>
      </c>
      <c r="CC7" s="11" t="str">
        <f t="shared" si="1"/>
        <v>size</v>
      </c>
      <c r="CD7" s="11" t="str">
        <f t="shared" si="1"/>
        <v>bm</v>
      </c>
      <c r="CE7" s="11" t="str">
        <f t="shared" si="1"/>
        <v>size</v>
      </c>
      <c r="CF7" s="11" t="str">
        <f t="shared" si="1"/>
        <v>bm</v>
      </c>
      <c r="CG7" s="11" t="str">
        <f t="shared" si="1"/>
        <v>mom</v>
      </c>
      <c r="CH7" s="11" t="str">
        <f t="shared" si="1"/>
        <v>bm</v>
      </c>
      <c r="CI7" s="11" t="str">
        <f t="shared" si="1"/>
        <v>bm</v>
      </c>
      <c r="CJ7" s="11" t="str">
        <f t="shared" si="1"/>
        <v>mom</v>
      </c>
      <c r="CK7" s="11" t="str">
        <f t="shared" si="1"/>
        <v>mom</v>
      </c>
      <c r="CL7" s="11" t="str">
        <f t="shared" si="1"/>
        <v>bm</v>
      </c>
      <c r="CM7" s="11" t="str">
        <f t="shared" si="1"/>
        <v>size</v>
      </c>
      <c r="CN7" s="11" t="str">
        <f t="shared" si="1"/>
        <v>mom</v>
      </c>
      <c r="CO7" s="11" t="str">
        <f t="shared" si="1"/>
        <v>size</v>
      </c>
      <c r="CP7" s="11" t="str">
        <f t="shared" si="1"/>
        <v>bm</v>
      </c>
      <c r="CQ7" s="11" t="str">
        <f t="shared" si="1"/>
        <v>mom</v>
      </c>
      <c r="CR7" s="11" t="str">
        <f t="shared" si="1"/>
        <v>mom</v>
      </c>
      <c r="CS7" s="11" t="str">
        <f t="shared" si="1"/>
        <v>mom</v>
      </c>
      <c r="CT7" s="11" t="str">
        <f t="shared" si="1"/>
        <v>size</v>
      </c>
      <c r="CU7" s="11" t="str">
        <f t="shared" si="1"/>
        <v>mom</v>
      </c>
      <c r="CV7" s="11" t="str">
        <f t="shared" si="1"/>
        <v>mom</v>
      </c>
      <c r="CW7" s="11" t="str">
        <f t="shared" si="1"/>
        <v>mom</v>
      </c>
      <c r="CX7" s="11" t="str">
        <f t="shared" si="1"/>
        <v>bm</v>
      </c>
      <c r="CY7" s="11" t="str">
        <f t="shared" si="1"/>
        <v>size</v>
      </c>
      <c r="CZ7" s="11" t="str">
        <f t="shared" si="1"/>
        <v>bm</v>
      </c>
      <c r="DA7" s="11" t="str">
        <f t="shared" si="1"/>
        <v>size</v>
      </c>
      <c r="DB7" s="11" t="str">
        <f t="shared" si="1"/>
        <v>size</v>
      </c>
      <c r="DC7" s="11" t="str">
        <f t="shared" si="1"/>
        <v>bm</v>
      </c>
      <c r="DD7" s="11" t="str">
        <f t="shared" si="1"/>
        <v>mom</v>
      </c>
      <c r="DE7" s="11" t="str">
        <f t="shared" si="1"/>
        <v>mom</v>
      </c>
      <c r="DF7" s="11" t="str">
        <f t="shared" si="1"/>
        <v>size</v>
      </c>
      <c r="DG7" s="11" t="str">
        <f t="shared" si="1"/>
        <v>size</v>
      </c>
      <c r="DH7" s="11" t="str">
        <f t="shared" si="1"/>
        <v>size</v>
      </c>
      <c r="DI7" s="11" t="str">
        <f t="shared" si="1"/>
        <v>size</v>
      </c>
      <c r="DJ7" s="11" t="str">
        <f t="shared" si="1"/>
        <v>mom</v>
      </c>
      <c r="DK7" s="11" t="str">
        <f t="shared" si="1"/>
        <v>size</v>
      </c>
      <c r="DL7" s="11" t="str">
        <f t="shared" si="1"/>
        <v>mom</v>
      </c>
      <c r="DM7" s="11" t="str">
        <f t="shared" si="1"/>
        <v>size</v>
      </c>
      <c r="DN7" s="11" t="str">
        <f t="shared" si="1"/>
        <v>bm</v>
      </c>
      <c r="DO7" s="11" t="str">
        <f t="shared" si="1"/>
        <v>size</v>
      </c>
      <c r="DP7" s="11" t="str">
        <f t="shared" si="1"/>
        <v>mom</v>
      </c>
      <c r="DQ7" s="11" t="str">
        <f t="shared" si="1"/>
        <v>mom</v>
      </c>
      <c r="DR7" s="11" t="str">
        <f t="shared" si="1"/>
        <v>bm</v>
      </c>
      <c r="DS7" s="11" t="str">
        <f t="shared" si="1"/>
        <v>size</v>
      </c>
      <c r="DT7" s="11" t="str">
        <f t="shared" si="1"/>
        <v>mom</v>
      </c>
      <c r="DU7" s="11" t="str">
        <f t="shared" si="1"/>
        <v>size</v>
      </c>
      <c r="DV7" s="11" t="str">
        <f t="shared" si="1"/>
        <v>bm</v>
      </c>
      <c r="DW7" s="11" t="str">
        <f t="shared" si="1"/>
        <v>size</v>
      </c>
      <c r="DX7" s="11" t="str">
        <f t="shared" si="1"/>
        <v>bm</v>
      </c>
      <c r="DY7" s="11" t="str">
        <f t="shared" si="1"/>
        <v>size</v>
      </c>
      <c r="DZ7" s="11" t="str">
        <f t="shared" si="1"/>
        <v>size</v>
      </c>
      <c r="EA7" s="11" t="str">
        <f t="shared" ref="EA7:EG7" si="2">IF(EA6=1,"bm",IF(EA6=2,"size",IF(EA6=3,"mom")))</f>
        <v>mom</v>
      </c>
      <c r="EB7" s="11" t="str">
        <f t="shared" si="2"/>
        <v>mom</v>
      </c>
      <c r="EC7" s="11" t="str">
        <f t="shared" si="2"/>
        <v>bm</v>
      </c>
      <c r="ED7" s="11" t="str">
        <f t="shared" si="2"/>
        <v>bm</v>
      </c>
      <c r="EE7" s="11" t="str">
        <f t="shared" si="2"/>
        <v>size</v>
      </c>
      <c r="EF7" s="11" t="str">
        <f t="shared" si="2"/>
        <v>size</v>
      </c>
      <c r="EG7" s="11" t="str">
        <f t="shared" si="2"/>
        <v>size</v>
      </c>
    </row>
    <row r="8" spans="1:137" x14ac:dyDescent="0.3">
      <c r="C8" s="11">
        <f t="shared" ref="C8:BN8" si="3">IF(C6=1,C3,IF(C6=2,C4,IF(C6=3,C5)))</f>
        <v>-0.24758869999999999</v>
      </c>
      <c r="D8" s="11">
        <f t="shared" si="3"/>
        <v>-0.27469329999999997</v>
      </c>
      <c r="E8" s="11">
        <f t="shared" si="3"/>
        <v>-8.4648399999999999E-2</v>
      </c>
      <c r="F8" s="11">
        <f t="shared" si="3"/>
        <v>-8.7690000000000004E-2</v>
      </c>
      <c r="G8" s="11">
        <f t="shared" si="3"/>
        <v>0.102759</v>
      </c>
      <c r="H8" s="11">
        <f t="shared" si="3"/>
        <v>-0.1007596</v>
      </c>
      <c r="I8" s="11">
        <f t="shared" si="3"/>
        <v>0.18325177000000001</v>
      </c>
      <c r="J8" s="11">
        <f t="shared" si="3"/>
        <v>0.11648631</v>
      </c>
      <c r="K8" s="11">
        <f t="shared" si="3"/>
        <v>7.7257999999999993E-2</v>
      </c>
      <c r="L8" s="11">
        <f t="shared" si="3"/>
        <v>8.8406789999999999E-2</v>
      </c>
      <c r="M8" s="11">
        <f t="shared" si="3"/>
        <v>5.3601999999999997E-2</v>
      </c>
      <c r="N8" s="11">
        <f t="shared" si="3"/>
        <v>-0.21221799999999999</v>
      </c>
      <c r="O8" s="11">
        <f t="shared" si="3"/>
        <v>6.4930000000000002E-2</v>
      </c>
      <c r="P8" s="11">
        <f t="shared" si="3"/>
        <v>-9.1792299999999993E-2</v>
      </c>
      <c r="Q8" s="11">
        <f t="shared" si="3"/>
        <v>-7.7409000000000006E-2</v>
      </c>
      <c r="R8" s="11">
        <f t="shared" si="3"/>
        <v>5.4776600000000002E-2</v>
      </c>
      <c r="S8" s="11">
        <f t="shared" si="3"/>
        <v>-0.12533440000000001</v>
      </c>
      <c r="T8" s="11">
        <f t="shared" si="3"/>
        <v>0.12918499999999999</v>
      </c>
      <c r="U8" s="11">
        <f t="shared" si="3"/>
        <v>-3.7770100000000001E-2</v>
      </c>
      <c r="V8" s="11">
        <f t="shared" si="3"/>
        <v>8.1183820000000004E-2</v>
      </c>
      <c r="W8" s="11">
        <f t="shared" si="3"/>
        <v>-0.14355299999999999</v>
      </c>
      <c r="X8" s="11">
        <f t="shared" si="3"/>
        <v>-0.29385</v>
      </c>
      <c r="Y8" s="11">
        <f t="shared" si="3"/>
        <v>-0.12536050000000001</v>
      </c>
      <c r="Z8" s="11">
        <f t="shared" si="3"/>
        <v>0.19195355</v>
      </c>
      <c r="AA8" s="11">
        <f t="shared" si="3"/>
        <v>9.8247000000000001E-2</v>
      </c>
      <c r="AB8" s="11">
        <f t="shared" si="3"/>
        <v>7.2897610000000002E-2</v>
      </c>
      <c r="AC8" s="11">
        <f t="shared" si="3"/>
        <v>-0.10369</v>
      </c>
      <c r="AD8" s="11">
        <f t="shared" si="3"/>
        <v>-6.5629699999999999E-2</v>
      </c>
      <c r="AE8" s="11">
        <f t="shared" si="3"/>
        <v>0.17560100000000001</v>
      </c>
      <c r="AF8" s="11">
        <f t="shared" si="3"/>
        <v>-0.15503</v>
      </c>
      <c r="AG8" s="11">
        <f t="shared" si="3"/>
        <v>0.13005884000000001</v>
      </c>
      <c r="AH8" s="11">
        <f t="shared" si="3"/>
        <v>0.11525639999999999</v>
      </c>
      <c r="AI8" s="11">
        <f t="shared" si="3"/>
        <v>-5.1034099999999999E-2</v>
      </c>
      <c r="AJ8" s="11">
        <f t="shared" si="3"/>
        <v>2.7999110000000001E-2</v>
      </c>
      <c r="AK8" s="11">
        <f t="shared" si="3"/>
        <v>0.14657042000000001</v>
      </c>
      <c r="AL8" s="11">
        <f t="shared" si="3"/>
        <v>-0.10644670000000001</v>
      </c>
      <c r="AM8" s="11">
        <f t="shared" si="3"/>
        <v>0.13137636999999999</v>
      </c>
      <c r="AN8" s="11">
        <f t="shared" si="3"/>
        <v>0.22143296000000001</v>
      </c>
      <c r="AO8" s="11">
        <f t="shared" si="3"/>
        <v>5.8502999999999999E-2</v>
      </c>
      <c r="AP8" s="11">
        <f t="shared" si="3"/>
        <v>-0.13716</v>
      </c>
      <c r="AQ8" s="11">
        <f t="shared" si="3"/>
        <v>2.9067490000000001E-2</v>
      </c>
      <c r="AR8" s="11">
        <f t="shared" si="3"/>
        <v>5.2635769999999998E-2</v>
      </c>
      <c r="AS8" s="11">
        <f t="shared" si="3"/>
        <v>3.9781999999999998E-2</v>
      </c>
      <c r="AT8" s="11">
        <f t="shared" si="3"/>
        <v>0.148456</v>
      </c>
      <c r="AU8" s="11">
        <f t="shared" si="3"/>
        <v>-0.15538440000000001</v>
      </c>
      <c r="AV8" s="11">
        <f t="shared" si="3"/>
        <v>0.138959</v>
      </c>
      <c r="AW8" s="11">
        <f t="shared" si="3"/>
        <v>5.9863E-2</v>
      </c>
      <c r="AX8" s="11">
        <f t="shared" si="3"/>
        <v>-0.14979000000000001</v>
      </c>
      <c r="AY8" s="11">
        <f t="shared" si="3"/>
        <v>7.6559569999999993E-2</v>
      </c>
      <c r="AZ8" s="11">
        <f t="shared" si="3"/>
        <v>-0.13412750000000001</v>
      </c>
      <c r="BA8" s="11">
        <f t="shared" si="3"/>
        <v>-0.1371115</v>
      </c>
      <c r="BB8" s="11">
        <f t="shared" si="3"/>
        <v>-0.14887</v>
      </c>
      <c r="BC8" s="11">
        <f t="shared" si="3"/>
        <v>6.0351000000000002E-2</v>
      </c>
      <c r="BD8" s="11">
        <f t="shared" si="3"/>
        <v>-0.1196019</v>
      </c>
      <c r="BE8" s="11">
        <f t="shared" si="3"/>
        <v>-0.14652000000000001</v>
      </c>
      <c r="BF8" s="11">
        <f t="shared" si="3"/>
        <v>-0.20876</v>
      </c>
      <c r="BG8" s="11">
        <f t="shared" si="3"/>
        <v>-0.20144000000000001</v>
      </c>
      <c r="BH8" s="11">
        <f t="shared" si="3"/>
        <v>-0.11805</v>
      </c>
      <c r="BI8" s="11">
        <f t="shared" si="3"/>
        <v>9.6912849999999995E-2</v>
      </c>
      <c r="BJ8" s="11">
        <f t="shared" si="3"/>
        <v>-0.1006008</v>
      </c>
      <c r="BK8" s="11">
        <f t="shared" si="3"/>
        <v>9.0490070000000006E-2</v>
      </c>
      <c r="BL8" s="11">
        <f t="shared" si="3"/>
        <v>-0.17126</v>
      </c>
      <c r="BM8" s="11">
        <f t="shared" si="3"/>
        <v>0.13291700000000001</v>
      </c>
      <c r="BN8" s="11">
        <f t="shared" si="3"/>
        <v>8.1345630000000002E-2</v>
      </c>
      <c r="BO8" s="11">
        <f t="shared" ref="BO8:DZ8" si="4">IF(BO6=1,BO3,IF(BO6=2,BO4,IF(BO6=3,BO5)))</f>
        <v>8.1418240000000003E-2</v>
      </c>
      <c r="BP8" s="11">
        <f t="shared" si="4"/>
        <v>0.10673487</v>
      </c>
      <c r="BQ8" s="11">
        <f t="shared" si="4"/>
        <v>6.8729570000000004E-2</v>
      </c>
      <c r="BR8" s="11">
        <f t="shared" si="4"/>
        <v>0.189827</v>
      </c>
      <c r="BS8" s="11">
        <f t="shared" si="4"/>
        <v>-9.7610000000000002E-2</v>
      </c>
      <c r="BT8" s="11">
        <f t="shared" si="4"/>
        <v>9.861222E-2</v>
      </c>
      <c r="BU8" s="11">
        <f t="shared" si="4"/>
        <v>0.12839854000000001</v>
      </c>
      <c r="BV8" s="11">
        <f t="shared" si="4"/>
        <v>-0.11674</v>
      </c>
      <c r="BW8" s="11">
        <f t="shared" si="4"/>
        <v>-0.14132</v>
      </c>
      <c r="BX8" s="11">
        <f t="shared" si="4"/>
        <v>-4.6890099999999997E-2</v>
      </c>
      <c r="BY8" s="11">
        <f t="shared" si="4"/>
        <v>0.13033600000000001</v>
      </c>
      <c r="BZ8" s="11">
        <f t="shared" si="4"/>
        <v>0.11330931</v>
      </c>
      <c r="CA8" s="11">
        <f t="shared" si="4"/>
        <v>-0.1073549</v>
      </c>
      <c r="CB8" s="11">
        <f t="shared" si="4"/>
        <v>-0.15782760000000001</v>
      </c>
      <c r="CC8" s="11">
        <f t="shared" si="4"/>
        <v>-7.1052599999999994E-2</v>
      </c>
      <c r="CD8" s="11">
        <f t="shared" si="4"/>
        <v>0.18837709</v>
      </c>
      <c r="CE8" s="11">
        <f t="shared" si="4"/>
        <v>-0.23678650000000001</v>
      </c>
      <c r="CF8" s="11">
        <f t="shared" si="4"/>
        <v>7.4872069999999999E-2</v>
      </c>
      <c r="CG8" s="11">
        <f t="shared" si="4"/>
        <v>-0.11821</v>
      </c>
      <c r="CH8" s="11">
        <f t="shared" si="4"/>
        <v>0.13602172000000001</v>
      </c>
      <c r="CI8" s="11">
        <f t="shared" si="4"/>
        <v>-9.3741000000000005E-2</v>
      </c>
      <c r="CJ8" s="11">
        <f t="shared" si="4"/>
        <v>0.23067299999999999</v>
      </c>
      <c r="CK8" s="11">
        <f t="shared" si="4"/>
        <v>0.13277900000000001</v>
      </c>
      <c r="CL8" s="11">
        <f t="shared" si="4"/>
        <v>0.26354578000000001</v>
      </c>
      <c r="CM8" s="11">
        <f t="shared" si="4"/>
        <v>0.17898859</v>
      </c>
      <c r="CN8" s="11">
        <f t="shared" si="4"/>
        <v>0.22348899999999999</v>
      </c>
      <c r="CO8" s="11">
        <f t="shared" si="4"/>
        <v>-0.13939019999999999</v>
      </c>
      <c r="CP8" s="11">
        <f t="shared" si="4"/>
        <v>0.13265561000000001</v>
      </c>
      <c r="CQ8" s="11">
        <f t="shared" si="4"/>
        <v>-0.20723</v>
      </c>
      <c r="CR8" s="11">
        <f t="shared" si="4"/>
        <v>-0.13486000000000001</v>
      </c>
      <c r="CS8" s="11">
        <f t="shared" si="4"/>
        <v>7.3008000000000003E-2</v>
      </c>
      <c r="CT8" s="11">
        <f t="shared" si="4"/>
        <v>-0.1130791</v>
      </c>
      <c r="CU8" s="11">
        <f t="shared" si="4"/>
        <v>-0.28688999999999998</v>
      </c>
      <c r="CV8" s="11">
        <f t="shared" si="4"/>
        <v>0.23073099999999999</v>
      </c>
      <c r="CW8" s="11">
        <f t="shared" si="4"/>
        <v>9.1076000000000004E-2</v>
      </c>
      <c r="CX8" s="11">
        <f t="shared" si="4"/>
        <v>0.13917409</v>
      </c>
      <c r="CY8" s="11">
        <f t="shared" si="4"/>
        <v>-9.6503500000000006E-2</v>
      </c>
      <c r="CZ8" s="11">
        <f t="shared" si="4"/>
        <v>0.21835291000000001</v>
      </c>
      <c r="DA8" s="11">
        <f t="shared" si="4"/>
        <v>-0.10996110000000001</v>
      </c>
      <c r="DB8" s="11">
        <f t="shared" si="4"/>
        <v>-0.1908205</v>
      </c>
      <c r="DC8" s="11">
        <f t="shared" si="4"/>
        <v>0.11395608</v>
      </c>
      <c r="DD8" s="11">
        <f t="shared" si="4"/>
        <v>-0.16450999999999999</v>
      </c>
      <c r="DE8" s="11">
        <f t="shared" si="4"/>
        <v>-0.11057</v>
      </c>
      <c r="DF8" s="11">
        <f t="shared" si="4"/>
        <v>-0.16687669999999999</v>
      </c>
      <c r="DG8" s="11">
        <f t="shared" si="4"/>
        <v>0.22243809</v>
      </c>
      <c r="DH8" s="11">
        <f t="shared" si="4"/>
        <v>-0.1442978</v>
      </c>
      <c r="DI8" s="11">
        <f t="shared" si="4"/>
        <v>-0.1196199</v>
      </c>
      <c r="DJ8" s="11">
        <f t="shared" si="4"/>
        <v>0.118802</v>
      </c>
      <c r="DK8" s="11">
        <f t="shared" si="4"/>
        <v>9.2855060000000003E-2</v>
      </c>
      <c r="DL8" s="11">
        <f t="shared" si="4"/>
        <v>7.1320999999999996E-2</v>
      </c>
      <c r="DM8" s="11">
        <f t="shared" si="4"/>
        <v>8.2732070000000005E-2</v>
      </c>
      <c r="DN8" s="11">
        <f t="shared" si="4"/>
        <v>0.10981299</v>
      </c>
      <c r="DO8" s="11">
        <f t="shared" si="4"/>
        <v>-9.8141999999999993E-2</v>
      </c>
      <c r="DP8" s="11">
        <f t="shared" si="4"/>
        <v>-0.23068</v>
      </c>
      <c r="DQ8" s="11">
        <f t="shared" si="4"/>
        <v>0.23818400000000001</v>
      </c>
      <c r="DR8" s="11">
        <f t="shared" si="4"/>
        <v>9.4328709999999996E-2</v>
      </c>
      <c r="DS8" s="11">
        <f t="shared" si="4"/>
        <v>-0.16103020000000001</v>
      </c>
      <c r="DT8" s="11">
        <f t="shared" si="4"/>
        <v>0.115106</v>
      </c>
      <c r="DU8" s="11">
        <f t="shared" si="4"/>
        <v>0.16407715</v>
      </c>
      <c r="DV8" s="11">
        <f t="shared" si="4"/>
        <v>0.13401742</v>
      </c>
      <c r="DW8" s="11">
        <f t="shared" si="4"/>
        <v>-0.1016452</v>
      </c>
      <c r="DX8" s="11">
        <f t="shared" si="4"/>
        <v>-0.1037732</v>
      </c>
      <c r="DY8" s="11">
        <f t="shared" si="4"/>
        <v>-0.10665669999999999</v>
      </c>
      <c r="DZ8" s="11">
        <f t="shared" si="4"/>
        <v>-6.9186600000000001E-2</v>
      </c>
      <c r="EA8" s="11">
        <f t="shared" ref="EA8:EG8" si="5">IF(EA6=1,EA3,IF(EA6=2,EA4,IF(EA6=3,EA5)))</f>
        <v>-0.29314000000000001</v>
      </c>
      <c r="EB8" s="11">
        <f t="shared" si="5"/>
        <v>-0.14097999999999999</v>
      </c>
      <c r="EC8" s="11">
        <f t="shared" si="5"/>
        <v>7.3988429999999994E-2</v>
      </c>
      <c r="ED8" s="11">
        <f t="shared" si="5"/>
        <v>-0.15737689999999999</v>
      </c>
      <c r="EE8" s="11">
        <f t="shared" si="5"/>
        <v>0.1576776</v>
      </c>
      <c r="EF8" s="11">
        <f t="shared" si="5"/>
        <v>-0.12717999999999999</v>
      </c>
      <c r="EG8" s="11">
        <f t="shared" si="5"/>
        <v>-0.15895948868776608</v>
      </c>
    </row>
    <row r="10" spans="1:137" x14ac:dyDescent="0.3">
      <c r="A10" s="22" t="s">
        <v>157</v>
      </c>
      <c r="B10" s="23"/>
      <c r="C10" s="1" t="s">
        <v>141</v>
      </c>
      <c r="D10" s="2">
        <v>964</v>
      </c>
    </row>
    <row r="11" spans="1:137" x14ac:dyDescent="0.3">
      <c r="A11" s="1" t="s">
        <v>142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144</v>
      </c>
    </row>
    <row r="12" spans="1:137" x14ac:dyDescent="0.3">
      <c r="A12" s="1">
        <v>10</v>
      </c>
      <c r="B12" s="1">
        <v>96</v>
      </c>
      <c r="C12" s="11">
        <f>IF(預測IC!C12&gt;預測IC!C$26,1,0)</f>
        <v>1</v>
      </c>
      <c r="D12" s="11">
        <f>C12+真實IC!D12</f>
        <v>1.1146886290452236</v>
      </c>
      <c r="E12" s="11">
        <f>D12+真實IC!E12</f>
        <v>1.1627154524324261</v>
      </c>
      <c r="F12" s="11">
        <f>E12+真實IC!F12</f>
        <v>1.218674837216885</v>
      </c>
      <c r="G12" s="11">
        <f>F12+真實IC!G12</f>
        <v>1.2506222857355154</v>
      </c>
      <c r="H12" s="11">
        <f>G12+真實IC!H12</f>
        <v>1.2891527979854034</v>
      </c>
      <c r="I12" s="11">
        <f>H12+真實IC!I12</f>
        <v>1.3254567348344555</v>
      </c>
      <c r="J12" s="11">
        <f>I12+真實IC!J12</f>
        <v>1.3692413135793271</v>
      </c>
      <c r="K12" s="11">
        <f>J12+真實IC!K12</f>
        <v>1.3984293117130262</v>
      </c>
      <c r="L12" s="11">
        <f>K12+真實IC!L12</f>
        <v>1.4403202527629999</v>
      </c>
      <c r="M12" s="11">
        <f>L12+真實IC!M12</f>
        <v>1.4672094265962068</v>
      </c>
      <c r="N12" s="11">
        <f>M12+真實IC!N12</f>
        <v>1.5365364133745596</v>
      </c>
      <c r="O12" s="11">
        <f>N12+真實IC!O12</f>
        <v>1.5644511724418</v>
      </c>
      <c r="P12" s="11">
        <f>O12+真實IC!P12</f>
        <v>1.5858715936462624</v>
      </c>
      <c r="Q12" s="11">
        <f>P12+真實IC!Q12</f>
        <v>1.6196643777671702</v>
      </c>
      <c r="R12" s="11">
        <f>Q12+真實IC!R12</f>
        <v>1.6330618840071058</v>
      </c>
      <c r="S12" s="11">
        <f>R12+真實IC!S12</f>
        <v>1.7041157811017129</v>
      </c>
      <c r="T12" s="11">
        <f>S12+真實IC!T12</f>
        <v>1.7519834974472377</v>
      </c>
      <c r="U12" s="11">
        <f>T12+真實IC!U12</f>
        <v>1.7723507180003686</v>
      </c>
      <c r="V12" s="11">
        <f>U12+真實IC!V12</f>
        <v>1.8173807088032172</v>
      </c>
      <c r="W12" s="11">
        <f>V12+真實IC!W12</f>
        <v>1.8814201237885981</v>
      </c>
      <c r="X12" s="11">
        <f>W12+真實IC!X12</f>
        <v>1.9910608751359335</v>
      </c>
      <c r="Y12" s="11">
        <f>X12+真實IC!Y12</f>
        <v>2.0078492523877496</v>
      </c>
      <c r="Z12" s="11">
        <f>Y12+真實IC!Z12</f>
        <v>2.0714729357033237</v>
      </c>
      <c r="AA12" s="11">
        <f>Z12+真實IC!AA12</f>
        <v>2.0983914151241354</v>
      </c>
      <c r="AB12" s="11">
        <f>AA12+真實IC!AB12</f>
        <v>2.1330805256756133</v>
      </c>
      <c r="AC12" s="11">
        <f>AB12+真實IC!AC12</f>
        <v>2.1798534713019246</v>
      </c>
      <c r="AD12" s="11">
        <f>AC12+真實IC!AD12</f>
        <v>2.1892457146336044</v>
      </c>
      <c r="AE12" s="11">
        <f>AD12+真實IC!AE12</f>
        <v>2.2356834313005884</v>
      </c>
      <c r="AF12" s="11">
        <f>AE12+真實IC!AF12</f>
        <v>2.2876955340773559</v>
      </c>
      <c r="AG12" s="11">
        <f>AF12+真實IC!AG12</f>
        <v>2.3176776790100804</v>
      </c>
      <c r="AH12" s="11">
        <f>AG12+真實IC!AH12</f>
        <v>2.3310834836597136</v>
      </c>
      <c r="AI12" s="11">
        <f>AH12+真實IC!AI12</f>
        <v>2.3543299428385782</v>
      </c>
      <c r="AJ12" s="11">
        <f>AI12+真實IC!AJ12</f>
        <v>2.3673136903846328</v>
      </c>
      <c r="AK12" s="11">
        <f>AJ12+真實IC!AK12</f>
        <v>2.4154373945367671</v>
      </c>
      <c r="AL12" s="11">
        <f>AK12+真實IC!AL12</f>
        <v>2.4495430157803435</v>
      </c>
      <c r="AM12" s="11">
        <f>AL12+真實IC!AM12</f>
        <v>2.4796291313929415</v>
      </c>
      <c r="AN12" s="11">
        <f>AM12+真實IC!AN12</f>
        <v>2.5488623657063698</v>
      </c>
      <c r="AO12" s="11">
        <f>AN12+真實IC!AO12</f>
        <v>2.5638578365494973</v>
      </c>
      <c r="AP12" s="11">
        <f>AO12+真實IC!AP12</f>
        <v>2.5975761813313465</v>
      </c>
      <c r="AQ12" s="11">
        <f>AP12+真實IC!AQ12</f>
        <v>2.6042585241171445</v>
      </c>
      <c r="AR12" s="11">
        <f>AQ12+真實IC!AR12</f>
        <v>2.6117629522059045</v>
      </c>
      <c r="AS12" s="11">
        <f>AR12+真實IC!AS12</f>
        <v>2.6317392251162759</v>
      </c>
      <c r="AT12" s="11">
        <f>AS12+真實IC!AT12</f>
        <v>2.7039346074687112</v>
      </c>
      <c r="AU12" s="11">
        <f>AT12+真實IC!AU12</f>
        <v>2.7673448695230825</v>
      </c>
      <c r="AV12" s="11">
        <f>AU12+真實IC!AV12</f>
        <v>2.8210605001798021</v>
      </c>
      <c r="AW12" s="11">
        <f>AV12+真實IC!AW12</f>
        <v>2.8382302049432053</v>
      </c>
      <c r="AX12" s="11">
        <f>AW12+真實IC!AX12</f>
        <v>2.8829262169161032</v>
      </c>
      <c r="AY12" s="11">
        <f>AX12+真實IC!AY12</f>
        <v>2.9078815099837763</v>
      </c>
      <c r="AZ12" s="11">
        <f>AY12+真實IC!AZ12</f>
        <v>2.9744453131630681</v>
      </c>
      <c r="BA12" s="11">
        <f>AZ12+真實IC!BA12</f>
        <v>3.0457214694440031</v>
      </c>
      <c r="BB12" s="11">
        <f>BA12+真實IC!BB12</f>
        <v>3.0747581240136448</v>
      </c>
      <c r="BC12" s="11">
        <f>BB12+真實IC!BC12</f>
        <v>3.1014490903059824</v>
      </c>
      <c r="BD12" s="11">
        <f>BC12+真實IC!BD12</f>
        <v>3.1506827119269532</v>
      </c>
      <c r="BE12" s="11">
        <f>BD12+真實IC!BE12</f>
        <v>3.1860512570694719</v>
      </c>
      <c r="BF12" s="11">
        <f>BE12+真實IC!BF12</f>
        <v>3.2536682063171671</v>
      </c>
      <c r="BG12" s="11">
        <f>BF12+真實IC!BG12</f>
        <v>3.3004259601984507</v>
      </c>
      <c r="BH12" s="11">
        <f>BG12+真實IC!BH12</f>
        <v>3.3355055492283676</v>
      </c>
      <c r="BI12" s="11">
        <f>BH12+真實IC!BI12</f>
        <v>3.3855268022593585</v>
      </c>
      <c r="BJ12" s="11">
        <f>BI12+真實IC!BJ12</f>
        <v>3.4289493013670307</v>
      </c>
      <c r="BK12" s="11">
        <f>BJ12+真實IC!BK12</f>
        <v>3.4490249533703086</v>
      </c>
      <c r="BL12" s="11">
        <f>BK12+真實IC!BL12</f>
        <v>3.4811540516708028</v>
      </c>
      <c r="BM12" s="11">
        <f>BL12+真實IC!BM12</f>
        <v>3.5314597361941273</v>
      </c>
      <c r="BN12" s="11">
        <f>BM12+真實IC!BN12</f>
        <v>3.5509622744042471</v>
      </c>
      <c r="BO12" s="11">
        <f>BN12+真實IC!BO12</f>
        <v>3.575208584660484</v>
      </c>
      <c r="BP12" s="11">
        <f>BO12+真實IC!BP12</f>
        <v>3.601630541994651</v>
      </c>
      <c r="BQ12" s="11">
        <f>BP12+真實IC!BQ12</f>
        <v>3.6155272916133976</v>
      </c>
      <c r="BR12" s="11">
        <f>BQ12+真實IC!BR12</f>
        <v>3.6842209067605109</v>
      </c>
      <c r="BS12" s="11">
        <f>BR12+真實IC!BS12</f>
        <v>3.7168637616489035</v>
      </c>
      <c r="BT12" s="11">
        <f>BS12+真實IC!BT12</f>
        <v>3.7381518588810021</v>
      </c>
      <c r="BU12" s="11">
        <f>BT12+真實IC!BU12</f>
        <v>3.7862352284571776</v>
      </c>
      <c r="BV12" s="11">
        <f>BU12+真實IC!BV12</f>
        <v>3.8285176175431075</v>
      </c>
      <c r="BW12" s="11">
        <f>BV12+真實IC!BW12</f>
        <v>3.8729946214347577</v>
      </c>
      <c r="BX12" s="11">
        <f>BW12+真實IC!BX12</f>
        <v>3.8889787730754874</v>
      </c>
      <c r="BY12" s="11">
        <f>BX12+真實IC!BY12</f>
        <v>3.9479086894330515</v>
      </c>
      <c r="BZ12" s="11">
        <f>BY12+真實IC!BZ12</f>
        <v>3.9932656351243243</v>
      </c>
      <c r="CA12" s="11">
        <f>BZ12+真實IC!CA12</f>
        <v>4.0276659225646672</v>
      </c>
      <c r="CB12" s="11">
        <f>CA12+真實IC!CB12</f>
        <v>4.1001417986368462</v>
      </c>
      <c r="CC12" s="11">
        <f>CB12+真實IC!CC12</f>
        <v>4.1657084112645357</v>
      </c>
      <c r="CD12" s="11">
        <f>CC12+真實IC!CD12</f>
        <v>4.2766420448489884</v>
      </c>
      <c r="CE12" s="11">
        <f>CD12+真實IC!CE12</f>
        <v>4.4306490577387301</v>
      </c>
      <c r="CF12" s="11">
        <f>CE12+真實IC!CF12</f>
        <v>4.4584166411525024</v>
      </c>
      <c r="CG12" s="11">
        <f>CF12+真實IC!CG12</f>
        <v>4.507694601115583</v>
      </c>
      <c r="CH12" s="11">
        <f>CG12+真實IC!CH12</f>
        <v>4.5709919734935429</v>
      </c>
      <c r="CI12" s="11">
        <f>CH12+真實IC!CI12</f>
        <v>4.605647885905749</v>
      </c>
      <c r="CJ12" s="11">
        <f>CI12+真實IC!CJ12</f>
        <v>4.6597679528199443</v>
      </c>
      <c r="CK12" s="11">
        <f>CJ12+真實IC!CK12</f>
        <v>4.7158693934677345</v>
      </c>
      <c r="CL12" s="11">
        <f>CK12+真實IC!CL12</f>
        <v>4.8338850011373449</v>
      </c>
      <c r="CM12" s="11">
        <f>CL12+真實IC!CM12</f>
        <v>4.9055933891545571</v>
      </c>
      <c r="CN12" s="11">
        <f>CM12+真實IC!CN12</f>
        <v>4.9840585931653631</v>
      </c>
      <c r="CO12" s="11">
        <f>CN12+真實IC!CO12</f>
        <v>5.0553508360389552</v>
      </c>
      <c r="CP12" s="11">
        <f>CO12+真實IC!CP12</f>
        <v>5.1006498575064487</v>
      </c>
      <c r="CQ12" s="11">
        <f>CP12+真實IC!CQ12</f>
        <v>5.1633342045100239</v>
      </c>
      <c r="CR12" s="11">
        <f>CQ12+真實IC!CR12</f>
        <v>5.2204941910315377</v>
      </c>
      <c r="CS12" s="11">
        <f>CR12+真實IC!CS12</f>
        <v>5.2214727646263901</v>
      </c>
      <c r="CT12" s="11">
        <f>CS12+真實IC!CT12</f>
        <v>5.2535867752344396</v>
      </c>
      <c r="CU12" s="11">
        <f>CT12+真實IC!CU12</f>
        <v>5.3283663045157965</v>
      </c>
      <c r="CV12" s="11">
        <f>CU12+真實IC!CV12</f>
        <v>5.3933996110114855</v>
      </c>
      <c r="CW12" s="11">
        <f>CV12+真實IC!CW12</f>
        <v>5.4064362803900634</v>
      </c>
      <c r="CX12" s="11">
        <f>CW12+真實IC!CX12</f>
        <v>5.4674261629270555</v>
      </c>
      <c r="CY12" s="11">
        <f>CX12+真實IC!CY12</f>
        <v>5.5134991405925105</v>
      </c>
      <c r="CZ12" s="11">
        <f>CY12+真實IC!CZ12</f>
        <v>5.5912914679320114</v>
      </c>
      <c r="DA12" s="11">
        <f>CZ12+真實IC!DA12</f>
        <v>5.6282701292912067</v>
      </c>
      <c r="DB12" s="11">
        <f>DA12+真實IC!DB12</f>
        <v>5.7172519457892514</v>
      </c>
      <c r="DC12" s="11">
        <f>DB12+真實IC!DC12</f>
        <v>5.7512251486640258</v>
      </c>
      <c r="DD12" s="11">
        <f>DC12+真實IC!DD12</f>
        <v>5.8211856943983689</v>
      </c>
      <c r="DE12" s="11">
        <f>DD12+真實IC!DE12</f>
        <v>5.8459233388134635</v>
      </c>
      <c r="DF12" s="11">
        <f>DE12+真實IC!DF12</f>
        <v>5.9014090728955368</v>
      </c>
      <c r="DG12" s="11">
        <f>DF12+真實IC!DG12</f>
        <v>5.9478188906750615</v>
      </c>
      <c r="DH12" s="11">
        <f>DG12+真實IC!DH12</f>
        <v>6.0090140454633785</v>
      </c>
      <c r="DI12" s="11">
        <f>DH12+真實IC!DI12</f>
        <v>6.0687631132431274</v>
      </c>
      <c r="DJ12" s="11">
        <f>DI12+真實IC!DJ12</f>
        <v>6.1101411561787993</v>
      </c>
      <c r="DK12" s="11">
        <f>DJ12+真實IC!DK12</f>
        <v>6.1420693555113948</v>
      </c>
      <c r="DL12" s="11">
        <f>DK12+真實IC!DL12</f>
        <v>6.1607391888451977</v>
      </c>
      <c r="DM12" s="11">
        <f>DL12+真實IC!DM12</f>
        <v>6.1799768824257582</v>
      </c>
      <c r="DN12" s="11">
        <f>DM12+真實IC!DN12</f>
        <v>6.222387247811823</v>
      </c>
      <c r="DO12" s="11">
        <f>DN12+真實IC!DO12</f>
        <v>6.2529441899133138</v>
      </c>
      <c r="DP12" s="11">
        <f>DO12+真實IC!DP12</f>
        <v>6.3123528844699743</v>
      </c>
      <c r="DQ12" s="11">
        <f>DP12+真實IC!DQ12</f>
        <v>6.386893531950447</v>
      </c>
      <c r="DR12" s="11">
        <f>DQ12+真實IC!DR12</f>
        <v>6.4056724752298342</v>
      </c>
      <c r="DS12" s="11">
        <f>DR12+真實IC!DS12</f>
        <v>6.4753230272995337</v>
      </c>
      <c r="DT12" s="11">
        <f>DS12+真實IC!DT12</f>
        <v>6.5001368688621204</v>
      </c>
      <c r="DU12" s="11">
        <f>DT12+真實IC!DU12</f>
        <v>6.5573671520064289</v>
      </c>
      <c r="DV12" s="11">
        <f>DU12+真實IC!DV12</f>
        <v>6.6059179764839593</v>
      </c>
      <c r="DW12" s="11">
        <f>DV12+真實IC!DW12</f>
        <v>6.6508858106964848</v>
      </c>
      <c r="DX12" s="11">
        <f>DW12+真實IC!DX12</f>
        <v>6.7010378912388466</v>
      </c>
      <c r="DY12" s="11">
        <f>DX12+真實IC!DY12</f>
        <v>6.7541832021264563</v>
      </c>
      <c r="DZ12" s="11">
        <f>DY12+真實IC!DZ12</f>
        <v>6.7604103514749445</v>
      </c>
      <c r="EA12" s="11">
        <f>DZ12+真實IC!EA12</f>
        <v>6.8735373932240815</v>
      </c>
      <c r="EB12" s="11">
        <f>EA12+真實IC!EB12</f>
        <v>6.9040631700419235</v>
      </c>
      <c r="EC12" s="11">
        <f>EB12+真實IC!EC12</f>
        <v>6.9307146796215884</v>
      </c>
      <c r="ED12" s="11">
        <f>EC12+真實IC!ED12</f>
        <v>6.9912228324300729</v>
      </c>
      <c r="EE12" s="11">
        <f>ED12+真實IC!EE12</f>
        <v>7.0177297245912209</v>
      </c>
      <c r="EF12" s="11">
        <f>EE12+真實IC!EF12</f>
        <v>7.0469634903464522</v>
      </c>
    </row>
    <row r="13" spans="1:137" x14ac:dyDescent="0.3">
      <c r="A13" s="1">
        <v>20</v>
      </c>
      <c r="B13" s="1">
        <v>48</v>
      </c>
      <c r="C13" s="11">
        <f>IF(預測IC!C13&gt;預測IC!C$26,1,0)</f>
        <v>0</v>
      </c>
      <c r="D13" s="11">
        <f>C13+真實IC!D13</f>
        <v>0.1237450287927723</v>
      </c>
      <c r="E13" s="11">
        <f>D13+真實IC!E13</f>
        <v>0.19360658514557877</v>
      </c>
      <c r="F13" s="11">
        <f>E13+真實IC!F13</f>
        <v>0.25359311183850175</v>
      </c>
      <c r="G13" s="11">
        <f>F13+真實IC!G13</f>
        <v>0.26564051613860767</v>
      </c>
      <c r="H13" s="11">
        <f>G13+真實IC!H13</f>
        <v>0.29563014786432895</v>
      </c>
      <c r="I13" s="11">
        <f>H13+真實IC!I13</f>
        <v>0.32831301084905129</v>
      </c>
      <c r="J13" s="11">
        <f>I13+真實IC!J13</f>
        <v>0.36286290281869599</v>
      </c>
      <c r="K13" s="11">
        <f>J13+真實IC!K13</f>
        <v>0.42318904204626612</v>
      </c>
      <c r="L13" s="11">
        <f>K13+真實IC!L13</f>
        <v>0.42921420333991978</v>
      </c>
      <c r="M13" s="11">
        <f>L13+真實IC!M13</f>
        <v>0.43249396156592451</v>
      </c>
      <c r="N13" s="11">
        <f>M13+真實IC!N13</f>
        <v>0.53230087852259511</v>
      </c>
      <c r="O13" s="11">
        <f>N13+真實IC!O13</f>
        <v>0.54972357733354504</v>
      </c>
      <c r="P13" s="11">
        <f>O13+真實IC!P13</f>
        <v>0.57058049039495062</v>
      </c>
      <c r="Q13" s="11">
        <f>P13+真實IC!Q13</f>
        <v>0.61479875462292066</v>
      </c>
      <c r="R13" s="11">
        <f>Q13+真實IC!R13</f>
        <v>0.62128866479899503</v>
      </c>
      <c r="S13" s="11">
        <f>R13+真實IC!S13</f>
        <v>0.74420396280254564</v>
      </c>
      <c r="T13" s="11">
        <f>S13+真實IC!T13</f>
        <v>0.81843804431426825</v>
      </c>
      <c r="U13" s="11">
        <f>T13+真實IC!U13</f>
        <v>0.87259911935596246</v>
      </c>
      <c r="V13" s="11">
        <f>U13+真實IC!V13</f>
        <v>0.92537885825619615</v>
      </c>
      <c r="W13" s="11">
        <f>V13+真實IC!W13</f>
        <v>1.0008554201163464</v>
      </c>
      <c r="X13" s="11">
        <f>W13+真實IC!X13</f>
        <v>1.1219831909690845</v>
      </c>
      <c r="Y13" s="11">
        <f>X13+真實IC!Y13</f>
        <v>1.148455074186427</v>
      </c>
      <c r="Z13" s="11">
        <f>Y13+真實IC!Z13</f>
        <v>1.2268795089916105</v>
      </c>
      <c r="AA13" s="11">
        <f>Z13+真實IC!AA13</f>
        <v>1.2745921574418686</v>
      </c>
      <c r="AB13" s="11">
        <f>AA13+真實IC!AB13</f>
        <v>1.3212703775632459</v>
      </c>
      <c r="AC13" s="11">
        <f>AB13+真實IC!AC13</f>
        <v>1.3880420779451759</v>
      </c>
      <c r="AD13" s="11">
        <f>AC13+真實IC!AD13</f>
        <v>1.4095857677304513</v>
      </c>
      <c r="AE13" s="11">
        <f>AD13+真實IC!AE13</f>
        <v>1.486657184457252</v>
      </c>
      <c r="AF13" s="11">
        <f>AE13+真實IC!AF13</f>
        <v>1.5599383452855633</v>
      </c>
      <c r="AG13" s="11">
        <f>AF13+真實IC!AG13</f>
        <v>1.5916201283405662</v>
      </c>
      <c r="AH13" s="11">
        <f>AG13+真實IC!AH13</f>
        <v>1.6012614675800827</v>
      </c>
      <c r="AI13" s="11">
        <f>AH13+真實IC!AI13</f>
        <v>1.6211713778004961</v>
      </c>
      <c r="AJ13" s="11">
        <f>AI13+真實IC!AJ13</f>
        <v>1.6048909078122204</v>
      </c>
      <c r="AK13" s="11">
        <f>AJ13+真實IC!AK13</f>
        <v>1.6708788206228764</v>
      </c>
      <c r="AL13" s="11">
        <f>AK13+真實IC!AL13</f>
        <v>1.6934291782094133</v>
      </c>
      <c r="AM13" s="11">
        <f>AL13+真實IC!AM13</f>
        <v>1.7397116217462423</v>
      </c>
      <c r="AN13" s="11">
        <f>AM13+真實IC!AN13</f>
        <v>1.8450418598822764</v>
      </c>
      <c r="AO13" s="11">
        <f>AN13+真實IC!AO13</f>
        <v>1.843333013193641</v>
      </c>
      <c r="AP13" s="11">
        <f>AO13+真實IC!AP13</f>
        <v>1.9028838535556387</v>
      </c>
      <c r="AQ13" s="11">
        <f>AP13+真實IC!AQ13</f>
        <v>1.9139668480187615</v>
      </c>
      <c r="AR13" s="11">
        <f>AQ13+真實IC!AR13</f>
        <v>1.9047161155354853</v>
      </c>
      <c r="AS13" s="11">
        <f>AR13+真實IC!AS13</f>
        <v>1.9281210790770826</v>
      </c>
      <c r="AT13" s="11">
        <f>AS13+真實IC!AT13</f>
        <v>2.0145439938046823</v>
      </c>
      <c r="AU13" s="11">
        <f>AT13+真實IC!AU13</f>
        <v>2.0913283274330565</v>
      </c>
      <c r="AV13" s="11">
        <f>AU13+真實IC!AV13</f>
        <v>2.1709943030815269</v>
      </c>
      <c r="AW13" s="11">
        <f>AV13+真實IC!AW13</f>
        <v>2.197815541051908</v>
      </c>
      <c r="AX13" s="11">
        <f>AW13+真實IC!AX13</f>
        <v>2.2306153731877636</v>
      </c>
      <c r="AY13" s="11">
        <f>AX13+真實IC!AY13</f>
        <v>2.2481797195363886</v>
      </c>
      <c r="AZ13" s="11">
        <f>AY13+真實IC!AZ13</f>
        <v>2.3036294954919536</v>
      </c>
      <c r="BA13" s="11">
        <f>AZ13+真實IC!BA13</f>
        <v>2.383458615835742</v>
      </c>
      <c r="BB13" s="11">
        <f>BA13+真實IC!BB13</f>
        <v>2.4060060168105211</v>
      </c>
      <c r="BC13" s="11">
        <f>BB13+真實IC!BC13</f>
        <v>2.4251168840853632</v>
      </c>
      <c r="BD13" s="11">
        <f>BC13+真實IC!BD13</f>
        <v>2.466793197832033</v>
      </c>
      <c r="BE13" s="11">
        <f>BD13+真實IC!BE13</f>
        <v>2.5105669872178162</v>
      </c>
      <c r="BF13" s="11">
        <f>BE13+真實IC!BF13</f>
        <v>2.6322241304837721</v>
      </c>
      <c r="BG13" s="11">
        <f>BF13+真實IC!BG13</f>
        <v>2.7206216763400928</v>
      </c>
      <c r="BH13" s="11">
        <f>BG13+真實IC!BH13</f>
        <v>2.7616453325322849</v>
      </c>
      <c r="BI13" s="11">
        <f>BH13+真實IC!BI13</f>
        <v>2.8140544649889865</v>
      </c>
      <c r="BJ13" s="11">
        <f>BI13+真實IC!BJ13</f>
        <v>2.8655063839489086</v>
      </c>
      <c r="BK13" s="11">
        <f>BJ13+真實IC!BK13</f>
        <v>2.8906321573121008</v>
      </c>
      <c r="BL13" s="11">
        <f>BK13+真實IC!BL13</f>
        <v>2.9250921977605517</v>
      </c>
      <c r="BM13" s="11">
        <f>BL13+真實IC!BM13</f>
        <v>2.9784639664557426</v>
      </c>
      <c r="BN13" s="11">
        <f>BM13+真實IC!BN13</f>
        <v>2.9736063633973293</v>
      </c>
      <c r="BO13" s="11">
        <f>BN13+真實IC!BO13</f>
        <v>3.0044850796308036</v>
      </c>
      <c r="BP13" s="11">
        <f>BO13+真實IC!BP13</f>
        <v>3.0124362260485782</v>
      </c>
      <c r="BQ13" s="11">
        <f>BP13+真實IC!BQ13</f>
        <v>3.0540892898380041</v>
      </c>
      <c r="BR13" s="11">
        <f>BQ13+真實IC!BR13</f>
        <v>3.133920746661337</v>
      </c>
      <c r="BS13" s="11">
        <f>BR13+真實IC!BS13</f>
        <v>3.1741012610227539</v>
      </c>
      <c r="BT13" s="11">
        <f>BS13+真實IC!BT13</f>
        <v>3.207769030780673</v>
      </c>
      <c r="BU13" s="11">
        <f>BT13+真實IC!BU13</f>
        <v>3.282427198790447</v>
      </c>
      <c r="BV13" s="11">
        <f>BU13+真實IC!BV13</f>
        <v>3.3623580328915046</v>
      </c>
      <c r="BW13" s="11">
        <f>BV13+真實IC!BW13</f>
        <v>3.4380720385281842</v>
      </c>
      <c r="BX13" s="11">
        <f>BW13+真實IC!BX13</f>
        <v>3.4395494733044263</v>
      </c>
      <c r="BY13" s="11">
        <f>BX13+真實IC!BY13</f>
        <v>3.4787514298795679</v>
      </c>
      <c r="BZ13" s="11">
        <f>BY13+真實IC!BZ13</f>
        <v>3.5548895529386182</v>
      </c>
      <c r="CA13" s="11">
        <f>BZ13+真實IC!CA13</f>
        <v>3.5884211185390149</v>
      </c>
      <c r="CB13" s="11">
        <f>CA13+真實IC!CB13</f>
        <v>3.7088480902710499</v>
      </c>
      <c r="CC13" s="11">
        <f>CB13+真實IC!CC13</f>
        <v>3.8289662640092832</v>
      </c>
      <c r="CD13" s="11">
        <f>CC13+真實IC!CD13</f>
        <v>3.9340520969016106</v>
      </c>
      <c r="CE13" s="11">
        <f>CD13+真實IC!CE13</f>
        <v>4.1178799333572194</v>
      </c>
      <c r="CF13" s="11">
        <f>CE13+真實IC!CF13</f>
        <v>4.1623942000822884</v>
      </c>
      <c r="CG13" s="11">
        <f>CF13+真實IC!CG13</f>
        <v>4.2204091678895281</v>
      </c>
      <c r="CH13" s="11">
        <f>CG13+真實IC!CH13</f>
        <v>4.2787437797167351</v>
      </c>
      <c r="CI13" s="11">
        <f>CH13+真實IC!CI13</f>
        <v>4.3305972888509983</v>
      </c>
      <c r="CJ13" s="11">
        <f>CI13+真實IC!CJ13</f>
        <v>4.385407469529838</v>
      </c>
      <c r="CK13" s="11">
        <f>CJ13+真實IC!CK13</f>
        <v>4.4510945957966355</v>
      </c>
      <c r="CL13" s="11">
        <f>CK13+真實IC!CL13</f>
        <v>4.5325479618988167</v>
      </c>
      <c r="CM13" s="11">
        <f>CL13+真實IC!CM13</f>
        <v>4.6340001806128353</v>
      </c>
      <c r="CN13" s="11">
        <f>CM13+真實IC!CN13</f>
        <v>4.7349943472610292</v>
      </c>
      <c r="CO13" s="11">
        <f>CN13+真實IC!CO13</f>
        <v>4.8205605865691057</v>
      </c>
      <c r="CP13" s="11">
        <f>CO13+真實IC!CP13</f>
        <v>4.8902871268468404</v>
      </c>
      <c r="CQ13" s="11">
        <f>CP13+真實IC!CQ13</f>
        <v>4.9614659918152446</v>
      </c>
      <c r="CR13" s="11">
        <f>CQ13+真實IC!CR13</f>
        <v>5.0731108781957195</v>
      </c>
      <c r="CS13" s="11">
        <f>CR13+真實IC!CS13</f>
        <v>5.0826785318608545</v>
      </c>
      <c r="CT13" s="11">
        <f>CS13+真實IC!CT13</f>
        <v>5.1261407998299067</v>
      </c>
      <c r="CU13" s="11">
        <f>CT13+真實IC!CU13</f>
        <v>5.2332317615435437</v>
      </c>
      <c r="CV13" s="11">
        <f>CU13+真實IC!CV13</f>
        <v>5.3108878128005168</v>
      </c>
      <c r="CW13" s="11">
        <f>CV13+真實IC!CW13</f>
        <v>5.3471969325569502</v>
      </c>
      <c r="CX13" s="11">
        <f>CW13+真實IC!CX13</f>
        <v>5.407230187797003</v>
      </c>
      <c r="CY13" s="11">
        <f>CX13+真實IC!CY13</f>
        <v>5.469527134802366</v>
      </c>
      <c r="CZ13" s="11">
        <f>CY13+真實IC!CZ13</f>
        <v>5.5267513551558514</v>
      </c>
      <c r="DA13" s="11">
        <f>CZ13+真實IC!DA13</f>
        <v>5.5761973888407308</v>
      </c>
      <c r="DB13" s="11">
        <f>DA13+真實IC!DB13</f>
        <v>5.6824327101436847</v>
      </c>
      <c r="DC13" s="11">
        <f>DB13+真實IC!DC13</f>
        <v>5.7122082760219772</v>
      </c>
      <c r="DD13" s="11">
        <f>DC13+真實IC!DD13</f>
        <v>5.7811853349463611</v>
      </c>
      <c r="DE13" s="11">
        <f>DD13+真實IC!DE13</f>
        <v>5.8036273313755968</v>
      </c>
      <c r="DF13" s="11">
        <f>DE13+真實IC!DF13</f>
        <v>5.8867495184436276</v>
      </c>
      <c r="DG13" s="11">
        <f>DF13+真實IC!DG13</f>
        <v>5.9344786020500875</v>
      </c>
      <c r="DH13" s="11">
        <f>DG13+真實IC!DH13</f>
        <v>6.0231992029963948</v>
      </c>
      <c r="DI13" s="11">
        <f>DH13+真實IC!DI13</f>
        <v>6.1129477665438889</v>
      </c>
      <c r="DJ13" s="11">
        <f>DI13+真實IC!DJ13</f>
        <v>6.1199688901594467</v>
      </c>
      <c r="DK13" s="11">
        <f>DJ13+真實IC!DK13</f>
        <v>6.1393555240233058</v>
      </c>
      <c r="DL13" s="11">
        <f>DK13+真實IC!DL13</f>
        <v>6.1614062147013939</v>
      </c>
      <c r="DM13" s="11">
        <f>DL13+真實IC!DM13</f>
        <v>6.1608745920909209</v>
      </c>
      <c r="DN13" s="11">
        <f>DM13+真實IC!DN13</f>
        <v>6.172374170013434</v>
      </c>
      <c r="DO13" s="11">
        <f>DN13+真實IC!DO13</f>
        <v>6.2102376350982267</v>
      </c>
      <c r="DP13" s="11">
        <f>DO13+真實IC!DP13</f>
        <v>6.268269943988928</v>
      </c>
      <c r="DQ13" s="11">
        <f>DP13+真實IC!DQ13</f>
        <v>6.3553989553814985</v>
      </c>
      <c r="DR13" s="11">
        <f>DQ13+真實IC!DR13</f>
        <v>6.3691701646538101</v>
      </c>
      <c r="DS13" s="11">
        <f>DR13+真實IC!DS13</f>
        <v>6.4377670172942008</v>
      </c>
      <c r="DT13" s="11">
        <f>DS13+真實IC!DT13</f>
        <v>6.4676128264552037</v>
      </c>
      <c r="DU13" s="11">
        <f>DT13+真實IC!DU13</f>
        <v>6.5006189858978223</v>
      </c>
      <c r="DV13" s="11">
        <f>DU13+真實IC!DV13</f>
        <v>6.5802391299220107</v>
      </c>
      <c r="DW13" s="11">
        <f>DV13+真實IC!DW13</f>
        <v>6.6222678156342107</v>
      </c>
      <c r="DX13" s="11">
        <f>DW13+真實IC!DX13</f>
        <v>6.6867911952127068</v>
      </c>
      <c r="DY13" s="11">
        <f>DX13+真實IC!DY13</f>
        <v>6.7437725342602661</v>
      </c>
      <c r="DZ13" s="11">
        <f>DY13+真實IC!DZ13</f>
        <v>6.7620746584065676</v>
      </c>
      <c r="EA13" s="11">
        <f>DZ13+真實IC!EA13</f>
        <v>6.8865436165556382</v>
      </c>
      <c r="EB13" s="11">
        <f>EA13+真實IC!EB13</f>
        <v>6.943748909304027</v>
      </c>
      <c r="EC13" s="11">
        <f>EB13+真實IC!EC13</f>
        <v>6.985408662739256</v>
      </c>
      <c r="ED13" s="11">
        <f>EC13+真實IC!ED13</f>
        <v>7.0510907563984908</v>
      </c>
      <c r="EE13" s="11">
        <f>ED13+真實IC!EE13</f>
        <v>7.0923251403944025</v>
      </c>
      <c r="EF13" s="11">
        <f>EE13+真實IC!EF13</f>
        <v>7.1368387499471222</v>
      </c>
    </row>
    <row r="14" spans="1:137" x14ac:dyDescent="0.3">
      <c r="A14" s="1">
        <v>50</v>
      </c>
      <c r="B14" s="1">
        <v>19</v>
      </c>
      <c r="C14" s="11">
        <f>IF(預測IC!C14&gt;預測IC!C$26,1,0)</f>
        <v>0</v>
      </c>
      <c r="D14" s="11">
        <f>C14+真實IC!D14</f>
        <v>0.22230844854062601</v>
      </c>
      <c r="E14" s="11">
        <f>D14+真實IC!E14</f>
        <v>0.32107669668284811</v>
      </c>
      <c r="F14" s="11">
        <f>E14+真實IC!F14</f>
        <v>0.38141860158888069</v>
      </c>
      <c r="G14" s="11">
        <f>F14+真實IC!G14</f>
        <v>0.43507523203166137</v>
      </c>
      <c r="H14" s="11">
        <f>G14+真實IC!H14</f>
        <v>0.49466303846710147</v>
      </c>
      <c r="I14" s="11">
        <f>H14+真實IC!I14</f>
        <v>0.53845039829024377</v>
      </c>
      <c r="J14" s="11">
        <f>I14+真實IC!J14</f>
        <v>0.56176037025515468</v>
      </c>
      <c r="K14" s="11">
        <f>J14+真實IC!K14</f>
        <v>0.61258783651600268</v>
      </c>
      <c r="L14" s="11">
        <f>K14+真實IC!L14</f>
        <v>0.62106828408155124</v>
      </c>
      <c r="M14" s="11">
        <f>L14+真實IC!M14</f>
        <v>0.60204656961656722</v>
      </c>
      <c r="N14" s="11">
        <f>M14+真實IC!N14</f>
        <v>0.8068791447577931</v>
      </c>
      <c r="O14" s="11">
        <f>N14+真實IC!O14</f>
        <v>0.80837355269634159</v>
      </c>
      <c r="P14" s="11">
        <f>O14+真實IC!P14</f>
        <v>0.86671947459458287</v>
      </c>
      <c r="Q14" s="11">
        <f>P14+真實IC!Q14</f>
        <v>0.99082334576603159</v>
      </c>
      <c r="R14" s="11">
        <f>Q14+真實IC!R14</f>
        <v>0.97488215846892978</v>
      </c>
      <c r="S14" s="11">
        <f>R14+真實IC!S14</f>
        <v>1.1407753856536385</v>
      </c>
      <c r="T14" s="11">
        <f>S14+真實IC!T14</f>
        <v>1.1757949404880386</v>
      </c>
      <c r="U14" s="11">
        <f>T14+真實IC!U14</f>
        <v>1.2800616051236862</v>
      </c>
      <c r="V14" s="11">
        <f>U14+真實IC!V14</f>
        <v>1.3001507323090646</v>
      </c>
      <c r="W14" s="11">
        <f>V14+真實IC!W14</f>
        <v>1.4163165228409613</v>
      </c>
      <c r="X14" s="11">
        <f>W14+真實IC!X14</f>
        <v>1.6030022184513082</v>
      </c>
      <c r="Y14" s="11">
        <f>X14+真實IC!Y14</f>
        <v>1.6082220930468401</v>
      </c>
      <c r="Z14" s="11">
        <f>Y14+真實IC!Z14</f>
        <v>1.6467340193271478</v>
      </c>
      <c r="AA14" s="11">
        <f>Z14+真實IC!AA14</f>
        <v>1.7466398988244725</v>
      </c>
      <c r="AB14" s="11">
        <f>AA14+真實IC!AB14</f>
        <v>1.8174092761717027</v>
      </c>
      <c r="AC14" s="11">
        <f>AB14+真實IC!AC14</f>
        <v>1.8143227138329134</v>
      </c>
      <c r="AD14" s="11">
        <f>AC14+真實IC!AD14</f>
        <v>1.8536506060229434</v>
      </c>
      <c r="AE14" s="11">
        <f>AD14+真實IC!AE14</f>
        <v>1.9704875258625094</v>
      </c>
      <c r="AF14" s="11">
        <f>AE14+真實IC!AF14</f>
        <v>2.0665676213191428</v>
      </c>
      <c r="AG14" s="11">
        <f>AF14+真實IC!AG14</f>
        <v>2.0870885159657053</v>
      </c>
      <c r="AH14" s="11">
        <f>AG14+真實IC!AH14</f>
        <v>2.0923387938962112</v>
      </c>
      <c r="AI14" s="11">
        <f>AH14+真實IC!AI14</f>
        <v>2.1033033645787853</v>
      </c>
      <c r="AJ14" s="11">
        <f>AI14+真實IC!AJ14</f>
        <v>2.1183624006619364</v>
      </c>
      <c r="AK14" s="11">
        <f>AJ14+真實IC!AK14</f>
        <v>2.1952738315202383</v>
      </c>
      <c r="AL14" s="11">
        <f>AK14+真實IC!AL14</f>
        <v>2.2138333737784452</v>
      </c>
      <c r="AM14" s="11">
        <f>AL14+真實IC!AM14</f>
        <v>2.2750755401570704</v>
      </c>
      <c r="AN14" s="11">
        <f>AM14+真實IC!AN14</f>
        <v>2.3736702069266142</v>
      </c>
      <c r="AO14" s="11">
        <f>AN14+真實IC!AO14</f>
        <v>2.3356258543845527</v>
      </c>
      <c r="AP14" s="11">
        <f>AO14+真實IC!AP14</f>
        <v>2.4056023795366368</v>
      </c>
      <c r="AQ14" s="11">
        <f>AP14+真實IC!AQ14</f>
        <v>2.4137307962444656</v>
      </c>
      <c r="AR14" s="11">
        <f>AQ14+真實IC!AR14</f>
        <v>2.3955599732255806</v>
      </c>
      <c r="AS14" s="11">
        <f>AR14+真實IC!AS14</f>
        <v>2.3888906348358909</v>
      </c>
      <c r="AT14" s="11">
        <f>AS14+真實IC!AT14</f>
        <v>2.4682941145465289</v>
      </c>
      <c r="AU14" s="11">
        <f>AT14+真實IC!AU14</f>
        <v>2.6061465905992645</v>
      </c>
      <c r="AV14" s="11">
        <f>AU14+真實IC!AV14</f>
        <v>2.6724053398155232</v>
      </c>
      <c r="AW14" s="11">
        <f>AV14+真實IC!AW14</f>
        <v>2.7263340210449507</v>
      </c>
      <c r="AX14" s="11">
        <f>AW14+真實IC!AX14</f>
        <v>2.7457042344204412</v>
      </c>
      <c r="AY14" s="11">
        <f>AX14+真實IC!AY14</f>
        <v>2.7607723531922028</v>
      </c>
      <c r="AZ14" s="11">
        <f>AY14+真實IC!AZ14</f>
        <v>2.7864012807016674</v>
      </c>
      <c r="BA14" s="11">
        <f>AZ14+真實IC!BA14</f>
        <v>2.8827386060576412</v>
      </c>
      <c r="BB14" s="11">
        <f>BA14+真實IC!BB14</f>
        <v>2.9930498549587616</v>
      </c>
      <c r="BC14" s="11">
        <f>BB14+真實IC!BC14</f>
        <v>2.9645441714594556</v>
      </c>
      <c r="BD14" s="11">
        <f>BC14+真實IC!BD14</f>
        <v>2.9809616812704012</v>
      </c>
      <c r="BE14" s="11">
        <f>BD14+真實IC!BE14</f>
        <v>3.05104345141973</v>
      </c>
      <c r="BF14" s="11">
        <f>BE14+真實IC!BF14</f>
        <v>3.2048727129937382</v>
      </c>
      <c r="BG14" s="11">
        <f>BF14+真實IC!BG14</f>
        <v>3.3301780194333279</v>
      </c>
      <c r="BH14" s="11">
        <f>BG14+真實IC!BH14</f>
        <v>3.4035914836120531</v>
      </c>
      <c r="BI14" s="11">
        <f>BH14+真實IC!BI14</f>
        <v>3.4537766965029069</v>
      </c>
      <c r="BJ14" s="11">
        <f>BI14+真實IC!BJ14</f>
        <v>3.4777936301885428</v>
      </c>
      <c r="BK14" s="11">
        <f>BJ14+真實IC!BK14</f>
        <v>3.4445562482102119</v>
      </c>
      <c r="BL14" s="11">
        <f>BK14+真實IC!BL14</f>
        <v>3.504553143737652</v>
      </c>
      <c r="BM14" s="11">
        <f>BL14+真實IC!BM14</f>
        <v>3.5508314687406526</v>
      </c>
      <c r="BN14" s="11">
        <f>BM14+真實IC!BN14</f>
        <v>3.5042548245442369</v>
      </c>
      <c r="BO14" s="11">
        <f>BN14+真實IC!BO14</f>
        <v>3.5378638702215013</v>
      </c>
      <c r="BP14" s="11">
        <f>BO14+真實IC!BP14</f>
        <v>3.487531586893756</v>
      </c>
      <c r="BQ14" s="11">
        <f>BP14+真實IC!BQ14</f>
        <v>3.5033751107637068</v>
      </c>
      <c r="BR14" s="11">
        <f>BQ14+真實IC!BR14</f>
        <v>3.6034275338390933</v>
      </c>
      <c r="BS14" s="11">
        <f>BR14+真實IC!BS14</f>
        <v>3.6337602578258639</v>
      </c>
      <c r="BT14" s="11">
        <f>BS14+真實IC!BT14</f>
        <v>3.6184723299224912</v>
      </c>
      <c r="BU14" s="11">
        <f>BT14+真實IC!BU14</f>
        <v>3.7296317842362359</v>
      </c>
      <c r="BV14" s="11">
        <f>BU14+真實IC!BV14</f>
        <v>3.8376134174362306</v>
      </c>
      <c r="BW14" s="11">
        <f>BV14+真實IC!BW14</f>
        <v>3.9685109259934159</v>
      </c>
      <c r="BX14" s="11">
        <f>BW14+真實IC!BX14</f>
        <v>3.9682037917687496</v>
      </c>
      <c r="BY14" s="11">
        <f>BX14+真實IC!BY14</f>
        <v>3.9255993021154003</v>
      </c>
      <c r="BZ14" s="11">
        <f>BY14+真實IC!BZ14</f>
        <v>3.9856333589441828</v>
      </c>
      <c r="CA14" s="11">
        <f>BZ14+真實IC!CA14</f>
        <v>4.0100986250591202</v>
      </c>
      <c r="CB14" s="11">
        <f>CA14+真實IC!CB14</f>
        <v>4.1745641263810267</v>
      </c>
      <c r="CC14" s="11">
        <f>CB14+真實IC!CC14</f>
        <v>4.2951602849702093</v>
      </c>
      <c r="CD14" s="11">
        <f>CC14+真實IC!CD14</f>
        <v>4.3931769949024071</v>
      </c>
      <c r="CE14" s="11">
        <f>CD14+真實IC!CE14</f>
        <v>4.563732297390958</v>
      </c>
      <c r="CF14" s="11">
        <f>CE14+真實IC!CF14</f>
        <v>4.6560629806730196</v>
      </c>
      <c r="CG14" s="11">
        <f>CF14+真實IC!CG14</f>
        <v>4.7133836443408406</v>
      </c>
      <c r="CH14" s="11">
        <f>CG14+真實IC!CH14</f>
        <v>4.7780450366190577</v>
      </c>
      <c r="CI14" s="11">
        <f>CH14+真實IC!CI14</f>
        <v>4.8839298139824168</v>
      </c>
      <c r="CJ14" s="11">
        <f>CI14+真實IC!CJ14</f>
        <v>4.9017259303315583</v>
      </c>
      <c r="CK14" s="11">
        <f>CJ14+真實IC!CK14</f>
        <v>4.9555180168455513</v>
      </c>
      <c r="CL14" s="11">
        <f>CK14+真實IC!CL14</f>
        <v>5.0177879717243874</v>
      </c>
      <c r="CM14" s="11">
        <f>CL14+真實IC!CM14</f>
        <v>5.127856944697097</v>
      </c>
      <c r="CN14" s="11">
        <f>CM14+真實IC!CN14</f>
        <v>5.3024526193821542</v>
      </c>
      <c r="CO14" s="11">
        <f>CN14+真實IC!CO14</f>
        <v>5.4757017733361089</v>
      </c>
      <c r="CP14" s="11">
        <f>CO14+真實IC!CP14</f>
        <v>5.5755111048178616</v>
      </c>
      <c r="CQ14" s="11">
        <f>CP14+真實IC!CQ14</f>
        <v>5.6077390047052491</v>
      </c>
      <c r="CR14" s="11">
        <f>CQ14+真實IC!CR14</f>
        <v>5.8154587172958969</v>
      </c>
      <c r="CS14" s="11">
        <f>CR14+真實IC!CS14</f>
        <v>5.8110460837626476</v>
      </c>
      <c r="CT14" s="11">
        <f>CS14+真實IC!CT14</f>
        <v>5.872918436154249</v>
      </c>
      <c r="CU14" s="11">
        <f>CT14+真實IC!CU14</f>
        <v>5.9744634361109634</v>
      </c>
      <c r="CV14" s="11">
        <f>CU14+真實IC!CV14</f>
        <v>6.1258602772685968</v>
      </c>
      <c r="CW14" s="11">
        <f>CV14+真實IC!CW14</f>
        <v>6.1706241617118565</v>
      </c>
      <c r="CX14" s="11">
        <f>CW14+真實IC!CX14</f>
        <v>6.2069235706000958</v>
      </c>
      <c r="CY14" s="11">
        <f>CX14+真實IC!CY14</f>
        <v>6.2570613140740452</v>
      </c>
      <c r="CZ14" s="11">
        <f>CY14+真實IC!CZ14</f>
        <v>6.3211248774244284</v>
      </c>
      <c r="DA14" s="11">
        <f>CZ14+真實IC!DA14</f>
        <v>6.3865182048489686</v>
      </c>
      <c r="DB14" s="11">
        <f>DA14+真實IC!DB14</f>
        <v>6.4911256459491984</v>
      </c>
      <c r="DC14" s="11">
        <f>DB14+真實IC!DC14</f>
        <v>6.5147582551540459</v>
      </c>
      <c r="DD14" s="11">
        <f>DC14+真實IC!DD14</f>
        <v>6.5939636070022303</v>
      </c>
      <c r="DE14" s="11">
        <f>DD14+真實IC!DE14</f>
        <v>6.6564905310086893</v>
      </c>
      <c r="DF14" s="11">
        <f>DE14+真實IC!DF14</f>
        <v>6.8580533704758011</v>
      </c>
      <c r="DG14" s="11">
        <f>DF14+真實IC!DG14</f>
        <v>6.9036367662026992</v>
      </c>
      <c r="DH14" s="11">
        <f>DG14+真實IC!DH14</f>
        <v>6.9623779603690732</v>
      </c>
      <c r="DI14" s="11">
        <f>DH14+真實IC!DI14</f>
        <v>7.0490244086675586</v>
      </c>
      <c r="DJ14" s="11">
        <f>DI14+真實IC!DJ14</f>
        <v>7.0578184380548796</v>
      </c>
      <c r="DK14" s="11">
        <f>DJ14+真實IC!DK14</f>
        <v>7.1394399875587382</v>
      </c>
      <c r="DL14" s="11">
        <f>DK14+真實IC!DL14</f>
        <v>7.1801948593906371</v>
      </c>
      <c r="DM14" s="11">
        <f>DL14+真實IC!DM14</f>
        <v>7.1813160091283974</v>
      </c>
      <c r="DN14" s="11">
        <f>DM14+真實IC!DN14</f>
        <v>7.2239785050216616</v>
      </c>
      <c r="DO14" s="11">
        <f>DN14+真實IC!DO14</f>
        <v>7.3265706943848956</v>
      </c>
      <c r="DP14" s="11">
        <f>DO14+真實IC!DP14</f>
        <v>7.3894855024551962</v>
      </c>
      <c r="DQ14" s="11">
        <f>DP14+真實IC!DQ14</f>
        <v>7.4606580670363289</v>
      </c>
      <c r="DR14" s="11">
        <f>DQ14+真實IC!DR14</f>
        <v>7.5132805864953287</v>
      </c>
      <c r="DS14" s="11">
        <f>DR14+真實IC!DS14</f>
        <v>7.569332406423892</v>
      </c>
      <c r="DT14" s="11">
        <f>DS14+真實IC!DT14</f>
        <v>7.5770866967629749</v>
      </c>
      <c r="DU14" s="11">
        <f>DT14+真實IC!DU14</f>
        <v>7.6458819699551395</v>
      </c>
      <c r="DV14" s="11">
        <f>DU14+真實IC!DV14</f>
        <v>7.7541443244852468</v>
      </c>
      <c r="DW14" s="11">
        <f>DV14+真實IC!DW14</f>
        <v>7.7559536339937631</v>
      </c>
      <c r="DX14" s="11">
        <f>DW14+真實IC!DX14</f>
        <v>7.857885139546184</v>
      </c>
      <c r="DY14" s="11">
        <f>DX14+真實IC!DY14</f>
        <v>7.9321438396249349</v>
      </c>
      <c r="DZ14" s="11">
        <f>DY14+真實IC!DZ14</f>
        <v>7.967174839488715</v>
      </c>
      <c r="EA14" s="11">
        <f>DZ14+真實IC!EA14</f>
        <v>8.0300875240614573</v>
      </c>
      <c r="EB14" s="11">
        <f>EA14+真實IC!EB14</f>
        <v>8.1082673547617201</v>
      </c>
      <c r="EC14" s="11">
        <f>EB14+真實IC!EC14</f>
        <v>8.1143467369098534</v>
      </c>
      <c r="ED14" s="11">
        <f>EC14+真實IC!ED14</f>
        <v>8.2169764460960408</v>
      </c>
      <c r="EE14" s="11">
        <f>ED14+真實IC!EE14</f>
        <v>8.2135771925779686</v>
      </c>
      <c r="EF14" s="11">
        <f>EE14+真實IC!EF14</f>
        <v>8.239102547779849</v>
      </c>
    </row>
    <row r="15" spans="1:137" x14ac:dyDescent="0.3">
      <c r="A15" s="1">
        <v>100</v>
      </c>
      <c r="B15" s="1">
        <v>10</v>
      </c>
      <c r="C15" s="11">
        <f>IF(預測IC!C15&gt;預測IC!C$26,1,0)</f>
        <v>0</v>
      </c>
      <c r="D15" s="11">
        <f>C15+真實IC!D15</f>
        <v>0.37270921560992559</v>
      </c>
      <c r="E15" s="11">
        <f>D15+真實IC!E15</f>
        <v>0.43475489572688336</v>
      </c>
      <c r="F15" s="11">
        <f>E15+真實IC!F15</f>
        <v>0.39983345917018598</v>
      </c>
      <c r="G15" s="11">
        <f>F15+真實IC!G15</f>
        <v>0.43423738013722246</v>
      </c>
      <c r="H15" s="11">
        <f>G15+真實IC!H15</f>
        <v>0.55308108384458177</v>
      </c>
      <c r="I15" s="11">
        <f>H15+真實IC!I15</f>
        <v>0.61151252812444734</v>
      </c>
      <c r="J15" s="11">
        <f>I15+真實IC!J15</f>
        <v>0.66147399337183699</v>
      </c>
      <c r="K15" s="11">
        <f>J15+真實IC!K15</f>
        <v>0.75598879096376792</v>
      </c>
      <c r="L15" s="11">
        <f>K15+真實IC!L15</f>
        <v>0.74302170600272754</v>
      </c>
      <c r="M15" s="11">
        <f>L15+真實IC!M15</f>
        <v>0.74088868956643983</v>
      </c>
      <c r="N15" s="11">
        <f>M15+真實IC!N15</f>
        <v>1.0711980264312468</v>
      </c>
      <c r="O15" s="11">
        <f>N15+真實IC!O15</f>
        <v>1.058927230672094</v>
      </c>
      <c r="P15" s="11">
        <f>O15+真實IC!P15</f>
        <v>1.1230434136937557</v>
      </c>
      <c r="Q15" s="11">
        <f>P15+真實IC!Q15</f>
        <v>1.2785802558015682</v>
      </c>
      <c r="R15" s="11">
        <f>Q15+真實IC!R15</f>
        <v>1.2264505656964508</v>
      </c>
      <c r="S15" s="11">
        <f>R15+真實IC!S15</f>
        <v>1.4964584607786047</v>
      </c>
      <c r="T15" s="11">
        <f>S15+真實IC!T15</f>
        <v>1.542349537895789</v>
      </c>
      <c r="U15" s="11">
        <f>T15+真實IC!U15</f>
        <v>1.6793175995630578</v>
      </c>
      <c r="V15" s="11">
        <f>U15+真實IC!V15</f>
        <v>1.662185746214945</v>
      </c>
      <c r="W15" s="11">
        <f>V15+真實IC!W15</f>
        <v>1.7691203013728782</v>
      </c>
      <c r="X15" s="11">
        <f>W15+真實IC!X15</f>
        <v>1.98030662870326</v>
      </c>
      <c r="Y15" s="11">
        <f>X15+真實IC!Y15</f>
        <v>1.9596766543374402</v>
      </c>
      <c r="Z15" s="11">
        <f>Y15+真實IC!Z15</f>
        <v>2.0063966263907989</v>
      </c>
      <c r="AA15" s="11">
        <f>Z15+真實IC!AA15</f>
        <v>2.1672470106038633</v>
      </c>
      <c r="AB15" s="11">
        <f>AA15+真實IC!AB15</f>
        <v>2.2509471831196937</v>
      </c>
      <c r="AC15" s="11">
        <f>AB15+真實IC!AC15</f>
        <v>2.2552648519677487</v>
      </c>
      <c r="AD15" s="11">
        <f>AC15+真實IC!AD15</f>
        <v>2.2949553330954569</v>
      </c>
      <c r="AE15" s="11">
        <f>AD15+真實IC!AE15</f>
        <v>2.5067479761427287</v>
      </c>
      <c r="AF15" s="11">
        <f>AE15+真實IC!AF15</f>
        <v>2.644474263320383</v>
      </c>
      <c r="AG15" s="11">
        <f>AF15+真實IC!AG15</f>
        <v>2.6545977415820388</v>
      </c>
      <c r="AH15" s="11">
        <f>AG15+真實IC!AH15</f>
        <v>2.6209933682243625</v>
      </c>
      <c r="AI15" s="11">
        <f>AH15+真實IC!AI15</f>
        <v>2.6952703284344444</v>
      </c>
      <c r="AJ15" s="11">
        <f>AI15+真實IC!AJ15</f>
        <v>2.7047351884019202</v>
      </c>
      <c r="AK15" s="11">
        <f>AJ15+真實IC!AK15</f>
        <v>2.7664948080603651</v>
      </c>
      <c r="AL15" s="11">
        <f>AK15+真實IC!AL15</f>
        <v>2.7596130489489288</v>
      </c>
      <c r="AM15" s="11">
        <f>AL15+真實IC!AM15</f>
        <v>2.814735671083556</v>
      </c>
      <c r="AN15" s="11">
        <f>AM15+真實IC!AN15</f>
        <v>2.9164243769959395</v>
      </c>
      <c r="AO15" s="11">
        <f>AN15+真實IC!AO15</f>
        <v>2.8650398567559723</v>
      </c>
      <c r="AP15" s="11">
        <f>AO15+真實IC!AP15</f>
        <v>2.9433255506487264</v>
      </c>
      <c r="AQ15" s="11">
        <f>AP15+真實IC!AQ15</f>
        <v>2.963076537877086</v>
      </c>
      <c r="AR15" s="11">
        <f>AQ15+真實IC!AR15</f>
        <v>2.9385257181788074</v>
      </c>
      <c r="AS15" s="11">
        <f>AR15+真實IC!AS15</f>
        <v>2.8897924968247057</v>
      </c>
      <c r="AT15" s="11">
        <f>AS15+真實IC!AT15</f>
        <v>2.9607823094284109</v>
      </c>
      <c r="AU15" s="11">
        <f>AT15+真實IC!AU15</f>
        <v>3.1278907404978415</v>
      </c>
      <c r="AV15" s="11">
        <f>AU15+真實IC!AV15</f>
        <v>3.1651886691969522</v>
      </c>
      <c r="AW15" s="11">
        <f>AV15+真實IC!AW15</f>
        <v>3.256916141990303</v>
      </c>
      <c r="AX15" s="11">
        <f>AW15+真實IC!AX15</f>
        <v>3.338276707945071</v>
      </c>
      <c r="AY15" s="11">
        <f>AX15+真實IC!AY15</f>
        <v>3.366293772055104</v>
      </c>
      <c r="AZ15" s="11">
        <f>AY15+真實IC!AZ15</f>
        <v>3.4031411238077065</v>
      </c>
      <c r="BA15" s="11">
        <f>AZ15+真實IC!BA15</f>
        <v>3.5608290722160452</v>
      </c>
      <c r="BB15" s="11">
        <f>BA15+真實IC!BB15</f>
        <v>3.7585422217203859</v>
      </c>
      <c r="BC15" s="11">
        <f>BB15+真實IC!BC15</f>
        <v>3.7276055300980357</v>
      </c>
      <c r="BD15" s="11">
        <f>BC15+真實IC!BD15</f>
        <v>3.7349684460607415</v>
      </c>
      <c r="BE15" s="11">
        <f>BD15+真實IC!BE15</f>
        <v>3.7763664167576496</v>
      </c>
      <c r="BF15" s="11">
        <f>BE15+真實IC!BF15</f>
        <v>3.987238504247637</v>
      </c>
      <c r="BG15" s="11">
        <f>BF15+真實IC!BG15</f>
        <v>4.1532897197122338</v>
      </c>
      <c r="BH15" s="11">
        <f>BG15+真實IC!BH15</f>
        <v>4.2519387661186547</v>
      </c>
      <c r="BI15" s="11">
        <f>BH15+真實IC!BI15</f>
        <v>4.3205254252336243</v>
      </c>
      <c r="BJ15" s="11">
        <f>BI15+真實IC!BJ15</f>
        <v>4.3956793233472995</v>
      </c>
      <c r="BK15" s="11">
        <f>BJ15+真實IC!BK15</f>
        <v>4.3228099044647106</v>
      </c>
      <c r="BL15" s="11">
        <f>BK15+真實IC!BL15</f>
        <v>4.3825653254390318</v>
      </c>
      <c r="BM15" s="11">
        <f>BL15+真實IC!BM15</f>
        <v>4.4307843299267757</v>
      </c>
      <c r="BN15" s="11">
        <f>BM15+真實IC!BN15</f>
        <v>4.3647302947011939</v>
      </c>
      <c r="BO15" s="11">
        <f>BN15+真實IC!BO15</f>
        <v>4.3924647706561251</v>
      </c>
      <c r="BP15" s="11">
        <f>BO15+真實IC!BP15</f>
        <v>4.3408479161840603</v>
      </c>
      <c r="BQ15" s="11">
        <f>BP15+真實IC!BQ15</f>
        <v>4.3536508474743885</v>
      </c>
      <c r="BR15" s="11">
        <f>BQ15+真實IC!BR15</f>
        <v>4.4774129839108436</v>
      </c>
      <c r="BS15" s="11">
        <f>BR15+真實IC!BS15</f>
        <v>4.4892788948194555</v>
      </c>
      <c r="BT15" s="11">
        <f>BS15+真實IC!BT15</f>
        <v>4.5259125610150157</v>
      </c>
      <c r="BU15" s="11">
        <f>BT15+真實IC!BU15</f>
        <v>4.6114582947364555</v>
      </c>
      <c r="BV15" s="11">
        <f>BU15+真實IC!BV15</f>
        <v>4.7160983390301459</v>
      </c>
      <c r="BW15" s="11">
        <f>BV15+真實IC!BW15</f>
        <v>5.0149773286060739</v>
      </c>
      <c r="BX15" s="11">
        <f>BW15+真實IC!BX15</f>
        <v>5.0389267600434158</v>
      </c>
      <c r="BY15" s="11">
        <f>BX15+真實IC!BY15</f>
        <v>4.9129031864663286</v>
      </c>
      <c r="BZ15" s="11">
        <f>BY15+真實IC!BZ15</f>
        <v>5.0158096554436762</v>
      </c>
      <c r="CA15" s="11">
        <f>BZ15+真實IC!CA15</f>
        <v>5.034401676240118</v>
      </c>
      <c r="CB15" s="11">
        <f>CA15+真實IC!CB15</f>
        <v>5.1654930790241798</v>
      </c>
      <c r="CC15" s="11">
        <f>CB15+真實IC!CC15</f>
        <v>5.3391447847463001</v>
      </c>
      <c r="CD15" s="11">
        <f>CC15+真實IC!CD15</f>
        <v>5.4592968687093846</v>
      </c>
      <c r="CE15" s="11">
        <f>CD15+真實IC!CE15</f>
        <v>5.5326649887578352</v>
      </c>
      <c r="CF15" s="11">
        <f>CE15+真實IC!CF15</f>
        <v>5.6270216391512555</v>
      </c>
      <c r="CG15" s="11">
        <f>CF15+真實IC!CG15</f>
        <v>5.7129076606814193</v>
      </c>
      <c r="CH15" s="11">
        <f>CG15+真實IC!CH15</f>
        <v>5.7757936189651202</v>
      </c>
      <c r="CI15" s="11">
        <f>CH15+真實IC!CI15</f>
        <v>5.8145920338601007</v>
      </c>
      <c r="CJ15" s="11">
        <f>CI15+真實IC!CJ15</f>
        <v>5.8552637508071621</v>
      </c>
      <c r="CK15" s="11">
        <f>CJ15+真實IC!CK15</f>
        <v>5.9509044989798676</v>
      </c>
      <c r="CL15" s="11">
        <f>CK15+真實IC!CL15</f>
        <v>5.9823264739731163</v>
      </c>
      <c r="CM15" s="11">
        <f>CL15+真實IC!CM15</f>
        <v>6.0904462296860391</v>
      </c>
      <c r="CN15" s="11">
        <f>CM15+真實IC!CN15</f>
        <v>6.2335960466572793</v>
      </c>
      <c r="CO15" s="11">
        <f>CN15+真實IC!CO15</f>
        <v>6.4069560358963287</v>
      </c>
      <c r="CP15" s="11">
        <f>CO15+真實IC!CP15</f>
        <v>6.5344918713292781</v>
      </c>
      <c r="CQ15" s="11">
        <f>CP15+真實IC!CQ15</f>
        <v>6.5095285108728396</v>
      </c>
      <c r="CR15" s="11">
        <f>CQ15+真實IC!CR15</f>
        <v>6.6910174431085743</v>
      </c>
      <c r="CS15" s="11">
        <f>CR15+真實IC!CS15</f>
        <v>6.6975004942076195</v>
      </c>
      <c r="CT15" s="11">
        <f>CS15+真實IC!CT15</f>
        <v>6.7297170506526713</v>
      </c>
      <c r="CU15" s="11">
        <f>CT15+真實IC!CU15</f>
        <v>6.8537669820665394</v>
      </c>
      <c r="CV15" s="11">
        <f>CU15+真實IC!CV15</f>
        <v>7.0363785297834553</v>
      </c>
      <c r="CW15" s="11">
        <f>CV15+真實IC!CW15</f>
        <v>7.0624506206865822</v>
      </c>
      <c r="CX15" s="11">
        <f>CW15+真實IC!CX15</f>
        <v>7.0864902277399135</v>
      </c>
      <c r="CY15" s="11">
        <f>CX15+真實IC!CY15</f>
        <v>7.1422229385647418</v>
      </c>
      <c r="CZ15" s="11">
        <f>CY15+真實IC!CZ15</f>
        <v>7.2221098865090845</v>
      </c>
      <c r="DA15" s="11">
        <f>CZ15+真實IC!DA15</f>
        <v>7.3109720987064399</v>
      </c>
      <c r="DB15" s="11">
        <f>DA15+真實IC!DB15</f>
        <v>7.4080203402319054</v>
      </c>
      <c r="DC15" s="11">
        <f>DB15+真實IC!DC15</f>
        <v>7.4430954902064874</v>
      </c>
      <c r="DD15" s="11">
        <f>DC15+真實IC!DD15</f>
        <v>7.4576022163379339</v>
      </c>
      <c r="DE15" s="11">
        <f>DD15+真實IC!DE15</f>
        <v>7.5147658510691864</v>
      </c>
      <c r="DF15" s="11">
        <f>DE15+真實IC!DF15</f>
        <v>7.8174863007119688</v>
      </c>
      <c r="DG15" s="11">
        <f>DF15+真實IC!DG15</f>
        <v>7.8654037856863113</v>
      </c>
      <c r="DH15" s="11">
        <f>DG15+真實IC!DH15</f>
        <v>7.9950257213541684</v>
      </c>
      <c r="DI15" s="11">
        <f>DH15+真實IC!DI15</f>
        <v>8.0378374885672823</v>
      </c>
      <c r="DJ15" s="11">
        <f>DI15+真實IC!DJ15</f>
        <v>8.0978612652583397</v>
      </c>
      <c r="DK15" s="11">
        <f>DJ15+真實IC!DK15</f>
        <v>8.1981901921264217</v>
      </c>
      <c r="DL15" s="11">
        <f>DK15+真實IC!DL15</f>
        <v>8.1978861989235945</v>
      </c>
      <c r="DM15" s="11">
        <f>DL15+真實IC!DM15</f>
        <v>8.1961129341863863</v>
      </c>
      <c r="DN15" s="11">
        <f>DM15+真實IC!DN15</f>
        <v>8.2401094316100068</v>
      </c>
      <c r="DO15" s="11">
        <f>DN15+真實IC!DO15</f>
        <v>8.3996548429692783</v>
      </c>
      <c r="DP15" s="11">
        <f>DO15+真實IC!DP15</f>
        <v>8.5339597903346451</v>
      </c>
      <c r="DQ15" s="11">
        <f>DP15+真實IC!DQ15</f>
        <v>8.5709984792868426</v>
      </c>
      <c r="DR15" s="11">
        <f>DQ15+真實IC!DR15</f>
        <v>8.6410090459047808</v>
      </c>
      <c r="DS15" s="11">
        <f>DR15+真實IC!DS15</f>
        <v>8.6785391896827484</v>
      </c>
      <c r="DT15" s="11">
        <f>DS15+真實IC!DT15</f>
        <v>8.7312579796718186</v>
      </c>
      <c r="DU15" s="11">
        <f>DT15+真實IC!DU15</f>
        <v>8.8483856331824668</v>
      </c>
      <c r="DV15" s="11">
        <f>DU15+真實IC!DV15</f>
        <v>8.9881539901233385</v>
      </c>
      <c r="DW15" s="11">
        <f>DV15+真實IC!DW15</f>
        <v>8.9273276637859578</v>
      </c>
      <c r="DX15" s="11">
        <f>DW15+真實IC!DX15</f>
        <v>9.045943914435945</v>
      </c>
      <c r="DY15" s="11">
        <f>DX15+真實IC!DY15</f>
        <v>9.1895534888167276</v>
      </c>
      <c r="DZ15" s="11">
        <f>DY15+真實IC!DZ15</f>
        <v>9.2300091421207373</v>
      </c>
      <c r="EA15" s="11">
        <f>DZ15+真實IC!EA15</f>
        <v>9.2734603624010621</v>
      </c>
      <c r="EB15" s="11">
        <f>EA15+真實IC!EB15</f>
        <v>9.3615478119283164</v>
      </c>
      <c r="EC15" s="11">
        <f>EB15+真實IC!EC15</f>
        <v>9.4276296679762623</v>
      </c>
      <c r="ED15" s="11">
        <f>EC15+真實IC!ED15</f>
        <v>9.5409867239115744</v>
      </c>
      <c r="EE15" s="11">
        <f>ED15+真實IC!EE15</f>
        <v>9.5441774444131013</v>
      </c>
      <c r="EF15" s="11">
        <f>EE15+真實IC!EF15</f>
        <v>9.5738234994851066</v>
      </c>
    </row>
    <row r="16" spans="1:137" x14ac:dyDescent="0.3">
      <c r="A16" s="1">
        <v>107</v>
      </c>
      <c r="B16" s="1">
        <v>9</v>
      </c>
      <c r="C16" s="11">
        <f>IF(預測IC!C16&gt;預測IC!C$26,1,0)</f>
        <v>0</v>
      </c>
      <c r="D16" s="11">
        <f>C16+真實IC!D16</f>
        <v>0.40819497873258059</v>
      </c>
      <c r="E16" s="11">
        <f>D16+真實IC!E16</f>
        <v>0.47320155584390883</v>
      </c>
      <c r="F16" s="11">
        <f>E16+真實IC!F16</f>
        <v>0.39448608393957785</v>
      </c>
      <c r="G16" s="11">
        <f>F16+真實IC!G16</f>
        <v>0.40263263459852711</v>
      </c>
      <c r="H16" s="11">
        <f>G16+真實IC!H16</f>
        <v>0.47548069088617462</v>
      </c>
      <c r="I16" s="11">
        <f>H16+真實IC!I16</f>
        <v>0.5330113095517961</v>
      </c>
      <c r="J16" s="11">
        <f>I16+真實IC!J16</f>
        <v>0.57972123559446231</v>
      </c>
      <c r="K16" s="11">
        <f>J16+真實IC!K16</f>
        <v>0.66614212717685284</v>
      </c>
      <c r="L16" s="11">
        <f>K16+真實IC!L16</f>
        <v>0.6351149762113798</v>
      </c>
      <c r="M16" s="11">
        <f>L16+真實IC!M16</f>
        <v>0.62112754034946271</v>
      </c>
      <c r="N16" s="11">
        <f>M16+真實IC!N16</f>
        <v>0.98811514947204904</v>
      </c>
      <c r="O16" s="11">
        <f>N16+真實IC!O16</f>
        <v>0.95952807259306983</v>
      </c>
      <c r="P16" s="11">
        <f>O16+真實IC!P16</f>
        <v>1.0205733043844922</v>
      </c>
      <c r="Q16" s="11">
        <f>P16+真實IC!Q16</f>
        <v>1.1784763748088303</v>
      </c>
      <c r="R16" s="11">
        <f>Q16+真實IC!R16</f>
        <v>1.1294853965259037</v>
      </c>
      <c r="S16" s="11">
        <f>R16+真實IC!S16</f>
        <v>1.4165484169246985</v>
      </c>
      <c r="T16" s="11">
        <f>S16+真實IC!T16</f>
        <v>1.4549550902183104</v>
      </c>
      <c r="U16" s="11">
        <f>T16+真實IC!U16</f>
        <v>1.5850175616480549</v>
      </c>
      <c r="V16" s="11">
        <f>U16+真實IC!V16</f>
        <v>1.5789954163150892</v>
      </c>
      <c r="W16" s="11">
        <f>V16+真實IC!W16</f>
        <v>1.6573689043427271</v>
      </c>
      <c r="X16" s="11">
        <f>W16+真實IC!X16</f>
        <v>1.8979008659698933</v>
      </c>
      <c r="Y16" s="11">
        <f>X16+真實IC!Y16</f>
        <v>1.8777202775502577</v>
      </c>
      <c r="Z16" s="11">
        <f>Y16+真實IC!Z16</f>
        <v>1.9207782084344693</v>
      </c>
      <c r="AA16" s="11">
        <f>Z16+真實IC!AA16</f>
        <v>2.0869370997317862</v>
      </c>
      <c r="AB16" s="11">
        <f>AA16+真實IC!AB16</f>
        <v>2.1619221413697667</v>
      </c>
      <c r="AC16" s="11">
        <f>AB16+真實IC!AC16</f>
        <v>2.14915669333435</v>
      </c>
      <c r="AD16" s="11">
        <f>AC16+真實IC!AD16</f>
        <v>2.1839678651916015</v>
      </c>
      <c r="AE16" s="11">
        <f>AD16+真實IC!AE16</f>
        <v>2.3935961063685118</v>
      </c>
      <c r="AF16" s="11">
        <f>AE16+真實IC!AF16</f>
        <v>2.5415117166329382</v>
      </c>
      <c r="AG16" s="11">
        <f>AF16+真實IC!AG16</f>
        <v>2.5548024696694736</v>
      </c>
      <c r="AH16" s="11">
        <f>AG16+真實IC!AH16</f>
        <v>2.5230370692200328</v>
      </c>
      <c r="AI16" s="11">
        <f>AH16+真實IC!AI16</f>
        <v>2.6135597184371875</v>
      </c>
      <c r="AJ16" s="11">
        <f>AI16+真實IC!AJ16</f>
        <v>2.6065337523653116</v>
      </c>
      <c r="AK16" s="11">
        <f>AJ16+真實IC!AK16</f>
        <v>2.6709551531976836</v>
      </c>
      <c r="AL16" s="11">
        <f>AK16+真實IC!AL16</f>
        <v>2.656482641680225</v>
      </c>
      <c r="AM16" s="11">
        <f>AL16+真實IC!AM16</f>
        <v>2.7225593722820229</v>
      </c>
      <c r="AN16" s="11">
        <f>AM16+真實IC!AN16</f>
        <v>2.8290155723716985</v>
      </c>
      <c r="AO16" s="11">
        <f>AN16+真實IC!AO16</f>
        <v>2.7879254190099574</v>
      </c>
      <c r="AP16" s="11">
        <f>AO16+真實IC!AP16</f>
        <v>2.8657237871555461</v>
      </c>
      <c r="AQ16" s="11">
        <f>AP16+真實IC!AQ16</f>
        <v>2.8897598410100986</v>
      </c>
      <c r="AR16" s="11">
        <f>AQ16+真實IC!AR16</f>
        <v>2.8572670812900349</v>
      </c>
      <c r="AS16" s="11">
        <f>AR16+真實IC!AS16</f>
        <v>2.8046243630518011</v>
      </c>
      <c r="AT16" s="11">
        <f>AS16+真實IC!AT16</f>
        <v>2.9271884064020859</v>
      </c>
      <c r="AU16" s="11">
        <f>AT16+真實IC!AU16</f>
        <v>3.0974242952192257</v>
      </c>
      <c r="AV16" s="11">
        <f>AU16+真實IC!AV16</f>
        <v>3.1495051306559634</v>
      </c>
      <c r="AW16" s="11">
        <f>AV16+真實IC!AW16</f>
        <v>3.2584900692974923</v>
      </c>
      <c r="AX16" s="11">
        <f>AW16+真實IC!AX16</f>
        <v>3.3591113983988952</v>
      </c>
      <c r="AY16" s="11">
        <f>AX16+真實IC!AY16</f>
        <v>3.3929239882432412</v>
      </c>
      <c r="AZ16" s="11">
        <f>AY16+真實IC!AZ16</f>
        <v>3.4397508642466179</v>
      </c>
      <c r="BA16" s="11">
        <f>AZ16+真實IC!BA16</f>
        <v>3.5997415644212389</v>
      </c>
      <c r="BB16" s="11">
        <f>BA16+真實IC!BB16</f>
        <v>3.8252151274969783</v>
      </c>
      <c r="BC16" s="11">
        <f>BB16+真實IC!BC16</f>
        <v>3.7862157355747468</v>
      </c>
      <c r="BD16" s="11">
        <f>BC16+真實IC!BD16</f>
        <v>3.7924979199996303</v>
      </c>
      <c r="BE16" s="11">
        <f>BD16+真實IC!BE16</f>
        <v>3.8536955639260895</v>
      </c>
      <c r="BF16" s="11">
        <f>BE16+真實IC!BF16</f>
        <v>4.1014824230265496</v>
      </c>
      <c r="BG16" s="11">
        <f>BF16+真實IC!BG16</f>
        <v>4.2627119926109005</v>
      </c>
      <c r="BH16" s="11">
        <f>BG16+真實IC!BH16</f>
        <v>4.3588740271186346</v>
      </c>
      <c r="BI16" s="11">
        <f>BH16+真實IC!BI16</f>
        <v>4.4003178348818963</v>
      </c>
      <c r="BJ16" s="11">
        <f>BI16+真實IC!BJ16</f>
        <v>4.4817459536578701</v>
      </c>
      <c r="BK16" s="11">
        <f>BJ16+真實IC!BK16</f>
        <v>4.3769727507373011</v>
      </c>
      <c r="BL16" s="11">
        <f>BK16+真實IC!BL16</f>
        <v>4.4381463502217713</v>
      </c>
      <c r="BM16" s="11">
        <f>BL16+真實IC!BM16</f>
        <v>4.4776443357128777</v>
      </c>
      <c r="BN16" s="11">
        <f>BM16+真實IC!BN16</f>
        <v>4.4104463653081885</v>
      </c>
      <c r="BO16" s="11">
        <f>BN16+真實IC!BO16</f>
        <v>4.4323367252618464</v>
      </c>
      <c r="BP16" s="11">
        <f>BO16+真實IC!BP16</f>
        <v>4.3745866645813907</v>
      </c>
      <c r="BQ16" s="11">
        <f>BP16+真實IC!BQ16</f>
        <v>4.391064680836319</v>
      </c>
      <c r="BR16" s="11">
        <f>BQ16+真實IC!BR16</f>
        <v>4.5216476490613404</v>
      </c>
      <c r="BS16" s="11">
        <f>BR16+真實IC!BS16</f>
        <v>4.5536546362542234</v>
      </c>
      <c r="BT16" s="11">
        <f>BS16+真實IC!BT16</f>
        <v>4.5917207144664687</v>
      </c>
      <c r="BU16" s="11">
        <f>BT16+真實IC!BU16</f>
        <v>4.6932572886947739</v>
      </c>
      <c r="BV16" s="11">
        <f>BU16+真實IC!BV16</f>
        <v>4.7298429266185202</v>
      </c>
      <c r="BW16" s="11">
        <f>BV16+真實IC!BW16</f>
        <v>5.0478137611568874</v>
      </c>
      <c r="BX16" s="11">
        <f>BW16+真實IC!BX16</f>
        <v>5.0718920329862343</v>
      </c>
      <c r="BY16" s="11">
        <f>BX16+真實IC!BY16</f>
        <v>4.9393336237288548</v>
      </c>
      <c r="BZ16" s="11">
        <f>BY16+真實IC!BZ16</f>
        <v>5.0508594722305036</v>
      </c>
      <c r="CA16" s="11">
        <f>BZ16+真實IC!CA16</f>
        <v>5.0805738619860668</v>
      </c>
      <c r="CB16" s="11">
        <f>CA16+真實IC!CB16</f>
        <v>5.2198825979194003</v>
      </c>
      <c r="CC16" s="11">
        <f>CB16+真實IC!CC16</f>
        <v>5.2642707510896063</v>
      </c>
      <c r="CD16" s="11">
        <f>CC16+真實IC!CD16</f>
        <v>5.4193420227159681</v>
      </c>
      <c r="CE16" s="11">
        <f>CD16+真實IC!CE16</f>
        <v>5.5129562531838836</v>
      </c>
      <c r="CF16" s="11">
        <f>CE16+真實IC!CF16</f>
        <v>5.6181575171936347</v>
      </c>
      <c r="CG16" s="11">
        <f>CF16+真實IC!CG16</f>
        <v>5.6798853953403015</v>
      </c>
      <c r="CH16" s="11">
        <f>CG16+真實IC!CH16</f>
        <v>5.7215828100433281</v>
      </c>
      <c r="CI16" s="11">
        <f>CH16+真實IC!CI16</f>
        <v>5.7602926918718458</v>
      </c>
      <c r="CJ16" s="11">
        <f>CI16+真實IC!CJ16</f>
        <v>5.7899960773656094</v>
      </c>
      <c r="CK16" s="11">
        <f>CJ16+真實IC!CK16</f>
        <v>5.8784187671472168</v>
      </c>
      <c r="CL16" s="11">
        <f>CK16+真實IC!CL16</f>
        <v>5.8942974494819262</v>
      </c>
      <c r="CM16" s="11">
        <f>CL16+真實IC!CM16</f>
        <v>6.0073532878733005</v>
      </c>
      <c r="CN16" s="11">
        <f>CM16+真實IC!CN16</f>
        <v>6.1677132041898277</v>
      </c>
      <c r="CO16" s="11">
        <f>CN16+真實IC!CO16</f>
        <v>6.3772607226495799</v>
      </c>
      <c r="CP16" s="11">
        <f>CO16+真實IC!CP16</f>
        <v>6.5138924121316713</v>
      </c>
      <c r="CQ16" s="11">
        <f>CP16+真實IC!CQ16</f>
        <v>6.4935586323113101</v>
      </c>
      <c r="CR16" s="11">
        <f>CQ16+真實IC!CR16</f>
        <v>6.6828451657787085</v>
      </c>
      <c r="CS16" s="11">
        <f>CR16+真實IC!CS16</f>
        <v>6.7236973533734519</v>
      </c>
      <c r="CT16" s="11">
        <f>CS16+真實IC!CT16</f>
        <v>6.7726008792048811</v>
      </c>
      <c r="CU16" s="11">
        <f>CT16+真實IC!CU16</f>
        <v>6.9080725800690868</v>
      </c>
      <c r="CV16" s="11">
        <f>CU16+真實IC!CV16</f>
        <v>7.0803241027075732</v>
      </c>
      <c r="CW16" s="11">
        <f>CV16+真實IC!CW16</f>
        <v>7.1276657618818531</v>
      </c>
      <c r="CX16" s="11">
        <f>CW16+真實IC!CX16</f>
        <v>7.1399060466361028</v>
      </c>
      <c r="CY16" s="11">
        <f>CX16+真實IC!CY16</f>
        <v>7.1984603528073556</v>
      </c>
      <c r="CZ16" s="11">
        <f>CY16+真實IC!CZ16</f>
        <v>7.3010936119854879</v>
      </c>
      <c r="DA16" s="11">
        <f>CZ16+真實IC!DA16</f>
        <v>7.4192749423479372</v>
      </c>
      <c r="DB16" s="11">
        <f>DA16+真實IC!DB16</f>
        <v>7.5172922252337342</v>
      </c>
      <c r="DC16" s="11">
        <f>DB16+真實IC!DC16</f>
        <v>7.5602345875542341</v>
      </c>
      <c r="DD16" s="11">
        <f>DC16+真實IC!DD16</f>
        <v>7.5919782980415143</v>
      </c>
      <c r="DE16" s="11">
        <f>DD16+真實IC!DE16</f>
        <v>7.6265306984003045</v>
      </c>
      <c r="DF16" s="11">
        <f>DE16+真實IC!DF16</f>
        <v>7.9521102493174567</v>
      </c>
      <c r="DG16" s="11">
        <f>DF16+真實IC!DG16</f>
        <v>7.9977871643463487</v>
      </c>
      <c r="DH16" s="11">
        <f>DG16+真實IC!DH16</f>
        <v>8.1349349247588574</v>
      </c>
      <c r="DI16" s="11">
        <f>DH16+真實IC!DI16</f>
        <v>8.1827645324758453</v>
      </c>
      <c r="DJ16" s="11">
        <f>DI16+真實IC!DJ16</f>
        <v>8.2537195849127301</v>
      </c>
      <c r="DK16" s="11">
        <f>DJ16+真實IC!DK16</f>
        <v>8.3499742097119274</v>
      </c>
      <c r="DL16" s="11">
        <f>DK16+真實IC!DL16</f>
        <v>8.3281013354621525</v>
      </c>
      <c r="DM16" s="11">
        <f>DL16+真實IC!DM16</f>
        <v>8.2899663399015999</v>
      </c>
      <c r="DN16" s="11">
        <f>DM16+真實IC!DN16</f>
        <v>8.3324041932610076</v>
      </c>
      <c r="DO16" s="11">
        <f>DN16+真實IC!DO16</f>
        <v>8.5019951396490825</v>
      </c>
      <c r="DP16" s="11">
        <f>DO16+真實IC!DP16</f>
        <v>8.6623291341248958</v>
      </c>
      <c r="DQ16" s="11">
        <f>DP16+真實IC!DQ16</f>
        <v>8.7093992901294275</v>
      </c>
      <c r="DR16" s="11">
        <f>DQ16+真實IC!DR16</f>
        <v>8.7645905417789418</v>
      </c>
      <c r="DS16" s="11">
        <f>DR16+真實IC!DS16</f>
        <v>8.7860312144914356</v>
      </c>
      <c r="DT16" s="11">
        <f>DS16+真實IC!DT16</f>
        <v>8.8451441895696217</v>
      </c>
      <c r="DU16" s="11">
        <f>DT16+真實IC!DU16</f>
        <v>8.9679162360925861</v>
      </c>
      <c r="DV16" s="11">
        <f>DU16+真實IC!DV16</f>
        <v>9.1048699681103802</v>
      </c>
      <c r="DW16" s="11">
        <f>DV16+真實IC!DW16</f>
        <v>9.033567393987024</v>
      </c>
      <c r="DX16" s="11">
        <f>DW16+真實IC!DX16</f>
        <v>9.1588521003110017</v>
      </c>
      <c r="DY16" s="11">
        <f>DX16+真實IC!DY16</f>
        <v>9.3164242330463747</v>
      </c>
      <c r="DZ16" s="11">
        <f>DY16+真實IC!DZ16</f>
        <v>9.3752349812374209</v>
      </c>
      <c r="EA16" s="11">
        <f>DZ16+真實IC!EA16</f>
        <v>9.3756554964776644</v>
      </c>
      <c r="EB16" s="11">
        <f>EA16+真實IC!EB16</f>
        <v>9.4763345971548656</v>
      </c>
      <c r="EC16" s="11">
        <f>EB16+真實IC!EC16</f>
        <v>9.5398666637894358</v>
      </c>
      <c r="ED16" s="11">
        <f>EC16+真實IC!ED16</f>
        <v>9.655283411288357</v>
      </c>
      <c r="EE16" s="11">
        <f>ED16+真實IC!EE16</f>
        <v>9.6596800865951167</v>
      </c>
      <c r="EF16" s="11">
        <f>EE16+真實IC!EF16</f>
        <v>9.6942307225750959</v>
      </c>
    </row>
    <row r="17" spans="1:136" x14ac:dyDescent="0.3">
      <c r="A17" s="1">
        <v>120</v>
      </c>
      <c r="B17" s="1">
        <v>8</v>
      </c>
      <c r="C17" s="11">
        <f>IF(預測IC!C17&gt;預測IC!C$26,1,0)</f>
        <v>0</v>
      </c>
      <c r="D17" s="11">
        <f>C17+真實IC!D17</f>
        <v>0.43958848862462141</v>
      </c>
      <c r="E17" s="11">
        <f>D17+真實IC!E17</f>
        <v>0.51917833801537439</v>
      </c>
      <c r="F17" s="11">
        <f>E17+真實IC!F17</f>
        <v>0.43842617386305527</v>
      </c>
      <c r="G17" s="11">
        <f>F17+真實IC!G17</f>
        <v>0.54381324852678592</v>
      </c>
      <c r="H17" s="11">
        <f>G17+真實IC!H17</f>
        <v>0.64880730215452687</v>
      </c>
      <c r="I17" s="11">
        <f>H17+真實IC!I17</f>
        <v>0.76253232995671438</v>
      </c>
      <c r="J17" s="11">
        <f>I17+真實IC!J17</f>
        <v>0.80439072507494358</v>
      </c>
      <c r="K17" s="11">
        <f>J17+真實IC!K17</f>
        <v>0.90595080479725354</v>
      </c>
      <c r="L17" s="11">
        <f>K17+真實IC!L17</f>
        <v>0.87217487525861537</v>
      </c>
      <c r="M17" s="11">
        <f>L17+真實IC!M17</f>
        <v>0.88683401734890377</v>
      </c>
      <c r="N17" s="11">
        <f>M17+真實IC!N17</f>
        <v>1.2919420262883659</v>
      </c>
      <c r="O17" s="11">
        <f>N17+真實IC!O17</f>
        <v>1.2806353502242336</v>
      </c>
      <c r="P17" s="11">
        <f>O17+真實IC!P17</f>
        <v>1.3469747193630646</v>
      </c>
      <c r="Q17" s="11">
        <f>P17+真實IC!Q17</f>
        <v>1.5087760139781914</v>
      </c>
      <c r="R17" s="11">
        <f>Q17+真實IC!R17</f>
        <v>1.4567184050736641</v>
      </c>
      <c r="S17" s="11">
        <f>R17+真實IC!S17</f>
        <v>1.7673718377289624</v>
      </c>
      <c r="T17" s="11">
        <f>S17+真實IC!T17</f>
        <v>1.7907144232399033</v>
      </c>
      <c r="U17" s="11">
        <f>T17+真實IC!U17</f>
        <v>1.9319855657784601</v>
      </c>
      <c r="V17" s="11">
        <f>U17+真實IC!V17</f>
        <v>1.9359967556081585</v>
      </c>
      <c r="W17" s="11">
        <f>V17+真實IC!W17</f>
        <v>2.0151387444101756</v>
      </c>
      <c r="X17" s="11">
        <f>W17+真實IC!X17</f>
        <v>2.2531281757304904</v>
      </c>
      <c r="Y17" s="11">
        <f>X17+真實IC!Y17</f>
        <v>2.2302001646678353</v>
      </c>
      <c r="Z17" s="11">
        <f>Y17+真實IC!Z17</f>
        <v>2.284068653958701</v>
      </c>
      <c r="AA17" s="11">
        <f>Z17+真實IC!AA17</f>
        <v>2.4753520908741105</v>
      </c>
      <c r="AB17" s="11">
        <f>AA17+真實IC!AB17</f>
        <v>2.5602041537522826</v>
      </c>
      <c r="AC17" s="11">
        <f>AB17+真實IC!AC17</f>
        <v>2.5401178990142612</v>
      </c>
      <c r="AD17" s="11">
        <f>AC17+真實IC!AD17</f>
        <v>2.6087377222511079</v>
      </c>
      <c r="AE17" s="11">
        <f>AD17+真實IC!AE17</f>
        <v>2.8308604266795587</v>
      </c>
      <c r="AF17" s="11">
        <f>AE17+真實IC!AF17</f>
        <v>2.951146751335405</v>
      </c>
      <c r="AG17" s="11">
        <f>AF17+真實IC!AG17</f>
        <v>2.9738877321231953</v>
      </c>
      <c r="AH17" s="11">
        <f>AG17+真實IC!AH17</f>
        <v>2.9384151129503064</v>
      </c>
      <c r="AI17" s="11">
        <f>AH17+真實IC!AI17</f>
        <v>3.053279558348593</v>
      </c>
      <c r="AJ17" s="11">
        <f>AI17+真實IC!AJ17</f>
        <v>3.0106769278296359</v>
      </c>
      <c r="AK17" s="11">
        <f>AJ17+真實IC!AK17</f>
        <v>3.0843932025686724</v>
      </c>
      <c r="AL17" s="11">
        <f>AK17+真實IC!AL17</f>
        <v>3.0744094692336739</v>
      </c>
      <c r="AM17" s="11">
        <f>AL17+真實IC!AM17</f>
        <v>3.1497788368213309</v>
      </c>
      <c r="AN17" s="11">
        <f>AM17+真實IC!AN17</f>
        <v>3.2630659571672487</v>
      </c>
      <c r="AO17" s="11">
        <f>AN17+真實IC!AO17</f>
        <v>3.1863714295446255</v>
      </c>
      <c r="AP17" s="11">
        <f>AO17+真實IC!AP17</f>
        <v>3.2636142439642111</v>
      </c>
      <c r="AQ17" s="11">
        <f>AP17+真實IC!AQ17</f>
        <v>3.2728482374400003</v>
      </c>
      <c r="AR17" s="11">
        <f>AQ17+真實IC!AR17</f>
        <v>3.2378509564049427</v>
      </c>
      <c r="AS17" s="11">
        <f>AR17+真實IC!AS17</f>
        <v>3.1790479994607082</v>
      </c>
      <c r="AT17" s="11">
        <f>AS17+真實IC!AT17</f>
        <v>3.30611979256796</v>
      </c>
      <c r="AU17" s="11">
        <f>AT17+真實IC!AU17</f>
        <v>3.4836818183161316</v>
      </c>
      <c r="AV17" s="11">
        <f>AU17+真實IC!AV17</f>
        <v>3.5422112676507629</v>
      </c>
      <c r="AW17" s="11">
        <f>AV17+真實IC!AW17</f>
        <v>3.6184008778805796</v>
      </c>
      <c r="AX17" s="11">
        <f>AW17+真實IC!AX17</f>
        <v>3.7160199829981875</v>
      </c>
      <c r="AY17" s="11">
        <f>AX17+真實IC!AY17</f>
        <v>3.7434436796887884</v>
      </c>
      <c r="AZ17" s="11">
        <f>AY17+真實IC!AZ17</f>
        <v>3.7914241134979614</v>
      </c>
      <c r="BA17" s="11">
        <f>AZ17+真實IC!BA17</f>
        <v>3.9542305233077242</v>
      </c>
      <c r="BB17" s="11">
        <f>BA17+真實IC!BB17</f>
        <v>4.1846725682555945</v>
      </c>
      <c r="BC17" s="11">
        <f>BB17+真實IC!BC17</f>
        <v>4.1573797438751043</v>
      </c>
      <c r="BD17" s="11">
        <f>BC17+真實IC!BD17</f>
        <v>4.1767916157679812</v>
      </c>
      <c r="BE17" s="11">
        <f>BD17+真實IC!BE17</f>
        <v>4.2209018691128195</v>
      </c>
      <c r="BF17" s="11">
        <f>BE17+真實IC!BF17</f>
        <v>4.3686786993929783</v>
      </c>
      <c r="BG17" s="11">
        <f>BF17+真實IC!BG17</f>
        <v>4.554430277523859</v>
      </c>
      <c r="BH17" s="11">
        <f>BG17+真實IC!BH17</f>
        <v>4.6876213908491877</v>
      </c>
      <c r="BI17" s="11">
        <f>BH17+真實IC!BI17</f>
        <v>4.7747333362891347</v>
      </c>
      <c r="BJ17" s="11">
        <f>BI17+真實IC!BJ17</f>
        <v>4.8639248138457942</v>
      </c>
      <c r="BK17" s="11">
        <f>BJ17+真實IC!BK17</f>
        <v>4.7491090218462766</v>
      </c>
      <c r="BL17" s="11">
        <f>BK17+真實IC!BL17</f>
        <v>4.7832614691705713</v>
      </c>
      <c r="BM17" s="11">
        <f>BL17+真實IC!BM17</f>
        <v>4.8123204803229251</v>
      </c>
      <c r="BN17" s="11">
        <f>BM17+真實IC!BN17</f>
        <v>4.7386637123865594</v>
      </c>
      <c r="BO17" s="11">
        <f>BN17+真實IC!BO17</f>
        <v>4.7738433278032826</v>
      </c>
      <c r="BP17" s="11">
        <f>BO17+真實IC!BP17</f>
        <v>4.7132051808933655</v>
      </c>
      <c r="BQ17" s="11">
        <f>BP17+真實IC!BQ17</f>
        <v>4.7245816913398171</v>
      </c>
      <c r="BR17" s="11">
        <f>BQ17+真實IC!BR17</f>
        <v>4.8396040443655686</v>
      </c>
      <c r="BS17" s="11">
        <f>BR17+真實IC!BS17</f>
        <v>4.8605100625792641</v>
      </c>
      <c r="BT17" s="11">
        <f>BS17+真實IC!BT17</f>
        <v>4.8941576358256222</v>
      </c>
      <c r="BU17" s="11">
        <f>BT17+真實IC!BU17</f>
        <v>4.9986819353584826</v>
      </c>
      <c r="BV17" s="11">
        <f>BU17+真實IC!BV17</f>
        <v>5.0369228918606765</v>
      </c>
      <c r="BW17" s="11">
        <f>BV17+真實IC!BW17</f>
        <v>5.2452597173780653</v>
      </c>
      <c r="BX17" s="11">
        <f>BW17+真實IC!BX17</f>
        <v>5.2523555072195318</v>
      </c>
      <c r="BY17" s="11">
        <f>BX17+真實IC!BY17</f>
        <v>5.1098781320930646</v>
      </c>
      <c r="BZ17" s="11">
        <f>BY17+真實IC!BZ17</f>
        <v>5.2304562879741496</v>
      </c>
      <c r="CA17" s="11">
        <f>BZ17+真實IC!CA17</f>
        <v>5.2583911203326394</v>
      </c>
      <c r="CB17" s="11">
        <f>CA17+真實IC!CB17</f>
        <v>5.408024278025529</v>
      </c>
      <c r="CC17" s="11">
        <f>CB17+真實IC!CC17</f>
        <v>5.4497845304997643</v>
      </c>
      <c r="CD17" s="11">
        <f>CC17+真實IC!CD17</f>
        <v>5.6227442717189131</v>
      </c>
      <c r="CE17" s="11">
        <f>CD17+真實IC!CE17</f>
        <v>5.7184523453804079</v>
      </c>
      <c r="CF17" s="11">
        <f>CE17+真實IC!CF17</f>
        <v>5.8171985428066062</v>
      </c>
      <c r="CG17" s="11">
        <f>CF17+真實IC!CG17</f>
        <v>5.8919135314353372</v>
      </c>
      <c r="CH17" s="11">
        <f>CG17+真實IC!CH17</f>
        <v>5.9505499780423872</v>
      </c>
      <c r="CI17" s="11">
        <f>CH17+真實IC!CI17</f>
        <v>5.965081163031976</v>
      </c>
      <c r="CJ17" s="11">
        <f>CI17+真實IC!CJ17</f>
        <v>5.9860319905133244</v>
      </c>
      <c r="CK17" s="11">
        <f>CJ17+真實IC!CK17</f>
        <v>6.0699878387729553</v>
      </c>
      <c r="CL17" s="11">
        <f>CK17+真實IC!CL17</f>
        <v>6.0605614940039239</v>
      </c>
      <c r="CM17" s="11">
        <f>CL17+真實IC!CM17</f>
        <v>6.1560553648204772</v>
      </c>
      <c r="CN17" s="11">
        <f>CM17+真實IC!CN17</f>
        <v>6.3325866434018643</v>
      </c>
      <c r="CO17" s="11">
        <f>CN17+真實IC!CO17</f>
        <v>6.530667063291653</v>
      </c>
      <c r="CP17" s="11">
        <f>CO17+真實IC!CP17</f>
        <v>6.6788263324889963</v>
      </c>
      <c r="CQ17" s="11">
        <f>CP17+真實IC!CQ17</f>
        <v>6.7307334358307225</v>
      </c>
      <c r="CR17" s="11">
        <f>CQ17+真實IC!CR17</f>
        <v>6.927136067593012</v>
      </c>
      <c r="CS17" s="11">
        <f>CR17+真實IC!CS17</f>
        <v>6.9584818859887303</v>
      </c>
      <c r="CT17" s="11">
        <f>CS17+真實IC!CT17</f>
        <v>7.017135682591344</v>
      </c>
      <c r="CU17" s="11">
        <f>CT17+真實IC!CU17</f>
        <v>7.172487575391103</v>
      </c>
      <c r="CV17" s="11">
        <f>CU17+真實IC!CV17</f>
        <v>7.3239589602524573</v>
      </c>
      <c r="CW17" s="11">
        <f>CV17+真實IC!CW17</f>
        <v>7.3873521790569452</v>
      </c>
      <c r="CX17" s="11">
        <f>CW17+真實IC!CX17</f>
        <v>7.3981245735808931</v>
      </c>
      <c r="CY17" s="11">
        <f>CX17+真實IC!CY17</f>
        <v>7.4576225254407156</v>
      </c>
      <c r="CZ17" s="11">
        <f>CY17+真實IC!CZ17</f>
        <v>7.5818713632883359</v>
      </c>
      <c r="DA17" s="11">
        <f>CZ17+真實IC!DA17</f>
        <v>7.6763677625078266</v>
      </c>
      <c r="DB17" s="11">
        <f>DA17+真實IC!DB17</f>
        <v>7.7806393884109095</v>
      </c>
      <c r="DC17" s="11">
        <f>DB17+真實IC!DC17</f>
        <v>7.8240028573884084</v>
      </c>
      <c r="DD17" s="11">
        <f>DC17+真實IC!DD17</f>
        <v>7.8531582782712892</v>
      </c>
      <c r="DE17" s="11">
        <f>DD17+真實IC!DE17</f>
        <v>7.8772831416180109</v>
      </c>
      <c r="DF17" s="11">
        <f>DE17+真實IC!DF17</f>
        <v>8.2295086958894839</v>
      </c>
      <c r="DG17" s="11">
        <f>DF17+真實IC!DG17</f>
        <v>8.2767196843180084</v>
      </c>
      <c r="DH17" s="11">
        <f>DG17+真實IC!DH17</f>
        <v>8.4401514855299968</v>
      </c>
      <c r="DI17" s="11">
        <f>DH17+真實IC!DI17</f>
        <v>8.5103338756007254</v>
      </c>
      <c r="DJ17" s="11">
        <f>DI17+真實IC!DJ17</f>
        <v>8.6392589353867351</v>
      </c>
      <c r="DK17" s="11">
        <f>DJ17+真實IC!DK17</f>
        <v>8.7420402041350407</v>
      </c>
      <c r="DL17" s="11">
        <f>DK17+真實IC!DL17</f>
        <v>8.7381104724439123</v>
      </c>
      <c r="DM17" s="11">
        <f>DL17+真實IC!DM17</f>
        <v>8.6955468637321598</v>
      </c>
      <c r="DN17" s="11">
        <f>DM17+真實IC!DN17</f>
        <v>8.7310358964464996</v>
      </c>
      <c r="DO17" s="11">
        <f>DN17+真實IC!DO17</f>
        <v>8.9107988225452281</v>
      </c>
      <c r="DP17" s="11">
        <f>DO17+真實IC!DP17</f>
        <v>9.0528329807958627</v>
      </c>
      <c r="DQ17" s="11">
        <f>DP17+真實IC!DQ17</f>
        <v>9.1254869859018868</v>
      </c>
      <c r="DR17" s="11">
        <f>DQ17+真實IC!DR17</f>
        <v>9.1813718007782157</v>
      </c>
      <c r="DS17" s="11">
        <f>DR17+真實IC!DS17</f>
        <v>9.2187258895333173</v>
      </c>
      <c r="DT17" s="11">
        <f>DS17+真實IC!DT17</f>
        <v>9.2785378247682928</v>
      </c>
      <c r="DU17" s="11">
        <f>DT17+真實IC!DU17</f>
        <v>9.4080307810882822</v>
      </c>
      <c r="DV17" s="11">
        <f>DU17+真實IC!DV17</f>
        <v>9.5257961791992365</v>
      </c>
      <c r="DW17" s="11">
        <f>DV17+真實IC!DW17</f>
        <v>9.4491972661632406</v>
      </c>
      <c r="DX17" s="11">
        <f>DW17+真實IC!DX17</f>
        <v>9.5787362487597143</v>
      </c>
      <c r="DY17" s="11">
        <f>DX17+真實IC!DY17</f>
        <v>9.6860191443615662</v>
      </c>
      <c r="DZ17" s="11">
        <f>DY17+真實IC!DZ17</f>
        <v>9.7352317735313747</v>
      </c>
      <c r="EA17" s="11">
        <f>DZ17+真實IC!EA17</f>
        <v>9.7305992493146505</v>
      </c>
      <c r="EB17" s="11">
        <f>EA17+真實IC!EB17</f>
        <v>9.8378845760684079</v>
      </c>
      <c r="EC17" s="11">
        <f>EB17+真實IC!EC17</f>
        <v>9.8543097932844681</v>
      </c>
      <c r="ED17" s="11">
        <f>EC17+真實IC!ED17</f>
        <v>9.9826342372133805</v>
      </c>
      <c r="EE17" s="11">
        <f>ED17+真實IC!EE17</f>
        <v>9.9824407160673019</v>
      </c>
      <c r="EF17" s="11">
        <f>EE17+真實IC!EF17</f>
        <v>10.023427921491203</v>
      </c>
    </row>
    <row r="18" spans="1:136" x14ac:dyDescent="0.3">
      <c r="A18" s="1">
        <v>137</v>
      </c>
      <c r="B18" s="1">
        <v>7</v>
      </c>
      <c r="C18" s="11">
        <f>IF(預測IC!C18&gt;預測IC!C$26,1,0)</f>
        <v>0</v>
      </c>
      <c r="D18" s="11">
        <f>C18+真實IC!D18</f>
        <v>0.40188368142206798</v>
      </c>
      <c r="E18" s="11">
        <f>D18+真實IC!E18</f>
        <v>0.45532303168979199</v>
      </c>
      <c r="F18" s="11">
        <f>E18+真實IC!F18</f>
        <v>0.3359400715876022</v>
      </c>
      <c r="G18" s="11">
        <f>F18+真實IC!G18</f>
        <v>0.44425644487268218</v>
      </c>
      <c r="H18" s="11">
        <f>G18+真實IC!H18</f>
        <v>0.5727960066472535</v>
      </c>
      <c r="I18" s="11">
        <f>H18+真實IC!I18</f>
        <v>0.70829618687049456</v>
      </c>
      <c r="J18" s="11">
        <f>I18+真實IC!J18</f>
        <v>0.75170770262213615</v>
      </c>
      <c r="K18" s="11">
        <f>J18+真實IC!K18</f>
        <v>0.88735559139976838</v>
      </c>
      <c r="L18" s="11">
        <f>K18+真實IC!L18</f>
        <v>0.84068287105909523</v>
      </c>
      <c r="M18" s="11">
        <f>L18+真實IC!M18</f>
        <v>0.86973433543555256</v>
      </c>
      <c r="N18" s="11">
        <f>M18+真實IC!N18</f>
        <v>1.3315543535061658</v>
      </c>
      <c r="O18" s="11">
        <f>N18+真實IC!O18</f>
        <v>1.3632922946036641</v>
      </c>
      <c r="P18" s="11">
        <f>O18+真實IC!P18</f>
        <v>1.4458449061736118</v>
      </c>
      <c r="Q18" s="11">
        <f>P18+真實IC!Q18</f>
        <v>1.6348203248631017</v>
      </c>
      <c r="R18" s="11">
        <f>Q18+真實IC!R18</f>
        <v>1.5733280869911268</v>
      </c>
      <c r="S18" s="11">
        <f>R18+真實IC!S18</f>
        <v>1.9570607159230211</v>
      </c>
      <c r="T18" s="11">
        <f>S18+真實IC!T18</f>
        <v>2.0093704134737518</v>
      </c>
      <c r="U18" s="11">
        <f>T18+真實IC!U18</f>
        <v>2.1418654379035709</v>
      </c>
      <c r="V18" s="11">
        <f>U18+真實IC!V18</f>
        <v>2.1547605729734216</v>
      </c>
      <c r="W18" s="11">
        <f>V18+真實IC!W18</f>
        <v>2.2320568530331601</v>
      </c>
      <c r="X18" s="11">
        <f>W18+真實IC!X18</f>
        <v>2.4471779104331119</v>
      </c>
      <c r="Y18" s="11">
        <f>X18+真實IC!Y18</f>
        <v>2.4279455760756763</v>
      </c>
      <c r="Z18" s="11">
        <f>Y18+真實IC!Z18</f>
        <v>2.5171799395161991</v>
      </c>
      <c r="AA18" s="11">
        <f>Z18+真實IC!AA18</f>
        <v>2.6897505970507276</v>
      </c>
      <c r="AB18" s="11">
        <f>AA18+真實IC!AB18</f>
        <v>2.774448896781212</v>
      </c>
      <c r="AC18" s="11">
        <f>AB18+真實IC!AC18</f>
        <v>2.7758143172580443</v>
      </c>
      <c r="AD18" s="11">
        <f>AC18+真實IC!AD18</f>
        <v>2.8721001624434637</v>
      </c>
      <c r="AE18" s="11">
        <f>AD18+真實IC!AE18</f>
        <v>3.130491511358672</v>
      </c>
      <c r="AF18" s="11">
        <f>AE18+真實IC!AF18</f>
        <v>3.2810351511827456</v>
      </c>
      <c r="AG18" s="11">
        <f>AF18+真實IC!AG18</f>
        <v>3.3135282672806214</v>
      </c>
      <c r="AH18" s="11">
        <f>AG18+真實IC!AH18</f>
        <v>3.2733308063121069</v>
      </c>
      <c r="AI18" s="11">
        <f>AH18+真實IC!AI18</f>
        <v>3.3914165408701074</v>
      </c>
      <c r="AJ18" s="11">
        <f>AI18+真實IC!AJ18</f>
        <v>3.3440227847036583</v>
      </c>
      <c r="AK18" s="11">
        <f>AJ18+真實IC!AK18</f>
        <v>3.3741752653012842</v>
      </c>
      <c r="AL18" s="11">
        <f>AK18+真實IC!AL18</f>
        <v>3.3733197102469119</v>
      </c>
      <c r="AM18" s="11">
        <f>AL18+真實IC!AM18</f>
        <v>3.439963115671683</v>
      </c>
      <c r="AN18" s="11">
        <f>AM18+真實IC!AN18</f>
        <v>3.5192577556268847</v>
      </c>
      <c r="AO18" s="11">
        <f>AN18+真實IC!AO18</f>
        <v>3.5438420360716916</v>
      </c>
      <c r="AP18" s="11">
        <f>AO18+真實IC!AP18</f>
        <v>3.6221206280054985</v>
      </c>
      <c r="AQ18" s="11">
        <f>AP18+真實IC!AQ18</f>
        <v>3.6053354864363829</v>
      </c>
      <c r="AR18" s="11">
        <f>AQ18+真實IC!AR18</f>
        <v>3.5436409628356014</v>
      </c>
      <c r="AS18" s="11">
        <f>AR18+真實IC!AS18</f>
        <v>3.4603878349464154</v>
      </c>
      <c r="AT18" s="11">
        <f>AS18+真實IC!AT18</f>
        <v>3.6267736443704743</v>
      </c>
      <c r="AU18" s="11">
        <f>AT18+真實IC!AU18</f>
        <v>3.8234333755091527</v>
      </c>
      <c r="AV18" s="11">
        <f>AU18+真實IC!AV18</f>
        <v>3.8836690402156226</v>
      </c>
      <c r="AW18" s="11">
        <f>AV18+真實IC!AW18</f>
        <v>3.9814359020368579</v>
      </c>
      <c r="AX18" s="11">
        <f>AW18+真實IC!AX18</f>
        <v>4.1075002394629854</v>
      </c>
      <c r="AY18" s="11">
        <f>AX18+真實IC!AY18</f>
        <v>4.1422835181041338</v>
      </c>
      <c r="AZ18" s="11">
        <f>AY18+真實IC!AZ18</f>
        <v>4.2086247938415555</v>
      </c>
      <c r="BA18" s="11">
        <f>AZ18+真實IC!BA18</f>
        <v>4.3891045585111019</v>
      </c>
      <c r="BB18" s="11">
        <f>BA18+真實IC!BB18</f>
        <v>4.7065619841752149</v>
      </c>
      <c r="BC18" s="11">
        <f>BB18+真實IC!BC18</f>
        <v>4.734504034877185</v>
      </c>
      <c r="BD18" s="11">
        <f>BC18+真實IC!BD18</f>
        <v>4.7547791745342121</v>
      </c>
      <c r="BE18" s="11">
        <f>BD18+真實IC!BE18</f>
        <v>4.8459520273901342</v>
      </c>
      <c r="BF18" s="11">
        <f>BE18+真實IC!BF18</f>
        <v>5.0109385220861418</v>
      </c>
      <c r="BG18" s="11">
        <f>BF18+真實IC!BG18</f>
        <v>5.1576524969144302</v>
      </c>
      <c r="BH18" s="11">
        <f>BG18+真實IC!BH18</f>
        <v>5.2955507620645728</v>
      </c>
      <c r="BI18" s="11">
        <f>BH18+真實IC!BI18</f>
        <v>5.4045507689832384</v>
      </c>
      <c r="BJ18" s="11">
        <f>BI18+真實IC!BJ18</f>
        <v>5.5040822882563853</v>
      </c>
      <c r="BK18" s="11">
        <f>BJ18+真實IC!BK18</f>
        <v>5.4306266614323802</v>
      </c>
      <c r="BL18" s="11">
        <f>BK18+真實IC!BL18</f>
        <v>5.4864145422941597</v>
      </c>
      <c r="BM18" s="11">
        <f>BL18+真實IC!BM18</f>
        <v>5.5144958986672554</v>
      </c>
      <c r="BN18" s="11">
        <f>BM18+真實IC!BN18</f>
        <v>5.4362871991848802</v>
      </c>
      <c r="BO18" s="11">
        <f>BN18+真實IC!BO18</f>
        <v>5.4565146952912551</v>
      </c>
      <c r="BP18" s="11">
        <f>BO18+真實IC!BP18</f>
        <v>5.394051263254803</v>
      </c>
      <c r="BQ18" s="11">
        <f>BP18+真實IC!BQ18</f>
        <v>5.3959680473646516</v>
      </c>
      <c r="BR18" s="11">
        <f>BQ18+真實IC!BR18</f>
        <v>5.5169298652471275</v>
      </c>
      <c r="BS18" s="11">
        <f>BR18+真實IC!BS18</f>
        <v>5.5498031218231594</v>
      </c>
      <c r="BT18" s="11">
        <f>BS18+真實IC!BT18</f>
        <v>5.5631022726008368</v>
      </c>
      <c r="BU18" s="11">
        <f>BT18+真實IC!BU18</f>
        <v>5.6745638181299398</v>
      </c>
      <c r="BV18" s="11">
        <f>BU18+真實IC!BV18</f>
        <v>5.7141882442540872</v>
      </c>
      <c r="BW18" s="11">
        <f>BV18+真實IC!BW18</f>
        <v>5.9325637433850762</v>
      </c>
      <c r="BX18" s="11">
        <f>BW18+真實IC!BX18</f>
        <v>5.9167518194392841</v>
      </c>
      <c r="BY18" s="11">
        <f>BX18+真實IC!BY18</f>
        <v>5.8292865511671828</v>
      </c>
      <c r="BZ18" s="11">
        <f>BY18+真實IC!BZ18</f>
        <v>5.9826065389697805</v>
      </c>
      <c r="CA18" s="11">
        <f>BZ18+真實IC!CA18</f>
        <v>5.998683082862641</v>
      </c>
      <c r="CB18" s="11">
        <f>CA18+真實IC!CB18</f>
        <v>6.1055291433327143</v>
      </c>
      <c r="CC18" s="11">
        <f>CB18+真實IC!CC18</f>
        <v>6.2101897671743593</v>
      </c>
      <c r="CD18" s="11">
        <f>CC18+真實IC!CD18</f>
        <v>6.4039065858211899</v>
      </c>
      <c r="CE18" s="11">
        <f>CD18+真實IC!CE18</f>
        <v>6.4811669806994123</v>
      </c>
      <c r="CF18" s="11">
        <f>CE18+真實IC!CF18</f>
        <v>6.5529845723997866</v>
      </c>
      <c r="CG18" s="11">
        <f>CF18+真實IC!CG18</f>
        <v>6.644593827963706</v>
      </c>
      <c r="CH18" s="11">
        <f>CG18+真實IC!CH18</f>
        <v>6.807250874650939</v>
      </c>
      <c r="CI18" s="11">
        <f>CH18+真實IC!CI18</f>
        <v>6.8461200145286289</v>
      </c>
      <c r="CJ18" s="11">
        <f>CI18+真實IC!CJ18</f>
        <v>6.8423476480282313</v>
      </c>
      <c r="CK18" s="11">
        <f>CJ18+真實IC!CK18</f>
        <v>6.9384056796937541</v>
      </c>
      <c r="CL18" s="11">
        <f>CK18+真實IC!CL18</f>
        <v>6.9074161346355609</v>
      </c>
      <c r="CM18" s="11">
        <f>CL18+真實IC!CM18</f>
        <v>7.0101857462635122</v>
      </c>
      <c r="CN18" s="11">
        <f>CM18+真實IC!CN18</f>
        <v>7.1311288798050869</v>
      </c>
      <c r="CO18" s="11">
        <f>CN18+真實IC!CO18</f>
        <v>7.3594109656805484</v>
      </c>
      <c r="CP18" s="11">
        <f>CO18+真實IC!CP18</f>
        <v>7.522250074628559</v>
      </c>
      <c r="CQ18" s="11">
        <f>CP18+真實IC!CQ18</f>
        <v>7.560492750223502</v>
      </c>
      <c r="CR18" s="11">
        <f>CQ18+真實IC!CR18</f>
        <v>7.754215157875711</v>
      </c>
      <c r="CS18" s="11">
        <f>CR18+真實IC!CS18</f>
        <v>7.8119058065271263</v>
      </c>
      <c r="CT18" s="11">
        <f>CS18+真實IC!CT18</f>
        <v>7.8887760332993491</v>
      </c>
      <c r="CU18" s="11">
        <f>CT18+真實IC!CU18</f>
        <v>8.0333408544754832</v>
      </c>
      <c r="CV18" s="11">
        <f>CU18+真實IC!CV18</f>
        <v>8.1603631226084907</v>
      </c>
      <c r="CW18" s="11">
        <f>CV18+真實IC!CW18</f>
        <v>8.2269216971068069</v>
      </c>
      <c r="CX18" s="11">
        <f>CW18+真實IC!CX18</f>
        <v>8.2884818829405855</v>
      </c>
      <c r="CY18" s="11">
        <f>CX18+真實IC!CY18</f>
        <v>8.35991434185296</v>
      </c>
      <c r="CZ18" s="11">
        <f>CY18+真實IC!CZ18</f>
        <v>8.4927572051547315</v>
      </c>
      <c r="DA18" s="11">
        <f>CZ18+真實IC!DA18</f>
        <v>8.5711158360621642</v>
      </c>
      <c r="DB18" s="11">
        <f>DA18+真實IC!DB18</f>
        <v>8.6892305543473753</v>
      </c>
      <c r="DC18" s="11">
        <f>DB18+真實IC!DC18</f>
        <v>8.7256393358428816</v>
      </c>
      <c r="DD18" s="11">
        <f>DC18+真實IC!DD18</f>
        <v>8.7666535231622156</v>
      </c>
      <c r="DE18" s="11">
        <f>DD18+真實IC!DE18</f>
        <v>8.8050741106486665</v>
      </c>
      <c r="DF18" s="11">
        <f>DE18+真實IC!DF18</f>
        <v>9.1717661202626815</v>
      </c>
      <c r="DG18" s="11">
        <f>DF18+真實IC!DG18</f>
        <v>9.2265366043895547</v>
      </c>
      <c r="DH18" s="11">
        <f>DG18+真實IC!DH18</f>
        <v>9.4189379863486966</v>
      </c>
      <c r="DI18" s="11">
        <f>DH18+真實IC!DI18</f>
        <v>9.516901113827652</v>
      </c>
      <c r="DJ18" s="11">
        <f>DI18+真實IC!DJ18</f>
        <v>9.6630971899270648</v>
      </c>
      <c r="DK18" s="11">
        <f>DJ18+真實IC!DK18</f>
        <v>9.7696244519294986</v>
      </c>
      <c r="DL18" s="11">
        <f>DK18+真實IC!DL18</f>
        <v>9.7657941778619062</v>
      </c>
      <c r="DM18" s="11">
        <f>DL18+真實IC!DM18</f>
        <v>9.7073370135717312</v>
      </c>
      <c r="DN18" s="11">
        <f>DM18+真實IC!DN18</f>
        <v>9.6906149494937104</v>
      </c>
      <c r="DO18" s="11">
        <f>DN18+真實IC!DO18</f>
        <v>9.9109351612850087</v>
      </c>
      <c r="DP18" s="11">
        <f>DO18+真實IC!DP18</f>
        <v>10.04442163356209</v>
      </c>
      <c r="DQ18" s="11">
        <f>DP18+真實IC!DQ18</f>
        <v>10.110171091745988</v>
      </c>
      <c r="DR18" s="11">
        <f>DQ18+真實IC!DR18</f>
        <v>10.18701174651795</v>
      </c>
      <c r="DS18" s="11">
        <f>DR18+真實IC!DS18</f>
        <v>10.198289728773632</v>
      </c>
      <c r="DT18" s="11">
        <f>DS18+真實IC!DT18</f>
        <v>10.22089076361474</v>
      </c>
      <c r="DU18" s="11">
        <f>DT18+真實IC!DU18</f>
        <v>10.379605586331417</v>
      </c>
      <c r="DV18" s="11">
        <f>DU18+真實IC!DV18</f>
        <v>10.485246195131479</v>
      </c>
      <c r="DW18" s="11">
        <f>DV18+真實IC!DW18</f>
        <v>10.416609245179362</v>
      </c>
      <c r="DX18" s="11">
        <f>DW18+真實IC!DX18</f>
        <v>10.570212222641844</v>
      </c>
      <c r="DY18" s="11">
        <f>DX18+真實IC!DY18</f>
        <v>10.707045337580096</v>
      </c>
      <c r="DZ18" s="11">
        <f>DY18+真實IC!DZ18</f>
        <v>10.761675711736679</v>
      </c>
      <c r="EA18" s="11">
        <f>DZ18+真實IC!EA18</f>
        <v>10.756937414498434</v>
      </c>
      <c r="EB18" s="11">
        <f>EA18+真實IC!EB18</f>
        <v>10.86690176894863</v>
      </c>
      <c r="EC18" s="11">
        <f>EB18+真實IC!EC18</f>
        <v>10.869665884374001</v>
      </c>
      <c r="ED18" s="11">
        <f>EC18+真實IC!ED18</f>
        <v>10.980143906239766</v>
      </c>
      <c r="EE18" s="11">
        <f>ED18+真實IC!EE18</f>
        <v>10.981255193912123</v>
      </c>
      <c r="EF18" s="11">
        <f>EE18+真實IC!EF18</f>
        <v>11.045209527601267</v>
      </c>
    </row>
    <row r="19" spans="1:136" x14ac:dyDescent="0.3">
      <c r="A19" s="1">
        <v>160</v>
      </c>
      <c r="B19" s="1">
        <v>6</v>
      </c>
      <c r="C19" s="11">
        <f>IF(預測IC!C19&gt;預測IC!C$26,1,0)</f>
        <v>0</v>
      </c>
      <c r="D19" s="11">
        <f>C19+真實IC!D19</f>
        <v>0.40752071008946927</v>
      </c>
      <c r="E19" s="11">
        <f>D19+真實IC!E19</f>
        <v>0.47333491741948708</v>
      </c>
      <c r="F19" s="11">
        <f>E19+真實IC!F19</f>
        <v>0.29564625561392655</v>
      </c>
      <c r="G19" s="11">
        <f>F19+真實IC!G19</f>
        <v>0.39171222747110396</v>
      </c>
      <c r="H19" s="11">
        <f>G19+真實IC!H19</f>
        <v>0.56932254629375589</v>
      </c>
      <c r="I19" s="11">
        <f>H19+真實IC!I19</f>
        <v>0.70397687918522234</v>
      </c>
      <c r="J19" s="11">
        <f>I19+真實IC!J19</f>
        <v>0.73940646370541341</v>
      </c>
      <c r="K19" s="11">
        <f>J19+真實IC!K19</f>
        <v>0.97819587842933009</v>
      </c>
      <c r="L19" s="11">
        <f>K19+真實IC!L19</f>
        <v>0.94783304537330093</v>
      </c>
      <c r="M19" s="11">
        <f>L19+真實IC!M19</f>
        <v>0.90414280921699364</v>
      </c>
      <c r="N19" s="11">
        <f>M19+真實IC!N19</f>
        <v>1.436516846905235</v>
      </c>
      <c r="O19" s="11">
        <f>N19+真實IC!O19</f>
        <v>1.4680787213941509</v>
      </c>
      <c r="P19" s="11">
        <f>O19+真實IC!P19</f>
        <v>1.5606129075808479</v>
      </c>
      <c r="Q19" s="11">
        <f>P19+真實IC!Q19</f>
        <v>1.7577759958453678</v>
      </c>
      <c r="R19" s="11">
        <f>Q19+真實IC!R19</f>
        <v>1.6674769052145115</v>
      </c>
      <c r="S19" s="11">
        <f>R19+真實IC!S19</f>
        <v>1.8516370219121194</v>
      </c>
      <c r="T19" s="11">
        <f>S19+真實IC!T19</f>
        <v>1.903101739157429</v>
      </c>
      <c r="U19" s="11">
        <f>T19+真實IC!U19</f>
        <v>2.038800077789352</v>
      </c>
      <c r="V19" s="11">
        <f>U19+真實IC!V19</f>
        <v>2.0754187655748035</v>
      </c>
      <c r="W19" s="11">
        <f>V19+真實IC!W19</f>
        <v>2.1478343348943025</v>
      </c>
      <c r="X19" s="11">
        <f>W19+真實IC!X19</f>
        <v>2.2972342082470298</v>
      </c>
      <c r="Y19" s="11">
        <f>X19+真實IC!Y19</f>
        <v>2.2716055707188731</v>
      </c>
      <c r="Z19" s="11">
        <f>Y19+真實IC!Z19</f>
        <v>2.3632246812948967</v>
      </c>
      <c r="AA19" s="11">
        <f>Z19+真實IC!AA19</f>
        <v>2.4950575807759878</v>
      </c>
      <c r="AB19" s="11">
        <f>AA19+真實IC!AB19</f>
        <v>2.5973111866599305</v>
      </c>
      <c r="AC19" s="11">
        <f>AB19+真實IC!AC19</f>
        <v>2.6114527293685406</v>
      </c>
      <c r="AD19" s="11">
        <f>AC19+真實IC!AD19</f>
        <v>2.7074461071666089</v>
      </c>
      <c r="AE19" s="11">
        <f>AD19+真實IC!AE19</f>
        <v>3.0159389650919777</v>
      </c>
      <c r="AF19" s="11">
        <f>AE19+真實IC!AF19</f>
        <v>3.1847695458000209</v>
      </c>
      <c r="AG19" s="11">
        <f>AF19+真實IC!AG19</f>
        <v>3.2069057648725687</v>
      </c>
      <c r="AH19" s="11">
        <f>AG19+真實IC!AH19</f>
        <v>3.1503480496508653</v>
      </c>
      <c r="AI19" s="11">
        <f>AH19+真實IC!AI19</f>
        <v>3.24189671257554</v>
      </c>
      <c r="AJ19" s="11">
        <f>AI19+真實IC!AJ19</f>
        <v>3.1903514222482778</v>
      </c>
      <c r="AK19" s="11">
        <f>AJ19+真實IC!AK19</f>
        <v>3.1979034647542304</v>
      </c>
      <c r="AL19" s="11">
        <f>AK19+真實IC!AL19</f>
        <v>3.1967672025728779</v>
      </c>
      <c r="AM19" s="11">
        <f>AL19+真實IC!AM19</f>
        <v>3.239873214384283</v>
      </c>
      <c r="AN19" s="11">
        <f>AM19+真實IC!AN19</f>
        <v>3.3234415087499651</v>
      </c>
      <c r="AO19" s="11">
        <f>AN19+真實IC!AO19</f>
        <v>3.3793316348790796</v>
      </c>
      <c r="AP19" s="11">
        <f>AO19+真實IC!AP19</f>
        <v>3.4669057551519318</v>
      </c>
      <c r="AQ19" s="11">
        <f>AP19+真實IC!AQ19</f>
        <v>3.4119802627783185</v>
      </c>
      <c r="AR19" s="11">
        <f>AQ19+真實IC!AR19</f>
        <v>3.3373633651436596</v>
      </c>
      <c r="AS19" s="11">
        <f>AR19+真實IC!AS19</f>
        <v>3.2281644890905934</v>
      </c>
      <c r="AT19" s="11">
        <f>AS19+真實IC!AT19</f>
        <v>3.4127581529006514</v>
      </c>
      <c r="AU19" s="11">
        <f>AT19+真實IC!AU19</f>
        <v>3.6516023912996656</v>
      </c>
      <c r="AV19" s="11">
        <f>AU19+真實IC!AV19</f>
        <v>3.6485697816970575</v>
      </c>
      <c r="AW19" s="11">
        <f>AV19+真實IC!AW19</f>
        <v>3.7852631788259701</v>
      </c>
      <c r="AX19" s="11">
        <f>AW19+真實IC!AX19</f>
        <v>4.0093869741268264</v>
      </c>
      <c r="AY19" s="11">
        <f>AX19+真實IC!AY19</f>
        <v>4.0389159445202063</v>
      </c>
      <c r="AZ19" s="11">
        <f>AY19+真實IC!AZ19</f>
        <v>4.1229484167938457</v>
      </c>
      <c r="BA19" s="11">
        <f>AZ19+真實IC!BA19</f>
        <v>4.309945194348626</v>
      </c>
      <c r="BB19" s="11">
        <f>BA19+真實IC!BB19</f>
        <v>4.6741061261418455</v>
      </c>
      <c r="BC19" s="11">
        <f>BB19+真實IC!BC19</f>
        <v>4.8586779155482729</v>
      </c>
      <c r="BD19" s="11">
        <f>BC19+真實IC!BD19</f>
        <v>4.8586042085803856</v>
      </c>
      <c r="BE19" s="11">
        <f>BD19+真實IC!BE19</f>
        <v>4.948084930340757</v>
      </c>
      <c r="BF19" s="11">
        <f>BE19+真實IC!BF19</f>
        <v>5.0898943653044988</v>
      </c>
      <c r="BG19" s="11">
        <f>BF19+真實IC!BG19</f>
        <v>5.2432031164742874</v>
      </c>
      <c r="BH19" s="11">
        <f>BG19+真實IC!BH19</f>
        <v>5.3837000224278606</v>
      </c>
      <c r="BI19" s="11">
        <f>BH19+真實IC!BI19</f>
        <v>5.5114986512470789</v>
      </c>
      <c r="BJ19" s="11">
        <f>BI19+真實IC!BJ19</f>
        <v>5.5633179596757483</v>
      </c>
      <c r="BK19" s="11">
        <f>BJ19+真實IC!BK19</f>
        <v>5.4662795367303625</v>
      </c>
      <c r="BL19" s="11">
        <f>BK19+真實IC!BL19</f>
        <v>5.529444070477382</v>
      </c>
      <c r="BM19" s="11">
        <f>BL19+真實IC!BM19</f>
        <v>5.5612303353465276</v>
      </c>
      <c r="BN19" s="11">
        <f>BM19+真實IC!BN19</f>
        <v>5.47981707514636</v>
      </c>
      <c r="BO19" s="11">
        <f>BN19+真實IC!BO19</f>
        <v>5.5055460364114754</v>
      </c>
      <c r="BP19" s="11">
        <f>BO19+真實IC!BP19</f>
        <v>5.4931356951338746</v>
      </c>
      <c r="BQ19" s="11">
        <f>BP19+真實IC!BQ19</f>
        <v>5.5030697395881978</v>
      </c>
      <c r="BR19" s="11">
        <f>BQ19+真實IC!BR19</f>
        <v>5.6399089751313429</v>
      </c>
      <c r="BS19" s="11">
        <f>BR19+真實IC!BS19</f>
        <v>5.636409043191704</v>
      </c>
      <c r="BT19" s="11">
        <f>BS19+真實IC!BT19</f>
        <v>5.6232153739885664</v>
      </c>
      <c r="BU19" s="11">
        <f>BT19+真實IC!BU19</f>
        <v>5.7538860088799542</v>
      </c>
      <c r="BV19" s="11">
        <f>BU19+真實IC!BV19</f>
        <v>5.7842368008458518</v>
      </c>
      <c r="BW19" s="11">
        <f>BV19+真實IC!BW19</f>
        <v>6.0916898076555857</v>
      </c>
      <c r="BX19" s="11">
        <f>BW19+真實IC!BX19</f>
        <v>6.0552909180967918</v>
      </c>
      <c r="BY19" s="11">
        <f>BX19+真實IC!BY19</f>
        <v>5.9754239910278457</v>
      </c>
      <c r="BZ19" s="11">
        <f>BY19+真實IC!BZ19</f>
        <v>6.0441261158498998</v>
      </c>
      <c r="CA19" s="11">
        <f>BZ19+真實IC!CA19</f>
        <v>6.0734548710736744</v>
      </c>
      <c r="CB19" s="11">
        <f>CA19+真實IC!CB19</f>
        <v>6.2012930801745716</v>
      </c>
      <c r="CC19" s="11">
        <f>CB19+真實IC!CC19</f>
        <v>6.2237993130730889</v>
      </c>
      <c r="CD19" s="11">
        <f>CC19+真實IC!CD19</f>
        <v>6.4394185111668065</v>
      </c>
      <c r="CE19" s="11">
        <f>CD19+真實IC!CE19</f>
        <v>6.5278933701044748</v>
      </c>
      <c r="CF19" s="11">
        <f>CE19+真實IC!CF19</f>
        <v>6.6077977673105242</v>
      </c>
      <c r="CG19" s="11">
        <f>CF19+真實IC!CG19</f>
        <v>6.6649153921774813</v>
      </c>
      <c r="CH19" s="11">
        <f>CG19+真實IC!CH19</f>
        <v>6.8178052592274074</v>
      </c>
      <c r="CI19" s="11">
        <f>CH19+真實IC!CI19</f>
        <v>6.8548722053876023</v>
      </c>
      <c r="CJ19" s="11">
        <f>CI19+真實IC!CJ19</f>
        <v>6.8430602826256077</v>
      </c>
      <c r="CK19" s="11">
        <f>CJ19+真實IC!CK19</f>
        <v>6.9618575455829426</v>
      </c>
      <c r="CL19" s="11">
        <f>CK19+真實IC!CL19</f>
        <v>6.9186172656081526</v>
      </c>
      <c r="CM19" s="11">
        <f>CL19+真實IC!CM19</f>
        <v>7.0288531443455202</v>
      </c>
      <c r="CN19" s="11">
        <f>CM19+真實IC!CN19</f>
        <v>7.1720463548150546</v>
      </c>
      <c r="CO19" s="11">
        <f>CN19+真實IC!CO19</f>
        <v>7.4232819860353692</v>
      </c>
      <c r="CP19" s="11">
        <f>CO19+真實IC!CP19</f>
        <v>7.5823145850177021</v>
      </c>
      <c r="CQ19" s="11">
        <f>CP19+真實IC!CQ19</f>
        <v>7.6147091925341206</v>
      </c>
      <c r="CR19" s="11">
        <f>CQ19+真實IC!CR19</f>
        <v>7.7910159167803128</v>
      </c>
      <c r="CS19" s="11">
        <f>CR19+真實IC!CS19</f>
        <v>7.8452663663286462</v>
      </c>
      <c r="CT19" s="11">
        <f>CS19+真實IC!CT19</f>
        <v>7.8716875676169051</v>
      </c>
      <c r="CU19" s="11">
        <f>CT19+真實IC!CU19</f>
        <v>8.018295110877844</v>
      </c>
      <c r="CV19" s="11">
        <f>CU19+真實IC!CV19</f>
        <v>8.1128481188492234</v>
      </c>
      <c r="CW19" s="11">
        <f>CV19+真實IC!CW19</f>
        <v>8.1733639974222605</v>
      </c>
      <c r="CX19" s="11">
        <f>CW19+真實IC!CX19</f>
        <v>8.2309987237904458</v>
      </c>
      <c r="CY19" s="11">
        <f>CX19+真實IC!CY19</f>
        <v>8.304150061098408</v>
      </c>
      <c r="CZ19" s="11">
        <f>CY19+真實IC!CZ19</f>
        <v>8.417001889739872</v>
      </c>
      <c r="DA19" s="11">
        <f>CZ19+真實IC!DA19</f>
        <v>8.4921843668435528</v>
      </c>
      <c r="DB19" s="11">
        <f>DA19+真實IC!DB19</f>
        <v>8.6401462136131695</v>
      </c>
      <c r="DC19" s="11">
        <f>DB19+真實IC!DC19</f>
        <v>8.6049668137110746</v>
      </c>
      <c r="DD19" s="11">
        <f>DC19+真實IC!DD19</f>
        <v>8.6111679389659042</v>
      </c>
      <c r="DE19" s="11">
        <f>DD19+真實IC!DE19</f>
        <v>8.6441863536216967</v>
      </c>
      <c r="DF19" s="11">
        <f>DE19+真實IC!DF19</f>
        <v>8.8496880992159923</v>
      </c>
      <c r="DG19" s="11">
        <f>DF19+真實IC!DG19</f>
        <v>8.9160623642104291</v>
      </c>
      <c r="DH19" s="11">
        <f>DG19+真實IC!DH19</f>
        <v>9.1406521449299163</v>
      </c>
      <c r="DI19" s="11">
        <f>DH19+真實IC!DI19</f>
        <v>9.249113583764677</v>
      </c>
      <c r="DJ19" s="11">
        <f>DI19+真實IC!DJ19</f>
        <v>9.414364052723748</v>
      </c>
      <c r="DK19" s="11">
        <f>DJ19+真實IC!DK19</f>
        <v>9.5358063622341991</v>
      </c>
      <c r="DL19" s="11">
        <f>DK19+真實IC!DL19</f>
        <v>9.5238235763252259</v>
      </c>
      <c r="DM19" s="11">
        <f>DL19+真實IC!DM19</f>
        <v>9.4665231450868959</v>
      </c>
      <c r="DN19" s="11">
        <f>DM19+真實IC!DN19</f>
        <v>9.468998268184535</v>
      </c>
      <c r="DO19" s="11">
        <f>DN19+真實IC!DO19</f>
        <v>9.7182602198942796</v>
      </c>
      <c r="DP19" s="11">
        <f>DO19+真實IC!DP19</f>
        <v>9.8885283505742407</v>
      </c>
      <c r="DQ19" s="11">
        <f>DP19+真實IC!DQ19</f>
        <v>9.968902522412316</v>
      </c>
      <c r="DR19" s="11">
        <f>DQ19+真實IC!DR19</f>
        <v>10.044864875737364</v>
      </c>
      <c r="DS19" s="11">
        <f>DR19+真實IC!DS19</f>
        <v>10.039187562218373</v>
      </c>
      <c r="DT19" s="11">
        <f>DS19+真實IC!DT19</f>
        <v>10.044220808738478</v>
      </c>
      <c r="DU19" s="11">
        <f>DT19+真實IC!DU19</f>
        <v>10.194802730694791</v>
      </c>
      <c r="DV19" s="11">
        <f>DU19+真實IC!DV19</f>
        <v>10.306327437135396</v>
      </c>
      <c r="DW19" s="11">
        <f>DV19+真實IC!DW19</f>
        <v>10.20503146818673</v>
      </c>
      <c r="DX19" s="11">
        <f>DW19+真實IC!DX19</f>
        <v>10.343396602424908</v>
      </c>
      <c r="DY19" s="11">
        <f>DX19+真實IC!DY19</f>
        <v>10.482645281110507</v>
      </c>
      <c r="DZ19" s="11">
        <f>DY19+真實IC!DZ19</f>
        <v>10.561183228733039</v>
      </c>
      <c r="EA19" s="11">
        <f>DZ19+真實IC!EA19</f>
        <v>10.594102955928054</v>
      </c>
      <c r="EB19" s="11">
        <f>EA19+真實IC!EB19</f>
        <v>10.702856465566306</v>
      </c>
      <c r="EC19" s="11">
        <f>EB19+真實IC!EC19</f>
        <v>10.690666422342604</v>
      </c>
      <c r="ED19" s="11">
        <f>EC19+真實IC!ED19</f>
        <v>10.841601739332761</v>
      </c>
      <c r="EE19" s="11">
        <f>ED19+真實IC!EE19</f>
        <v>10.834295212655633</v>
      </c>
      <c r="EF19" s="11">
        <f>EE19+真實IC!EF19</f>
        <v>10.908318132053138</v>
      </c>
    </row>
    <row r="20" spans="1:136" x14ac:dyDescent="0.3">
      <c r="A20" s="1">
        <v>192</v>
      </c>
      <c r="B20" s="1">
        <v>5</v>
      </c>
      <c r="C20" s="11">
        <f>IF(預測IC!C20&gt;預測IC!C$26,1,0)</f>
        <v>1</v>
      </c>
      <c r="D20" s="11">
        <f>C20+真實IC!D20</f>
        <v>1.3820250200473498</v>
      </c>
      <c r="E20" s="11">
        <f>D20+真實IC!E20</f>
        <v>1.4393613703741304</v>
      </c>
      <c r="F20" s="11">
        <f>E20+真實IC!F20</f>
        <v>1.2338301060409562</v>
      </c>
      <c r="G20" s="11">
        <f>F20+真實IC!G20</f>
        <v>1.3510132473298953</v>
      </c>
      <c r="H20" s="11">
        <f>G20+真實IC!H20</f>
        <v>1.4949455295855707</v>
      </c>
      <c r="I20" s="11">
        <f>H20+真實IC!I20</f>
        <v>1.6530950921866725</v>
      </c>
      <c r="J20" s="11">
        <f>I20+真實IC!J20</f>
        <v>1.6875663509135288</v>
      </c>
      <c r="K20" s="11">
        <f>J20+真實IC!K20</f>
        <v>1.9022908546746107</v>
      </c>
      <c r="L20" s="11">
        <f>K20+真實IC!L20</f>
        <v>1.8715953716735152</v>
      </c>
      <c r="M20" s="11">
        <f>L20+真實IC!M20</f>
        <v>1.7938771433822418</v>
      </c>
      <c r="N20" s="11">
        <f>M20+真實IC!N20</f>
        <v>2.2938886213917158</v>
      </c>
      <c r="O20" s="11">
        <f>N20+真實IC!O20</f>
        <v>2.3437535074609901</v>
      </c>
      <c r="P20" s="11">
        <f>O20+真實IC!P20</f>
        <v>2.4349234351295155</v>
      </c>
      <c r="Q20" s="11">
        <f>P20+真實IC!Q20</f>
        <v>2.6516491741324941</v>
      </c>
      <c r="R20" s="11">
        <f>Q20+真實IC!R20</f>
        <v>2.5423961184950254</v>
      </c>
      <c r="S20" s="11">
        <f>R20+真實IC!S20</f>
        <v>2.6975787368227682</v>
      </c>
      <c r="T20" s="11">
        <f>S20+真實IC!T20</f>
        <v>2.7830441925605838</v>
      </c>
      <c r="U20" s="11">
        <f>T20+真實IC!U20</f>
        <v>2.9316938726783586</v>
      </c>
      <c r="V20" s="11">
        <f>U20+真實IC!V20</f>
        <v>2.9443379757955475</v>
      </c>
      <c r="W20" s="11">
        <f>V20+真實IC!W20</f>
        <v>3.0354228452280925</v>
      </c>
      <c r="X20" s="11">
        <f>W20+真實IC!X20</f>
        <v>3.2458092581508775</v>
      </c>
      <c r="Y20" s="11">
        <f>X20+真實IC!Y20</f>
        <v>3.2037417686122804</v>
      </c>
      <c r="Z20" s="11">
        <f>Y20+真實IC!Z20</f>
        <v>3.3093587290959396</v>
      </c>
      <c r="AA20" s="11">
        <f>Z20+真實IC!AA20</f>
        <v>3.4398420975765855</v>
      </c>
      <c r="AB20" s="11">
        <f>AA20+真實IC!AB20</f>
        <v>3.5246019383027587</v>
      </c>
      <c r="AC20" s="11">
        <f>AB20+真實IC!AC20</f>
        <v>3.5718502010307263</v>
      </c>
      <c r="AD20" s="11">
        <f>AC20+真實IC!AD20</f>
        <v>3.7016936197443906</v>
      </c>
      <c r="AE20" s="11">
        <f>AD20+真實IC!AE20</f>
        <v>3.8629148268995017</v>
      </c>
      <c r="AF20" s="11">
        <f>AE20+真實IC!AF20</f>
        <v>4.0864126465358748</v>
      </c>
      <c r="AG20" s="11">
        <f>AF20+真實IC!AG20</f>
        <v>4.1140718650757666</v>
      </c>
      <c r="AH20" s="11">
        <f>AG20+真實IC!AH20</f>
        <v>4.0238936643609842</v>
      </c>
      <c r="AI20" s="11">
        <f>AH20+真實IC!AI20</f>
        <v>4.1402304194163078</v>
      </c>
      <c r="AJ20" s="11">
        <f>AI20+真實IC!AJ20</f>
        <v>4.0782403848687601</v>
      </c>
      <c r="AK20" s="11">
        <f>AJ20+真實IC!AK20</f>
        <v>4.0646452693727575</v>
      </c>
      <c r="AL20" s="11">
        <f>AK20+真實IC!AL20</f>
        <v>4.0590286430110165</v>
      </c>
      <c r="AM20" s="11">
        <f>AL20+真實IC!AM20</f>
        <v>4.092124623759819</v>
      </c>
      <c r="AN20" s="11">
        <f>AM20+真實IC!AN20</f>
        <v>4.1675948172788173</v>
      </c>
      <c r="AO20" s="11">
        <f>AN20+真實IC!AO20</f>
        <v>4.2167031119182168</v>
      </c>
      <c r="AP20" s="11">
        <f>AO20+真實IC!AP20</f>
        <v>4.3484335731736046</v>
      </c>
      <c r="AQ20" s="11">
        <f>AP20+真實IC!AQ20</f>
        <v>4.4213343193138259</v>
      </c>
      <c r="AR20" s="11">
        <f>AQ20+真實IC!AR20</f>
        <v>4.4080450462239922</v>
      </c>
      <c r="AS20" s="11">
        <f>AR20+真實IC!AS20</f>
        <v>4.365753329775016</v>
      </c>
      <c r="AT20" s="11">
        <f>AS20+真實IC!AT20</f>
        <v>4.6048770772200864</v>
      </c>
      <c r="AU20" s="11">
        <f>AT20+真實IC!AU20</f>
        <v>4.886574949803288</v>
      </c>
      <c r="AV20" s="11">
        <f>AU20+真實IC!AV20</f>
        <v>4.8543283370165247</v>
      </c>
      <c r="AW20" s="11">
        <f>AV20+真實IC!AW20</f>
        <v>5.0793261777948695</v>
      </c>
      <c r="AX20" s="11">
        <f>AW20+真實IC!AX20</f>
        <v>5.2836653977554162</v>
      </c>
      <c r="AY20" s="11">
        <f>AX20+真實IC!AY20</f>
        <v>5.3223400961983254</v>
      </c>
      <c r="AZ20" s="11">
        <f>AY20+真實IC!AZ20</f>
        <v>5.4221443994706489</v>
      </c>
      <c r="BA20" s="11">
        <f>AZ20+真實IC!BA20</f>
        <v>5.5734821249765618</v>
      </c>
      <c r="BB20" s="11">
        <f>BA20+真實IC!BB20</f>
        <v>5.9519289102859059</v>
      </c>
      <c r="BC20" s="11">
        <f>BB20+真實IC!BC20</f>
        <v>6.1920695852763199</v>
      </c>
      <c r="BD20" s="11">
        <f>BC20+真實IC!BD20</f>
        <v>6.2004297586428399</v>
      </c>
      <c r="BE20" s="11">
        <f>BD20+真實IC!BE20</f>
        <v>6.2987081333771959</v>
      </c>
      <c r="BF20" s="11">
        <f>BE20+真實IC!BF20</f>
        <v>6.4366793964461708</v>
      </c>
      <c r="BG20" s="11">
        <f>BF20+真實IC!BG20</f>
        <v>6.5307414520545111</v>
      </c>
      <c r="BH20" s="11">
        <f>BG20+真實IC!BH20</f>
        <v>6.6807987526179655</v>
      </c>
      <c r="BI20" s="11">
        <f>BH20+真實IC!BI20</f>
        <v>6.8125440197031404</v>
      </c>
      <c r="BJ20" s="11">
        <f>BI20+真實IC!BJ20</f>
        <v>6.8676999403219972</v>
      </c>
      <c r="BK20" s="11">
        <f>BJ20+真實IC!BK20</f>
        <v>6.7500495679169754</v>
      </c>
      <c r="BL20" s="11">
        <f>BK20+真實IC!BL20</f>
        <v>6.8199090098541957</v>
      </c>
      <c r="BM20" s="11">
        <f>BL20+真實IC!BM20</f>
        <v>6.8673775613183849</v>
      </c>
      <c r="BN20" s="11">
        <f>BM20+真實IC!BN20</f>
        <v>6.886015588571551</v>
      </c>
      <c r="BO20" s="11">
        <f>BN20+真實IC!BO20</f>
        <v>6.8475538710555721</v>
      </c>
      <c r="BP20" s="11">
        <f>BO20+真實IC!BP20</f>
        <v>6.8548361185618969</v>
      </c>
      <c r="BQ20" s="11">
        <f>BP20+真實IC!BQ20</f>
        <v>6.8702878255227402</v>
      </c>
      <c r="BR20" s="11">
        <f>BQ20+真實IC!BR20</f>
        <v>7.0514149069944017</v>
      </c>
      <c r="BS20" s="11">
        <f>BR20+真實IC!BS20</f>
        <v>7.0188787092695453</v>
      </c>
      <c r="BT20" s="11">
        <f>BS20+真實IC!BT20</f>
        <v>6.9664110859876391</v>
      </c>
      <c r="BU20" s="11">
        <f>BT20+真實IC!BU20</f>
        <v>7.1158520900329609</v>
      </c>
      <c r="BV20" s="11">
        <f>BU20+真實IC!BV20</f>
        <v>7.0343086482723622</v>
      </c>
      <c r="BW20" s="11">
        <f>BV20+真實IC!BW20</f>
        <v>7.3861381983207668</v>
      </c>
      <c r="BX20" s="11">
        <f>BW20+真實IC!BX20</f>
        <v>7.3332767765902416</v>
      </c>
      <c r="BY20" s="11">
        <f>BX20+真實IC!BY20</f>
        <v>7.3286374174405733</v>
      </c>
      <c r="BZ20" s="11">
        <f>BY20+真實IC!BZ20</f>
        <v>7.4189088217008567</v>
      </c>
      <c r="CA20" s="11">
        <f>BZ20+真實IC!CA20</f>
        <v>7.4590115497526099</v>
      </c>
      <c r="CB20" s="11">
        <f>CA20+真實IC!CB20</f>
        <v>7.5855065955226291</v>
      </c>
      <c r="CC20" s="11">
        <f>CB20+真實IC!CC20</f>
        <v>7.5984217430007099</v>
      </c>
      <c r="CD20" s="11">
        <f>CC20+真實IC!CD20</f>
        <v>7.7794492404913074</v>
      </c>
      <c r="CE20" s="11">
        <f>CD20+真實IC!CE20</f>
        <v>7.8652274130937476</v>
      </c>
      <c r="CF20" s="11">
        <f>CE20+真實IC!CF20</f>
        <v>7.9461853502924242</v>
      </c>
      <c r="CG20" s="11">
        <f>CF20+真實IC!CG20</f>
        <v>8.0221555910355331</v>
      </c>
      <c r="CH20" s="11">
        <f>CG20+真實IC!CH20</f>
        <v>8.0940196166326714</v>
      </c>
      <c r="CI20" s="11">
        <f>CH20+真實IC!CI20</f>
        <v>8.124414290401754</v>
      </c>
      <c r="CJ20" s="11">
        <f>CI20+真實IC!CJ20</f>
        <v>8.0829043056178254</v>
      </c>
      <c r="CK20" s="11">
        <f>CJ20+真實IC!CK20</f>
        <v>8.163493929558447</v>
      </c>
      <c r="CL20" s="11">
        <f>CK20+真實IC!CL20</f>
        <v>8.0713089953693178</v>
      </c>
      <c r="CM20" s="11">
        <f>CL20+真實IC!CM20</f>
        <v>8.168084801218555</v>
      </c>
      <c r="CN20" s="11">
        <f>CM20+真實IC!CN20</f>
        <v>8.3729766348596577</v>
      </c>
      <c r="CO20" s="11">
        <f>CN20+真實IC!CO20</f>
        <v>8.6695499399646874</v>
      </c>
      <c r="CP20" s="11">
        <f>CO20+真實IC!CP20</f>
        <v>8.8615811450737141</v>
      </c>
      <c r="CQ20" s="11">
        <f>CP20+真實IC!CQ20</f>
        <v>8.8846991903739969</v>
      </c>
      <c r="CR20" s="11">
        <f>CQ20+真實IC!CR20</f>
        <v>9.0801853008589397</v>
      </c>
      <c r="CS20" s="11">
        <f>CR20+真實IC!CS20</f>
        <v>9.1773223995932618</v>
      </c>
      <c r="CT20" s="11">
        <f>CS20+真實IC!CT20</f>
        <v>9.2057368069898491</v>
      </c>
      <c r="CU20" s="11">
        <f>CT20+真實IC!CU20</f>
        <v>9.3524648160614756</v>
      </c>
      <c r="CV20" s="11">
        <f>CU20+真實IC!CV20</f>
        <v>9.47167894427416</v>
      </c>
      <c r="CW20" s="11">
        <f>CV20+真實IC!CW20</f>
        <v>9.5395826524490062</v>
      </c>
      <c r="CX20" s="11">
        <f>CW20+真實IC!CX20</f>
        <v>9.6298812033167707</v>
      </c>
      <c r="CY20" s="11">
        <f>CX20+真實IC!CY20</f>
        <v>9.7386140417188418</v>
      </c>
      <c r="CZ20" s="11">
        <f>CY20+真實IC!CZ20</f>
        <v>9.8937756868680395</v>
      </c>
      <c r="DA20" s="11">
        <f>CZ20+真實IC!DA20</f>
        <v>9.9708573835215883</v>
      </c>
      <c r="DB20" s="11">
        <f>DA20+真實IC!DB20</f>
        <v>10.047825453292372</v>
      </c>
      <c r="DC20" s="11">
        <f>DB20+真實IC!DC20</f>
        <v>9.9982123840568171</v>
      </c>
      <c r="DD20" s="11">
        <f>DC20+真實IC!DD20</f>
        <v>10.001809568813767</v>
      </c>
      <c r="DE20" s="11">
        <f>DD20+真實IC!DE20</f>
        <v>10.012228290420619</v>
      </c>
      <c r="DF20" s="11">
        <f>DE20+真實IC!DF20</f>
        <v>10.257802495698204</v>
      </c>
      <c r="DG20" s="11">
        <f>DF20+真實IC!DG20</f>
        <v>10.310147308998022</v>
      </c>
      <c r="DH20" s="11">
        <f>DG20+真實IC!DH20</f>
        <v>10.588446162166965</v>
      </c>
      <c r="DI20" s="11">
        <f>DH20+真實IC!DI20</f>
        <v>10.72604192147964</v>
      </c>
      <c r="DJ20" s="11">
        <f>DI20+真實IC!DJ20</f>
        <v>10.862600013912337</v>
      </c>
      <c r="DK20" s="11">
        <f>DJ20+真實IC!DK20</f>
        <v>10.947787553932841</v>
      </c>
      <c r="DL20" s="11">
        <f>DK20+真實IC!DL20</f>
        <v>10.928322180599221</v>
      </c>
      <c r="DM20" s="11">
        <f>DL20+真實IC!DM20</f>
        <v>10.858986073924104</v>
      </c>
      <c r="DN20" s="11">
        <f>DM20+真實IC!DN20</f>
        <v>10.917005280578303</v>
      </c>
      <c r="DO20" s="11">
        <f>DN20+真實IC!DO20</f>
        <v>11.175006644037314</v>
      </c>
      <c r="DP20" s="11">
        <f>DO20+真實IC!DP20</f>
        <v>11.375162078791703</v>
      </c>
      <c r="DQ20" s="11">
        <f>DP20+真實IC!DQ20</f>
        <v>11.432622260416403</v>
      </c>
      <c r="DR20" s="11">
        <f>DQ20+真實IC!DR20</f>
        <v>11.511134920444693</v>
      </c>
      <c r="DS20" s="11">
        <f>DR20+真實IC!DS20</f>
        <v>11.503644224690934</v>
      </c>
      <c r="DT20" s="11">
        <f>DS20+真實IC!DT20</f>
        <v>11.473958885892092</v>
      </c>
      <c r="DU20" s="11">
        <f>DT20+真實IC!DU20</f>
        <v>11.650334054822489</v>
      </c>
      <c r="DV20" s="11">
        <f>DU20+真實IC!DV20</f>
        <v>11.779679526661347</v>
      </c>
      <c r="DW20" s="11">
        <f>DV20+真實IC!DW20</f>
        <v>11.676133358521541</v>
      </c>
      <c r="DX20" s="11">
        <f>DW20+真實IC!DX20</f>
        <v>11.829999688127856</v>
      </c>
      <c r="DY20" s="11">
        <f>DX20+真實IC!DY20</f>
        <v>11.951591145903258</v>
      </c>
      <c r="DZ20" s="11">
        <f>DY20+真實IC!DZ20</f>
        <v>12.041790792062233</v>
      </c>
      <c r="EA20" s="11">
        <f>DZ20+真實IC!EA20</f>
        <v>12.035865192788899</v>
      </c>
      <c r="EB20" s="11">
        <f>EA20+真實IC!EB20</f>
        <v>12.118272335233318</v>
      </c>
      <c r="EC20" s="11">
        <f>EB20+真實IC!EC20</f>
        <v>12.15232191664726</v>
      </c>
      <c r="ED20" s="11">
        <f>EC20+真實IC!ED20</f>
        <v>12.32924077771427</v>
      </c>
      <c r="EE20" s="11">
        <f>ED20+真實IC!EE20</f>
        <v>12.327499797962416</v>
      </c>
      <c r="EF20" s="11">
        <f>EE20+真實IC!EF20</f>
        <v>12.413302858804665</v>
      </c>
    </row>
    <row r="21" spans="1:136" x14ac:dyDescent="0.3">
      <c r="A21" s="1">
        <v>241</v>
      </c>
      <c r="B21" s="1">
        <v>4</v>
      </c>
      <c r="C21" s="11">
        <f>IF(預測IC!C21&gt;預測IC!C$26,1,0)</f>
        <v>1</v>
      </c>
      <c r="D21" s="11">
        <f>C21+真實IC!D21</f>
        <v>1.1263879167668236</v>
      </c>
      <c r="E21" s="11">
        <f>D21+真實IC!E21</f>
        <v>1.112697746481033</v>
      </c>
      <c r="F21" s="11">
        <f>E21+真實IC!F21</f>
        <v>0.92865916487490308</v>
      </c>
      <c r="G21" s="11">
        <f>F21+真實IC!G21</f>
        <v>1.0725013159874677</v>
      </c>
      <c r="H21" s="11">
        <f>G21+真實IC!H21</f>
        <v>1.2346654037813056</v>
      </c>
      <c r="I21" s="11">
        <f>H21+真實IC!I21</f>
        <v>1.3819210119087786</v>
      </c>
      <c r="J21" s="11">
        <f>I21+真實IC!J21</f>
        <v>1.4423563376004209</v>
      </c>
      <c r="K21" s="11">
        <f>J21+真實IC!K21</f>
        <v>1.6492363636038165</v>
      </c>
      <c r="L21" s="11">
        <f>K21+真實IC!L21</f>
        <v>1.6542655169098772</v>
      </c>
      <c r="M21" s="11">
        <f>L21+真實IC!M21</f>
        <v>1.5545809235016659</v>
      </c>
      <c r="N21" s="11">
        <f>M21+真實IC!N21</f>
        <v>2.139472188122391</v>
      </c>
      <c r="O21" s="11">
        <f>N21+真實IC!O21</f>
        <v>2.1738241775830818</v>
      </c>
      <c r="P21" s="11">
        <f>O21+真實IC!P21</f>
        <v>2.3185967784727666</v>
      </c>
      <c r="Q21" s="11">
        <f>P21+真實IC!Q21</f>
        <v>2.575906852567019</v>
      </c>
      <c r="R21" s="11">
        <f>Q21+真實IC!R21</f>
        <v>2.4803315414603886</v>
      </c>
      <c r="S21" s="11">
        <f>R21+真實IC!S21</f>
        <v>2.6089218269103456</v>
      </c>
      <c r="T21" s="11">
        <f>S21+真實IC!T21</f>
        <v>2.7073834996671429</v>
      </c>
      <c r="U21" s="11">
        <f>T21+真實IC!U21</f>
        <v>2.793661917278901</v>
      </c>
      <c r="V21" s="11">
        <f>U21+真實IC!V21</f>
        <v>2.8472195366449324</v>
      </c>
      <c r="W21" s="11">
        <f>V21+真實IC!W21</f>
        <v>2.9717181554734404</v>
      </c>
      <c r="X21" s="11">
        <f>W21+真實IC!X21</f>
        <v>3.1853490976785568</v>
      </c>
      <c r="Y21" s="11">
        <f>X21+真實IC!Y21</f>
        <v>3.164516014786122</v>
      </c>
      <c r="Z21" s="11">
        <f>Y21+真實IC!Z21</f>
        <v>3.2787200020088463</v>
      </c>
      <c r="AA21" s="11">
        <f>Z21+真實IC!AA21</f>
        <v>3.389355909011325</v>
      </c>
      <c r="AB21" s="11">
        <f>AA21+真實IC!AB21</f>
        <v>3.5191954914083947</v>
      </c>
      <c r="AC21" s="11">
        <f>AB21+真實IC!AC21</f>
        <v>3.5380232281151947</v>
      </c>
      <c r="AD21" s="11">
        <f>AC21+真實IC!AD21</f>
        <v>3.6668478937627524</v>
      </c>
      <c r="AE21" s="11">
        <f>AD21+真實IC!AE21</f>
        <v>3.7949528725589983</v>
      </c>
      <c r="AF21" s="11">
        <f>AE21+真實IC!AF21</f>
        <v>4.0900971306423619</v>
      </c>
      <c r="AG21" s="11">
        <f>AF21+真實IC!AG21</f>
        <v>4.1343999084321563</v>
      </c>
      <c r="AH21" s="11">
        <f>AG21+真實IC!AH21</f>
        <v>4.026818545867358</v>
      </c>
      <c r="AI21" s="11">
        <f>AH21+真實IC!AI21</f>
        <v>4.1289422213788418</v>
      </c>
      <c r="AJ21" s="11">
        <f>AI21+真實IC!AJ21</f>
        <v>4.0585368794323733</v>
      </c>
      <c r="AK21" s="11">
        <f>AJ21+真實IC!AK21</f>
        <v>4.0227337118142632</v>
      </c>
      <c r="AL21" s="11">
        <f>AK21+真實IC!AL21</f>
        <v>4.0425145253741146</v>
      </c>
      <c r="AM21" s="11">
        <f>AL21+真實IC!AM21</f>
        <v>4.1110503328217449</v>
      </c>
      <c r="AN21" s="11">
        <f>AM21+真實IC!AN21</f>
        <v>4.2230063888848388</v>
      </c>
      <c r="AO21" s="11">
        <f>AN21+真實IC!AO21</f>
        <v>4.3085741637987258</v>
      </c>
      <c r="AP21" s="11">
        <f>AO21+真實IC!AP21</f>
        <v>4.381109307368745</v>
      </c>
      <c r="AQ21" s="11">
        <f>AP21+真實IC!AQ21</f>
        <v>4.5143357675777143</v>
      </c>
      <c r="AR21" s="11">
        <f>AQ21+真實IC!AR21</f>
        <v>4.5623239089810248</v>
      </c>
      <c r="AS21" s="11">
        <f>AR21+真實IC!AS21</f>
        <v>4.5169172269210165</v>
      </c>
      <c r="AT21" s="11">
        <f>AS21+真實IC!AT21</f>
        <v>4.7817554844690138</v>
      </c>
      <c r="AU21" s="11">
        <f>AT21+真實IC!AU21</f>
        <v>5.1282367484324407</v>
      </c>
      <c r="AV21" s="11">
        <f>AU21+真實IC!AV21</f>
        <v>5.0595228357359607</v>
      </c>
      <c r="AW21" s="11">
        <f>AV21+真實IC!AW21</f>
        <v>5.3227777521097757</v>
      </c>
      <c r="AX21" s="11">
        <f>AW21+真實IC!AX21</f>
        <v>5.5404960546268134</v>
      </c>
      <c r="AY21" s="11">
        <f>AX21+真實IC!AY21</f>
        <v>5.5875173456048515</v>
      </c>
      <c r="AZ21" s="11">
        <f>AY21+真實IC!AZ21</f>
        <v>5.6960197040194576</v>
      </c>
      <c r="BA21" s="11">
        <f>AZ21+真實IC!BA21</f>
        <v>5.8356123861807845</v>
      </c>
      <c r="BB21" s="11">
        <f>BA21+真實IC!BB21</f>
        <v>6.2400438143139336</v>
      </c>
      <c r="BC21" s="11">
        <f>BB21+真實IC!BC21</f>
        <v>6.40450434624276</v>
      </c>
      <c r="BD21" s="11">
        <f>BC21+真實IC!BD21</f>
        <v>6.4427234935106741</v>
      </c>
      <c r="BE21" s="11">
        <f>BD21+真實IC!BE21</f>
        <v>6.5794688494186389</v>
      </c>
      <c r="BF21" s="11">
        <f>BE21+真實IC!BF21</f>
        <v>6.7785860658492423</v>
      </c>
      <c r="BG21" s="11">
        <f>BF21+真實IC!BG21</f>
        <v>6.8708716373564958</v>
      </c>
      <c r="BH21" s="11">
        <f>BG21+真實IC!BH21</f>
        <v>6.9777137469939259</v>
      </c>
      <c r="BI21" s="11">
        <f>BH21+真實IC!BI21</f>
        <v>7.1436833431723175</v>
      </c>
      <c r="BJ21" s="11">
        <f>BI21+真實IC!BJ21</f>
        <v>7.1660774055364271</v>
      </c>
      <c r="BK21" s="11">
        <f>BJ21+真實IC!BK21</f>
        <v>7.0933542907877127</v>
      </c>
      <c r="BL21" s="11">
        <f>BK21+真實IC!BL21</f>
        <v>7.1806950812554113</v>
      </c>
      <c r="BM21" s="11">
        <f>BL21+真實IC!BM21</f>
        <v>7.2214903672841322</v>
      </c>
      <c r="BN21" s="11">
        <f>BM21+真實IC!BN21</f>
        <v>7.2472811337325789</v>
      </c>
      <c r="BO21" s="11">
        <f>BN21+真實IC!BO21</f>
        <v>7.1834238973188986</v>
      </c>
      <c r="BP21" s="11">
        <f>BO21+真實IC!BP21</f>
        <v>7.1792430949873056</v>
      </c>
      <c r="BQ21" s="11">
        <f>BP21+真實IC!BQ21</f>
        <v>7.2337853258218106</v>
      </c>
      <c r="BR21" s="11">
        <f>BQ21+真實IC!BR21</f>
        <v>7.375846781731906</v>
      </c>
      <c r="BS21" s="11">
        <f>BR21+真實IC!BS21</f>
        <v>7.3101049607715582</v>
      </c>
      <c r="BT21" s="11">
        <f>BS21+真實IC!BT21</f>
        <v>7.2492842182290333</v>
      </c>
      <c r="BU21" s="11">
        <f>BT21+真實IC!BU21</f>
        <v>7.4200227287794513</v>
      </c>
      <c r="BV21" s="11">
        <f>BU21+真實IC!BV21</f>
        <v>7.3756827487381775</v>
      </c>
      <c r="BW21" s="11">
        <f>BV21+真實IC!BW21</f>
        <v>7.560143419458587</v>
      </c>
      <c r="BX21" s="11">
        <f>BW21+真實IC!BX21</f>
        <v>7.48297841693799</v>
      </c>
      <c r="BY21" s="11">
        <f>BX21+真實IC!BY21</f>
        <v>7.427312124695753</v>
      </c>
      <c r="BZ21" s="11">
        <f>BY21+真實IC!BZ21</f>
        <v>7.4749750534164683</v>
      </c>
      <c r="CA21" s="11">
        <f>BZ21+真實IC!CA21</f>
        <v>7.5354926567188665</v>
      </c>
      <c r="CB21" s="11">
        <f>CA21+真實IC!CB21</f>
        <v>7.7433625046204542</v>
      </c>
      <c r="CC21" s="11">
        <f>CB21+真實IC!CC21</f>
        <v>7.7353435503494881</v>
      </c>
      <c r="CD21" s="11">
        <f>CC21+真實IC!CD21</f>
        <v>8.0233996147119608</v>
      </c>
      <c r="CE21" s="11">
        <f>CD21+真實IC!CE21</f>
        <v>8.0849144970661158</v>
      </c>
      <c r="CF21" s="11">
        <f>CE21+真實IC!CF21</f>
        <v>8.2161801738671887</v>
      </c>
      <c r="CG21" s="11">
        <f>CF21+真實IC!CG21</f>
        <v>8.3012655093413201</v>
      </c>
      <c r="CH21" s="11">
        <f>CG21+真實IC!CH21</f>
        <v>8.3813658304175327</v>
      </c>
      <c r="CI21" s="11">
        <f>CH21+真實IC!CI21</f>
        <v>8.461865446808515</v>
      </c>
      <c r="CJ21" s="11">
        <f>CI21+真實IC!CJ21</f>
        <v>8.406724598247358</v>
      </c>
      <c r="CK21" s="11">
        <f>CJ21+真實IC!CK21</f>
        <v>8.4738842285442129</v>
      </c>
      <c r="CL21" s="11">
        <f>CK21+真實IC!CL21</f>
        <v>8.3399938039212476</v>
      </c>
      <c r="CM21" s="11">
        <f>CL21+真實IC!CM21</f>
        <v>8.4562256231018065</v>
      </c>
      <c r="CN21" s="11">
        <f>CM21+真實IC!CN21</f>
        <v>8.5370771319312393</v>
      </c>
      <c r="CO21" s="11">
        <f>CN21+真實IC!CO21</f>
        <v>8.8725608901261186</v>
      </c>
      <c r="CP21" s="11">
        <f>CO21+真實IC!CP21</f>
        <v>9.0952609510040308</v>
      </c>
      <c r="CQ21" s="11">
        <f>CP21+真實IC!CQ21</f>
        <v>9.1181731451735271</v>
      </c>
      <c r="CR21" s="11">
        <f>CQ21+真實IC!CR21</f>
        <v>9.3572331115347946</v>
      </c>
      <c r="CS21" s="11">
        <f>CR21+真實IC!CS21</f>
        <v>9.4185021477541255</v>
      </c>
      <c r="CT21" s="11">
        <f>CS21+真實IC!CT21</f>
        <v>9.4664952518271299</v>
      </c>
      <c r="CU21" s="11">
        <f>CT21+真實IC!CU21</f>
        <v>9.6254118741445804</v>
      </c>
      <c r="CV21" s="11">
        <f>CU21+真實IC!CV21</f>
        <v>9.7797437189191534</v>
      </c>
      <c r="CW21" s="11">
        <f>CV21+真實IC!CW21</f>
        <v>9.8180892357908363</v>
      </c>
      <c r="CX21" s="11">
        <f>CW21+真實IC!CX21</f>
        <v>9.9202114114482427</v>
      </c>
      <c r="CY21" s="11">
        <f>CX21+真實IC!CY21</f>
        <v>10.022716572529806</v>
      </c>
      <c r="CZ21" s="11">
        <f>CY21+真實IC!CZ21</f>
        <v>10.260167943355636</v>
      </c>
      <c r="DA21" s="11">
        <f>CZ21+真實IC!DA21</f>
        <v>10.301877007419563</v>
      </c>
      <c r="DB21" s="11">
        <f>DA21+真實IC!DB21</f>
        <v>10.373338221193562</v>
      </c>
      <c r="DC21" s="11">
        <f>DB21+真實IC!DC21</f>
        <v>10.328290661970271</v>
      </c>
      <c r="DD21" s="11">
        <f>DC21+真實IC!DD21</f>
        <v>10.331109456361343</v>
      </c>
      <c r="DE21" s="11">
        <f>DD21+真實IC!DE21</f>
        <v>10.36008719342167</v>
      </c>
      <c r="DF21" s="11">
        <f>DE21+真實IC!DF21</f>
        <v>10.661237405103714</v>
      </c>
      <c r="DG21" s="11">
        <f>DF21+真實IC!DG21</f>
        <v>10.720646923948628</v>
      </c>
      <c r="DH21" s="11">
        <f>DG21+真實IC!DH21</f>
        <v>10.802083112228656</v>
      </c>
      <c r="DI21" s="11">
        <f>DH21+真實IC!DI21</f>
        <v>10.98192293739606</v>
      </c>
      <c r="DJ21" s="11">
        <f>DI21+真實IC!DJ21</f>
        <v>11.138528655859702</v>
      </c>
      <c r="DK21" s="11">
        <f>DJ21+真實IC!DK21</f>
        <v>11.229424246766648</v>
      </c>
      <c r="DL21" s="11">
        <f>DK21+真實IC!DL21</f>
        <v>11.216687255265635</v>
      </c>
      <c r="DM21" s="11">
        <f>DL21+真實IC!DM21</f>
        <v>11.19169845282349</v>
      </c>
      <c r="DN21" s="11">
        <f>DM21+真實IC!DN21</f>
        <v>11.262896065317483</v>
      </c>
      <c r="DO21" s="11">
        <f>DN21+真實IC!DO21</f>
        <v>11.594522870196128</v>
      </c>
      <c r="DP21" s="11">
        <f>DO21+真實IC!DP21</f>
        <v>11.823542759876362</v>
      </c>
      <c r="DQ21" s="11">
        <f>DP21+真實IC!DQ21</f>
        <v>11.893965458684546</v>
      </c>
      <c r="DR21" s="11">
        <f>DQ21+真實IC!DR21</f>
        <v>11.944136317721627</v>
      </c>
      <c r="DS21" s="11">
        <f>DR21+真實IC!DS21</f>
        <v>11.942464223042306</v>
      </c>
      <c r="DT21" s="11">
        <f>DS21+真實IC!DT21</f>
        <v>11.937249032695627</v>
      </c>
      <c r="DU21" s="11">
        <f>DT21+真實IC!DU21</f>
        <v>12.08586374933404</v>
      </c>
      <c r="DV21" s="11">
        <f>DU21+真實IC!DV21</f>
        <v>12.226139726203918</v>
      </c>
      <c r="DW21" s="11">
        <f>DV21+真實IC!DW21</f>
        <v>12.122605233607615</v>
      </c>
      <c r="DX21" s="11">
        <f>DW21+真實IC!DX21</f>
        <v>12.308571447638798</v>
      </c>
      <c r="DY21" s="11">
        <f>DX21+真實IC!DY21</f>
        <v>12.47530241872739</v>
      </c>
      <c r="DZ21" s="11">
        <f>DY21+真實IC!DZ21</f>
        <v>12.574232992387294</v>
      </c>
      <c r="EA21" s="11">
        <f>DZ21+真實IC!EA21</f>
        <v>12.539166535202058</v>
      </c>
      <c r="EB21" s="11">
        <f>EA21+真實IC!EB21</f>
        <v>12.565468729200592</v>
      </c>
      <c r="EC21" s="11">
        <f>EB21+真實IC!EC21</f>
        <v>12.579505784298634</v>
      </c>
      <c r="ED21" s="11">
        <f>EC21+真實IC!ED21</f>
        <v>12.634004640646815</v>
      </c>
      <c r="EE21" s="11">
        <f>ED21+真實IC!EE21</f>
        <v>12.655315232954683</v>
      </c>
      <c r="EF21" s="11">
        <f>EE21+真實IC!EF21</f>
        <v>12.684112459374354</v>
      </c>
    </row>
    <row r="22" spans="1:136" x14ac:dyDescent="0.3">
      <c r="A22" s="1">
        <v>321</v>
      </c>
      <c r="B22" s="1">
        <v>3</v>
      </c>
      <c r="C22" s="11">
        <f>IF(預測IC!C22&gt;預測IC!C$26,1,0)</f>
        <v>1</v>
      </c>
      <c r="D22" s="11">
        <f>C22+真實IC!D22</f>
        <v>1.1424278520773985</v>
      </c>
      <c r="E22" s="11">
        <f>D22+真實IC!E22</f>
        <v>1.1250727531609395</v>
      </c>
      <c r="F22" s="11">
        <f>E22+真實IC!F22</f>
        <v>1.0572416922396619</v>
      </c>
      <c r="G22" s="11">
        <f>F22+真實IC!G22</f>
        <v>1.161126055529996</v>
      </c>
      <c r="H22" s="11">
        <f>G22+真實IC!H22</f>
        <v>1.2853041184906424</v>
      </c>
      <c r="I22" s="11">
        <f>H22+真實IC!I22</f>
        <v>1.4087972878287123</v>
      </c>
      <c r="J22" s="11">
        <f>I22+真實IC!J22</f>
        <v>1.4613958770940552</v>
      </c>
      <c r="K22" s="11">
        <f>J22+真實IC!K22</f>
        <v>1.7067617897768108</v>
      </c>
      <c r="L22" s="11">
        <f>K22+真實IC!L22</f>
        <v>1.6924885810918286</v>
      </c>
      <c r="M22" s="11">
        <f>L22+真實IC!M22</f>
        <v>1.6183885223212562</v>
      </c>
      <c r="N22" s="11">
        <f>M22+真實IC!N22</f>
        <v>2.374531965438595</v>
      </c>
      <c r="O22" s="11">
        <f>N22+真實IC!O22</f>
        <v>2.3678160871272276</v>
      </c>
      <c r="P22" s="11">
        <f>O22+真實IC!P22</f>
        <v>2.4405989712560445</v>
      </c>
      <c r="Q22" s="11">
        <f>P22+真實IC!Q22</f>
        <v>2.7173758650890965</v>
      </c>
      <c r="R22" s="11">
        <f>Q22+真實IC!R22</f>
        <v>2.6807474308175085</v>
      </c>
      <c r="S22" s="11">
        <f>R22+真實IC!S22</f>
        <v>2.8503939863754493</v>
      </c>
      <c r="T22" s="11">
        <f>S22+真實IC!T22</f>
        <v>2.9792064083585723</v>
      </c>
      <c r="U22" s="11">
        <f>T22+真實IC!U22</f>
        <v>3.0897964317610764</v>
      </c>
      <c r="V22" s="11">
        <f>U22+真實IC!V22</f>
        <v>3.1280832082809318</v>
      </c>
      <c r="W22" s="11">
        <f>V22+真實IC!W22</f>
        <v>3.2861309614448824</v>
      </c>
      <c r="X22" s="11">
        <f>W22+真實IC!X22</f>
        <v>3.5079177204787526</v>
      </c>
      <c r="Y22" s="11">
        <f>X22+真實IC!Y22</f>
        <v>3.4921855120652316</v>
      </c>
      <c r="Z22" s="11">
        <f>Y22+真實IC!Z22</f>
        <v>3.5677337812110776</v>
      </c>
      <c r="AA22" s="11">
        <f>Z22+真實IC!AA22</f>
        <v>3.6502582067891907</v>
      </c>
      <c r="AB22" s="11">
        <f>AA22+真實IC!AB22</f>
        <v>3.7846944195025163</v>
      </c>
      <c r="AC22" s="11">
        <f>AB22+真實IC!AC22</f>
        <v>3.8704708802179488</v>
      </c>
      <c r="AD22" s="11">
        <f>AC22+真實IC!AD22</f>
        <v>3.8840436689903099</v>
      </c>
      <c r="AE22" s="11">
        <f>AD22+真實IC!AE22</f>
        <v>4.0148675118066439</v>
      </c>
      <c r="AF22" s="11">
        <f>AE22+真實IC!AF22</f>
        <v>4.4447842798552557</v>
      </c>
      <c r="AG22" s="11">
        <f>AF22+真實IC!AG22</f>
        <v>4.49762582003099</v>
      </c>
      <c r="AH22" s="11">
        <f>AG22+真實IC!AH22</f>
        <v>4.3917598606105175</v>
      </c>
      <c r="AI22" s="11">
        <f>AH22+真實IC!AI22</f>
        <v>4.5027635718374661</v>
      </c>
      <c r="AJ22" s="11">
        <f>AI22+真實IC!AJ22</f>
        <v>4.4710637225110581</v>
      </c>
      <c r="AK22" s="11">
        <f>AJ22+真實IC!AK22</f>
        <v>4.5723522832514538</v>
      </c>
      <c r="AL22" s="11">
        <f>AK22+真實IC!AL22</f>
        <v>4.5629125447777437</v>
      </c>
      <c r="AM22" s="11">
        <f>AL22+真實IC!AM22</f>
        <v>4.6470014482454474</v>
      </c>
      <c r="AN22" s="11">
        <f>AM22+真實IC!AN22</f>
        <v>4.7581342579090062</v>
      </c>
      <c r="AO22" s="11">
        <f>AN22+真實IC!AO22</f>
        <v>4.9162871332027329</v>
      </c>
      <c r="AP22" s="11">
        <f>AO22+真實IC!AP22</f>
        <v>4.9788234870907253</v>
      </c>
      <c r="AQ22" s="11">
        <f>AP22+真實IC!AQ22</f>
        <v>5.0889551993820037</v>
      </c>
      <c r="AR22" s="11">
        <f>AQ22+真實IC!AR22</f>
        <v>5.1568796870856071</v>
      </c>
      <c r="AS22" s="11">
        <f>AR22+真實IC!AS22</f>
        <v>5.2307233897714402</v>
      </c>
      <c r="AT22" s="11">
        <f>AS22+真實IC!AT22</f>
        <v>5.2484517607658772</v>
      </c>
      <c r="AU22" s="11">
        <f>AT22+真實IC!AU22</f>
        <v>5.6778055454442233</v>
      </c>
      <c r="AV22" s="11">
        <f>AU22+真實IC!AV22</f>
        <v>5.5880515635725905</v>
      </c>
      <c r="AW22" s="11">
        <f>AV22+真實IC!AW22</f>
        <v>5.9588508422637636</v>
      </c>
      <c r="AX22" s="11">
        <f>AW22+真實IC!AX22</f>
        <v>5.94897565625807</v>
      </c>
      <c r="AY22" s="11">
        <f>AX22+真實IC!AY22</f>
        <v>6.0207090415923004</v>
      </c>
      <c r="AZ22" s="11">
        <f>AY22+真實IC!AZ22</f>
        <v>6.175897445635834</v>
      </c>
      <c r="BA22" s="11">
        <f>AZ22+真實IC!BA22</f>
        <v>6.2256724032200212</v>
      </c>
      <c r="BB22" s="11">
        <f>BA22+真實IC!BB22</f>
        <v>6.7439364526700585</v>
      </c>
      <c r="BC22" s="11">
        <f>BB22+真實IC!BC22</f>
        <v>6.9395624880205764</v>
      </c>
      <c r="BD22" s="11">
        <f>BC22+真實IC!BD22</f>
        <v>7.0188220329400126</v>
      </c>
      <c r="BE22" s="11">
        <f>BD22+真實IC!BE22</f>
        <v>7.146889916905673</v>
      </c>
      <c r="BF22" s="11">
        <f>BE22+真實IC!BF22</f>
        <v>7.3459923654541113</v>
      </c>
      <c r="BG22" s="11">
        <f>BF22+真實IC!BG22</f>
        <v>7.3047608963013309</v>
      </c>
      <c r="BH22" s="11">
        <f>BG22+真實IC!BH22</f>
        <v>7.432467905697747</v>
      </c>
      <c r="BI22" s="11">
        <f>BH22+真實IC!BI22</f>
        <v>7.5435566251076542</v>
      </c>
      <c r="BJ22" s="11">
        <f>BI22+真實IC!BJ22</f>
        <v>7.5844469567871782</v>
      </c>
      <c r="BK22" s="11">
        <f>BJ22+真實IC!BK22</f>
        <v>7.5361317157355137</v>
      </c>
      <c r="BL22" s="11">
        <f>BK22+真實IC!BL22</f>
        <v>7.6756031061363776</v>
      </c>
      <c r="BM22" s="11">
        <f>BL22+真實IC!BM22</f>
        <v>7.6780335893819105</v>
      </c>
      <c r="BN22" s="11">
        <f>BM22+真實IC!BN22</f>
        <v>7.760971488582233</v>
      </c>
      <c r="BO22" s="11">
        <f>BN22+真實IC!BO22</f>
        <v>7.7104870594694823</v>
      </c>
      <c r="BP22" s="11">
        <f>BO22+真實IC!BP22</f>
        <v>7.7099460593449507</v>
      </c>
      <c r="BQ22" s="11">
        <f>BP22+真實IC!BQ22</f>
        <v>7.737776156743263</v>
      </c>
      <c r="BR22" s="11">
        <f>BQ22+真實IC!BR22</f>
        <v>7.8443429387109536</v>
      </c>
      <c r="BS22" s="11">
        <f>BR22+真實IC!BS22</f>
        <v>7.7472953490064089</v>
      </c>
      <c r="BT22" s="11">
        <f>BS22+真實IC!BT22</f>
        <v>7.836021543339192</v>
      </c>
      <c r="BU22" s="11">
        <f>BT22+真實IC!BU22</f>
        <v>7.9403721264215568</v>
      </c>
      <c r="BV22" s="11">
        <f>BU22+真實IC!BV22</f>
        <v>7.8917685918324789</v>
      </c>
      <c r="BW22" s="11">
        <f>BV22+真實IC!BW22</f>
        <v>8.0239403833682594</v>
      </c>
      <c r="BX22" s="11">
        <f>BW22+真實IC!BX22</f>
        <v>7.9109114844638944</v>
      </c>
      <c r="BY22" s="11">
        <f>BX22+真實IC!BY22</f>
        <v>7.8553144344935237</v>
      </c>
      <c r="BZ22" s="11">
        <f>BY22+真實IC!BZ22</f>
        <v>7.9025721703564162</v>
      </c>
      <c r="CA22" s="11">
        <f>BZ22+真實IC!CA22</f>
        <v>7.93006224883674</v>
      </c>
      <c r="CB22" s="11">
        <f>CA22+真實IC!CB22</f>
        <v>8.1848015045516007</v>
      </c>
      <c r="CC22" s="11">
        <f>CB22+真實IC!CC22</f>
        <v>8.059697509231567</v>
      </c>
      <c r="CD22" s="11">
        <f>CC22+真實IC!CD22</f>
        <v>8.3935755459442891</v>
      </c>
      <c r="CE22" s="11">
        <f>CD22+真實IC!CE22</f>
        <v>8.4604156915811064</v>
      </c>
      <c r="CF22" s="11">
        <f>CE22+真實IC!CF22</f>
        <v>8.6492154773413841</v>
      </c>
      <c r="CG22" s="11">
        <f>CF22+真實IC!CG22</f>
        <v>8.856300809974897</v>
      </c>
      <c r="CH22" s="11">
        <f>CG22+真實IC!CH22</f>
        <v>8.972219581254345</v>
      </c>
      <c r="CI22" s="11">
        <f>CH22+真實IC!CI22</f>
        <v>9.0899993275327038</v>
      </c>
      <c r="CJ22" s="11">
        <f>CI22+真實IC!CJ22</f>
        <v>8.9636739682541169</v>
      </c>
      <c r="CK22" s="11">
        <f>CJ22+真實IC!CK22</f>
        <v>9.074597508540899</v>
      </c>
      <c r="CL22" s="11">
        <f>CK22+真實IC!CL22</f>
        <v>8.8339457099158576</v>
      </c>
      <c r="CM22" s="11">
        <f>CL22+真實IC!CM22</f>
        <v>9.0537781951133205</v>
      </c>
      <c r="CN22" s="11">
        <f>CM22+真實IC!CN22</f>
        <v>9.2065821119235274</v>
      </c>
      <c r="CO22" s="11">
        <f>CN22+真實IC!CO22</f>
        <v>9.4786416100704027</v>
      </c>
      <c r="CP22" s="11">
        <f>CO22+真實IC!CP22</f>
        <v>9.7380501670398054</v>
      </c>
      <c r="CQ22" s="11">
        <f>CP22+真實IC!CQ22</f>
        <v>9.7552097825589286</v>
      </c>
      <c r="CR22" s="11">
        <f>CQ22+真實IC!CR22</f>
        <v>10.001982552550816</v>
      </c>
      <c r="CS22" s="11">
        <f>CR22+真實IC!CS22</f>
        <v>10.086764488435181</v>
      </c>
      <c r="CT22" s="11">
        <f>CS22+真實IC!CT22</f>
        <v>10.125027103010456</v>
      </c>
      <c r="CU22" s="11">
        <f>CT22+真實IC!CU22</f>
        <v>10.292381014196824</v>
      </c>
      <c r="CV22" s="11">
        <f>CU22+真實IC!CV22</f>
        <v>10.458603692886378</v>
      </c>
      <c r="CW22" s="11">
        <f>CV22+真實IC!CW22</f>
        <v>10.481487735218362</v>
      </c>
      <c r="CX22" s="11">
        <f>CW22+真實IC!CX22</f>
        <v>10.48523732848621</v>
      </c>
      <c r="CY22" s="11">
        <f>CX22+真實IC!CY22</f>
        <v>10.589748154554272</v>
      </c>
      <c r="CZ22" s="11">
        <f>CY22+真實IC!CZ22</f>
        <v>10.85266863915351</v>
      </c>
      <c r="DA22" s="11">
        <f>CZ22+真實IC!DA22</f>
        <v>10.885122633963649</v>
      </c>
      <c r="DB22" s="11">
        <f>DA22+真實IC!DB22</f>
        <v>10.939164255674171</v>
      </c>
      <c r="DC22" s="11">
        <f>DB22+真實IC!DC22</f>
        <v>10.918439471230014</v>
      </c>
      <c r="DD22" s="11">
        <f>DC22+真實IC!DD22</f>
        <v>10.950149640355839</v>
      </c>
      <c r="DE22" s="11">
        <f>DD22+真實IC!DE22</f>
        <v>10.932393136853907</v>
      </c>
      <c r="DF22" s="11">
        <f>DE22+真實IC!DF22</f>
        <v>11.322060770548031</v>
      </c>
      <c r="DG22" s="11">
        <f>DF22+真實IC!DG22</f>
        <v>11.393950269965034</v>
      </c>
      <c r="DH22" s="11">
        <f>DG22+真實IC!DH22</f>
        <v>11.475404651580941</v>
      </c>
      <c r="DI22" s="11">
        <f>DH22+真實IC!DI22</f>
        <v>11.53552676285153</v>
      </c>
      <c r="DJ22" s="11">
        <f>DI22+真實IC!DJ22</f>
        <v>11.68922652568186</v>
      </c>
      <c r="DK22" s="11">
        <f>DJ22+真實IC!DK22</f>
        <v>11.780654930741372</v>
      </c>
      <c r="DL22" s="11">
        <f>DK22+真實IC!DL22</f>
        <v>11.777441599998234</v>
      </c>
      <c r="DM22" s="11">
        <f>DL22+真實IC!DM22</f>
        <v>11.745556890708503</v>
      </c>
      <c r="DN22" s="11">
        <f>DM22+真實IC!DN22</f>
        <v>11.792320218912511</v>
      </c>
      <c r="DO22" s="11">
        <f>DN22+真實IC!DO22</f>
        <v>11.868036034967417</v>
      </c>
      <c r="DP22" s="11">
        <f>DO22+真實IC!DP22</f>
        <v>12.037598467108149</v>
      </c>
      <c r="DQ22" s="11">
        <f>DP22+真實IC!DQ22</f>
        <v>12.203002633652789</v>
      </c>
      <c r="DR22" s="11">
        <f>DQ22+真實IC!DR22</f>
        <v>12.196910081037471</v>
      </c>
      <c r="DS22" s="11">
        <f>DR22+真實IC!DS22</f>
        <v>12.160563818787935</v>
      </c>
      <c r="DT22" s="11">
        <f>DS22+真實IC!DT22</f>
        <v>12.187692572766105</v>
      </c>
      <c r="DU22" s="11">
        <f>DT22+真實IC!DU22</f>
        <v>12.349239483648836</v>
      </c>
      <c r="DV22" s="11">
        <f>DU22+真實IC!DV22</f>
        <v>12.474944601327014</v>
      </c>
      <c r="DW22" s="11">
        <f>DV22+真實IC!DW22</f>
        <v>12.39352918794709</v>
      </c>
      <c r="DX22" s="11">
        <f>DW22+真實IC!DX22</f>
        <v>12.615971796395385</v>
      </c>
      <c r="DY22" s="11">
        <f>DX22+真實IC!DY22</f>
        <v>12.735927821114046</v>
      </c>
      <c r="DZ22" s="11">
        <f>DY22+真實IC!DZ22</f>
        <v>12.846762325901757</v>
      </c>
      <c r="EA22" s="11">
        <f>DZ22+真實IC!EA22</f>
        <v>12.812571083491884</v>
      </c>
      <c r="EB22" s="11">
        <f>EA22+真實IC!EB22</f>
        <v>12.942337033797953</v>
      </c>
      <c r="EC22" s="11">
        <f>EB22+真實IC!EC22</f>
        <v>12.963832135373591</v>
      </c>
      <c r="ED22" s="11">
        <f>EC22+真實IC!ED22</f>
        <v>13.041245702431199</v>
      </c>
      <c r="EE22" s="11">
        <f>ED22+真實IC!EE22</f>
        <v>13.088882361815898</v>
      </c>
      <c r="EF22" s="11">
        <f>EE22+真實IC!EF22</f>
        <v>13.125477830947677</v>
      </c>
    </row>
    <row r="23" spans="1:136" x14ac:dyDescent="0.3">
      <c r="A23" s="1">
        <v>482</v>
      </c>
      <c r="B23" s="1">
        <v>2</v>
      </c>
      <c r="C23" s="11">
        <f>IF(預測IC!C23&gt;預測IC!C$26,1,0)</f>
        <v>1</v>
      </c>
      <c r="D23" s="11">
        <f>C23+真實IC!D23</f>
        <v>1.2540926274514612</v>
      </c>
      <c r="E23" s="11">
        <f>D23+真實IC!E23</f>
        <v>1.3870978215076322</v>
      </c>
      <c r="F23" s="11">
        <f>E23+真實IC!F23</f>
        <v>1.2047017461867535</v>
      </c>
      <c r="G23" s="11">
        <f>F23+真實IC!G23</f>
        <v>1.1777301776623854</v>
      </c>
      <c r="H23" s="11">
        <f>G23+真實IC!H23</f>
        <v>1.1595417068209009</v>
      </c>
      <c r="I23" s="11">
        <f>H23+真實IC!I23</f>
        <v>1.3076937354211948</v>
      </c>
      <c r="J23" s="11">
        <f>I23+真實IC!J23</f>
        <v>1.2095314442747425</v>
      </c>
      <c r="K23" s="11">
        <f>J23+真實IC!K23</f>
        <v>1.3521390193993974</v>
      </c>
      <c r="L23" s="11">
        <f>K23+真實IC!L23</f>
        <v>1.3013681856942145</v>
      </c>
      <c r="M23" s="11">
        <f>L23+真實IC!M23</f>
        <v>1.0429182693355721</v>
      </c>
      <c r="N23" s="11">
        <f>M23+真實IC!N23</f>
        <v>2.0188197126068523</v>
      </c>
      <c r="O23" s="11">
        <f>N23+真實IC!O23</f>
        <v>1.9994120013400831</v>
      </c>
      <c r="P23" s="11">
        <f>O23+真實IC!P23</f>
        <v>2.0898137125222087</v>
      </c>
      <c r="Q23" s="11">
        <f>P23+真實IC!Q23</f>
        <v>2.0302456956216881</v>
      </c>
      <c r="R23" s="11">
        <f>Q23+真實IC!R23</f>
        <v>1.9740345523084331</v>
      </c>
      <c r="S23" s="11">
        <f>R23+真實IC!S23</f>
        <v>2.0877590851356951</v>
      </c>
      <c r="T23" s="11">
        <f>S23+真實IC!T23</f>
        <v>2.2423617784631236</v>
      </c>
      <c r="U23" s="11">
        <f>T23+真實IC!U23</f>
        <v>2.336119200903918</v>
      </c>
      <c r="V23" s="11">
        <f>U23+真實IC!V23</f>
        <v>2.3130897437941269</v>
      </c>
      <c r="W23" s="11">
        <f>V23+真實IC!W23</f>
        <v>2.5726370674711863</v>
      </c>
      <c r="X23" s="11">
        <f>W23+真實IC!X23</f>
        <v>2.7544182532690091</v>
      </c>
      <c r="Y23" s="11">
        <f>X23+真實IC!Y23</f>
        <v>2.7397584517385187</v>
      </c>
      <c r="Z23" s="11">
        <f>Y23+真實IC!Z23</f>
        <v>2.7727909671823938</v>
      </c>
      <c r="AA23" s="11">
        <f>Z23+真實IC!AA23</f>
        <v>2.7160425212222834</v>
      </c>
      <c r="AB23" s="11">
        <f>AA23+真實IC!AB23</f>
        <v>2.7800823010990667</v>
      </c>
      <c r="AC23" s="11">
        <f>AB23+真實IC!AC23</f>
        <v>2.9488371007359793</v>
      </c>
      <c r="AD23" s="11">
        <f>AC23+真實IC!AD23</f>
        <v>3.0204659688216533</v>
      </c>
      <c r="AE23" s="11">
        <f>AD23+真實IC!AE23</f>
        <v>3.1576779575793132</v>
      </c>
      <c r="AF23" s="11">
        <f>AE23+真實IC!AF23</f>
        <v>3.4823372832195245</v>
      </c>
      <c r="AG23" s="11">
        <f>AF23+真實IC!AG23</f>
        <v>3.5742109408658846</v>
      </c>
      <c r="AH23" s="11">
        <f>AG23+真實IC!AH23</f>
        <v>3.4900393563427015</v>
      </c>
      <c r="AI23" s="11">
        <f>AH23+真實IC!AI23</f>
        <v>3.6991909549629653</v>
      </c>
      <c r="AJ23" s="11">
        <f>AI23+真實IC!AJ23</f>
        <v>3.7048340928111196</v>
      </c>
      <c r="AK23" s="11">
        <f>AJ23+真實IC!AK23</f>
        <v>3.8189451921583109</v>
      </c>
      <c r="AL23" s="11">
        <f>AK23+真實IC!AL23</f>
        <v>3.8048785990513063</v>
      </c>
      <c r="AM23" s="11">
        <f>AL23+真實IC!AM23</f>
        <v>3.8126480880561715</v>
      </c>
      <c r="AN23" s="11">
        <f>AM23+真實IC!AN23</f>
        <v>4.0549627874134719</v>
      </c>
      <c r="AO23" s="11">
        <f>AN23+真實IC!AO23</f>
        <v>4.1457452669430896</v>
      </c>
      <c r="AP23" s="11">
        <f>AO23+真實IC!AP23</f>
        <v>4.1426241675907836</v>
      </c>
      <c r="AQ23" s="11">
        <f>AP23+真實IC!AQ23</f>
        <v>4.2420048066035356</v>
      </c>
      <c r="AR23" s="11">
        <f>AQ23+真實IC!AR23</f>
        <v>4.3881409709429029</v>
      </c>
      <c r="AS23" s="11">
        <f>AR23+真實IC!AS23</f>
        <v>4.4698045917234728</v>
      </c>
      <c r="AT23" s="11">
        <f>AS23+真實IC!AT23</f>
        <v>4.5793104946883734</v>
      </c>
      <c r="AU23" s="11">
        <f>AT23+真實IC!AU23</f>
        <v>5.1876425389378502</v>
      </c>
      <c r="AV23" s="11">
        <f>AU23+真實IC!AV23</f>
        <v>5.1384924723085579</v>
      </c>
      <c r="AW23" s="11">
        <f>AV23+真實IC!AW23</f>
        <v>5.7207524464827726</v>
      </c>
      <c r="AX23" s="11">
        <f>AW23+真實IC!AX23</f>
        <v>5.7059396674742322</v>
      </c>
      <c r="AY23" s="11">
        <f>AX23+真實IC!AY23</f>
        <v>5.8761736483148139</v>
      </c>
      <c r="AZ23" s="11">
        <f>AY23+真實IC!AZ23</f>
        <v>5.9542452248360211</v>
      </c>
      <c r="BA23" s="11">
        <f>AZ23+真實IC!BA23</f>
        <v>6.0082435634658786</v>
      </c>
      <c r="BB23" s="11">
        <f>BA23+真實IC!BB23</f>
        <v>6.6942668931456124</v>
      </c>
      <c r="BC23" s="11">
        <f>BB23+真實IC!BC23</f>
        <v>6.9471360750455515</v>
      </c>
      <c r="BD23" s="11">
        <f>BC23+真實IC!BD23</f>
        <v>7.0731088595200475</v>
      </c>
      <c r="BE23" s="11">
        <f>BD23+真實IC!BE23</f>
        <v>7.1974010025459467</v>
      </c>
      <c r="BF23" s="11">
        <f>BE23+真實IC!BF23</f>
        <v>7.4074101154063978</v>
      </c>
      <c r="BG23" s="11">
        <f>BF23+真實IC!BG23</f>
        <v>7.4457329428255434</v>
      </c>
      <c r="BH23" s="11">
        <f>BG23+真實IC!BH23</f>
        <v>7.5090981385287821</v>
      </c>
      <c r="BI23" s="11">
        <f>BH23+真實IC!BI23</f>
        <v>7.7002102178519811</v>
      </c>
      <c r="BJ23" s="11">
        <f>BI23+真實IC!BJ23</f>
        <v>7.757704078657472</v>
      </c>
      <c r="BK23" s="11">
        <f>BJ23+真實IC!BK23</f>
        <v>7.7098547553562842</v>
      </c>
      <c r="BL23" s="11">
        <f>BK23+真實IC!BL23</f>
        <v>7.8242210454979535</v>
      </c>
      <c r="BM23" s="11">
        <f>BL23+真實IC!BM23</f>
        <v>7.7547255834735029</v>
      </c>
      <c r="BN23" s="11">
        <f>BM23+真實IC!BN23</f>
        <v>7.7931788207137762</v>
      </c>
      <c r="BO23" s="11">
        <f>BN23+真實IC!BO23</f>
        <v>7.8297037624597756</v>
      </c>
      <c r="BP23" s="11">
        <f>BO23+真實IC!BP23</f>
        <v>7.807228041067094</v>
      </c>
      <c r="BQ23" s="11">
        <f>BP23+真實IC!BQ23</f>
        <v>7.8792759425023604</v>
      </c>
      <c r="BR23" s="11">
        <f>BQ23+真實IC!BR23</f>
        <v>7.982098532682711</v>
      </c>
      <c r="BS23" s="11">
        <f>BR23+真實IC!BS23</f>
        <v>7.7615314382803202</v>
      </c>
      <c r="BT23" s="11">
        <f>BS23+真實IC!BT23</f>
        <v>7.9797181144132239</v>
      </c>
      <c r="BU23" s="11">
        <f>BT23+真實IC!BU23</f>
        <v>8.0854033882066272</v>
      </c>
      <c r="BV23" s="11">
        <f>BU23+真實IC!BV23</f>
        <v>8.0321343376487384</v>
      </c>
      <c r="BW23" s="11">
        <f>BV23+真實IC!BW23</f>
        <v>8.0474968526918289</v>
      </c>
      <c r="BX23" s="11">
        <f>BW23+真實IC!BX23</f>
        <v>7.9787617633610308</v>
      </c>
      <c r="BY23" s="11">
        <f>BX23+真實IC!BY23</f>
        <v>8.0970109972879865</v>
      </c>
      <c r="BZ23" s="11">
        <f>BY23+真實IC!BZ23</f>
        <v>8.104680759719832</v>
      </c>
      <c r="CA23" s="11">
        <f>BZ23+真實IC!CA23</f>
        <v>8.180333959466461</v>
      </c>
      <c r="CB23" s="11">
        <f>CA23+真實IC!CB23</f>
        <v>8.4965007212252104</v>
      </c>
      <c r="CC23" s="11">
        <f>CB23+真實IC!CC23</f>
        <v>8.4119561065094359</v>
      </c>
      <c r="CD23" s="11">
        <f>CC23+真實IC!CD23</f>
        <v>8.6036325615242202</v>
      </c>
      <c r="CE23" s="11">
        <f>CD23+真實IC!CE23</f>
        <v>8.6632348633619376</v>
      </c>
      <c r="CF23" s="11">
        <f>CE23+真實IC!CF23</f>
        <v>8.8203697731531019</v>
      </c>
      <c r="CG23" s="11">
        <f>CF23+真實IC!CG23</f>
        <v>9.0370070147803041</v>
      </c>
      <c r="CH23" s="11">
        <f>CG23+真實IC!CH23</f>
        <v>9.2172034637017326</v>
      </c>
      <c r="CI23" s="11">
        <f>CH23+真實IC!CI23</f>
        <v>9.5271028808298297</v>
      </c>
      <c r="CJ23" s="11">
        <f>CI23+真實IC!CJ23</f>
        <v>9.3705869844119292</v>
      </c>
      <c r="CK23" s="11">
        <f>CJ23+真實IC!CK23</f>
        <v>9.4424433749484731</v>
      </c>
      <c r="CL23" s="11">
        <f>CK23+真實IC!CL23</f>
        <v>9.0337823622810554</v>
      </c>
      <c r="CM23" s="11">
        <f>CL23+真實IC!CM23</f>
        <v>9.2684873348971539</v>
      </c>
      <c r="CN23" s="11">
        <f>CM23+真實IC!CN23</f>
        <v>9.5455915968532228</v>
      </c>
      <c r="CO23" s="11">
        <f>CN23+真實IC!CO23</f>
        <v>9.8117501345803237</v>
      </c>
      <c r="CP23" s="11">
        <f>CO23+真實IC!CP23</f>
        <v>10.12311087774308</v>
      </c>
      <c r="CQ23" s="11">
        <f>CP23+真實IC!CQ23</f>
        <v>10.0984086076637</v>
      </c>
      <c r="CR23" s="11">
        <f>CQ23+真實IC!CR23</f>
        <v>10.249406778137647</v>
      </c>
      <c r="CS23" s="11">
        <f>CR23+真實IC!CS23</f>
        <v>10.31456666243086</v>
      </c>
      <c r="CT23" s="11">
        <f>CS23+真實IC!CT23</f>
        <v>10.379956877810809</v>
      </c>
      <c r="CU23" s="11">
        <f>CT23+真實IC!CU23</f>
        <v>10.582060762797965</v>
      </c>
      <c r="CV23" s="11">
        <f>CU23+真實IC!CV23</f>
        <v>10.735391731069541</v>
      </c>
      <c r="CW23" s="11">
        <f>CV23+真實IC!CW23</f>
        <v>10.711205443280539</v>
      </c>
      <c r="CX23" s="11">
        <f>CW23+真實IC!CX23</f>
        <v>10.622488449184013</v>
      </c>
      <c r="CY23" s="11">
        <f>CX23+真實IC!CY23</f>
        <v>10.776238782855552</v>
      </c>
      <c r="CZ23" s="11">
        <f>CY23+真實IC!CZ23</f>
        <v>10.958237576712904</v>
      </c>
      <c r="DA23" s="11">
        <f>CZ23+真實IC!DA23</f>
        <v>11.022882459161293</v>
      </c>
      <c r="DB23" s="11">
        <f>DA23+真實IC!DB23</f>
        <v>11.041629525604513</v>
      </c>
      <c r="DC23" s="11">
        <f>DB23+真實IC!DC23</f>
        <v>11.160820011674927</v>
      </c>
      <c r="DD23" s="11">
        <f>DC23+真實IC!DD23</f>
        <v>11.25361868635208</v>
      </c>
      <c r="DE23" s="11">
        <f>DD23+真實IC!DE23</f>
        <v>11.19353273884191</v>
      </c>
      <c r="DF23" s="11">
        <f>DE23+真實IC!DF23</f>
        <v>11.60232765940283</v>
      </c>
      <c r="DG23" s="11">
        <f>DF23+真實IC!DG23</f>
        <v>11.669948086809239</v>
      </c>
      <c r="DH23" s="11">
        <f>DG23+真實IC!DH23</f>
        <v>11.809174980321346</v>
      </c>
      <c r="DI23" s="11">
        <f>DH23+真實IC!DI23</f>
        <v>11.905215531192242</v>
      </c>
      <c r="DJ23" s="11">
        <f>DI23+真實IC!DJ23</f>
        <v>12.025248113016161</v>
      </c>
      <c r="DK23" s="11">
        <f>DJ23+真實IC!DK23</f>
        <v>12.116493101756989</v>
      </c>
      <c r="DL23" s="11">
        <f>DK23+真實IC!DL23</f>
        <v>12.142735753861613</v>
      </c>
      <c r="DM23" s="11">
        <f>DL23+真實IC!DM23</f>
        <v>12.096258437872372</v>
      </c>
      <c r="DN23" s="11">
        <f>DM23+真實IC!DN23</f>
        <v>12.102755633916342</v>
      </c>
      <c r="DO23" s="11">
        <f>DN23+真實IC!DO23</f>
        <v>12.226824075904071</v>
      </c>
      <c r="DP23" s="11">
        <f>DO23+真實IC!DP23</f>
        <v>12.403663694388978</v>
      </c>
      <c r="DQ23" s="11">
        <f>DP23+真實IC!DQ23</f>
        <v>12.649609801947765</v>
      </c>
      <c r="DR23" s="11">
        <f>DQ23+真實IC!DR23</f>
        <v>12.559723799216458</v>
      </c>
      <c r="DS23" s="11">
        <f>DR23+真實IC!DS23</f>
        <v>12.443147807549519</v>
      </c>
      <c r="DT23" s="11">
        <f>DS23+真實IC!DT23</f>
        <v>12.420851350479762</v>
      </c>
      <c r="DU23" s="11">
        <f>DT23+真實IC!DU23</f>
        <v>12.476490829188045</v>
      </c>
      <c r="DV23" s="11">
        <f>DU23+真實IC!DV23</f>
        <v>12.752762437517484</v>
      </c>
      <c r="DW23" s="11">
        <f>DV23+真實IC!DW23</f>
        <v>12.775814258272547</v>
      </c>
      <c r="DX23" s="11">
        <f>DW23+真實IC!DX23</f>
        <v>13.089307464651514</v>
      </c>
      <c r="DY23" s="11">
        <f>DX23+真實IC!DY23</f>
        <v>13.035381240113923</v>
      </c>
      <c r="DZ23" s="11">
        <f>DY23+真實IC!DZ23</f>
        <v>12.81820725236148</v>
      </c>
      <c r="EA23" s="11">
        <f>DZ23+真實IC!EA23</f>
        <v>12.724845172892511</v>
      </c>
      <c r="EB23" s="11">
        <f>EA23+真實IC!EB23</f>
        <v>12.969129831016433</v>
      </c>
      <c r="EC23" s="11">
        <f>EB23+真實IC!EC23</f>
        <v>12.93254551469062</v>
      </c>
      <c r="ED23" s="11">
        <f>EC23+真實IC!ED23</f>
        <v>13.023971419310401</v>
      </c>
      <c r="EE23" s="11">
        <f>ED23+真實IC!EE23</f>
        <v>13.093183495295394</v>
      </c>
      <c r="EF23" s="11">
        <f>EE23+真實IC!EF23</f>
        <v>13.186599353209083</v>
      </c>
    </row>
    <row r="24" spans="1:136" x14ac:dyDescent="0.3">
      <c r="A24" s="1">
        <v>964</v>
      </c>
      <c r="B24" s="1">
        <v>1</v>
      </c>
      <c r="C24" s="11">
        <f>IF(預測IC!C24&gt;預測IC!C$26,1,0)</f>
        <v>1</v>
      </c>
      <c r="D24" s="11">
        <f>C24+真實IC!D24</f>
        <v>1.1006099128992286</v>
      </c>
      <c r="E24" s="11">
        <f>D24+真實IC!E24</f>
        <v>1.3851224105897306</v>
      </c>
      <c r="F24" s="11">
        <f>E24+真實IC!F24</f>
        <v>1.1835766917180843</v>
      </c>
      <c r="G24" s="11">
        <f>F24+真實IC!G24</f>
        <v>1.1609543031554668</v>
      </c>
      <c r="H24" s="11">
        <f>G24+真實IC!H24</f>
        <v>1.1968100998104234</v>
      </c>
      <c r="I24" s="11">
        <f>H24+真實IC!I24</f>
        <v>1.19469816660728</v>
      </c>
      <c r="J24" s="11">
        <f>I24+真實IC!J24</f>
        <v>1.094725973697144</v>
      </c>
      <c r="K24" s="11">
        <f>J24+真實IC!K24</f>
        <v>1.1451703096906327</v>
      </c>
      <c r="L24" s="11">
        <f>K24+真實IC!L24</f>
        <v>1.0513706164338823</v>
      </c>
      <c r="M24" s="11">
        <f>L24+真實IC!M24</f>
        <v>0.90455127753437381</v>
      </c>
      <c r="N24" s="11">
        <f>M24+真實IC!N24</f>
        <v>2.6735826466469428</v>
      </c>
      <c r="O24" s="11">
        <f>N24+真實IC!O24</f>
        <v>2.7102314373864864</v>
      </c>
      <c r="P24" s="11">
        <f>O24+真實IC!P24</f>
        <v>2.8144798517954861</v>
      </c>
      <c r="Q24" s="11">
        <f>P24+真實IC!Q24</f>
        <v>2.75351489014878</v>
      </c>
      <c r="R24" s="11">
        <f>Q24+真實IC!R24</f>
        <v>2.5078175193695205</v>
      </c>
      <c r="S24" s="11">
        <f>R24+真實IC!S24</f>
        <v>2.860331980429685</v>
      </c>
      <c r="T24" s="11">
        <f>S24+真實IC!T24</f>
        <v>2.5898452657556676</v>
      </c>
      <c r="U24" s="11">
        <f>T24+真實IC!U24</f>
        <v>2.7383639399795858</v>
      </c>
      <c r="V24" s="11">
        <f>U24+真實IC!V24</f>
        <v>2.6712246371419575</v>
      </c>
      <c r="W24" s="11">
        <f>V24+真實IC!W24</f>
        <v>2.5066601195550775</v>
      </c>
      <c r="X24" s="11">
        <f>W24+真實IC!X24</f>
        <v>2.4705022231938254</v>
      </c>
      <c r="Y24" s="11">
        <f>X24+真實IC!Y24</f>
        <v>2.4610252082674084</v>
      </c>
      <c r="Z24" s="11">
        <f>Y24+真實IC!Z24</f>
        <v>2.5668675355462156</v>
      </c>
      <c r="AA24" s="11">
        <f>Z24+真實IC!AA24</f>
        <v>2.7854121152373703</v>
      </c>
      <c r="AB24" s="11">
        <f>AA24+真實IC!AB24</f>
        <v>2.9807517379126143</v>
      </c>
      <c r="AC24" s="11">
        <f>AB24+真實IC!AC24</f>
        <v>3.3824990717595691</v>
      </c>
      <c r="AD24" s="11">
        <f>AC24+真實IC!AD24</f>
        <v>3.4836743710162921</v>
      </c>
      <c r="AE24" s="11">
        <f>AD24+真實IC!AE24</f>
        <v>3.6768161607280501</v>
      </c>
      <c r="AF24" s="11">
        <f>AE24+真實IC!AF24</f>
        <v>4.1722055735322119</v>
      </c>
      <c r="AG24" s="11">
        <f>AF24+真實IC!AG24</f>
        <v>4.3109412911588496</v>
      </c>
      <c r="AH24" s="11">
        <f>AG24+真實IC!AH24</f>
        <v>4.25424393109106</v>
      </c>
      <c r="AI24" s="11">
        <f>AH24+真實IC!AI24</f>
        <v>4.5646581663204024</v>
      </c>
      <c r="AJ24" s="11">
        <f>AI24+真實IC!AJ24</f>
        <v>4.4837669223210268</v>
      </c>
      <c r="AK24" s="11">
        <f>AJ24+真實IC!AK24</f>
        <v>4.5686508753892188</v>
      </c>
      <c r="AL24" s="11">
        <f>AK24+真實IC!AL24</f>
        <v>4.6558245768658537</v>
      </c>
      <c r="AM24" s="11">
        <f>AL24+真實IC!AM24</f>
        <v>4.6369052954453274</v>
      </c>
      <c r="AN24" s="11">
        <f>AM24+真實IC!AN24</f>
        <v>4.8580947605907587</v>
      </c>
      <c r="AO24" s="11">
        <f>AN24+真實IC!AO24</f>
        <v>4.9610004631685483</v>
      </c>
      <c r="AP24" s="11">
        <f>AO24+真實IC!AP24</f>
        <v>4.9838521786576448</v>
      </c>
      <c r="AQ24" s="11">
        <f>AP24+真實IC!AQ24</f>
        <v>5.2009793817857091</v>
      </c>
      <c r="AR24" s="11">
        <f>AQ24+真實IC!AR24</f>
        <v>5.3718127879565349</v>
      </c>
      <c r="AS24" s="11">
        <f>AR24+真實IC!AS24</f>
        <v>5.3750995616631574</v>
      </c>
      <c r="AT24" s="11">
        <f>AS24+真實IC!AT24</f>
        <v>5.5258685415888378</v>
      </c>
      <c r="AU24" s="11">
        <f>AT24+真實IC!AU24</f>
        <v>6.0029227288312397</v>
      </c>
      <c r="AV24" s="11">
        <f>AU24+真實IC!AV24</f>
        <v>6.2506073890615674</v>
      </c>
      <c r="AW24" s="11">
        <f>AV24+真實IC!AW24</f>
        <v>6.1018964325301273</v>
      </c>
      <c r="AX24" s="11">
        <f>AW24+真實IC!AX24</f>
        <v>6.2133877694463431</v>
      </c>
      <c r="AY24" s="11">
        <f>AX24+真實IC!AY24</f>
        <v>6.3815150633312321</v>
      </c>
      <c r="AZ24" s="11">
        <f>AY24+真實IC!AZ24</f>
        <v>6.5001387884024089</v>
      </c>
      <c r="BA24" s="11">
        <f>AZ24+真實IC!BA24</f>
        <v>6.5506300938144211</v>
      </c>
      <c r="BB24" s="11">
        <f>BA24+真實IC!BB24</f>
        <v>7.4233332429209113</v>
      </c>
      <c r="BC24" s="11">
        <f>BB24+真實IC!BC24</f>
        <v>7.4189663733065281</v>
      </c>
      <c r="BD24" s="11">
        <f>BC24+真實IC!BD24</f>
        <v>7.4375974073933921</v>
      </c>
      <c r="BE24" s="11">
        <f>BD24+真實IC!BE24</f>
        <v>7.3802168694083123</v>
      </c>
      <c r="BF24" s="11">
        <f>BE24+真實IC!BF24</f>
        <v>7.3158464484588492</v>
      </c>
      <c r="BG24" s="11">
        <f>BF24+真實IC!BG24</f>
        <v>7.2248622207514135</v>
      </c>
      <c r="BH24" s="11">
        <f>BG24+真實IC!BH24</f>
        <v>7.3725357860031329</v>
      </c>
      <c r="BI24" s="11">
        <f>BH24+真實IC!BI24</f>
        <v>7.5961648920731797</v>
      </c>
      <c r="BJ24" s="11">
        <f>BI24+真實IC!BJ24</f>
        <v>7.7958049252436306</v>
      </c>
      <c r="BK24" s="11">
        <f>BJ24+真實IC!BK24</f>
        <v>7.7609772780708566</v>
      </c>
      <c r="BL24" s="11">
        <f>BK24+真實IC!BL24</f>
        <v>7.867084198222023</v>
      </c>
      <c r="BM24" s="11">
        <f>BL24+真實IC!BM24</f>
        <v>7.9518671380610115</v>
      </c>
      <c r="BN24" s="11">
        <f>BM24+真實IC!BN24</f>
        <v>8.0607803983775597</v>
      </c>
      <c r="BO24" s="11">
        <f>BN24+真實IC!BO24</f>
        <v>7.8996707072819179</v>
      </c>
      <c r="BP24" s="11">
        <f>BO24+真實IC!BP24</f>
        <v>7.9314648116118081</v>
      </c>
      <c r="BQ24" s="11">
        <f>BP24+真實IC!BQ24</f>
        <v>7.8672951782816929</v>
      </c>
      <c r="BR24" s="11">
        <f>BQ24+真實IC!BR24</f>
        <v>7.9662160674669344</v>
      </c>
      <c r="BS24" s="11">
        <f>BR24+真實IC!BS24</f>
        <v>7.8445950309373282</v>
      </c>
      <c r="BT24" s="11">
        <f>BS24+真實IC!BT24</f>
        <v>8.1213140470775365</v>
      </c>
      <c r="BU24" s="11">
        <f>BT24+真實IC!BU24</f>
        <v>8.130062539392382</v>
      </c>
      <c r="BV24" s="11">
        <f>BU24+真實IC!BV24</f>
        <v>8.0838038336517197</v>
      </c>
      <c r="BW24" s="11">
        <f>BV24+真實IC!BW24</f>
        <v>8.2348312790741396</v>
      </c>
      <c r="BX24" s="11">
        <f>BW24+真實IC!BX24</f>
        <v>8.130876245025048</v>
      </c>
      <c r="BY24" s="11">
        <f>BX24+真實IC!BY24</f>
        <v>8.2492844760753492</v>
      </c>
      <c r="BZ24" s="11">
        <f>BY24+真實IC!BZ24</f>
        <v>8.5081773749253458</v>
      </c>
      <c r="CA24" s="11">
        <f>BZ24+真實IC!CA24</f>
        <v>8.6233990556987603</v>
      </c>
      <c r="CB24" s="11">
        <f>CA24+真實IC!CB24</f>
        <v>9.2630971893332745</v>
      </c>
      <c r="CC24" s="11">
        <f>CB24+真實IC!CC24</f>
        <v>9.0806273094457133</v>
      </c>
      <c r="CD24" s="11">
        <f>CC24+真實IC!CD24</f>
        <v>9.2249336201879082</v>
      </c>
      <c r="CE24" s="11">
        <f>CD24+真實IC!CE24</f>
        <v>9.3904984941790222</v>
      </c>
      <c r="CF24" s="11">
        <f>CE24+真實IC!CF24</f>
        <v>9.6122198564244101</v>
      </c>
      <c r="CG24" s="11">
        <f>CF24+真實IC!CG24</f>
        <v>10.132188822498332</v>
      </c>
      <c r="CH24" s="11">
        <f>CG24+真實IC!CH24</f>
        <v>10.486466119340834</v>
      </c>
      <c r="CI24" s="11">
        <f>CH24+真實IC!CI24</f>
        <v>10.158014298631569</v>
      </c>
      <c r="CJ24" s="11">
        <f>CI24+真實IC!CJ24</f>
        <v>9.8578274050413128</v>
      </c>
      <c r="CK24" s="11">
        <f>CJ24+真實IC!CK24</f>
        <v>10.180886670369697</v>
      </c>
      <c r="CL24" s="11">
        <f>CK24+真實IC!CL24</f>
        <v>10.322642003742237</v>
      </c>
      <c r="CM24" s="11">
        <f>CL24+真實IC!CM24</f>
        <v>10.959075268101747</v>
      </c>
      <c r="CN24" s="11">
        <f>CM24+真實IC!CN24</f>
        <v>11.568752465368821</v>
      </c>
      <c r="CO24" s="11">
        <f>CN24+真實IC!CO24</f>
        <v>12.021229907159274</v>
      </c>
      <c r="CP24" s="11">
        <f>CO24+真實IC!CP24</f>
        <v>12.181574111974117</v>
      </c>
      <c r="CQ24" s="11">
        <f>CP24+真實IC!CQ24</f>
        <v>12.021384465346616</v>
      </c>
      <c r="CR24" s="11">
        <f>CQ24+真實IC!CR24</f>
        <v>12.159171921395318</v>
      </c>
      <c r="CS24" s="11">
        <f>CR24+真實IC!CS24</f>
        <v>12.267146157334345</v>
      </c>
      <c r="CT24" s="11">
        <f>CS24+真實IC!CT24</f>
        <v>12.147601768998506</v>
      </c>
      <c r="CU24" s="11">
        <f>CT24+真實IC!CU24</f>
        <v>12.20033081381216</v>
      </c>
      <c r="CV24" s="11">
        <f>CU24+真實IC!CV24</f>
        <v>12.383194908719384</v>
      </c>
      <c r="CW24" s="11">
        <f>CV24+真實IC!CW24</f>
        <v>12.148201693446538</v>
      </c>
      <c r="CX24" s="11">
        <f>CW24+真實IC!CX24</f>
        <v>12.203408887155225</v>
      </c>
      <c r="CY24" s="11">
        <f>CX24+真實IC!CY24</f>
        <v>12.524556639361967</v>
      </c>
      <c r="CZ24" s="11">
        <f>CY24+真實IC!CZ24</f>
        <v>12.636763267806534</v>
      </c>
      <c r="DA24" s="11">
        <f>CZ24+真實IC!DA24</f>
        <v>12.670742852898988</v>
      </c>
      <c r="DB24" s="11">
        <f>DA24+真實IC!DB24</f>
        <v>12.654240987049992</v>
      </c>
      <c r="DC24" s="11">
        <f>DB24+真實IC!DC24</f>
        <v>12.845416745220527</v>
      </c>
      <c r="DD24" s="11">
        <f>DC24+真實IC!DD24</f>
        <v>12.649572023038086</v>
      </c>
      <c r="DE24" s="11">
        <f>DD24+真實IC!DE24</f>
        <v>12.781157614333619</v>
      </c>
      <c r="DF24" s="11">
        <f>DE24+真實IC!DF24</f>
        <v>13.306742620478117</v>
      </c>
      <c r="DG24" s="11">
        <f>DF24+真實IC!DG24</f>
        <v>13.426287906878249</v>
      </c>
      <c r="DH24" s="11">
        <f>DG24+真實IC!DH24</f>
        <v>13.692090582870762</v>
      </c>
      <c r="DI24" s="11">
        <f>DH24+真實IC!DI24</f>
        <v>13.729275491145142</v>
      </c>
      <c r="DJ24" s="11">
        <f>DI24+真實IC!DJ24</f>
        <v>13.958645365676231</v>
      </c>
      <c r="DK24" s="11">
        <f>DJ24+真實IC!DK24</f>
        <v>14.078325546884422</v>
      </c>
      <c r="DL24" s="11">
        <f>DK24+真實IC!DL24</f>
        <v>14.139686060099839</v>
      </c>
      <c r="DM24" s="11">
        <f>DL24+真實IC!DM24</f>
        <v>14.139272614854772</v>
      </c>
      <c r="DN24" s="11">
        <f>DM24+真實IC!DN24</f>
        <v>14.372607185629468</v>
      </c>
      <c r="DO24" s="11">
        <f>DN24+真實IC!DO24</f>
        <v>14.488219140652948</v>
      </c>
      <c r="DP24" s="11">
        <f>DO24+真實IC!DP24</f>
        <v>14.711790964136645</v>
      </c>
      <c r="DQ24" s="11">
        <f>DP24+真實IC!DQ24</f>
        <v>15.070862266233293</v>
      </c>
      <c r="DR24" s="11">
        <f>DQ24+真實IC!DR24</f>
        <v>15.050346636021263</v>
      </c>
      <c r="DS24" s="11">
        <f>DR24+真實IC!DS24</f>
        <v>14.982984090307319</v>
      </c>
      <c r="DT24" s="11">
        <f>DS24+真實IC!DT24</f>
        <v>14.953548363918456</v>
      </c>
      <c r="DU24" s="11">
        <f>DT24+真實IC!DU24</f>
        <v>14.931766968557225</v>
      </c>
      <c r="DV24" s="11">
        <f>DU24+真實IC!DV24</f>
        <v>15.089991667201039</v>
      </c>
      <c r="DW24" s="11">
        <f>DV24+真實IC!DW24</f>
        <v>15.191174163856283</v>
      </c>
      <c r="DX24" s="11">
        <f>DW24+真實IC!DX24</f>
        <v>15.502767291648787</v>
      </c>
      <c r="DY24" s="11">
        <f>DX24+真實IC!DY24</f>
        <v>15.499527415040244</v>
      </c>
      <c r="DZ24" s="11">
        <f>DY24+真實IC!DZ24</f>
        <v>15.066020836303553</v>
      </c>
      <c r="EA24" s="11">
        <f>DZ24+真實IC!EA24</f>
        <v>15.042849334456879</v>
      </c>
      <c r="EB24" s="11">
        <f>EA24+真實IC!EB24</f>
        <v>15.63254725145597</v>
      </c>
      <c r="EC24" s="11">
        <f>EB24+真實IC!EC24</f>
        <v>15.618237332685291</v>
      </c>
      <c r="ED24" s="11">
        <f>EC24+真實IC!ED24</f>
        <v>15.674410177983654</v>
      </c>
      <c r="EE24" s="11">
        <f>ED24+真實IC!EE24</f>
        <v>15.781890835218073</v>
      </c>
      <c r="EF24" s="11">
        <f>EE24+真實IC!EF24</f>
        <v>15.915977911568287</v>
      </c>
    </row>
    <row r="25" spans="1:136" s="13" customFormat="1" x14ac:dyDescent="0.3">
      <c r="A25" s="16" t="s">
        <v>147</v>
      </c>
      <c r="B25" s="16" t="s">
        <v>148</v>
      </c>
      <c r="C25" s="17">
        <v>-1.7446770539390338E-2</v>
      </c>
      <c r="D25" s="18">
        <f>C25+預測IC!D25</f>
        <v>3.2542899924252917E-3</v>
      </c>
      <c r="E25" s="18">
        <f>D25+預測IC!E25</f>
        <v>2.7236419247192001E-2</v>
      </c>
      <c r="F25" s="18">
        <f>E25+預測IC!F25</f>
        <v>2.0678840274368924E-2</v>
      </c>
      <c r="G25" s="18">
        <f>F25+預測IC!G25</f>
        <v>5.2523970074888612E-2</v>
      </c>
      <c r="H25" s="18">
        <f>G25+預測IC!H25</f>
        <v>8.6872502811879138E-2</v>
      </c>
      <c r="I25" s="18">
        <f>H25+預測IC!I25</f>
        <v>7.8617570030553904E-2</v>
      </c>
      <c r="J25" s="18">
        <f>I25+預測IC!J25</f>
        <v>9.1461094424606662E-2</v>
      </c>
      <c r="K25" s="18">
        <f>J25+預測IC!K25</f>
        <v>4.0442569797815839E-2</v>
      </c>
      <c r="L25" s="18">
        <f>K25+預測IC!L25</f>
        <v>4.1316512538852428E-2</v>
      </c>
      <c r="M25" s="18">
        <f>L25+預測IC!M25</f>
        <v>6.4706088044348353E-2</v>
      </c>
      <c r="N25" s="18">
        <f>M25+預測IC!N25</f>
        <v>7.7695060244681202E-2</v>
      </c>
      <c r="O25" s="18">
        <f>N25+預測IC!O25</f>
        <v>8.3549648970316082E-2</v>
      </c>
      <c r="P25" s="18">
        <f>O25+預測IC!P25</f>
        <v>0.11096285554210664</v>
      </c>
      <c r="Q25" s="18">
        <f>P25+預測IC!Q25</f>
        <v>0.10724991942441378</v>
      </c>
      <c r="R25" s="18">
        <f>Q25+預測IC!R25</f>
        <v>0.13132653347223711</v>
      </c>
      <c r="S25" s="18">
        <f>R25+預測IC!S25</f>
        <v>0.11913650817319715</v>
      </c>
      <c r="T25" s="18">
        <f>S25+預測IC!T25</f>
        <v>7.9386930013607554E-2</v>
      </c>
      <c r="U25" s="18">
        <f>T25+預測IC!U25</f>
        <v>6.2314801819580018E-3</v>
      </c>
      <c r="V25" s="18">
        <f>U25+預測IC!V25</f>
        <v>-5.2028749728156659E-2</v>
      </c>
      <c r="W25" s="18">
        <f>V25+預測IC!W25</f>
        <v>-5.1255952162648284E-2</v>
      </c>
      <c r="X25" s="18">
        <f>W25+預測IC!X25</f>
        <v>-6.6644310274293142E-3</v>
      </c>
      <c r="Y25" s="18">
        <f>X25+預測IC!Y25</f>
        <v>-3.4364111077642409E-2</v>
      </c>
      <c r="Z25" s="18">
        <f>Y25+預測IC!Z25</f>
        <v>-3.226910512789876E-2</v>
      </c>
      <c r="AA25" s="18">
        <f>Z25+預測IC!AA25</f>
        <v>-5.5669656120462874E-2</v>
      </c>
      <c r="AB25" s="18">
        <f>AA25+預測IC!AB25</f>
        <v>-2.3540285023140685E-2</v>
      </c>
      <c r="AC25" s="18">
        <f>AB25+預測IC!AC25</f>
        <v>1.5362988070925745E-2</v>
      </c>
      <c r="AD25" s="18">
        <f>AC25+預測IC!AD25</f>
        <v>-2.7502394100178525E-2</v>
      </c>
      <c r="AE25" s="18">
        <f>AD25+預測IC!AE25</f>
        <v>-8.8551995500263658E-3</v>
      </c>
      <c r="AF25" s="18">
        <f>AE25+預測IC!AF25</f>
        <v>6.3745687725025833E-3</v>
      </c>
      <c r="AG25" s="18">
        <f>AF25+預測IC!AG25</f>
        <v>4.2391172551395004E-2</v>
      </c>
      <c r="AH25" s="18">
        <f>AG25+預測IC!AH25</f>
        <v>5.174578393671117E-2</v>
      </c>
      <c r="AI25" s="18">
        <f>AH25+預測IC!AI25</f>
        <v>6.2494035273549312E-2</v>
      </c>
      <c r="AJ25" s="18">
        <f>AI25+預測IC!AJ25</f>
        <v>7.5851789326630281E-2</v>
      </c>
      <c r="AK25" s="18">
        <f>AJ25+預測IC!AK25</f>
        <v>7.0519041997534893E-2</v>
      </c>
      <c r="AL25" s="18">
        <f>AK25+預測IC!AL25</f>
        <v>7.1902177804796574E-2</v>
      </c>
      <c r="AM25" s="18">
        <f>AL25+預測IC!AM25</f>
        <v>9.2698106224871041E-2</v>
      </c>
      <c r="AN25" s="18">
        <f>AM25+預測IC!AN25</f>
        <v>0.12421580844526167</v>
      </c>
      <c r="AO25" s="18">
        <f>AN25+預測IC!AO25</f>
        <v>0.13045752497859112</v>
      </c>
      <c r="AP25" s="18">
        <f>AO25+預測IC!AP25</f>
        <v>0.13660278663216249</v>
      </c>
      <c r="AQ25" s="18">
        <f>AP25+預測IC!AQ25</f>
        <v>0.15354914430885899</v>
      </c>
      <c r="AR25" s="18">
        <f>AQ25+預測IC!AR25</f>
        <v>0.18823197476316722</v>
      </c>
      <c r="AS25" s="18">
        <f>AR25+預測IC!AS25</f>
        <v>0.19133056338036419</v>
      </c>
      <c r="AT25" s="18">
        <f>AS25+預測IC!AT25</f>
        <v>0.2064119105238503</v>
      </c>
      <c r="AU25" s="18">
        <f>AT25+預測IC!AU25</f>
        <v>0.18716070129398632</v>
      </c>
      <c r="AV25" s="18">
        <f>AU25+預測IC!AV25</f>
        <v>0.22587221468161775</v>
      </c>
      <c r="AW25" s="18">
        <f>AV25+預測IC!AW25</f>
        <v>0.20401526354588115</v>
      </c>
      <c r="AX25" s="18">
        <f>AW25+預測IC!AX25</f>
        <v>0.21178956425567083</v>
      </c>
      <c r="AY25" s="18">
        <f>AX25+預測IC!AY25</f>
        <v>0.25418681095099677</v>
      </c>
      <c r="AZ25" s="18">
        <f>AY25+預測IC!AZ25</f>
        <v>0.22787783608983703</v>
      </c>
      <c r="BA25" s="18">
        <f>AZ25+預測IC!BA25</f>
        <v>0.23744958539855326</v>
      </c>
      <c r="BB25" s="18">
        <f>BA25+預測IC!BB25</f>
        <v>0.21319984413227844</v>
      </c>
      <c r="BC25" s="18">
        <f>BB25+預測IC!BC25</f>
        <v>0.23336321827619427</v>
      </c>
      <c r="BD25" s="18">
        <f>BC25+預測IC!BD25</f>
        <v>0.22985821949407825</v>
      </c>
      <c r="BE25" s="18">
        <f>BD25+預測IC!BE25</f>
        <v>0.25001015459262055</v>
      </c>
      <c r="BF25" s="18">
        <f>BE25+預測IC!BF25</f>
        <v>0.25059149082339083</v>
      </c>
      <c r="BG25" s="18">
        <f>BF25+預測IC!BG25</f>
        <v>0.24537178987013822</v>
      </c>
      <c r="BH25" s="18">
        <f>BG25+預測IC!BH25</f>
        <v>0.12950002846800823</v>
      </c>
      <c r="BI25" s="18">
        <f>BH25+預測IC!BI25</f>
        <v>0.13822525416044559</v>
      </c>
      <c r="BJ25" s="18">
        <f>BI25+預測IC!BJ25</f>
        <v>0.12184799318262345</v>
      </c>
      <c r="BK25" s="18">
        <f>BJ25+預測IC!BK25</f>
        <v>0.14268836478288388</v>
      </c>
      <c r="BL25" s="18">
        <f>BK25+預測IC!BL25</f>
        <v>0.18766423688499859</v>
      </c>
      <c r="BM25" s="18">
        <f>BL25+預測IC!BM25</f>
        <v>0.21161854296686244</v>
      </c>
      <c r="BN25" s="18">
        <f>BM25+預測IC!BN25</f>
        <v>0.24185764435830504</v>
      </c>
      <c r="BO25" s="18">
        <f>BN25+預測IC!BO25</f>
        <v>0.19813175676721753</v>
      </c>
      <c r="BP25" s="18">
        <f>BO25+預測IC!BP25</f>
        <v>0.22002122633541615</v>
      </c>
      <c r="BQ25" s="18">
        <f>BP25+預測IC!BQ25</f>
        <v>0.22864865659892455</v>
      </c>
      <c r="BR25" s="18">
        <f>BQ25+預測IC!BR25</f>
        <v>0.20945570260426577</v>
      </c>
      <c r="BS25" s="18">
        <f>BR25+預測IC!BS25</f>
        <v>0.22919083249239883</v>
      </c>
      <c r="BT25" s="18">
        <f>BS25+預測IC!BT25</f>
        <v>0.27688516997609824</v>
      </c>
      <c r="BU25" s="18">
        <f>BT25+預測IC!BU25</f>
        <v>0.28833998678268163</v>
      </c>
      <c r="BV25" s="18">
        <f>BU25+預測IC!BV25</f>
        <v>0.33156860751789485</v>
      </c>
      <c r="BW25" s="18">
        <f>BV25+預測IC!BW25</f>
        <v>0.28882117708097205</v>
      </c>
      <c r="BX25" s="18">
        <f>BW25+預測IC!BX25</f>
        <v>0.27100988465317749</v>
      </c>
      <c r="BY25" s="18">
        <f>BX25+預測IC!BY25</f>
        <v>0.11985678778410189</v>
      </c>
      <c r="BZ25" s="18">
        <f>BY25+預測IC!BZ25</f>
        <v>0.24408079140367717</v>
      </c>
      <c r="CA25" s="18">
        <f>BZ25+預測IC!CA25</f>
        <v>0.23952353755914751</v>
      </c>
      <c r="CB25" s="18">
        <f>CA25+預測IC!CB25</f>
        <v>0.29973477776405871</v>
      </c>
      <c r="CC25" s="18">
        <f>CB25+預測IC!CC25</f>
        <v>0.385726811246561</v>
      </c>
      <c r="CD25" s="18">
        <f>CC25+預測IC!CD25</f>
        <v>0.37991833166419492</v>
      </c>
      <c r="CE25" s="18">
        <f>CD25+預測IC!CE25</f>
        <v>0.37387698467522684</v>
      </c>
      <c r="CF25" s="18">
        <f>CE25+預測IC!CF25</f>
        <v>0.37632930904747891</v>
      </c>
      <c r="CG25" s="18">
        <f>CF25+預測IC!CG25</f>
        <v>0.46596556098450181</v>
      </c>
      <c r="CH25" s="18">
        <f>CG25+預測IC!CH25</f>
        <v>0.53695829351125968</v>
      </c>
      <c r="CI25" s="18">
        <f>CH25+預測IC!CI25</f>
        <v>0.56412893641304307</v>
      </c>
      <c r="CJ25" s="18">
        <f>CI25+預測IC!CJ25</f>
        <v>0.61659736483837313</v>
      </c>
      <c r="CK25" s="18">
        <f>CJ25+預測IC!CK25</f>
        <v>0.64607802578142259</v>
      </c>
      <c r="CL25" s="18">
        <f>CK25+預測IC!CL25</f>
        <v>0.71290310684162383</v>
      </c>
      <c r="CM25" s="18">
        <f>CL25+預測IC!CM25</f>
        <v>0.68413087782180682</v>
      </c>
      <c r="CN25" s="18">
        <f>CM25+預測IC!CN25</f>
        <v>0.72359339372344467</v>
      </c>
      <c r="CO25" s="18">
        <f>CN25+預測IC!CO25</f>
        <v>0.69456230674608477</v>
      </c>
      <c r="CP25" s="18">
        <f>CO25+預測IC!CP25</f>
        <v>0.70854618926555268</v>
      </c>
      <c r="CQ25" s="18">
        <f>CP25+預測IC!CQ25</f>
        <v>0.67626922430621883</v>
      </c>
      <c r="CR25" s="18">
        <f>CQ25+預測IC!CR25</f>
        <v>0.6793728009191129</v>
      </c>
      <c r="CS25" s="18">
        <f>CR25+預測IC!CS25</f>
        <v>0.70496465668619601</v>
      </c>
      <c r="CT25" s="18">
        <f>CS25+預測IC!CT25</f>
        <v>0.74935654297338927</v>
      </c>
      <c r="CU25" s="18">
        <f>CT25+預測IC!CU25</f>
        <v>0.71901758442381181</v>
      </c>
      <c r="CV25" s="18">
        <f>CU25+預測IC!CV25</f>
        <v>0.7177596079692401</v>
      </c>
      <c r="CW25" s="18">
        <f>CV25+預測IC!CW25</f>
        <v>0.72009596442509805</v>
      </c>
      <c r="CX25" s="18">
        <f>CW25+預測IC!CX25</f>
        <v>0.655831819499192</v>
      </c>
      <c r="CY25" s="18">
        <f>CX25+預測IC!CY25</f>
        <v>0.66874159895818441</v>
      </c>
      <c r="CZ25" s="18">
        <f>CY25+預測IC!CZ25</f>
        <v>0.54326450428732564</v>
      </c>
      <c r="DA25" s="18">
        <f>CZ25+預測IC!DA25</f>
        <v>0.55495518722711823</v>
      </c>
      <c r="DB25" s="18">
        <f>DA25+預測IC!DB25</f>
        <v>0.56129303092785998</v>
      </c>
      <c r="DC25" s="18">
        <f>DB25+預測IC!DC25</f>
        <v>0.44398767445847448</v>
      </c>
      <c r="DD25" s="18">
        <f>DC25+預測IC!DD25</f>
        <v>0.40797680240902789</v>
      </c>
      <c r="DE25" s="18">
        <f>DD25+預測IC!DE25</f>
        <v>0.54688810648129582</v>
      </c>
      <c r="DF25" s="18">
        <f>DE25+預測IC!DF25</f>
        <v>0.49574460025519007</v>
      </c>
      <c r="DG25" s="18">
        <f>DF25+預測IC!DG25</f>
        <v>0.57247604743715907</v>
      </c>
      <c r="DH25" s="18">
        <f>DG25+預測IC!DH25</f>
        <v>0.58798482963416721</v>
      </c>
      <c r="DI25" s="18">
        <f>DH25+預測IC!DI25</f>
        <v>0.61120860330892302</v>
      </c>
      <c r="DJ25" s="18">
        <f>DI25+預測IC!DJ25</f>
        <v>0.59283572694769515</v>
      </c>
      <c r="DK25" s="18">
        <f>DJ25+預測IC!DK25</f>
        <v>0.65503474103279458</v>
      </c>
      <c r="DL25" s="18">
        <f>DK25+預測IC!DL25</f>
        <v>0.67513304551975173</v>
      </c>
      <c r="DM25" s="18">
        <f>DL25+預測IC!DM25</f>
        <v>0.68863198526781977</v>
      </c>
      <c r="DN25" s="18">
        <f>DM25+預測IC!DN25</f>
        <v>0.65837977253939894</v>
      </c>
      <c r="DO25" s="18">
        <f>DN25+預測IC!DO25</f>
        <v>0.64135693683134509</v>
      </c>
      <c r="DP25" s="18">
        <f>DO25+預測IC!DP25</f>
        <v>0.61956841355888315</v>
      </c>
      <c r="DQ25" s="18">
        <f>DP25+預測IC!DQ25</f>
        <v>0.70531403814402038</v>
      </c>
      <c r="DR25" s="18">
        <f>DQ25+預測IC!DR25</f>
        <v>0.73342078174899417</v>
      </c>
      <c r="DS25" s="18">
        <f>DR25+預測IC!DS25</f>
        <v>0.73111762194163477</v>
      </c>
      <c r="DT25" s="18">
        <f>DS25+預測IC!DT25</f>
        <v>0.78958882007312226</v>
      </c>
      <c r="DU25" s="18">
        <f>DT25+預測IC!DU25</f>
        <v>0.85724776912176992</v>
      </c>
      <c r="DV25" s="18">
        <f>DU25+預測IC!DV25</f>
        <v>0.86226853976220219</v>
      </c>
      <c r="DW25" s="18">
        <f>DV25+預測IC!DW25</f>
        <v>0.89968472343740924</v>
      </c>
      <c r="DX25" s="18">
        <f>DW25+預測IC!DX25</f>
        <v>0.98379572718345132</v>
      </c>
      <c r="DY25" s="18">
        <f>DX25+預測IC!DY25</f>
        <v>0.94696332863943844</v>
      </c>
      <c r="DZ25" s="18">
        <f>DY25+預測IC!DZ25</f>
        <v>0.95005503145637549</v>
      </c>
      <c r="EA25" s="18">
        <f>DZ25+預測IC!EA25</f>
        <v>0.94809740324208092</v>
      </c>
      <c r="EB25" s="18">
        <f>EA25+預測IC!EB25</f>
        <v>0.97455650684560069</v>
      </c>
      <c r="EC25" s="18">
        <f>EB25+預測IC!EC25</f>
        <v>0.94980396808491041</v>
      </c>
      <c r="ED25" s="18">
        <f>EC25+預測IC!ED25</f>
        <v>0.98391945906747036</v>
      </c>
      <c r="EE25" s="18">
        <f>ED25+預測IC!EE25</f>
        <v>1.0049814330565034</v>
      </c>
      <c r="EF25" s="18">
        <f>EE25+預測IC!EF25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G19"/>
  <sheetViews>
    <sheetView topLeftCell="A3" workbookViewId="0">
      <selection activeCell="R23" sqref="R23"/>
    </sheetView>
  </sheetViews>
  <sheetFormatPr defaultRowHeight="15" x14ac:dyDescent="0.3"/>
  <cols>
    <col min="137" max="137" width="10" bestFit="1" customWidth="1"/>
  </cols>
  <sheetData>
    <row r="1" spans="1:137" x14ac:dyDescent="0.3">
      <c r="A1" t="s">
        <v>149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144</v>
      </c>
    </row>
    <row r="3" spans="1:137" x14ac:dyDescent="0.3">
      <c r="B3" s="1" t="s">
        <v>136</v>
      </c>
      <c r="C3" s="7">
        <v>7.8798868708971931E-2</v>
      </c>
      <c r="D3" s="7">
        <v>0.1797330866000155</v>
      </c>
      <c r="E3" s="7">
        <v>1.5489078774061971E-2</v>
      </c>
      <c r="F3" s="7">
        <v>-2.2168251176828441E-2</v>
      </c>
      <c r="G3" s="7">
        <v>-8.1037288150826448E-3</v>
      </c>
      <c r="H3" s="7">
        <v>-1.5401268795349249E-2</v>
      </c>
      <c r="I3" s="7">
        <v>-0.196765586355543</v>
      </c>
      <c r="J3" s="7">
        <v>0.27883034253821021</v>
      </c>
      <c r="K3" s="7">
        <v>-5.6931615083873344E-3</v>
      </c>
      <c r="L3" s="7">
        <v>-4.7889749224815682E-2</v>
      </c>
      <c r="M3" s="7">
        <v>-5.2700847804917073E-3</v>
      </c>
      <c r="N3" s="7">
        <v>-0.1910696506679144</v>
      </c>
      <c r="O3" s="7">
        <v>0.31084678168383018</v>
      </c>
      <c r="P3" s="7">
        <v>0.113770913143069</v>
      </c>
      <c r="Q3" s="7">
        <v>-0.12307050339382571</v>
      </c>
      <c r="R3" s="7">
        <v>-0.1125584938483795</v>
      </c>
      <c r="S3" s="7">
        <v>0.1046658927019708</v>
      </c>
      <c r="T3" s="7">
        <v>-0.14458476697667119</v>
      </c>
      <c r="U3" s="7">
        <v>-0.26280780822848671</v>
      </c>
      <c r="V3" s="7">
        <v>3.0188655456815931E-3</v>
      </c>
      <c r="W3" s="7">
        <v>0.13196040423464189</v>
      </c>
      <c r="X3" s="7">
        <v>-8.9415173838412076E-2</v>
      </c>
      <c r="Y3" s="7">
        <v>0.27906324575998881</v>
      </c>
      <c r="Z3" s="7">
        <v>0.1030897419422631</v>
      </c>
      <c r="AA3" s="7">
        <v>0.48637748963693123</v>
      </c>
      <c r="AB3" s="7">
        <v>-0.23481983175156351</v>
      </c>
      <c r="AC3" s="7">
        <v>1.209651139005685E-2</v>
      </c>
      <c r="AD3" s="7">
        <v>2.4631762383159009E-2</v>
      </c>
      <c r="AE3" s="7">
        <v>-5.6680955135345323E-3</v>
      </c>
      <c r="AF3" s="7">
        <v>-5.6269213313917182E-2</v>
      </c>
      <c r="AG3" s="7">
        <v>0.1224049331936681</v>
      </c>
      <c r="AH3" s="7">
        <v>4.3996774628333513E-2</v>
      </c>
      <c r="AI3" s="7">
        <v>0.16226838670026769</v>
      </c>
      <c r="AJ3" s="7">
        <v>6.8930166950288974E-2</v>
      </c>
      <c r="AK3" s="7">
        <v>8.7359955926435195E-2</v>
      </c>
      <c r="AL3" s="7">
        <v>0.1873807232887153</v>
      </c>
      <c r="AM3" s="7">
        <v>9.6837349683265961E-2</v>
      </c>
      <c r="AN3" s="7">
        <v>0.2075736584826228</v>
      </c>
      <c r="AO3" s="7">
        <v>0.1179758622033649</v>
      </c>
      <c r="AP3" s="7">
        <v>-2.8503518413618201E-2</v>
      </c>
      <c r="AQ3" s="7">
        <v>-0.2114396427417905</v>
      </c>
      <c r="AR3" s="7">
        <v>-3.2302566009505602E-2</v>
      </c>
      <c r="AS3" s="7">
        <v>0.14111009314114389</v>
      </c>
      <c r="AT3" s="7">
        <v>-3.480751243628416E-2</v>
      </c>
      <c r="AU3" s="7">
        <v>4.4456114444751893E-2</v>
      </c>
      <c r="AV3" s="7">
        <v>2.116273888563508E-2</v>
      </c>
      <c r="AW3" s="7">
        <v>-0.1741550037979904</v>
      </c>
      <c r="AX3" s="7">
        <v>7.6317816973352492E-2</v>
      </c>
      <c r="AY3" s="7">
        <v>9.0306432388433944E-3</v>
      </c>
      <c r="AZ3" s="7">
        <v>1.6638949885503629E-2</v>
      </c>
      <c r="BA3" s="7">
        <v>0.16049954912817649</v>
      </c>
      <c r="BB3" s="7">
        <v>-0.123740953293938</v>
      </c>
      <c r="BC3" s="7">
        <v>0.1567368975950931</v>
      </c>
      <c r="BD3" s="7">
        <v>0.16688346547535879</v>
      </c>
      <c r="BE3" s="7">
        <v>-0.13147229447438241</v>
      </c>
      <c r="BF3" s="7">
        <v>9.9500132775893202E-3</v>
      </c>
      <c r="BG3" s="7">
        <v>0.31531123716866039</v>
      </c>
      <c r="BH3" s="7">
        <v>0.27010117711850462</v>
      </c>
      <c r="BI3" s="7">
        <v>5.6315448743319063E-2</v>
      </c>
      <c r="BJ3" s="7">
        <v>-2.409816856997149E-3</v>
      </c>
      <c r="BK3" s="7">
        <v>7.9800375711835514E-2</v>
      </c>
      <c r="BL3" s="7">
        <v>-2.3392393936945088E-2</v>
      </c>
      <c r="BM3" s="7">
        <v>9.4008939681696324E-2</v>
      </c>
      <c r="BN3" s="7">
        <v>1.764390595780152E-2</v>
      </c>
      <c r="BO3" s="7">
        <v>-0.149287939972541</v>
      </c>
      <c r="BP3" s="7">
        <v>4.1225940656230857E-2</v>
      </c>
      <c r="BQ3" s="7">
        <v>-8.2741207352384993E-2</v>
      </c>
      <c r="BR3" s="7">
        <v>0.21346470331308601</v>
      </c>
      <c r="BS3" s="7">
        <v>-6.7985397750362997E-2</v>
      </c>
      <c r="BT3" s="7">
        <v>0.14435039701784511</v>
      </c>
      <c r="BU3" s="7">
        <v>0.1137793780847101</v>
      </c>
      <c r="BV3" s="7">
        <v>5.6009583131789156E-3</v>
      </c>
      <c r="BW3" s="7">
        <v>0.1131466357554793</v>
      </c>
      <c r="BX3" s="7">
        <v>-9.0571156630968819E-2</v>
      </c>
      <c r="BY3" s="7">
        <v>0.1185697363729489</v>
      </c>
      <c r="BZ3" s="7">
        <v>-0.14071284467671319</v>
      </c>
      <c r="CA3" s="7">
        <v>7.3472777058867567E-2</v>
      </c>
      <c r="CB3" s="7">
        <v>-0.1710256064919487</v>
      </c>
      <c r="CC3" s="7">
        <v>8.6731635966007636E-2</v>
      </c>
      <c r="CD3" s="7">
        <v>3.1267715866912023E-2</v>
      </c>
      <c r="CE3" s="7">
        <v>0.21879703659667429</v>
      </c>
      <c r="CF3" s="7">
        <v>-0.14159470736568711</v>
      </c>
      <c r="CG3" s="7">
        <v>9.9731607421901125E-2</v>
      </c>
      <c r="CH3" s="7">
        <v>4.5308069873117418E-2</v>
      </c>
      <c r="CI3" s="7">
        <v>8.9441140161070076E-2</v>
      </c>
      <c r="CJ3" s="7">
        <v>-0.39111281147264998</v>
      </c>
      <c r="CK3" s="7">
        <v>-0.1097911700085549</v>
      </c>
      <c r="CL3" s="7">
        <v>-4.3456184080796323E-2</v>
      </c>
      <c r="CM3" s="7">
        <v>0.18311247425732111</v>
      </c>
      <c r="CN3" s="7">
        <v>-0.39746167912504499</v>
      </c>
      <c r="CO3" s="7">
        <v>-9.6930225730283204E-2</v>
      </c>
      <c r="CP3" s="7">
        <v>-9.5682049872747255E-2</v>
      </c>
      <c r="CQ3" s="7">
        <v>0.1719749674179798</v>
      </c>
      <c r="CR3" s="7">
        <v>6.193948475943406E-2</v>
      </c>
      <c r="CS3" s="7">
        <v>-4.766403897443855E-2</v>
      </c>
      <c r="CT3" s="7">
        <v>-1.0473980040770331E-2</v>
      </c>
      <c r="CU3" s="7">
        <v>-3.4400594909697269E-2</v>
      </c>
      <c r="CV3" s="7">
        <v>-2.258422919649378E-2</v>
      </c>
      <c r="CW3" s="7">
        <v>3.9676013642423347E-2</v>
      </c>
      <c r="CX3" s="7">
        <v>-5.3904732790442063E-2</v>
      </c>
      <c r="CY3" s="7">
        <v>2.7221884648997659E-2</v>
      </c>
      <c r="CZ3" s="7">
        <v>9.887843547877545E-2</v>
      </c>
      <c r="DA3" s="7">
        <v>0.31254073484350059</v>
      </c>
      <c r="DB3" s="7">
        <v>-0.15564612733519101</v>
      </c>
      <c r="DC3" s="7">
        <v>-0.1869585274246745</v>
      </c>
      <c r="DD3" s="7">
        <v>-0.1685228634155537</v>
      </c>
      <c r="DE3" s="7">
        <v>0.167797614048632</v>
      </c>
      <c r="DF3" s="7">
        <v>-9.1638386466207117E-2</v>
      </c>
      <c r="DG3" s="7">
        <v>-7.5708963031610038E-2</v>
      </c>
      <c r="DH3" s="7">
        <v>7.7960520930383534E-3</v>
      </c>
      <c r="DI3" s="7">
        <v>-2.550037968045427E-3</v>
      </c>
      <c r="DJ3" s="7">
        <v>-6.8988362574604056E-2</v>
      </c>
      <c r="DK3" s="7">
        <v>4.6125318624910372E-2</v>
      </c>
      <c r="DL3" s="7">
        <v>-5.8337699674184812E-2</v>
      </c>
      <c r="DM3" s="7">
        <v>-7.0566061856034673E-2</v>
      </c>
      <c r="DN3" s="7">
        <v>2.8092871036590469E-2</v>
      </c>
      <c r="DO3" s="7">
        <v>-7.0883392118803512E-2</v>
      </c>
      <c r="DP3" s="7">
        <v>0.16113140194021491</v>
      </c>
      <c r="DQ3" s="7">
        <v>0.1547440050249741</v>
      </c>
      <c r="DR3" s="7">
        <v>-0.1074253347743111</v>
      </c>
      <c r="DS3" s="7">
        <v>0.1128417239921658</v>
      </c>
      <c r="DT3" s="7">
        <v>-9.1401515312696358E-2</v>
      </c>
      <c r="DU3" s="7">
        <v>-6.5441570505782948E-2</v>
      </c>
      <c r="DV3" s="7">
        <v>-7.3758705524151646E-2</v>
      </c>
      <c r="DW3" s="7">
        <v>6.6155769939567149E-2</v>
      </c>
      <c r="DX3" s="7">
        <v>6.9417132083775007E-2</v>
      </c>
      <c r="DY3" s="7">
        <v>-0.1029921683468592</v>
      </c>
      <c r="DZ3" s="7">
        <v>0.26391340422439702</v>
      </c>
      <c r="EA3" s="7">
        <v>-8.9759100562535832E-2</v>
      </c>
      <c r="EB3" s="7">
        <v>0.1943247699855464</v>
      </c>
      <c r="EC3" s="7">
        <v>-3.0097119912413432E-2</v>
      </c>
      <c r="ED3" s="7">
        <v>2.8618294955548351E-2</v>
      </c>
      <c r="EE3" s="7">
        <v>-8.7371804917649953E-2</v>
      </c>
      <c r="EF3" s="7">
        <v>-2.097644515945218E-2</v>
      </c>
      <c r="EG3" s="1"/>
    </row>
    <row r="4" spans="1:137" x14ac:dyDescent="0.3">
      <c r="B4" s="1" t="s">
        <v>137</v>
      </c>
      <c r="C4" s="7">
        <v>-0.20373737278850079</v>
      </c>
      <c r="D4" s="7">
        <v>-0.19625335237819111</v>
      </c>
      <c r="E4" s="7">
        <v>-0.25415940811056359</v>
      </c>
      <c r="F4" s="7">
        <v>4.6203751390931913E-2</v>
      </c>
      <c r="G4" s="7">
        <v>3.0789039449800271E-2</v>
      </c>
      <c r="H4" s="7">
        <v>-5.1609232396986122E-2</v>
      </c>
      <c r="I4" s="7">
        <v>1.151272534425374E-3</v>
      </c>
      <c r="J4" s="7">
        <v>4.8762634606076112E-2</v>
      </c>
      <c r="K4" s="7">
        <v>-0.1019817977011339</v>
      </c>
      <c r="L4" s="7">
        <v>-1.8321503973252721E-2</v>
      </c>
      <c r="M4" s="7">
        <v>-5.4833735050777932E-2</v>
      </c>
      <c r="N4" s="7">
        <v>-3.0149620485337539E-2</v>
      </c>
      <c r="O4" s="7">
        <v>-0.18672650958156109</v>
      </c>
      <c r="P4" s="7">
        <v>3.0188496442265841E-2</v>
      </c>
      <c r="Q4" s="7">
        <v>9.7889818288440011E-2</v>
      </c>
      <c r="R4" s="7">
        <v>-9.380784496339345E-2</v>
      </c>
      <c r="S4" s="7">
        <v>2.2756317670806329E-2</v>
      </c>
      <c r="T4" s="7">
        <v>7.3507175756873266E-2</v>
      </c>
      <c r="U4" s="7">
        <v>6.8550642870981449E-3</v>
      </c>
      <c r="V4" s="7">
        <v>-2.1638526708681379E-2</v>
      </c>
      <c r="W4" s="7">
        <v>-6.0385491305918748E-3</v>
      </c>
      <c r="X4" s="7">
        <v>-0.16973075948726549</v>
      </c>
      <c r="Y4" s="7">
        <v>-0.2336530995268635</v>
      </c>
      <c r="Z4" s="7">
        <v>-9.998148525383499E-3</v>
      </c>
      <c r="AA4" s="7">
        <v>-2.4349471614097951E-3</v>
      </c>
      <c r="AB4" s="7">
        <v>-0.16380781721638549</v>
      </c>
      <c r="AC4" s="7">
        <v>-6.5405588207859466E-2</v>
      </c>
      <c r="AD4" s="7">
        <v>-5.3691935268133761E-2</v>
      </c>
      <c r="AE4" s="7">
        <v>4.3446009950345747E-2</v>
      </c>
      <c r="AF4" s="7">
        <v>8.0856156973185378E-2</v>
      </c>
      <c r="AG4" s="7">
        <v>-0.1008200200700493</v>
      </c>
      <c r="AH4" s="7">
        <v>0.1185484902349838</v>
      </c>
      <c r="AI4" s="7">
        <v>-8.6917583432359891E-2</v>
      </c>
      <c r="AJ4" s="7">
        <v>-9.6714761437004526E-2</v>
      </c>
      <c r="AK4" s="7">
        <v>7.7115472579782463E-2</v>
      </c>
      <c r="AL4" s="7">
        <v>1.9375682024094228E-2</v>
      </c>
      <c r="AM4" s="7">
        <v>-6.6846435244087843E-3</v>
      </c>
      <c r="AN4" s="7">
        <v>1.143271994558326E-2</v>
      </c>
      <c r="AO4" s="7">
        <v>-4.4564575721720352E-2</v>
      </c>
      <c r="AP4" s="7">
        <v>7.9750638168698984E-2</v>
      </c>
      <c r="AQ4" s="7">
        <v>-9.0693006788388431E-2</v>
      </c>
      <c r="AR4" s="7">
        <v>0.1144314103616733</v>
      </c>
      <c r="AS4" s="7">
        <v>8.2295799616039389E-2</v>
      </c>
      <c r="AT4" s="7">
        <v>1.0311530981850231E-2</v>
      </c>
      <c r="AU4" s="7">
        <v>-3.3710155553132282E-2</v>
      </c>
      <c r="AV4" s="7">
        <v>-0.21769900369851489</v>
      </c>
      <c r="AW4" s="7">
        <v>5.245717031440833E-2</v>
      </c>
      <c r="AX4" s="7">
        <v>1.3927468226748729E-2</v>
      </c>
      <c r="AY4" s="7">
        <v>0.1050107086686278</v>
      </c>
      <c r="AZ4" s="7">
        <v>1.7528918973958699E-2</v>
      </c>
      <c r="BA4" s="7">
        <v>-0.15432648292571119</v>
      </c>
      <c r="BB4" s="7">
        <v>-0.25246377965845751</v>
      </c>
      <c r="BC4" s="7">
        <v>-0.14987217699416711</v>
      </c>
      <c r="BD4" s="7">
        <v>-2.2774061820067359E-2</v>
      </c>
      <c r="BE4" s="7">
        <v>-3.1425095001580423E-2</v>
      </c>
      <c r="BF4" s="7">
        <v>0.1232771881685419</v>
      </c>
      <c r="BG4" s="7">
        <v>-7.5330977107530117E-2</v>
      </c>
      <c r="BH4" s="7">
        <v>-6.4736813987872566E-2</v>
      </c>
      <c r="BI4" s="7">
        <v>1.821390966158987E-2</v>
      </c>
      <c r="BJ4" s="7">
        <v>-0.1508508871203755</v>
      </c>
      <c r="BK4" s="7">
        <v>-5.8953203032860557E-2</v>
      </c>
      <c r="BL4" s="7">
        <v>-4.7773781438463558E-2</v>
      </c>
      <c r="BM4" s="7">
        <v>2.034180601101987E-2</v>
      </c>
      <c r="BN4" s="7">
        <v>4.0714107422102692E-2</v>
      </c>
      <c r="BO4" s="7">
        <v>4.5214638741134287E-2</v>
      </c>
      <c r="BP4" s="7">
        <v>8.3627121253362802E-2</v>
      </c>
      <c r="BQ4" s="7">
        <v>3.0825396788037199E-2</v>
      </c>
      <c r="BR4" s="7">
        <v>-0.11545472065009039</v>
      </c>
      <c r="BS4" s="7">
        <v>-1.926452999418871E-2</v>
      </c>
      <c r="BT4" s="7">
        <v>-3.4111549917248851E-2</v>
      </c>
      <c r="BU4" s="7">
        <v>-4.5269937245304703E-2</v>
      </c>
      <c r="BV4" s="7">
        <v>0.17197266141593739</v>
      </c>
      <c r="BW4" s="7">
        <v>-0.10029050755647261</v>
      </c>
      <c r="BX4" s="7">
        <v>-6.8044962494687056E-2</v>
      </c>
      <c r="BY4" s="7">
        <v>-0.1826948620902353</v>
      </c>
      <c r="BZ4" s="7">
        <v>8.5574019762324482E-2</v>
      </c>
      <c r="CA4" s="7">
        <v>9.9907862663961566E-3</v>
      </c>
      <c r="CB4" s="7">
        <v>0.19801890737320349</v>
      </c>
      <c r="CC4" s="7">
        <v>-0.29446404903659129</v>
      </c>
      <c r="CD4" s="7">
        <v>-0.13184913857205419</v>
      </c>
      <c r="CE4" s="7">
        <v>-5.9049425825826063E-2</v>
      </c>
      <c r="CF4" s="7">
        <v>-0.11382074234660421</v>
      </c>
      <c r="CG4" s="7">
        <v>5.6476011311058727E-2</v>
      </c>
      <c r="CH4" s="7">
        <v>-4.7278812128794812E-3</v>
      </c>
      <c r="CI4" s="7">
        <v>8.4060042745477404E-2</v>
      </c>
      <c r="CJ4" s="7">
        <v>2.860589104349032E-2</v>
      </c>
      <c r="CK4" s="7">
        <v>-2.196015758338277E-2</v>
      </c>
      <c r="CL4" s="7">
        <v>-6.7870860352922335E-2</v>
      </c>
      <c r="CM4" s="7">
        <v>4.0070082430315068E-2</v>
      </c>
      <c r="CN4" s="7">
        <v>0.18816019391077179</v>
      </c>
      <c r="CO4" s="7">
        <v>2.367017674917093E-3</v>
      </c>
      <c r="CP4" s="7">
        <v>1.9450901205715351E-2</v>
      </c>
      <c r="CQ4" s="7">
        <v>-3.0616705499888042E-2</v>
      </c>
      <c r="CR4" s="7">
        <v>-0.28761057639089671</v>
      </c>
      <c r="CS4" s="7">
        <v>-0.27901111949972451</v>
      </c>
      <c r="CT4" s="7">
        <v>8.2166791936902683E-2</v>
      </c>
      <c r="CU4" s="7">
        <v>-0.1044948676458937</v>
      </c>
      <c r="CV4" s="7">
        <v>0.1117497704879042</v>
      </c>
      <c r="CW4" s="7">
        <v>-5.0011486829184548E-2</v>
      </c>
      <c r="CX4" s="7">
        <v>5.9209700317154557E-2</v>
      </c>
      <c r="CY4" s="7">
        <v>-0.17471118648177961</v>
      </c>
      <c r="CZ4" s="7">
        <v>-0.13109686697720241</v>
      </c>
      <c r="DA4" s="7">
        <v>-0.2203257151296327</v>
      </c>
      <c r="DB4" s="7">
        <v>-5.1224388631531781E-2</v>
      </c>
      <c r="DC4" s="7">
        <v>-0.14279358769975301</v>
      </c>
      <c r="DD4" s="7">
        <v>0.1020904846945818</v>
      </c>
      <c r="DE4" s="7">
        <v>4.4656291464193032E-2</v>
      </c>
      <c r="DF4" s="7">
        <v>5.6233135690451519E-2</v>
      </c>
      <c r="DG4" s="7">
        <v>-0.1416822717519004</v>
      </c>
      <c r="DH4" s="7">
        <v>0.15762567020768259</v>
      </c>
      <c r="DI4" s="7">
        <v>-6.2035901643650249E-2</v>
      </c>
      <c r="DJ4" s="7">
        <v>-0.1196792904639139</v>
      </c>
      <c r="DK4" s="7">
        <v>-0.1636929902628452</v>
      </c>
      <c r="DL4" s="7">
        <v>9.4429634312145794E-2</v>
      </c>
      <c r="DM4" s="7">
        <v>0.23372019522840051</v>
      </c>
      <c r="DN4" s="7">
        <v>7.3797400786563827E-2</v>
      </c>
      <c r="DO4" s="7">
        <v>-4.5812944635489572E-2</v>
      </c>
      <c r="DP4" s="7">
        <v>-6.8308325202590225E-2</v>
      </c>
      <c r="DQ4" s="7">
        <v>-0.16930629268172481</v>
      </c>
      <c r="DR4" s="7">
        <v>-0.1292436792863576</v>
      </c>
      <c r="DS4" s="7">
        <v>-7.3886793403296736E-2</v>
      </c>
      <c r="DT4" s="7">
        <v>-0.20370624475922131</v>
      </c>
      <c r="DU4" s="7">
        <v>-5.4891500526604631E-2</v>
      </c>
      <c r="DV4" s="7">
        <v>1.2036945748828741E-2</v>
      </c>
      <c r="DW4" s="7">
        <v>-6.1300239407735546E-3</v>
      </c>
      <c r="DX4" s="7">
        <v>-8.4900404469877344E-2</v>
      </c>
      <c r="DY4" s="7">
        <v>0.1000065013622802</v>
      </c>
      <c r="DZ4" s="7">
        <v>-0.1310602433648711</v>
      </c>
      <c r="EA4" s="7">
        <v>-0.1948807812701929</v>
      </c>
      <c r="EB4" s="7">
        <v>-0.31979832241280798</v>
      </c>
      <c r="EC4" s="7">
        <v>4.9837267550007169E-2</v>
      </c>
      <c r="ED4" s="7">
        <v>5.4627759739140913E-2</v>
      </c>
      <c r="EE4" s="7">
        <v>0.1200464788195035</v>
      </c>
      <c r="EF4" s="7">
        <v>0.24381115553913091</v>
      </c>
      <c r="EG4" s="1"/>
    </row>
    <row r="5" spans="1:137" x14ac:dyDescent="0.3">
      <c r="B5" s="1" t="s">
        <v>138</v>
      </c>
      <c r="C5" s="7">
        <v>-0.20935792122733929</v>
      </c>
      <c r="D5" s="7">
        <v>-0.1073627692333063</v>
      </c>
      <c r="E5" s="7">
        <v>0.52484760680152232</v>
      </c>
      <c r="F5" s="7">
        <v>4.6837059958046809E-2</v>
      </c>
      <c r="G5" s="7">
        <v>-0.2104714261735883</v>
      </c>
      <c r="H5" s="7">
        <v>0.4744149628629204</v>
      </c>
      <c r="I5" s="7">
        <v>0.14678498763585299</v>
      </c>
      <c r="J5" s="7">
        <v>-5.6231752728838222E-2</v>
      </c>
      <c r="K5" s="7">
        <v>0.27552845629080469</v>
      </c>
      <c r="L5" s="7">
        <v>-0.43004286310886081</v>
      </c>
      <c r="M5" s="7">
        <v>0.32376774959305898</v>
      </c>
      <c r="N5" s="7">
        <v>-0.34824165047033961</v>
      </c>
      <c r="O5" s="7">
        <v>-9.7528911512976074E-2</v>
      </c>
      <c r="P5" s="7">
        <v>0.39546612391174241</v>
      </c>
      <c r="Q5" s="7">
        <v>4.8467491330228173E-2</v>
      </c>
      <c r="R5" s="7">
        <v>-9.8851331549351315E-2</v>
      </c>
      <c r="S5" s="7">
        <v>0.3057921371194337</v>
      </c>
      <c r="T5" s="7">
        <v>7.2071946189346189E-2</v>
      </c>
      <c r="U5" s="7">
        <v>-4.7890408561752917E-4</v>
      </c>
      <c r="V5" s="7">
        <v>-0.13936695356286269</v>
      </c>
      <c r="W5" s="7">
        <v>-0.39469012652483237</v>
      </c>
      <c r="X5" s="7">
        <v>-0.12947787244850251</v>
      </c>
      <c r="Y5" s="7">
        <v>-0.68127295831176804</v>
      </c>
      <c r="Z5" s="7">
        <v>-4.1720386960932424E-3</v>
      </c>
      <c r="AA5" s="7">
        <v>1.8198047382592619E-2</v>
      </c>
      <c r="AB5" s="7">
        <v>0.20112165888415301</v>
      </c>
      <c r="AC5" s="7">
        <v>-8.9163225286403025E-2</v>
      </c>
      <c r="AD5" s="7">
        <v>0.14514145822358679</v>
      </c>
      <c r="AE5" s="7">
        <v>7.4669147590605167E-2</v>
      </c>
      <c r="AF5" s="7">
        <v>0.17577042279847119</v>
      </c>
      <c r="AG5" s="7">
        <v>-0.30336041259100399</v>
      </c>
      <c r="AH5" s="7">
        <v>-0.3482499081721625</v>
      </c>
      <c r="AI5" s="7">
        <v>0.25872371710226461</v>
      </c>
      <c r="AJ5" s="7">
        <v>-0.48889196953357</v>
      </c>
      <c r="AK5" s="7">
        <v>0.13254842946584691</v>
      </c>
      <c r="AL5" s="7">
        <v>-2.3789775596635129E-2</v>
      </c>
      <c r="AM5" s="7">
        <v>1.17524054827144E-2</v>
      </c>
      <c r="AN5" s="7">
        <v>-7.4933432869098024E-2</v>
      </c>
      <c r="AO5" s="7">
        <v>0.1844633194704077</v>
      </c>
      <c r="AP5" s="7">
        <v>3.2348031051998787E-2</v>
      </c>
      <c r="AQ5" s="7">
        <v>0.1511984265546954</v>
      </c>
      <c r="AR5" s="7">
        <v>-9.5283109587288514E-2</v>
      </c>
      <c r="AS5" s="7">
        <v>-0.1260043749729467</v>
      </c>
      <c r="AT5" s="7">
        <v>0.1516447920969482</v>
      </c>
      <c r="AU5" s="7">
        <v>-0.20083705233961571</v>
      </c>
      <c r="AV5" s="7">
        <v>7.890636801828628E-2</v>
      </c>
      <c r="AW5" s="7">
        <v>6.7935762483271878E-4</v>
      </c>
      <c r="AX5" s="7">
        <v>0.1122931240608864</v>
      </c>
      <c r="AY5" s="7">
        <v>-0.118056117907044</v>
      </c>
      <c r="AZ5" s="7">
        <v>0.20621977214253931</v>
      </c>
      <c r="BA5" s="7">
        <v>-3.9691918773370187E-2</v>
      </c>
      <c r="BB5" s="7">
        <v>8.2995939761629778E-2</v>
      </c>
      <c r="BC5" s="7">
        <v>-0.13000542995066139</v>
      </c>
      <c r="BD5" s="7">
        <v>-0.1063161628626854</v>
      </c>
      <c r="BE5" s="7">
        <v>0.1159333959862182</v>
      </c>
      <c r="BF5" s="7">
        <v>-0.28526227318364472</v>
      </c>
      <c r="BG5" s="7">
        <v>-0.15093334040887121</v>
      </c>
      <c r="BH5" s="7">
        <v>2.919940093087194E-3</v>
      </c>
      <c r="BI5" s="7">
        <v>5.812657406460206E-2</v>
      </c>
      <c r="BJ5" s="7">
        <v>-0.25986983403483388</v>
      </c>
      <c r="BK5" s="7">
        <v>0.18487944696901781</v>
      </c>
      <c r="BL5" s="7">
        <v>-0.26913172790454543</v>
      </c>
      <c r="BM5" s="7">
        <v>0.1717381908649544</v>
      </c>
      <c r="BN5" s="7">
        <v>-0.18092216130584951</v>
      </c>
      <c r="BO5" s="7">
        <v>-6.3203737577877367E-2</v>
      </c>
      <c r="BP5" s="7">
        <v>7.1867500126512024E-2</v>
      </c>
      <c r="BQ5" s="7">
        <v>-0.16861046240236999</v>
      </c>
      <c r="BR5" s="7">
        <v>-2.5447831594333319E-2</v>
      </c>
      <c r="BS5" s="7">
        <v>0.1244241075337672</v>
      </c>
      <c r="BT5" s="7">
        <v>0.20772231279415901</v>
      </c>
      <c r="BU5" s="7">
        <v>-6.0051294436158628E-2</v>
      </c>
      <c r="BV5" s="7">
        <v>-5.1700003009333508E-2</v>
      </c>
      <c r="BW5" s="7">
        <v>-0.1268015683060742</v>
      </c>
      <c r="BX5" s="7">
        <v>-0.10582029087279909</v>
      </c>
      <c r="BY5" s="7">
        <v>5.3607320437496067E-2</v>
      </c>
      <c r="BZ5" s="7">
        <v>-3.4479447424122608E-2</v>
      </c>
      <c r="CA5" s="7">
        <v>-2.0066210971329639E-2</v>
      </c>
      <c r="CB5" s="7">
        <v>8.4589606751002688E-2</v>
      </c>
      <c r="CC5" s="7">
        <v>-0.1103836570393476</v>
      </c>
      <c r="CD5" s="7">
        <v>0.32742328506094998</v>
      </c>
      <c r="CE5" s="7">
        <v>-1.486719718236725E-2</v>
      </c>
      <c r="CF5" s="7">
        <v>-0.14937324914413941</v>
      </c>
      <c r="CG5" s="7">
        <v>0.16320028060313421</v>
      </c>
      <c r="CH5" s="7">
        <v>-6.9038325074175663E-2</v>
      </c>
      <c r="CI5" s="7">
        <v>-0.11536214708505139</v>
      </c>
      <c r="CJ5" s="7">
        <v>-0.26301723908525793</v>
      </c>
      <c r="CK5" s="7">
        <v>0.37897350211797709</v>
      </c>
      <c r="CL5" s="7">
        <v>-7.6383453932209341E-2</v>
      </c>
      <c r="CM5" s="7">
        <v>4.2833444041791832E-2</v>
      </c>
      <c r="CN5" s="7">
        <v>-0.15161552738072651</v>
      </c>
      <c r="CO5" s="7">
        <v>0.43716796518582229</v>
      </c>
      <c r="CP5" s="7">
        <v>-4.1833927507883796E-3</v>
      </c>
      <c r="CQ5" s="7">
        <v>-0.49935244279872992</v>
      </c>
      <c r="CR5" s="7">
        <v>0.3398570382696095</v>
      </c>
      <c r="CS5" s="7">
        <v>-0.18988696947799641</v>
      </c>
      <c r="CT5" s="7">
        <v>0.2246197528310597</v>
      </c>
      <c r="CU5" s="7">
        <v>-0.25171771168640761</v>
      </c>
      <c r="CV5" s="7">
        <v>-6.0587944319075937E-2</v>
      </c>
      <c r="CW5" s="7">
        <v>0.2108770628752098</v>
      </c>
      <c r="CX5" s="7">
        <v>0.25016150139728283</v>
      </c>
      <c r="CY5" s="7">
        <v>-0.52413353929587791</v>
      </c>
      <c r="CZ5" s="7">
        <v>0.8216183061041753</v>
      </c>
      <c r="DA5" s="7">
        <v>-0.17652298417539669</v>
      </c>
      <c r="DB5" s="7">
        <v>0.13115957739194459</v>
      </c>
      <c r="DC5" s="7">
        <v>0.1757366545058428</v>
      </c>
      <c r="DD5" s="7">
        <v>-0.42083892435479142</v>
      </c>
      <c r="DE5" s="7">
        <v>-0.2279724207651195</v>
      </c>
      <c r="DF5" s="7">
        <v>-0.33715973842927388</v>
      </c>
      <c r="DG5" s="7">
        <v>-0.44400370439279008</v>
      </c>
      <c r="DH5" s="7">
        <v>-4.293279443633978E-2</v>
      </c>
      <c r="DI5" s="7">
        <v>0.30896916307249689</v>
      </c>
      <c r="DJ5" s="7">
        <v>-0.28669247758290828</v>
      </c>
      <c r="DK5" s="7">
        <v>0.84621248517861269</v>
      </c>
      <c r="DL5" s="7">
        <v>-0.16924034367306559</v>
      </c>
      <c r="DM5" s="7">
        <v>-0.43945016692248923</v>
      </c>
      <c r="DN5" s="7">
        <v>0.74751336560070059</v>
      </c>
      <c r="DO5" s="7">
        <v>-0.39996426308914668</v>
      </c>
      <c r="DP5" s="7">
        <v>-4.4863264481034962E-2</v>
      </c>
      <c r="DQ5" s="7">
        <v>-0.58863430244229409</v>
      </c>
      <c r="DR5" s="7">
        <v>-6.5627469319089037E-3</v>
      </c>
      <c r="DS5" s="7">
        <v>-0.19878519438361211</v>
      </c>
      <c r="DT5" s="7">
        <v>0.4132117833889476</v>
      </c>
      <c r="DU5" s="7">
        <v>-0.17065403209770361</v>
      </c>
      <c r="DV5" s="7">
        <v>0.68828031734213269</v>
      </c>
      <c r="DW5" s="7">
        <v>4.0806005098273937E-2</v>
      </c>
      <c r="DX5" s="7">
        <v>-0.1999347157162332</v>
      </c>
      <c r="DY5" s="7">
        <v>0.56631420698904078</v>
      </c>
      <c r="DZ5" s="7">
        <v>0.47362880432099852</v>
      </c>
      <c r="EA5" s="7">
        <v>9.5444977871898054E-2</v>
      </c>
      <c r="EB5" s="7">
        <v>-1.076360940060376</v>
      </c>
      <c r="EC5" s="7">
        <v>-0.13610628648279391</v>
      </c>
      <c r="ED5" s="7">
        <v>-0.27349656344743889</v>
      </c>
      <c r="EE5" s="7">
        <v>0.60134859370029736</v>
      </c>
      <c r="EF5" s="7">
        <v>6.7468790588863341E-3</v>
      </c>
      <c r="EG5" s="1"/>
    </row>
    <row r="6" spans="1:137" x14ac:dyDescent="0.3">
      <c r="A6" s="22" t="s">
        <v>139</v>
      </c>
      <c r="B6" s="23"/>
      <c r="C6" s="7">
        <f t="array" ref="C6">MATCH(MAX(ABS(C3:C5)), ABS(C3:C5), 0)</f>
        <v>3</v>
      </c>
      <c r="D6" s="7">
        <f t="array" ref="D6">MATCH(MAX(ABS(D3:D5)), ABS(D3:D5), 0)</f>
        <v>2</v>
      </c>
      <c r="E6" s="7">
        <f t="array" ref="E6">MATCH(MAX(ABS(E3:E5)), ABS(E3:E5), 0)</f>
        <v>3</v>
      </c>
      <c r="F6" s="7">
        <f t="array" ref="F6">MATCH(MAX(ABS(F3:F5)), ABS(F3:F5), 0)</f>
        <v>3</v>
      </c>
      <c r="G6" s="7">
        <f t="array" ref="G6">MATCH(MAX(ABS(G3:G5)), ABS(G3:G5), 0)</f>
        <v>3</v>
      </c>
      <c r="H6" s="7">
        <f t="array" ref="H6">MATCH(MAX(ABS(H3:H5)), ABS(H3:H5), 0)</f>
        <v>3</v>
      </c>
      <c r="I6" s="7">
        <f t="array" ref="I6">MATCH(MAX(ABS(I3:I5)), ABS(I3:I5), 0)</f>
        <v>1</v>
      </c>
      <c r="J6" s="7">
        <f t="array" ref="J6">MATCH(MAX(ABS(J3:J5)), ABS(J3:J5), 0)</f>
        <v>1</v>
      </c>
      <c r="K6" s="7">
        <f t="array" ref="K6">MATCH(MAX(ABS(K3:K5)), ABS(K3:K5), 0)</f>
        <v>3</v>
      </c>
      <c r="L6" s="7">
        <f t="array" ref="L6">MATCH(MAX(ABS(L3:L5)), ABS(L3:L5), 0)</f>
        <v>3</v>
      </c>
      <c r="M6" s="7">
        <f t="array" ref="M6">MATCH(MAX(ABS(M3:M5)), ABS(M3:M5), 0)</f>
        <v>3</v>
      </c>
      <c r="N6" s="7">
        <f t="array" ref="N6">MATCH(MAX(ABS(N3:N5)), ABS(N3:N5), 0)</f>
        <v>3</v>
      </c>
      <c r="O6" s="7">
        <f t="array" ref="O6">MATCH(MAX(ABS(O3:O5)), ABS(O3:O5), 0)</f>
        <v>1</v>
      </c>
      <c r="P6" s="7">
        <f t="array" ref="P6">MATCH(MAX(ABS(P3:P5)), ABS(P3:P5), 0)</f>
        <v>3</v>
      </c>
      <c r="Q6" s="7">
        <f t="array" ref="Q6">MATCH(MAX(ABS(Q3:Q5)), ABS(Q3:Q5), 0)</f>
        <v>1</v>
      </c>
      <c r="R6" s="7">
        <f t="array" ref="R6">MATCH(MAX(ABS(R3:R5)), ABS(R3:R5), 0)</f>
        <v>1</v>
      </c>
      <c r="S6" s="7">
        <f t="array" ref="S6">MATCH(MAX(ABS(S3:S5)), ABS(S3:S5), 0)</f>
        <v>3</v>
      </c>
      <c r="T6" s="7">
        <f t="array" ref="T6">MATCH(MAX(ABS(T3:T5)), ABS(T3:T5), 0)</f>
        <v>1</v>
      </c>
      <c r="U6" s="7">
        <f t="array" ref="U6">MATCH(MAX(ABS(U3:U5)), ABS(U3:U5), 0)</f>
        <v>1</v>
      </c>
      <c r="V6" s="7">
        <f t="array" ref="V6">MATCH(MAX(ABS(V3:V5)), ABS(V3:V5), 0)</f>
        <v>3</v>
      </c>
      <c r="W6" s="7">
        <f t="array" ref="W6">MATCH(MAX(ABS(W3:W5)), ABS(W3:W5), 0)</f>
        <v>3</v>
      </c>
      <c r="X6" s="7">
        <f t="array" ref="X6">MATCH(MAX(ABS(X3:X5)), ABS(X3:X5), 0)</f>
        <v>2</v>
      </c>
      <c r="Y6" s="7">
        <f t="array" ref="Y6">MATCH(MAX(ABS(Y3:Y5)), ABS(Y3:Y5), 0)</f>
        <v>3</v>
      </c>
      <c r="Z6" s="7">
        <f t="array" ref="Z6">MATCH(MAX(ABS(Z3:Z5)), ABS(Z3:Z5), 0)</f>
        <v>1</v>
      </c>
      <c r="AA6" s="7">
        <f t="array" ref="AA6">MATCH(MAX(ABS(AA3:AA5)), ABS(AA3:AA5), 0)</f>
        <v>1</v>
      </c>
      <c r="AB6" s="7">
        <f t="array" ref="AB6">MATCH(MAX(ABS(AB3:AB5)), ABS(AB3:AB5), 0)</f>
        <v>1</v>
      </c>
      <c r="AC6" s="7">
        <f t="array" ref="AC6">MATCH(MAX(ABS(AC3:AC5)), ABS(AC3:AC5), 0)</f>
        <v>3</v>
      </c>
      <c r="AD6" s="7">
        <f t="array" ref="AD6">MATCH(MAX(ABS(AD3:AD5)), ABS(AD3:AD5), 0)</f>
        <v>3</v>
      </c>
      <c r="AE6" s="7">
        <f t="array" ref="AE6">MATCH(MAX(ABS(AE3:AE5)), ABS(AE3:AE5), 0)</f>
        <v>3</v>
      </c>
      <c r="AF6" s="7">
        <f t="array" ref="AF6">MATCH(MAX(ABS(AF3:AF5)), ABS(AF3:AF5), 0)</f>
        <v>3</v>
      </c>
      <c r="AG6" s="7">
        <f t="array" ref="AG6">MATCH(MAX(ABS(AG3:AG5)), ABS(AG3:AG5), 0)</f>
        <v>3</v>
      </c>
      <c r="AH6" s="7">
        <f t="array" ref="AH6">MATCH(MAX(ABS(AH3:AH5)), ABS(AH3:AH5), 0)</f>
        <v>3</v>
      </c>
      <c r="AI6" s="7">
        <f t="array" ref="AI6">MATCH(MAX(ABS(AI3:AI5)), ABS(AI3:AI5), 0)</f>
        <v>3</v>
      </c>
      <c r="AJ6" s="7">
        <f t="array" ref="AJ6">MATCH(MAX(ABS(AJ3:AJ5)), ABS(AJ3:AJ5), 0)</f>
        <v>3</v>
      </c>
      <c r="AK6" s="7">
        <f t="array" ref="AK6">MATCH(MAX(ABS(AK3:AK5)), ABS(AK3:AK5), 0)</f>
        <v>3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3</v>
      </c>
      <c r="AP6" s="7">
        <f t="array" ref="AP6">MATCH(MAX(ABS(AP3:AP5)), ABS(AP3:AP5), 0)</f>
        <v>2</v>
      </c>
      <c r="AQ6" s="7">
        <f t="array" ref="AQ6">MATCH(MAX(ABS(AQ3:AQ5)), ABS(AQ3:AQ5), 0)</f>
        <v>1</v>
      </c>
      <c r="AR6" s="7">
        <f t="array" ref="AR6">MATCH(MAX(ABS(AR3:AR5)), ABS(AR3:AR5), 0)</f>
        <v>2</v>
      </c>
      <c r="AS6" s="7">
        <f t="array" ref="AS6">MATCH(MAX(ABS(AS3:AS5)), ABS(AS3:AS5), 0)</f>
        <v>1</v>
      </c>
      <c r="AT6" s="7">
        <f t="array" ref="AT6">MATCH(MAX(ABS(AT3:AT5)), ABS(AT3:AT5), 0)</f>
        <v>3</v>
      </c>
      <c r="AU6" s="7">
        <f t="array" ref="AU6">MATCH(MAX(ABS(AU3:AU5)), ABS(AU3:AU5), 0)</f>
        <v>3</v>
      </c>
      <c r="AV6" s="7">
        <f t="array" ref="AV6">MATCH(MAX(ABS(AV3:AV5)), ABS(AV3:AV5), 0)</f>
        <v>2</v>
      </c>
      <c r="AW6" s="7">
        <f t="array" ref="AW6">MATCH(MAX(ABS(AW3:AW5)), ABS(AW3:AW5), 0)</f>
        <v>1</v>
      </c>
      <c r="AX6" s="7">
        <f t="array" ref="AX6">MATCH(MAX(ABS(AX3:AX5)), ABS(AX3:AX5), 0)</f>
        <v>3</v>
      </c>
      <c r="AY6" s="7">
        <f t="array" ref="AY6">MATCH(MAX(ABS(AY3:AY5)), ABS(AY3:AY5), 0)</f>
        <v>3</v>
      </c>
      <c r="AZ6" s="7">
        <f t="array" ref="AZ6">MATCH(MAX(ABS(AZ3:AZ5)), ABS(AZ3:AZ5), 0)</f>
        <v>3</v>
      </c>
      <c r="BA6" s="7">
        <f t="array" ref="BA6">MATCH(MAX(ABS(BA3:BA5)), ABS(BA3:BA5), 0)</f>
        <v>1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3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3</v>
      </c>
      <c r="BJ6" s="7">
        <f t="array" ref="BJ6">MATCH(MAX(ABS(BJ3:BJ5)), ABS(BJ3:BJ5), 0)</f>
        <v>3</v>
      </c>
      <c r="BK6" s="7">
        <f t="array" ref="BK6">MATCH(MAX(ABS(BK3:BK5)), ABS(BK3:BK5), 0)</f>
        <v>3</v>
      </c>
      <c r="BL6" s="7">
        <f t="array" ref="BL6">MATCH(MAX(ABS(BL3:BL5)), ABS(BL3:BL5), 0)</f>
        <v>3</v>
      </c>
      <c r="BM6" s="7">
        <f t="array" ref="BM6">MATCH(MAX(ABS(BM3:BM5)), ABS(BM3:BM5), 0)</f>
        <v>3</v>
      </c>
      <c r="BN6" s="7">
        <f t="array" ref="BN6">MATCH(MAX(ABS(BN3:BN5)), ABS(BN3:BN5), 0)</f>
        <v>3</v>
      </c>
      <c r="BO6" s="7">
        <f t="array" ref="BO6">MATCH(MAX(ABS(BO3:BO5)), ABS(BO3:BO5), 0)</f>
        <v>1</v>
      </c>
      <c r="BP6" s="7">
        <f t="array" ref="BP6">MATCH(MAX(ABS(BP3:BP5)), ABS(BP3:BP5), 0)</f>
        <v>2</v>
      </c>
      <c r="BQ6" s="7">
        <f t="array" ref="BQ6">MATCH(MAX(ABS(BQ3:BQ5)), ABS(BQ3:BQ5), 0)</f>
        <v>3</v>
      </c>
      <c r="BR6" s="7">
        <f t="array" ref="BR6">MATCH(MAX(ABS(BR3:BR5)), ABS(BR3:BR5), 0)</f>
        <v>1</v>
      </c>
      <c r="BS6" s="7">
        <f t="array" ref="BS6">MATCH(MAX(ABS(BS3:BS5)), ABS(BS3:BS5), 0)</f>
        <v>3</v>
      </c>
      <c r="BT6" s="7">
        <f t="array" ref="BT6">MATCH(MAX(ABS(BT3:BT5)), ABS(BT3:BT5), 0)</f>
        <v>3</v>
      </c>
      <c r="BU6" s="7">
        <f t="array" ref="BU6">MATCH(MAX(ABS(BU3:BU5)), ABS(BU3:BU5), 0)</f>
        <v>1</v>
      </c>
      <c r="BV6" s="7">
        <f t="array" ref="BV6">MATCH(MAX(ABS(BV3:BV5)), ABS(BV3:BV5), 0)</f>
        <v>2</v>
      </c>
      <c r="BW6" s="7">
        <f t="array" ref="BW6">MATCH(MAX(ABS(BW3:BW5)), ABS(BW3:BW5), 0)</f>
        <v>3</v>
      </c>
      <c r="BX6" s="7">
        <f t="array" ref="BX6">MATCH(MAX(ABS(BX3:BX5)), ABS(BX3:BX5), 0)</f>
        <v>3</v>
      </c>
      <c r="BY6" s="7">
        <f t="array" ref="BY6">MATCH(MAX(ABS(BY3:BY5)), ABS(BY3:BY5), 0)</f>
        <v>2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2</v>
      </c>
      <c r="CC6" s="7">
        <f t="array" ref="CC6">MATCH(MAX(ABS(CC3:CC5)), ABS(CC3:CC5), 0)</f>
        <v>2</v>
      </c>
      <c r="CD6" s="7">
        <f t="array" ref="CD6">MATCH(MAX(ABS(CD3:CD5)), ABS(CD3:CD5), 0)</f>
        <v>3</v>
      </c>
      <c r="CE6" s="7">
        <f t="array" ref="CE6">MATCH(MAX(ABS(CE3:CE5)), ABS(CE3:CE5), 0)</f>
        <v>1</v>
      </c>
      <c r="CF6" s="7">
        <f t="array" ref="CF6">MATCH(MAX(ABS(CF3:CF5)), ABS(CF3:CF5), 0)</f>
        <v>3</v>
      </c>
      <c r="CG6" s="7">
        <f t="array" ref="CG6">MATCH(MAX(ABS(CG3:CG5)), ABS(CG3:CG5), 0)</f>
        <v>3</v>
      </c>
      <c r="CH6" s="7">
        <f t="array" ref="CH6">MATCH(MAX(ABS(CH3:CH5)), ABS(CH3:CH5), 0)</f>
        <v>3</v>
      </c>
      <c r="CI6" s="7">
        <f t="array" ref="CI6">MATCH(MAX(ABS(CI3:CI5)), ABS(CI3:CI5), 0)</f>
        <v>3</v>
      </c>
      <c r="CJ6" s="7">
        <f t="array" ref="CJ6">MATCH(MAX(ABS(CJ3:CJ5)), ABS(CJ3:CJ5), 0)</f>
        <v>1</v>
      </c>
      <c r="CK6" s="7">
        <f t="array" ref="CK6">MATCH(MAX(ABS(CK3:CK5)), ABS(CK3:CK5), 0)</f>
        <v>3</v>
      </c>
      <c r="CL6" s="7">
        <f t="array" ref="CL6">MATCH(MAX(ABS(CL3:CL5)), ABS(CL3:CL5), 0)</f>
        <v>3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3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3</v>
      </c>
      <c r="CS6" s="7">
        <f t="array" ref="CS6">MATCH(MAX(ABS(CS3:CS5)), ABS(CS3:CS5), 0)</f>
        <v>2</v>
      </c>
      <c r="CT6" s="7">
        <f t="array" ref="CT6">MATCH(MAX(ABS(CT3:CT5)), ABS(CT3:CT5), 0)</f>
        <v>3</v>
      </c>
      <c r="CU6" s="7">
        <f t="array" ref="CU6">MATCH(MAX(ABS(CU3:CU5)), ABS(CU3:CU5), 0)</f>
        <v>3</v>
      </c>
      <c r="CV6" s="7">
        <f t="array" ref="CV6">MATCH(MAX(ABS(CV3:CV5)), ABS(CV3:CV5), 0)</f>
        <v>2</v>
      </c>
      <c r="CW6" s="7">
        <f t="array" ref="CW6">MATCH(MAX(ABS(CW3:CW5)), ABS(CW3:CW5), 0)</f>
        <v>3</v>
      </c>
      <c r="CX6" s="7">
        <f t="array" ref="CX6">MATCH(MAX(ABS(CX3:CX5)), ABS(CX3:CX5), 0)</f>
        <v>3</v>
      </c>
      <c r="CY6" s="7">
        <f t="array" ref="CY6">MATCH(MAX(ABS(CY3:CY5)), ABS(CY3:CY5), 0)</f>
        <v>3</v>
      </c>
      <c r="CZ6" s="7">
        <f t="array" ref="CZ6">MATCH(MAX(ABS(CZ3:CZ5)), ABS(CZ3:CZ5), 0)</f>
        <v>3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1</v>
      </c>
      <c r="DD6" s="7">
        <f t="array" ref="DD6">MATCH(MAX(ABS(DD3:DD5)), ABS(DD3:DD5), 0)</f>
        <v>3</v>
      </c>
      <c r="DE6" s="7">
        <f t="array" ref="DE6">MATCH(MAX(ABS(DE3:DE5)), ABS(DE3:DE5), 0)</f>
        <v>3</v>
      </c>
      <c r="DF6" s="7">
        <f t="array" ref="DF6">MATCH(MAX(ABS(DF3:DF5)), ABS(DF3:DF5), 0)</f>
        <v>3</v>
      </c>
      <c r="DG6" s="7">
        <f t="array" ref="DG6">MATCH(MAX(ABS(DG3:DG5)), ABS(DG3:DG5), 0)</f>
        <v>3</v>
      </c>
      <c r="DH6" s="7">
        <f t="array" ref="DH6">MATCH(MAX(ABS(DH3:DH5)), ABS(DH3:DH5), 0)</f>
        <v>2</v>
      </c>
      <c r="DI6" s="7">
        <f t="array" ref="DI6">MATCH(MAX(ABS(DI3:DI5)), ABS(DI3:DI5), 0)</f>
        <v>3</v>
      </c>
      <c r="DJ6" s="7">
        <f t="array" ref="DJ6">MATCH(MAX(ABS(DJ3:DJ5)), ABS(DJ3:DJ5), 0)</f>
        <v>3</v>
      </c>
      <c r="DK6" s="7">
        <f t="array" ref="DK6">MATCH(MAX(ABS(DK3:DK5)), ABS(DK3:DK5), 0)</f>
        <v>3</v>
      </c>
      <c r="DL6" s="7">
        <f t="array" ref="DL6">MATCH(MAX(ABS(DL3:DL5)), ABS(DL3:DL5), 0)</f>
        <v>3</v>
      </c>
      <c r="DM6" s="7">
        <f t="array" ref="DM6">MATCH(MAX(ABS(DM3:DM5)), ABS(DM3:DM5), 0)</f>
        <v>3</v>
      </c>
      <c r="DN6" s="7">
        <f t="array" ref="DN6">MATCH(MAX(ABS(DN3:DN5)), ABS(DN3:DN5), 0)</f>
        <v>3</v>
      </c>
      <c r="DO6" s="7">
        <f t="array" ref="DO6">MATCH(MAX(ABS(DO3:DO5)), ABS(DO3:DO5), 0)</f>
        <v>3</v>
      </c>
      <c r="DP6" s="7">
        <f t="array" ref="DP6">MATCH(MAX(ABS(DP3:DP5)), ABS(DP3:DP5), 0)</f>
        <v>1</v>
      </c>
      <c r="DQ6" s="7">
        <f t="array" ref="DQ6">MATCH(MAX(ABS(DQ3:DQ5)), ABS(DQ3:DQ5), 0)</f>
        <v>3</v>
      </c>
      <c r="DR6" s="7">
        <f t="array" ref="DR6">MATCH(MAX(ABS(DR3:DR5)), ABS(DR3:DR5), 0)</f>
        <v>2</v>
      </c>
      <c r="DS6" s="7">
        <f t="array" ref="DS6">MATCH(MAX(ABS(DS3:DS5)), ABS(DS3:DS5), 0)</f>
        <v>3</v>
      </c>
      <c r="DT6" s="7">
        <f t="array" ref="DT6">MATCH(MAX(ABS(DT3:DT5)), ABS(DT3:DT5), 0)</f>
        <v>3</v>
      </c>
      <c r="DU6" s="7">
        <f t="array" ref="DU6">MATCH(MAX(ABS(DU3:DU5)), ABS(DU3:DU5), 0)</f>
        <v>3</v>
      </c>
      <c r="DV6" s="7">
        <f t="array" ref="DV6">MATCH(MAX(ABS(DV3:DV5)), ABS(DV3:DV5), 0)</f>
        <v>3</v>
      </c>
      <c r="DW6" s="7">
        <f t="array" ref="DW6">MATCH(MAX(ABS(DW3:DW5)), ABS(DW3:DW5), 0)</f>
        <v>1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3</v>
      </c>
      <c r="EC6" s="7">
        <f t="array" ref="EC6">MATCH(MAX(ABS(EC3:EC5)), ABS(EC3:EC5), 0)</f>
        <v>3</v>
      </c>
      <c r="ED6" s="7">
        <f t="array" ref="ED6">MATCH(MAX(ABS(ED3:ED5)), ABS(ED3:ED5), 0)</f>
        <v>3</v>
      </c>
      <c r="EE6" s="7">
        <f t="array" ref="EE6">MATCH(MAX(ABS(EE3:EE5)), ABS(EE3:EE5), 0)</f>
        <v>3</v>
      </c>
      <c r="EF6" s="7">
        <f t="array" ref="EF6">MATCH(MAX(ABS(EF3:EF5)), ABS(EF3:EF5), 0)</f>
        <v>2</v>
      </c>
      <c r="EG6" s="1">
        <f t="array" ref="EG6">MATCH(MAX(ABS(EG3:EG5)), ABS(EG3:EG5), 0)</f>
        <v>1</v>
      </c>
    </row>
    <row r="7" spans="1:137" x14ac:dyDescent="0.3">
      <c r="C7" s="7" t="str">
        <f t="shared" ref="C7:AH7" si="0">IF(C6=1,"bm",IF(C6=2,"size",IF(C6=3,"mom")))</f>
        <v>mom</v>
      </c>
      <c r="D7" s="7" t="str">
        <f t="shared" si="0"/>
        <v>size</v>
      </c>
      <c r="E7" s="7" t="str">
        <f t="shared" si="0"/>
        <v>mom</v>
      </c>
      <c r="F7" s="7" t="str">
        <f t="shared" si="0"/>
        <v>mom</v>
      </c>
      <c r="G7" s="7" t="str">
        <f t="shared" si="0"/>
        <v>mom</v>
      </c>
      <c r="H7" s="7" t="str">
        <f t="shared" si="0"/>
        <v>mom</v>
      </c>
      <c r="I7" s="7" t="str">
        <f t="shared" si="0"/>
        <v>bm</v>
      </c>
      <c r="J7" s="7" t="str">
        <f t="shared" si="0"/>
        <v>bm</v>
      </c>
      <c r="K7" s="7" t="str">
        <f t="shared" si="0"/>
        <v>mom</v>
      </c>
      <c r="L7" s="7" t="str">
        <f t="shared" si="0"/>
        <v>mom</v>
      </c>
      <c r="M7" s="7" t="str">
        <f t="shared" si="0"/>
        <v>mom</v>
      </c>
      <c r="N7" s="7" t="str">
        <f t="shared" si="0"/>
        <v>mom</v>
      </c>
      <c r="O7" s="7" t="str">
        <f t="shared" si="0"/>
        <v>bm</v>
      </c>
      <c r="P7" s="7" t="str">
        <f t="shared" si="0"/>
        <v>mom</v>
      </c>
      <c r="Q7" s="7" t="str">
        <f t="shared" si="0"/>
        <v>bm</v>
      </c>
      <c r="R7" s="7" t="str">
        <f t="shared" si="0"/>
        <v>bm</v>
      </c>
      <c r="S7" s="7" t="str">
        <f t="shared" si="0"/>
        <v>mom</v>
      </c>
      <c r="T7" s="7" t="str">
        <f t="shared" si="0"/>
        <v>bm</v>
      </c>
      <c r="U7" s="7" t="str">
        <f t="shared" si="0"/>
        <v>bm</v>
      </c>
      <c r="V7" s="7" t="str">
        <f t="shared" si="0"/>
        <v>mom</v>
      </c>
      <c r="W7" s="7" t="str">
        <f t="shared" si="0"/>
        <v>mom</v>
      </c>
      <c r="X7" s="7" t="str">
        <f t="shared" si="0"/>
        <v>size</v>
      </c>
      <c r="Y7" s="7" t="str">
        <f t="shared" si="0"/>
        <v>mom</v>
      </c>
      <c r="Z7" s="7" t="str">
        <f t="shared" si="0"/>
        <v>bm</v>
      </c>
      <c r="AA7" s="7" t="str">
        <f t="shared" si="0"/>
        <v>bm</v>
      </c>
      <c r="AB7" s="7" t="str">
        <f t="shared" si="0"/>
        <v>bm</v>
      </c>
      <c r="AC7" s="7" t="str">
        <f t="shared" si="0"/>
        <v>mom</v>
      </c>
      <c r="AD7" s="7" t="str">
        <f t="shared" si="0"/>
        <v>mom</v>
      </c>
      <c r="AE7" s="7" t="str">
        <f t="shared" si="0"/>
        <v>mom</v>
      </c>
      <c r="AF7" s="7" t="str">
        <f t="shared" si="0"/>
        <v>mom</v>
      </c>
      <c r="AG7" s="7" t="str">
        <f t="shared" si="0"/>
        <v>mom</v>
      </c>
      <c r="AH7" s="7" t="str">
        <f t="shared" si="0"/>
        <v>mom</v>
      </c>
      <c r="AI7" s="7" t="str">
        <f t="shared" ref="AI7:BN7" si="1">IF(AI6=1,"bm",IF(AI6=2,"size",IF(AI6=3,"mom")))</f>
        <v>mom</v>
      </c>
      <c r="AJ7" s="7" t="str">
        <f t="shared" si="1"/>
        <v>mom</v>
      </c>
      <c r="AK7" s="7" t="str">
        <f t="shared" si="1"/>
        <v>mom</v>
      </c>
      <c r="AL7" s="7" t="str">
        <f t="shared" si="1"/>
        <v>bm</v>
      </c>
      <c r="AM7" s="7" t="str">
        <f t="shared" si="1"/>
        <v>bm</v>
      </c>
      <c r="AN7" s="7" t="str">
        <f t="shared" si="1"/>
        <v>bm</v>
      </c>
      <c r="AO7" s="7" t="str">
        <f t="shared" si="1"/>
        <v>mom</v>
      </c>
      <c r="AP7" s="7" t="str">
        <f t="shared" si="1"/>
        <v>size</v>
      </c>
      <c r="AQ7" s="7" t="str">
        <f t="shared" si="1"/>
        <v>bm</v>
      </c>
      <c r="AR7" s="7" t="str">
        <f t="shared" si="1"/>
        <v>size</v>
      </c>
      <c r="AS7" s="7" t="str">
        <f t="shared" si="1"/>
        <v>bm</v>
      </c>
      <c r="AT7" s="7" t="str">
        <f t="shared" si="1"/>
        <v>mom</v>
      </c>
      <c r="AU7" s="7" t="str">
        <f t="shared" si="1"/>
        <v>mom</v>
      </c>
      <c r="AV7" s="7" t="str">
        <f t="shared" si="1"/>
        <v>size</v>
      </c>
      <c r="AW7" s="7" t="str">
        <f t="shared" si="1"/>
        <v>bm</v>
      </c>
      <c r="AX7" s="7" t="str">
        <f t="shared" si="1"/>
        <v>mom</v>
      </c>
      <c r="AY7" s="7" t="str">
        <f t="shared" si="1"/>
        <v>mom</v>
      </c>
      <c r="AZ7" s="7" t="str">
        <f t="shared" si="1"/>
        <v>mom</v>
      </c>
      <c r="BA7" s="7" t="str">
        <f t="shared" si="1"/>
        <v>bm</v>
      </c>
      <c r="BB7" s="7" t="str">
        <f t="shared" si="1"/>
        <v>size</v>
      </c>
      <c r="BC7" s="7" t="str">
        <f t="shared" si="1"/>
        <v>bm</v>
      </c>
      <c r="BD7" s="7" t="str">
        <f t="shared" si="1"/>
        <v>bm</v>
      </c>
      <c r="BE7" s="7" t="str">
        <f t="shared" si="1"/>
        <v>bm</v>
      </c>
      <c r="BF7" s="7" t="str">
        <f t="shared" si="1"/>
        <v>mom</v>
      </c>
      <c r="BG7" s="7" t="str">
        <f t="shared" si="1"/>
        <v>bm</v>
      </c>
      <c r="BH7" s="7" t="str">
        <f t="shared" si="1"/>
        <v>bm</v>
      </c>
      <c r="BI7" s="7" t="str">
        <f t="shared" si="1"/>
        <v>mom</v>
      </c>
      <c r="BJ7" s="7" t="str">
        <f t="shared" si="1"/>
        <v>mom</v>
      </c>
      <c r="BK7" s="7" t="str">
        <f t="shared" si="1"/>
        <v>mom</v>
      </c>
      <c r="BL7" s="7" t="str">
        <f t="shared" si="1"/>
        <v>mom</v>
      </c>
      <c r="BM7" s="7" t="str">
        <f t="shared" si="1"/>
        <v>mom</v>
      </c>
      <c r="BN7" s="7" t="str">
        <f t="shared" si="1"/>
        <v>mom</v>
      </c>
      <c r="BO7" s="7" t="str">
        <f t="shared" ref="BO7:CT7" si="2">IF(BO6=1,"bm",IF(BO6=2,"size",IF(BO6=3,"mom")))</f>
        <v>bm</v>
      </c>
      <c r="BP7" s="7" t="str">
        <f t="shared" si="2"/>
        <v>size</v>
      </c>
      <c r="BQ7" s="7" t="str">
        <f t="shared" si="2"/>
        <v>mom</v>
      </c>
      <c r="BR7" s="7" t="str">
        <f t="shared" si="2"/>
        <v>bm</v>
      </c>
      <c r="BS7" s="7" t="str">
        <f t="shared" si="2"/>
        <v>mom</v>
      </c>
      <c r="BT7" s="7" t="str">
        <f t="shared" si="2"/>
        <v>mom</v>
      </c>
      <c r="BU7" s="7" t="str">
        <f t="shared" si="2"/>
        <v>bm</v>
      </c>
      <c r="BV7" s="7" t="str">
        <f t="shared" si="2"/>
        <v>size</v>
      </c>
      <c r="BW7" s="7" t="str">
        <f t="shared" si="2"/>
        <v>mom</v>
      </c>
      <c r="BX7" s="7" t="str">
        <f t="shared" si="2"/>
        <v>mom</v>
      </c>
      <c r="BY7" s="7" t="str">
        <f t="shared" si="2"/>
        <v>size</v>
      </c>
      <c r="BZ7" s="7" t="str">
        <f t="shared" si="2"/>
        <v>bm</v>
      </c>
      <c r="CA7" s="7" t="str">
        <f t="shared" si="2"/>
        <v>bm</v>
      </c>
      <c r="CB7" s="7" t="str">
        <f t="shared" si="2"/>
        <v>size</v>
      </c>
      <c r="CC7" s="7" t="str">
        <f t="shared" si="2"/>
        <v>size</v>
      </c>
      <c r="CD7" s="7" t="str">
        <f t="shared" si="2"/>
        <v>mom</v>
      </c>
      <c r="CE7" s="7" t="str">
        <f t="shared" si="2"/>
        <v>bm</v>
      </c>
      <c r="CF7" s="7" t="str">
        <f t="shared" si="2"/>
        <v>mom</v>
      </c>
      <c r="CG7" s="7" t="str">
        <f t="shared" si="2"/>
        <v>mom</v>
      </c>
      <c r="CH7" s="7" t="str">
        <f t="shared" si="2"/>
        <v>mom</v>
      </c>
      <c r="CI7" s="7" t="str">
        <f t="shared" si="2"/>
        <v>mom</v>
      </c>
      <c r="CJ7" s="7" t="str">
        <f t="shared" si="2"/>
        <v>bm</v>
      </c>
      <c r="CK7" s="7" t="str">
        <f t="shared" si="2"/>
        <v>mom</v>
      </c>
      <c r="CL7" s="7" t="str">
        <f t="shared" si="2"/>
        <v>mom</v>
      </c>
      <c r="CM7" s="7" t="str">
        <f t="shared" si="2"/>
        <v>bm</v>
      </c>
      <c r="CN7" s="7" t="str">
        <f t="shared" si="2"/>
        <v>bm</v>
      </c>
      <c r="CO7" s="7" t="str">
        <f t="shared" si="2"/>
        <v>mom</v>
      </c>
      <c r="CP7" s="7" t="str">
        <f t="shared" si="2"/>
        <v>bm</v>
      </c>
      <c r="CQ7" s="7" t="str">
        <f t="shared" si="2"/>
        <v>mom</v>
      </c>
      <c r="CR7" s="7" t="str">
        <f t="shared" si="2"/>
        <v>mom</v>
      </c>
      <c r="CS7" s="7" t="str">
        <f t="shared" si="2"/>
        <v>size</v>
      </c>
      <c r="CT7" s="7" t="str">
        <f t="shared" si="2"/>
        <v>mom</v>
      </c>
      <c r="CU7" s="7" t="str">
        <f t="shared" ref="CU7:DZ7" si="3">IF(CU6=1,"bm",IF(CU6=2,"size",IF(CU6=3,"mom")))</f>
        <v>mom</v>
      </c>
      <c r="CV7" s="7" t="str">
        <f t="shared" si="3"/>
        <v>size</v>
      </c>
      <c r="CW7" s="7" t="str">
        <f t="shared" si="3"/>
        <v>mom</v>
      </c>
      <c r="CX7" s="7" t="str">
        <f t="shared" si="3"/>
        <v>mom</v>
      </c>
      <c r="CY7" s="7" t="str">
        <f t="shared" si="3"/>
        <v>mom</v>
      </c>
      <c r="CZ7" s="7" t="str">
        <f t="shared" si="3"/>
        <v>mom</v>
      </c>
      <c r="DA7" s="7" t="str">
        <f t="shared" si="3"/>
        <v>bm</v>
      </c>
      <c r="DB7" s="7" t="str">
        <f t="shared" si="3"/>
        <v>bm</v>
      </c>
      <c r="DC7" s="7" t="str">
        <f t="shared" si="3"/>
        <v>bm</v>
      </c>
      <c r="DD7" s="7" t="str">
        <f t="shared" si="3"/>
        <v>mom</v>
      </c>
      <c r="DE7" s="7" t="str">
        <f t="shared" si="3"/>
        <v>mom</v>
      </c>
      <c r="DF7" s="7" t="str">
        <f t="shared" si="3"/>
        <v>mom</v>
      </c>
      <c r="DG7" s="7" t="str">
        <f t="shared" si="3"/>
        <v>mom</v>
      </c>
      <c r="DH7" s="7" t="str">
        <f t="shared" si="3"/>
        <v>size</v>
      </c>
      <c r="DI7" s="7" t="str">
        <f t="shared" si="3"/>
        <v>mom</v>
      </c>
      <c r="DJ7" s="7" t="str">
        <f t="shared" si="3"/>
        <v>mom</v>
      </c>
      <c r="DK7" s="7" t="str">
        <f t="shared" si="3"/>
        <v>mom</v>
      </c>
      <c r="DL7" s="7" t="str">
        <f t="shared" si="3"/>
        <v>mom</v>
      </c>
      <c r="DM7" s="7" t="str">
        <f t="shared" si="3"/>
        <v>mom</v>
      </c>
      <c r="DN7" s="7" t="str">
        <f t="shared" si="3"/>
        <v>mom</v>
      </c>
      <c r="DO7" s="7" t="str">
        <f t="shared" si="3"/>
        <v>mom</v>
      </c>
      <c r="DP7" s="7" t="str">
        <f t="shared" si="3"/>
        <v>bm</v>
      </c>
      <c r="DQ7" s="7" t="str">
        <f t="shared" si="3"/>
        <v>mom</v>
      </c>
      <c r="DR7" s="7" t="str">
        <f t="shared" si="3"/>
        <v>size</v>
      </c>
      <c r="DS7" s="7" t="str">
        <f t="shared" si="3"/>
        <v>mom</v>
      </c>
      <c r="DT7" s="7" t="str">
        <f t="shared" si="3"/>
        <v>mom</v>
      </c>
      <c r="DU7" s="7" t="str">
        <f t="shared" si="3"/>
        <v>mom</v>
      </c>
      <c r="DV7" s="7" t="str">
        <f t="shared" si="3"/>
        <v>mom</v>
      </c>
      <c r="DW7" s="7" t="str">
        <f t="shared" si="3"/>
        <v>bm</v>
      </c>
      <c r="DX7" s="7" t="str">
        <f t="shared" si="3"/>
        <v>mom</v>
      </c>
      <c r="DY7" s="7" t="str">
        <f t="shared" si="3"/>
        <v>mom</v>
      </c>
      <c r="DZ7" s="7" t="str">
        <f t="shared" si="3"/>
        <v>mom</v>
      </c>
      <c r="EA7" s="7" t="str">
        <f t="shared" ref="EA7:EG7" si="4">IF(EA6=1,"bm",IF(EA6=2,"size",IF(EA6=3,"mom")))</f>
        <v>size</v>
      </c>
      <c r="EB7" s="7" t="str">
        <f t="shared" si="4"/>
        <v>mom</v>
      </c>
      <c r="EC7" s="7" t="str">
        <f t="shared" si="4"/>
        <v>mom</v>
      </c>
      <c r="ED7" s="7" t="str">
        <f t="shared" si="4"/>
        <v>mom</v>
      </c>
      <c r="EE7" s="7" t="str">
        <f t="shared" si="4"/>
        <v>mom</v>
      </c>
      <c r="EF7" s="7" t="str">
        <f t="shared" si="4"/>
        <v>size</v>
      </c>
      <c r="EG7" s="1" t="str">
        <f t="shared" si="4"/>
        <v>bm</v>
      </c>
    </row>
    <row r="8" spans="1:137" x14ac:dyDescent="0.3">
      <c r="C8" s="7">
        <f t="shared" ref="C8:AH8" si="5">IF(C6=1,C3,IF(C6=2,C4,IF(C6=3,C5)))</f>
        <v>-0.20935792122733929</v>
      </c>
      <c r="D8" s="7">
        <f t="shared" si="5"/>
        <v>-0.19625335237819111</v>
      </c>
      <c r="E8" s="7">
        <f t="shared" si="5"/>
        <v>0.52484760680152232</v>
      </c>
      <c r="F8" s="7">
        <f t="shared" si="5"/>
        <v>4.6837059958046809E-2</v>
      </c>
      <c r="G8" s="7">
        <f t="shared" si="5"/>
        <v>-0.2104714261735883</v>
      </c>
      <c r="H8" s="7">
        <f t="shared" si="5"/>
        <v>0.4744149628629204</v>
      </c>
      <c r="I8" s="7">
        <f t="shared" si="5"/>
        <v>-0.196765586355543</v>
      </c>
      <c r="J8" s="7">
        <f t="shared" si="5"/>
        <v>0.27883034253821021</v>
      </c>
      <c r="K8" s="7">
        <f t="shared" si="5"/>
        <v>0.27552845629080469</v>
      </c>
      <c r="L8" s="7">
        <f t="shared" si="5"/>
        <v>-0.43004286310886081</v>
      </c>
      <c r="M8" s="7">
        <f t="shared" si="5"/>
        <v>0.32376774959305898</v>
      </c>
      <c r="N8" s="7">
        <f t="shared" si="5"/>
        <v>-0.34824165047033961</v>
      </c>
      <c r="O8" s="7">
        <f t="shared" si="5"/>
        <v>0.31084678168383018</v>
      </c>
      <c r="P8" s="7">
        <f t="shared" si="5"/>
        <v>0.39546612391174241</v>
      </c>
      <c r="Q8" s="7">
        <f t="shared" si="5"/>
        <v>-0.12307050339382571</v>
      </c>
      <c r="R8" s="7">
        <f t="shared" si="5"/>
        <v>-0.1125584938483795</v>
      </c>
      <c r="S8" s="7">
        <f t="shared" si="5"/>
        <v>0.3057921371194337</v>
      </c>
      <c r="T8" s="7">
        <f t="shared" si="5"/>
        <v>-0.14458476697667119</v>
      </c>
      <c r="U8" s="7">
        <f t="shared" si="5"/>
        <v>-0.26280780822848671</v>
      </c>
      <c r="V8" s="7">
        <f t="shared" si="5"/>
        <v>-0.13936695356286269</v>
      </c>
      <c r="W8" s="7">
        <f t="shared" si="5"/>
        <v>-0.39469012652483237</v>
      </c>
      <c r="X8" s="7">
        <f t="shared" si="5"/>
        <v>-0.16973075948726549</v>
      </c>
      <c r="Y8" s="7">
        <f t="shared" si="5"/>
        <v>-0.68127295831176804</v>
      </c>
      <c r="Z8" s="7">
        <f t="shared" si="5"/>
        <v>0.1030897419422631</v>
      </c>
      <c r="AA8" s="7">
        <f t="shared" si="5"/>
        <v>0.48637748963693123</v>
      </c>
      <c r="AB8" s="7">
        <f t="shared" si="5"/>
        <v>-0.23481983175156351</v>
      </c>
      <c r="AC8" s="7">
        <f t="shared" si="5"/>
        <v>-8.9163225286403025E-2</v>
      </c>
      <c r="AD8" s="7">
        <f t="shared" si="5"/>
        <v>0.14514145822358679</v>
      </c>
      <c r="AE8" s="7">
        <f t="shared" si="5"/>
        <v>7.4669147590605167E-2</v>
      </c>
      <c r="AF8" s="7">
        <f t="shared" si="5"/>
        <v>0.17577042279847119</v>
      </c>
      <c r="AG8" s="7">
        <f t="shared" si="5"/>
        <v>-0.30336041259100399</v>
      </c>
      <c r="AH8" s="7">
        <f t="shared" si="5"/>
        <v>-0.3482499081721625</v>
      </c>
      <c r="AI8" s="7">
        <f t="shared" ref="AI8:BN8" si="6">IF(AI6=1,AI3,IF(AI6=2,AI4,IF(AI6=3,AI5)))</f>
        <v>0.25872371710226461</v>
      </c>
      <c r="AJ8" s="7">
        <f t="shared" si="6"/>
        <v>-0.48889196953357</v>
      </c>
      <c r="AK8" s="7">
        <f t="shared" si="6"/>
        <v>0.13254842946584691</v>
      </c>
      <c r="AL8" s="7">
        <f t="shared" si="6"/>
        <v>0.1873807232887153</v>
      </c>
      <c r="AM8" s="7">
        <f t="shared" si="6"/>
        <v>9.6837349683265961E-2</v>
      </c>
      <c r="AN8" s="7">
        <f t="shared" si="6"/>
        <v>0.2075736584826228</v>
      </c>
      <c r="AO8" s="7">
        <f t="shared" si="6"/>
        <v>0.1844633194704077</v>
      </c>
      <c r="AP8" s="7">
        <f t="shared" si="6"/>
        <v>7.9750638168698984E-2</v>
      </c>
      <c r="AQ8" s="7">
        <f t="shared" si="6"/>
        <v>-0.2114396427417905</v>
      </c>
      <c r="AR8" s="7">
        <f t="shared" si="6"/>
        <v>0.1144314103616733</v>
      </c>
      <c r="AS8" s="7">
        <f t="shared" si="6"/>
        <v>0.14111009314114389</v>
      </c>
      <c r="AT8" s="7">
        <f t="shared" si="6"/>
        <v>0.1516447920969482</v>
      </c>
      <c r="AU8" s="7">
        <f t="shared" si="6"/>
        <v>-0.20083705233961571</v>
      </c>
      <c r="AV8" s="7">
        <f t="shared" si="6"/>
        <v>-0.21769900369851489</v>
      </c>
      <c r="AW8" s="7">
        <f t="shared" si="6"/>
        <v>-0.1741550037979904</v>
      </c>
      <c r="AX8" s="7">
        <f t="shared" si="6"/>
        <v>0.1122931240608864</v>
      </c>
      <c r="AY8" s="7">
        <f t="shared" si="6"/>
        <v>-0.118056117907044</v>
      </c>
      <c r="AZ8" s="7">
        <f t="shared" si="6"/>
        <v>0.20621977214253931</v>
      </c>
      <c r="BA8" s="7">
        <f t="shared" si="6"/>
        <v>0.16049954912817649</v>
      </c>
      <c r="BB8" s="7">
        <f t="shared" si="6"/>
        <v>-0.25246377965845751</v>
      </c>
      <c r="BC8" s="7">
        <f t="shared" si="6"/>
        <v>0.1567368975950931</v>
      </c>
      <c r="BD8" s="7">
        <f t="shared" si="6"/>
        <v>0.16688346547535879</v>
      </c>
      <c r="BE8" s="7">
        <f t="shared" si="6"/>
        <v>-0.13147229447438241</v>
      </c>
      <c r="BF8" s="7">
        <f t="shared" si="6"/>
        <v>-0.28526227318364472</v>
      </c>
      <c r="BG8" s="7">
        <f t="shared" si="6"/>
        <v>0.31531123716866039</v>
      </c>
      <c r="BH8" s="7">
        <f t="shared" si="6"/>
        <v>0.27010117711850462</v>
      </c>
      <c r="BI8" s="7">
        <f t="shared" si="6"/>
        <v>5.812657406460206E-2</v>
      </c>
      <c r="BJ8" s="7">
        <f t="shared" si="6"/>
        <v>-0.25986983403483388</v>
      </c>
      <c r="BK8" s="7">
        <f t="shared" si="6"/>
        <v>0.18487944696901781</v>
      </c>
      <c r="BL8" s="7">
        <f t="shared" si="6"/>
        <v>-0.26913172790454543</v>
      </c>
      <c r="BM8" s="7">
        <f t="shared" si="6"/>
        <v>0.1717381908649544</v>
      </c>
      <c r="BN8" s="7">
        <f t="shared" si="6"/>
        <v>-0.18092216130584951</v>
      </c>
      <c r="BO8" s="7">
        <f t="shared" ref="BO8:CT8" si="7">IF(BO6=1,BO3,IF(BO6=2,BO4,IF(BO6=3,BO5)))</f>
        <v>-0.149287939972541</v>
      </c>
      <c r="BP8" s="7">
        <f t="shared" si="7"/>
        <v>8.3627121253362802E-2</v>
      </c>
      <c r="BQ8" s="7">
        <f t="shared" si="7"/>
        <v>-0.16861046240236999</v>
      </c>
      <c r="BR8" s="7">
        <f t="shared" si="7"/>
        <v>0.21346470331308601</v>
      </c>
      <c r="BS8" s="7">
        <f t="shared" si="7"/>
        <v>0.1244241075337672</v>
      </c>
      <c r="BT8" s="7">
        <f t="shared" si="7"/>
        <v>0.20772231279415901</v>
      </c>
      <c r="BU8" s="7">
        <f t="shared" si="7"/>
        <v>0.1137793780847101</v>
      </c>
      <c r="BV8" s="7">
        <f t="shared" si="7"/>
        <v>0.17197266141593739</v>
      </c>
      <c r="BW8" s="7">
        <f t="shared" si="7"/>
        <v>-0.1268015683060742</v>
      </c>
      <c r="BX8" s="7">
        <f t="shared" si="7"/>
        <v>-0.10582029087279909</v>
      </c>
      <c r="BY8" s="7">
        <f t="shared" si="7"/>
        <v>-0.1826948620902353</v>
      </c>
      <c r="BZ8" s="7">
        <f t="shared" si="7"/>
        <v>-0.14071284467671319</v>
      </c>
      <c r="CA8" s="7">
        <f t="shared" si="7"/>
        <v>7.3472777058867567E-2</v>
      </c>
      <c r="CB8" s="7">
        <f t="shared" si="7"/>
        <v>0.19801890737320349</v>
      </c>
      <c r="CC8" s="7">
        <f t="shared" si="7"/>
        <v>-0.29446404903659129</v>
      </c>
      <c r="CD8" s="7">
        <f t="shared" si="7"/>
        <v>0.32742328506094998</v>
      </c>
      <c r="CE8" s="7">
        <f t="shared" si="7"/>
        <v>0.21879703659667429</v>
      </c>
      <c r="CF8" s="7">
        <f t="shared" si="7"/>
        <v>-0.14937324914413941</v>
      </c>
      <c r="CG8" s="7">
        <f t="shared" si="7"/>
        <v>0.16320028060313421</v>
      </c>
      <c r="CH8" s="7">
        <f t="shared" si="7"/>
        <v>-6.9038325074175663E-2</v>
      </c>
      <c r="CI8" s="7">
        <f t="shared" si="7"/>
        <v>-0.11536214708505139</v>
      </c>
      <c r="CJ8" s="7">
        <f t="shared" si="7"/>
        <v>-0.39111281147264998</v>
      </c>
      <c r="CK8" s="7">
        <f t="shared" si="7"/>
        <v>0.37897350211797709</v>
      </c>
      <c r="CL8" s="7">
        <f t="shared" si="7"/>
        <v>-7.6383453932209341E-2</v>
      </c>
      <c r="CM8" s="7">
        <f t="shared" si="7"/>
        <v>0.18311247425732111</v>
      </c>
      <c r="CN8" s="7">
        <f t="shared" si="7"/>
        <v>-0.39746167912504499</v>
      </c>
      <c r="CO8" s="7">
        <f t="shared" si="7"/>
        <v>0.43716796518582229</v>
      </c>
      <c r="CP8" s="7">
        <f t="shared" si="7"/>
        <v>-9.5682049872747255E-2</v>
      </c>
      <c r="CQ8" s="7">
        <f t="shared" si="7"/>
        <v>-0.49935244279872992</v>
      </c>
      <c r="CR8" s="7">
        <f t="shared" si="7"/>
        <v>0.3398570382696095</v>
      </c>
      <c r="CS8" s="7">
        <f t="shared" si="7"/>
        <v>-0.27901111949972451</v>
      </c>
      <c r="CT8" s="7">
        <f t="shared" si="7"/>
        <v>0.2246197528310597</v>
      </c>
      <c r="CU8" s="7">
        <f t="shared" ref="CU8:DZ8" si="8">IF(CU6=1,CU3,IF(CU6=2,CU4,IF(CU6=3,CU5)))</f>
        <v>-0.25171771168640761</v>
      </c>
      <c r="CV8" s="7">
        <f t="shared" si="8"/>
        <v>0.1117497704879042</v>
      </c>
      <c r="CW8" s="7">
        <f t="shared" si="8"/>
        <v>0.2108770628752098</v>
      </c>
      <c r="CX8" s="7">
        <f t="shared" si="8"/>
        <v>0.25016150139728283</v>
      </c>
      <c r="CY8" s="7">
        <f t="shared" si="8"/>
        <v>-0.52413353929587791</v>
      </c>
      <c r="CZ8" s="7">
        <f t="shared" si="8"/>
        <v>0.8216183061041753</v>
      </c>
      <c r="DA8" s="7">
        <f t="shared" si="8"/>
        <v>0.31254073484350059</v>
      </c>
      <c r="DB8" s="7">
        <f t="shared" si="8"/>
        <v>-0.15564612733519101</v>
      </c>
      <c r="DC8" s="7">
        <f t="shared" si="8"/>
        <v>-0.1869585274246745</v>
      </c>
      <c r="DD8" s="7">
        <f t="shared" si="8"/>
        <v>-0.42083892435479142</v>
      </c>
      <c r="DE8" s="7">
        <f t="shared" si="8"/>
        <v>-0.2279724207651195</v>
      </c>
      <c r="DF8" s="7">
        <f t="shared" si="8"/>
        <v>-0.33715973842927388</v>
      </c>
      <c r="DG8" s="7">
        <f t="shared" si="8"/>
        <v>-0.44400370439279008</v>
      </c>
      <c r="DH8" s="7">
        <f t="shared" si="8"/>
        <v>0.15762567020768259</v>
      </c>
      <c r="DI8" s="7">
        <f t="shared" si="8"/>
        <v>0.30896916307249689</v>
      </c>
      <c r="DJ8" s="7">
        <f t="shared" si="8"/>
        <v>-0.28669247758290828</v>
      </c>
      <c r="DK8" s="7">
        <f t="shared" si="8"/>
        <v>0.84621248517861269</v>
      </c>
      <c r="DL8" s="7">
        <f t="shared" si="8"/>
        <v>-0.16924034367306559</v>
      </c>
      <c r="DM8" s="7">
        <f t="shared" si="8"/>
        <v>-0.43945016692248923</v>
      </c>
      <c r="DN8" s="7">
        <f t="shared" si="8"/>
        <v>0.74751336560070059</v>
      </c>
      <c r="DO8" s="7">
        <f t="shared" si="8"/>
        <v>-0.39996426308914668</v>
      </c>
      <c r="DP8" s="7">
        <f t="shared" si="8"/>
        <v>0.16113140194021491</v>
      </c>
      <c r="DQ8" s="7">
        <f t="shared" si="8"/>
        <v>-0.58863430244229409</v>
      </c>
      <c r="DR8" s="7">
        <f t="shared" si="8"/>
        <v>-0.1292436792863576</v>
      </c>
      <c r="DS8" s="7">
        <f t="shared" si="8"/>
        <v>-0.19878519438361211</v>
      </c>
      <c r="DT8" s="7">
        <f t="shared" si="8"/>
        <v>0.4132117833889476</v>
      </c>
      <c r="DU8" s="7">
        <f t="shared" si="8"/>
        <v>-0.17065403209770361</v>
      </c>
      <c r="DV8" s="7">
        <f t="shared" si="8"/>
        <v>0.68828031734213269</v>
      </c>
      <c r="DW8" s="7">
        <f t="shared" si="8"/>
        <v>6.6155769939567149E-2</v>
      </c>
      <c r="DX8" s="7">
        <f t="shared" si="8"/>
        <v>-0.1999347157162332</v>
      </c>
      <c r="DY8" s="7">
        <f t="shared" si="8"/>
        <v>0.56631420698904078</v>
      </c>
      <c r="DZ8" s="7">
        <f t="shared" si="8"/>
        <v>0.47362880432099852</v>
      </c>
      <c r="EA8" s="7">
        <f t="shared" ref="EA8:EG8" si="9">IF(EA6=1,EA3,IF(EA6=2,EA4,IF(EA6=3,EA5)))</f>
        <v>-0.1948807812701929</v>
      </c>
      <c r="EB8" s="7">
        <f t="shared" si="9"/>
        <v>-1.076360940060376</v>
      </c>
      <c r="EC8" s="7">
        <f t="shared" si="9"/>
        <v>-0.13610628648279391</v>
      </c>
      <c r="ED8" s="7">
        <f t="shared" si="9"/>
        <v>-0.27349656344743889</v>
      </c>
      <c r="EE8" s="7">
        <f t="shared" si="9"/>
        <v>0.60134859370029736</v>
      </c>
      <c r="EF8" s="7">
        <f t="shared" si="9"/>
        <v>0.24381115553913091</v>
      </c>
      <c r="EG8" s="1">
        <f t="shared" si="9"/>
        <v>0</v>
      </c>
    </row>
    <row r="10" spans="1:137" x14ac:dyDescent="0.3">
      <c r="A10" s="22" t="s">
        <v>140</v>
      </c>
      <c r="B10" s="23"/>
      <c r="C10" s="1" t="s">
        <v>141</v>
      </c>
      <c r="D10" s="2">
        <v>964</v>
      </c>
    </row>
    <row r="11" spans="1:137" x14ac:dyDescent="0.3">
      <c r="A11" s="1"/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144</v>
      </c>
    </row>
    <row r="12" spans="1:137" x14ac:dyDescent="0.3">
      <c r="A12" s="1"/>
      <c r="B12" s="1" t="s">
        <v>150</v>
      </c>
      <c r="C12" s="15">
        <v>-3.6350225217569622E-2</v>
      </c>
      <c r="D12" s="15">
        <f>C12+預測IC!D15</f>
        <v>0.33635899039235595</v>
      </c>
      <c r="E12" s="15">
        <f>D12+預測IC!E15</f>
        <v>0.24101438492138549</v>
      </c>
      <c r="F12" s="15">
        <f>E12+預測IC!F15</f>
        <v>0.27593582147808288</v>
      </c>
      <c r="G12" s="15">
        <f>F12+預測IC!G15</f>
        <v>0.24153190051104637</v>
      </c>
      <c r="H12" s="15">
        <f>G12+預測IC!H15</f>
        <v>0.24028817445294126</v>
      </c>
      <c r="I12" s="15">
        <f>H12+預測IC!I15</f>
        <v>0.18185673017307571</v>
      </c>
      <c r="J12" s="15">
        <f>I12+預測IC!J15</f>
        <v>0.23181819542046536</v>
      </c>
      <c r="K12" s="15">
        <f>J12+預測IC!K15</f>
        <v>0.32633299301239627</v>
      </c>
      <c r="L12" s="15">
        <f>K12+預測IC!L15</f>
        <v>0.24516193244375001</v>
      </c>
      <c r="M12" s="15">
        <f>L12+預測IC!M15</f>
        <v>0.24302891600746232</v>
      </c>
      <c r="N12" s="15">
        <f>M12+預測IC!N15</f>
        <v>0.35282511043259601</v>
      </c>
      <c r="O12" s="15">
        <f>N12+預測IC!O15</f>
        <v>0.42658245467891065</v>
      </c>
      <c r="P12" s="15">
        <f>O12+預測IC!P15</f>
        <v>0.44847902452413468</v>
      </c>
      <c r="Q12" s="15">
        <f>P12+預測IC!Q15</f>
        <v>0.60401586663194717</v>
      </c>
      <c r="R12" s="15">
        <f>Q12+預測IC!R15</f>
        <v>0.65614555673706465</v>
      </c>
      <c r="S12" s="15">
        <f>R12+預測IC!S15</f>
        <v>0.74163344694300548</v>
      </c>
      <c r="T12" s="15">
        <f>S12+預測IC!T15</f>
        <v>0.80843357188611753</v>
      </c>
      <c r="U12" s="15">
        <f>T12+預測IC!U15</f>
        <v>0.94540163355338636</v>
      </c>
      <c r="V12" s="15">
        <f>U12+預測IC!V15</f>
        <v>1.0555286398842223</v>
      </c>
      <c r="W12" s="15">
        <f>V12+預測IC!W15</f>
        <v>1.1062000641292129</v>
      </c>
      <c r="X12" s="15">
        <f>W12+預測IC!X15</f>
        <v>1.1846364765748003</v>
      </c>
      <c r="Y12" s="15">
        <f>X12+預測IC!Y15</f>
        <v>1.2366652746319424</v>
      </c>
      <c r="Z12" s="15">
        <f>Y12+預測IC!Z15</f>
        <v>1.2833852466853011</v>
      </c>
      <c r="AA12" s="15">
        <f>Z12+預測IC!AA15</f>
        <v>1.2293040996572675</v>
      </c>
      <c r="AB12" s="15">
        <f>AA12+預測IC!AB15</f>
        <v>1.1456039271414369</v>
      </c>
      <c r="AC12" s="15">
        <f>AB12+預測IC!AC15</f>
        <v>1.149921595989492</v>
      </c>
      <c r="AD12" s="15">
        <f>AC12+預測IC!AD15</f>
        <v>1.0682082211013095</v>
      </c>
      <c r="AE12" s="15">
        <f>AD12+預測IC!AE15</f>
        <v>1.2800008641485816</v>
      </c>
      <c r="AF12" s="15">
        <f>AE12+預測IC!AF15</f>
        <v>1.1422745769709273</v>
      </c>
      <c r="AG12" s="15">
        <f>AF12+預測IC!AG15</f>
        <v>1.0979500327558513</v>
      </c>
      <c r="AH12" s="15">
        <f>AG12+預測IC!AH15</f>
        <v>1.2309173977655741</v>
      </c>
      <c r="AI12" s="15">
        <f>AH12+預測IC!AI15</f>
        <v>1.2060681406330431</v>
      </c>
      <c r="AJ12" s="15">
        <f>AI12+預測IC!AJ15</f>
        <v>1.1723502185138699</v>
      </c>
      <c r="AK12" s="15">
        <f>AJ12+預測IC!AK15</f>
        <v>1.1029887673219534</v>
      </c>
      <c r="AL12" s="15">
        <f>AK12+預測IC!AL15</f>
        <v>1.1474204298177679</v>
      </c>
      <c r="AM12" s="15">
        <f>AL12+預測IC!AM15</f>
        <v>1.202543051952395</v>
      </c>
      <c r="AN12" s="15">
        <f>AM12+預測IC!AN15</f>
        <v>1.3042317578647784</v>
      </c>
      <c r="AO12" s="15">
        <f>AN12+預測IC!AO15</f>
        <v>1.252847237624811</v>
      </c>
      <c r="AP12" s="15">
        <f>AO12+預測IC!AP15</f>
        <v>1.2402652926691653</v>
      </c>
      <c r="AQ12" s="15">
        <f>AP12+預測IC!AQ15</f>
        <v>1.2776324194652871</v>
      </c>
      <c r="AR12" s="15">
        <f>AQ12+預測IC!AR15</f>
        <v>1.2530815997670084</v>
      </c>
      <c r="AS12" s="15">
        <f>AR12+預測IC!AS15</f>
        <v>1.3069027788041223</v>
      </c>
      <c r="AT12" s="15">
        <f>AS12+預測IC!AT15</f>
        <v>1.3778925914078273</v>
      </c>
      <c r="AU12" s="15">
        <f>AT12+預測IC!AU15</f>
        <v>1.4550666686577891</v>
      </c>
      <c r="AV12" s="15">
        <f>AU12+預測IC!AV15</f>
        <v>1.4882919708761677</v>
      </c>
      <c r="AW12" s="15">
        <f>AV12+預測IC!AW15</f>
        <v>1.4726320316215868</v>
      </c>
      <c r="AX12" s="15">
        <f>AW12+預測IC!AX15</f>
        <v>1.3912714656668188</v>
      </c>
      <c r="AY12" s="15">
        <f>AX12+預測IC!AY15</f>
        <v>1.3622658063663271</v>
      </c>
      <c r="AZ12" s="15">
        <f>AY12+預測IC!AZ15</f>
        <v>1.2944194772476767</v>
      </c>
      <c r="BA12" s="15">
        <f>AZ12+預測IC!BA15</f>
        <v>1.3050329920553296</v>
      </c>
      <c r="BB12" s="15">
        <f>BA12+預測IC!BB15</f>
        <v>1.4138220918714524</v>
      </c>
      <c r="BC12" s="15">
        <f>BB12+預測IC!BC15</f>
        <v>1.4759772355392826</v>
      </c>
      <c r="BD12" s="15">
        <f>BC12+預測IC!BD15</f>
        <v>1.5290205094440787</v>
      </c>
      <c r="BE12" s="15">
        <f>BD12+預測IC!BE15</f>
        <v>1.4805777884264155</v>
      </c>
      <c r="BF12" s="15">
        <f>BE12+預測IC!BF15</f>
        <v>1.6914498759164029</v>
      </c>
      <c r="BG12" s="15">
        <f>BF12+預測IC!BG15</f>
        <v>1.6939394146509681</v>
      </c>
      <c r="BH12" s="15">
        <f>BG12+預測IC!BH15</f>
        <v>1.7283812601326576</v>
      </c>
      <c r="BI12" s="15">
        <f>BH12+預測IC!BI15</f>
        <v>1.7495403745393971</v>
      </c>
      <c r="BJ12" s="15">
        <f>BI12+預測IC!BJ15</f>
        <v>1.8796506295755666</v>
      </c>
      <c r="BK12" s="15">
        <f>BJ12+預測IC!BK15</f>
        <v>1.9252555618759801</v>
      </c>
      <c r="BL12" s="15">
        <f>BK12+預測IC!BL15</f>
        <v>1.9850109828503011</v>
      </c>
      <c r="BM12" s="15">
        <f>BL12+預測IC!BM15</f>
        <v>2.0332299873380451</v>
      </c>
      <c r="BN12" s="15">
        <f>BM12+預測IC!BN15</f>
        <v>2.0969507147490569</v>
      </c>
      <c r="BO12" s="15">
        <f>BN12+預測IC!BO15</f>
        <v>2.0692162387941258</v>
      </c>
      <c r="BP12" s="15">
        <f>BO12+預測IC!BP15</f>
        <v>2.017599384322061</v>
      </c>
      <c r="BQ12" s="15">
        <f>BP12+預測IC!BQ15</f>
        <v>1.9741681308291652</v>
      </c>
      <c r="BR12" s="15">
        <f>BQ12+預測IC!BR15</f>
        <v>1.9240107017071055</v>
      </c>
      <c r="BS12" s="15">
        <f>BR12+預測IC!BS15</f>
        <v>1.9121447907984939</v>
      </c>
      <c r="BT12" s="15">
        <f>BS12+預測IC!BT15</f>
        <v>1.8522938547066432</v>
      </c>
      <c r="BU12" s="15">
        <f>BT12+預測IC!BU15</f>
        <v>1.8717702745024367</v>
      </c>
      <c r="BV12" s="15">
        <f>BU12+預測IC!BV15</f>
        <v>1.7855901377865167</v>
      </c>
      <c r="BW12" s="15">
        <f>BV12+預測IC!BW15</f>
        <v>2.0844691273624445</v>
      </c>
      <c r="BX12" s="15">
        <f>BW12+預測IC!BX15</f>
        <v>2.0306175584179806</v>
      </c>
      <c r="BY12" s="15">
        <f>BX12+預測IC!BY15</f>
        <v>1.9372791659541437</v>
      </c>
      <c r="BZ12" s="15">
        <f>BY12+預測IC!BZ15</f>
        <v>1.8343726969767964</v>
      </c>
      <c r="CA12" s="15">
        <f>BZ12+預測IC!CA15</f>
        <v>1.8157806761803541</v>
      </c>
      <c r="CB12" s="15">
        <f>CA12+預測IC!CB15</f>
        <v>1.6846892733962928</v>
      </c>
      <c r="CC12" s="15">
        <f>CB12+預測IC!CC15</f>
        <v>1.8583409791184127</v>
      </c>
      <c r="CD12" s="15">
        <f>CC12+預測IC!CD15</f>
        <v>1.811226510989739</v>
      </c>
      <c r="CE12" s="15">
        <f>CD12+預測IC!CE15</f>
        <v>1.6947099419196183</v>
      </c>
      <c r="CF12" s="15">
        <f>CE12+預測IC!CF15</f>
        <v>1.7360593717875858</v>
      </c>
      <c r="CG12" s="15">
        <f>CF12+預測IC!CG15</f>
        <v>1.6501733502574221</v>
      </c>
      <c r="CH12" s="15">
        <f>CG12+預測IC!CH15</f>
        <v>1.7315159582407502</v>
      </c>
      <c r="CI12" s="15">
        <f>CH12+預測IC!CI15</f>
        <v>1.7290050194604178</v>
      </c>
      <c r="CJ12" s="15">
        <f>CI12+預測IC!CJ15</f>
        <v>1.8160493755331359</v>
      </c>
      <c r="CK12" s="15">
        <f>CJ12+預測IC!CK15</f>
        <v>1.9116901237058412</v>
      </c>
      <c r="CL12" s="15">
        <f>CK12+預測IC!CL15</f>
        <v>1.7500356506626646</v>
      </c>
      <c r="CM12" s="15">
        <f>CL12+預測IC!CM15</f>
        <v>1.8246667667911185</v>
      </c>
      <c r="CN12" s="15">
        <f>CM12+預測IC!CN15</f>
        <v>1.8673008825902788</v>
      </c>
      <c r="CO12" s="15">
        <f>CN12+預測IC!CO15</f>
        <v>1.7603216383907108</v>
      </c>
      <c r="CP12" s="15">
        <f>CO12+預測IC!CP15</f>
        <v>1.6327858029577611</v>
      </c>
      <c r="CQ12" s="15">
        <f>CP12+預測IC!CQ15</f>
        <v>1.6078224425013223</v>
      </c>
      <c r="CR12" s="15">
        <f>CQ12+預測IC!CR15</f>
        <v>1.4263335102655872</v>
      </c>
      <c r="CS12" s="15">
        <f>CR12+預測IC!CS15</f>
        <v>1.4432444969698428</v>
      </c>
      <c r="CT12" s="15">
        <f>CS12+預測IC!CT15</f>
        <v>1.4481861673354548</v>
      </c>
      <c r="CU12" s="15">
        <f>CT12+預測IC!CU15</f>
        <v>1.5722360987493229</v>
      </c>
      <c r="CV12" s="15">
        <f>CU12+預測IC!CV15</f>
        <v>1.511791603059933</v>
      </c>
      <c r="CW12" s="15">
        <f>CV12+預測IC!CW15</f>
        <v>1.5378636939630597</v>
      </c>
      <c r="CX12" s="15">
        <f>CW12+預測IC!CX15</f>
        <v>1.3854759150714917</v>
      </c>
      <c r="CY12" s="15">
        <f>CX12+預測IC!CY15</f>
        <v>1.2925280107361337</v>
      </c>
      <c r="CZ12" s="15">
        <f>CY12+預測IC!CZ15</f>
        <v>1.2687646755956516</v>
      </c>
      <c r="DA12" s="15">
        <f>CZ12+預測IC!DA15</f>
        <v>1.242388840153775</v>
      </c>
      <c r="DB12" s="15">
        <f>DA12+預測IC!DB15</f>
        <v>1.2726154583678988</v>
      </c>
      <c r="DC12" s="15">
        <f>DB12+預測IC!DC15</f>
        <v>1.2375403083933167</v>
      </c>
      <c r="DD12" s="15">
        <f>DC12+預測IC!DD15</f>
        <v>1.252047034524763</v>
      </c>
      <c r="DE12" s="15">
        <f>DD12+預測IC!DE15</f>
        <v>1.3092106692560155</v>
      </c>
      <c r="DF12" s="15">
        <f>DE12+預測IC!DF15</f>
        <v>1.3152651955286196</v>
      </c>
      <c r="DG12" s="15">
        <f>DF12+預測IC!DG15</f>
        <v>1.4283567583689794</v>
      </c>
      <c r="DH12" s="15">
        <f>DG12+預測IC!DH15</f>
        <v>1.2987348227011224</v>
      </c>
      <c r="DI12" s="15">
        <f>DH12+預測IC!DI15</f>
        <v>1.3528431413582527</v>
      </c>
      <c r="DJ12" s="15">
        <f>DI12+預測IC!DJ15</f>
        <v>1.2928193646671955</v>
      </c>
      <c r="DK12" s="15">
        <f>DJ12+預測IC!DK15</f>
        <v>1.220630766861398</v>
      </c>
      <c r="DL12" s="15">
        <f>DK12+預測IC!DL15</f>
        <v>1.220934760064226</v>
      </c>
      <c r="DM12" s="15">
        <f>DL12+預測IC!DM15</f>
        <v>1.2599868767578917</v>
      </c>
      <c r="DN12" s="15">
        <f>DM12+預測IC!DN15</f>
        <v>1.3417175890090207</v>
      </c>
      <c r="DO12" s="15">
        <f>DN12+預測IC!DO15</f>
        <v>1.3758220047581178</v>
      </c>
      <c r="DP12" s="15">
        <f>DO12+預測IC!DP15</f>
        <v>1.3995576067650104</v>
      </c>
      <c r="DQ12" s="15">
        <f>DP12+預測IC!DQ15</f>
        <v>1.362518917812813</v>
      </c>
      <c r="DR12" s="15">
        <f>DQ12+預測IC!DR15</f>
        <v>1.3404836528179389</v>
      </c>
      <c r="DS12" s="15">
        <f>DR12+預測IC!DS15</f>
        <v>1.3309121103591743</v>
      </c>
      <c r="DT12" s="15">
        <f>DS12+預測IC!DT15</f>
        <v>1.3836309003482439</v>
      </c>
      <c r="DU12" s="15">
        <f>DT12+預測IC!DU15</f>
        <v>1.194990255445856</v>
      </c>
      <c r="DV12" s="15">
        <f>DU12+預測IC!DV15</f>
        <v>1.1482625260926163</v>
      </c>
      <c r="DW12" s="15">
        <f>DV12+預測IC!DW15</f>
        <v>1.1738011532394488</v>
      </c>
      <c r="DX12" s="15">
        <f>DW12+預測IC!DX15</f>
        <v>1.1522554829189688</v>
      </c>
      <c r="DY12" s="15">
        <f>DX12+預測IC!DY15</f>
        <v>1.06858184822643</v>
      </c>
      <c r="DZ12" s="15">
        <f>DY12+預測IC!DZ15</f>
        <v>1.105178345990234</v>
      </c>
      <c r="EA12" s="15">
        <f>DZ12+預測IC!EA15</f>
        <v>1.2143552789001126</v>
      </c>
      <c r="EB12" s="15">
        <f>EA12+預測IC!EB15</f>
        <v>1.3024427284273674</v>
      </c>
      <c r="EC12" s="15">
        <f>EB12+預測IC!EC15</f>
        <v>1.2262856516307477</v>
      </c>
      <c r="ED12" s="15">
        <f>EC12+預測IC!ED15</f>
        <v>1.1156256171425274</v>
      </c>
      <c r="EE12" s="15">
        <f>ED12+預測IC!EE15</f>
        <v>1.0662814372023679</v>
      </c>
      <c r="EF12" s="15">
        <f>EE12+預測IC!EF15</f>
        <v>1.0366353821303618</v>
      </c>
    </row>
    <row r="13" spans="1:137" x14ac:dyDescent="0.3">
      <c r="A13" s="1"/>
      <c r="B13" s="1" t="s">
        <v>151</v>
      </c>
      <c r="C13" s="15">
        <v>-3.9435389831589431E-2</v>
      </c>
      <c r="D13" s="15">
        <f>C13+預測IC!D16</f>
        <v>0.36875958890099114</v>
      </c>
      <c r="E13" s="15">
        <f>D13+預測IC!E16</f>
        <v>0.28205541747243784</v>
      </c>
      <c r="F13" s="15">
        <f>E13+預測IC!F16</f>
        <v>0.36077088937676882</v>
      </c>
      <c r="G13" s="15">
        <f>F13+預測IC!G16</f>
        <v>0.35262433871781956</v>
      </c>
      <c r="H13" s="15">
        <f>G13+預測IC!H16</f>
        <v>0.35197498926099652</v>
      </c>
      <c r="I13" s="15">
        <f>H13+預測IC!I16</f>
        <v>0.29444437059537509</v>
      </c>
      <c r="J13" s="15">
        <f>I13+預測IC!J16</f>
        <v>0.34115429663804125</v>
      </c>
      <c r="K13" s="15">
        <f>J13+預測IC!K16</f>
        <v>0.42757518822043183</v>
      </c>
      <c r="L13" s="15">
        <f>K13+預測IC!L16</f>
        <v>0.34241358410622041</v>
      </c>
      <c r="M13" s="15">
        <f>L13+預測IC!M16</f>
        <v>0.32842614824430333</v>
      </c>
      <c r="N13" s="15">
        <f>M13+預測IC!N16</f>
        <v>0.44866864652350003</v>
      </c>
      <c r="O13" s="15">
        <f>N13+預測IC!O16</f>
        <v>0.52849550709461712</v>
      </c>
      <c r="P13" s="15">
        <f>O13+預測IC!P16</f>
        <v>0.53668368660894905</v>
      </c>
      <c r="Q13" s="15">
        <f>P13+預測IC!Q16</f>
        <v>0.69458675703328709</v>
      </c>
      <c r="R13" s="15">
        <f>Q13+預測IC!R16</f>
        <v>0.74357773531621363</v>
      </c>
      <c r="S13" s="15">
        <f>R13+預測IC!S16</f>
        <v>0.85343677965102027</v>
      </c>
      <c r="T13" s="15">
        <f>S13+預測IC!T16</f>
        <v>0.92065583980862153</v>
      </c>
      <c r="U13" s="15">
        <f>T13+預測IC!U16</f>
        <v>1.050718311238366</v>
      </c>
      <c r="V13" s="15">
        <f>U13+預測IC!V16</f>
        <v>1.126289797347273</v>
      </c>
      <c r="W13" s="15">
        <f>V13+預測IC!W16</f>
        <v>1.2279211544784483</v>
      </c>
      <c r="X13" s="15">
        <f>W13+預測IC!X16</f>
        <v>1.3015994321359154</v>
      </c>
      <c r="Y13" s="15">
        <f>X13+預測IC!Y16</f>
        <v>1.351878266596978</v>
      </c>
      <c r="Z13" s="15">
        <f>Y13+預測IC!Z16</f>
        <v>1.3949361974811896</v>
      </c>
      <c r="AA13" s="15">
        <f>Z13+預測IC!AA16</f>
        <v>1.3514485616451974</v>
      </c>
      <c r="AB13" s="15">
        <f>AA13+預測IC!AB16</f>
        <v>1.276463520007217</v>
      </c>
      <c r="AC13" s="15">
        <f>AB13+預測IC!AC16</f>
        <v>1.2636980719718003</v>
      </c>
      <c r="AD13" s="15">
        <f>AC13+預測IC!AD16</f>
        <v>1.2105620164239435</v>
      </c>
      <c r="AE13" s="15">
        <f>AD13+預測IC!AE16</f>
        <v>1.420190257600854</v>
      </c>
      <c r="AF13" s="15">
        <f>AE13+預測IC!AF16</f>
        <v>1.2722746473364275</v>
      </c>
      <c r="AG13" s="15">
        <f>AF13+預測IC!AG16</f>
        <v>1.2284984876006551</v>
      </c>
      <c r="AH13" s="15">
        <f>AG13+預測IC!AH16</f>
        <v>1.3769001127678075</v>
      </c>
      <c r="AI13" s="15">
        <f>AH13+預測IC!AI16</f>
        <v>1.3435168570961602</v>
      </c>
      <c r="AJ13" s="15">
        <f>AI13+預測IC!AJ16</f>
        <v>1.2953963785598299</v>
      </c>
      <c r="AK13" s="15">
        <f>AJ13+預測IC!AK16</f>
        <v>1.257962925578342</v>
      </c>
      <c r="AL13" s="15">
        <f>AK13+預測IC!AL16</f>
        <v>1.3066518586828653</v>
      </c>
      <c r="AM13" s="15">
        <f>AL13+預測IC!AM16</f>
        <v>1.3727285892846632</v>
      </c>
      <c r="AN13" s="15">
        <f>AM13+預測IC!AN16</f>
        <v>1.4791847893743388</v>
      </c>
      <c r="AO13" s="15">
        <f>AN13+預測IC!AO16</f>
        <v>1.4380946360125977</v>
      </c>
      <c r="AP13" s="15">
        <f>AO13+預測IC!AP16</f>
        <v>1.4328547464492527</v>
      </c>
      <c r="AQ13" s="15">
        <f>AP13+預測IC!AQ16</f>
        <v>1.4713209465953212</v>
      </c>
      <c r="AR13" s="15">
        <f>AQ13+預測IC!AR16</f>
        <v>1.4388281868752575</v>
      </c>
      <c r="AS13" s="15">
        <f>AR13+預測IC!AS16</f>
        <v>1.5038964123492269</v>
      </c>
      <c r="AT13" s="15">
        <f>AS13+預測IC!AT16</f>
        <v>1.6264604556995117</v>
      </c>
      <c r="AU13" s="15">
        <f>AT13+預測IC!AU16</f>
        <v>1.7085507275425136</v>
      </c>
      <c r="AV13" s="15">
        <f>AU13+預測IC!AV16</f>
        <v>1.7321596038905724</v>
      </c>
      <c r="AW13" s="15">
        <f>AV13+預測IC!AW16</f>
        <v>1.6929066738159217</v>
      </c>
      <c r="AX13" s="15">
        <f>AW13+預測IC!AX16</f>
        <v>1.5922853447145189</v>
      </c>
      <c r="AY13" s="15">
        <f>AX13+預測IC!AY16</f>
        <v>1.5726834911153798</v>
      </c>
      <c r="AZ13" s="15">
        <f>AY13+預測IC!AZ16</f>
        <v>1.484533309594807</v>
      </c>
      <c r="BA13" s="15">
        <f>AZ13+預測IC!BA16</f>
        <v>1.499456414652393</v>
      </c>
      <c r="BB13" s="15">
        <f>BA13+預測IC!BB16</f>
        <v>1.6319311522489648</v>
      </c>
      <c r="BC13" s="15">
        <f>BB13+預測IC!BC16</f>
        <v>1.6990526183566566</v>
      </c>
      <c r="BD13" s="15">
        <f>BC13+預測IC!BD16</f>
        <v>1.7349893299025605</v>
      </c>
      <c r="BE13" s="15">
        <f>BD13+預測IC!BE16</f>
        <v>1.6835783355080856</v>
      </c>
      <c r="BF13" s="15">
        <f>BE13+預測IC!BF16</f>
        <v>1.9313651946085457</v>
      </c>
      <c r="BG13" s="15">
        <f>BF13+預測IC!BG16</f>
        <v>1.9448384766565023</v>
      </c>
      <c r="BH13" s="15">
        <f>BG13+預測IC!BH16</f>
        <v>1.9310628621725405</v>
      </c>
      <c r="BI13" s="15">
        <f>BH13+預測IC!BI16</f>
        <v>1.9800528026054516</v>
      </c>
      <c r="BJ13" s="15">
        <f>BI13+預測IC!BJ16</f>
        <v>2.0766196061309898</v>
      </c>
      <c r="BK13" s="15">
        <f>BJ13+預測IC!BK16</f>
        <v>2.1279912306570012</v>
      </c>
      <c r="BL13" s="15">
        <f>BK13+預測IC!BL16</f>
        <v>2.1891648301414715</v>
      </c>
      <c r="BM13" s="15">
        <f>BL13+預測IC!BM16</f>
        <v>2.2286628156325774</v>
      </c>
      <c r="BN13" s="15">
        <f>BM13+預測IC!BN16</f>
        <v>2.2899675655424621</v>
      </c>
      <c r="BO13" s="15">
        <f>BN13+預測IC!BO16</f>
        <v>2.2680772055888045</v>
      </c>
      <c r="BP13" s="15">
        <f>BO13+預測IC!BP16</f>
        <v>2.2103271449083488</v>
      </c>
      <c r="BQ13" s="15">
        <f>BP13+預測IC!BQ16</f>
        <v>2.1866364262411015</v>
      </c>
      <c r="BR13" s="15">
        <f>BQ13+預測IC!BR16</f>
        <v>2.1603395782196571</v>
      </c>
      <c r="BS13" s="15">
        <f>BR13+預測IC!BS16</f>
        <v>2.1283325910267741</v>
      </c>
      <c r="BT13" s="15">
        <f>BS13+預測IC!BT16</f>
        <v>2.0816717085332557</v>
      </c>
      <c r="BU13" s="15">
        <f>BT13+預測IC!BU16</f>
        <v>2.1394368187180559</v>
      </c>
      <c r="BV13" s="15">
        <f>BU13+預測IC!BV16</f>
        <v>2.0449263502511306</v>
      </c>
      <c r="BW13" s="15">
        <f>BV13+預測IC!BW16</f>
        <v>2.3628971847894977</v>
      </c>
      <c r="BX13" s="15">
        <f>BW13+預測IC!BX16</f>
        <v>2.2963376656714147</v>
      </c>
      <c r="BY13" s="15">
        <f>BX13+預測IC!BY16</f>
        <v>2.1773429576181362</v>
      </c>
      <c r="BZ13" s="15">
        <f>BY13+預測IC!BZ16</f>
        <v>2.065817109116487</v>
      </c>
      <c r="CA13" s="15">
        <f>BZ13+預測IC!CA16</f>
        <v>2.0361027193609238</v>
      </c>
      <c r="CB13" s="15">
        <f>CA13+預測IC!CB16</f>
        <v>1.8967939834275898</v>
      </c>
      <c r="CC13" s="15">
        <f>CB13+預測IC!CC16</f>
        <v>1.9411821365977955</v>
      </c>
      <c r="CD13" s="15">
        <f>CC13+預測IC!CD16</f>
        <v>1.8801936107240655</v>
      </c>
      <c r="CE13" s="15">
        <f>CD13+預測IC!CE16</f>
        <v>1.7475985499305542</v>
      </c>
      <c r="CF13" s="15">
        <f>CE13+預測IC!CF16</f>
        <v>1.8003986342658351</v>
      </c>
      <c r="CG13" s="15">
        <f>CF13+預測IC!CG16</f>
        <v>1.7386707561191685</v>
      </c>
      <c r="CH13" s="15">
        <f>CG13+預測IC!CH16</f>
        <v>1.7891194808231647</v>
      </c>
      <c r="CI13" s="15">
        <f>CH13+預測IC!CI16</f>
        <v>1.784878812711014</v>
      </c>
      <c r="CJ13" s="15">
        <f>CI13+預測IC!CJ16</f>
        <v>1.8304023634986806</v>
      </c>
      <c r="CK13" s="15">
        <f>CJ13+預測IC!CK16</f>
        <v>1.9188250532802882</v>
      </c>
      <c r="CL13" s="15">
        <f>CK13+預測IC!CL16</f>
        <v>1.7220846151210745</v>
      </c>
      <c r="CM13" s="15">
        <f>CL13+預測IC!CM16</f>
        <v>1.8110732432705861</v>
      </c>
      <c r="CN13" s="15">
        <f>CM13+預測IC!CN16</f>
        <v>1.8441307584115361</v>
      </c>
      <c r="CO13" s="15">
        <f>CN13+預測IC!CO16</f>
        <v>1.7094905496176307</v>
      </c>
      <c r="CP13" s="15">
        <f>CO13+預測IC!CP16</f>
        <v>1.5728588601355393</v>
      </c>
      <c r="CQ13" s="15">
        <f>CP13+預測IC!CQ16</f>
        <v>1.5525250803151784</v>
      </c>
      <c r="CR13" s="15">
        <f>CQ13+預測IC!CR16</f>
        <v>1.3632385468477801</v>
      </c>
      <c r="CS13" s="15">
        <f>CR13+預測IC!CS16</f>
        <v>1.3850455557574022</v>
      </c>
      <c r="CT13" s="15">
        <f>CS13+預測IC!CT16</f>
        <v>1.4106029337182369</v>
      </c>
      <c r="CU13" s="15">
        <f>CT13+預測IC!CU16</f>
        <v>1.546074634582443</v>
      </c>
      <c r="CV13" s="15">
        <f>CU13+預測IC!CV16</f>
        <v>1.486620641796607</v>
      </c>
      <c r="CW13" s="15">
        <f>CV13+預測IC!CW16</f>
        <v>1.5339623009708869</v>
      </c>
      <c r="CX13" s="15">
        <f>CW13+預測IC!CX16</f>
        <v>1.3716963256682708</v>
      </c>
      <c r="CY13" s="15">
        <f>CX13+預測IC!CY16</f>
        <v>1.2904156877940567</v>
      </c>
      <c r="CZ13" s="15">
        <f>CY13+預測IC!CZ16</f>
        <v>1.2576908655519126</v>
      </c>
      <c r="DA13" s="15">
        <f>CZ13+預測IC!DA16</f>
        <v>1.2278860715846771</v>
      </c>
      <c r="DB13" s="15">
        <f>DA13+預測IC!DB16</f>
        <v>1.2705982413649031</v>
      </c>
      <c r="DC13" s="15">
        <f>DB13+預測IC!DC16</f>
        <v>1.2276558790444028</v>
      </c>
      <c r="DD13" s="15">
        <f>DC13+預測IC!DD16</f>
        <v>1.2593995895316827</v>
      </c>
      <c r="DE13" s="15">
        <f>DD13+預測IC!DE16</f>
        <v>1.2939519898904728</v>
      </c>
      <c r="DF13" s="15">
        <f>DE13+預測IC!DF16</f>
        <v>1.2966500034427988</v>
      </c>
      <c r="DG13" s="15">
        <f>DF13+預測IC!DG16</f>
        <v>1.4230219232932715</v>
      </c>
      <c r="DH13" s="15">
        <f>DG13+預測IC!DH16</f>
        <v>1.2858741628807633</v>
      </c>
      <c r="DI13" s="15">
        <f>DH13+預測IC!DI16</f>
        <v>1.3312736607820246</v>
      </c>
      <c r="DJ13" s="15">
        <f>DI13+預測IC!DJ16</f>
        <v>1.260318608345139</v>
      </c>
      <c r="DK13" s="15">
        <f>DJ13+預測IC!DK16</f>
        <v>1.2026328389978795</v>
      </c>
      <c r="DL13" s="15">
        <f>DK13+預測IC!DL16</f>
        <v>1.2245057132476538</v>
      </c>
      <c r="DM13" s="15">
        <f>DL13+預測IC!DM16</f>
        <v>1.243416087416197</v>
      </c>
      <c r="DN13" s="15">
        <f>DM13+預測IC!DN16</f>
        <v>1.3593028191611887</v>
      </c>
      <c r="DO13" s="15">
        <f>DN13+預測IC!DO16</f>
        <v>1.4058666856409667</v>
      </c>
      <c r="DP13" s="15">
        <f>DO13+預測IC!DP16</f>
        <v>1.4257086342201928</v>
      </c>
      <c r="DQ13" s="15">
        <f>DP13+預測IC!DQ16</f>
        <v>1.3786384782156611</v>
      </c>
      <c r="DR13" s="15">
        <f>DQ13+預測IC!DR16</f>
        <v>1.3674603105665597</v>
      </c>
      <c r="DS13" s="15">
        <f>DR13+預測IC!DS16</f>
        <v>1.3778833349430746</v>
      </c>
      <c r="DT13" s="15">
        <f>DS13+預測IC!DT16</f>
        <v>1.4369963100212606</v>
      </c>
      <c r="DU13" s="15">
        <f>DT13+預測IC!DU16</f>
        <v>1.2468880675753422</v>
      </c>
      <c r="DV13" s="15">
        <f>DU13+預測IC!DV16</f>
        <v>1.2011597504028553</v>
      </c>
      <c r="DW13" s="15">
        <f>DV13+預測IC!DW16</f>
        <v>1.242077480102546</v>
      </c>
      <c r="DX13" s="15">
        <f>DW13+預測IC!DX16</f>
        <v>1.2201297523265051</v>
      </c>
      <c r="DY13" s="15">
        <f>DX13+預測IC!DY16</f>
        <v>1.1251448881052681</v>
      </c>
      <c r="DZ13" s="15">
        <f>DY13+預測IC!DZ16</f>
        <v>1.1377940596910574</v>
      </c>
      <c r="EA13" s="15">
        <f>DZ13+預測IC!EA16</f>
        <v>1.2775930784344471</v>
      </c>
      <c r="EB13" s="15">
        <f>EA13+預測IC!EB16</f>
        <v>1.3782721791116488</v>
      </c>
      <c r="EC13" s="15">
        <f>EB13+預測IC!EC16</f>
        <v>1.3097706985438098</v>
      </c>
      <c r="ED13" s="15">
        <f>EC13+預測IC!ED16</f>
        <v>1.1950714709028929</v>
      </c>
      <c r="EE13" s="15">
        <f>ED13+預測IC!EE16</f>
        <v>1.135830474247707</v>
      </c>
      <c r="EF13" s="15">
        <f>EE13+預測IC!EF16</f>
        <v>1.1012798382677274</v>
      </c>
    </row>
    <row r="14" spans="1:137" x14ac:dyDescent="0.3">
      <c r="A14" s="1"/>
      <c r="B14" s="1" t="s">
        <v>152</v>
      </c>
      <c r="C14" s="15">
        <v>-5.9146797802220617E-2</v>
      </c>
      <c r="D14" s="15">
        <f>C14+預測IC!D18</f>
        <v>0.34273688361984739</v>
      </c>
      <c r="E14" s="15">
        <f>D14+預測IC!E18</f>
        <v>0.24226126061675518</v>
      </c>
      <c r="F14" s="15">
        <f>E14+預測IC!F18</f>
        <v>0.36164422071894498</v>
      </c>
      <c r="G14" s="15">
        <f>F14+預測IC!G18</f>
        <v>0.25332784743386499</v>
      </c>
      <c r="H14" s="15">
        <f>G14+預測IC!H18</f>
        <v>0.26195007518830932</v>
      </c>
      <c r="I14" s="15">
        <f>H14+預測IC!I18</f>
        <v>0.12644989496506823</v>
      </c>
      <c r="J14" s="15">
        <f>I14+預測IC!J18</f>
        <v>0.16986141071670985</v>
      </c>
      <c r="K14" s="15">
        <f>J14+預測IC!K18</f>
        <v>0.30550929949434213</v>
      </c>
      <c r="L14" s="15">
        <f>K14+預測IC!L18</f>
        <v>0.25475109238762311</v>
      </c>
      <c r="M14" s="15">
        <f>L14+預測IC!M18</f>
        <v>0.28380255676408045</v>
      </c>
      <c r="N14" s="15">
        <f>M14+預測IC!N18</f>
        <v>0.42501004526037656</v>
      </c>
      <c r="O14" s="15">
        <f>N14+預測IC!O18</f>
        <v>0.52868053488999578</v>
      </c>
      <c r="P14" s="15">
        <f>O14+預測IC!P18</f>
        <v>0.53700862074390476</v>
      </c>
      <c r="Q14" s="15">
        <f>P14+預測IC!Q18</f>
        <v>0.72598403943339462</v>
      </c>
      <c r="R14" s="15">
        <f>Q14+預測IC!R18</f>
        <v>0.78747627730536962</v>
      </c>
      <c r="S14" s="15">
        <f>R14+預測IC!S18</f>
        <v>0.93128150460426884</v>
      </c>
      <c r="T14" s="15">
        <f>S14+預測IC!T18</f>
        <v>0.9855259446358775</v>
      </c>
      <c r="U14" s="15">
        <f>T14+預測IC!U18</f>
        <v>1.1180209690656966</v>
      </c>
      <c r="V14" s="15">
        <f>U14+預測IC!V18</f>
        <v>1.2394124304916223</v>
      </c>
      <c r="W14" s="15">
        <f>V14+預測IC!W18</f>
        <v>1.4055472597609213</v>
      </c>
      <c r="X14" s="15">
        <f>W14+預測IC!X18</f>
        <v>1.5326700683864116</v>
      </c>
      <c r="Y14" s="15">
        <f>X14+預測IC!Y18</f>
        <v>1.6365493122952228</v>
      </c>
      <c r="Z14" s="15">
        <f>Y14+預測IC!Z18</f>
        <v>1.7257836757357456</v>
      </c>
      <c r="AA14" s="15">
        <f>Z14+預測IC!AA18</f>
        <v>1.6840784305530216</v>
      </c>
      <c r="AB14" s="15">
        <f>AA14+預測IC!AB18</f>
        <v>1.5993801308225375</v>
      </c>
      <c r="AC14" s="15">
        <f>AB14+預測IC!AC18</f>
        <v>1.6007455512993698</v>
      </c>
      <c r="AD14" s="15">
        <f>AC14+預測IC!AD18</f>
        <v>1.5283017622108384</v>
      </c>
      <c r="AE14" s="15">
        <f>AD14+預測IC!AE18</f>
        <v>1.7866931111260469</v>
      </c>
      <c r="AF14" s="15">
        <f>AE14+預測IC!AF18</f>
        <v>1.6361494713019735</v>
      </c>
      <c r="AG14" s="15">
        <f>AF14+預測IC!AG18</f>
        <v>1.5544294914092198</v>
      </c>
      <c r="AH14" s="15">
        <f>AG14+預測IC!AH18</f>
        <v>1.7174979962340695</v>
      </c>
      <c r="AI14" s="15">
        <f>AH14+預測IC!AI18</f>
        <v>1.6360742461828999</v>
      </c>
      <c r="AJ14" s="15">
        <f>AI14+預測IC!AJ18</f>
        <v>1.5652070285212973</v>
      </c>
      <c r="AK14" s="15">
        <f>AJ14+預測IC!AK18</f>
        <v>1.542374143159301</v>
      </c>
      <c r="AL14" s="15">
        <f>AK14+預測IC!AL18</f>
        <v>1.5899019067915587</v>
      </c>
      <c r="AM14" s="15">
        <f>AL14+預測IC!AM18</f>
        <v>1.6565453122163301</v>
      </c>
      <c r="AN14" s="15">
        <f>AM14+預測IC!AN18</f>
        <v>1.7358399521715318</v>
      </c>
      <c r="AO14" s="15">
        <f>AN14+預測IC!AO18</f>
        <v>1.7604242326163386</v>
      </c>
      <c r="AP14" s="15">
        <f>AO14+預測IC!AP18</f>
        <v>1.7584098011684304</v>
      </c>
      <c r="AQ14" s="15">
        <f>AP14+預測IC!AQ18</f>
        <v>1.8346406464948803</v>
      </c>
      <c r="AR14" s="15">
        <f>AQ14+預測IC!AR18</f>
        <v>1.7729461228940988</v>
      </c>
      <c r="AS14" s="15">
        <f>AR14+預測IC!AS18</f>
        <v>1.8587726744480679</v>
      </c>
      <c r="AT14" s="15">
        <f>AS14+預測IC!AT18</f>
        <v>2.0251584838721266</v>
      </c>
      <c r="AU14" s="15">
        <f>AT14+預測IC!AU18</f>
        <v>2.1640566985183463</v>
      </c>
      <c r="AV14" s="15">
        <f>AU14+預測IC!AV18</f>
        <v>2.1991143860942226</v>
      </c>
      <c r="AW14" s="15">
        <f>AV14+預測IC!AW18</f>
        <v>2.1745763518531152</v>
      </c>
      <c r="AX14" s="15">
        <f>AW14+預測IC!AX18</f>
        <v>2.0485120144269877</v>
      </c>
      <c r="AY14" s="15">
        <f>AX14+預測IC!AY18</f>
        <v>2.0183226556984977</v>
      </c>
      <c r="AZ14" s="15">
        <f>AY14+預測IC!AZ18</f>
        <v>1.9666763283049893</v>
      </c>
      <c r="BA14" s="15">
        <f>AZ14+預測IC!BA18</f>
        <v>1.9673086392296748</v>
      </c>
      <c r="BB14" s="15">
        <f>BA14+預測IC!BB18</f>
        <v>2.1345666577104674</v>
      </c>
      <c r="BC14" s="15">
        <f>BB14+預測IC!BC18</f>
        <v>2.217768230303788</v>
      </c>
      <c r="BD14" s="15">
        <f>BC14+預測IC!BD18</f>
        <v>2.1937519586164878</v>
      </c>
      <c r="BE14" s="15">
        <f>BD14+預測IC!BE18</f>
        <v>2.1253907453783247</v>
      </c>
      <c r="BF14" s="15">
        <f>BE14+預測IC!BF18</f>
        <v>2.2903772400743323</v>
      </c>
      <c r="BG14" s="15">
        <f>BF14+預測IC!BG18</f>
        <v>2.2735709988481281</v>
      </c>
      <c r="BH14" s="15">
        <f>BG14+預測IC!BH18</f>
        <v>2.2940748519119336</v>
      </c>
      <c r="BI14" s="15">
        <f>BH14+預測IC!BI18</f>
        <v>2.3700659456523923</v>
      </c>
      <c r="BJ14" s="15">
        <f>BI14+預測IC!BJ18</f>
        <v>2.4685998023378142</v>
      </c>
      <c r="BK14" s="15">
        <f>BJ14+預測IC!BK18</f>
        <v>2.469580886240931</v>
      </c>
      <c r="BL14" s="15">
        <f>BK14+預測IC!BL18</f>
        <v>2.525368767102711</v>
      </c>
      <c r="BM14" s="15">
        <f>BL14+預測IC!BM18</f>
        <v>2.5534501234758062</v>
      </c>
      <c r="BN14" s="15">
        <f>BM14+預測IC!BN18</f>
        <v>2.5956417122806097</v>
      </c>
      <c r="BO14" s="15">
        <f>BN14+預測IC!BO18</f>
        <v>2.5754142161742353</v>
      </c>
      <c r="BP14" s="15">
        <f>BO14+預測IC!BP18</f>
        <v>2.5129507841377836</v>
      </c>
      <c r="BQ14" s="15">
        <f>BP14+預測IC!BQ18</f>
        <v>2.4264910932255543</v>
      </c>
      <c r="BR14" s="15">
        <f>BQ14+預測IC!BR18</f>
        <v>2.4207428996415996</v>
      </c>
      <c r="BS14" s="15">
        <f>BR14+預測IC!BS18</f>
        <v>2.3878696430655677</v>
      </c>
      <c r="BT14" s="15">
        <f>BS14+預測IC!BT18</f>
        <v>2.3263243201728629</v>
      </c>
      <c r="BU14" s="15">
        <f>BT14+預測IC!BU18</f>
        <v>2.4070017642129038</v>
      </c>
      <c r="BV14" s="15">
        <f>BU14+預測IC!BV18</f>
        <v>2.2914962455002597</v>
      </c>
      <c r="BW14" s="15">
        <f>BV14+預測IC!BW18</f>
        <v>2.5098717446312482</v>
      </c>
      <c r="BX14" s="15">
        <f>BW14+預測IC!BX18</f>
        <v>2.43529088121665</v>
      </c>
      <c r="BY14" s="15">
        <f>BX14+預測IC!BY18</f>
        <v>2.3726041367665651</v>
      </c>
      <c r="BZ14" s="15">
        <f>BY14+預測IC!BZ18</f>
        <v>2.219284148963967</v>
      </c>
      <c r="CA14" s="15">
        <f>BZ14+預測IC!CA18</f>
        <v>2.203207605071106</v>
      </c>
      <c r="CB14" s="15">
        <f>CA14+預測IC!CB18</f>
        <v>2.0963615446010326</v>
      </c>
      <c r="CC14" s="15">
        <f>CB14+預測IC!CC18</f>
        <v>2.2010221684426776</v>
      </c>
      <c r="CD14" s="15">
        <f>CC14+預測IC!CD18</f>
        <v>2.0794269452739136</v>
      </c>
      <c r="CE14" s="15">
        <f>CD14+預測IC!CE18</f>
        <v>1.9015005889650363</v>
      </c>
      <c r="CF14" s="15">
        <f>CE14+預測IC!CF18</f>
        <v>1.8575428455784275</v>
      </c>
      <c r="CG14" s="15">
        <f>CF14+預測IC!CG18</f>
        <v>1.7659335900145081</v>
      </c>
      <c r="CH14" s="15">
        <f>CG14+預測IC!CH18</f>
        <v>1.8112992389736668</v>
      </c>
      <c r="CI14" s="15">
        <f>CH14+預測IC!CI18</f>
        <v>1.9263585497828453</v>
      </c>
      <c r="CJ14" s="15">
        <f>CI14+預測IC!CJ18</f>
        <v>1.9886722276077549</v>
      </c>
      <c r="CK14" s="15">
        <f>CJ14+預測IC!CK18</f>
        <v>2.0847302592732779</v>
      </c>
      <c r="CL14" s="15">
        <f>CK14+預測IC!CL18</f>
        <v>1.9318163154637928</v>
      </c>
      <c r="CM14" s="15">
        <f>CL14+預測IC!CM18</f>
        <v>2.0754648586281865</v>
      </c>
      <c r="CN14" s="15">
        <f>CM14+預測IC!CN18</f>
        <v>2.110551112606363</v>
      </c>
      <c r="CO14" s="15">
        <f>CN14+預測IC!CO18</f>
        <v>1.9599536029841156</v>
      </c>
      <c r="CP14" s="15">
        <f>CO14+預測IC!CP18</f>
        <v>1.7971144940361048</v>
      </c>
      <c r="CQ14" s="15">
        <f>CP14+預測IC!CQ18</f>
        <v>1.8353571696310476</v>
      </c>
      <c r="CR14" s="15">
        <f>CQ14+預測IC!CR18</f>
        <v>1.6416347619788383</v>
      </c>
      <c r="CS14" s="15">
        <f>CR14+預測IC!CS18</f>
        <v>1.6697633223929269</v>
      </c>
      <c r="CT14" s="15">
        <f>CS14+預測IC!CT18</f>
        <v>1.6534908281929181</v>
      </c>
      <c r="CU14" s="15">
        <f>CT14+預測IC!CU18</f>
        <v>1.7980556493690529</v>
      </c>
      <c r="CV14" s="15">
        <f>CU14+預測IC!CV18</f>
        <v>1.73511102732459</v>
      </c>
      <c r="CW14" s="15">
        <f>CV14+預測IC!CW18</f>
        <v>1.8016696018229061</v>
      </c>
      <c r="CX14" s="15">
        <f>CW14+預測IC!CX18</f>
        <v>1.648593912213753</v>
      </c>
      <c r="CY14" s="15">
        <f>CX14+預測IC!CY18</f>
        <v>1.5554155283058455</v>
      </c>
      <c r="CZ14" s="15">
        <f>CY14+預測IC!CZ18</f>
        <v>1.4639563148931429</v>
      </c>
      <c r="DA14" s="15">
        <f>CZ14+預測IC!DA18</f>
        <v>1.4165753753744494</v>
      </c>
      <c r="DB14" s="15">
        <f>DA14+預測IC!DB18</f>
        <v>1.4623105840532089</v>
      </c>
      <c r="DC14" s="15">
        <f>DB14+預測IC!DC18</f>
        <v>1.4259018025577026</v>
      </c>
      <c r="DD14" s="15">
        <f>DC14+預測IC!DD18</f>
        <v>1.4669159898770365</v>
      </c>
      <c r="DE14" s="15">
        <f>DD14+預測IC!DE18</f>
        <v>1.5053365773634875</v>
      </c>
      <c r="DF14" s="15">
        <f>DE14+預測IC!DF18</f>
        <v>1.5334085524414489</v>
      </c>
      <c r="DG14" s="15">
        <f>DF14+預測IC!DG18</f>
        <v>1.6516256457150442</v>
      </c>
      <c r="DH14" s="15">
        <f>DG14+預測IC!DH18</f>
        <v>1.459224263755903</v>
      </c>
      <c r="DI14" s="15">
        <f>DH14+預測IC!DI18</f>
        <v>1.4778375117863212</v>
      </c>
      <c r="DJ14" s="15">
        <f>DI14+預測IC!DJ18</f>
        <v>1.3316414356869088</v>
      </c>
      <c r="DK14" s="15">
        <f>DJ14+預測IC!DK18</f>
        <v>1.2743908457002828</v>
      </c>
      <c r="DL14" s="15">
        <f>DK14+預測IC!DL18</f>
        <v>1.278221119767875</v>
      </c>
      <c r="DM14" s="15">
        <f>DL14+預測IC!DM18</f>
        <v>1.2834717985101389</v>
      </c>
      <c r="DN14" s="15">
        <f>DM14+預測IC!DN18</f>
        <v>1.4085804817796697</v>
      </c>
      <c r="DO14" s="15">
        <f>DN14+預測IC!DO18</f>
        <v>1.4387794992412595</v>
      </c>
      <c r="DP14" s="15">
        <f>DO14+預測IC!DP18</f>
        <v>1.4181748127743938</v>
      </c>
      <c r="DQ14" s="15">
        <f>DP14+預測IC!DQ18</f>
        <v>1.352425354590495</v>
      </c>
      <c r="DR14" s="15">
        <f>DQ14+預測IC!DR18</f>
        <v>1.3419741057709784</v>
      </c>
      <c r="DS14" s="15">
        <f>DR14+預測IC!DS18</f>
        <v>1.3673597570281166</v>
      </c>
      <c r="DT14" s="15">
        <f>DS14+預測IC!DT18</f>
        <v>1.3899607918692241</v>
      </c>
      <c r="DU14" s="15">
        <f>DT14+預測IC!DU18</f>
        <v>1.2273720074449739</v>
      </c>
      <c r="DV14" s="15">
        <f>DU14+預測IC!DV18</f>
        <v>1.1568443149388963</v>
      </c>
      <c r="DW14" s="15">
        <f>DV14+預測IC!DW18</f>
        <v>1.2387530072232695</v>
      </c>
      <c r="DX14" s="15">
        <f>DW14+預測IC!DX18</f>
        <v>1.3069303007450048</v>
      </c>
      <c r="DY14" s="15">
        <f>DX14+預測IC!DY18</f>
        <v>1.1411671960830017</v>
      </c>
      <c r="DZ14" s="15">
        <f>DY14+預測IC!DZ18</f>
        <v>1.0979393412135598</v>
      </c>
      <c r="EA14" s="15">
        <f>DZ14+預測IC!EA18</f>
        <v>1.2968850893778971</v>
      </c>
      <c r="EB14" s="15">
        <f>EA14+預測IC!EB18</f>
        <v>1.4068494438280925</v>
      </c>
      <c r="EC14" s="15">
        <f>EB14+預測IC!EC18</f>
        <v>1.2638092132353069</v>
      </c>
      <c r="ED14" s="15">
        <f>EC14+預測IC!ED18</f>
        <v>1.1810501118467402</v>
      </c>
      <c r="EE14" s="15">
        <f>ED14+預測IC!EE18</f>
        <v>1.1280350715313761</v>
      </c>
      <c r="EF14" s="15">
        <f>EE14+預測IC!EF18</f>
        <v>1.0640807378422317</v>
      </c>
    </row>
    <row r="15" spans="1:137" x14ac:dyDescent="0.3">
      <c r="A15" s="1"/>
      <c r="B15" s="1" t="s">
        <v>153</v>
      </c>
      <c r="C15" s="15">
        <v>-7.386192988077088E-2</v>
      </c>
      <c r="D15" s="15">
        <f>C15+預測IC!D19</f>
        <v>0.33365878020869838</v>
      </c>
      <c r="E15" s="15">
        <f>D15+預測IC!E19</f>
        <v>0.19307510361736718</v>
      </c>
      <c r="F15" s="15">
        <f>E15+預測IC!F19</f>
        <v>0.37076376542292766</v>
      </c>
      <c r="G15" s="15">
        <f>F15+預測IC!G19</f>
        <v>0.27469779356575025</v>
      </c>
      <c r="H15" s="15">
        <f>G15+預測IC!H19</f>
        <v>0.26262900510326531</v>
      </c>
      <c r="I15" s="15">
        <f>H15+預測IC!I19</f>
        <v>0.12797467221179881</v>
      </c>
      <c r="J15" s="15">
        <f>I15+預測IC!J19</f>
        <v>0.16340425673198983</v>
      </c>
      <c r="K15" s="15">
        <f>J15+預測IC!K19</f>
        <v>0.40219367145590657</v>
      </c>
      <c r="L15" s="15">
        <f>K15+預測IC!L19</f>
        <v>0.38186702181556148</v>
      </c>
      <c r="M15" s="15">
        <f>L15+預測IC!M19</f>
        <v>0.33817678565925419</v>
      </c>
      <c r="N15" s="15">
        <f>M15+預測IC!N19</f>
        <v>0.49002036680723426</v>
      </c>
      <c r="O15" s="15">
        <f>N15+預測IC!O19</f>
        <v>0.58224174982669152</v>
      </c>
      <c r="P15" s="15">
        <f>O15+預測IC!P19</f>
        <v>0.60575491065121156</v>
      </c>
      <c r="Q15" s="15">
        <f>P15+預測IC!Q19</f>
        <v>0.80291799891573146</v>
      </c>
      <c r="R15" s="15">
        <f>Q15+預測IC!R19</f>
        <v>0.89321708954658774</v>
      </c>
      <c r="S15" s="15">
        <f>R15+預測IC!S19</f>
        <v>1.0159089658823293</v>
      </c>
      <c r="T15" s="15">
        <f>S15+預測IC!T19</f>
        <v>1.0430632438686285</v>
      </c>
      <c r="U15" s="15">
        <f>T15+預測IC!U19</f>
        <v>1.1787615825005517</v>
      </c>
      <c r="V15" s="15">
        <f>U15+預測IC!V19</f>
        <v>1.271449902225865</v>
      </c>
      <c r="W15" s="15">
        <f>V15+預測IC!W19</f>
        <v>1.4461846655280965</v>
      </c>
      <c r="X15" s="15">
        <f>W15+預測IC!X19</f>
        <v>1.5691078117738135</v>
      </c>
      <c r="Y15" s="15">
        <f>X15+預測IC!Y19</f>
        <v>1.6722380507042518</v>
      </c>
      <c r="Z15" s="15">
        <f>Y15+預測IC!Z19</f>
        <v>1.7638571612802754</v>
      </c>
      <c r="AA15" s="15">
        <f>Z15+預測IC!AA19</f>
        <v>1.7222869767421196</v>
      </c>
      <c r="AB15" s="15">
        <f>AA15+預測IC!AB19</f>
        <v>1.6200333708581769</v>
      </c>
      <c r="AC15" s="15">
        <f>AB15+預測IC!AC19</f>
        <v>1.6341749135667867</v>
      </c>
      <c r="AD15" s="15">
        <f>AC15+預測IC!AD19</f>
        <v>1.6101774563057261</v>
      </c>
      <c r="AE15" s="15">
        <f>AD15+預測IC!AE19</f>
        <v>1.9186703142310948</v>
      </c>
      <c r="AF15" s="15">
        <f>AE15+預測IC!AF19</f>
        <v>1.7498397335230518</v>
      </c>
      <c r="AG15" s="15">
        <f>AF15+預測IC!AG19</f>
        <v>1.7083526300787402</v>
      </c>
      <c r="AH15" s="15">
        <f>AG15+預測IC!AH19</f>
        <v>1.9125089172439498</v>
      </c>
      <c r="AI15" s="15">
        <f>AH15+預測IC!AI19</f>
        <v>1.8647425644841533</v>
      </c>
      <c r="AJ15" s="15">
        <f>AI15+預測IC!AJ19</f>
        <v>1.7875398548395818</v>
      </c>
      <c r="AK15" s="15">
        <f>AJ15+預測IC!AK19</f>
        <v>1.7469583317264188</v>
      </c>
      <c r="AL15" s="15">
        <f>AK15+預測IC!AL19</f>
        <v>1.8172292773972243</v>
      </c>
      <c r="AM15" s="15">
        <f>AL15+預測IC!AM19</f>
        <v>1.8603352892086291</v>
      </c>
      <c r="AN15" s="15">
        <f>AM15+預測IC!AN19</f>
        <v>1.9439035835743113</v>
      </c>
      <c r="AO15" s="15">
        <f>AN15+預測IC!AO19</f>
        <v>1.999793709703426</v>
      </c>
      <c r="AP15" s="15">
        <f>AO15+預測IC!AP19</f>
        <v>1.9900815887618259</v>
      </c>
      <c r="AQ15" s="15">
        <f>AP15+預測IC!AQ19</f>
        <v>2.0783343458224768</v>
      </c>
      <c r="AR15" s="15">
        <f>AQ15+預測IC!AR19</f>
        <v>2.0037174481878179</v>
      </c>
      <c r="AS15" s="15">
        <f>AR15+預測IC!AS19</f>
        <v>2.1015144034561324</v>
      </c>
      <c r="AT15" s="15">
        <f>AS15+預測IC!AT19</f>
        <v>2.2861080672661904</v>
      </c>
      <c r="AU15" s="15">
        <f>AT15+預測IC!AU19</f>
        <v>2.4391226937404511</v>
      </c>
      <c r="AV15" s="15">
        <f>AU15+預測IC!AV19</f>
        <v>2.4817999894647884</v>
      </c>
      <c r="AW15" s="15">
        <f>AV15+預測IC!AW19</f>
        <v>2.4594438213106518</v>
      </c>
      <c r="AX15" s="15">
        <f>AW15+預測IC!AX19</f>
        <v>2.2353200260097958</v>
      </c>
      <c r="AY15" s="15">
        <f>AX15+預測IC!AY19</f>
        <v>2.1690467832973237</v>
      </c>
      <c r="AZ15" s="15">
        <f>AY15+預測IC!AZ19</f>
        <v>2.0534352549279</v>
      </c>
      <c r="BA15" s="15">
        <f>AZ15+預測IC!BA19</f>
        <v>2.0190713709738271</v>
      </c>
      <c r="BB15" s="15">
        <f>BA15+預測IC!BB19</f>
        <v>2.2208732816370347</v>
      </c>
      <c r="BC15" s="15">
        <f>BB15+預測IC!BC19</f>
        <v>2.2849287679832204</v>
      </c>
      <c r="BD15" s="15">
        <f>BC15+預測IC!BD19</f>
        <v>2.2816943753531524</v>
      </c>
      <c r="BE15" s="15">
        <f>BD15+預測IC!BE19</f>
        <v>2.2305625013894859</v>
      </c>
      <c r="BF15" s="15">
        <f>BE15+預測IC!BF19</f>
        <v>2.3723719363532276</v>
      </c>
      <c r="BG15" s="15">
        <f>BF15+預測IC!BG19</f>
        <v>2.3560282780203856</v>
      </c>
      <c r="BH15" s="15">
        <f>BG15+預測IC!BH19</f>
        <v>2.3580464797218168</v>
      </c>
      <c r="BI15" s="15">
        <f>BH15+預測IC!BI19</f>
        <v>2.4593307096810331</v>
      </c>
      <c r="BJ15" s="15">
        <f>BI15+預測IC!BJ19</f>
        <v>2.5182429268534889</v>
      </c>
      <c r="BK15" s="15">
        <f>BJ15+預測IC!BK19</f>
        <v>2.4487238902240471</v>
      </c>
      <c r="BL15" s="15">
        <f>BK15+預測IC!BL19</f>
        <v>2.5118884239710666</v>
      </c>
      <c r="BM15" s="15">
        <f>BL15+預測IC!BM19</f>
        <v>2.5436746888402118</v>
      </c>
      <c r="BN15" s="15">
        <f>BM15+預測IC!BN19</f>
        <v>2.6158597885627128</v>
      </c>
      <c r="BO15" s="15">
        <f>BN15+預測IC!BO19</f>
        <v>2.5901308272975974</v>
      </c>
      <c r="BP15" s="15">
        <f>BO15+預測IC!BP19</f>
        <v>2.5777204860199965</v>
      </c>
      <c r="BQ15" s="15">
        <f>BP15+預測IC!BQ19</f>
        <v>2.4680673510869395</v>
      </c>
      <c r="BR15" s="15">
        <f>BQ15+預測IC!BR19</f>
        <v>2.4747425971104597</v>
      </c>
      <c r="BS15" s="15">
        <f>BR15+預測IC!BS19</f>
        <v>2.4782425290500987</v>
      </c>
      <c r="BT15" s="15">
        <f>BS15+預測IC!BT19</f>
        <v>2.3959191253727874</v>
      </c>
      <c r="BU15" s="15">
        <f>BT15+預測IC!BU19</f>
        <v>2.4718553766070253</v>
      </c>
      <c r="BV15" s="15">
        <f>BU15+預測IC!BV19</f>
        <v>2.3717701110254099</v>
      </c>
      <c r="BW15" s="15">
        <f>BV15+預測IC!BW19</f>
        <v>2.6792231178351433</v>
      </c>
      <c r="BX15" s="15">
        <f>BW15+預測IC!BX19</f>
        <v>2.6243928362748266</v>
      </c>
      <c r="BY15" s="15">
        <f>BX15+預測IC!BY19</f>
        <v>2.5967173438631659</v>
      </c>
      <c r="BZ15" s="15">
        <f>BY15+預測IC!BZ19</f>
        <v>2.5280152190411118</v>
      </c>
      <c r="CA15" s="15">
        <f>BZ15+預測IC!CA19</f>
        <v>2.4986864638173372</v>
      </c>
      <c r="CB15" s="15">
        <f>CA15+預測IC!CB19</f>
        <v>2.37084825471644</v>
      </c>
      <c r="CC15" s="15">
        <f>CB15+預測IC!CC19</f>
        <v>2.3933544876149573</v>
      </c>
      <c r="CD15" s="15">
        <f>CC15+預測IC!CD19</f>
        <v>2.24462257432655</v>
      </c>
      <c r="CE15" s="15">
        <f>CD15+預測IC!CE19</f>
        <v>2.0463567451495908</v>
      </c>
      <c r="CF15" s="15">
        <f>CE15+預測IC!CF19</f>
        <v>1.9673052201787764</v>
      </c>
      <c r="CG15" s="15">
        <f>CF15+預測IC!CG19</f>
        <v>1.9101875953118193</v>
      </c>
      <c r="CH15" s="15">
        <f>CG15+預測IC!CH19</f>
        <v>1.9529026390545534</v>
      </c>
      <c r="CI15" s="15">
        <f>CH15+預測IC!CI19</f>
        <v>2.063636846808258</v>
      </c>
      <c r="CJ15" s="15">
        <f>CI15+預測IC!CJ19</f>
        <v>2.125577346774294</v>
      </c>
      <c r="CK15" s="15">
        <f>CJ15+預測IC!CK19</f>
        <v>2.2443746097316284</v>
      </c>
      <c r="CL15" s="15">
        <f>CK15+預測IC!CL19</f>
        <v>2.1290268280928908</v>
      </c>
      <c r="CM15" s="15">
        <f>CL15+預測IC!CM19</f>
        <v>2.304374469674606</v>
      </c>
      <c r="CN15" s="15">
        <f>CM15+預測IC!CN19</f>
        <v>2.3813071243419093</v>
      </c>
      <c r="CO15" s="15">
        <f>CN15+預測IC!CO19</f>
        <v>2.2151605665666287</v>
      </c>
      <c r="CP15" s="15">
        <f>CO15+預測IC!CP19</f>
        <v>2.0561279675842958</v>
      </c>
      <c r="CQ15" s="15">
        <f>CP15+預測IC!CQ19</f>
        <v>2.0885225751007144</v>
      </c>
      <c r="CR15" s="15">
        <f>CQ15+預測IC!CR19</f>
        <v>1.9122158508545224</v>
      </c>
      <c r="CS15" s="15">
        <f>CR15+預測IC!CS19</f>
        <v>1.9559908378328266</v>
      </c>
      <c r="CT15" s="15">
        <f>CS15+預測IC!CT19</f>
        <v>1.9280502006478297</v>
      </c>
      <c r="CU15" s="15">
        <f>CT15+預測IC!CU19</f>
        <v>2.0746577439087686</v>
      </c>
      <c r="CV15" s="15">
        <f>CU15+預測IC!CV19</f>
        <v>1.9985152494296716</v>
      </c>
      <c r="CW15" s="15">
        <f>CV15+預測IC!CW19</f>
        <v>2.0590311280027089</v>
      </c>
      <c r="CX15" s="15">
        <f>CW15+預測IC!CX19</f>
        <v>1.910880837198204</v>
      </c>
      <c r="CY15" s="15">
        <f>CX15+預測IC!CY19</f>
        <v>1.8029887177410131</v>
      </c>
      <c r="CZ15" s="15">
        <f>CY15+預測IC!CZ19</f>
        <v>1.745489454652501</v>
      </c>
      <c r="DA15" s="15">
        <f>CZ15+預測IC!DA19</f>
        <v>1.6872655779492642</v>
      </c>
      <c r="DB15" s="15">
        <f>DA15+預測IC!DB19</f>
        <v>1.7229864769744798</v>
      </c>
      <c r="DC15" s="15">
        <f>DB15+預測IC!DC19</f>
        <v>1.758165876876574</v>
      </c>
      <c r="DD15" s="15">
        <f>DC15+預測IC!DD19</f>
        <v>1.7643670021314029</v>
      </c>
      <c r="DE15" s="15">
        <f>DD15+預測IC!DE19</f>
        <v>1.7973854167871948</v>
      </c>
      <c r="DF15" s="15">
        <f>DE15+預測IC!DF19</f>
        <v>1.8186817592143618</v>
      </c>
      <c r="DG15" s="15">
        <f>DF15+預測IC!DG19</f>
        <v>1.9451725570518832</v>
      </c>
      <c r="DH15" s="15">
        <f>DG15+預測IC!DH19</f>
        <v>1.7205827763323951</v>
      </c>
      <c r="DI15" s="15">
        <f>DH15+預測IC!DI19</f>
        <v>1.7792298093436636</v>
      </c>
      <c r="DJ15" s="15">
        <f>DI15+預測IC!DJ19</f>
        <v>1.6139793403845917</v>
      </c>
      <c r="DK15" s="15">
        <f>DJ15+預測IC!DK19</f>
        <v>1.5979950508099277</v>
      </c>
      <c r="DL15" s="15">
        <f>DK15+預測IC!DL19</f>
        <v>1.6099778367189015</v>
      </c>
      <c r="DM15" s="15">
        <f>DL15+預測IC!DM19</f>
        <v>1.5638799342332739</v>
      </c>
      <c r="DN15" s="15">
        <f>DM15+預測IC!DN19</f>
        <v>1.7378082359618221</v>
      </c>
      <c r="DO15" s="15">
        <f>DN15+預測IC!DO19</f>
        <v>1.786513755822416</v>
      </c>
      <c r="DP15" s="15">
        <f>DO15+預測IC!DP19</f>
        <v>1.8143517703054097</v>
      </c>
      <c r="DQ15" s="15">
        <f>DP15+預測IC!DQ19</f>
        <v>1.7339775984673347</v>
      </c>
      <c r="DR15" s="15">
        <f>DQ15+預測IC!DR19</f>
        <v>1.7164327991915265</v>
      </c>
      <c r="DS15" s="15">
        <f>DR15+預測IC!DS19</f>
        <v>1.7613517623434065</v>
      </c>
      <c r="DT15" s="15">
        <f>DS15+預測IC!DT19</f>
        <v>1.7663850088635116</v>
      </c>
      <c r="DU15" s="15">
        <f>DT15+預測IC!DU19</f>
        <v>1.5718655694005323</v>
      </c>
      <c r="DV15" s="15">
        <f>DU15+預測IC!DV19</f>
        <v>1.5002721828031302</v>
      </c>
      <c r="DW15" s="15">
        <f>DV15+預測IC!DW19</f>
        <v>1.5608813221438145</v>
      </c>
      <c r="DX15" s="15">
        <f>DW15+預測IC!DX19</f>
        <v>1.6554955155013522</v>
      </c>
      <c r="DY15" s="15">
        <f>DX15+預測IC!DY19</f>
        <v>1.5033761058968653</v>
      </c>
      <c r="DZ15" s="15">
        <f>DY15+預測IC!DZ19</f>
        <v>1.4237325377584302</v>
      </c>
      <c r="EA15" s="15">
        <f>DZ15+預測IC!EA19</f>
        <v>1.6567783680637107</v>
      </c>
      <c r="EB15" s="15">
        <f>EA15+預測IC!EB19</f>
        <v>1.7655318777019633</v>
      </c>
      <c r="EC15" s="15">
        <f>EB15+預測IC!EC19</f>
        <v>1.6217576748769542</v>
      </c>
      <c r="ED15" s="15">
        <f>EC15+預測IC!ED19</f>
        <v>1.5414724166005791</v>
      </c>
      <c r="EE15" s="15">
        <f>ED15+預測IC!EE19</f>
        <v>1.5186565307566662</v>
      </c>
      <c r="EF15" s="15">
        <f>EE15+預測IC!EF19</f>
        <v>1.4446336113591611</v>
      </c>
    </row>
    <row r="16" spans="1:137" x14ac:dyDescent="0.3">
      <c r="A16" s="1"/>
      <c r="B16" s="1" t="s">
        <v>154</v>
      </c>
      <c r="C16" s="15">
        <v>1.1241331728202891E-2</v>
      </c>
      <c r="D16" s="15">
        <f>C16+預測IC!D20</f>
        <v>0.3932663517755528</v>
      </c>
      <c r="E16" s="15">
        <f>D16+預測IC!E20</f>
        <v>0.2471414465113069</v>
      </c>
      <c r="F16" s="15">
        <f>E16+預測IC!F20</f>
        <v>0.45267271084448113</v>
      </c>
      <c r="G16" s="15">
        <f>F16+預測IC!G20</f>
        <v>0.33548956955554204</v>
      </c>
      <c r="H16" s="15">
        <f>G16+預測IC!H20</f>
        <v>0.34707259563411974</v>
      </c>
      <c r="I16" s="15">
        <f>H16+預測IC!I20</f>
        <v>0.18892303303301805</v>
      </c>
      <c r="J16" s="15">
        <f>I16+預測IC!J20</f>
        <v>0.2233942917598743</v>
      </c>
      <c r="K16" s="15">
        <f>J16+預測IC!K20</f>
        <v>0.43811879552095612</v>
      </c>
      <c r="L16" s="15">
        <f>K16+預測IC!L20</f>
        <v>0.42911902417976777</v>
      </c>
      <c r="M16" s="15">
        <f>L16+預測IC!M20</f>
        <v>0.35140079588849427</v>
      </c>
      <c r="N16" s="15">
        <f>M16+預測IC!N20</f>
        <v>0.51954438407803816</v>
      </c>
      <c r="O16" s="15">
        <f>N16+預測IC!O20</f>
        <v>0.61864586822251189</v>
      </c>
      <c r="P16" s="15">
        <f>O16+預測IC!P20</f>
        <v>0.6617845471110394</v>
      </c>
      <c r="Q16" s="15">
        <f>P16+預測IC!Q20</f>
        <v>0.87851028611401794</v>
      </c>
      <c r="R16" s="15">
        <f>Q16+預測IC!R20</f>
        <v>0.98776334175148672</v>
      </c>
      <c r="S16" s="15">
        <f>R16+預測IC!S20</f>
        <v>1.0703259524587747</v>
      </c>
      <c r="T16" s="15">
        <f>S16+預測IC!T20</f>
        <v>1.0546630419395153</v>
      </c>
      <c r="U16" s="15">
        <f>T16+預測IC!U20</f>
        <v>1.2033127220572903</v>
      </c>
      <c r="V16" s="15">
        <f>U16+預測IC!V20</f>
        <v>1.3068303252619078</v>
      </c>
      <c r="W16" s="15">
        <f>V16+預測IC!W20</f>
        <v>1.5332739873450092</v>
      </c>
      <c r="X16" s="15">
        <f>W16+預測IC!X20</f>
        <v>1.6833162989725479</v>
      </c>
      <c r="Y16" s="15">
        <f>X16+預測IC!Y20</f>
        <v>1.8122813378549216</v>
      </c>
      <c r="Z16" s="15">
        <f>Y16+預測IC!Z20</f>
        <v>1.9178982983385808</v>
      </c>
      <c r="AA16" s="15">
        <f>Z16+預測IC!AA20</f>
        <v>1.8963037449512836</v>
      </c>
      <c r="AB16" s="15">
        <f>AA16+預測IC!AB20</f>
        <v>1.8115439042251105</v>
      </c>
      <c r="AC16" s="15">
        <f>AB16+預測IC!AC20</f>
        <v>1.858792166953078</v>
      </c>
      <c r="AD16" s="15">
        <f>AC16+預測IC!AD20</f>
        <v>1.8318048633824</v>
      </c>
      <c r="AE16" s="15">
        <f>AD16+預測IC!AE20</f>
        <v>1.9930260705375109</v>
      </c>
      <c r="AF16" s="15">
        <f>AE16+預測IC!AF20</f>
        <v>1.7695282509011383</v>
      </c>
      <c r="AG16" s="15">
        <f>AF16+預測IC!AG20</f>
        <v>1.7373650020194618</v>
      </c>
      <c r="AH16" s="15">
        <f>AG16+預測IC!AH20</f>
        <v>1.9540074546678226</v>
      </c>
      <c r="AI16" s="15">
        <f>AH16+預測IC!AI20</f>
        <v>1.8707281009170991</v>
      </c>
      <c r="AJ16" s="15">
        <f>AI16+預測IC!AJ20</f>
        <v>1.8100024162563149</v>
      </c>
      <c r="AK16" s="15">
        <f>AJ16+預測IC!AK20</f>
        <v>1.8017539011937018</v>
      </c>
      <c r="AL16" s="15">
        <f>AK16+預測IC!AL20</f>
        <v>1.8746473532306789</v>
      </c>
      <c r="AM16" s="15">
        <f>AL16+預測IC!AM20</f>
        <v>1.9077433339794816</v>
      </c>
      <c r="AN16" s="15">
        <f>AM16+預測IC!AN20</f>
        <v>1.9832135274984799</v>
      </c>
      <c r="AO16" s="15">
        <f>AN16+預測IC!AO20</f>
        <v>2.0323218221378796</v>
      </c>
      <c r="AP16" s="15">
        <f>AO16+預測IC!AP20</f>
        <v>2.0197173061747131</v>
      </c>
      <c r="AQ16" s="15">
        <f>AP16+預測IC!AQ20</f>
        <v>1.9922648208417622</v>
      </c>
      <c r="AR16" s="15">
        <f>AQ16+預測IC!AR20</f>
        <v>1.978975547751928</v>
      </c>
      <c r="AS16" s="15">
        <f>AR16+預測IC!AS20</f>
        <v>2.0910713574347448</v>
      </c>
      <c r="AT16" s="15">
        <f>AS16+預測IC!AT20</f>
        <v>2.3301951048798153</v>
      </c>
      <c r="AU16" s="15">
        <f>AT16+預測IC!AU20</f>
        <v>2.4732677458069809</v>
      </c>
      <c r="AV16" s="15">
        <f>AU16+預測IC!AV20</f>
        <v>2.5447409314609142</v>
      </c>
      <c r="AW16" s="15">
        <f>AV16+預測IC!AW20</f>
        <v>2.5378756632817634</v>
      </c>
      <c r="AX16" s="15">
        <f>AW16+預測IC!AX20</f>
        <v>2.3335364433212167</v>
      </c>
      <c r="AY16" s="15">
        <f>AX16+預測IC!AY20</f>
        <v>2.4155940793387831</v>
      </c>
      <c r="AZ16" s="15">
        <f>AY16+預測IC!AZ20</f>
        <v>2.2593200716321191</v>
      </c>
      <c r="BA16" s="15">
        <f>AZ16+預測IC!BA20</f>
        <v>2.2225212067715785</v>
      </c>
      <c r="BB16" s="15">
        <f>BA16+預測IC!BB20</f>
        <v>2.4537348329596553</v>
      </c>
      <c r="BC16" s="15">
        <f>BB16+預測IC!BC20</f>
        <v>2.5243404006373957</v>
      </c>
      <c r="BD16" s="15">
        <f>BC16+預測IC!BD20</f>
        <v>2.4709105874157986</v>
      </c>
      <c r="BE16" s="15">
        <f>BD16+預測IC!BE20</f>
        <v>2.4768573845550588</v>
      </c>
      <c r="BF16" s="15">
        <f>BE16+預測IC!BF20</f>
        <v>2.6148286476240341</v>
      </c>
      <c r="BG16" s="15">
        <f>BF16+預測IC!BG20</f>
        <v>2.6079025049153408</v>
      </c>
      <c r="BH16" s="15">
        <f>BG16+預測IC!BH20</f>
        <v>2.5362960578012297</v>
      </c>
      <c r="BI16" s="15">
        <f>BH16+預測IC!BI20</f>
        <v>2.6505517235357532</v>
      </c>
      <c r="BJ16" s="15">
        <f>BI16+預測IC!BJ20</f>
        <v>2.6996915073470271</v>
      </c>
      <c r="BK16" s="15">
        <f>BJ16+預測IC!BK20</f>
        <v>2.5970932231925818</v>
      </c>
      <c r="BL16" s="15">
        <f>BK16+預測IC!BL20</f>
        <v>2.6669526651298026</v>
      </c>
      <c r="BM16" s="15">
        <f>BL16+預測IC!BM20</f>
        <v>2.7144212165939914</v>
      </c>
      <c r="BN16" s="15">
        <f>BM16+預測IC!BN20</f>
        <v>2.800085848035172</v>
      </c>
      <c r="BO16" s="15">
        <f>BN16+預測IC!BO20</f>
        <v>2.8385475655511514</v>
      </c>
      <c r="BP16" s="15">
        <f>BO16+預測IC!BP20</f>
        <v>2.8458298130574762</v>
      </c>
      <c r="BQ16" s="15">
        <f>BP16+預測IC!BQ20</f>
        <v>2.7372295454982241</v>
      </c>
      <c r="BR16" s="15">
        <f>BQ16+預測IC!BR20</f>
        <v>2.7493031772286964</v>
      </c>
      <c r="BS16" s="15">
        <f>BR16+預測IC!BS20</f>
        <v>2.7818393749535524</v>
      </c>
      <c r="BT16" s="15">
        <f>BS16+預測IC!BT20</f>
        <v>2.6853088737390967</v>
      </c>
      <c r="BU16" s="15">
        <f>BT16+預測IC!BU20</f>
        <v>2.7840638231068033</v>
      </c>
      <c r="BV16" s="15">
        <f>BU16+預測IC!BV20</f>
        <v>2.6503538986297968</v>
      </c>
      <c r="BW16" s="15">
        <f>BV16+預測IC!BW20</f>
        <v>3.0021834486782013</v>
      </c>
      <c r="BX16" s="15">
        <f>BW16+預測IC!BX20</f>
        <v>2.9441954304021705</v>
      </c>
      <c r="BY16" s="15">
        <f>BX16+預測IC!BY20</f>
        <v>2.9010119477149341</v>
      </c>
      <c r="BZ16" s="15">
        <f>BY16+預測IC!BZ20</f>
        <v>2.8107405434546506</v>
      </c>
      <c r="CA16" s="15">
        <f>BZ16+預測IC!CA20</f>
        <v>2.7706378154028979</v>
      </c>
      <c r="CB16" s="15">
        <f>CA16+預測IC!CB20</f>
        <v>2.6441427696328788</v>
      </c>
      <c r="CC16" s="15">
        <f>CB16+預測IC!CC20</f>
        <v>2.6570579171109592</v>
      </c>
      <c r="CD16" s="15">
        <f>CC16+預測IC!CD20</f>
        <v>2.4681984045675636</v>
      </c>
      <c r="CE16" s="15">
        <f>CD16+預測IC!CE20</f>
        <v>2.2242346090978304</v>
      </c>
      <c r="CF16" s="15">
        <f>CE16+預測IC!CF20</f>
        <v>2.1184497198217387</v>
      </c>
      <c r="CG16" s="15">
        <f>CF16+預測IC!CG20</f>
        <v>2.0424794790786307</v>
      </c>
      <c r="CH16" s="15">
        <f>CG16+預測IC!CH20</f>
        <v>2.0646747081027637</v>
      </c>
      <c r="CI16" s="15">
        <f>CH16+預測IC!CI20</f>
        <v>2.1498829105378392</v>
      </c>
      <c r="CJ16" s="15">
        <f>CI16+預測IC!CJ20</f>
        <v>2.27332323042519</v>
      </c>
      <c r="CK16" s="15">
        <f>CJ16+預測IC!CK20</f>
        <v>2.3539128543658117</v>
      </c>
      <c r="CL16" s="15">
        <f>CK16+預測IC!CL20</f>
        <v>2.20459970373556</v>
      </c>
      <c r="CM16" s="15">
        <f>CL16+預測IC!CM20</f>
        <v>2.3936508689061808</v>
      </c>
      <c r="CN16" s="15">
        <f>CM16+預測IC!CN20</f>
        <v>2.3714914575356962</v>
      </c>
      <c r="CO16" s="15">
        <f>CN16+預測IC!CO20</f>
        <v>2.1429732543541551</v>
      </c>
      <c r="CP16" s="15">
        <f>CO16+預測IC!CP20</f>
        <v>1.9509420492451277</v>
      </c>
      <c r="CQ16" s="15">
        <f>CP16+預測IC!CQ20</f>
        <v>1.9740600945454108</v>
      </c>
      <c r="CR16" s="15">
        <f>CQ16+預測IC!CR20</f>
        <v>1.7785739840604686</v>
      </c>
      <c r="CS16" s="15">
        <f>CR16+預測IC!CS20</f>
        <v>1.8008670222198282</v>
      </c>
      <c r="CT16" s="15">
        <f>CS16+預測IC!CT20</f>
        <v>1.7827903114399932</v>
      </c>
      <c r="CU16" s="15">
        <f>CT16+預測IC!CU20</f>
        <v>1.92951832051162</v>
      </c>
      <c r="CV16" s="15">
        <f>CU16+預測IC!CV20</f>
        <v>1.8325143661898999</v>
      </c>
      <c r="CW16" s="15">
        <f>CV16+預測IC!CW20</f>
        <v>1.9004180743647454</v>
      </c>
      <c r="CX16" s="15">
        <f>CW16+預測IC!CX20</f>
        <v>1.7552638863648786</v>
      </c>
      <c r="CY16" s="15">
        <f>CX16+預測IC!CY20</f>
        <v>1.6542972292530551</v>
      </c>
      <c r="CZ16" s="15">
        <f>CY16+預測IC!CZ20</f>
        <v>1.6412345953907246</v>
      </c>
      <c r="DA16" s="15">
        <f>CZ16+預測IC!DA20</f>
        <v>1.5937627022355469</v>
      </c>
      <c r="DB16" s="15">
        <f>DA16+預測IC!DB20</f>
        <v>1.6506654119926811</v>
      </c>
      <c r="DC16" s="15">
        <f>DB16+預測IC!DC20</f>
        <v>1.700278481228237</v>
      </c>
      <c r="DD16" s="15">
        <f>DC16+預測IC!DD20</f>
        <v>1.7038756659851872</v>
      </c>
      <c r="DE16" s="15">
        <f>DD16+預測IC!DE20</f>
        <v>1.71429438759204</v>
      </c>
      <c r="DF16" s="15">
        <f>DE16+預測IC!DF20</f>
        <v>1.7597943460828385</v>
      </c>
      <c r="DG16" s="15">
        <f>DF16+預測IC!DG20</f>
        <v>1.8838676540669597</v>
      </c>
      <c r="DH16" s="15">
        <f>DG16+預測IC!DH20</f>
        <v>1.6055688008980173</v>
      </c>
      <c r="DI16" s="15">
        <f>DH16+預測IC!DI20</f>
        <v>1.6798171364901107</v>
      </c>
      <c r="DJ16" s="15">
        <f>DI16+預測IC!DJ20</f>
        <v>1.5432590440574132</v>
      </c>
      <c r="DK16" s="15">
        <f>DJ16+預測IC!DK20</f>
        <v>1.5224933855694185</v>
      </c>
      <c r="DL16" s="15">
        <f>DK16+預測IC!DL20</f>
        <v>1.5419587589030384</v>
      </c>
      <c r="DM16" s="15">
        <f>DL16+預測IC!DM20</f>
        <v>1.5848235330113842</v>
      </c>
      <c r="DN16" s="15">
        <f>DM16+預測IC!DN20</f>
        <v>1.7680582666325531</v>
      </c>
      <c r="DO16" s="15">
        <f>DN16+預測IC!DO20</f>
        <v>1.817879121309449</v>
      </c>
      <c r="DP16" s="15">
        <f>DO16+預測IC!DP20</f>
        <v>1.8277096527003363</v>
      </c>
      <c r="DQ16" s="15">
        <f>DP16+預測IC!DQ20</f>
        <v>1.7702494710756362</v>
      </c>
      <c r="DR16" s="15">
        <f>DQ16+預測IC!DR20</f>
        <v>1.7146914788489049</v>
      </c>
      <c r="DS16" s="15">
        <f>DR16+預測IC!DS20</f>
        <v>1.6448987209506225</v>
      </c>
      <c r="DT16" s="15">
        <f>DS16+預測IC!DT20</f>
        <v>1.61521338215178</v>
      </c>
      <c r="DU16" s="15">
        <f>DT16+預測IC!DU20</f>
        <v>1.3425690543098345</v>
      </c>
      <c r="DV16" s="15">
        <f>DU16+預測IC!DV20</f>
        <v>1.2405268731273593</v>
      </c>
      <c r="DW16" s="15">
        <f>DV16+預測IC!DW20</f>
        <v>1.309587077085399</v>
      </c>
      <c r="DX16" s="15">
        <f>DW16+預測IC!DX20</f>
        <v>1.4074382952901243</v>
      </c>
      <c r="DY16" s="15">
        <f>DX16+預測IC!DY20</f>
        <v>1.220036465250931</v>
      </c>
      <c r="DZ16" s="15">
        <f>DY16+預測IC!DZ20</f>
        <v>1.2381515917633137</v>
      </c>
      <c r="EA16" s="15">
        <f>DZ16+預測IC!EA20</f>
        <v>1.531841575727485</v>
      </c>
      <c r="EB16" s="15">
        <f>EA16+預測IC!EB20</f>
        <v>1.6142487181719047</v>
      </c>
      <c r="EC16" s="15">
        <f>EB16+預測IC!EC20</f>
        <v>1.4832425724098373</v>
      </c>
      <c r="ED16" s="15">
        <f>EC16+預測IC!ED20</f>
        <v>1.4254150082096386</v>
      </c>
      <c r="EE16" s="15">
        <f>ED16+預測IC!EE20</f>
        <v>1.4053974209126199</v>
      </c>
      <c r="EF16" s="15">
        <f>EE16+預測IC!EF20</f>
        <v>1.3195943600703703</v>
      </c>
    </row>
    <row r="17" spans="1:136" x14ac:dyDescent="0.3">
      <c r="A17" s="1"/>
      <c r="B17" s="1" t="s">
        <v>155</v>
      </c>
      <c r="C17" s="15">
        <v>1.038483447742689E-2</v>
      </c>
      <c r="D17" s="15">
        <f>C17+預測IC!D21</f>
        <v>0.13677275124425048</v>
      </c>
      <c r="E17" s="15">
        <f>D17+預測IC!E21</f>
        <v>9.3055196364529469E-2</v>
      </c>
      <c r="F17" s="15">
        <f>E17+預測IC!F21</f>
        <v>0.27709377797065948</v>
      </c>
      <c r="G17" s="15">
        <f>F17+預測IC!G21</f>
        <v>0.133251626858095</v>
      </c>
      <c r="H17" s="15">
        <f>G17+預測IC!H21</f>
        <v>9.5407549829802596E-2</v>
      </c>
      <c r="I17" s="15">
        <f>H17+預測IC!I21</f>
        <v>-5.1848058297670391E-2</v>
      </c>
      <c r="J17" s="15">
        <f>I17+預測IC!J21</f>
        <v>8.5872673939719271E-3</v>
      </c>
      <c r="K17" s="15">
        <f>J17+預測IC!K21</f>
        <v>0.21546729339736742</v>
      </c>
      <c r="L17" s="15">
        <f>K17+預測IC!L21</f>
        <v>0.158241126532423</v>
      </c>
      <c r="M17" s="15">
        <f>L17+預測IC!M21</f>
        <v>5.8556533124211746E-2</v>
      </c>
      <c r="N17" s="15">
        <f>M17+預測IC!N21</f>
        <v>0.19760720898501155</v>
      </c>
      <c r="O17" s="15">
        <f>N17+預測IC!O21</f>
        <v>0.32738966751536502</v>
      </c>
      <c r="P17" s="15">
        <f>O17+預測IC!P21</f>
        <v>0.36728139037546775</v>
      </c>
      <c r="Q17" s="15">
        <f>P17+預測IC!Q21</f>
        <v>0.62459146446972003</v>
      </c>
      <c r="R17" s="15">
        <f>Q17+預測IC!R21</f>
        <v>0.72016677557635023</v>
      </c>
      <c r="S17" s="15">
        <f>R17+預測IC!S21</f>
        <v>0.92932625105131472</v>
      </c>
      <c r="T17" s="15">
        <f>S17+預測IC!T21</f>
        <v>0.94336661539151967</v>
      </c>
      <c r="U17" s="15">
        <f>T17+預測IC!U21</f>
        <v>1.0296450330032776</v>
      </c>
      <c r="V17" s="15">
        <f>U17+預測IC!V21</f>
        <v>1.1350158033926321</v>
      </c>
      <c r="W17" s="15">
        <f>V17+預測IC!W21</f>
        <v>1.4579363520808191</v>
      </c>
      <c r="X17" s="15">
        <f>W17+預測IC!X21</f>
        <v>1.6657376194341569</v>
      </c>
      <c r="Y17" s="15">
        <f>X17+預測IC!Y21</f>
        <v>1.7584668433803614</v>
      </c>
      <c r="Z17" s="15">
        <f>Y17+預測IC!Z21</f>
        <v>1.8726708306030859</v>
      </c>
      <c r="AA17" s="15">
        <f>Z17+預測IC!AA21</f>
        <v>1.8921618741431798</v>
      </c>
      <c r="AB17" s="15">
        <f>AA17+預測IC!AB21</f>
        <v>1.7623222917461101</v>
      </c>
      <c r="AC17" s="15">
        <f>AB17+預測IC!AC21</f>
        <v>1.7811500284529103</v>
      </c>
      <c r="AD17" s="15">
        <f>AC17+預測IC!AD21</f>
        <v>1.8070833044503452</v>
      </c>
      <c r="AE17" s="15">
        <f>AD17+預測IC!AE21</f>
        <v>1.935188283246591</v>
      </c>
      <c r="AF17" s="15">
        <f>AE17+預測IC!AF21</f>
        <v>1.6400440251632276</v>
      </c>
      <c r="AG17" s="15">
        <f>AF17+預測IC!AG21</f>
        <v>1.6289974530567837</v>
      </c>
      <c r="AH17" s="15">
        <f>AG17+預測IC!AH21</f>
        <v>1.8693487087155505</v>
      </c>
      <c r="AI17" s="15">
        <f>AH17+預測IC!AI21</f>
        <v>1.8016190281203994</v>
      </c>
      <c r="AJ17" s="15">
        <f>AI17+預測IC!AJ21</f>
        <v>1.7226778641087002</v>
      </c>
      <c r="AK17" s="15">
        <f>AJ17+預測IC!AK21</f>
        <v>1.7409962330180129</v>
      </c>
      <c r="AL17" s="15">
        <f>AK17+預測IC!AL21</f>
        <v>1.8063760557511235</v>
      </c>
      <c r="AM17" s="15">
        <f>AL17+預測IC!AM21</f>
        <v>1.874911863198754</v>
      </c>
      <c r="AN17" s="15">
        <f>AM17+預測IC!AN21</f>
        <v>1.9868679192618484</v>
      </c>
      <c r="AO17" s="15">
        <f>AN17+預測IC!AO21</f>
        <v>2.0724356941757356</v>
      </c>
      <c r="AP17" s="15">
        <f>AO17+預測IC!AP21</f>
        <v>2.0534933152595625</v>
      </c>
      <c r="AQ17" s="15">
        <f>AP17+預測IC!AQ21</f>
        <v>1.9766278082490147</v>
      </c>
      <c r="AR17" s="15">
        <f>AQ17+預測IC!AR21</f>
        <v>2.0246159496523251</v>
      </c>
      <c r="AS17" s="15">
        <f>AR17+預測IC!AS21</f>
        <v>2.0890718182989545</v>
      </c>
      <c r="AT17" s="15">
        <f>AS17+預測IC!AT21</f>
        <v>2.3539100758469518</v>
      </c>
      <c r="AU17" s="15">
        <f>AT17+預測IC!AU21</f>
        <v>2.4173654054602318</v>
      </c>
      <c r="AV17" s="15">
        <f>AU17+預測IC!AV21</f>
        <v>2.4682629734316741</v>
      </c>
      <c r="AW17" s="15">
        <f>AV17+預測IC!AW21</f>
        <v>2.4584719434775768</v>
      </c>
      <c r="AX17" s="15">
        <f>AW17+預測IC!AX21</f>
        <v>2.2407536409605395</v>
      </c>
      <c r="AY17" s="15">
        <f>AX17+預測IC!AY21</f>
        <v>2.3064759356930464</v>
      </c>
      <c r="AZ17" s="15">
        <f>AY17+預測IC!AZ21</f>
        <v>2.2134165415644533</v>
      </c>
      <c r="BA17" s="15">
        <f>AZ17+預測IC!BA21</f>
        <v>2.1423843599163677</v>
      </c>
      <c r="BB17" s="15">
        <f>BA17+預測IC!BB21</f>
        <v>2.4368969968936893</v>
      </c>
      <c r="BC17" s="15">
        <f>BB17+預測IC!BC21</f>
        <v>2.475218144618883</v>
      </c>
      <c r="BD17" s="15">
        <f>BC17+預測IC!BD21</f>
        <v>2.4534672812482552</v>
      </c>
      <c r="BE17" s="15">
        <f>BD17+預測IC!BE21</f>
        <v>2.4471167478508535</v>
      </c>
      <c r="BF17" s="15">
        <f>BE17+預測IC!BF21</f>
        <v>2.646233964281457</v>
      </c>
      <c r="BG17" s="15">
        <f>BF17+預測IC!BG21</f>
        <v>2.6828691534982694</v>
      </c>
      <c r="BH17" s="15">
        <f>BG17+預測IC!BH21</f>
        <v>2.6065477903595142</v>
      </c>
      <c r="BI17" s="15">
        <f>BH17+預測IC!BI21</f>
        <v>2.7604224364517709</v>
      </c>
      <c r="BJ17" s="15">
        <f>BI17+預測IC!BJ21</f>
        <v>2.7924049508627631</v>
      </c>
      <c r="BK17" s="15">
        <f>BJ17+預測IC!BK21</f>
        <v>2.7094317889726973</v>
      </c>
      <c r="BL17" s="15">
        <f>BK17+預測IC!BL21</f>
        <v>2.7967725794403955</v>
      </c>
      <c r="BM17" s="15">
        <f>BL17+預測IC!BM21</f>
        <v>2.8375678654691163</v>
      </c>
      <c r="BN17" s="15">
        <f>BM17+預測IC!BN21</f>
        <v>3.0258153680615045</v>
      </c>
      <c r="BO17" s="15">
        <f>BN17+預測IC!BO21</f>
        <v>3.0896726044751848</v>
      </c>
      <c r="BP17" s="15">
        <f>BO17+預測IC!BP21</f>
        <v>3.0854918021435918</v>
      </c>
      <c r="BQ17" s="15">
        <f>BP17+預測IC!BQ21</f>
        <v>3.0126010591092487</v>
      </c>
      <c r="BR17" s="15">
        <f>BQ17+預測IC!BR21</f>
        <v>3.0249249212931133</v>
      </c>
      <c r="BS17" s="15">
        <f>BR17+預測IC!BS21</f>
        <v>3.0906667422534606</v>
      </c>
      <c r="BT17" s="15">
        <f>BS17+預測IC!BT21</f>
        <v>2.9977145389052033</v>
      </c>
      <c r="BU17" s="15">
        <f>BT17+預測IC!BU21</f>
        <v>3.1332110011037724</v>
      </c>
      <c r="BV17" s="15">
        <f>BU17+預測IC!BV21</f>
        <v>3.1139705129515329</v>
      </c>
      <c r="BW17" s="15">
        <f>BV17+預測IC!BW21</f>
        <v>3.298431183671942</v>
      </c>
      <c r="BX17" s="15">
        <f>BW17+預測IC!BX21</f>
        <v>3.2100518488843033</v>
      </c>
      <c r="BY17" s="15">
        <f>BX17+預測IC!BY21</f>
        <v>3.1951354699674663</v>
      </c>
      <c r="BZ17" s="15">
        <f>BY17+預測IC!BZ21</f>
        <v>3.1474725412467506</v>
      </c>
      <c r="CA17" s="15">
        <f>BZ17+預測IC!CA21</f>
        <v>3.0869549379443519</v>
      </c>
      <c r="CB17" s="15">
        <f>CA17+預測IC!CB21</f>
        <v>2.8790850900427643</v>
      </c>
      <c r="CC17" s="15">
        <f>CB17+預測IC!CC21</f>
        <v>2.8710661357717981</v>
      </c>
      <c r="CD17" s="15">
        <f>CC17+預測IC!CD21</f>
        <v>2.7202777455695175</v>
      </c>
      <c r="CE17" s="15">
        <f>CD17+預測IC!CE21</f>
        <v>2.3252018031044721</v>
      </c>
      <c r="CF17" s="15">
        <f>CE17+預測IC!CF21</f>
        <v>2.2106756454933039</v>
      </c>
      <c r="CG17" s="15">
        <f>CF17+預測IC!CG21</f>
        <v>2.1255903100191729</v>
      </c>
      <c r="CH17" s="15">
        <f>CG17+預測IC!CH21</f>
        <v>2.2822167506461413</v>
      </c>
      <c r="CI17" s="15">
        <f>CH17+預測IC!CI21</f>
        <v>2.3553994777211402</v>
      </c>
      <c r="CJ17" s="15">
        <f>CI17+預測IC!CJ21</f>
        <v>2.4410272347376427</v>
      </c>
      <c r="CK17" s="15">
        <f>CJ17+預測IC!CK21</f>
        <v>2.5081868650344985</v>
      </c>
      <c r="CL17" s="15">
        <f>CK17+預測IC!CL21</f>
        <v>2.3207537434937717</v>
      </c>
      <c r="CM17" s="15">
        <f>CL17+預測IC!CM21</f>
        <v>2.546256731897143</v>
      </c>
      <c r="CN17" s="15">
        <f>CM17+預測IC!CN21</f>
        <v>2.5157178416933674</v>
      </c>
      <c r="CO17" s="15">
        <f>CN17+預測IC!CO21</f>
        <v>2.2779258605539749</v>
      </c>
      <c r="CP17" s="15">
        <f>CO17+預測IC!CP21</f>
        <v>2.0552257996760623</v>
      </c>
      <c r="CQ17" s="15">
        <f>CP17+預測IC!CQ21</f>
        <v>2.0781379938455586</v>
      </c>
      <c r="CR17" s="15">
        <f>CQ17+預測IC!CR21</f>
        <v>1.8390780274842908</v>
      </c>
      <c r="CS17" s="15">
        <f>CR17+預測IC!CS21</f>
        <v>1.8699857731667886</v>
      </c>
      <c r="CT17" s="15">
        <f>CS17+預測IC!CT21</f>
        <v>1.7839132162953926</v>
      </c>
      <c r="CU17" s="15">
        <f>CT17+預測IC!CU21</f>
        <v>1.9428298386128426</v>
      </c>
      <c r="CV17" s="15">
        <f>CU17+預測IC!CV21</f>
        <v>1.8112023074508861</v>
      </c>
      <c r="CW17" s="15">
        <f>CV17+預測IC!CW21</f>
        <v>1.8495478243225687</v>
      </c>
      <c r="CX17" s="15">
        <f>CW17+預測IC!CX21</f>
        <v>1.6925789774109572</v>
      </c>
      <c r="CY17" s="15">
        <f>CX17+預測IC!CY21</f>
        <v>1.5401266711656381</v>
      </c>
      <c r="CZ17" s="15">
        <f>CY17+預測IC!CZ21</f>
        <v>1.5262794647539375</v>
      </c>
      <c r="DA17" s="15">
        <f>CZ17+預測IC!DA21</f>
        <v>1.5274717212106692</v>
      </c>
      <c r="DB17" s="15">
        <f>DA17+預測IC!DB21</f>
        <v>1.5790961548868239</v>
      </c>
      <c r="DC17" s="15">
        <f>DB17+預測IC!DC21</f>
        <v>1.6241437141101145</v>
      </c>
      <c r="DD17" s="15">
        <f>DC17+預測IC!DD21</f>
        <v>1.6269625085011852</v>
      </c>
      <c r="DE17" s="15">
        <f>DD17+預測IC!DE21</f>
        <v>1.6559402455615118</v>
      </c>
      <c r="DF17" s="15">
        <f>DE17+預測IC!DF21</f>
        <v>1.804749148051255</v>
      </c>
      <c r="DG17" s="15">
        <f>DF17+預測IC!DG21</f>
        <v>1.9529340791829846</v>
      </c>
      <c r="DH17" s="15">
        <f>DG17+預測IC!DH21</f>
        <v>1.8714978909029572</v>
      </c>
      <c r="DI17" s="15">
        <f>DH17+預測IC!DI21</f>
        <v>1.9616470936207777</v>
      </c>
      <c r="DJ17" s="15">
        <f>DI17+預測IC!DJ21</f>
        <v>1.8050413751571361</v>
      </c>
      <c r="DK17" s="15">
        <f>DJ17+預測IC!DK21</f>
        <v>1.7840753130051177</v>
      </c>
      <c r="DL17" s="15">
        <f>DK17+預測IC!DL21</f>
        <v>1.7968123045061308</v>
      </c>
      <c r="DM17" s="15">
        <f>DL17+預測IC!DM21</f>
        <v>1.7925577404852453</v>
      </c>
      <c r="DN17" s="15">
        <f>DM17+預測IC!DN21</f>
        <v>2.0128533813497729</v>
      </c>
      <c r="DO17" s="15">
        <f>DN17+預測IC!DO21</f>
        <v>1.9942945722919854</v>
      </c>
      <c r="DP17" s="15">
        <f>DO17+預測IC!DP21</f>
        <v>2.0185607273855513</v>
      </c>
      <c r="DQ17" s="15">
        <f>DP17+預測IC!DQ21</f>
        <v>1.948138028577368</v>
      </c>
      <c r="DR17" s="15">
        <f>DQ17+預測IC!DR21</f>
        <v>1.8945810387706736</v>
      </c>
      <c r="DS17" s="15">
        <f>DR17+預測IC!DS21</f>
        <v>1.8099756051651377</v>
      </c>
      <c r="DT17" s="15">
        <f>DS17+預測IC!DT21</f>
        <v>1.8047604148184584</v>
      </c>
      <c r="DU17" s="15">
        <f>DT17+預測IC!DU21</f>
        <v>1.4649537759608906</v>
      </c>
      <c r="DV17" s="15">
        <f>DU17+預測IC!DV21</f>
        <v>1.310055524830986</v>
      </c>
      <c r="DW17" s="15">
        <f>DV17+預測IC!DW21</f>
        <v>1.4383033934951071</v>
      </c>
      <c r="DX17" s="15">
        <f>DW17+預測IC!DX21</f>
        <v>1.5551322833698895</v>
      </c>
      <c r="DY17" s="15">
        <f>DX17+預測IC!DY21</f>
        <v>1.3294704021819004</v>
      </c>
      <c r="DZ17" s="15">
        <f>DY17+預測IC!DZ21</f>
        <v>1.5093614239068007</v>
      </c>
      <c r="EA17" s="15">
        <f>DZ17+預測IC!EA21</f>
        <v>1.7754182561861467</v>
      </c>
      <c r="EB17" s="15">
        <f>EA17+預測IC!EB21</f>
        <v>1.8017204501846806</v>
      </c>
      <c r="EC17" s="15">
        <f>EB17+預測IC!EC21</f>
        <v>1.6616264322324548</v>
      </c>
      <c r="ED17" s="15">
        <f>EC17+預測IC!ED21</f>
        <v>1.7907816355696411</v>
      </c>
      <c r="EE17" s="15">
        <f>ED17+預測IC!EE21</f>
        <v>1.8017375809765155</v>
      </c>
      <c r="EF17" s="15">
        <f>EE17+預測IC!EF21</f>
        <v>1.7729403545568445</v>
      </c>
    </row>
    <row r="18" spans="1:136" x14ac:dyDescent="0.3">
      <c r="A18" s="1"/>
      <c r="B18" s="1" t="s">
        <v>156</v>
      </c>
      <c r="C18" s="15">
        <v>2.5922326608526759E-2</v>
      </c>
      <c r="D18" s="15">
        <f>C18+預測IC!D22</f>
        <v>0.16835017868592525</v>
      </c>
      <c r="E18" s="15">
        <f>D18+預測IC!E22</f>
        <v>0.14611976642668711</v>
      </c>
      <c r="F18" s="15">
        <f>E18+預測IC!F22</f>
        <v>0.21395082734796467</v>
      </c>
      <c r="G18" s="15">
        <f>F18+預測IC!G22</f>
        <v>0.11006646405763057</v>
      </c>
      <c r="H18" s="15">
        <f>G18+預測IC!H22</f>
        <v>-0.11973908043377002</v>
      </c>
      <c r="I18" s="15">
        <f>H18+預測IC!I22</f>
        <v>-0.24323224977183983</v>
      </c>
      <c r="J18" s="15">
        <f>I18+預測IC!J22</f>
        <v>-0.19063366050649691</v>
      </c>
      <c r="K18" s="15">
        <f>J18+預測IC!K22</f>
        <v>5.4732252176258794E-2</v>
      </c>
      <c r="L18" s="15">
        <f>K18+預測IC!L22</f>
        <v>-5.275491647498301E-2</v>
      </c>
      <c r="M18" s="15">
        <f>L18+預測IC!M22</f>
        <v>-0.12685497524555556</v>
      </c>
      <c r="N18" s="15">
        <f>M18+預測IC!N22</f>
        <v>-2.8824114437922793E-2</v>
      </c>
      <c r="O18" s="15">
        <f>N18+預測IC!O22</f>
        <v>0.1146562315663496</v>
      </c>
      <c r="P18" s="15">
        <f>O18+預測IC!P22</f>
        <v>0.15751472008533951</v>
      </c>
      <c r="Q18" s="15">
        <f>P18+預測IC!Q22</f>
        <v>0.43429161391839133</v>
      </c>
      <c r="R18" s="15">
        <f>Q18+預測IC!R22</f>
        <v>0.4709200481899794</v>
      </c>
      <c r="S18" s="15">
        <f>R18+預測IC!S22</f>
        <v>0.71797667771970897</v>
      </c>
      <c r="T18" s="15">
        <f>S18+預測IC!T22</f>
        <v>0.73821529019654297</v>
      </c>
      <c r="U18" s="15">
        <f>T18+預測IC!U22</f>
        <v>0.84880531359904721</v>
      </c>
      <c r="V18" s="15">
        <f>U18+預測IC!V22</f>
        <v>0.90582944823333689</v>
      </c>
      <c r="W18" s="15">
        <f>V18+預測IC!W22</f>
        <v>1.2520229335325854</v>
      </c>
      <c r="X18" s="15">
        <f>W18+預測IC!X22</f>
        <v>1.5092252847460825</v>
      </c>
      <c r="Y18" s="15">
        <f>X18+預測IC!Y22</f>
        <v>1.5571636169258509</v>
      </c>
      <c r="Z18" s="15">
        <f>Y18+預測IC!Z22</f>
        <v>1.6327118860716969</v>
      </c>
      <c r="AA18" s="15">
        <f>Z18+預測IC!AA22</f>
        <v>1.6397599029585537</v>
      </c>
      <c r="AB18" s="15">
        <f>AA18+預測IC!AB22</f>
        <v>1.5053236902452283</v>
      </c>
      <c r="AC18" s="15">
        <f>AB18+預測IC!AC22</f>
        <v>1.5911001509606608</v>
      </c>
      <c r="AD18" s="15">
        <f>AC18+預測IC!AD22</f>
        <v>1.6096939001753221</v>
      </c>
      <c r="AE18" s="15">
        <f>AD18+預測IC!AE22</f>
        <v>1.7405177429916563</v>
      </c>
      <c r="AF18" s="15">
        <f>AE18+預測IC!AF22</f>
        <v>1.3106009749430443</v>
      </c>
      <c r="AG18" s="15">
        <f>AF18+預測IC!AG22</f>
        <v>1.2997888743762021</v>
      </c>
      <c r="AH18" s="15">
        <f>AG18+預測IC!AH22</f>
        <v>1.5474111205396033</v>
      </c>
      <c r="AI18" s="15">
        <f>AH18+預測IC!AI22</f>
        <v>1.4800182195284173</v>
      </c>
      <c r="AJ18" s="15">
        <f>AI18+預測IC!AJ22</f>
        <v>1.4341520900302627</v>
      </c>
      <c r="AK18" s="15">
        <f>AJ18+預測IC!AK22</f>
        <v>1.5127278587351769</v>
      </c>
      <c r="AL18" s="15">
        <f>AK18+預測IC!AL22</f>
        <v>1.5530688255420773</v>
      </c>
      <c r="AM18" s="15">
        <f>AL18+預測IC!AM22</f>
        <v>1.6371577290097807</v>
      </c>
      <c r="AN18" s="15">
        <f>AM18+預測IC!AN22</f>
        <v>1.7482905386733401</v>
      </c>
      <c r="AO18" s="15">
        <f>AN18+預測IC!AO22</f>
        <v>1.906443413967067</v>
      </c>
      <c r="AP18" s="15">
        <f>AO18+預測IC!AP22</f>
        <v>1.8859506854490884</v>
      </c>
      <c r="AQ18" s="15">
        <f>AP18+預測IC!AQ22</f>
        <v>1.8065245679704953</v>
      </c>
      <c r="AR18" s="15">
        <f>AQ18+預測IC!AR22</f>
        <v>1.8744490556740987</v>
      </c>
      <c r="AS18" s="15">
        <f>AR18+預測IC!AS22</f>
        <v>1.9572594945726487</v>
      </c>
      <c r="AT18" s="15">
        <f>AS18+預測IC!AT22</f>
        <v>1.9749878655670854</v>
      </c>
      <c r="AU18" s="15">
        <f>AT18+預測IC!AU22</f>
        <v>2.0849024628852697</v>
      </c>
      <c r="AV18" s="15">
        <f>AU18+預測IC!AV22</f>
        <v>2.1445486030589351</v>
      </c>
      <c r="AW18" s="15">
        <f>AV18+預測IC!AW22</f>
        <v>2.1746979922659442</v>
      </c>
      <c r="AX18" s="15">
        <f>AW18+預測IC!AX22</f>
        <v>2.1845731782716382</v>
      </c>
      <c r="AY18" s="15">
        <f>AX18+預測IC!AY22</f>
        <v>2.2830294544010017</v>
      </c>
      <c r="AZ18" s="15">
        <f>AY18+預測IC!AZ22</f>
        <v>2.0555439581675481</v>
      </c>
      <c r="BA18" s="15">
        <f>AZ18+預測IC!BA22</f>
        <v>2.0099455330000859</v>
      </c>
      <c r="BB18" s="15">
        <f>BA18+預測IC!BB22</f>
        <v>2.3794961162965738</v>
      </c>
      <c r="BC18" s="15">
        <f>BB18+預測IC!BC22</f>
        <v>2.2486591781736185</v>
      </c>
      <c r="BD18" s="15">
        <f>BC18+預測IC!BD22</f>
        <v>2.2264849967077902</v>
      </c>
      <c r="BE18" s="15">
        <f>BD18+預測IC!BE22</f>
        <v>2.2042688133133099</v>
      </c>
      <c r="BF18" s="15">
        <f>BE18+預測IC!BF22</f>
        <v>2.4033712618617482</v>
      </c>
      <c r="BG18" s="15">
        <f>BF18+預測IC!BG22</f>
        <v>2.4496507740301343</v>
      </c>
      <c r="BH18" s="15">
        <f>BG18+預測IC!BH22</f>
        <v>2.3216902316920023</v>
      </c>
      <c r="BI18" s="15">
        <f>BH18+預測IC!BI22</f>
        <v>2.4090082908691781</v>
      </c>
      <c r="BJ18" s="15">
        <f>BI18+預測IC!BJ22</f>
        <v>2.3987743154200745</v>
      </c>
      <c r="BK18" s="15">
        <f>BJ18+預測IC!BK22</f>
        <v>2.3779195600903078</v>
      </c>
      <c r="BL18" s="15">
        <f>BK18+預測IC!BL22</f>
        <v>2.5173909504911713</v>
      </c>
      <c r="BM18" s="15">
        <f>BL18+預測IC!BM22</f>
        <v>2.5198214337367046</v>
      </c>
      <c r="BN18" s="15">
        <f>BM18+預測IC!BN22</f>
        <v>2.4913026272727294</v>
      </c>
      <c r="BO18" s="15">
        <f>BN18+預測IC!BO22</f>
        <v>2.5417870563854796</v>
      </c>
      <c r="BP18" s="15">
        <f>BO18+預測IC!BP22</f>
        <v>2.541246056260948</v>
      </c>
      <c r="BQ18" s="15">
        <f>BP18+預測IC!BQ22</f>
        <v>2.4500178650665387</v>
      </c>
      <c r="BR18" s="15">
        <f>BQ18+預測IC!BR22</f>
        <v>2.4708314745329916</v>
      </c>
      <c r="BS18" s="15">
        <f>BR18+預測IC!BS22</f>
        <v>2.5678790642375366</v>
      </c>
      <c r="BT18" s="15">
        <f>BS18+預測IC!BT22</f>
        <v>2.6350222796552618</v>
      </c>
      <c r="BU18" s="15">
        <f>BT18+預測IC!BU22</f>
        <v>2.8479710457932721</v>
      </c>
      <c r="BV18" s="15">
        <f>BU18+預測IC!BV22</f>
        <v>2.8472892856257146</v>
      </c>
      <c r="BW18" s="15">
        <f>BV18+預測IC!BW22</f>
        <v>2.979461077161496</v>
      </c>
      <c r="BX18" s="15">
        <f>BW18+預測IC!BX22</f>
        <v>2.8265237069115039</v>
      </c>
      <c r="BY18" s="15">
        <f>BX18+預測IC!BY22</f>
        <v>2.8588765824320035</v>
      </c>
      <c r="BZ18" s="15">
        <f>BY18+預測IC!BZ22</f>
        <v>2.8116188465691114</v>
      </c>
      <c r="CA18" s="15">
        <f>BZ18+預測IC!CA22</f>
        <v>2.7841287680887881</v>
      </c>
      <c r="CB18" s="15">
        <f>CA18+預測IC!CB22</f>
        <v>2.529389512373927</v>
      </c>
      <c r="CC18" s="15">
        <f>CB18+預測IC!CC22</f>
        <v>2.4042855170538942</v>
      </c>
      <c r="CD18" s="15">
        <f>CC18+預測IC!CD22</f>
        <v>2.0885138568510451</v>
      </c>
      <c r="CE18" s="15">
        <f>CD18+預測IC!CE22</f>
        <v>1.6951265177467669</v>
      </c>
      <c r="CF18" s="15">
        <f>CE18+預測IC!CF22</f>
        <v>1.5943561607127021</v>
      </c>
      <c r="CG18" s="15">
        <f>CF18+預測IC!CG22</f>
        <v>1.3872708280791892</v>
      </c>
      <c r="CH18" s="15">
        <f>CG18+預測IC!CH22</f>
        <v>1.5408771128887326</v>
      </c>
      <c r="CI18" s="15">
        <f>CH18+預測IC!CI22</f>
        <v>1.6054944356991068</v>
      </c>
      <c r="CJ18" s="15">
        <f>CI18+預測IC!CJ22</f>
        <v>1.7088739407886695</v>
      </c>
      <c r="CK18" s="15">
        <f>CJ18+預測IC!CK22</f>
        <v>1.8197974810754518</v>
      </c>
      <c r="CL18" s="15">
        <f>CK18+預測IC!CL22</f>
        <v>1.7248004690519063</v>
      </c>
      <c r="CM18" s="15">
        <f>CL18+預測IC!CM22</f>
        <v>2.0452324727097317</v>
      </c>
      <c r="CN18" s="15">
        <f>CM18+預測IC!CN22</f>
        <v>2.0537792445306393</v>
      </c>
      <c r="CO18" s="15">
        <f>CN18+預測IC!CO22</f>
        <v>1.8684934866254126</v>
      </c>
      <c r="CP18" s="15">
        <f>CO18+預測IC!CP22</f>
        <v>1.6090849296560101</v>
      </c>
      <c r="CQ18" s="15">
        <f>CP18+預測IC!CQ22</f>
        <v>1.6262445451751339</v>
      </c>
      <c r="CR18" s="15">
        <f>CQ18+預測IC!CR22</f>
        <v>1.3794717751832473</v>
      </c>
      <c r="CS18" s="15">
        <f>CR18+預測IC!CS22</f>
        <v>1.4039113620152799</v>
      </c>
      <c r="CT18" s="15">
        <f>CS18+預測IC!CT22</f>
        <v>1.2778199838265083</v>
      </c>
      <c r="CU18" s="15">
        <f>CT18+預測IC!CU22</f>
        <v>1.4451738950128765</v>
      </c>
      <c r="CV18" s="15">
        <f>CU18+預測IC!CV22</f>
        <v>1.2621273482681783</v>
      </c>
      <c r="CW18" s="15">
        <f>CV18+預測IC!CW22</f>
        <v>1.285011390600163</v>
      </c>
      <c r="CX18" s="15">
        <f>CW18+預測IC!CX22</f>
        <v>1.2307180951263592</v>
      </c>
      <c r="CY18" s="15">
        <f>CX18+預測IC!CY22</f>
        <v>1.0682782264129125</v>
      </c>
      <c r="CZ18" s="15">
        <f>CY18+預測IC!CZ22</f>
        <v>1.0606909799717734</v>
      </c>
      <c r="DA18" s="15">
        <f>CZ18+預測IC!DA22</f>
        <v>1.0566992260898493</v>
      </c>
      <c r="DB18" s="15">
        <f>DA18+預測IC!DB22</f>
        <v>1.1150827329183415</v>
      </c>
      <c r="DC18" s="15">
        <f>DB18+預測IC!DC22</f>
        <v>1.1358075173624991</v>
      </c>
      <c r="DD18" s="15">
        <f>DC18+預測IC!DD22</f>
        <v>1.1675176864883245</v>
      </c>
      <c r="DE18" s="15">
        <f>DD18+預測IC!DE22</f>
        <v>1.1497611829863916</v>
      </c>
      <c r="DF18" s="15">
        <f>DE18+預測IC!DF22</f>
        <v>1.2468328886226185</v>
      </c>
      <c r="DG18" s="15">
        <f>DF18+預測IC!DG22</f>
        <v>1.3349542991256822</v>
      </c>
      <c r="DH18" s="15">
        <f>DG18+預測IC!DH22</f>
        <v>1.2534999175097736</v>
      </c>
      <c r="DI18" s="15">
        <f>DH18+預測IC!DI22</f>
        <v>1.3346054613500438</v>
      </c>
      <c r="DJ18" s="15">
        <f>DI18+預測IC!DJ22</f>
        <v>1.1809056985197142</v>
      </c>
      <c r="DK18" s="15">
        <f>DJ18+預測IC!DK22</f>
        <v>1.1575595218867527</v>
      </c>
      <c r="DL18" s="15">
        <f>DK18+預測IC!DL22</f>
        <v>1.1607728526298915</v>
      </c>
      <c r="DM18" s="15">
        <f>DL18+預測IC!DM22</f>
        <v>1.1180963035138507</v>
      </c>
      <c r="DN18" s="15">
        <f>DM18+預測IC!DN22</f>
        <v>1.4234713317860539</v>
      </c>
      <c r="DO18" s="15">
        <f>DN18+預測IC!DO22</f>
        <v>1.4472400000735028</v>
      </c>
      <c r="DP18" s="15">
        <f>DO18+預測IC!DP22</f>
        <v>1.4574672579264067</v>
      </c>
      <c r="DQ18" s="15">
        <f>DP18+預測IC!DQ22</f>
        <v>1.2920630913817668</v>
      </c>
      <c r="DR18" s="15">
        <f>DQ18+預測IC!DR22</f>
        <v>1.2208267917086311</v>
      </c>
      <c r="DS18" s="15">
        <f>DR18+預測IC!DS22</f>
        <v>1.091302952339426</v>
      </c>
      <c r="DT18" s="15">
        <f>DS18+預測IC!DT22</f>
        <v>1.1184317063175961</v>
      </c>
      <c r="DU18" s="15">
        <f>DT18+預測IC!DU22</f>
        <v>0.74316283397562399</v>
      </c>
      <c r="DV18" s="15">
        <f>DU18+預測IC!DV22</f>
        <v>0.58610046442587316</v>
      </c>
      <c r="DW18" s="15">
        <f>DV18+預測IC!DW22</f>
        <v>0.66449018813287031</v>
      </c>
      <c r="DX18" s="15">
        <f>DW18+預測IC!DX22</f>
        <v>0.82884231217440951</v>
      </c>
      <c r="DY18" s="15">
        <f>DX18+預測IC!DY22</f>
        <v>0.51108793980992706</v>
      </c>
      <c r="DZ18" s="15">
        <f>DY18+預測IC!DZ22</f>
        <v>0.67671418603568267</v>
      </c>
      <c r="EA18" s="15">
        <f>DZ18+預測IC!EA22</f>
        <v>0.81707034803637624</v>
      </c>
      <c r="EB18" s="15">
        <f>EA18+預測IC!EB22</f>
        <v>0.94683629834244531</v>
      </c>
      <c r="EC18" s="15">
        <f>EB18+預測IC!EC22</f>
        <v>0.97526511012049621</v>
      </c>
      <c r="ED18" s="15">
        <f>EC18+預測IC!ED22</f>
        <v>1.158947096624652</v>
      </c>
      <c r="EE18" s="15">
        <f>ED18+預測IC!EE22</f>
        <v>1.1948464538207209</v>
      </c>
      <c r="EF18" s="15">
        <f>EE18+預測IC!EF22</f>
        <v>1.1582509846889426</v>
      </c>
    </row>
    <row r="19" spans="1:136" s="13" customFormat="1" x14ac:dyDescent="0.3">
      <c r="B19" s="16" t="s">
        <v>147</v>
      </c>
      <c r="C19" s="17">
        <v>-1.7446770539390338E-2</v>
      </c>
      <c r="D19" s="18">
        <f>C19+預測IC!D25</f>
        <v>3.2542899924252917E-3</v>
      </c>
      <c r="E19" s="18">
        <f>D19+預測IC!E25</f>
        <v>2.7236419247192001E-2</v>
      </c>
      <c r="F19" s="18">
        <f>E19+預測IC!F25</f>
        <v>2.0678840274368924E-2</v>
      </c>
      <c r="G19" s="18">
        <f>F19+預測IC!G25</f>
        <v>5.2523970074888612E-2</v>
      </c>
      <c r="H19" s="18">
        <f>G19+預測IC!H25</f>
        <v>8.6872502811879138E-2</v>
      </c>
      <c r="I19" s="18">
        <f>H19+預測IC!I25</f>
        <v>7.8617570030553904E-2</v>
      </c>
      <c r="J19" s="18">
        <f>I19+預測IC!J25</f>
        <v>9.1461094424606662E-2</v>
      </c>
      <c r="K19" s="18">
        <f>J19+預測IC!K25</f>
        <v>4.0442569797815839E-2</v>
      </c>
      <c r="L19" s="18">
        <f>K19+預測IC!L25</f>
        <v>4.1316512538852428E-2</v>
      </c>
      <c r="M19" s="18">
        <f>L19+預測IC!M25</f>
        <v>6.4706088044348353E-2</v>
      </c>
      <c r="N19" s="18">
        <f>M19+預測IC!N25</f>
        <v>7.7695060244681202E-2</v>
      </c>
      <c r="O19" s="18">
        <f>N19+預測IC!O25</f>
        <v>8.3549648970316082E-2</v>
      </c>
      <c r="P19" s="18">
        <f>O19+預測IC!P25</f>
        <v>0.11096285554210664</v>
      </c>
      <c r="Q19" s="18">
        <f>P19+預測IC!Q25</f>
        <v>0.10724991942441378</v>
      </c>
      <c r="R19" s="18">
        <f>Q19+預測IC!R25</f>
        <v>0.13132653347223711</v>
      </c>
      <c r="S19" s="18">
        <f>R19+預測IC!S25</f>
        <v>0.11913650817319715</v>
      </c>
      <c r="T19" s="18">
        <f>S19+預測IC!T25</f>
        <v>7.9386930013607554E-2</v>
      </c>
      <c r="U19" s="18">
        <f>T19+預測IC!U25</f>
        <v>6.2314801819580018E-3</v>
      </c>
      <c r="V19" s="18">
        <f>U19+預測IC!V25</f>
        <v>-5.2028749728156659E-2</v>
      </c>
      <c r="W19" s="18">
        <f>V19+預測IC!W25</f>
        <v>-5.1255952162648284E-2</v>
      </c>
      <c r="X19" s="18">
        <f>W19+預測IC!X25</f>
        <v>-6.6644310274293142E-3</v>
      </c>
      <c r="Y19" s="18">
        <f>X19+預測IC!Y25</f>
        <v>-3.4364111077642409E-2</v>
      </c>
      <c r="Z19" s="18">
        <f>Y19+預測IC!Z25</f>
        <v>-3.226910512789876E-2</v>
      </c>
      <c r="AA19" s="18">
        <f>Z19+預測IC!AA25</f>
        <v>-5.5669656120462874E-2</v>
      </c>
      <c r="AB19" s="18">
        <f>AA19+預測IC!AB25</f>
        <v>-2.3540285023140685E-2</v>
      </c>
      <c r="AC19" s="18">
        <f>AB19+預測IC!AC25</f>
        <v>1.5362988070925745E-2</v>
      </c>
      <c r="AD19" s="18">
        <f>AC19+預測IC!AD25</f>
        <v>-2.7502394100178525E-2</v>
      </c>
      <c r="AE19" s="18">
        <f>AD19+預測IC!AE25</f>
        <v>-8.8551995500263658E-3</v>
      </c>
      <c r="AF19" s="18">
        <f>AE19+預測IC!AF25</f>
        <v>6.3745687725025833E-3</v>
      </c>
      <c r="AG19" s="18">
        <f>AF19+預測IC!AG25</f>
        <v>4.2391172551395004E-2</v>
      </c>
      <c r="AH19" s="18">
        <f>AG19+預測IC!AH25</f>
        <v>5.174578393671117E-2</v>
      </c>
      <c r="AI19" s="18">
        <f>AH19+預測IC!AI25</f>
        <v>6.2494035273549312E-2</v>
      </c>
      <c r="AJ19" s="18">
        <f>AI19+預測IC!AJ25</f>
        <v>7.5851789326630281E-2</v>
      </c>
      <c r="AK19" s="18">
        <f>AJ19+預測IC!AK25</f>
        <v>7.0519041997534893E-2</v>
      </c>
      <c r="AL19" s="18">
        <f>AK19+預測IC!AL25</f>
        <v>7.1902177804796574E-2</v>
      </c>
      <c r="AM19" s="18">
        <f>AL19+預測IC!AM25</f>
        <v>9.2698106224871041E-2</v>
      </c>
      <c r="AN19" s="18">
        <f>AM19+預測IC!AN25</f>
        <v>0.12421580844526167</v>
      </c>
      <c r="AO19" s="18">
        <f>AN19+預測IC!AO25</f>
        <v>0.13045752497859112</v>
      </c>
      <c r="AP19" s="18">
        <f>AO19+預測IC!AP25</f>
        <v>0.13660278663216249</v>
      </c>
      <c r="AQ19" s="18">
        <f>AP19+預測IC!AQ25</f>
        <v>0.15354914430885899</v>
      </c>
      <c r="AR19" s="18">
        <f>AQ19+預測IC!AR25</f>
        <v>0.18823197476316722</v>
      </c>
      <c r="AS19" s="18">
        <f>AR19+預測IC!AS25</f>
        <v>0.19133056338036419</v>
      </c>
      <c r="AT19" s="18">
        <f>AS19+預測IC!AT25</f>
        <v>0.2064119105238503</v>
      </c>
      <c r="AU19" s="18">
        <f>AT19+預測IC!AU25</f>
        <v>0.18716070129398632</v>
      </c>
      <c r="AV19" s="18">
        <f>AU19+預測IC!AV25</f>
        <v>0.22587221468161775</v>
      </c>
      <c r="AW19" s="18">
        <f>AV19+預測IC!AW25</f>
        <v>0.20401526354588115</v>
      </c>
      <c r="AX19" s="18">
        <f>AW19+預測IC!AX25</f>
        <v>0.21178956425567083</v>
      </c>
      <c r="AY19" s="18">
        <f>AX19+預測IC!AY25</f>
        <v>0.25418681095099677</v>
      </c>
      <c r="AZ19" s="18">
        <f>AY19+預測IC!AZ25</f>
        <v>0.22787783608983703</v>
      </c>
      <c r="BA19" s="18">
        <f>AZ19+預測IC!BA25</f>
        <v>0.23744958539855326</v>
      </c>
      <c r="BB19" s="18">
        <f>BA19+預測IC!BB25</f>
        <v>0.21319984413227844</v>
      </c>
      <c r="BC19" s="18">
        <f>BB19+預測IC!BC25</f>
        <v>0.23336321827619427</v>
      </c>
      <c r="BD19" s="18">
        <f>BC19+預測IC!BD25</f>
        <v>0.22985821949407825</v>
      </c>
      <c r="BE19" s="18">
        <f>BD19+預測IC!BE25</f>
        <v>0.25001015459262055</v>
      </c>
      <c r="BF19" s="18">
        <f>BE19+預測IC!BF25</f>
        <v>0.25059149082339083</v>
      </c>
      <c r="BG19" s="18">
        <f>BF19+預測IC!BG25</f>
        <v>0.24537178987013822</v>
      </c>
      <c r="BH19" s="18">
        <f>BG19+預測IC!BH25</f>
        <v>0.12950002846800823</v>
      </c>
      <c r="BI19" s="18">
        <f>BH19+預測IC!BI25</f>
        <v>0.13822525416044559</v>
      </c>
      <c r="BJ19" s="18">
        <f>BI19+預測IC!BJ25</f>
        <v>0.12184799318262345</v>
      </c>
      <c r="BK19" s="18">
        <f>BJ19+預測IC!BK25</f>
        <v>0.14268836478288388</v>
      </c>
      <c r="BL19" s="18">
        <f>BK19+預測IC!BL25</f>
        <v>0.18766423688499859</v>
      </c>
      <c r="BM19" s="18">
        <f>BL19+預測IC!BM25</f>
        <v>0.21161854296686244</v>
      </c>
      <c r="BN19" s="18">
        <f>BM19+預測IC!BN25</f>
        <v>0.24185764435830504</v>
      </c>
      <c r="BO19" s="18">
        <f>BN19+預測IC!BO25</f>
        <v>0.19813175676721753</v>
      </c>
      <c r="BP19" s="18">
        <f>BO19+預測IC!BP25</f>
        <v>0.22002122633541615</v>
      </c>
      <c r="BQ19" s="18">
        <f>BP19+預測IC!BQ25</f>
        <v>0.22864865659892455</v>
      </c>
      <c r="BR19" s="18">
        <f>BQ19+預測IC!BR25</f>
        <v>0.20945570260426577</v>
      </c>
      <c r="BS19" s="18">
        <f>BR19+預測IC!BS25</f>
        <v>0.22919083249239883</v>
      </c>
      <c r="BT19" s="18">
        <f>BS19+預測IC!BT25</f>
        <v>0.27688516997609824</v>
      </c>
      <c r="BU19" s="18">
        <f>BT19+預測IC!BU25</f>
        <v>0.28833998678268163</v>
      </c>
      <c r="BV19" s="18">
        <f>BU19+預測IC!BV25</f>
        <v>0.33156860751789485</v>
      </c>
      <c r="BW19" s="18">
        <f>BV19+預測IC!BW25</f>
        <v>0.28882117708097205</v>
      </c>
      <c r="BX19" s="18">
        <f>BW19+預測IC!BX25</f>
        <v>0.27100988465317749</v>
      </c>
      <c r="BY19" s="18">
        <f>BX19+預測IC!BY25</f>
        <v>0.11985678778410189</v>
      </c>
      <c r="BZ19" s="18">
        <f>BY19+預測IC!BZ25</f>
        <v>0.24408079140367717</v>
      </c>
      <c r="CA19" s="18">
        <f>BZ19+預測IC!CA25</f>
        <v>0.23952353755914751</v>
      </c>
      <c r="CB19" s="18">
        <f>CA19+預測IC!CB25</f>
        <v>0.29973477776405871</v>
      </c>
      <c r="CC19" s="18">
        <f>CB19+預測IC!CC25</f>
        <v>0.385726811246561</v>
      </c>
      <c r="CD19" s="18">
        <f>CC19+預測IC!CD25</f>
        <v>0.37991833166419492</v>
      </c>
      <c r="CE19" s="18">
        <f>CD19+預測IC!CE25</f>
        <v>0.37387698467522684</v>
      </c>
      <c r="CF19" s="18">
        <f>CE19+預測IC!CF25</f>
        <v>0.37632930904747891</v>
      </c>
      <c r="CG19" s="18">
        <f>CF19+預測IC!CG25</f>
        <v>0.46596556098450181</v>
      </c>
      <c r="CH19" s="18">
        <f>CG19+預測IC!CH25</f>
        <v>0.53695829351125968</v>
      </c>
      <c r="CI19" s="18">
        <f>CH19+預測IC!CI25</f>
        <v>0.56412893641304307</v>
      </c>
      <c r="CJ19" s="18">
        <f>CI19+預測IC!CJ25</f>
        <v>0.61659736483837313</v>
      </c>
      <c r="CK19" s="18">
        <f>CJ19+預測IC!CK25</f>
        <v>0.64607802578142259</v>
      </c>
      <c r="CL19" s="18">
        <f>CK19+預測IC!CL25</f>
        <v>0.71290310684162383</v>
      </c>
      <c r="CM19" s="18">
        <f>CL19+預測IC!CM25</f>
        <v>0.68413087782180682</v>
      </c>
      <c r="CN19" s="18">
        <f>CM19+預測IC!CN25</f>
        <v>0.72359339372344467</v>
      </c>
      <c r="CO19" s="18">
        <f>CN19+預測IC!CO25</f>
        <v>0.69456230674608477</v>
      </c>
      <c r="CP19" s="18">
        <f>CO19+預測IC!CP25</f>
        <v>0.70854618926555268</v>
      </c>
      <c r="CQ19" s="18">
        <f>CP19+預測IC!CQ25</f>
        <v>0.67626922430621883</v>
      </c>
      <c r="CR19" s="18">
        <f>CQ19+預測IC!CR25</f>
        <v>0.6793728009191129</v>
      </c>
      <c r="CS19" s="18">
        <f>CR19+預測IC!CS25</f>
        <v>0.70496465668619601</v>
      </c>
      <c r="CT19" s="18">
        <f>CS19+預測IC!CT25</f>
        <v>0.74935654297338927</v>
      </c>
      <c r="CU19" s="18">
        <f>CT19+預測IC!CU25</f>
        <v>0.71901758442381181</v>
      </c>
      <c r="CV19" s="18">
        <f>CU19+預測IC!CV25</f>
        <v>0.7177596079692401</v>
      </c>
      <c r="CW19" s="18">
        <f>CV19+預測IC!CW25</f>
        <v>0.72009596442509805</v>
      </c>
      <c r="CX19" s="18">
        <f>CW19+預測IC!CX25</f>
        <v>0.655831819499192</v>
      </c>
      <c r="CY19" s="18">
        <f>CX19+預測IC!CY25</f>
        <v>0.66874159895818441</v>
      </c>
      <c r="CZ19" s="18">
        <f>CY19+預測IC!CZ25</f>
        <v>0.54326450428732564</v>
      </c>
      <c r="DA19" s="18">
        <f>CZ19+預測IC!DA25</f>
        <v>0.55495518722711823</v>
      </c>
      <c r="DB19" s="18">
        <f>DA19+預測IC!DB25</f>
        <v>0.56129303092785998</v>
      </c>
      <c r="DC19" s="18">
        <f>DB19+預測IC!DC25</f>
        <v>0.44398767445847448</v>
      </c>
      <c r="DD19" s="18">
        <f>DC19+預測IC!DD25</f>
        <v>0.40797680240902789</v>
      </c>
      <c r="DE19" s="18">
        <f>DD19+預測IC!DE25</f>
        <v>0.54688810648129582</v>
      </c>
      <c r="DF19" s="18">
        <f>DE19+預測IC!DF25</f>
        <v>0.49574460025519007</v>
      </c>
      <c r="DG19" s="18">
        <f>DF19+預測IC!DG25</f>
        <v>0.57247604743715907</v>
      </c>
      <c r="DH19" s="18">
        <f>DG19+預測IC!DH25</f>
        <v>0.58798482963416721</v>
      </c>
      <c r="DI19" s="18">
        <f>DH19+預測IC!DI25</f>
        <v>0.61120860330892302</v>
      </c>
      <c r="DJ19" s="18">
        <f>DI19+預測IC!DJ25</f>
        <v>0.59283572694769515</v>
      </c>
      <c r="DK19" s="18">
        <f>DJ19+預測IC!DK25</f>
        <v>0.65503474103279458</v>
      </c>
      <c r="DL19" s="18">
        <f>DK19+預測IC!DL25</f>
        <v>0.67513304551975173</v>
      </c>
      <c r="DM19" s="18">
        <f>DL19+預測IC!DM25</f>
        <v>0.68863198526781977</v>
      </c>
      <c r="DN19" s="18">
        <f>DM19+預測IC!DN25</f>
        <v>0.65837977253939894</v>
      </c>
      <c r="DO19" s="18">
        <f>DN19+預測IC!DO25</f>
        <v>0.64135693683134509</v>
      </c>
      <c r="DP19" s="18">
        <f>DO19+預測IC!DP25</f>
        <v>0.61956841355888315</v>
      </c>
      <c r="DQ19" s="18">
        <f>DP19+預測IC!DQ25</f>
        <v>0.70531403814402038</v>
      </c>
      <c r="DR19" s="18">
        <f>DQ19+預測IC!DR25</f>
        <v>0.73342078174899417</v>
      </c>
      <c r="DS19" s="18">
        <f>DR19+預測IC!DS25</f>
        <v>0.73111762194163477</v>
      </c>
      <c r="DT19" s="18">
        <f>DS19+預測IC!DT25</f>
        <v>0.78958882007312226</v>
      </c>
      <c r="DU19" s="18">
        <f>DT19+預測IC!DU25</f>
        <v>0.85724776912176992</v>
      </c>
      <c r="DV19" s="18">
        <f>DU19+預測IC!DV25</f>
        <v>0.86226853976220219</v>
      </c>
      <c r="DW19" s="18">
        <f>DV19+預測IC!DW25</f>
        <v>0.89968472343740924</v>
      </c>
      <c r="DX19" s="18">
        <f>DW19+預測IC!DX25</f>
        <v>0.98379572718345132</v>
      </c>
      <c r="DY19" s="18">
        <f>DX19+預測IC!DY25</f>
        <v>0.94696332863943844</v>
      </c>
      <c r="DZ19" s="18">
        <f>DY19+預測IC!DZ25</f>
        <v>0.95005503145637549</v>
      </c>
      <c r="EA19" s="18">
        <f>DZ19+預測IC!EA25</f>
        <v>0.94809740324208092</v>
      </c>
      <c r="EB19" s="18">
        <f>EA19+預測IC!EB25</f>
        <v>0.97455650684560069</v>
      </c>
      <c r="EC19" s="18">
        <f>EB19+預測IC!EC25</f>
        <v>0.94980396808491041</v>
      </c>
      <c r="ED19" s="18">
        <f>EC19+預測IC!ED25</f>
        <v>0.98391945906747036</v>
      </c>
      <c r="EE19" s="18">
        <f>ED19+預測IC!EE25</f>
        <v>1.0049814330565034</v>
      </c>
      <c r="EF19" s="18">
        <f>EE19+預測IC!EF25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96CCF-5BDA-403E-A1E5-AD9FD05336D1}">
  <dimension ref="A1:EH26"/>
  <sheetViews>
    <sheetView topLeftCell="A9" zoomScale="106" workbookViewId="0">
      <selection activeCell="A11" sqref="A11:B24"/>
    </sheetView>
  </sheetViews>
  <sheetFormatPr defaultRowHeight="15" x14ac:dyDescent="0.3"/>
  <sheetData>
    <row r="1" spans="1:138" x14ac:dyDescent="0.3">
      <c r="A1" t="s">
        <v>0</v>
      </c>
    </row>
    <row r="2" spans="1:138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</row>
    <row r="3" spans="1:138" x14ac:dyDescent="0.3">
      <c r="B3" s="1" t="s">
        <v>136</v>
      </c>
      <c r="C3" s="9">
        <v>0.10910583</v>
      </c>
      <c r="D3" s="9">
        <v>1.457658E-2</v>
      </c>
      <c r="E3" s="9">
        <v>-3.6154400000000003E-2</v>
      </c>
      <c r="F3" s="9">
        <v>-4.7425999999999996E-3</v>
      </c>
      <c r="G3" s="9">
        <v>-5.7478E-3</v>
      </c>
      <c r="H3" s="9">
        <v>4.9378020000000002E-2</v>
      </c>
      <c r="I3" s="9">
        <v>0.18325177000000001</v>
      </c>
      <c r="J3" s="9">
        <v>0.11648631</v>
      </c>
      <c r="K3" s="9">
        <v>-3.0594900000000001E-2</v>
      </c>
      <c r="L3" s="9">
        <v>1.982805E-2</v>
      </c>
      <c r="M3" s="9">
        <v>-2.0999E-2</v>
      </c>
      <c r="N3" s="9">
        <v>0.14977942</v>
      </c>
      <c r="O3" s="9">
        <v>1.546341E-2</v>
      </c>
      <c r="P3" s="9">
        <v>-9.1792299999999993E-2</v>
      </c>
      <c r="Q3" s="9">
        <v>-7.7409000000000006E-2</v>
      </c>
      <c r="R3" s="9">
        <v>5.4776600000000002E-2</v>
      </c>
      <c r="S3" s="9">
        <v>-0.12533440000000001</v>
      </c>
      <c r="T3" s="9">
        <v>-0.1190534</v>
      </c>
      <c r="U3" s="9">
        <v>-3.7770100000000001E-2</v>
      </c>
      <c r="V3" s="9">
        <v>8.1183820000000004E-2</v>
      </c>
      <c r="W3" s="9">
        <v>8.4008970000000002E-2</v>
      </c>
      <c r="X3" s="9">
        <v>0.14701136000000001</v>
      </c>
      <c r="Y3" s="9">
        <v>-0.12536050000000001</v>
      </c>
      <c r="Z3" s="9">
        <v>0.19195355</v>
      </c>
      <c r="AA3" s="9">
        <v>-8.4370799999999996E-2</v>
      </c>
      <c r="AB3" s="9">
        <v>7.2897610000000002E-2</v>
      </c>
      <c r="AC3" s="9">
        <v>0.10260456</v>
      </c>
      <c r="AD3" s="9">
        <v>1.577017E-2</v>
      </c>
      <c r="AE3" s="9">
        <v>-0.15200720000000001</v>
      </c>
      <c r="AF3" s="9">
        <v>5.9250249999999997E-2</v>
      </c>
      <c r="AG3" s="9">
        <v>0.13005884000000001</v>
      </c>
      <c r="AH3" s="9">
        <v>0.11525639999999999</v>
      </c>
      <c r="AI3" s="9">
        <v>3.2606620000000003E-2</v>
      </c>
      <c r="AJ3" s="9">
        <v>2.7999110000000001E-2</v>
      </c>
      <c r="AK3" s="9">
        <v>0.14657042000000001</v>
      </c>
      <c r="AL3" s="9">
        <v>4.0841919999999997E-2</v>
      </c>
      <c r="AM3" s="9">
        <v>0.13137636999999999</v>
      </c>
      <c r="AN3" s="9">
        <v>0.22143296000000001</v>
      </c>
      <c r="AO3" s="9">
        <v>-2.0941000000000001E-2</v>
      </c>
      <c r="AP3" s="9">
        <v>-0.13716</v>
      </c>
      <c r="AQ3" s="9">
        <v>-2.4882899999999999E-2</v>
      </c>
      <c r="AR3" s="9">
        <v>1.551397E-2</v>
      </c>
      <c r="AS3" s="9">
        <v>3.4373040000000001E-2</v>
      </c>
      <c r="AT3" s="9">
        <v>6.3095689999999996E-2</v>
      </c>
      <c r="AU3" s="9">
        <v>4.3237699999999997E-2</v>
      </c>
      <c r="AV3" s="9">
        <v>-7.4230400000000002E-2</v>
      </c>
      <c r="AW3" s="9">
        <v>2.7994829999999998E-2</v>
      </c>
      <c r="AX3" s="9">
        <v>0.11986442</v>
      </c>
      <c r="AY3" s="9">
        <v>7.6559569999999993E-2</v>
      </c>
      <c r="AZ3" s="9">
        <v>-2.17304E-2</v>
      </c>
      <c r="BA3" s="9">
        <v>-1.2465E-3</v>
      </c>
      <c r="BB3" s="9">
        <v>0.10099582</v>
      </c>
      <c r="BC3" s="9">
        <v>2.9826930000000001E-2</v>
      </c>
      <c r="BD3" s="9">
        <v>8.6757699999999993E-3</v>
      </c>
      <c r="BE3" s="9">
        <v>6.8557209999999993E-2</v>
      </c>
      <c r="BF3" s="9">
        <v>0.15691260000000001</v>
      </c>
      <c r="BG3" s="9">
        <v>0.15920372999999999</v>
      </c>
      <c r="BH3" s="9">
        <v>6.1121670000000003E-2</v>
      </c>
      <c r="BI3" s="9">
        <v>9.6912849999999995E-2</v>
      </c>
      <c r="BJ3" s="9">
        <v>-5.4746200000000002E-2</v>
      </c>
      <c r="BK3" s="9">
        <v>-8.7493000000000001E-2</v>
      </c>
      <c r="BL3" s="9">
        <v>9.4426750000000004E-2</v>
      </c>
      <c r="BM3" s="9">
        <v>-2.2191099999999998E-2</v>
      </c>
      <c r="BN3" s="9">
        <v>1.5628610000000001E-2</v>
      </c>
      <c r="BO3" s="9">
        <v>8.1418240000000003E-2</v>
      </c>
      <c r="BP3" s="9">
        <v>-1.8508899999999998E-2</v>
      </c>
      <c r="BQ3" s="9">
        <v>6.8729570000000004E-2</v>
      </c>
      <c r="BR3" s="9">
        <v>3.1023600000000002E-3</v>
      </c>
      <c r="BS3" s="9">
        <v>7.4964420000000004E-2</v>
      </c>
      <c r="BT3" s="9">
        <v>4.520159E-2</v>
      </c>
      <c r="BU3" s="9">
        <v>2.5677330000000002E-2</v>
      </c>
      <c r="BV3" s="9">
        <v>9.1804029999999995E-2</v>
      </c>
      <c r="BW3" s="9">
        <v>-2.6353999999999999E-2</v>
      </c>
      <c r="BX3" s="9">
        <v>1.9394829999999998E-2</v>
      </c>
      <c r="BY3" s="9">
        <v>-7.6838900000000002E-2</v>
      </c>
      <c r="BZ3" s="9">
        <v>0.11330931</v>
      </c>
      <c r="CA3" s="9">
        <v>-0.1073549</v>
      </c>
      <c r="CB3" s="9">
        <v>4.0844789999999999E-2</v>
      </c>
      <c r="CC3" s="9">
        <v>-1.9801699999999998E-2</v>
      </c>
      <c r="CD3" s="9">
        <v>0.18837709</v>
      </c>
      <c r="CE3" s="9">
        <v>5.5574909999999998E-2</v>
      </c>
      <c r="CF3" s="9">
        <v>7.4872069999999999E-2</v>
      </c>
      <c r="CG3" s="9">
        <v>0.10000019</v>
      </c>
      <c r="CH3" s="9">
        <v>0.13602172000000001</v>
      </c>
      <c r="CI3" s="9">
        <v>-9.3741000000000005E-2</v>
      </c>
      <c r="CJ3" s="9">
        <v>3.9306000000000002E-3</v>
      </c>
      <c r="CK3" s="9">
        <v>5.6507780000000001E-2</v>
      </c>
      <c r="CL3" s="9">
        <v>0.26354578000000001</v>
      </c>
      <c r="CM3" s="9">
        <v>-9.5554000000000004E-3</v>
      </c>
      <c r="CN3" s="9">
        <v>-3.1511900000000002E-2</v>
      </c>
      <c r="CO3" s="9">
        <v>-2.2619E-2</v>
      </c>
      <c r="CP3" s="9">
        <v>0.13265561000000001</v>
      </c>
      <c r="CQ3" s="9">
        <v>0.13307278</v>
      </c>
      <c r="CR3" s="9">
        <v>-1.49564E-2</v>
      </c>
      <c r="CS3" s="9">
        <v>-3.3419900000000002E-2</v>
      </c>
      <c r="CT3" s="9">
        <v>1.2281210000000001E-2</v>
      </c>
      <c r="CU3" s="9">
        <v>0.11681498</v>
      </c>
      <c r="CV3" s="9">
        <v>-3.1589000000000001E-3</v>
      </c>
      <c r="CW3" s="9">
        <v>3.8217760000000003E-2</v>
      </c>
      <c r="CX3" s="9">
        <v>0.13917409</v>
      </c>
      <c r="CY3" s="9">
        <v>-2.3712299999999999E-2</v>
      </c>
      <c r="CZ3" s="9">
        <v>0.21835291000000001</v>
      </c>
      <c r="DA3" s="9">
        <v>-5.7967400000000002E-2</v>
      </c>
      <c r="DB3" s="9">
        <v>-1.4104200000000001E-2</v>
      </c>
      <c r="DC3" s="9">
        <v>0.11395608</v>
      </c>
      <c r="DD3" s="9">
        <v>7.4472259999999998E-2</v>
      </c>
      <c r="DE3" s="9">
        <v>-8.9970000000000002E-4</v>
      </c>
      <c r="DF3" s="9">
        <v>9.7707000000000002E-4</v>
      </c>
      <c r="DG3" s="9">
        <v>-7.2980100000000006E-2</v>
      </c>
      <c r="DH3" s="9">
        <v>-2.38453E-2</v>
      </c>
      <c r="DI3" s="9">
        <v>-0.1015307</v>
      </c>
      <c r="DJ3" s="9">
        <v>2.7692540000000002E-2</v>
      </c>
      <c r="DK3" s="9">
        <v>-4.9335200000000003E-2</v>
      </c>
      <c r="DL3" s="9">
        <v>-5.6994000000000003E-3</v>
      </c>
      <c r="DM3" s="9">
        <v>-3.6981800000000002E-2</v>
      </c>
      <c r="DN3" s="9">
        <v>0.10981299</v>
      </c>
      <c r="DO3" s="9">
        <v>4.2036829999999997E-2</v>
      </c>
      <c r="DP3" s="9">
        <v>8.4566669999999997E-2</v>
      </c>
      <c r="DQ3" s="9">
        <v>-0.1102798</v>
      </c>
      <c r="DR3" s="9">
        <v>9.4328709999999996E-2</v>
      </c>
      <c r="DS3" s="9">
        <v>-7.1906899999999996E-2</v>
      </c>
      <c r="DT3" s="9">
        <v>-9.62364E-2</v>
      </c>
      <c r="DU3" s="9">
        <v>2.3455500000000001E-3</v>
      </c>
      <c r="DV3" s="9">
        <v>0.13401742</v>
      </c>
      <c r="DW3" s="9">
        <v>9.4732520000000001E-2</v>
      </c>
      <c r="DX3" s="9">
        <v>-0.1037732</v>
      </c>
      <c r="DY3" s="9">
        <v>7.576215E-2</v>
      </c>
      <c r="DZ3" s="9">
        <v>-3.1829700000000002E-2</v>
      </c>
      <c r="EA3" s="9">
        <v>0.16130802</v>
      </c>
      <c r="EB3" s="9">
        <v>1.0203530000000001E-2</v>
      </c>
      <c r="EC3" s="9">
        <v>7.3988429999999994E-2</v>
      </c>
      <c r="ED3" s="9">
        <v>-0.15737689999999999</v>
      </c>
      <c r="EE3" s="9">
        <v>7.9137550000000001E-2</v>
      </c>
      <c r="EF3" s="9">
        <v>7.2528549999999997E-2</v>
      </c>
      <c r="EG3" s="10">
        <f>CORREL([1]bm補值!EG$2:EG$972,[1]下個月月報酬補值!EG$2:EG$972)</f>
        <v>0.14231065676311483</v>
      </c>
    </row>
    <row r="4" spans="1:138" x14ac:dyDescent="0.3">
      <c r="B4" s="1" t="s">
        <v>137</v>
      </c>
      <c r="C4" s="9">
        <v>-0.24758869999999999</v>
      </c>
      <c r="D4" s="9">
        <v>-0.27469329999999997</v>
      </c>
      <c r="E4" s="9">
        <v>-8.4648399999999999E-2</v>
      </c>
      <c r="F4" s="9">
        <v>2.2644629999999999E-2</v>
      </c>
      <c r="G4" s="9">
        <v>-4.9680000000000002E-2</v>
      </c>
      <c r="H4" s="9">
        <v>-0.1007596</v>
      </c>
      <c r="I4" s="9">
        <v>-1.2522699999999999E-2</v>
      </c>
      <c r="J4" s="9">
        <v>7.8736539999999994E-2</v>
      </c>
      <c r="K4" s="9">
        <v>-3.4185100000000003E-2</v>
      </c>
      <c r="L4" s="9">
        <v>8.8406789999999999E-2</v>
      </c>
      <c r="M4" s="9">
        <v>-3.0634999999999998E-3</v>
      </c>
      <c r="N4" s="9">
        <v>-0.21221799999999999</v>
      </c>
      <c r="O4" s="9">
        <v>-3.6805400000000002E-2</v>
      </c>
      <c r="P4" s="9">
        <v>7.1033120000000005E-2</v>
      </c>
      <c r="Q4" s="9">
        <v>-7.1261099999999994E-2</v>
      </c>
      <c r="R4" s="9">
        <v>2.1560449999999998E-2</v>
      </c>
      <c r="S4" s="9">
        <v>0.10111125999999999</v>
      </c>
      <c r="T4" s="9">
        <v>4.3224730000000003E-2</v>
      </c>
      <c r="U4" s="9">
        <v>1.488195E-2</v>
      </c>
      <c r="V4" s="9">
        <v>6.3260199999999999E-3</v>
      </c>
      <c r="W4" s="9">
        <v>-0.14355299999999999</v>
      </c>
      <c r="X4" s="9">
        <v>-6.4282199999999998E-2</v>
      </c>
      <c r="Y4" s="9">
        <v>-1.9034200000000001E-2</v>
      </c>
      <c r="Z4" s="9">
        <v>-2.0644599999999999E-2</v>
      </c>
      <c r="AA4" s="9">
        <v>3.3059529999999997E-2</v>
      </c>
      <c r="AB4" s="9">
        <v>-1.94182E-2</v>
      </c>
      <c r="AC4" s="9">
        <v>-6.3126799999999997E-2</v>
      </c>
      <c r="AD4" s="9">
        <v>-6.5629699999999999E-2</v>
      </c>
      <c r="AE4" s="9">
        <v>0.13799568000000001</v>
      </c>
      <c r="AF4" s="9">
        <v>-0.1005679</v>
      </c>
      <c r="AG4" s="9">
        <v>-3.7969099999999999E-2</v>
      </c>
      <c r="AH4" s="9">
        <v>-4.5839499999999998E-2</v>
      </c>
      <c r="AI4" s="9">
        <v>-5.1034099999999999E-2</v>
      </c>
      <c r="AJ4" s="9">
        <v>-3.2204E-3</v>
      </c>
      <c r="AK4" s="9">
        <v>4.8952000000000002E-4</v>
      </c>
      <c r="AL4" s="9">
        <v>-0.10644670000000001</v>
      </c>
      <c r="AM4" s="9">
        <v>-1.3724E-2</v>
      </c>
      <c r="AN4" s="9">
        <v>-0.1219647</v>
      </c>
      <c r="AO4" s="9">
        <v>-4.85897E-2</v>
      </c>
      <c r="AP4" s="9">
        <v>-1.9032000000000001E-3</v>
      </c>
      <c r="AQ4" s="9">
        <v>2.9067490000000001E-2</v>
      </c>
      <c r="AR4" s="9">
        <v>5.2635769999999998E-2</v>
      </c>
      <c r="AS4" s="9">
        <v>-1.28933E-2</v>
      </c>
      <c r="AT4" s="9">
        <v>-2.1310999999999999E-3</v>
      </c>
      <c r="AU4" s="9">
        <v>-0.15538440000000001</v>
      </c>
      <c r="AV4" s="9">
        <v>1.268178E-2</v>
      </c>
      <c r="AW4" s="9">
        <v>-1.1942299999999999E-2</v>
      </c>
      <c r="AX4" s="9">
        <v>-4.2538000000000003E-3</v>
      </c>
      <c r="AY4" s="9">
        <v>2.930087E-2</v>
      </c>
      <c r="AZ4" s="9">
        <v>-0.13412750000000001</v>
      </c>
      <c r="BA4" s="9">
        <v>-0.1371115</v>
      </c>
      <c r="BB4" s="9">
        <v>1.7546599999999999E-3</v>
      </c>
      <c r="BC4" s="9">
        <v>2.511712E-2</v>
      </c>
      <c r="BD4" s="9">
        <v>-0.1196019</v>
      </c>
      <c r="BE4" s="9">
        <v>0.13576165000000001</v>
      </c>
      <c r="BF4" s="9">
        <v>4.7091170000000002E-2</v>
      </c>
      <c r="BG4" s="9">
        <v>-2.60501E-2</v>
      </c>
      <c r="BH4" s="9">
        <v>4.3752760000000002E-2</v>
      </c>
      <c r="BI4" s="9">
        <v>-8.13918E-2</v>
      </c>
      <c r="BJ4" s="9">
        <v>-0.1006008</v>
      </c>
      <c r="BK4" s="9">
        <v>9.0490070000000006E-2</v>
      </c>
      <c r="BL4" s="9">
        <v>-3.0898499999999999E-2</v>
      </c>
      <c r="BM4" s="9">
        <v>5.8814169999999999E-2</v>
      </c>
      <c r="BN4" s="9">
        <v>8.1345630000000002E-2</v>
      </c>
      <c r="BO4" s="9">
        <v>-7.7164E-3</v>
      </c>
      <c r="BP4" s="9">
        <v>0.10673487</v>
      </c>
      <c r="BQ4" s="9">
        <v>-2.7156300000000001E-2</v>
      </c>
      <c r="BR4" s="9">
        <v>-5.4431E-2</v>
      </c>
      <c r="BS4" s="9">
        <v>-6.8229300000000007E-2</v>
      </c>
      <c r="BT4" s="9">
        <v>9.861222E-2</v>
      </c>
      <c r="BU4" s="9">
        <v>0.12839854000000001</v>
      </c>
      <c r="BV4" s="9">
        <v>-7.84025E-2</v>
      </c>
      <c r="BW4" s="9">
        <v>-0.1191337</v>
      </c>
      <c r="BX4" s="9">
        <v>-4.6890099999999997E-2</v>
      </c>
      <c r="BY4" s="9">
        <v>0.10169835000000001</v>
      </c>
      <c r="BZ4" s="9">
        <v>-2.5680100000000001E-2</v>
      </c>
      <c r="CA4" s="9">
        <v>-8.3301799999999995E-2</v>
      </c>
      <c r="CB4" s="9">
        <v>-0.15782760000000001</v>
      </c>
      <c r="CC4" s="9">
        <v>-7.1052599999999994E-2</v>
      </c>
      <c r="CD4" s="9">
        <v>-7.3875499999999997E-2</v>
      </c>
      <c r="CE4" s="9">
        <v>-0.23678650000000001</v>
      </c>
      <c r="CF4" s="9">
        <v>3.2627709999999997E-2</v>
      </c>
      <c r="CG4" s="9">
        <v>1.342309E-2</v>
      </c>
      <c r="CH4" s="9">
        <v>-2.7967000000000001E-3</v>
      </c>
      <c r="CI4" s="9">
        <v>4.7925700000000002E-2</v>
      </c>
      <c r="CJ4" s="9">
        <v>-3.2520000000000001E-3</v>
      </c>
      <c r="CK4" s="9">
        <v>-7.5708200000000003E-2</v>
      </c>
      <c r="CL4" s="9">
        <v>-4.4397300000000001E-2</v>
      </c>
      <c r="CM4" s="9">
        <v>0.17898859</v>
      </c>
      <c r="CN4" s="9">
        <v>5.7994270000000001E-2</v>
      </c>
      <c r="CO4" s="9">
        <v>-0.13939019999999999</v>
      </c>
      <c r="CP4" s="9">
        <v>6.4714670000000002E-2</v>
      </c>
      <c r="CQ4" s="9">
        <v>-0.18118790000000001</v>
      </c>
      <c r="CR4" s="9">
        <v>-8.8633500000000004E-2</v>
      </c>
      <c r="CS4" s="9">
        <v>-2.5321799999999998E-2</v>
      </c>
      <c r="CT4" s="9">
        <v>-0.1130791</v>
      </c>
      <c r="CU4" s="9">
        <v>8.0959599999999993E-3</v>
      </c>
      <c r="CV4" s="9">
        <v>-4.5200200000000003E-2</v>
      </c>
      <c r="CW4" s="9">
        <v>-5.8941199999999999E-2</v>
      </c>
      <c r="CX4" s="9">
        <v>-0.1077283</v>
      </c>
      <c r="CY4" s="9">
        <v>-9.6503500000000006E-2</v>
      </c>
      <c r="CZ4" s="9">
        <v>-0.21035429999999999</v>
      </c>
      <c r="DA4" s="9">
        <v>-0.10996110000000001</v>
      </c>
      <c r="DB4" s="9">
        <v>-0.1908205</v>
      </c>
      <c r="DC4" s="9">
        <v>-2.0727300000000001E-2</v>
      </c>
      <c r="DD4" s="9">
        <v>8.7029090000000003E-2</v>
      </c>
      <c r="DE4" s="9">
        <v>8.2024589999999994E-2</v>
      </c>
      <c r="DF4" s="9">
        <v>-0.16687669999999999</v>
      </c>
      <c r="DG4" s="9">
        <v>0.22243809</v>
      </c>
      <c r="DH4" s="9">
        <v>-0.1442978</v>
      </c>
      <c r="DI4" s="9">
        <v>-0.1196199</v>
      </c>
      <c r="DJ4" s="9">
        <v>-0.1015928</v>
      </c>
      <c r="DK4" s="9">
        <v>9.2855060000000003E-2</v>
      </c>
      <c r="DL4" s="9">
        <v>-4.2630500000000002E-2</v>
      </c>
      <c r="DM4" s="9">
        <v>8.2732070000000005E-2</v>
      </c>
      <c r="DN4" s="9">
        <v>-3.1049500000000001E-2</v>
      </c>
      <c r="DO4" s="9">
        <v>-9.8141999999999993E-2</v>
      </c>
      <c r="DP4" s="9">
        <v>-0.13058890000000001</v>
      </c>
      <c r="DQ4" s="9">
        <v>4.865572E-2</v>
      </c>
      <c r="DR4" s="9">
        <v>-3.9251899999999999E-2</v>
      </c>
      <c r="DS4" s="9">
        <v>-0.16103020000000001</v>
      </c>
      <c r="DT4" s="9">
        <v>-7.8883999999999996E-2</v>
      </c>
      <c r="DU4" s="9">
        <v>0.16407715</v>
      </c>
      <c r="DV4" s="9">
        <v>7.5052599999999997E-3</v>
      </c>
      <c r="DW4" s="9">
        <v>-0.1016452</v>
      </c>
      <c r="DX4" s="9">
        <v>-5.6040300000000001E-2</v>
      </c>
      <c r="DY4" s="9">
        <v>-0.10665669999999999</v>
      </c>
      <c r="DZ4" s="9">
        <v>-6.9186600000000001E-2</v>
      </c>
      <c r="EA4" s="9">
        <v>-0.12618869999999999</v>
      </c>
      <c r="EB4" s="9">
        <v>-6.4737100000000006E-2</v>
      </c>
      <c r="EC4" s="9">
        <v>5.1426090000000001E-2</v>
      </c>
      <c r="ED4" s="9">
        <v>3.4496730000000003E-2</v>
      </c>
      <c r="EE4" s="9">
        <v>0.1576776</v>
      </c>
      <c r="EF4" s="9">
        <v>-0.12717999999999999</v>
      </c>
      <c r="EG4" s="10">
        <f>CORREL([2]size補值!EG$2:EG$965,[2]下個月月報酬補值!EG$2:EG$965)</f>
        <v>-0.15895948868776608</v>
      </c>
    </row>
    <row r="5" spans="1:138" x14ac:dyDescent="0.3">
      <c r="B5" s="1" t="s">
        <v>138</v>
      </c>
      <c r="C5" s="9">
        <v>-5.4239999999999997E-2</v>
      </c>
      <c r="D5" s="9">
        <v>4.5377000000000001E-2</v>
      </c>
      <c r="E5" s="9">
        <v>-1.7749999999999998E-2</v>
      </c>
      <c r="F5" s="9">
        <v>-8.7690000000000004E-2</v>
      </c>
      <c r="G5" s="9">
        <v>0.102759</v>
      </c>
      <c r="H5" s="9">
        <v>2.5110000000000002E-3</v>
      </c>
      <c r="I5" s="9">
        <v>-1.83E-2</v>
      </c>
      <c r="J5" s="9">
        <v>2.2110999999999999E-2</v>
      </c>
      <c r="K5" s="9">
        <v>7.7257999999999993E-2</v>
      </c>
      <c r="L5" s="9">
        <v>9.3439999999999999E-3</v>
      </c>
      <c r="M5" s="9">
        <v>5.3601999999999997E-2</v>
      </c>
      <c r="N5" s="9">
        <v>-6.7879999999999996E-2</v>
      </c>
      <c r="O5" s="9">
        <v>6.4930000000000002E-2</v>
      </c>
      <c r="P5" s="9">
        <v>4.8809999999999999E-3</v>
      </c>
      <c r="Q5" s="9">
        <v>1.9198E-2</v>
      </c>
      <c r="R5" s="9">
        <v>-5.47E-3</v>
      </c>
      <c r="S5" s="9">
        <v>3.6551E-2</v>
      </c>
      <c r="T5" s="9">
        <v>0.12918499999999999</v>
      </c>
      <c r="U5" s="9">
        <v>1.3691999999999999E-2</v>
      </c>
      <c r="V5" s="9">
        <v>1.5295E-2</v>
      </c>
      <c r="W5" s="9">
        <v>-0.10469000000000001</v>
      </c>
      <c r="X5" s="9">
        <v>-0.29385</v>
      </c>
      <c r="Y5" s="9">
        <v>5.9212000000000001E-2</v>
      </c>
      <c r="Z5" s="9">
        <v>-0.18495</v>
      </c>
      <c r="AA5" s="9">
        <v>9.8247000000000001E-2</v>
      </c>
      <c r="AB5" s="9">
        <v>-6.6E-4</v>
      </c>
      <c r="AC5" s="9">
        <v>-0.10369</v>
      </c>
      <c r="AD5" s="9">
        <v>3.545E-3</v>
      </c>
      <c r="AE5" s="9">
        <v>0.17560100000000001</v>
      </c>
      <c r="AF5" s="9">
        <v>-0.15503</v>
      </c>
      <c r="AG5" s="9">
        <v>-2.6329999999999999E-2</v>
      </c>
      <c r="AH5" s="9">
        <v>-5.0000000000000001E-3</v>
      </c>
      <c r="AI5" s="9">
        <v>2.8067999999999999E-2</v>
      </c>
      <c r="AJ5" s="9">
        <v>-2.2380000000000001E-2</v>
      </c>
      <c r="AK5" s="9">
        <v>-4.7019999999999999E-2</v>
      </c>
      <c r="AL5" s="9">
        <v>-0.10156</v>
      </c>
      <c r="AM5" s="9">
        <v>2.3525000000000001E-2</v>
      </c>
      <c r="AN5" s="9">
        <v>5.2525000000000002E-2</v>
      </c>
      <c r="AO5" s="9">
        <v>5.8502999999999999E-2</v>
      </c>
      <c r="AP5" s="9">
        <v>3.3446999999999998E-2</v>
      </c>
      <c r="AQ5" s="9">
        <v>1.43E-2</v>
      </c>
      <c r="AR5" s="9">
        <v>3.5903999999999998E-2</v>
      </c>
      <c r="AS5" s="9">
        <v>3.9781999999999998E-2</v>
      </c>
      <c r="AT5" s="9">
        <v>0.148456</v>
      </c>
      <c r="AU5" s="9">
        <v>-4.079E-2</v>
      </c>
      <c r="AV5" s="9">
        <v>0.138959</v>
      </c>
      <c r="AW5" s="9">
        <v>5.9863E-2</v>
      </c>
      <c r="AX5" s="9">
        <v>-0.14979000000000001</v>
      </c>
      <c r="AY5" s="9">
        <v>6.1595999999999998E-2</v>
      </c>
      <c r="AZ5" s="9">
        <v>-6.1949999999999998E-2</v>
      </c>
      <c r="BA5" s="9">
        <v>-2.3900000000000002E-3</v>
      </c>
      <c r="BB5" s="9">
        <v>-0.14887</v>
      </c>
      <c r="BC5" s="9">
        <v>6.0351000000000002E-2</v>
      </c>
      <c r="BD5" s="9">
        <v>-1.469E-2</v>
      </c>
      <c r="BE5" s="9">
        <v>-0.14652000000000001</v>
      </c>
      <c r="BF5" s="9">
        <v>-0.20876</v>
      </c>
      <c r="BG5" s="9">
        <v>-0.20144000000000001</v>
      </c>
      <c r="BH5" s="9">
        <v>-0.11805</v>
      </c>
      <c r="BI5" s="9">
        <v>-7.7030000000000001E-2</v>
      </c>
      <c r="BJ5" s="9">
        <v>-3.6220000000000002E-2</v>
      </c>
      <c r="BK5" s="9">
        <v>-1.891E-2</v>
      </c>
      <c r="BL5" s="9">
        <v>-0.17126</v>
      </c>
      <c r="BM5" s="9">
        <v>0.13291700000000001</v>
      </c>
      <c r="BN5" s="9">
        <v>-3.5909999999999997E-2</v>
      </c>
      <c r="BO5" s="9">
        <v>2.1344999999999999E-2</v>
      </c>
      <c r="BP5" s="9">
        <v>4.9634999999999999E-2</v>
      </c>
      <c r="BQ5" s="9">
        <v>-1.721E-2</v>
      </c>
      <c r="BR5" s="9">
        <v>0.189827</v>
      </c>
      <c r="BS5" s="9">
        <v>-9.7610000000000002E-2</v>
      </c>
      <c r="BT5" s="9">
        <v>3.7830999999999997E-2</v>
      </c>
      <c r="BU5" s="9">
        <v>5.6008000000000002E-2</v>
      </c>
      <c r="BV5" s="9">
        <v>-0.11674</v>
      </c>
      <c r="BW5" s="9">
        <v>-0.14132</v>
      </c>
      <c r="BX5" s="9">
        <v>-3.3800000000000002E-3</v>
      </c>
      <c r="BY5" s="9">
        <v>0.13033600000000001</v>
      </c>
      <c r="BZ5" s="9">
        <v>3.1697999999999997E-2</v>
      </c>
      <c r="CA5" s="9">
        <v>4.0555000000000001E-2</v>
      </c>
      <c r="CB5" s="9">
        <v>-4.2040000000000001E-2</v>
      </c>
      <c r="CC5" s="9">
        <v>5.0014000000000003E-2</v>
      </c>
      <c r="CD5" s="9">
        <v>-6.8459999999999993E-2</v>
      </c>
      <c r="CE5" s="9">
        <v>-8.0829999999999999E-2</v>
      </c>
      <c r="CF5" s="9">
        <v>-1.9499999999999999E-3</v>
      </c>
      <c r="CG5" s="9">
        <v>-0.11821</v>
      </c>
      <c r="CH5" s="9">
        <v>-3.6720000000000003E-2</v>
      </c>
      <c r="CI5" s="9">
        <v>-8.3330000000000001E-2</v>
      </c>
      <c r="CJ5" s="9">
        <v>0.23067299999999999</v>
      </c>
      <c r="CK5" s="9">
        <v>0.13277900000000001</v>
      </c>
      <c r="CL5" s="9">
        <v>0.141287</v>
      </c>
      <c r="CM5" s="9">
        <v>-0.11269</v>
      </c>
      <c r="CN5" s="9">
        <v>0.22348899999999999</v>
      </c>
      <c r="CO5" s="9">
        <v>-0.10442</v>
      </c>
      <c r="CP5" s="9">
        <v>-1.443E-2</v>
      </c>
      <c r="CQ5" s="9">
        <v>-0.20723</v>
      </c>
      <c r="CR5" s="9">
        <v>-0.13486000000000001</v>
      </c>
      <c r="CS5" s="9">
        <v>7.3008000000000003E-2</v>
      </c>
      <c r="CT5" s="9">
        <v>-3.022E-2</v>
      </c>
      <c r="CU5" s="9">
        <v>-0.28688999999999998</v>
      </c>
      <c r="CV5" s="9">
        <v>0.23073099999999999</v>
      </c>
      <c r="CW5" s="9">
        <v>9.1076000000000004E-2</v>
      </c>
      <c r="CX5" s="9">
        <v>-0.12249</v>
      </c>
      <c r="CY5" s="9">
        <v>7.8381999999999993E-2</v>
      </c>
      <c r="CZ5" s="9">
        <v>-4.5949999999999998E-2</v>
      </c>
      <c r="DA5" s="9">
        <v>8.2669999999999993E-2</v>
      </c>
      <c r="DB5" s="9">
        <v>0.14934900000000001</v>
      </c>
      <c r="DC5" s="9">
        <v>-4.7800000000000002E-2</v>
      </c>
      <c r="DD5" s="9">
        <v>-0.16450999999999999</v>
      </c>
      <c r="DE5" s="9">
        <v>-0.11057</v>
      </c>
      <c r="DF5" s="9">
        <v>5.7417000000000003E-2</v>
      </c>
      <c r="DG5" s="9">
        <v>-0.21489</v>
      </c>
      <c r="DH5" s="9">
        <v>6.2996999999999997E-2</v>
      </c>
      <c r="DI5" s="9">
        <v>6.7721000000000003E-2</v>
      </c>
      <c r="DJ5" s="9">
        <v>0.118802</v>
      </c>
      <c r="DK5" s="9">
        <v>7.2830000000000004E-3</v>
      </c>
      <c r="DL5" s="9">
        <v>7.1320999999999996E-2</v>
      </c>
      <c r="DM5" s="9">
        <v>2.1021999999999999E-2</v>
      </c>
      <c r="DN5" s="9">
        <v>-3.04E-2</v>
      </c>
      <c r="DO5" s="9">
        <v>-9.6949999999999995E-2</v>
      </c>
      <c r="DP5" s="9">
        <v>-0.23068</v>
      </c>
      <c r="DQ5" s="9">
        <v>0.23818400000000001</v>
      </c>
      <c r="DR5" s="9">
        <v>3.5750000000000001E-3</v>
      </c>
      <c r="DS5" s="9">
        <v>0.13395599999999999</v>
      </c>
      <c r="DT5" s="9">
        <v>0.115106</v>
      </c>
      <c r="DU5" s="9">
        <v>0.10408000000000001</v>
      </c>
      <c r="DV5" s="9">
        <v>-5.4609999999999999E-2</v>
      </c>
      <c r="DW5" s="9">
        <v>-3.329E-2</v>
      </c>
      <c r="DX5" s="9">
        <v>5.5094999999999998E-2</v>
      </c>
      <c r="DY5" s="9">
        <v>6.8793999999999994E-2</v>
      </c>
      <c r="DZ5" s="9">
        <v>1.4481000000000001E-2</v>
      </c>
      <c r="EA5" s="9">
        <v>-0.29314000000000001</v>
      </c>
      <c r="EB5" s="9">
        <v>-0.14097999999999999</v>
      </c>
      <c r="EC5" s="9">
        <v>-1.221E-2</v>
      </c>
      <c r="ED5" s="9">
        <v>5.8167999999999997E-2</v>
      </c>
      <c r="EE5" s="9">
        <v>-0.1444</v>
      </c>
      <c r="EF5" s="9">
        <v>-9.7009999999999999E-2</v>
      </c>
      <c r="EG5" s="10"/>
    </row>
    <row r="6" spans="1:138" x14ac:dyDescent="0.3">
      <c r="A6" s="22" t="s">
        <v>139</v>
      </c>
      <c r="B6" s="23"/>
      <c r="C6" s="11">
        <f t="array" ref="C6">MATCH(MAX(ABS(C3:C5)), ABS(C3:C5), 0)</f>
        <v>2</v>
      </c>
      <c r="D6" s="11">
        <f t="array" ref="D6">MATCH(MAX(ABS(D3:D5)), ABS(D3:D5), 0)</f>
        <v>2</v>
      </c>
      <c r="E6" s="11">
        <f t="array" ref="E6">MATCH(MAX(ABS(E3:E5)), ABS(E3:E5), 0)</f>
        <v>2</v>
      </c>
      <c r="F6" s="11">
        <f t="array" ref="F6">MATCH(MAX(ABS(F3:F5)), ABS(F3:F5), 0)</f>
        <v>3</v>
      </c>
      <c r="G6" s="11">
        <f t="array" ref="G6">MATCH(MAX(ABS(G3:G5)), ABS(G3:G5), 0)</f>
        <v>3</v>
      </c>
      <c r="H6" s="11">
        <f t="array" ref="H6">MATCH(MAX(ABS(H3:H5)), ABS(H3:H5), 0)</f>
        <v>2</v>
      </c>
      <c r="I6" s="11">
        <f t="array" ref="I6">MATCH(MAX(ABS(I3:I5)), ABS(I3:I5), 0)</f>
        <v>1</v>
      </c>
      <c r="J6" s="11">
        <f t="array" ref="J6">MATCH(MAX(ABS(J3:J5)), ABS(J3:J5), 0)</f>
        <v>1</v>
      </c>
      <c r="K6" s="11">
        <f t="array" ref="K6">MATCH(MAX(ABS(K3:K5)), ABS(K3:K5), 0)</f>
        <v>3</v>
      </c>
      <c r="L6" s="11">
        <f t="array" ref="L6">MATCH(MAX(ABS(L3:L5)), ABS(L3:L5), 0)</f>
        <v>2</v>
      </c>
      <c r="M6" s="11">
        <f t="array" ref="M6">MATCH(MAX(ABS(M3:M5)), ABS(M3:M5), 0)</f>
        <v>3</v>
      </c>
      <c r="N6" s="11">
        <f t="array" ref="N6">MATCH(MAX(ABS(N3:N5)), ABS(N3:N5), 0)</f>
        <v>2</v>
      </c>
      <c r="O6" s="11">
        <f t="array" ref="O6">MATCH(MAX(ABS(O3:O5)), ABS(O3:O5), 0)</f>
        <v>3</v>
      </c>
      <c r="P6" s="11">
        <f t="array" ref="P6">MATCH(MAX(ABS(P3:P5)), ABS(P3:P5), 0)</f>
        <v>1</v>
      </c>
      <c r="Q6" s="11">
        <f t="array" ref="Q6">MATCH(MAX(ABS(Q3:Q5)), ABS(Q3:Q5), 0)</f>
        <v>1</v>
      </c>
      <c r="R6" s="11">
        <f t="array" ref="R6">MATCH(MAX(ABS(R3:R5)), ABS(R3:R5), 0)</f>
        <v>1</v>
      </c>
      <c r="S6" s="11">
        <f t="array" ref="S6">MATCH(MAX(ABS(S3:S5)), ABS(S3:S5), 0)</f>
        <v>1</v>
      </c>
      <c r="T6" s="11">
        <f t="array" ref="T6">MATCH(MAX(ABS(T3:T5)), ABS(T3:T5), 0)</f>
        <v>3</v>
      </c>
      <c r="U6" s="11">
        <f t="array" ref="U6">MATCH(MAX(ABS(U3:U5)), ABS(U3:U5), 0)</f>
        <v>1</v>
      </c>
      <c r="V6" s="11">
        <f t="array" ref="V6">MATCH(MAX(ABS(V3:V5)), ABS(V3:V5), 0)</f>
        <v>1</v>
      </c>
      <c r="W6" s="11">
        <f t="array" ref="W6">MATCH(MAX(ABS(W3:W5)), ABS(W3:W5), 0)</f>
        <v>2</v>
      </c>
      <c r="X6" s="11">
        <f t="array" ref="X6">MATCH(MAX(ABS(X3:X5)), ABS(X3:X5), 0)</f>
        <v>3</v>
      </c>
      <c r="Y6" s="11">
        <f t="array" ref="Y6">MATCH(MAX(ABS(Y3:Y5)), ABS(Y3:Y5), 0)</f>
        <v>1</v>
      </c>
      <c r="Z6" s="11">
        <f t="array" ref="Z6">MATCH(MAX(ABS(Z3:Z5)), ABS(Z3:Z5), 0)</f>
        <v>1</v>
      </c>
      <c r="AA6" s="11">
        <f t="array" ref="AA6">MATCH(MAX(ABS(AA3:AA5)), ABS(AA3:AA5), 0)</f>
        <v>3</v>
      </c>
      <c r="AB6" s="11">
        <f t="array" ref="AB6">MATCH(MAX(ABS(AB3:AB5)), ABS(AB3:AB5), 0)</f>
        <v>1</v>
      </c>
      <c r="AC6" s="11">
        <f t="array" ref="AC6">MATCH(MAX(ABS(AC3:AC5)), ABS(AC3:AC5), 0)</f>
        <v>3</v>
      </c>
      <c r="AD6" s="11">
        <f t="array" ref="AD6">MATCH(MAX(ABS(AD3:AD5)), ABS(AD3:AD5), 0)</f>
        <v>2</v>
      </c>
      <c r="AE6" s="11">
        <f t="array" ref="AE6">MATCH(MAX(ABS(AE3:AE5)), ABS(AE3:AE5), 0)</f>
        <v>3</v>
      </c>
      <c r="AF6" s="11">
        <f t="array" ref="AF6">MATCH(MAX(ABS(AF3:AF5)), ABS(AF3:AF5), 0)</f>
        <v>3</v>
      </c>
      <c r="AG6" s="11">
        <f t="array" ref="AG6">MATCH(MAX(ABS(AG3:AG5)), ABS(AG3:AG5), 0)</f>
        <v>1</v>
      </c>
      <c r="AH6" s="11">
        <f t="array" ref="AH6">MATCH(MAX(ABS(AH3:AH5)), ABS(AH3:AH5), 0)</f>
        <v>1</v>
      </c>
      <c r="AI6" s="11">
        <f t="array" ref="AI6">MATCH(MAX(ABS(AI3:AI5)), ABS(AI3:AI5), 0)</f>
        <v>2</v>
      </c>
      <c r="AJ6" s="11">
        <f t="array" ref="AJ6">MATCH(MAX(ABS(AJ3:AJ5)), ABS(AJ3:AJ5), 0)</f>
        <v>1</v>
      </c>
      <c r="AK6" s="11">
        <f t="array" ref="AK6">MATCH(MAX(ABS(AK3:AK5)), ABS(AK3:AK5), 0)</f>
        <v>1</v>
      </c>
      <c r="AL6" s="11">
        <f t="array" ref="AL6">MATCH(MAX(ABS(AL3:AL5)), ABS(AL3:AL5), 0)</f>
        <v>2</v>
      </c>
      <c r="AM6" s="11">
        <f t="array" ref="AM6">MATCH(MAX(ABS(AM3:AM5)), ABS(AM3:AM5), 0)</f>
        <v>1</v>
      </c>
      <c r="AN6" s="11">
        <f t="array" ref="AN6">MATCH(MAX(ABS(AN3:AN5)), ABS(AN3:AN5), 0)</f>
        <v>1</v>
      </c>
      <c r="AO6" s="11">
        <f t="array" ref="AO6">MATCH(MAX(ABS(AO3:AO5)), ABS(AO3:AO5), 0)</f>
        <v>3</v>
      </c>
      <c r="AP6" s="11">
        <f t="array" ref="AP6">MATCH(MAX(ABS(AP3:AP5)), ABS(AP3:AP5), 0)</f>
        <v>1</v>
      </c>
      <c r="AQ6" s="11">
        <f t="array" ref="AQ6">MATCH(MAX(ABS(AQ3:AQ5)), ABS(AQ3:AQ5), 0)</f>
        <v>2</v>
      </c>
      <c r="AR6" s="11">
        <f t="array" ref="AR6">MATCH(MAX(ABS(AR3:AR5)), ABS(AR3:AR5), 0)</f>
        <v>2</v>
      </c>
      <c r="AS6" s="11">
        <f t="array" ref="AS6">MATCH(MAX(ABS(AS3:AS5)), ABS(AS3:AS5), 0)</f>
        <v>3</v>
      </c>
      <c r="AT6" s="11">
        <f t="array" ref="AT6">MATCH(MAX(ABS(AT3:AT5)), ABS(AT3:AT5), 0)</f>
        <v>3</v>
      </c>
      <c r="AU6" s="11">
        <f t="array" ref="AU6">MATCH(MAX(ABS(AU3:AU5)), ABS(AU3:AU5), 0)</f>
        <v>2</v>
      </c>
      <c r="AV6" s="11">
        <f t="array" ref="AV6">MATCH(MAX(ABS(AV3:AV5)), ABS(AV3:AV5), 0)</f>
        <v>3</v>
      </c>
      <c r="AW6" s="11">
        <f t="array" ref="AW6">MATCH(MAX(ABS(AW3:AW5)), ABS(AW3:AW5), 0)</f>
        <v>3</v>
      </c>
      <c r="AX6" s="11">
        <f t="array" ref="AX6">MATCH(MAX(ABS(AX3:AX5)), ABS(AX3:AX5), 0)</f>
        <v>3</v>
      </c>
      <c r="AY6" s="11">
        <f t="array" ref="AY6">MATCH(MAX(ABS(AY3:AY5)), ABS(AY3:AY5), 0)</f>
        <v>1</v>
      </c>
      <c r="AZ6" s="11">
        <f t="array" ref="AZ6">MATCH(MAX(ABS(AZ3:AZ5)), ABS(AZ3:AZ5), 0)</f>
        <v>2</v>
      </c>
      <c r="BA6" s="11">
        <f t="array" ref="BA6">MATCH(MAX(ABS(BA3:BA5)), ABS(BA3:BA5), 0)</f>
        <v>2</v>
      </c>
      <c r="BB6" s="11">
        <f t="array" ref="BB6">MATCH(MAX(ABS(BB3:BB5)), ABS(BB3:BB5), 0)</f>
        <v>3</v>
      </c>
      <c r="BC6" s="11">
        <f t="array" ref="BC6">MATCH(MAX(ABS(BC3:BC5)), ABS(BC3:BC5), 0)</f>
        <v>3</v>
      </c>
      <c r="BD6" s="11">
        <f t="array" ref="BD6">MATCH(MAX(ABS(BD3:BD5)), ABS(BD3:BD5), 0)</f>
        <v>2</v>
      </c>
      <c r="BE6" s="11">
        <f t="array" ref="BE6">MATCH(MAX(ABS(BE3:BE5)), ABS(BE3:BE5), 0)</f>
        <v>3</v>
      </c>
      <c r="BF6" s="11">
        <f t="array" ref="BF6">MATCH(MAX(ABS(BF3:BF5)), ABS(BF3:BF5), 0)</f>
        <v>3</v>
      </c>
      <c r="BG6" s="11">
        <f t="array" ref="BG6">MATCH(MAX(ABS(BG3:BG5)), ABS(BG3:BG5), 0)</f>
        <v>3</v>
      </c>
      <c r="BH6" s="11">
        <f t="array" ref="BH6">MATCH(MAX(ABS(BH3:BH5)), ABS(BH3:BH5), 0)</f>
        <v>3</v>
      </c>
      <c r="BI6" s="11">
        <f t="array" ref="BI6">MATCH(MAX(ABS(BI3:BI5)), ABS(BI3:BI5), 0)</f>
        <v>1</v>
      </c>
      <c r="BJ6" s="11">
        <f t="array" ref="BJ6">MATCH(MAX(ABS(BJ3:BJ5)), ABS(BJ3:BJ5), 0)</f>
        <v>2</v>
      </c>
      <c r="BK6" s="11">
        <f t="array" ref="BK6">MATCH(MAX(ABS(BK3:BK5)), ABS(BK3:BK5), 0)</f>
        <v>2</v>
      </c>
      <c r="BL6" s="11">
        <f t="array" ref="BL6">MATCH(MAX(ABS(BL3:BL5)), ABS(BL3:BL5), 0)</f>
        <v>3</v>
      </c>
      <c r="BM6" s="11">
        <f t="array" ref="BM6">MATCH(MAX(ABS(BM3:BM5)), ABS(BM3:BM5), 0)</f>
        <v>3</v>
      </c>
      <c r="BN6" s="11">
        <f t="array" ref="BN6">MATCH(MAX(ABS(BN3:BN5)), ABS(BN3:BN5), 0)</f>
        <v>2</v>
      </c>
      <c r="BO6" s="11">
        <f t="array" ref="BO6">MATCH(MAX(ABS(BO3:BO5)), ABS(BO3:BO5), 0)</f>
        <v>1</v>
      </c>
      <c r="BP6" s="11">
        <f t="array" ref="BP6">MATCH(MAX(ABS(BP3:BP5)), ABS(BP3:BP5), 0)</f>
        <v>2</v>
      </c>
      <c r="BQ6" s="11">
        <f t="array" ref="BQ6">MATCH(MAX(ABS(BQ3:BQ5)), ABS(BQ3:BQ5), 0)</f>
        <v>1</v>
      </c>
      <c r="BR6" s="11">
        <f t="array" ref="BR6">MATCH(MAX(ABS(BR3:BR5)), ABS(BR3:BR5), 0)</f>
        <v>3</v>
      </c>
      <c r="BS6" s="11">
        <f t="array" ref="BS6">MATCH(MAX(ABS(BS3:BS5)), ABS(BS3:BS5), 0)</f>
        <v>3</v>
      </c>
      <c r="BT6" s="11">
        <f t="array" ref="BT6">MATCH(MAX(ABS(BT3:BT5)), ABS(BT3:BT5), 0)</f>
        <v>2</v>
      </c>
      <c r="BU6" s="11">
        <f t="array" ref="BU6">MATCH(MAX(ABS(BU3:BU5)), ABS(BU3:BU5), 0)</f>
        <v>2</v>
      </c>
      <c r="BV6" s="11">
        <f t="array" ref="BV6">MATCH(MAX(ABS(BV3:BV5)), ABS(BV3:BV5), 0)</f>
        <v>3</v>
      </c>
      <c r="BW6" s="11">
        <f t="array" ref="BW6">MATCH(MAX(ABS(BW3:BW5)), ABS(BW3:BW5), 0)</f>
        <v>3</v>
      </c>
      <c r="BX6" s="11">
        <f t="array" ref="BX6">MATCH(MAX(ABS(BX3:BX5)), ABS(BX3:BX5), 0)</f>
        <v>2</v>
      </c>
      <c r="BY6" s="11">
        <f t="array" ref="BY6">MATCH(MAX(ABS(BY3:BY5)), ABS(BY3:BY5), 0)</f>
        <v>3</v>
      </c>
      <c r="BZ6" s="11">
        <f t="array" ref="BZ6">MATCH(MAX(ABS(BZ3:BZ5)), ABS(BZ3:BZ5), 0)</f>
        <v>1</v>
      </c>
      <c r="CA6" s="11">
        <f t="array" ref="CA6">MATCH(MAX(ABS(CA3:CA5)), ABS(CA3:CA5), 0)</f>
        <v>1</v>
      </c>
      <c r="CB6" s="11">
        <f t="array" ref="CB6">MATCH(MAX(ABS(CB3:CB5)), ABS(CB3:CB5), 0)</f>
        <v>2</v>
      </c>
      <c r="CC6" s="11">
        <f t="array" ref="CC6">MATCH(MAX(ABS(CC3:CC5)), ABS(CC3:CC5), 0)</f>
        <v>2</v>
      </c>
      <c r="CD6" s="11">
        <f t="array" ref="CD6">MATCH(MAX(ABS(CD3:CD5)), ABS(CD3:CD5), 0)</f>
        <v>1</v>
      </c>
      <c r="CE6" s="11">
        <f t="array" ref="CE6">MATCH(MAX(ABS(CE3:CE5)), ABS(CE3:CE5), 0)</f>
        <v>2</v>
      </c>
      <c r="CF6" s="11">
        <f t="array" ref="CF6">MATCH(MAX(ABS(CF3:CF5)), ABS(CF3:CF5), 0)</f>
        <v>1</v>
      </c>
      <c r="CG6" s="11">
        <f t="array" ref="CG6">MATCH(MAX(ABS(CG3:CG5)), ABS(CG3:CG5), 0)</f>
        <v>3</v>
      </c>
      <c r="CH6" s="11">
        <f t="array" ref="CH6">MATCH(MAX(ABS(CH3:CH5)), ABS(CH3:CH5), 0)</f>
        <v>1</v>
      </c>
      <c r="CI6" s="11">
        <f t="array" ref="CI6">MATCH(MAX(ABS(CI3:CI5)), ABS(CI3:CI5), 0)</f>
        <v>1</v>
      </c>
      <c r="CJ6" s="11">
        <f t="array" ref="CJ6">MATCH(MAX(ABS(CJ3:CJ5)), ABS(CJ3:CJ5), 0)</f>
        <v>3</v>
      </c>
      <c r="CK6" s="11">
        <f t="array" ref="CK6">MATCH(MAX(ABS(CK3:CK5)), ABS(CK3:CK5), 0)</f>
        <v>3</v>
      </c>
      <c r="CL6" s="11">
        <f t="array" ref="CL6">MATCH(MAX(ABS(CL3:CL5)), ABS(CL3:CL5), 0)</f>
        <v>1</v>
      </c>
      <c r="CM6" s="11">
        <f t="array" ref="CM6">MATCH(MAX(ABS(CM3:CM5)), ABS(CM3:CM5), 0)</f>
        <v>2</v>
      </c>
      <c r="CN6" s="11">
        <f t="array" ref="CN6">MATCH(MAX(ABS(CN3:CN5)), ABS(CN3:CN5), 0)</f>
        <v>3</v>
      </c>
      <c r="CO6" s="11">
        <f t="array" ref="CO6">MATCH(MAX(ABS(CO3:CO5)), ABS(CO3:CO5), 0)</f>
        <v>2</v>
      </c>
      <c r="CP6" s="11">
        <f t="array" ref="CP6">MATCH(MAX(ABS(CP3:CP5)), ABS(CP3:CP5), 0)</f>
        <v>1</v>
      </c>
      <c r="CQ6" s="11">
        <f t="array" ref="CQ6">MATCH(MAX(ABS(CQ3:CQ5)), ABS(CQ3:CQ5), 0)</f>
        <v>3</v>
      </c>
      <c r="CR6" s="11">
        <f t="array" ref="CR6">MATCH(MAX(ABS(CR3:CR5)), ABS(CR3:CR5), 0)</f>
        <v>3</v>
      </c>
      <c r="CS6" s="11">
        <f t="array" ref="CS6">MATCH(MAX(ABS(CS3:CS5)), ABS(CS3:CS5), 0)</f>
        <v>3</v>
      </c>
      <c r="CT6" s="11">
        <f t="array" ref="CT6">MATCH(MAX(ABS(CT3:CT5)), ABS(CT3:CT5), 0)</f>
        <v>2</v>
      </c>
      <c r="CU6" s="11">
        <f t="array" ref="CU6">MATCH(MAX(ABS(CU3:CU5)), ABS(CU3:CU5), 0)</f>
        <v>3</v>
      </c>
      <c r="CV6" s="11">
        <f t="array" ref="CV6">MATCH(MAX(ABS(CV3:CV5)), ABS(CV3:CV5), 0)</f>
        <v>3</v>
      </c>
      <c r="CW6" s="11">
        <f t="array" ref="CW6">MATCH(MAX(ABS(CW3:CW5)), ABS(CW3:CW5), 0)</f>
        <v>3</v>
      </c>
      <c r="CX6" s="11">
        <f t="array" ref="CX6">MATCH(MAX(ABS(CX3:CX5)), ABS(CX3:CX5), 0)</f>
        <v>1</v>
      </c>
      <c r="CY6" s="11">
        <f t="array" ref="CY6">MATCH(MAX(ABS(CY3:CY5)), ABS(CY3:CY5), 0)</f>
        <v>2</v>
      </c>
      <c r="CZ6" s="11">
        <f t="array" ref="CZ6">MATCH(MAX(ABS(CZ3:CZ5)), ABS(CZ3:CZ5), 0)</f>
        <v>1</v>
      </c>
      <c r="DA6" s="11">
        <f t="array" ref="DA6">MATCH(MAX(ABS(DA3:DA5)), ABS(DA3:DA5), 0)</f>
        <v>2</v>
      </c>
      <c r="DB6" s="11">
        <f t="array" ref="DB6">MATCH(MAX(ABS(DB3:DB5)), ABS(DB3:DB5), 0)</f>
        <v>2</v>
      </c>
      <c r="DC6" s="11">
        <f t="array" ref="DC6">MATCH(MAX(ABS(DC3:DC5)), ABS(DC3:DC5), 0)</f>
        <v>1</v>
      </c>
      <c r="DD6" s="11">
        <f t="array" ref="DD6">MATCH(MAX(ABS(DD3:DD5)), ABS(DD3:DD5), 0)</f>
        <v>3</v>
      </c>
      <c r="DE6" s="11">
        <f t="array" ref="DE6">MATCH(MAX(ABS(DE3:DE5)), ABS(DE3:DE5), 0)</f>
        <v>3</v>
      </c>
      <c r="DF6" s="11">
        <f t="array" ref="DF6">MATCH(MAX(ABS(DF3:DF5)), ABS(DF3:DF5), 0)</f>
        <v>2</v>
      </c>
      <c r="DG6" s="11">
        <f t="array" ref="DG6">MATCH(MAX(ABS(DG3:DG5)), ABS(DG3:DG5), 0)</f>
        <v>2</v>
      </c>
      <c r="DH6" s="11">
        <f t="array" ref="DH6">MATCH(MAX(ABS(DH3:DH5)), ABS(DH3:DH5), 0)</f>
        <v>2</v>
      </c>
      <c r="DI6" s="11">
        <f t="array" ref="DI6">MATCH(MAX(ABS(DI3:DI5)), ABS(DI3:DI5), 0)</f>
        <v>2</v>
      </c>
      <c r="DJ6" s="11">
        <f t="array" ref="DJ6">MATCH(MAX(ABS(DJ3:DJ5)), ABS(DJ3:DJ5), 0)</f>
        <v>3</v>
      </c>
      <c r="DK6" s="11">
        <f t="array" ref="DK6">MATCH(MAX(ABS(DK3:DK5)), ABS(DK3:DK5), 0)</f>
        <v>2</v>
      </c>
      <c r="DL6" s="11">
        <f t="array" ref="DL6">MATCH(MAX(ABS(DL3:DL5)), ABS(DL3:DL5), 0)</f>
        <v>3</v>
      </c>
      <c r="DM6" s="11">
        <f t="array" ref="DM6">MATCH(MAX(ABS(DM3:DM5)), ABS(DM3:DM5), 0)</f>
        <v>2</v>
      </c>
      <c r="DN6" s="11">
        <f t="array" ref="DN6">MATCH(MAX(ABS(DN3:DN5)), ABS(DN3:DN5), 0)</f>
        <v>1</v>
      </c>
      <c r="DO6" s="11">
        <f t="array" ref="DO6">MATCH(MAX(ABS(DO3:DO5)), ABS(DO3:DO5), 0)</f>
        <v>2</v>
      </c>
      <c r="DP6" s="11">
        <f t="array" ref="DP6">MATCH(MAX(ABS(DP3:DP5)), ABS(DP3:DP5), 0)</f>
        <v>3</v>
      </c>
      <c r="DQ6" s="11">
        <f t="array" ref="DQ6">MATCH(MAX(ABS(DQ3:DQ5)), ABS(DQ3:DQ5), 0)</f>
        <v>3</v>
      </c>
      <c r="DR6" s="11">
        <f t="array" ref="DR6">MATCH(MAX(ABS(DR3:DR5)), ABS(DR3:DR5), 0)</f>
        <v>1</v>
      </c>
      <c r="DS6" s="11">
        <f t="array" ref="DS6">MATCH(MAX(ABS(DS3:DS5)), ABS(DS3:DS5), 0)</f>
        <v>2</v>
      </c>
      <c r="DT6" s="11">
        <f t="array" ref="DT6">MATCH(MAX(ABS(DT3:DT5)), ABS(DT3:DT5), 0)</f>
        <v>3</v>
      </c>
      <c r="DU6" s="11">
        <f t="array" ref="DU6">MATCH(MAX(ABS(DU3:DU5)), ABS(DU3:DU5), 0)</f>
        <v>2</v>
      </c>
      <c r="DV6" s="11">
        <f t="array" ref="DV6">MATCH(MAX(ABS(DV3:DV5)), ABS(DV3:DV5), 0)</f>
        <v>1</v>
      </c>
      <c r="DW6" s="11">
        <f t="array" ref="DW6">MATCH(MAX(ABS(DW3:DW5)), ABS(DW3:DW5), 0)</f>
        <v>2</v>
      </c>
      <c r="DX6" s="11">
        <f t="array" ref="DX6">MATCH(MAX(ABS(DX3:DX5)), ABS(DX3:DX5), 0)</f>
        <v>1</v>
      </c>
      <c r="DY6" s="11">
        <f t="array" ref="DY6">MATCH(MAX(ABS(DY3:DY5)), ABS(DY3:DY5), 0)</f>
        <v>2</v>
      </c>
      <c r="DZ6" s="11">
        <f t="array" ref="DZ6">MATCH(MAX(ABS(DZ3:DZ5)), ABS(DZ3:DZ5), 0)</f>
        <v>2</v>
      </c>
      <c r="EA6" s="11">
        <f t="array" ref="EA6">MATCH(MAX(ABS(EA3:EA5)), ABS(EA3:EA5), 0)</f>
        <v>3</v>
      </c>
      <c r="EB6" s="11">
        <f t="array" ref="EB6">MATCH(MAX(ABS(EB3:EB5)), ABS(EB3:EB5), 0)</f>
        <v>3</v>
      </c>
      <c r="EC6" s="11">
        <f t="array" ref="EC6">MATCH(MAX(ABS(EC3:EC5)), ABS(EC3:EC5), 0)</f>
        <v>1</v>
      </c>
      <c r="ED6" s="11">
        <f t="array" ref="ED6">MATCH(MAX(ABS(ED3:ED5)), ABS(ED3:ED5), 0)</f>
        <v>1</v>
      </c>
      <c r="EE6" s="11">
        <f t="array" ref="EE6">MATCH(MAX(ABS(EE3:EE5)), ABS(EE3:EE5), 0)</f>
        <v>2</v>
      </c>
      <c r="EF6" s="11">
        <f t="array" ref="EF6">MATCH(MAX(ABS(EF3:EF5)), ABS(EF3:EF5), 0)</f>
        <v>2</v>
      </c>
      <c r="EG6" s="11">
        <f t="array" ref="EG6">MATCH(MAX(ABS(EG3:EG5)), ABS(EG3:EG5), 0)</f>
        <v>2</v>
      </c>
    </row>
    <row r="7" spans="1:138" x14ac:dyDescent="0.3">
      <c r="C7" s="11" t="str">
        <f t="shared" ref="C7:BN7" si="0">IF(C6=1,"bm",IF(C6=2,"size",IF(C6=3,"mom")))</f>
        <v>size</v>
      </c>
      <c r="D7" s="11" t="str">
        <f t="shared" si="0"/>
        <v>size</v>
      </c>
      <c r="E7" s="11" t="str">
        <f t="shared" si="0"/>
        <v>size</v>
      </c>
      <c r="F7" s="11" t="str">
        <f t="shared" si="0"/>
        <v>mom</v>
      </c>
      <c r="G7" s="11" t="str">
        <f t="shared" si="0"/>
        <v>mom</v>
      </c>
      <c r="H7" s="11" t="str">
        <f t="shared" si="0"/>
        <v>size</v>
      </c>
      <c r="I7" s="11" t="str">
        <f t="shared" si="0"/>
        <v>bm</v>
      </c>
      <c r="J7" s="11" t="str">
        <f t="shared" si="0"/>
        <v>bm</v>
      </c>
      <c r="K7" s="11" t="str">
        <f t="shared" si="0"/>
        <v>mom</v>
      </c>
      <c r="L7" s="11" t="str">
        <f t="shared" si="0"/>
        <v>size</v>
      </c>
      <c r="M7" s="11" t="str">
        <f t="shared" si="0"/>
        <v>mom</v>
      </c>
      <c r="N7" s="11" t="str">
        <f t="shared" si="0"/>
        <v>size</v>
      </c>
      <c r="O7" s="11" t="str">
        <f t="shared" si="0"/>
        <v>mom</v>
      </c>
      <c r="P7" s="11" t="str">
        <f t="shared" si="0"/>
        <v>bm</v>
      </c>
      <c r="Q7" s="11" t="str">
        <f t="shared" si="0"/>
        <v>bm</v>
      </c>
      <c r="R7" s="11" t="str">
        <f t="shared" si="0"/>
        <v>bm</v>
      </c>
      <c r="S7" s="11" t="str">
        <f t="shared" si="0"/>
        <v>bm</v>
      </c>
      <c r="T7" s="11" t="str">
        <f t="shared" si="0"/>
        <v>mom</v>
      </c>
      <c r="U7" s="11" t="str">
        <f t="shared" si="0"/>
        <v>bm</v>
      </c>
      <c r="V7" s="11" t="str">
        <f t="shared" si="0"/>
        <v>bm</v>
      </c>
      <c r="W7" s="11" t="str">
        <f t="shared" si="0"/>
        <v>size</v>
      </c>
      <c r="X7" s="11" t="str">
        <f t="shared" si="0"/>
        <v>mom</v>
      </c>
      <c r="Y7" s="11" t="str">
        <f t="shared" si="0"/>
        <v>bm</v>
      </c>
      <c r="Z7" s="11" t="str">
        <f t="shared" si="0"/>
        <v>bm</v>
      </c>
      <c r="AA7" s="11" t="str">
        <f t="shared" si="0"/>
        <v>mom</v>
      </c>
      <c r="AB7" s="11" t="str">
        <f t="shared" si="0"/>
        <v>bm</v>
      </c>
      <c r="AC7" s="11" t="str">
        <f t="shared" si="0"/>
        <v>mom</v>
      </c>
      <c r="AD7" s="11" t="str">
        <f t="shared" si="0"/>
        <v>size</v>
      </c>
      <c r="AE7" s="11" t="str">
        <f t="shared" si="0"/>
        <v>mom</v>
      </c>
      <c r="AF7" s="11" t="str">
        <f t="shared" si="0"/>
        <v>mom</v>
      </c>
      <c r="AG7" s="11" t="str">
        <f t="shared" si="0"/>
        <v>bm</v>
      </c>
      <c r="AH7" s="11" t="str">
        <f t="shared" si="0"/>
        <v>bm</v>
      </c>
      <c r="AI7" s="11" t="str">
        <f t="shared" si="0"/>
        <v>size</v>
      </c>
      <c r="AJ7" s="11" t="str">
        <f t="shared" si="0"/>
        <v>bm</v>
      </c>
      <c r="AK7" s="11" t="str">
        <f t="shared" si="0"/>
        <v>bm</v>
      </c>
      <c r="AL7" s="11" t="str">
        <f t="shared" si="0"/>
        <v>size</v>
      </c>
      <c r="AM7" s="11" t="str">
        <f t="shared" si="0"/>
        <v>bm</v>
      </c>
      <c r="AN7" s="11" t="str">
        <f t="shared" si="0"/>
        <v>bm</v>
      </c>
      <c r="AO7" s="11" t="str">
        <f t="shared" si="0"/>
        <v>mom</v>
      </c>
      <c r="AP7" s="11" t="str">
        <f t="shared" si="0"/>
        <v>bm</v>
      </c>
      <c r="AQ7" s="11" t="str">
        <f t="shared" si="0"/>
        <v>size</v>
      </c>
      <c r="AR7" s="11" t="str">
        <f t="shared" si="0"/>
        <v>size</v>
      </c>
      <c r="AS7" s="11" t="str">
        <f t="shared" si="0"/>
        <v>mom</v>
      </c>
      <c r="AT7" s="11" t="str">
        <f t="shared" si="0"/>
        <v>mom</v>
      </c>
      <c r="AU7" s="11" t="str">
        <f t="shared" si="0"/>
        <v>size</v>
      </c>
      <c r="AV7" s="11" t="str">
        <f t="shared" si="0"/>
        <v>mom</v>
      </c>
      <c r="AW7" s="11" t="str">
        <f t="shared" si="0"/>
        <v>mom</v>
      </c>
      <c r="AX7" s="11" t="str">
        <f t="shared" si="0"/>
        <v>mom</v>
      </c>
      <c r="AY7" s="11" t="str">
        <f t="shared" si="0"/>
        <v>bm</v>
      </c>
      <c r="AZ7" s="11" t="str">
        <f t="shared" si="0"/>
        <v>size</v>
      </c>
      <c r="BA7" s="11" t="str">
        <f t="shared" si="0"/>
        <v>size</v>
      </c>
      <c r="BB7" s="11" t="str">
        <f t="shared" si="0"/>
        <v>mom</v>
      </c>
      <c r="BC7" s="11" t="str">
        <f t="shared" si="0"/>
        <v>mom</v>
      </c>
      <c r="BD7" s="11" t="str">
        <f t="shared" si="0"/>
        <v>size</v>
      </c>
      <c r="BE7" s="11" t="str">
        <f t="shared" si="0"/>
        <v>mom</v>
      </c>
      <c r="BF7" s="11" t="str">
        <f t="shared" si="0"/>
        <v>mom</v>
      </c>
      <c r="BG7" s="11" t="str">
        <f t="shared" si="0"/>
        <v>mom</v>
      </c>
      <c r="BH7" s="11" t="str">
        <f t="shared" si="0"/>
        <v>mom</v>
      </c>
      <c r="BI7" s="11" t="str">
        <f t="shared" si="0"/>
        <v>bm</v>
      </c>
      <c r="BJ7" s="11" t="str">
        <f t="shared" si="0"/>
        <v>size</v>
      </c>
      <c r="BK7" s="11" t="str">
        <f t="shared" si="0"/>
        <v>size</v>
      </c>
      <c r="BL7" s="11" t="str">
        <f t="shared" si="0"/>
        <v>mom</v>
      </c>
      <c r="BM7" s="11" t="str">
        <f t="shared" si="0"/>
        <v>mom</v>
      </c>
      <c r="BN7" s="11" t="str">
        <f t="shared" si="0"/>
        <v>size</v>
      </c>
      <c r="BO7" s="11" t="str">
        <f t="shared" ref="BO7:DZ7" si="1">IF(BO6=1,"bm",IF(BO6=2,"size",IF(BO6=3,"mom")))</f>
        <v>bm</v>
      </c>
      <c r="BP7" s="11" t="str">
        <f t="shared" si="1"/>
        <v>size</v>
      </c>
      <c r="BQ7" s="11" t="str">
        <f t="shared" si="1"/>
        <v>bm</v>
      </c>
      <c r="BR7" s="11" t="str">
        <f t="shared" si="1"/>
        <v>mom</v>
      </c>
      <c r="BS7" s="11" t="str">
        <f t="shared" si="1"/>
        <v>mom</v>
      </c>
      <c r="BT7" s="11" t="str">
        <f t="shared" si="1"/>
        <v>size</v>
      </c>
      <c r="BU7" s="11" t="str">
        <f t="shared" si="1"/>
        <v>size</v>
      </c>
      <c r="BV7" s="11" t="str">
        <f t="shared" si="1"/>
        <v>mom</v>
      </c>
      <c r="BW7" s="11" t="str">
        <f t="shared" si="1"/>
        <v>mom</v>
      </c>
      <c r="BX7" s="11" t="str">
        <f t="shared" si="1"/>
        <v>size</v>
      </c>
      <c r="BY7" s="11" t="str">
        <f t="shared" si="1"/>
        <v>mom</v>
      </c>
      <c r="BZ7" s="11" t="str">
        <f t="shared" si="1"/>
        <v>bm</v>
      </c>
      <c r="CA7" s="11" t="str">
        <f t="shared" si="1"/>
        <v>bm</v>
      </c>
      <c r="CB7" s="11" t="str">
        <f t="shared" si="1"/>
        <v>size</v>
      </c>
      <c r="CC7" s="11" t="str">
        <f t="shared" si="1"/>
        <v>size</v>
      </c>
      <c r="CD7" s="11" t="str">
        <f t="shared" si="1"/>
        <v>bm</v>
      </c>
      <c r="CE7" s="11" t="str">
        <f t="shared" si="1"/>
        <v>size</v>
      </c>
      <c r="CF7" s="11" t="str">
        <f t="shared" si="1"/>
        <v>bm</v>
      </c>
      <c r="CG7" s="11" t="str">
        <f t="shared" si="1"/>
        <v>mom</v>
      </c>
      <c r="CH7" s="11" t="str">
        <f t="shared" si="1"/>
        <v>bm</v>
      </c>
      <c r="CI7" s="11" t="str">
        <f t="shared" si="1"/>
        <v>bm</v>
      </c>
      <c r="CJ7" s="11" t="str">
        <f t="shared" si="1"/>
        <v>mom</v>
      </c>
      <c r="CK7" s="11" t="str">
        <f t="shared" si="1"/>
        <v>mom</v>
      </c>
      <c r="CL7" s="11" t="str">
        <f t="shared" si="1"/>
        <v>bm</v>
      </c>
      <c r="CM7" s="11" t="str">
        <f t="shared" si="1"/>
        <v>size</v>
      </c>
      <c r="CN7" s="11" t="str">
        <f t="shared" si="1"/>
        <v>mom</v>
      </c>
      <c r="CO7" s="11" t="str">
        <f t="shared" si="1"/>
        <v>size</v>
      </c>
      <c r="CP7" s="11" t="str">
        <f t="shared" si="1"/>
        <v>bm</v>
      </c>
      <c r="CQ7" s="11" t="str">
        <f t="shared" si="1"/>
        <v>mom</v>
      </c>
      <c r="CR7" s="11" t="str">
        <f t="shared" si="1"/>
        <v>mom</v>
      </c>
      <c r="CS7" s="11" t="str">
        <f t="shared" si="1"/>
        <v>mom</v>
      </c>
      <c r="CT7" s="11" t="str">
        <f t="shared" si="1"/>
        <v>size</v>
      </c>
      <c r="CU7" s="11" t="str">
        <f t="shared" si="1"/>
        <v>mom</v>
      </c>
      <c r="CV7" s="11" t="str">
        <f t="shared" si="1"/>
        <v>mom</v>
      </c>
      <c r="CW7" s="11" t="str">
        <f t="shared" si="1"/>
        <v>mom</v>
      </c>
      <c r="CX7" s="11" t="str">
        <f t="shared" si="1"/>
        <v>bm</v>
      </c>
      <c r="CY7" s="11" t="str">
        <f t="shared" si="1"/>
        <v>size</v>
      </c>
      <c r="CZ7" s="11" t="str">
        <f t="shared" si="1"/>
        <v>bm</v>
      </c>
      <c r="DA7" s="11" t="str">
        <f t="shared" si="1"/>
        <v>size</v>
      </c>
      <c r="DB7" s="11" t="str">
        <f t="shared" si="1"/>
        <v>size</v>
      </c>
      <c r="DC7" s="11" t="str">
        <f t="shared" si="1"/>
        <v>bm</v>
      </c>
      <c r="DD7" s="11" t="str">
        <f t="shared" si="1"/>
        <v>mom</v>
      </c>
      <c r="DE7" s="11" t="str">
        <f t="shared" si="1"/>
        <v>mom</v>
      </c>
      <c r="DF7" s="11" t="str">
        <f t="shared" si="1"/>
        <v>size</v>
      </c>
      <c r="DG7" s="11" t="str">
        <f t="shared" si="1"/>
        <v>size</v>
      </c>
      <c r="DH7" s="11" t="str">
        <f t="shared" si="1"/>
        <v>size</v>
      </c>
      <c r="DI7" s="11" t="str">
        <f t="shared" si="1"/>
        <v>size</v>
      </c>
      <c r="DJ7" s="11" t="str">
        <f t="shared" si="1"/>
        <v>mom</v>
      </c>
      <c r="DK7" s="11" t="str">
        <f t="shared" si="1"/>
        <v>size</v>
      </c>
      <c r="DL7" s="11" t="str">
        <f t="shared" si="1"/>
        <v>mom</v>
      </c>
      <c r="DM7" s="11" t="str">
        <f t="shared" si="1"/>
        <v>size</v>
      </c>
      <c r="DN7" s="11" t="str">
        <f t="shared" si="1"/>
        <v>bm</v>
      </c>
      <c r="DO7" s="11" t="str">
        <f t="shared" si="1"/>
        <v>size</v>
      </c>
      <c r="DP7" s="11" t="str">
        <f t="shared" si="1"/>
        <v>mom</v>
      </c>
      <c r="DQ7" s="11" t="str">
        <f t="shared" si="1"/>
        <v>mom</v>
      </c>
      <c r="DR7" s="11" t="str">
        <f t="shared" si="1"/>
        <v>bm</v>
      </c>
      <c r="DS7" s="11" t="str">
        <f t="shared" si="1"/>
        <v>size</v>
      </c>
      <c r="DT7" s="11" t="str">
        <f t="shared" si="1"/>
        <v>mom</v>
      </c>
      <c r="DU7" s="11" t="str">
        <f t="shared" si="1"/>
        <v>size</v>
      </c>
      <c r="DV7" s="11" t="str">
        <f t="shared" si="1"/>
        <v>bm</v>
      </c>
      <c r="DW7" s="11" t="str">
        <f t="shared" si="1"/>
        <v>size</v>
      </c>
      <c r="DX7" s="11" t="str">
        <f t="shared" si="1"/>
        <v>bm</v>
      </c>
      <c r="DY7" s="11" t="str">
        <f t="shared" si="1"/>
        <v>size</v>
      </c>
      <c r="DZ7" s="11" t="str">
        <f t="shared" si="1"/>
        <v>size</v>
      </c>
      <c r="EA7" s="11" t="str">
        <f t="shared" ref="EA7:EG7" si="2">IF(EA6=1,"bm",IF(EA6=2,"size",IF(EA6=3,"mom")))</f>
        <v>mom</v>
      </c>
      <c r="EB7" s="11" t="str">
        <f t="shared" si="2"/>
        <v>mom</v>
      </c>
      <c r="EC7" s="11" t="str">
        <f t="shared" si="2"/>
        <v>bm</v>
      </c>
      <c r="ED7" s="11" t="str">
        <f t="shared" si="2"/>
        <v>bm</v>
      </c>
      <c r="EE7" s="11" t="str">
        <f t="shared" si="2"/>
        <v>size</v>
      </c>
      <c r="EF7" s="11" t="str">
        <f t="shared" si="2"/>
        <v>size</v>
      </c>
      <c r="EG7" s="11" t="str">
        <f t="shared" si="2"/>
        <v>size</v>
      </c>
    </row>
    <row r="8" spans="1:138" x14ac:dyDescent="0.3">
      <c r="C8" s="11">
        <f t="shared" ref="C8:BN8" si="3">IF(C6=1,C3,IF(C6=2,C4,IF(C6=3,C5)))</f>
        <v>-0.24758869999999999</v>
      </c>
      <c r="D8" s="11">
        <f t="shared" si="3"/>
        <v>-0.27469329999999997</v>
      </c>
      <c r="E8" s="11">
        <f t="shared" si="3"/>
        <v>-8.4648399999999999E-2</v>
      </c>
      <c r="F8" s="11">
        <f t="shared" si="3"/>
        <v>-8.7690000000000004E-2</v>
      </c>
      <c r="G8" s="11">
        <f t="shared" si="3"/>
        <v>0.102759</v>
      </c>
      <c r="H8" s="11">
        <f t="shared" si="3"/>
        <v>-0.1007596</v>
      </c>
      <c r="I8" s="11">
        <f t="shared" si="3"/>
        <v>0.18325177000000001</v>
      </c>
      <c r="J8" s="11">
        <f t="shared" si="3"/>
        <v>0.11648631</v>
      </c>
      <c r="K8" s="11">
        <f t="shared" si="3"/>
        <v>7.7257999999999993E-2</v>
      </c>
      <c r="L8" s="11">
        <f t="shared" si="3"/>
        <v>8.8406789999999999E-2</v>
      </c>
      <c r="M8" s="11">
        <f t="shared" si="3"/>
        <v>5.3601999999999997E-2</v>
      </c>
      <c r="N8" s="11">
        <f t="shared" si="3"/>
        <v>-0.21221799999999999</v>
      </c>
      <c r="O8" s="11">
        <f t="shared" si="3"/>
        <v>6.4930000000000002E-2</v>
      </c>
      <c r="P8" s="11">
        <f t="shared" si="3"/>
        <v>-9.1792299999999993E-2</v>
      </c>
      <c r="Q8" s="11">
        <f t="shared" si="3"/>
        <v>-7.7409000000000006E-2</v>
      </c>
      <c r="R8" s="11">
        <f t="shared" si="3"/>
        <v>5.4776600000000002E-2</v>
      </c>
      <c r="S8" s="11">
        <f t="shared" si="3"/>
        <v>-0.12533440000000001</v>
      </c>
      <c r="T8" s="11">
        <f t="shared" si="3"/>
        <v>0.12918499999999999</v>
      </c>
      <c r="U8" s="11">
        <f t="shared" si="3"/>
        <v>-3.7770100000000001E-2</v>
      </c>
      <c r="V8" s="11">
        <f t="shared" si="3"/>
        <v>8.1183820000000004E-2</v>
      </c>
      <c r="W8" s="11">
        <f t="shared" si="3"/>
        <v>-0.14355299999999999</v>
      </c>
      <c r="X8" s="11">
        <f t="shared" si="3"/>
        <v>-0.29385</v>
      </c>
      <c r="Y8" s="11">
        <f t="shared" si="3"/>
        <v>-0.12536050000000001</v>
      </c>
      <c r="Z8" s="11">
        <f t="shared" si="3"/>
        <v>0.19195355</v>
      </c>
      <c r="AA8" s="11">
        <f t="shared" si="3"/>
        <v>9.8247000000000001E-2</v>
      </c>
      <c r="AB8" s="11">
        <f t="shared" si="3"/>
        <v>7.2897610000000002E-2</v>
      </c>
      <c r="AC8" s="11">
        <f t="shared" si="3"/>
        <v>-0.10369</v>
      </c>
      <c r="AD8" s="11">
        <f t="shared" si="3"/>
        <v>-6.5629699999999999E-2</v>
      </c>
      <c r="AE8" s="11">
        <f t="shared" si="3"/>
        <v>0.17560100000000001</v>
      </c>
      <c r="AF8" s="11">
        <f t="shared" si="3"/>
        <v>-0.15503</v>
      </c>
      <c r="AG8" s="11">
        <f t="shared" si="3"/>
        <v>0.13005884000000001</v>
      </c>
      <c r="AH8" s="11">
        <f t="shared" si="3"/>
        <v>0.11525639999999999</v>
      </c>
      <c r="AI8" s="11">
        <f t="shared" si="3"/>
        <v>-5.1034099999999999E-2</v>
      </c>
      <c r="AJ8" s="11">
        <f t="shared" si="3"/>
        <v>2.7999110000000001E-2</v>
      </c>
      <c r="AK8" s="11">
        <f t="shared" si="3"/>
        <v>0.14657042000000001</v>
      </c>
      <c r="AL8" s="11">
        <f t="shared" si="3"/>
        <v>-0.10644670000000001</v>
      </c>
      <c r="AM8" s="11">
        <f t="shared" si="3"/>
        <v>0.13137636999999999</v>
      </c>
      <c r="AN8" s="11">
        <f t="shared" si="3"/>
        <v>0.22143296000000001</v>
      </c>
      <c r="AO8" s="11">
        <f t="shared" si="3"/>
        <v>5.8502999999999999E-2</v>
      </c>
      <c r="AP8" s="11">
        <f t="shared" si="3"/>
        <v>-0.13716</v>
      </c>
      <c r="AQ8" s="11">
        <f t="shared" si="3"/>
        <v>2.9067490000000001E-2</v>
      </c>
      <c r="AR8" s="11">
        <f t="shared" si="3"/>
        <v>5.2635769999999998E-2</v>
      </c>
      <c r="AS8" s="11">
        <f t="shared" si="3"/>
        <v>3.9781999999999998E-2</v>
      </c>
      <c r="AT8" s="11">
        <f t="shared" si="3"/>
        <v>0.148456</v>
      </c>
      <c r="AU8" s="11">
        <f t="shared" si="3"/>
        <v>-0.15538440000000001</v>
      </c>
      <c r="AV8" s="11">
        <f t="shared" si="3"/>
        <v>0.138959</v>
      </c>
      <c r="AW8" s="11">
        <f t="shared" si="3"/>
        <v>5.9863E-2</v>
      </c>
      <c r="AX8" s="11">
        <f t="shared" si="3"/>
        <v>-0.14979000000000001</v>
      </c>
      <c r="AY8" s="11">
        <f t="shared" si="3"/>
        <v>7.6559569999999993E-2</v>
      </c>
      <c r="AZ8" s="11">
        <f t="shared" si="3"/>
        <v>-0.13412750000000001</v>
      </c>
      <c r="BA8" s="11">
        <f t="shared" si="3"/>
        <v>-0.1371115</v>
      </c>
      <c r="BB8" s="11">
        <f t="shared" si="3"/>
        <v>-0.14887</v>
      </c>
      <c r="BC8" s="11">
        <f t="shared" si="3"/>
        <v>6.0351000000000002E-2</v>
      </c>
      <c r="BD8" s="11">
        <f t="shared" si="3"/>
        <v>-0.1196019</v>
      </c>
      <c r="BE8" s="11">
        <f t="shared" si="3"/>
        <v>-0.14652000000000001</v>
      </c>
      <c r="BF8" s="11">
        <f t="shared" si="3"/>
        <v>-0.20876</v>
      </c>
      <c r="BG8" s="11">
        <f t="shared" si="3"/>
        <v>-0.20144000000000001</v>
      </c>
      <c r="BH8" s="11">
        <f t="shared" si="3"/>
        <v>-0.11805</v>
      </c>
      <c r="BI8" s="11">
        <f t="shared" si="3"/>
        <v>9.6912849999999995E-2</v>
      </c>
      <c r="BJ8" s="11">
        <f t="shared" si="3"/>
        <v>-0.1006008</v>
      </c>
      <c r="BK8" s="11">
        <f t="shared" si="3"/>
        <v>9.0490070000000006E-2</v>
      </c>
      <c r="BL8" s="11">
        <f t="shared" si="3"/>
        <v>-0.17126</v>
      </c>
      <c r="BM8" s="11">
        <f t="shared" si="3"/>
        <v>0.13291700000000001</v>
      </c>
      <c r="BN8" s="11">
        <f t="shared" si="3"/>
        <v>8.1345630000000002E-2</v>
      </c>
      <c r="BO8" s="11">
        <f t="shared" ref="BO8:DZ8" si="4">IF(BO6=1,BO3,IF(BO6=2,BO4,IF(BO6=3,BO5)))</f>
        <v>8.1418240000000003E-2</v>
      </c>
      <c r="BP8" s="11">
        <f t="shared" si="4"/>
        <v>0.10673487</v>
      </c>
      <c r="BQ8" s="11">
        <f t="shared" si="4"/>
        <v>6.8729570000000004E-2</v>
      </c>
      <c r="BR8" s="11">
        <f t="shared" si="4"/>
        <v>0.189827</v>
      </c>
      <c r="BS8" s="11">
        <f t="shared" si="4"/>
        <v>-9.7610000000000002E-2</v>
      </c>
      <c r="BT8" s="11">
        <f t="shared" si="4"/>
        <v>9.861222E-2</v>
      </c>
      <c r="BU8" s="11">
        <f t="shared" si="4"/>
        <v>0.12839854000000001</v>
      </c>
      <c r="BV8" s="11">
        <f t="shared" si="4"/>
        <v>-0.11674</v>
      </c>
      <c r="BW8" s="11">
        <f t="shared" si="4"/>
        <v>-0.14132</v>
      </c>
      <c r="BX8" s="11">
        <f t="shared" si="4"/>
        <v>-4.6890099999999997E-2</v>
      </c>
      <c r="BY8" s="11">
        <f t="shared" si="4"/>
        <v>0.13033600000000001</v>
      </c>
      <c r="BZ8" s="11">
        <f t="shared" si="4"/>
        <v>0.11330931</v>
      </c>
      <c r="CA8" s="11">
        <f t="shared" si="4"/>
        <v>-0.1073549</v>
      </c>
      <c r="CB8" s="11">
        <f t="shared" si="4"/>
        <v>-0.15782760000000001</v>
      </c>
      <c r="CC8" s="11">
        <f t="shared" si="4"/>
        <v>-7.1052599999999994E-2</v>
      </c>
      <c r="CD8" s="11">
        <f t="shared" si="4"/>
        <v>0.18837709</v>
      </c>
      <c r="CE8" s="11">
        <f t="shared" si="4"/>
        <v>-0.23678650000000001</v>
      </c>
      <c r="CF8" s="11">
        <f t="shared" si="4"/>
        <v>7.4872069999999999E-2</v>
      </c>
      <c r="CG8" s="11">
        <f t="shared" si="4"/>
        <v>-0.11821</v>
      </c>
      <c r="CH8" s="11">
        <f t="shared" si="4"/>
        <v>0.13602172000000001</v>
      </c>
      <c r="CI8" s="11">
        <f t="shared" si="4"/>
        <v>-9.3741000000000005E-2</v>
      </c>
      <c r="CJ8" s="11">
        <f t="shared" si="4"/>
        <v>0.23067299999999999</v>
      </c>
      <c r="CK8" s="11">
        <f t="shared" si="4"/>
        <v>0.13277900000000001</v>
      </c>
      <c r="CL8" s="11">
        <f t="shared" si="4"/>
        <v>0.26354578000000001</v>
      </c>
      <c r="CM8" s="11">
        <f t="shared" si="4"/>
        <v>0.17898859</v>
      </c>
      <c r="CN8" s="11">
        <f t="shared" si="4"/>
        <v>0.22348899999999999</v>
      </c>
      <c r="CO8" s="11">
        <f t="shared" si="4"/>
        <v>-0.13939019999999999</v>
      </c>
      <c r="CP8" s="11">
        <f t="shared" si="4"/>
        <v>0.13265561000000001</v>
      </c>
      <c r="CQ8" s="11">
        <f t="shared" si="4"/>
        <v>-0.20723</v>
      </c>
      <c r="CR8" s="11">
        <f t="shared" si="4"/>
        <v>-0.13486000000000001</v>
      </c>
      <c r="CS8" s="11">
        <f t="shared" si="4"/>
        <v>7.3008000000000003E-2</v>
      </c>
      <c r="CT8" s="11">
        <f t="shared" si="4"/>
        <v>-0.1130791</v>
      </c>
      <c r="CU8" s="11">
        <f t="shared" si="4"/>
        <v>-0.28688999999999998</v>
      </c>
      <c r="CV8" s="11">
        <f t="shared" si="4"/>
        <v>0.23073099999999999</v>
      </c>
      <c r="CW8" s="11">
        <f t="shared" si="4"/>
        <v>9.1076000000000004E-2</v>
      </c>
      <c r="CX8" s="11">
        <f t="shared" si="4"/>
        <v>0.13917409</v>
      </c>
      <c r="CY8" s="11">
        <f t="shared" si="4"/>
        <v>-9.6503500000000006E-2</v>
      </c>
      <c r="CZ8" s="11">
        <f t="shared" si="4"/>
        <v>0.21835291000000001</v>
      </c>
      <c r="DA8" s="11">
        <f t="shared" si="4"/>
        <v>-0.10996110000000001</v>
      </c>
      <c r="DB8" s="11">
        <f t="shared" si="4"/>
        <v>-0.1908205</v>
      </c>
      <c r="DC8" s="11">
        <f t="shared" si="4"/>
        <v>0.11395608</v>
      </c>
      <c r="DD8" s="11">
        <f t="shared" si="4"/>
        <v>-0.16450999999999999</v>
      </c>
      <c r="DE8" s="11">
        <f t="shared" si="4"/>
        <v>-0.11057</v>
      </c>
      <c r="DF8" s="11">
        <f t="shared" si="4"/>
        <v>-0.16687669999999999</v>
      </c>
      <c r="DG8" s="11">
        <f t="shared" si="4"/>
        <v>0.22243809</v>
      </c>
      <c r="DH8" s="11">
        <f t="shared" si="4"/>
        <v>-0.1442978</v>
      </c>
      <c r="DI8" s="11">
        <f t="shared" si="4"/>
        <v>-0.1196199</v>
      </c>
      <c r="DJ8" s="11">
        <f t="shared" si="4"/>
        <v>0.118802</v>
      </c>
      <c r="DK8" s="11">
        <f t="shared" si="4"/>
        <v>9.2855060000000003E-2</v>
      </c>
      <c r="DL8" s="11">
        <f t="shared" si="4"/>
        <v>7.1320999999999996E-2</v>
      </c>
      <c r="DM8" s="11">
        <f t="shared" si="4"/>
        <v>8.2732070000000005E-2</v>
      </c>
      <c r="DN8" s="11">
        <f t="shared" si="4"/>
        <v>0.10981299</v>
      </c>
      <c r="DO8" s="11">
        <f t="shared" si="4"/>
        <v>-9.8141999999999993E-2</v>
      </c>
      <c r="DP8" s="11">
        <f t="shared" si="4"/>
        <v>-0.23068</v>
      </c>
      <c r="DQ8" s="11">
        <f t="shared" si="4"/>
        <v>0.23818400000000001</v>
      </c>
      <c r="DR8" s="11">
        <f t="shared" si="4"/>
        <v>9.4328709999999996E-2</v>
      </c>
      <c r="DS8" s="11">
        <f t="shared" si="4"/>
        <v>-0.16103020000000001</v>
      </c>
      <c r="DT8" s="11">
        <f t="shared" si="4"/>
        <v>0.115106</v>
      </c>
      <c r="DU8" s="11">
        <f t="shared" si="4"/>
        <v>0.16407715</v>
      </c>
      <c r="DV8" s="11">
        <f t="shared" si="4"/>
        <v>0.13401742</v>
      </c>
      <c r="DW8" s="11">
        <f t="shared" si="4"/>
        <v>-0.1016452</v>
      </c>
      <c r="DX8" s="11">
        <f t="shared" si="4"/>
        <v>-0.1037732</v>
      </c>
      <c r="DY8" s="11">
        <f t="shared" si="4"/>
        <v>-0.10665669999999999</v>
      </c>
      <c r="DZ8" s="11">
        <f t="shared" si="4"/>
        <v>-6.9186600000000001E-2</v>
      </c>
      <c r="EA8" s="11">
        <f t="shared" ref="EA8:EG8" si="5">IF(EA6=1,EA3,IF(EA6=2,EA4,IF(EA6=3,EA5)))</f>
        <v>-0.29314000000000001</v>
      </c>
      <c r="EB8" s="11">
        <f t="shared" si="5"/>
        <v>-0.14097999999999999</v>
      </c>
      <c r="EC8" s="11">
        <f t="shared" si="5"/>
        <v>7.3988429999999994E-2</v>
      </c>
      <c r="ED8" s="11">
        <f t="shared" si="5"/>
        <v>-0.15737689999999999</v>
      </c>
      <c r="EE8" s="11">
        <f t="shared" si="5"/>
        <v>0.1576776</v>
      </c>
      <c r="EF8" s="11">
        <f t="shared" si="5"/>
        <v>-0.12717999999999999</v>
      </c>
      <c r="EG8" s="11">
        <f t="shared" si="5"/>
        <v>-0.15895948868776608</v>
      </c>
    </row>
    <row r="10" spans="1:138" x14ac:dyDescent="0.3">
      <c r="A10" s="22" t="s">
        <v>140</v>
      </c>
      <c r="B10" s="23"/>
      <c r="C10" s="1" t="s">
        <v>141</v>
      </c>
      <c r="D10" s="2">
        <v>964</v>
      </c>
    </row>
    <row r="11" spans="1:138" x14ac:dyDescent="0.3">
      <c r="A11" s="1" t="s">
        <v>158</v>
      </c>
      <c r="B11" s="1" t="s">
        <v>142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144</v>
      </c>
      <c r="EG11" t="s">
        <v>145</v>
      </c>
      <c r="EH11" t="s">
        <v>146</v>
      </c>
    </row>
    <row r="12" spans="1:138" x14ac:dyDescent="0.3">
      <c r="A12" s="1">
        <v>96</v>
      </c>
      <c r="B12" s="1" t="s">
        <v>159</v>
      </c>
      <c r="C12" s="11" cm="1">
        <f t="array" ref="C12">PRODUCT(1 + 真實IC!$C12:C12) - 1</f>
        <v>8.4653346747999514E-2</v>
      </c>
      <c r="D12" s="11" cm="1">
        <f t="array" ref="D12">PRODUCT(1 + 真實IC!$C12:D12) - 1</f>
        <v>0.20905075207584112</v>
      </c>
      <c r="E12" s="11" cm="1">
        <f t="array" ref="E12">PRODUCT(1 + 真實IC!$C12:E12) - 1</f>
        <v>0.26711761901195197</v>
      </c>
      <c r="F12" s="11" cm="1">
        <f t="array" ref="F12">PRODUCT(1 + 真實IC!$C12:F12) - 1</f>
        <v>0.33802474142140904</v>
      </c>
      <c r="G12" s="11" cm="1">
        <f t="array" ref="G12">PRODUCT(1 + 真實IC!$C12:G12) - 1</f>
        <v>0.38077121796462321</v>
      </c>
      <c r="H12" s="11" cm="1">
        <f t="array" ref="H12">PRODUCT(1 + 真實IC!$C12:H12) - 1</f>
        <v>0.43397304029270201</v>
      </c>
      <c r="I12" s="11" cm="1">
        <f t="array" ref="I12">PRODUCT(1 + 真實IC!$C12:I12) - 1</f>
        <v>0.48603190699073151</v>
      </c>
      <c r="J12" s="11" cm="1">
        <f t="array" ref="J12">PRODUCT(1 + 真實IC!$C12:J12) - 1</f>
        <v>0.55109718803975904</v>
      </c>
      <c r="K12" s="11" cm="1">
        <f t="array" ref="K12">PRODUCT(1 + 真實IC!$C12:K12) - 1</f>
        <v>0.59637060986944945</v>
      </c>
      <c r="L12" s="11" cm="1">
        <f t="array" ref="L12">PRODUCT(1 + 真實IC!$C12:L12) - 1</f>
        <v>0.6632440769814012</v>
      </c>
      <c r="M12" s="11" cm="1">
        <f t="array" ref="M12">PRODUCT(1 + 真實IC!$C12:M12) - 1</f>
        <v>0.70796733609440587</v>
      </c>
      <c r="N12" s="11" cm="1">
        <f t="array" ref="N12">PRODUCT(1 + 真實IC!$C12:N12) - 1</f>
        <v>0.8263755650216813</v>
      </c>
      <c r="O12" s="11" cm="1">
        <f t="array" ref="O12">PRODUCT(1 + 真實IC!$C12:O12) - 1</f>
        <v>0.87735839888555667</v>
      </c>
      <c r="P12" s="11" cm="1">
        <f t="array" ref="P12">PRODUCT(1 + 真實IC!$C12:P12) - 1</f>
        <v>0.91757220654142047</v>
      </c>
      <c r="Q12" s="11" cm="1">
        <f t="array" ref="Q12">PRODUCT(1 + 真實IC!$C12:Q12) - 1</f>
        <v>0.98237231015332749</v>
      </c>
      <c r="R12" s="11" cm="1">
        <f t="array" ref="R12">PRODUCT(1 + 真實IC!$C12:R12) - 1</f>
        <v>1.0089311555484821</v>
      </c>
      <c r="S12" s="11" cm="1">
        <f t="array" ref="S12">PRODUCT(1 + 真實IC!$C12:S12) - 1</f>
        <v>1.1516735431449741</v>
      </c>
      <c r="T12" s="11" cm="1">
        <f t="array" ref="T12">PRODUCT(1 + 真實IC!$C12:T12) - 1</f>
        <v>1.2546692419764081</v>
      </c>
      <c r="U12" s="11" cm="1">
        <f t="array" ref="U12">PRODUCT(1 + 真實IC!$C12:U12) - 1</f>
        <v>1.3005905877021018</v>
      </c>
      <c r="V12" s="11" cm="1">
        <f t="array" ref="V12">PRODUCT(1 + 真實IC!$C12:V12) - 1</f>
        <v>1.4041861607074475</v>
      </c>
      <c r="W12" s="11" cm="1">
        <f t="array" ref="W12">PRODUCT(1 + 真實IC!$C12:W12) - 1</f>
        <v>1.5581488359551012</v>
      </c>
      <c r="X12" s="11" cm="1">
        <f t="array" ref="X12">PRODUCT(1 + 真實IC!$C12:X12) - 1</f>
        <v>1.8386261963875299</v>
      </c>
      <c r="Y12" s="11" cm="1">
        <f t="array" ref="Y12">PRODUCT(1 + 真實IC!$C12:Y12) - 1</f>
        <v>1.8862821238493712</v>
      </c>
      <c r="Z12" s="11" cm="1">
        <f t="array" ref="Z12">PRODUCT(1 + 真實IC!$C12:Z12) - 1</f>
        <v>2.0699180236565655</v>
      </c>
      <c r="AA12" s="11" cm="1">
        <f t="array" ref="AA12">PRODUCT(1 + 真實IC!$C12:AA12) - 1</f>
        <v>2.1525555487999437</v>
      </c>
      <c r="AB12" s="11" cm="1">
        <f t="array" ref="AB12">PRODUCT(1 + 真實IC!$C12:AB12) - 1</f>
        <v>2.2619148967519407</v>
      </c>
      <c r="AC12" s="11" cm="1">
        <f t="array" ref="AC12">PRODUCT(1 + 真實IC!$C12:AC12) - 1</f>
        <v>2.4144842648553739</v>
      </c>
      <c r="AD12" s="11" cm="1">
        <f t="array" ref="AD12">PRODUCT(1 + 真實IC!$C12:AD12) - 1</f>
        <v>2.4465539319230873</v>
      </c>
      <c r="AE12" s="11" cm="1">
        <f t="array" ref="AE12">PRODUCT(1 + 真實IC!$C12:AE12) - 1</f>
        <v>2.6066040268912114</v>
      </c>
      <c r="AF12" s="11" cm="1">
        <f t="array" ref="AF12">PRODUCT(1 + 真實IC!$C12:AF12) - 1</f>
        <v>2.7941910862129813</v>
      </c>
      <c r="AG12" s="11" cm="1">
        <f t="array" ref="AG12">PRODUCT(1 + 真實IC!$C12:AG12) - 1</f>
        <v>2.9079490732622699</v>
      </c>
      <c r="AH12" s="11" cm="1">
        <f t="array" ref="AH12">PRODUCT(1 + 真實IC!$C12:AH12) - 1</f>
        <v>2.9603382751191392</v>
      </c>
      <c r="AI12" s="11" cm="1">
        <f t="array" ref="AI12">PRODUCT(1 + 真實IC!$C12:AI12) - 1</f>
        <v>3.0524021171661913</v>
      </c>
      <c r="AJ12" s="11" cm="1">
        <f t="array" ref="AJ12">PRODUCT(1 + 真實IC!$C12:AJ12) - 1</f>
        <v>3.1050174832105739</v>
      </c>
      <c r="AK12" s="11" cm="1">
        <f t="array" ref="AK12">PRODUCT(1 + 真實IC!$C12:AK12) - 1</f>
        <v>3.3025661301119396</v>
      </c>
      <c r="AL12" s="11" cm="1">
        <f t="array" ref="AL12">PRODUCT(1 + 真實IC!$C12:AL12) - 1</f>
        <v>3.4493078209209775</v>
      </c>
      <c r="AM12" s="11" cm="1">
        <f t="array" ref="AM12">PRODUCT(1 + 真實IC!$C12:AM12) - 1</f>
        <v>3.5831702104172427</v>
      </c>
      <c r="AN12" s="11" cm="1">
        <f t="array" ref="AN12">PRODUCT(1 + 真實IC!$C12:AN12) - 1</f>
        <v>3.9004779074933849</v>
      </c>
      <c r="AO12" s="11" cm="1">
        <f t="array" ref="AO12">PRODUCT(1 + 真實IC!$C12:AO12) - 1</f>
        <v>3.9739628810725911</v>
      </c>
      <c r="AP12" s="11" cm="1">
        <f t="array" ref="AP12">PRODUCT(1 + 真實IC!$C12:AP12) - 1</f>
        <v>4.141676676428717</v>
      </c>
      <c r="AQ12" s="11" cm="1">
        <f t="array" ref="AQ12">PRODUCT(1 + 真實IC!$C12:AQ12) - 1</f>
        <v>4.1760351224743566</v>
      </c>
      <c r="AR12" s="11" cm="1">
        <f t="array" ref="AR12">PRODUCT(1 + 真實IC!$C12:AR12) - 1</f>
        <v>4.2148783058358621</v>
      </c>
      <c r="AS12" s="11" cm="1">
        <f t="array" ref="AS12">PRODUCT(1 + 真實IC!$C12:AS12) - 1</f>
        <v>4.3190521380676135</v>
      </c>
      <c r="AT12" s="11" cm="1">
        <f t="array" ref="AT12">PRODUCT(1 + 真實IC!$C12:AT12) - 1</f>
        <v>4.7030631409279424</v>
      </c>
      <c r="AU12" s="11" cm="1">
        <f t="array" ref="AU12">PRODUCT(1 + 真實IC!$C12:AU12) - 1</f>
        <v>5.06469586920681</v>
      </c>
      <c r="AV12" s="11" cm="1">
        <f t="array" ref="AV12">PRODUCT(1 + 真實IC!$C12:AV12) - 1</f>
        <v>5.3904648325624569</v>
      </c>
      <c r="AW12" s="11" cm="1">
        <f t="array" ref="AW12">PRODUCT(1 + 真實IC!$C12:AW12) - 1</f>
        <v>5.5001872270384649</v>
      </c>
      <c r="AX12" s="11" cm="1">
        <f t="array" ref="AX12">PRODUCT(1 + 真實IC!$C12:AX12) - 1</f>
        <v>5.7907196731642534</v>
      </c>
      <c r="AY12" s="11" cm="1">
        <f t="array" ref="AY12">PRODUCT(1 + 真實IC!$C12:AY12) - 1</f>
        <v>5.9601840727484818</v>
      </c>
      <c r="AZ12" s="11" cm="1">
        <f t="array" ref="AZ12">PRODUCT(1 + 真實IC!$C12:AZ12) - 1</f>
        <v>6.4234803954585544</v>
      </c>
      <c r="BA12" s="11" cm="1">
        <f t="array" ref="BA12">PRODUCT(1 + 真實IC!$C12:BA12) - 1</f>
        <v>6.9525975442737149</v>
      </c>
      <c r="BB12" s="11" cm="1">
        <f t="array" ref="BB12">PRODUCT(1 + 真實IC!$C12:BB12) - 1</f>
        <v>7.1835143720981733</v>
      </c>
      <c r="BC12" s="11" cm="1">
        <f t="array" ref="BC12">PRODUCT(1 + 真實IC!$C12:BC12) - 1</f>
        <v>7.4019402783567063</v>
      </c>
      <c r="BD12" s="11" cm="1">
        <f t="array" ref="BD12">PRODUCT(1 + 真實IC!$C12:BD12) - 1</f>
        <v>7.8155982269033153</v>
      </c>
      <c r="BE12" s="11" cm="1">
        <f t="array" ref="BE12">PRODUCT(1 + 真實IC!$C12:BE12) - 1</f>
        <v>8.1273931107498534</v>
      </c>
      <c r="BF12" s="11" cm="1">
        <f t="array" ref="BF12">PRODUCT(1 + 真實IC!$C12:BF12) - 1</f>
        <v>8.7445595874831898</v>
      </c>
      <c r="BG12" s="11" cm="1">
        <f t="array" ref="BG12">PRODUCT(1 + 真實IC!$C12:BG12) - 1</f>
        <v>9.2001933063562333</v>
      </c>
      <c r="BH12" s="11" cm="1">
        <f t="array" ref="BH12">PRODUCT(1 + 真實IC!$C12:BH12) - 1</f>
        <v>9.5580118955689191</v>
      </c>
      <c r="BI12" s="11" cm="1">
        <f t="array" ref="BI12">PRODUCT(1 + 真實IC!$C12:BI12) - 1</f>
        <v>10.086136880101382</v>
      </c>
      <c r="BJ12" s="11" cm="1">
        <f t="array" ref="BJ12">PRODUCT(1 + 真實IC!$C12:BJ12) - 1</f>
        <v>10.567524648885119</v>
      </c>
      <c r="BK12" s="11" cm="1">
        <f t="array" ref="BK12">PRODUCT(1 + 真實IC!$C12:BK12) - 1</f>
        <v>10.799750248275478</v>
      </c>
      <c r="BL12" s="11" cm="1">
        <f t="array" ref="BL12">PRODUCT(1 + 真實IC!$C12:BL12) - 1</f>
        <v>11.178865583923599</v>
      </c>
      <c r="BM12" s="11" cm="1">
        <f t="array" ref="BM12">PRODUCT(1 + 真實IC!$C12:BM12) - 1</f>
        <v>11.791531753840435</v>
      </c>
      <c r="BN12" s="11" cm="1">
        <f t="array" ref="BN12">PRODUCT(1 + 真實IC!$C12:BN12) - 1</f>
        <v>12.040999090635667</v>
      </c>
      <c r="BO12" s="11" cm="1">
        <f t="array" ref="BO12">PRODUCT(1 + 真實IC!$C12:BO12) - 1</f>
        <v>12.357195200638524</v>
      </c>
      <c r="BP12" s="11" cm="1">
        <f t="array" ref="BP12">PRODUCT(1 + 真實IC!$C12:BP12) - 1</f>
        <v>12.710118442333938</v>
      </c>
      <c r="BQ12" s="11" cm="1">
        <f t="array" ref="BQ12">PRODUCT(1 + 真實IC!$C12:BQ12) - 1</f>
        <v>12.900644525570415</v>
      </c>
      <c r="BR12" s="11" cm="1">
        <f t="array" ref="BR12">PRODUCT(1 + 真實IC!$C12:BR12) - 1</f>
        <v>13.855530050906774</v>
      </c>
      <c r="BS12" s="11" cm="1">
        <f t="array" ref="BS12">PRODUCT(1 + 真實IC!$C12:BS12) - 1</f>
        <v>14.340456962648682</v>
      </c>
      <c r="BT12" s="11" cm="1">
        <f t="array" ref="BT12">PRODUCT(1 + 真實IC!$C12:BT12) - 1</f>
        <v>14.667026102054374</v>
      </c>
      <c r="BU12" s="11" cm="1">
        <f t="array" ref="BU12">PRODUCT(1 + 真實IC!$C12:BU12) - 1</f>
        <v>15.420349508279045</v>
      </c>
      <c r="BV12" s="11" cm="1">
        <f t="array" ref="BV12">PRODUCT(1 + 真實IC!$C12:BV12) - 1</f>
        <v>16.114641115115059</v>
      </c>
      <c r="BW12" s="11" cm="1">
        <f t="array" ref="BW12">PRODUCT(1 + 真實IC!$C12:BW12) - 1</f>
        <v>16.875849074596228</v>
      </c>
      <c r="BX12" s="11" cm="1">
        <f t="array" ref="BX12">PRODUCT(1 + 真實IC!$C12:BX12) - 1</f>
        <v>17.161579356911378</v>
      </c>
      <c r="BY12" s="11" cm="1">
        <f t="array" ref="BY12">PRODUCT(1 + 真實IC!$C12:BY12) - 1</f>
        <v>18.231839709335429</v>
      </c>
      <c r="BZ12" s="11" cm="1">
        <f t="array" ref="BZ12">PRODUCT(1 + 真實IC!$C12:BZ12) - 1</f>
        <v>19.104137218575023</v>
      </c>
      <c r="CA12" s="11" cm="1">
        <f t="array" ref="CA12">PRODUCT(1 + 真實IC!$C12:CA12) - 1</f>
        <v>19.795725317634091</v>
      </c>
      <c r="CB12" s="11" cm="1">
        <f t="array" ref="CB12">PRODUCT(1 + 真實IC!$C12:CB12) - 1</f>
        <v>21.30291372858602</v>
      </c>
      <c r="CC12" s="11" cm="1">
        <f t="array" ref="CC12">PRODUCT(1 + 真實IC!$C12:CC12) - 1</f>
        <v>22.765240233497007</v>
      </c>
      <c r="CD12" s="11" cm="1">
        <f t="array" ref="CD12">PRODUCT(1 + 真實IC!$C12:CD12) - 1</f>
        <v>25.401604685606252</v>
      </c>
      <c r="CE12" s="11" cm="1">
        <f t="array" ref="CE12">PRODUCT(1 + 真實IC!$C12:CE12) - 1</f>
        <v>29.467636958732285</v>
      </c>
      <c r="CF12" s="11" cm="1">
        <f t="array" ref="CF12">PRODUCT(1 + 真實IC!$C12:CF12) - 1</f>
        <v>30.313649609404408</v>
      </c>
      <c r="CG12" s="11" cm="1">
        <f t="array" ref="CG12">PRODUCT(1 + 真實IC!$C12:CG12) - 1</f>
        <v>31.856722381154576</v>
      </c>
      <c r="CH12" s="11" cm="1">
        <f t="array" ref="CH12">PRODUCT(1 + 真實IC!$C12:CH12) - 1</f>
        <v>33.936466572833766</v>
      </c>
      <c r="CI12" s="11" cm="1">
        <f t="array" ref="CI12">PRODUCT(1 + 真實IC!$C12:CI12) - 1</f>
        <v>35.147221698373841</v>
      </c>
      <c r="CJ12" s="11" cm="1">
        <f t="array" ref="CJ12">PRODUCT(1 + 真實IC!$C12:CJ12) - 1</f>
        <v>37.103511755452075</v>
      </c>
      <c r="CK12" s="11" cm="1">
        <f t="array" ref="CK12">PRODUCT(1 + 真實IC!$C12:CK12) - 1</f>
        <v>39.241173658672949</v>
      </c>
      <c r="CL12" s="11" cm="1">
        <f t="array" ref="CL12">PRODUCT(1 + 真實IC!$C12:CL12) - 1</f>
        <v>43.990260221339554</v>
      </c>
      <c r="CM12" s="11" cm="1">
        <f t="array" ref="CM12">PRODUCT(1 + 真實IC!$C12:CM12) - 1</f>
        <v>47.216439258286719</v>
      </c>
      <c r="CN12" s="11" cm="1">
        <f t="array" ref="CN12">PRODUCT(1 + 真實IC!$C12:CN12) - 1</f>
        <v>50.999752001362843</v>
      </c>
      <c r="CO12" s="11" cm="1">
        <f t="array" ref="CO12">PRODUCT(1 + 真實IC!$C12:CO12) - 1</f>
        <v>54.706930950410545</v>
      </c>
      <c r="CP12" s="11" cm="1">
        <f t="array" ref="CP12">PRODUCT(1 + 真實IC!$C12:CP12) - 1</f>
        <v>57.230400411421385</v>
      </c>
      <c r="CQ12" s="11" cm="1">
        <f t="array" ref="CQ12">PRODUCT(1 + 真實IC!$C12:CQ12) - 1</f>
        <v>60.880535036968027</v>
      </c>
      <c r="CR12" s="11" cm="1">
        <f t="array" ref="CR12">PRODUCT(1 + 真實IC!$C12:CR12) - 1</f>
        <v>64.41762558562516</v>
      </c>
      <c r="CS12" s="11" cm="1">
        <f t="array" ref="CS12">PRODUCT(1 + 真實IC!$C12:CS12) - 1</f>
        <v>64.481641546661209</v>
      </c>
      <c r="CT12" s="11" cm="1">
        <f t="array" ref="CT12">PRODUCT(1 + 真實IC!$C12:CT12) - 1</f>
        <v>66.584519677923169</v>
      </c>
      <c r="CU12" s="11" cm="1">
        <f t="array" ref="CU12">PRODUCT(1 + 真實IC!$C12:CU12) - 1</f>
        <v>71.63845824614485</v>
      </c>
      <c r="CV12" s="11" cm="1">
        <f t="array" ref="CV12">PRODUCT(1 + 真實IC!$C12:CV12) - 1</f>
        <v>76.362377364640679</v>
      </c>
      <c r="CW12" s="11" cm="1">
        <f t="array" ref="CW12">PRODUCT(1 + 真實IC!$C12:CW12) - 1</f>
        <v>77.370925100684261</v>
      </c>
      <c r="CX12" s="11" cm="1">
        <f t="array" ref="CX12">PRODUCT(1 + 真實IC!$C12:CX12) - 1</f>
        <v>82.150758616890371</v>
      </c>
      <c r="CY12" s="11" cm="1">
        <f t="array" ref="CY12">PRODUCT(1 + 真實IC!$C12:CY12) - 1</f>
        <v>85.981761661511996</v>
      </c>
      <c r="CZ12" s="11" cm="1">
        <f t="array" ref="CZ12">PRODUCT(1 + 真實IC!$C12:CZ12) - 1</f>
        <v>92.748275337250774</v>
      </c>
      <c r="DA12" s="11" cm="1">
        <f t="array" ref="DA12">PRODUCT(1 + 真實IC!$C12:DA12) - 1</f>
        <v>96.214961063955556</v>
      </c>
      <c r="DB12" s="11" cm="1">
        <f t="array" ref="DB12">PRODUCT(1 + 真實IC!$C12:DB12) - 1</f>
        <v>104.86532489021303</v>
      </c>
      <c r="DC12" s="11" cm="1">
        <f t="array" ref="DC12">PRODUCT(1 + 真實IC!$C12:DC12) - 1</f>
        <v>108.46190905011218</v>
      </c>
      <c r="DD12" s="11" cm="1">
        <f t="array" ref="DD12">PRODUCT(1 + 真實IC!$C12:DD12) - 1</f>
        <v>116.11992394438109</v>
      </c>
      <c r="DE12" s="11" cm="1">
        <f t="array" ref="DE12">PRODUCT(1 + 真實IC!$C12:DE12) - 1</f>
        <v>119.01719497684016</v>
      </c>
      <c r="DF12" s="11" cm="1">
        <f t="array" ref="DF12">PRODUCT(1 + 真實IC!$C12:DF12) - 1</f>
        <v>125.67643714260142</v>
      </c>
      <c r="DG12" s="11" cm="1">
        <f t="array" ref="DG12">PRODUCT(1 + 真實IC!$C12:DG12) - 1</f>
        <v>131.55546750734896</v>
      </c>
      <c r="DH12" s="11" cm="1">
        <f t="array" ref="DH12">PRODUCT(1 + 真實IC!$C12:DH12) - 1</f>
        <v>139.66721985949891</v>
      </c>
      <c r="DI12" s="11" cm="1">
        <f t="array" ref="DI12">PRODUCT(1 + 真實IC!$C12:DI12) - 1</f>
        <v>148.07195511327294</v>
      </c>
      <c r="DJ12" s="11" cm="1">
        <f t="array" ref="DJ12">PRODUCT(1 + 真實IC!$C12:DJ12) - 1</f>
        <v>154.24026087245446</v>
      </c>
      <c r="DK12" s="11" cm="1">
        <f t="array" ref="DK12">PRODUCT(1 + 真實IC!$C12:DK12) - 1</f>
        <v>159.19680286603432</v>
      </c>
      <c r="DL12" s="11" cm="1">
        <f t="array" ref="DL12">PRODUCT(1 + 真實IC!$C12:DL12) - 1</f>
        <v>162.1876504761513</v>
      </c>
      <c r="DM12" s="11" cm="1">
        <f t="array" ref="DM12">PRODUCT(1 + 真實IC!$C12:DM12) - 1</f>
        <v>165.32700449214317</v>
      </c>
      <c r="DN12" s="11" cm="1">
        <f t="array" ref="DN12">PRODUCT(1 + 真實IC!$C12:DN12) - 1</f>
        <v>172.38099352622461</v>
      </c>
      <c r="DO12" s="11" cm="1">
        <f t="array" ref="DO12">PRODUCT(1 + 真實IC!$C12:DO12) - 1</f>
        <v>177.67898650690441</v>
      </c>
      <c r="DP12" s="11" cm="1">
        <f t="array" ref="DP12">PRODUCT(1 + 真實IC!$C12:DP12) - 1</f>
        <v>188.29407183998677</v>
      </c>
      <c r="DQ12" s="11" cm="1">
        <f t="array" ref="DQ12">PRODUCT(1 + 真實IC!$C12:DQ12) - 1</f>
        <v>202.40417451915454</v>
      </c>
      <c r="DR12" s="11" cm="1">
        <f t="array" ref="DR12">PRODUCT(1 + 真實IC!$C12:DR12) - 1</f>
        <v>206.22388997524027</v>
      </c>
      <c r="DS12" s="11" cm="1">
        <f t="array" ref="DS12">PRODUCT(1 + 真實IC!$C12:DS12) - 1</f>
        <v>220.65714831404648</v>
      </c>
      <c r="DT12" s="11" cm="1">
        <f t="array" ref="DT12">PRODUCT(1 + 真實IC!$C12:DT12) - 1</f>
        <v>226.15731367352601</v>
      </c>
      <c r="DU12" s="11" cm="1">
        <f t="array" ref="DU12">PRODUCT(1 + 真實IC!$C12:DU12) - 1</f>
        <v>239.15759105336241</v>
      </c>
      <c r="DV12" s="11" cm="1">
        <f t="array" ref="DV12">PRODUCT(1 + 真實IC!$C12:DV12) - 1</f>
        <v>250.81744010354083</v>
      </c>
      <c r="DW12" s="11" cm="1">
        <f t="array" ref="DW12">PRODUCT(1 + 真實IC!$C12:DW12) - 1</f>
        <v>262.14112500193943</v>
      </c>
      <c r="DX12" s="11" cm="1">
        <f t="array" ref="DX12">PRODUCT(1 + 真實IC!$C12:DX12) - 1</f>
        <v>275.33819989704426</v>
      </c>
      <c r="DY12" s="11" cm="1">
        <f t="array" ref="DY12">PRODUCT(1 + 真實IC!$C12:DY12) - 1</f>
        <v>290.02427944069524</v>
      </c>
      <c r="DZ12" s="11" cm="1">
        <f t="array" ref="DZ12">PRODUCT(1 + 真實IC!$C12:DZ12) - 1</f>
        <v>291.83653109280863</v>
      </c>
      <c r="EA12" s="11" cm="1">
        <f t="array" ref="EA12">PRODUCT(1 + 真實IC!$C12:EA12) - 1</f>
        <v>324.96426157141724</v>
      </c>
      <c r="EB12" s="11" cm="1">
        <f t="array" ref="EB12">PRODUCT(1 + 真實IC!$C12:EB12) - 1</f>
        <v>334.91457387073893</v>
      </c>
      <c r="EC12" s="11" cm="1">
        <f t="array" ref="EC12">PRODUCT(1 + 真實IC!$C12:EC12) - 1</f>
        <v>343.86720435420415</v>
      </c>
      <c r="ED12" s="11" cm="1">
        <f t="array" ref="ED12">PRODUCT(1 + 真實IC!$C12:ED12) - 1</f>
        <v>364.73448185390305</v>
      </c>
      <c r="EE12" s="11" cm="1">
        <f t="array" ref="EE12">PRODUCT(1 + 真實IC!$C12:EE12) - 1</f>
        <v>374.42896632401772</v>
      </c>
      <c r="EF12" s="11" cm="1">
        <f t="array" ref="EF12">PRODUCT(1 + 真實IC!$C12:EF12) - 1</f>
        <v>385.40416878326278</v>
      </c>
      <c r="EG12">
        <f t="shared" ref="EG12:EG24" si="6">SUM(C12:EF12)</f>
        <v>8622.6989646616548</v>
      </c>
      <c r="EH12" s="12">
        <f t="shared" ref="EH12:EH24" si="7">SUM(C12:EE12)/134</f>
        <v>61.472349222973072</v>
      </c>
    </row>
    <row r="13" spans="1:138" x14ac:dyDescent="0.3">
      <c r="A13" s="1">
        <v>48</v>
      </c>
      <c r="B13" s="1" t="s">
        <v>160</v>
      </c>
      <c r="C13" s="11" cm="1">
        <f t="array" ref="C13">PRODUCT(1 + 真實IC!$C13:C13) - 1</f>
        <v>0.1041127502527619</v>
      </c>
      <c r="D13" s="11" cm="1">
        <f t="array" ref="D13">PRODUCT(1 + 真實IC!$C13:D13) - 1</f>
        <v>0.24074121432325701</v>
      </c>
      <c r="E13" s="11" cm="1">
        <f t="array" ref="E13">PRODUCT(1 + 真實IC!$C13:E13) - 1</f>
        <v>0.32742132658695078</v>
      </c>
      <c r="F13" s="11" cm="1">
        <f t="array" ref="F13">PRODUCT(1 + 真實IC!$C13:F13) - 1</f>
        <v>0.40704872142701398</v>
      </c>
      <c r="G13" s="11" cm="1">
        <f t="array" ref="G13">PRODUCT(1 + 真實IC!$C13:G13) - 1</f>
        <v>0.42400000624399237</v>
      </c>
      <c r="H13" s="11" cm="1">
        <f t="array" ref="H13">PRODUCT(1 + 真實IC!$C13:H13) - 1</f>
        <v>0.46670524200867458</v>
      </c>
      <c r="I13" s="11" cm="1">
        <f t="array" ref="I13">PRODUCT(1 + 真實IC!$C13:I13) - 1</f>
        <v>0.51464136847221797</v>
      </c>
      <c r="J13" s="11" cm="1">
        <f t="array" ref="J13">PRODUCT(1 + 真實IC!$C13:J13) - 1</f>
        <v>0.5669720641256879</v>
      </c>
      <c r="K13" s="11" cm="1">
        <f t="array" ref="K13">PRODUCT(1 + 真實IC!$C13:K13) - 1</f>
        <v>0.66150143903184722</v>
      </c>
      <c r="L13" s="11" cm="1">
        <f t="array" ref="L13">PRODUCT(1 + 真實IC!$C13:L13) - 1</f>
        <v>0.67151225319165175</v>
      </c>
      <c r="M13" s="11" cm="1">
        <f t="array" ref="M13">PRODUCT(1 + 真實IC!$C13:M13) - 1</f>
        <v>0.67699440925392462</v>
      </c>
      <c r="N13" s="11" cm="1">
        <f t="array" ref="N13">PRODUCT(1 + 真實IC!$C13:N13) - 1</f>
        <v>0.84437005099513196</v>
      </c>
      <c r="O13" s="11" cm="1">
        <f t="array" ref="O13">PRODUCT(1 + 真實IC!$C13:O13) - 1</f>
        <v>0.87650395488955679</v>
      </c>
      <c r="P13" s="11" cm="1">
        <f t="array" ref="P13">PRODUCT(1 + 真實IC!$C13:P13) - 1</f>
        <v>0.91564203473607209</v>
      </c>
      <c r="Q13" s="11" cm="1">
        <f t="array" ref="Q13">PRODUCT(1 + 真實IC!$C13:Q13) - 1</f>
        <v>1.000348400394238</v>
      </c>
      <c r="R13" s="11" cm="1">
        <f t="array" ref="R13">PRODUCT(1 + 真實IC!$C13:R13) - 1</f>
        <v>1.013330481833651</v>
      </c>
      <c r="S13" s="11" cm="1">
        <f t="array" ref="S13">PRODUCT(1 + 真實IC!$C13:S13) - 1</f>
        <v>1.2607995979878663</v>
      </c>
      <c r="T13" s="11" cm="1">
        <f t="array" ref="T13">PRODUCT(1 + 真實IC!$C13:T13) - 1</f>
        <v>1.4286279796265675</v>
      </c>
      <c r="U13" s="11" cm="1">
        <f t="array" ref="U13">PRODUCT(1 + 真實IC!$C13:U13) - 1</f>
        <v>1.5601650818794801</v>
      </c>
      <c r="V13" s="11" cm="1">
        <f t="array" ref="V13">PRODUCT(1 + 真實IC!$C13:V13) - 1</f>
        <v>1.695289926442574</v>
      </c>
      <c r="W13" s="11" cm="1">
        <f t="array" ref="W13">PRODUCT(1 + 真實IC!$C13:W13) - 1</f>
        <v>1.8987211433067568</v>
      </c>
      <c r="X13" s="11" cm="1">
        <f t="array" ref="X13">PRODUCT(1 + 真實IC!$C13:X13) - 1</f>
        <v>2.2498367737192044</v>
      </c>
      <c r="Y13" s="11" cm="1">
        <f t="array" ref="Y13">PRODUCT(1 + 真實IC!$C13:Y13) - 1</f>
        <v>2.3358660732685244</v>
      </c>
      <c r="Z13" s="11" cm="1">
        <f t="array" ref="Z13">PRODUCT(1 + 真實IC!$C13:Z13) - 1</f>
        <v>2.5974794846503952</v>
      </c>
      <c r="AA13" s="11" cm="1">
        <f t="array" ref="AA13">PRODUCT(1 + 真實IC!$C13:AA13) - 1</f>
        <v>2.7691247586085352</v>
      </c>
      <c r="AB13" s="11" cm="1">
        <f t="array" ref="AB13">PRODUCT(1 + 真實IC!$C13:AB13) - 1</f>
        <v>2.9450607937557978</v>
      </c>
      <c r="AC13" s="11" cm="1">
        <f t="array" ref="AC13">PRODUCT(1 + 真實IC!$C13:AC13) - 1</f>
        <v>3.2084792110649589</v>
      </c>
      <c r="AD13" s="11" cm="1">
        <f t="array" ref="AD13">PRODUCT(1 + 真實IC!$C13:AD13) - 1</f>
        <v>3.2991453816559231</v>
      </c>
      <c r="AE13" s="11" cm="1">
        <f t="array" ref="AE13">PRODUCT(1 + 真實IC!$C13:AE13) - 1</f>
        <v>3.6304866069346273</v>
      </c>
      <c r="AF13" s="11" cm="1">
        <f t="array" ref="AF13">PRODUCT(1 + 真實IC!$C13:AF13) - 1</f>
        <v>3.9698140406907454</v>
      </c>
      <c r="AG13" s="11" cm="1">
        <f t="array" ref="AG13">PRODUCT(1 + 真實IC!$C13:AG13) - 1</f>
        <v>4.127266610951617</v>
      </c>
      <c r="AH13" s="11" cm="1">
        <f t="array" ref="AH13">PRODUCT(1 + 真實IC!$C13:AH13) - 1</f>
        <v>4.1767003277192476</v>
      </c>
      <c r="AI13" s="11" cm="1">
        <f t="array" ref="AI13">PRODUCT(1 + 真實IC!$C13:AI13) - 1</f>
        <v>4.2797679664821224</v>
      </c>
      <c r="AJ13" s="11" cm="1">
        <f t="array" ref="AJ13">PRODUCT(1 + 真實IC!$C13:AJ13) - 1</f>
        <v>4.1938108625587507</v>
      </c>
      <c r="AK13" s="11" cm="1">
        <f t="array" ref="AK13">PRODUCT(1 + 真實IC!$C13:AK13) - 1</f>
        <v>4.5365396009123158</v>
      </c>
      <c r="AL13" s="11" cm="1">
        <f t="array" ref="AL13">PRODUCT(1 + 真實IC!$C13:AL13) - 1</f>
        <v>4.6613905487049108</v>
      </c>
      <c r="AM13" s="11" cm="1">
        <f t="array" ref="AM13">PRODUCT(1 + 真實IC!$C13:AM13) - 1</f>
        <v>4.923413537115283</v>
      </c>
      <c r="AN13" s="11" cm="1">
        <f t="array" ref="AN13">PRODUCT(1 + 真實IC!$C13:AN13) - 1</f>
        <v>5.5473280955578437</v>
      </c>
      <c r="AO13" s="11" cm="1">
        <f t="array" ref="AO13">PRODUCT(1 + 真實IC!$C13:AO13) - 1</f>
        <v>5.5361397156223404</v>
      </c>
      <c r="AP13" s="11" cm="1">
        <f t="array" ref="AP13">PRODUCT(1 + 真實IC!$C13:AP13) - 1</f>
        <v>5.92537232841108</v>
      </c>
      <c r="AQ13" s="11" cm="1">
        <f t="array" ref="AQ13">PRODUCT(1 + 真實IC!$C13:AQ13) - 1</f>
        <v>6.0021261915819233</v>
      </c>
      <c r="AR13" s="11" cm="1">
        <f t="array" ref="AR13">PRODUCT(1 + 真實IC!$C13:AR13) - 1</f>
        <v>5.9373513953694568</v>
      </c>
      <c r="AS13" s="11" cm="1">
        <f t="array" ref="AS13">PRODUCT(1 + 真實IC!$C13:AS13) - 1</f>
        <v>6.0997198518533287</v>
      </c>
      <c r="AT13" s="11" cm="1">
        <f t="array" ref="AT13">PRODUCT(1 + 真實IC!$C13:AT13) - 1</f>
        <v>6.7132983351998936</v>
      </c>
      <c r="AU13" s="11" cm="1">
        <f t="array" ref="AU13">PRODUCT(1 + 真實IC!$C13:AU13) - 1</f>
        <v>7.3055588079450668</v>
      </c>
      <c r="AV13" s="11" cm="1">
        <f t="array" ref="AV13">PRODUCT(1 + 真實IC!$C13:AV13) - 1</f>
        <v>7.9672292536857547</v>
      </c>
      <c r="AW13" s="11" cm="1">
        <f t="array" ref="AW13">PRODUCT(1 + 真實IC!$C13:AW13) - 1</f>
        <v>8.2077414434338216</v>
      </c>
      <c r="AX13" s="11" cm="1">
        <f t="array" ref="AX13">PRODUCT(1 + 真實IC!$C13:AX13) - 1</f>
        <v>8.5097538171288143</v>
      </c>
      <c r="AY13" s="11" cm="1">
        <f t="array" ref="AY13">PRODUCT(1 + 真實IC!$C13:AY13) - 1</f>
        <v>8.676786426863023</v>
      </c>
      <c r="AZ13" s="11" cm="1">
        <f t="array" ref="AZ13">PRODUCT(1 + 真實IC!$C13:AZ13) - 1</f>
        <v>9.2133620662024303</v>
      </c>
      <c r="BA13" s="11" cm="1">
        <f t="array" ref="BA13">PRODUCT(1 + 真實IC!$C13:BA13) - 1</f>
        <v>10.028685775699987</v>
      </c>
      <c r="BB13" s="11" cm="1">
        <f t="array" ref="BB13">PRODUCT(1 + 真實IC!$C13:BB13) - 1</f>
        <v>10.277353976109536</v>
      </c>
      <c r="BC13" s="11" cm="1">
        <f t="array" ref="BC13">PRODUCT(1 + 真實IC!$C13:BC13) - 1</f>
        <v>10.492873991158378</v>
      </c>
      <c r="BD13" s="11" cm="1">
        <f t="array" ref="BD13">PRODUCT(1 + 真實IC!$C13:BD13) - 1</f>
        <v>10.971854613464835</v>
      </c>
      <c r="BE13" s="11" cm="1">
        <f t="array" ref="BE13">PRODUCT(1 + 真實IC!$C13:BE13) - 1</f>
        <v>11.495908055871862</v>
      </c>
      <c r="BF13" s="11" cm="1">
        <f t="array" ref="BF13">PRODUCT(1 + 真實IC!$C13:BF13) - 1</f>
        <v>13.016124532463275</v>
      </c>
      <c r="BG13" s="11" cm="1">
        <f t="array" ref="BG13">PRODUCT(1 + 真實IC!$C13:BG13) - 1</f>
        <v>14.255115543549602</v>
      </c>
      <c r="BH13" s="11" cm="1">
        <f t="array" ref="BH13">PRODUCT(1 + 真實IC!$C13:BH13) - 1</f>
        <v>14.880936158780344</v>
      </c>
      <c r="BI13" s="11" cm="1">
        <f t="array" ref="BI13">PRODUCT(1 + 真實IC!$C13:BI13) - 1</f>
        <v>15.713242245462279</v>
      </c>
      <c r="BJ13" s="11" cm="1">
        <f t="array" ref="BJ13">PRODUCT(1 + 真實IC!$C13:BJ13) - 1</f>
        <v>16.573170631033353</v>
      </c>
      <c r="BK13" s="11" cm="1">
        <f t="array" ref="BK13">PRODUCT(1 + 真實IC!$C13:BK13) - 1</f>
        <v>17.014710133581399</v>
      </c>
      <c r="BL13" s="11" cm="1">
        <f t="array" ref="BL13">PRODUCT(1 + 真實IC!$C13:BL13) - 1</f>
        <v>17.635497773451728</v>
      </c>
      <c r="BM13" s="11" cm="1">
        <f t="array" ref="BM13">PRODUCT(1 + 真實IC!$C13:BM13) - 1</f>
        <v>18.630107250136135</v>
      </c>
      <c r="BN13" s="11" cm="1">
        <f t="array" ref="BN13">PRODUCT(1 + 真實IC!$C13:BN13) - 1</f>
        <v>18.534751981120895</v>
      </c>
      <c r="BO13" s="11" cm="1">
        <f t="array" ref="BO13">PRODUCT(1 + 真實IC!$C13:BO13) - 1</f>
        <v>19.137960044237222</v>
      </c>
      <c r="BP13" s="11" cm="1">
        <f t="array" ref="BP13">PRODUCT(1 + 真實IC!$C13:BP13) - 1</f>
        <v>19.298079913104246</v>
      </c>
      <c r="BQ13" s="11" cm="1">
        <f t="array" ref="BQ13">PRODUCT(1 + 真實IC!$C13:BQ13) - 1</f>
        <v>20.143557130527636</v>
      </c>
      <c r="BR13" s="11" cm="1">
        <f t="array" ref="BR13">PRODUCT(1 + 真實IC!$C13:BR13) - 1</f>
        <v>21.831478098685025</v>
      </c>
      <c r="BS13" s="11" cm="1">
        <f t="array" ref="BS13">PRODUCT(1 + 真實IC!$C13:BS13) - 1</f>
        <v>22.748858632321614</v>
      </c>
      <c r="BT13" s="11" cm="1">
        <f t="array" ref="BT13">PRODUCT(1 + 真實IC!$C13:BT13) - 1</f>
        <v>23.548429736767993</v>
      </c>
      <c r="BU13" s="11" cm="1">
        <f t="array" ref="BU13">PRODUCT(1 + 真實IC!$C13:BU13) - 1</f>
        <v>25.381170528431749</v>
      </c>
      <c r="BV13" s="11" cm="1">
        <f t="array" ref="BV13">PRODUCT(1 + 真實IC!$C13:BV13) - 1</f>
        <v>27.489839493331537</v>
      </c>
      <c r="BW13" s="11" cm="1">
        <f t="array" ref="BW13">PRODUCT(1 + 真實IC!$C13:BW13) - 1</f>
        <v>29.646919361317739</v>
      </c>
      <c r="BX13" s="11" cm="1">
        <f t="array" ref="BX13">PRODUCT(1 + 真實IC!$C13:BX13) - 1</f>
        <v>29.692198185766838</v>
      </c>
      <c r="BY13" s="11" cm="1">
        <f t="array" ref="BY13">PRODUCT(1 + 真實IC!$C13:BY13) - 1</f>
        <v>30.895392406240902</v>
      </c>
      <c r="BZ13" s="11" cm="1">
        <f t="array" ref="BZ13">PRODUCT(1 + 真實IC!$C13:BZ13) - 1</f>
        <v>33.323847718283972</v>
      </c>
      <c r="CA13" s="11" cm="1">
        <f t="array" ref="CA13">PRODUCT(1 + 真實IC!$C13:CA13) - 1</f>
        <v>34.474780069707649</v>
      </c>
      <c r="CB13" s="11" cm="1">
        <f t="array" ref="CB13">PRODUCT(1 + 真實IC!$C13:CB13) - 1</f>
        <v>38.746900406362499</v>
      </c>
      <c r="CC13" s="11" cm="1">
        <f t="array" ref="CC13">PRODUCT(1 + 真實IC!$C13:CC13) - 1</f>
        <v>43.521225494930206</v>
      </c>
      <c r="CD13" s="11" cm="1">
        <f t="array" ref="CD13">PRODUCT(1 + 真實IC!$C13:CD13) - 1</f>
        <v>48.199775557452071</v>
      </c>
      <c r="CE13" s="11" cm="1">
        <f t="array" ref="CE13">PRODUCT(1 + 真實IC!$C13:CE13) - 1</f>
        <v>57.244063852280028</v>
      </c>
      <c r="CF13" s="11" cm="1">
        <f t="array" ref="CF13">PRODUCT(1 + 真實IC!$C13:CF13) - 1</f>
        <v>59.83675564575239</v>
      </c>
      <c r="CG13" s="11" cm="1">
        <f t="array" ref="CG13">PRODUCT(1 + 真實IC!$C13:CG13) - 1</f>
        <v>63.366198066037597</v>
      </c>
      <c r="CH13" s="11" cm="1">
        <f t="array" ref="CH13">PRODUCT(1 + 真實IC!$C13:CH13) - 1</f>
        <v>67.120975245013042</v>
      </c>
      <c r="CI13" s="11" cm="1">
        <f t="array" ref="CI13">PRODUCT(1 + 真實IC!$C13:CI13) - 1</f>
        <v>70.653286857115248</v>
      </c>
      <c r="CJ13" s="11" cm="1">
        <f t="array" ref="CJ13">PRODUCT(1 + 真實IC!$C13:CJ13) - 1</f>
        <v>74.580616455986501</v>
      </c>
      <c r="CK13" s="11" cm="1">
        <f t="array" ref="CK13">PRODUCT(1 + 真實IC!$C13:CK13) - 1</f>
        <v>79.54528995245326</v>
      </c>
      <c r="CL13" s="11" cm="1">
        <f t="array" ref="CL13">PRODUCT(1 + 真實IC!$C13:CL13) - 1</f>
        <v>86.105974942756745</v>
      </c>
      <c r="CM13" s="11" cm="1">
        <f t="array" ref="CM13">PRODUCT(1 + 真實IC!$C13:CM13) - 1</f>
        <v>94.943069363947117</v>
      </c>
      <c r="CN13" s="11" cm="1">
        <f t="array" ref="CN13">PRODUCT(1 + 真實IC!$C13:CN13) - 1</f>
        <v>104.63275970002887</v>
      </c>
      <c r="CO13" s="11" cm="1">
        <f t="array" ref="CO13">PRODUCT(1 + 真實IC!$C13:CO13) - 1</f>
        <v>113.67135769529408</v>
      </c>
      <c r="CP13" s="11" cm="1">
        <f t="array" ref="CP13">PRODUCT(1 + 真實IC!$C13:CP13) - 1</f>
        <v>121.66699473633747</v>
      </c>
      <c r="CQ13" s="11" cm="1">
        <f t="array" ref="CQ13">PRODUCT(1 + 真實IC!$C13:CQ13) - 1</f>
        <v>130.39829219075517</v>
      </c>
      <c r="CR13" s="11" cm="1">
        <f t="array" ref="CR13">PRODUCT(1 + 真實IC!$C13:CR13) - 1</f>
        <v>145.06823959298043</v>
      </c>
      <c r="CS13" s="11" cm="1">
        <f t="array" ref="CS13">PRODUCT(1 + 真實IC!$C13:CS13) - 1</f>
        <v>146.46576992088205</v>
      </c>
      <c r="CT13" s="11" cm="1">
        <f t="array" ref="CT13">PRODUCT(1 + 真實IC!$C13:CT13) - 1</f>
        <v>152.87496672944602</v>
      </c>
      <c r="CU13" s="11" cm="1">
        <f t="array" ref="CU13">PRODUCT(1 + 真實IC!$C13:CU13) - 1</f>
        <v>169.35358490015633</v>
      </c>
      <c r="CV13" s="11" cm="1">
        <f t="array" ref="CV13">PRODUCT(1 + 真實IC!$C13:CV13) - 1</f>
        <v>182.58257162097192</v>
      </c>
      <c r="CW13" s="11" cm="1">
        <f t="array" ref="CW13">PRODUCT(1 + 真實IC!$C13:CW13) - 1</f>
        <v>189.24829319915179</v>
      </c>
      <c r="CX13" s="11" cm="1">
        <f t="array" ref="CX13">PRODUCT(1 + 真實IC!$C13:CX13) - 1</f>
        <v>200.66951754376092</v>
      </c>
      <c r="CY13" s="11" cm="1">
        <f t="array" ref="CY13">PRODUCT(1 + 真實IC!$C13:CY13) - 1</f>
        <v>213.2329127907816</v>
      </c>
      <c r="CZ13" s="11" cm="1">
        <f t="array" ref="CZ13">PRODUCT(1 + 真實IC!$C13:CZ13) - 1</f>
        <v>225.49222419929026</v>
      </c>
      <c r="DA13" s="11" cm="1">
        <f t="array" ref="DA13">PRODUCT(1 + 真實IC!$C13:DA13) - 1</f>
        <v>236.69136634641154</v>
      </c>
      <c r="DB13" s="11" cm="1">
        <f t="array" ref="DB13">PRODUCT(1 + 真實IC!$C13:DB13) - 1</f>
        <v>261.94258502116065</v>
      </c>
      <c r="DC13" s="11" cm="1">
        <f t="array" ref="DC13">PRODUCT(1 + 真實IC!$C13:DC13) - 1</f>
        <v>269.77184928366688</v>
      </c>
      <c r="DD13" s="11" cm="1">
        <f t="array" ref="DD13">PRODUCT(1 + 真實IC!$C13:DD13) - 1</f>
        <v>288.44889508677062</v>
      </c>
      <c r="DE13" s="11" cm="1">
        <f t="array" ref="DE13">PRODUCT(1 + 真實IC!$C13:DE13) - 1</f>
        <v>294.94470615675431</v>
      </c>
      <c r="DF13" s="11" cm="1">
        <f t="array" ref="DF13">PRODUCT(1 + 真實IC!$C13:DF13) - 1</f>
        <v>319.5442773837093</v>
      </c>
      <c r="DG13" s="11" cm="1">
        <f t="array" ref="DG13">PRODUCT(1 + 真實IC!$C13:DG13) - 1</f>
        <v>334.84356199852851</v>
      </c>
      <c r="DH13" s="11" cm="1">
        <f t="array" ref="DH13">PRODUCT(1 + 真實IC!$C13:DH13) - 1</f>
        <v>364.63980464298629</v>
      </c>
      <c r="DI13" s="11" cm="1">
        <f t="array" ref="DI13">PRODUCT(1 + 真實IC!$C13:DI13) - 1</f>
        <v>397.45545188548073</v>
      </c>
      <c r="DJ13" s="11" cm="1">
        <f t="array" ref="DJ13">PRODUCT(1 + 真實IC!$C13:DJ13) - 1</f>
        <v>400.25305686846167</v>
      </c>
      <c r="DK13" s="11" cm="1">
        <f t="array" ref="DK13">PRODUCT(1 + 真實IC!$C13:DK13) - 1</f>
        <v>408.03200296872467</v>
      </c>
      <c r="DL13" s="11" cm="1">
        <f t="array" ref="DL13">PRODUCT(1 + 真實IC!$C13:DL13) - 1</f>
        <v>417.05144114362685</v>
      </c>
      <c r="DM13" s="11" cm="1">
        <f t="array" ref="DM13">PRODUCT(1 + 真實IC!$C13:DM13) - 1</f>
        <v>416.82919554517406</v>
      </c>
      <c r="DN13" s="11" cm="1">
        <f t="array" ref="DN13">PRODUCT(1 + 真實IC!$C13:DN13) - 1</f>
        <v>421.63405493764674</v>
      </c>
      <c r="DO13" s="11" cm="1">
        <f t="array" ref="DO13">PRODUCT(1 + 真實IC!$C13:DO13) - 1</f>
        <v>437.63644472042279</v>
      </c>
      <c r="DP13" s="11" cm="1">
        <f t="array" ref="DP13">PRODUCT(1 + 真實IC!$C13:DP13) - 1</f>
        <v>463.09153037115749</v>
      </c>
      <c r="DQ13" s="11" cm="1">
        <f t="array" ref="DQ13">PRODUCT(1 + 真實IC!$C13:DQ13) - 1</f>
        <v>503.52736660806153</v>
      </c>
      <c r="DR13" s="11" cm="1">
        <f t="array" ref="DR13">PRODUCT(1 + 真實IC!$C13:DR13) - 1</f>
        <v>510.47531855722957</v>
      </c>
      <c r="DS13" s="11" cm="1">
        <f t="array" ref="DS13">PRODUCT(1 + 真實IC!$C13:DS13) - 1</f>
        <v>545.56091561349683</v>
      </c>
      <c r="DT13" s="11" cm="1">
        <f t="array" ref="DT13">PRODUCT(1 + 真實IC!$C13:DT13) - 1</f>
        <v>561.87346839576048</v>
      </c>
      <c r="DU13" s="11" cm="1">
        <f t="array" ref="DU13">PRODUCT(1 + 真實IC!$C13:DU13) - 1</f>
        <v>580.45175983965066</v>
      </c>
      <c r="DV13" s="11" cm="1">
        <f t="array" ref="DV13">PRODUCT(1 + 真實IC!$C13:DV13) - 1</f>
        <v>626.74703270120153</v>
      </c>
      <c r="DW13" s="11" cm="1">
        <f t="array" ref="DW13">PRODUCT(1 + 真實IC!$C13:DW13) - 1</f>
        <v>653.13041544536679</v>
      </c>
      <c r="DX13" s="11" cm="1">
        <f t="array" ref="DX13">PRODUCT(1 + 真實IC!$C13:DX13) - 1</f>
        <v>695.33712053498755</v>
      </c>
      <c r="DY13" s="11" cm="1">
        <f t="array" ref="DY13">PRODUCT(1 + 真實IC!$C13:DY13) - 1</f>
        <v>735.01534209159252</v>
      </c>
      <c r="DZ13" s="11" cm="1">
        <f t="array" ref="DZ13">PRODUCT(1 + 真實IC!$C13:DZ13) - 1</f>
        <v>748.48598625613556</v>
      </c>
      <c r="EA13" s="11" cm="1">
        <f t="array" ref="EA13">PRODUCT(1 + 真實IC!$C13:EA13) - 1</f>
        <v>841.77372611276564</v>
      </c>
      <c r="EB13" s="11" cm="1">
        <f t="array" ref="EB13">PRODUCT(1 + 真實IC!$C13:EB13) - 1</f>
        <v>889.98484383569701</v>
      </c>
      <c r="EC13" s="11" cm="1">
        <f t="array" ref="EC13">PRODUCT(1 + 真實IC!$C13:EC13) - 1</f>
        <v>927.10305274441816</v>
      </c>
      <c r="ED13" s="11" cm="1">
        <f t="array" ref="ED13">PRODUCT(1 + 真實IC!$C13:ED13) - 1</f>
        <v>988.06280438019905</v>
      </c>
      <c r="EE13" s="11" cm="1">
        <f t="array" ref="EE13">PRODUCT(1 + 真實IC!$C13:EE13) - 1</f>
        <v>1028.8461998520852</v>
      </c>
      <c r="EF13" s="11" cm="1">
        <f t="array" ref="EF13">PRODUCT(1 + 真實IC!$C13:EF13) - 1</f>
        <v>1074.6883714916535</v>
      </c>
      <c r="EG13">
        <f t="shared" si="6"/>
        <v>21227.329809216179</v>
      </c>
      <c r="EH13" s="12">
        <f t="shared" si="7"/>
        <v>150.39284655018301</v>
      </c>
    </row>
    <row r="14" spans="1:138" x14ac:dyDescent="0.3">
      <c r="A14" s="1">
        <v>19</v>
      </c>
      <c r="B14" s="1" t="s">
        <v>161</v>
      </c>
      <c r="C14" s="11" cm="1">
        <f t="array" ref="C14">PRODUCT(1 + 真實IC!$C14:C14) - 1</f>
        <v>0.11994148975270602</v>
      </c>
      <c r="D14" s="11" cm="1">
        <f t="array" ref="D14">PRODUCT(1 + 真實IC!$C14:D14) - 1</f>
        <v>0.36891394479590733</v>
      </c>
      <c r="E14" s="11" cm="1">
        <f t="array" ref="E14">PRODUCT(1 + 真實IC!$C14:E14) - 1</f>
        <v>0.50411917698085751</v>
      </c>
      <c r="F14" s="11" cm="1">
        <f t="array" ref="F14">PRODUCT(1 + 真實IC!$C14:F14) - 1</f>
        <v>0.5948805933255763</v>
      </c>
      <c r="G14" s="11" cm="1">
        <f t="array" ref="G14">PRODUCT(1 + 真實IC!$C14:G14) - 1</f>
        <v>0.6804565119220094</v>
      </c>
      <c r="H14" s="11" cm="1">
        <f t="array" ref="H14">PRODUCT(1 + 真實IC!$C14:H14) - 1</f>
        <v>0.78059122927759272</v>
      </c>
      <c r="I14" s="11" cm="1">
        <f t="array" ref="I14">PRODUCT(1 + 真實IC!$C14:I14) - 1</f>
        <v>0.85855861813190204</v>
      </c>
      <c r="J14" s="11" cm="1">
        <f t="array" ref="J14">PRODUCT(1 + 真實IC!$C14:J14) - 1</f>
        <v>0.90188156741570014</v>
      </c>
      <c r="K14" s="11" cm="1">
        <f t="array" ref="K14">PRODUCT(1 + 真實IC!$C14:K14) - 1</f>
        <v>0.99854938861565024</v>
      </c>
      <c r="L14" s="11" cm="1">
        <f t="array" ref="L14">PRODUCT(1 + 真實IC!$C14:L14) - 1</f>
        <v>1.0154979819129641</v>
      </c>
      <c r="M14" s="11" cm="1">
        <f t="array" ref="M14">PRODUCT(1 + 真實IC!$C14:M14) - 1</f>
        <v>0.97715975479626427</v>
      </c>
      <c r="N14" s="11" cm="1">
        <f t="array" ref="N14">PRODUCT(1 + 真實IC!$C14:N14) - 1</f>
        <v>1.3821464788367779</v>
      </c>
      <c r="O14" s="11" cm="1">
        <f t="array" ref="O14">PRODUCT(1 + 真實IC!$C14:O14) - 1</f>
        <v>1.3857063774455374</v>
      </c>
      <c r="P14" s="11" cm="1">
        <f t="array" ref="P14">PRODUCT(1 + 真實IC!$C14:P14) - 1</f>
        <v>1.5249026154161105</v>
      </c>
      <c r="Q14" s="11" cm="1">
        <f t="array" ref="Q14">PRODUCT(1 + 真實IC!$C14:Q14) - 1</f>
        <v>1.8382528043201649</v>
      </c>
      <c r="R14" s="11" cm="1">
        <f t="array" ref="R14">PRODUCT(1 + 真實IC!$C14:R14) - 1</f>
        <v>1.7930076847699725</v>
      </c>
      <c r="S14" s="11" cm="1">
        <f t="array" ref="S14">PRODUCT(1 + 真實IC!$C14:S14) - 1</f>
        <v>2.2563487431481546</v>
      </c>
      <c r="T14" s="11" cm="1">
        <f t="array" ref="T14">PRODUCT(1 + 真實IC!$C14:T14) - 1</f>
        <v>2.3703846265187614</v>
      </c>
      <c r="U14" s="11" cm="1">
        <f t="array" ref="U14">PRODUCT(1 + 真實IC!$C14:U14) - 1</f>
        <v>2.7218033900651353</v>
      </c>
      <c r="V14" s="11" cm="1">
        <f t="array" ref="V14">PRODUCT(1 + 真實IC!$C14:V14) - 1</f>
        <v>2.7965711717271264</v>
      </c>
      <c r="W14" s="11" cm="1">
        <f t="array" ref="W14">PRODUCT(1 + 真實IC!$C14:W14) - 1</f>
        <v>3.2376028632014178</v>
      </c>
      <c r="X14" s="11" cm="1">
        <f t="array" ref="X14">PRODUCT(1 + 真實IC!$C14:X14) - 1</f>
        <v>4.0287027014385721</v>
      </c>
      <c r="Y14" s="11" cm="1">
        <f t="array" ref="Y14">PRODUCT(1 + 真實IC!$C14:Y14) - 1</f>
        <v>4.0549518989182936</v>
      </c>
      <c r="Z14" s="11" cm="1">
        <f t="array" ref="Z14">PRODUCT(1 + 真實IC!$C14:Z14) - 1</f>
        <v>4.2496278337999369</v>
      </c>
      <c r="AA14" s="11" cm="1">
        <f t="array" ref="AA14">PRODUCT(1 + 真實IC!$C14:AA14) - 1</f>
        <v>4.7740965195693548</v>
      </c>
      <c r="AB14" s="11" cm="1">
        <f t="array" ref="AB14">PRODUCT(1 + 真實IC!$C14:AB14) - 1</f>
        <v>5.1827257350020872</v>
      </c>
      <c r="AC14" s="11" cm="1">
        <f t="array" ref="AC14">PRODUCT(1 + 真實IC!$C14:AC14) - 1</f>
        <v>5.163642366597367</v>
      </c>
      <c r="AD14" s="11" cm="1">
        <f t="array" ref="AD14">PRODUCT(1 + 真實IC!$C14:AD14) - 1</f>
        <v>5.4060454290888096</v>
      </c>
      <c r="AE14" s="11" cm="1">
        <f t="array" ref="AE14">PRODUCT(1 + 真實IC!$C14:AE14) - 1</f>
        <v>6.1545080453758771</v>
      </c>
      <c r="AF14" s="11" cm="1">
        <f t="array" ref="AF14">PRODUCT(1 + 真實IC!$C14:AF14) - 1</f>
        <v>6.8419138613208448</v>
      </c>
      <c r="AG14" s="11" cm="1">
        <f t="array" ref="AG14">PRODUCT(1 + 真實IC!$C14:AG14) - 1</f>
        <v>7.0028369494964284</v>
      </c>
      <c r="AH14" s="11" cm="1">
        <f t="array" ref="AH14">PRODUCT(1 + 真實IC!$C14:AH14) - 1</f>
        <v>7.044854067713807</v>
      </c>
      <c r="AI14" s="11" cm="1">
        <f t="array" ref="AI14">PRODUCT(1 + 真實IC!$C14:AI14) - 1</f>
        <v>7.1330624387702475</v>
      </c>
      <c r="AJ14" s="11" cm="1">
        <f t="array" ref="AJ14">PRODUCT(1 + 真實IC!$C14:AJ14) - 1</f>
        <v>7.2555385195022097</v>
      </c>
      <c r="AK14" s="11" cm="1">
        <f t="array" ref="AK14">PRODUCT(1 + 真實IC!$C14:AK14) - 1</f>
        <v>7.8904837995429542</v>
      </c>
      <c r="AL14" s="11" cm="1">
        <f t="array" ref="AL14">PRODUCT(1 + 真實IC!$C14:AL14) - 1</f>
        <v>8.0554871093164735</v>
      </c>
      <c r="AM14" s="11" cm="1">
        <f t="array" ref="AM14">PRODUCT(1 + 真實IC!$C14:AM14) - 1</f>
        <v>8.6100647575047304</v>
      </c>
      <c r="AN14" s="11" cm="1">
        <f t="array" ref="AN14">PRODUCT(1 + 真實IC!$C14:AN14) - 1</f>
        <v>9.5575658899046445</v>
      </c>
      <c r="AO14" s="11" cm="1">
        <f t="array" ref="AO14">PRODUCT(1 + 真實IC!$C14:AO14) - 1</f>
        <v>9.155910131203072</v>
      </c>
      <c r="AP14" s="11" cm="1">
        <f t="array" ref="AP14">PRODUCT(1 + 真實IC!$C14:AP14) - 1</f>
        <v>9.8665854319415107</v>
      </c>
      <c r="AQ14" s="11" cm="1">
        <f t="array" ref="AQ14">PRODUCT(1 + 真實IC!$C14:AQ14) - 1</f>
        <v>9.9549135665235529</v>
      </c>
      <c r="AR14" s="11" cm="1">
        <f t="array" ref="AR14">PRODUCT(1 + 真實IC!$C14:AR14) - 1</f>
        <v>9.7558537709190674</v>
      </c>
      <c r="AS14" s="11" cm="1">
        <f t="array" ref="AS14">PRODUCT(1 + 真實IC!$C14:AS14) - 1</f>
        <v>9.6841193424507903</v>
      </c>
      <c r="AT14" s="11" cm="1">
        <f t="array" ref="AT14">PRODUCT(1 + 真實IC!$C14:AT14) - 1</f>
        <v>10.532475595885117</v>
      </c>
      <c r="AU14" s="11" cm="1">
        <f t="array" ref="AU14">PRODUCT(1 + 真實IC!$C14:AU14) - 1</f>
        <v>12.122255911795627</v>
      </c>
      <c r="AV14" s="11" cm="1">
        <f t="array" ref="AV14">PRODUCT(1 + 真實IC!$C14:AV14) - 1</f>
        <v>12.991720175406858</v>
      </c>
      <c r="AW14" s="11" cm="1">
        <f t="array" ref="AW14">PRODUCT(1 + 真實IC!$C14:AW14) - 1</f>
        <v>13.746275192597722</v>
      </c>
      <c r="AX14" s="11" cm="1">
        <f t="array" ref="AX14">PRODUCT(1 + 真實IC!$C14:AX14) - 1</f>
        <v>14.031913689572042</v>
      </c>
      <c r="AY14" s="11" cm="1">
        <f t="array" ref="AY14">PRODUCT(1 + 真實IC!$C14:AY14) - 1</f>
        <v>14.258416350413382</v>
      </c>
      <c r="AZ14" s="11" cm="1">
        <f t="array" ref="AZ14">PRODUCT(1 + 真實IC!$C14:AZ14) - 1</f>
        <v>14.649473196967355</v>
      </c>
      <c r="BA14" s="11" cm="1">
        <f t="array" ref="BA14">PRODUCT(1 + 真實IC!$C14:BA14) - 1</f>
        <v>16.157101587993193</v>
      </c>
      <c r="BB14" s="11" cm="1">
        <f t="array" ref="BB14">PRODUCT(1 + 真實IC!$C14:BB14) - 1</f>
        <v>18.04972289168812</v>
      </c>
      <c r="BC14" s="11" cm="1">
        <f t="array" ref="BC14">PRODUCT(1 + 真實IC!$C14:BC14) - 1</f>
        <v>17.506697520188172</v>
      </c>
      <c r="BD14" s="11" cm="1">
        <f t="array" ref="BD14">PRODUCT(1 + 真實IC!$C14:BD14) - 1</f>
        <v>17.810531408294064</v>
      </c>
      <c r="BE14" s="11" cm="1">
        <f t="array" ref="BE14">PRODUCT(1 + 真實IC!$C14:BE14) - 1</f>
        <v>19.128806746836865</v>
      </c>
      <c r="BF14" s="11" cm="1">
        <f t="array" ref="BF14">PRODUCT(1 + 真實IC!$C14:BF14) - 1</f>
        <v>22.225206225068696</v>
      </c>
      <c r="BG14" s="11" cm="1">
        <f t="array" ref="BG14">PRODUCT(1 + 真實IC!$C14:BG14) - 1</f>
        <v>25.135447808223596</v>
      </c>
      <c r="BH14" s="11" cm="1">
        <f t="array" ref="BH14">PRODUCT(1 + 真實IC!$C14:BH14) - 1</f>
        <v>27.054141569687559</v>
      </c>
      <c r="BI14" s="11" cm="1">
        <f t="array" ref="BI14">PRODUCT(1 + 真實IC!$C14:BI14) - 1</f>
        <v>28.462044636832481</v>
      </c>
      <c r="BJ14" s="11" cm="1">
        <f t="array" ref="BJ14">PRODUCT(1 + 真實IC!$C14:BJ14) - 1</f>
        <v>29.169632609118541</v>
      </c>
      <c r="BK14" s="11" cm="1">
        <f t="array" ref="BK14">PRODUCT(1 + 真實IC!$C14:BK14) - 1</f>
        <v>28.166873005943359</v>
      </c>
      <c r="BL14" s="11" cm="1">
        <f t="array" ref="BL14">PRODUCT(1 + 真實IC!$C14:BL14) - 1</f>
        <v>29.916794838543062</v>
      </c>
      <c r="BM14" s="11" cm="1">
        <f t="array" ref="BM14">PRODUCT(1 + 真實IC!$C14:BM14) - 1</f>
        <v>31.347572318132244</v>
      </c>
      <c r="BN14" s="11" cm="1">
        <f t="array" ref="BN14">PRODUCT(1 + 真實IC!$C14:BN14) - 1</f>
        <v>29.840930951652773</v>
      </c>
      <c r="BO14" s="11" cm="1">
        <f t="array" ref="BO14">PRODUCT(1 + 真實IC!$C14:BO14) - 1</f>
        <v>30.877465208736229</v>
      </c>
      <c r="BP14" s="11" cm="1">
        <f t="array" ref="BP14">PRODUCT(1 + 真實IC!$C14:BP14) - 1</f>
        <v>29.272999598079771</v>
      </c>
      <c r="BQ14" s="11" cm="1">
        <f t="array" ref="BQ14">PRODUCT(1 + 真實IC!$C14:BQ14) - 1</f>
        <v>29.752630589826961</v>
      </c>
      <c r="BR14" s="11" cm="1">
        <f t="array" ref="BR14">PRODUCT(1 + 真實IC!$C14:BR14) - 1</f>
        <v>32.829505796281396</v>
      </c>
      <c r="BS14" s="11" cm="1">
        <f t="array" ref="BS14">PRODUCT(1 + 真實IC!$C14:BS14) - 1</f>
        <v>33.855646858208857</v>
      </c>
      <c r="BT14" s="11" cm="1">
        <f t="array" ref="BT14">PRODUCT(1 + 真實IC!$C14:BT14) - 1</f>
        <v>33.322776242015138</v>
      </c>
      <c r="BU14" s="11" cm="1">
        <f t="array" ref="BU14">PRODUCT(1 + 真實IC!$C14:BU14) - 1</f>
        <v>37.138077319610296</v>
      </c>
      <c r="BV14" s="11" cm="1">
        <f t="array" ref="BV14">PRODUCT(1 + 真實IC!$C14:BV14) - 1</f>
        <v>41.256289195689497</v>
      </c>
      <c r="BW14" s="11" cm="1">
        <f t="array" ref="BW14">PRODUCT(1 + 真實IC!$C14:BW14) - 1</f>
        <v>46.78753217227716</v>
      </c>
      <c r="BX14" s="11" cm="1">
        <f t="array" ref="BX14">PRODUCT(1 + 真實IC!$C14:BX14) - 1</f>
        <v>46.772854985634709</v>
      </c>
      <c r="BY14" s="11" cm="1">
        <f t="array" ref="BY14">PRODUCT(1 + 真實IC!$C14:BY14) - 1</f>
        <v>44.737516879688279</v>
      </c>
      <c r="BZ14" s="11" cm="1">
        <f t="array" ref="BZ14">PRODUCT(1 + 真實IC!$C14:BZ14) - 1</f>
        <v>47.483325567250873</v>
      </c>
      <c r="CA14" s="11" cm="1">
        <f t="array" ref="CA14">PRODUCT(1 + 真實IC!$C14:CA14) - 1</f>
        <v>48.669483029390804</v>
      </c>
      <c r="CB14" s="11" cm="1">
        <f t="array" ref="CB14">PRODUCT(1 + 真實IC!$C14:CB14) - 1</f>
        <v>56.838399456219499</v>
      </c>
      <c r="CC14" s="11" cm="1">
        <f t="array" ref="CC14">PRODUCT(1 + 真實IC!$C14:CC14) - 1</f>
        <v>63.813488249586243</v>
      </c>
      <c r="CD14" s="11" cm="1">
        <f t="array" ref="CD14">PRODUCT(1 + 真實IC!$C14:CD14) - 1</f>
        <v>70.16629312703985</v>
      </c>
      <c r="CE14" s="11" cm="1">
        <f t="array" ref="CE14">PRODUCT(1 + 真實IC!$C14:CE14) - 1</f>
        <v>82.304081778310987</v>
      </c>
      <c r="CF14" s="11" cm="1">
        <f t="array" ref="CF14">PRODUCT(1 + 真實IC!$C14:CF14) - 1</f>
        <v>89.995604569087178</v>
      </c>
      <c r="CG14" s="11" cm="1">
        <f t="array" ref="CG14">PRODUCT(1 + 真實IC!$C14:CG14) - 1</f>
        <v>95.211533013841816</v>
      </c>
      <c r="CH14" s="11" cm="1">
        <f t="array" ref="CH14">PRODUCT(1 + 真實IC!$C14:CH14) - 1</f>
        <v>101.43270469173848</v>
      </c>
      <c r="CI14" s="11" cm="1">
        <f t="array" ref="CI14">PRODUCT(1 + 真實IC!$C14:CI14) - 1</f>
        <v>112.2787688227499</v>
      </c>
      <c r="CJ14" s="11" cm="1">
        <f t="array" ref="CJ14">PRODUCT(1 + 真實IC!$C14:CJ14) - 1</f>
        <v>114.29469097260704</v>
      </c>
      <c r="CK14" s="11" cm="1">
        <f t="array" ref="CK14">PRODUCT(1 + 真實IC!$C14:CK14) - 1</f>
        <v>120.49663296400961</v>
      </c>
      <c r="CL14" s="11" cm="1">
        <f t="array" ref="CL14">PRODUCT(1 + 真實IC!$C14:CL14) - 1</f>
        <v>128.06222281660905</v>
      </c>
      <c r="CM14" s="11" cm="1">
        <f t="array" ref="CM14">PRODUCT(1 + 真實IC!$C14:CM14) - 1</f>
        <v>142.26796913160823</v>
      </c>
      <c r="CN14" s="11" cm="1">
        <f t="array" ref="CN14">PRODUCT(1 + 真實IC!$C14:CN14) - 1</f>
        <v>167.2819368628993</v>
      </c>
      <c r="CO14" s="11" cm="1">
        <f t="array" ref="CO14">PRODUCT(1 + 真實IC!$C14:CO14) - 1</f>
        <v>196.43664005012934</v>
      </c>
      <c r="CP14" s="11" cm="1">
        <f t="array" ref="CP14">PRODUCT(1 + 真實IC!$C14:CP14) - 1</f>
        <v>216.1426591035362</v>
      </c>
      <c r="CQ14" s="11" cm="1">
        <f t="array" ref="CQ14">PRODUCT(1 + 真實IC!$C14:CQ14) - 1</f>
        <v>223.14071098240612</v>
      </c>
      <c r="CR14" s="11" cm="1">
        <f t="array" ref="CR14">PRODUCT(1 + 真實IC!$C14:CR14) - 1</f>
        <v>269.69915504753504</v>
      </c>
      <c r="CS14" s="11" cm="1">
        <f t="array" ref="CS14">PRODUCT(1 + 真實IC!$C14:CS14) - 1</f>
        <v>268.50465887854995</v>
      </c>
      <c r="CT14" s="11" cm="1">
        <f t="array" ref="CT14">PRODUCT(1 + 真實IC!$C14:CT14) - 1</f>
        <v>285.17954610386198</v>
      </c>
      <c r="CU14" s="11" cm="1">
        <f t="array" ref="CU14">PRODUCT(1 + 真實IC!$C14:CU14) - 1</f>
        <v>314.23964810059118</v>
      </c>
      <c r="CV14" s="11" cm="1">
        <f t="array" ref="CV14">PRODUCT(1 + 真實IC!$C14:CV14) - 1</f>
        <v>361.96593503066464</v>
      </c>
      <c r="CW14" s="11" cm="1">
        <f t="array" ref="CW14">PRODUCT(1 + 真實IC!$C14:CW14) - 1</f>
        <v>378.21370020321717</v>
      </c>
      <c r="CX14" s="11" cm="1">
        <f t="array" ref="CX14">PRODUCT(1 + 真實IC!$C14:CX14) - 1</f>
        <v>391.97893336291588</v>
      </c>
      <c r="CY14" s="11" cm="1">
        <f t="array" ref="CY14">PRODUCT(1 + 真實IC!$C14:CY14) - 1</f>
        <v>411.68201031453185</v>
      </c>
      <c r="CZ14" s="11" cm="1">
        <f t="array" ref="CZ14">PRODUCT(1 + 真實IC!$C14:CZ14) - 1</f>
        <v>438.11989042588044</v>
      </c>
      <c r="DA14" s="11" cm="1">
        <f t="array" ref="DA14">PRODUCT(1 + 真實IC!$C14:DA14) - 1</f>
        <v>466.83540119912823</v>
      </c>
      <c r="DB14" s="11" cm="1">
        <f t="array" ref="DB14">PRODUCT(1 + 真實IC!$C14:DB14) - 1</f>
        <v>515.77446537466835</v>
      </c>
      <c r="DC14" s="11" cm="1">
        <f t="array" ref="DC14">PRODUCT(1 + 真實IC!$C14:DC14) - 1</f>
        <v>527.98719436191186</v>
      </c>
      <c r="DD14" s="11" cm="1">
        <f t="array" ref="DD14">PRODUCT(1 + 真實IC!$C14:DD14) - 1</f>
        <v>569.88581121453103</v>
      </c>
      <c r="DE14" s="11" cm="1">
        <f t="array" ref="DE14">PRODUCT(1 + 真實IC!$C14:DE14) - 1</f>
        <v>605.58154494870769</v>
      </c>
      <c r="DF14" s="11" cm="1">
        <f t="array" ref="DF14">PRODUCT(1 + 真實IC!$C14:DF14) - 1</f>
        <v>727.84584351691683</v>
      </c>
      <c r="DG14" s="11" cm="1">
        <f t="array" ref="DG14">PRODUCT(1 + 真實IC!$C14:DG14) - 1</f>
        <v>761.06911202585343</v>
      </c>
      <c r="DH14" s="11" cm="1">
        <f t="array" ref="DH14">PRODUCT(1 + 真實IC!$C14:DH14) - 1</f>
        <v>805.83396170356002</v>
      </c>
      <c r="DI14" s="11" cm="1">
        <f t="array" ref="DI14">PRODUCT(1 + 真實IC!$C14:DI14) - 1</f>
        <v>875.7432588517695</v>
      </c>
      <c r="DJ14" s="11" cm="1">
        <f t="array" ref="DJ14">PRODUCT(1 + 真實IC!$C14:DJ14) - 1</f>
        <v>883.45336483524738</v>
      </c>
      <c r="DK14" s="11" cm="1">
        <f t="array" ref="DK14">PRODUCT(1 + 真實IC!$C14:DK14) - 1</f>
        <v>955.64381893700181</v>
      </c>
      <c r="DL14" s="11" cm="1">
        <f t="array" ref="DL14">PRODUCT(1 + 真實IC!$C14:DL14) - 1</f>
        <v>994.6317151665578</v>
      </c>
      <c r="DM14" s="11" cm="1">
        <f t="array" ref="DM14">PRODUCT(1 + 真實IC!$C14:DM14) - 1</f>
        <v>995.74796740292288</v>
      </c>
      <c r="DN14" s="11" cm="1">
        <f t="array" ref="DN14">PRODUCT(1 + 真實IC!$C14:DN14) - 1</f>
        <v>1038.2717234688696</v>
      </c>
      <c r="DO14" s="11" cm="1">
        <f t="array" ref="DO14">PRODUCT(1 + 真實IC!$C14:DO14) - 1</f>
        <v>1144.8928849228421</v>
      </c>
      <c r="DP14" s="11" cm="1">
        <f t="array" ref="DP14">PRODUCT(1 + 真實IC!$C14:DP14) - 1</f>
        <v>1216.9865158468854</v>
      </c>
      <c r="DQ14" s="11" cm="1">
        <f t="array" ref="DQ14">PRODUCT(1 + 真實IC!$C14:DQ14) - 1</f>
        <v>1303.673739804947</v>
      </c>
      <c r="DR14" s="11" cm="1">
        <f t="array" ref="DR14">PRODUCT(1 + 真實IC!$C14:DR14) - 1</f>
        <v>1372.3289590654786</v>
      </c>
      <c r="DS14" s="11" cm="1">
        <f t="array" ref="DS14">PRODUCT(1 + 真實IC!$C14:DS14) - 1</f>
        <v>1449.3065465816985</v>
      </c>
      <c r="DT14" s="11" cm="1">
        <f t="array" ref="DT14">PRODUCT(1 + 真實IC!$C14:DT14) - 1</f>
        <v>1460.5526446245656</v>
      </c>
      <c r="DU14" s="11" cm="1">
        <f t="array" ref="DU14">PRODUCT(1 + 真實IC!$C14:DU14) - 1</f>
        <v>1561.1005580962428</v>
      </c>
      <c r="DV14" s="11" cm="1">
        <f t="array" ref="DV14">PRODUCT(1 + 真實IC!$C14:DV14) - 1</f>
        <v>1730.2172425285369</v>
      </c>
      <c r="DW14" s="11" cm="1">
        <f t="array" ref="DW14">PRODUCT(1 + 真實IC!$C14:DW14) - 1</f>
        <v>1733.3495503467507</v>
      </c>
      <c r="DX14" s="11" cm="1">
        <f t="array" ref="DX14">PRODUCT(1 + 真實IC!$C14:DX14) - 1</f>
        <v>1910.1344111677595</v>
      </c>
      <c r="DY14" s="11" cm="1">
        <f t="array" ref="DY14">PRODUCT(1 + 真實IC!$C14:DY14) - 1</f>
        <v>2052.0527682168458</v>
      </c>
      <c r="DZ14" s="11" cm="1">
        <f t="array" ref="DZ14">PRODUCT(1 + 真實IC!$C14:DZ14) - 1</f>
        <v>2123.9732594605834</v>
      </c>
      <c r="EA14" s="11" cm="1">
        <f t="array" ref="EA14">PRODUCT(1 + 真實IC!$C14:EA14) - 1</f>
        <v>2257.6610318585381</v>
      </c>
      <c r="EB14" s="11" cm="1">
        <f t="array" ref="EB14">PRODUCT(1 + 真實IC!$C14:EB14) - 1</f>
        <v>2434.2427689385204</v>
      </c>
      <c r="EC14" s="11" cm="1">
        <f t="array" ref="EC14">PRODUCT(1 + 真實IC!$C14:EC14) - 1</f>
        <v>2449.0475403543755</v>
      </c>
      <c r="ED14" s="11" cm="1">
        <f t="array" ref="ED14">PRODUCT(1 + 真實IC!$C14:ED14) - 1</f>
        <v>2700.4952069132778</v>
      </c>
      <c r="EE14" s="11" cm="1">
        <f t="array" ref="EE14">PRODUCT(1 + 真實IC!$C14:EE14) - 1</f>
        <v>2691.3121398271219</v>
      </c>
      <c r="EF14" s="11" cm="1">
        <f t="array" ref="EF14">PRODUCT(1 + 真實IC!$C14:EF14) - 1</f>
        <v>2760.034363510546</v>
      </c>
      <c r="EG14">
        <f t="shared" si="6"/>
        <v>51296.406033985091</v>
      </c>
      <c r="EH14" s="14">
        <f t="shared" si="7"/>
        <v>362.21172888413838</v>
      </c>
    </row>
    <row r="15" spans="1:138" x14ac:dyDescent="0.3">
      <c r="A15" s="1">
        <v>10</v>
      </c>
      <c r="B15" s="1" t="s">
        <v>162</v>
      </c>
      <c r="C15" s="11" cm="1">
        <f t="array" ref="C15">PRODUCT(1 + 真實IC!$C15:C15) - 1</f>
        <v>0.22764465877785844</v>
      </c>
      <c r="D15" s="11" cm="1">
        <f t="array" ref="D15">PRODUCT(1 + 真實IC!$C15:D15) - 1</f>
        <v>0.68519913659866893</v>
      </c>
      <c r="E15" s="11" cm="1">
        <f t="array" ref="E15">PRODUCT(1 + 真實IC!$C15:E15) - 1</f>
        <v>0.78975846316144338</v>
      </c>
      <c r="F15" s="11" cm="1">
        <f t="array" ref="F15">PRODUCT(1 + 真實IC!$C15:F15) - 1</f>
        <v>0.72725752653833897</v>
      </c>
      <c r="G15" s="11" cm="1">
        <f t="array" ref="G15">PRODUCT(1 + 真實IC!$C15:G15) - 1</f>
        <v>0.78668195797108309</v>
      </c>
      <c r="H15" s="11" cm="1">
        <f t="array" ref="H15">PRODUCT(1 + 真實IC!$C15:H15) - 1</f>
        <v>0.99901785920348307</v>
      </c>
      <c r="I15" s="11" cm="1">
        <f t="array" ref="I15">PRODUCT(1 + 真實IC!$C15:I15) - 1</f>
        <v>1.1158233598579872</v>
      </c>
      <c r="J15" s="11" cm="1">
        <f t="array" ref="J15">PRODUCT(1 + 真實IC!$C15:J15) - 1</f>
        <v>1.2215329951211471</v>
      </c>
      <c r="K15" s="11" cm="1">
        <f t="array" ref="K15">PRODUCT(1 + 真實IC!$C15:K15) - 1</f>
        <v>1.4315007364988186</v>
      </c>
      <c r="L15" s="11" cm="1">
        <f t="array" ref="L15">PRODUCT(1 + 真實IC!$C15:L15) - 1</f>
        <v>1.3999712598658061</v>
      </c>
      <c r="M15" s="11" cm="1">
        <f t="array" ref="M15">PRODUCT(1 + 真實IC!$C15:M15) - 1</f>
        <v>1.3948520817218943</v>
      </c>
      <c r="N15" s="11" cm="1">
        <f t="array" ref="N15">PRODUCT(1 + 真實IC!$C15:N15) - 1</f>
        <v>2.1858940847247554</v>
      </c>
      <c r="O15" s="11" cm="1">
        <f t="array" ref="O15">PRODUCT(1 + 真實IC!$C15:O15) - 1</f>
        <v>2.1468006291008055</v>
      </c>
      <c r="P15" s="11" cm="1">
        <f t="array" ref="P15">PRODUCT(1 + 真實IC!$C15:P15) - 1</f>
        <v>2.3485614741689127</v>
      </c>
      <c r="Q15" s="11" cm="1">
        <f t="array" ref="Q15">PRODUCT(1 + 真實IC!$C15:Q15) - 1</f>
        <v>2.8693861514650267</v>
      </c>
      <c r="R15" s="11" cm="1">
        <f t="array" ref="R15">PRODUCT(1 + 真實IC!$C15:R15) - 1</f>
        <v>2.6676762504921219</v>
      </c>
      <c r="S15" s="11" cm="1">
        <f t="array" ref="S15">PRODUCT(1 + 真實IC!$C15:S15) - 1</f>
        <v>3.6579777947303063</v>
      </c>
      <c r="T15" s="11" cm="1">
        <f t="array" ref="T15">PRODUCT(1 + 真實IC!$C15:T15) - 1</f>
        <v>3.8717374129184066</v>
      </c>
      <c r="U15" s="11" cm="1">
        <f t="array" ref="U15">PRODUCT(1 + 真實IC!$C15:U15) - 1</f>
        <v>4.5390098433177553</v>
      </c>
      <c r="V15" s="11" cm="1">
        <f t="array" ref="V15">PRODUCT(1 + 真實IC!$C15:V15) - 1</f>
        <v>4.444116338988283</v>
      </c>
      <c r="W15" s="11" cm="1">
        <f t="array" ref="W15">PRODUCT(1 + 真實IC!$C15:W15) - 1</f>
        <v>5.0262804979260309</v>
      </c>
      <c r="X15" s="11" cm="1">
        <f t="array" ref="X15">PRODUCT(1 + 真實IC!$C15:X15) - 1</f>
        <v>6.298948543745734</v>
      </c>
      <c r="Y15" s="11" cm="1">
        <f t="array" ref="Y15">PRODUCT(1 + 真實IC!$C15:Y15) - 1</f>
        <v>6.1483714223908219</v>
      </c>
      <c r="Z15" s="11" cm="1">
        <f t="array" ref="Z15">PRODUCT(1 + 真實IC!$C15:Z15) - 1</f>
        <v>6.4823431354719485</v>
      </c>
      <c r="AA15" s="11" cm="1">
        <f t="array" ref="AA15">PRODUCT(1 + 真實IC!$C15:AA15) - 1</f>
        <v>7.6858809036265967</v>
      </c>
      <c r="AB15" s="11" cm="1">
        <f t="array" ref="AB15">PRODUCT(1 + 真實IC!$C15:AB15) - 1</f>
        <v>8.4128906337121023</v>
      </c>
      <c r="AC15" s="11" cm="1">
        <f t="array" ref="AC15">PRODUCT(1 + 真實IC!$C15:AC15) - 1</f>
        <v>8.4535323783714311</v>
      </c>
      <c r="AD15" s="11" cm="1">
        <f t="array" ref="AD15">PRODUCT(1 + 真實IC!$C15:AD15) - 1</f>
        <v>8.8287476268253613</v>
      </c>
      <c r="AE15" s="11" cm="1">
        <f t="array" ref="AE15">PRODUCT(1 + 真實IC!$C15:AE15) - 1</f>
        <v>10.910404064555308</v>
      </c>
      <c r="AF15" s="11" cm="1">
        <f t="array" ref="AF15">PRODUCT(1 + 真實IC!$C15:AF15) - 1</f>
        <v>12.550779795152154</v>
      </c>
      <c r="AG15" s="11" cm="1">
        <f t="array" ref="AG15">PRODUCT(1 + 真實IC!$C15:AG15) - 1</f>
        <v>12.687960819836858</v>
      </c>
      <c r="AH15" s="11" cm="1">
        <f t="array" ref="AH15">PRODUCT(1 + 真實IC!$C15:AH15) - 1</f>
        <v>12.227985473941812</v>
      </c>
      <c r="AI15" s="11" cm="1">
        <f t="array" ref="AI15">PRODUCT(1 + 真實IC!$C15:AI15) - 1</f>
        <v>13.21052002464933</v>
      </c>
      <c r="AJ15" s="11" cm="1">
        <f t="array" ref="AJ15">PRODUCT(1 + 真實IC!$C15:AJ15) - 1</f>
        <v>13.345020606747648</v>
      </c>
      <c r="AK15" s="11" cm="1">
        <f t="array" ref="AK15">PRODUCT(1 + 真實IC!$C15:AK15) - 1</f>
        <v>14.230963623412936</v>
      </c>
      <c r="AL15" s="11" cm="1">
        <f t="array" ref="AL15">PRODUCT(1 + 真實IC!$C15:AL15) - 1</f>
        <v>14.126147800721563</v>
      </c>
      <c r="AM15" s="11" cm="1">
        <f t="array" ref="AM15">PRODUCT(1 + 真實IC!$C15:AM15) - 1</f>
        <v>14.959940730293258</v>
      </c>
      <c r="AN15" s="11" cm="1">
        <f t="array" ref="AN15">PRODUCT(1 + 真實IC!$C15:AN15) - 1</f>
        <v>16.582886449595119</v>
      </c>
      <c r="AO15" s="11" cm="1">
        <f t="array" ref="AO15">PRODUCT(1 + 真實IC!$C15:AO15) - 1</f>
        <v>15.679398264948848</v>
      </c>
      <c r="AP15" s="11" cm="1">
        <f t="array" ref="AP15">PRODUCT(1 + 真實IC!$C15:AP15) - 1</f>
        <v>16.985156531833969</v>
      </c>
      <c r="AQ15" s="11" cm="1">
        <f t="array" ref="AQ15">PRODUCT(1 + 真實IC!$C15:AQ15) - 1</f>
        <v>17.340381128794274</v>
      </c>
      <c r="AR15" s="11" cm="1">
        <f t="array" ref="AR15">PRODUCT(1 + 真實IC!$C15:AR15) - 1</f>
        <v>16.890109738503533</v>
      </c>
      <c r="AS15" s="11" cm="1">
        <f t="array" ref="AS15">PRODUCT(1 + 真實IC!$C15:AS15) - 1</f>
        <v>16.018267060567865</v>
      </c>
      <c r="AT15" s="11" cm="1">
        <f t="array" ref="AT15">PRODUCT(1 + 真實IC!$C15:AT15) - 1</f>
        <v>17.226390650037384</v>
      </c>
      <c r="AU15" s="11" cm="1">
        <f t="array" ref="AU15">PRODUCT(1 + 真實IC!$C15:AU15) - 1</f>
        <v>20.272174195623666</v>
      </c>
      <c r="AV15" s="11" cm="1">
        <f t="array" ref="AV15">PRODUCT(1 + 真實IC!$C15:AV15) - 1</f>
        <v>21.065582232047095</v>
      </c>
      <c r="AW15" s="11" cm="1">
        <f t="array" ref="AW15">PRODUCT(1 + 真實IC!$C15:AW15) - 1</f>
        <v>23.08960232590664</v>
      </c>
      <c r="AX15" s="11" cm="1">
        <f t="array" ref="AX15">PRODUCT(1 + 真實IC!$C15:AX15) - 1</f>
        <v>25.049546004767702</v>
      </c>
      <c r="AY15" s="11" cm="1">
        <f t="array" ref="AY15">PRODUCT(1 + 真實IC!$C15:AY15) - 1</f>
        <v>25.779377805220534</v>
      </c>
      <c r="AZ15" s="11" cm="1">
        <f t="array" ref="AZ15">PRODUCT(1 + 真實IC!$C15:AZ15) - 1</f>
        <v>26.766126958925337</v>
      </c>
      <c r="BA15" s="11" cm="1">
        <f t="array" ref="BA15">PRODUCT(1 + 真實IC!$C15:BA15) - 1</f>
        <v>31.144510554323737</v>
      </c>
      <c r="BB15" s="11" cm="1">
        <f t="array" ref="BB15">PRODUCT(1 + 真實IC!$C15:BB15) - 1</f>
        <v>37.499902975294603</v>
      </c>
      <c r="BC15" s="11" cm="1">
        <f t="array" ref="BC15">PRODUCT(1 + 真實IC!$C15:BC15) - 1</f>
        <v>36.308843349457518</v>
      </c>
      <c r="BD15" s="11" cm="1">
        <f t="array" ref="BD15">PRODUCT(1 + 真實IC!$C15:BD15) - 1</f>
        <v>36.583545227705329</v>
      </c>
      <c r="BE15" s="11" cm="1">
        <f t="array" ref="BE15">PRODUCT(1 + 真實IC!$C15:BE15) - 1</f>
        <v>38.139427731727793</v>
      </c>
      <c r="BF15" s="11" cm="1">
        <f t="array" ref="BF15">PRODUCT(1 + 真實IC!$C15:BF15) - 1</f>
        <v>46.392840560680739</v>
      </c>
      <c r="BG15" s="11" cm="1">
        <f t="array" ref="BG15">PRODUCT(1 + 真實IC!$C15:BG15) - 1</f>
        <v>54.262479340101621</v>
      </c>
      <c r="BH15" s="11" cm="1">
        <f t="array" ref="BH15">PRODUCT(1 + 真實IC!$C15:BH15) - 1</f>
        <v>59.714070229057171</v>
      </c>
      <c r="BI15" s="11" cm="1">
        <f t="array" ref="BI15">PRODUCT(1 + 真實IC!$C15:BI15) - 1</f>
        <v>63.878245467339838</v>
      </c>
      <c r="BJ15" s="11" cm="1">
        <f t="array" ref="BJ15">PRODUCT(1 + 真實IC!$C15:BJ15) - 1</f>
        <v>68.754098516986332</v>
      </c>
      <c r="BK15" s="11" cm="1">
        <f t="array" ref="BK15">PRODUCT(1 + 真實IC!$C15:BK15) - 1</f>
        <v>63.671157893374684</v>
      </c>
      <c r="BL15" s="11" cm="1">
        <f t="array" ref="BL15">PRODUCT(1 + 真實IC!$C15:BL15) - 1</f>
        <v>67.535610158190067</v>
      </c>
      <c r="BM15" s="11" cm="1">
        <f t="array" ref="BM15">PRODUCT(1 + 真實IC!$C15:BM15) - 1</f>
        <v>70.840329051978117</v>
      </c>
      <c r="BN15" s="11" cm="1">
        <f t="array" ref="BN15">PRODUCT(1 + 真實IC!$C15:BN15) - 1</f>
        <v>66.094985426161358</v>
      </c>
      <c r="BO15" s="11" cm="1">
        <f t="array" ref="BO15">PRODUCT(1 + 真實IC!$C15:BO15) - 1</f>
        <v>67.955829686159674</v>
      </c>
      <c r="BP15" s="11" cm="1">
        <f t="array" ref="BP15">PRODUCT(1 + 真實IC!$C15:BP15) - 1</f>
        <v>64.396546660248688</v>
      </c>
      <c r="BQ15" s="11" cm="1">
        <f t="array" ref="BQ15">PRODUCT(1 + 真實IC!$C15:BQ15) - 1</f>
        <v>65.23381415376457</v>
      </c>
      <c r="BR15" s="11" cm="1">
        <f t="array" ref="BR15">PRODUCT(1 + 真實IC!$C15:BR15) - 1</f>
        <v>73.431052497769599</v>
      </c>
      <c r="BS15" s="11" cm="1">
        <f t="array" ref="BS15">PRODUCT(1 + 真實IC!$C15:BS15) - 1</f>
        <v>74.314244735542331</v>
      </c>
      <c r="BT15" s="11" cm="1">
        <f t="array" ref="BT15">PRODUCT(1 + 真實IC!$C15:BT15) - 1</f>
        <v>77.073281636954903</v>
      </c>
      <c r="BU15" s="11" cm="1">
        <f t="array" ref="BU15">PRODUCT(1 + 真實IC!$C15:BU15) - 1</f>
        <v>83.752117798628859</v>
      </c>
      <c r="BV15" s="11" cm="1">
        <f t="array" ref="BV15">PRODUCT(1 + 真實IC!$C15:BV15) - 1</f>
        <v>92.620583159061425</v>
      </c>
      <c r="BW15" s="11" cm="1">
        <f t="array" ref="BW15">PRODUCT(1 + 真實IC!$C15:BW15) - 1</f>
        <v>120.60180845715082</v>
      </c>
      <c r="BX15" s="11" cm="1">
        <f t="array" ref="BX15">PRODUCT(1 + 真實IC!$C15:BX15) - 1</f>
        <v>123.51410263145208</v>
      </c>
      <c r="BY15" s="11" cm="1">
        <f t="array" ref="BY15">PRODUCT(1 + 真實IC!$C15:BY15) - 1</f>
        <v>107.82239045709233</v>
      </c>
      <c r="BZ15" s="11" cm="1">
        <f t="array" ref="BZ15">PRODUCT(1 + 真實IC!$C15:BZ15) - 1</f>
        <v>119.02091840470588</v>
      </c>
      <c r="CA15" s="11" cm="1">
        <f t="array" ref="CA15">PRODUCT(1 + 真實IC!$C15:CA15) - 1</f>
        <v>121.25234981569427</v>
      </c>
      <c r="CB15" s="11" cm="1">
        <f t="array" ref="CB15">PRODUCT(1 + 真實IC!$C15:CB15) - 1</f>
        <v>137.27858184668142</v>
      </c>
      <c r="CC15" s="11" cm="1">
        <f t="array" ref="CC15">PRODUCT(1 + 真實IC!$C15:CC15) - 1</f>
        <v>161.29089344919342</v>
      </c>
      <c r="CD15" s="11" cm="1">
        <f t="array" ref="CD15">PRODUCT(1 + 真實IC!$C15:CD15) - 1</f>
        <v>180.79048250534487</v>
      </c>
      <c r="CE15" s="11" cm="1">
        <f t="array" ref="CE15">PRODUCT(1 + 真實IC!$C15:CE15) - 1</f>
        <v>194.12810844946279</v>
      </c>
      <c r="CF15" s="11" cm="1">
        <f t="array" ref="CF15">PRODUCT(1 + 真實IC!$C15:CF15) - 1</f>
        <v>212.53974316035811</v>
      </c>
      <c r="CG15" s="11" cm="1">
        <f t="array" ref="CG15">PRODUCT(1 + 真實IC!$C15:CG15) - 1</f>
        <v>230.87982213897428</v>
      </c>
      <c r="CH15" s="11" cm="1">
        <f t="array" ref="CH15">PRODUCT(1 + 真實IC!$C15:CH15) - 1</f>
        <v>245.46180696083789</v>
      </c>
      <c r="CI15" s="11" cm="1">
        <f t="array" ref="CI15">PRODUCT(1 + 真實IC!$C15:CI15) - 1</f>
        <v>255.02413440307112</v>
      </c>
      <c r="CJ15" s="11" cm="1">
        <f t="array" ref="CJ15">PRODUCT(1 + 真實IC!$C15:CJ15) - 1</f>
        <v>265.43707552912917</v>
      </c>
      <c r="CK15" s="11" cm="1">
        <f t="array" ref="CK15">PRODUCT(1 + 真實IC!$C15:CK15) - 1</f>
        <v>290.91931677368268</v>
      </c>
      <c r="CL15" s="11" cm="1">
        <f t="array" ref="CL15">PRODUCT(1 + 真實IC!$C15:CL15) - 1</f>
        <v>300.09199824539144</v>
      </c>
      <c r="CM15" s="11" cm="1">
        <f t="array" ref="CM15">PRODUCT(1 + 真實IC!$C15:CM15) - 1</f>
        <v>332.64599154279892</v>
      </c>
      <c r="CN15" s="11" cm="1">
        <f t="array" ref="CN15">PRODUCT(1 + 真實IC!$C15:CN15) - 1</f>
        <v>380.40735416533863</v>
      </c>
      <c r="CO15" s="11" cm="1">
        <f t="array" ref="CO15">PRODUCT(1 + 真實IC!$C15:CO15) - 1</f>
        <v>446.52812897913606</v>
      </c>
      <c r="CP15" s="11" cm="1">
        <f t="array" ref="CP15">PRODUCT(1 + 真實IC!$C15:CP15) - 1</f>
        <v>503.60400278823505</v>
      </c>
      <c r="CQ15" s="11" cm="1">
        <f t="array" ref="CQ15">PRODUCT(1 + 真實IC!$C15:CQ15) - 1</f>
        <v>491.00739117887053</v>
      </c>
      <c r="CR15" s="11" cm="1">
        <f t="array" ref="CR15">PRODUCT(1 + 真實IC!$C15:CR15) - 1</f>
        <v>580.30128725601344</v>
      </c>
      <c r="CS15" s="11" cm="1">
        <f t="array" ref="CS15">PRODUCT(1 + 真實IC!$C15:CS15) - 1</f>
        <v>584.06989320523519</v>
      </c>
      <c r="CT15" s="11" cm="1">
        <f t="array" ref="CT15">PRODUCT(1 + 真實IC!$C15:CT15) - 1</f>
        <v>602.91883044398219</v>
      </c>
      <c r="CU15" s="11" cm="1">
        <f t="array" ref="CU15">PRODUCT(1 + 真實IC!$C15:CU15) - 1</f>
        <v>677.8349199401016</v>
      </c>
      <c r="CV15" s="11" cm="1">
        <f t="array" ref="CV15">PRODUCT(1 + 真實IC!$C15:CV15) - 1</f>
        <v>801.7980153146525</v>
      </c>
      <c r="CW15" s="11" cm="1">
        <f t="array" ref="CW15">PRODUCT(1 + 真實IC!$C15:CW15) - 1</f>
        <v>822.72863814678578</v>
      </c>
      <c r="CX15" s="11" cm="1">
        <f t="array" ref="CX15">PRODUCT(1 + 真實IC!$C15:CX15) - 1</f>
        <v>842.53075092640984</v>
      </c>
      <c r="CY15" s="11" cm="1">
        <f t="array" ref="CY15">PRODUCT(1 + 真實IC!$C15:CY15) - 1</f>
        <v>889.54300633964147</v>
      </c>
      <c r="CZ15" s="11" cm="1">
        <f t="array" ref="CZ15">PRODUCT(1 + 真實IC!$C15:CZ15) - 1</f>
        <v>960.6857691292945</v>
      </c>
      <c r="DA15" s="11" cm="1">
        <f t="array" ref="DA15">PRODUCT(1 + 真實IC!$C15:DA15) - 1</f>
        <v>1046.1432940128393</v>
      </c>
      <c r="DB15" s="11" cm="1">
        <f t="array" ref="DB15">PRODUCT(1 + 真實IC!$C15:DB15) - 1</f>
        <v>1147.7667093219686</v>
      </c>
      <c r="DC15" s="11" cm="1">
        <f t="array" ref="DC15">PRODUCT(1 + 真實IC!$C15:DC15) - 1</f>
        <v>1188.0598739372438</v>
      </c>
      <c r="DD15" s="11" cm="1">
        <f t="array" ref="DD15">PRODUCT(1 + 真實IC!$C15:DD15) - 1</f>
        <v>1205.3092398823433</v>
      </c>
      <c r="DE15" s="11" cm="1">
        <f t="array" ref="DE15">PRODUCT(1 + 真實IC!$C15:DE15) - 1</f>
        <v>1274.2662606439123</v>
      </c>
      <c r="DF15" s="11" cm="1">
        <f t="array" ref="DF15">PRODUCT(1 + 真實IC!$C15:DF15) - 1</f>
        <v>1660.315436480307</v>
      </c>
      <c r="DG15" s="11" cm="1">
        <f t="array" ref="DG15">PRODUCT(1 + 真實IC!$C15:DG15) - 1</f>
        <v>1739.9214939454953</v>
      </c>
      <c r="DH15" s="11" cm="1">
        <f t="array" ref="DH15">PRODUCT(1 + 真實IC!$C15:DH15) - 1</f>
        <v>1965.5831078364877</v>
      </c>
      <c r="DI15" s="11" cm="1">
        <f t="array" ref="DI15">PRODUCT(1 + 真實IC!$C15:DI15) - 1</f>
        <v>2049.7760060544247</v>
      </c>
      <c r="DJ15" s="11" cm="1">
        <f t="array" ref="DJ15">PRODUCT(1 + 真實IC!$C15:DJ15) - 1</f>
        <v>2172.8713270852136</v>
      </c>
      <c r="DK15" s="11" cm="1">
        <f t="array" ref="DK15">PRODUCT(1 + 真實IC!$C15:DK15) - 1</f>
        <v>2390.9735044809681</v>
      </c>
      <c r="DL15" s="11" cm="1">
        <f t="array" ref="DL15">PRODUCT(1 + 真實IC!$C15:DL15) - 1</f>
        <v>2390.2463607942618</v>
      </c>
      <c r="DM15" s="11" cm="1">
        <f t="array" ref="DM15">PRODUCT(1 + 真實IC!$C15:DM15) - 1</f>
        <v>2386.006047944687</v>
      </c>
      <c r="DN15" s="11" cm="1">
        <f t="array" ref="DN15">PRODUCT(1 + 真實IC!$C15:DN15) - 1</f>
        <v>2491.0259533832495</v>
      </c>
      <c r="DO15" s="11" cm="1">
        <f t="array" ref="DO15">PRODUCT(1 + 真實IC!$C15:DO15) - 1</f>
        <v>2888.6172592337625</v>
      </c>
      <c r="DP15" s="11" cm="1">
        <f t="array" ref="DP15">PRODUCT(1 + 真實IC!$C15:DP15) - 1</f>
        <v>3276.7071531412071</v>
      </c>
      <c r="DQ15" s="11" cm="1">
        <f t="array" ref="DQ15">PRODUCT(1 + 真實IC!$C15:DQ15) - 1</f>
        <v>3398.1091288627968</v>
      </c>
      <c r="DR15" s="11" cm="1">
        <f t="array" ref="DR15">PRODUCT(1 + 真實IC!$C15:DR15) - 1</f>
        <v>3636.0826849706882</v>
      </c>
      <c r="DS15" s="11" cm="1">
        <f t="array" ref="DS15">PRODUCT(1 + 真實IC!$C15:DS15) - 1</f>
        <v>3772.5829210699972</v>
      </c>
      <c r="DT15" s="11" cm="1">
        <f t="array" ref="DT15">PRODUCT(1 + 真實IC!$C15:DT15) - 1</f>
        <v>3971.5216465922258</v>
      </c>
      <c r="DU15" s="11" cm="1">
        <f t="array" ref="DU15">PRODUCT(1 + 真實IC!$C15:DU15) - 1</f>
        <v>4436.8137855778277</v>
      </c>
      <c r="DV15" s="11" cm="1">
        <f t="array" ref="DV15">PRODUCT(1 + 真實IC!$C15:DV15) - 1</f>
        <v>5057.0797267975895</v>
      </c>
      <c r="DW15" s="11" cm="1">
        <f t="array" ref="DW15">PRODUCT(1 + 真實IC!$C15:DW15) - 1</f>
        <v>4749.4153186949088</v>
      </c>
      <c r="DX15" s="11" cm="1">
        <f t="array" ref="DX15">PRODUCT(1 + 真實IC!$C15:DX15) - 1</f>
        <v>5312.8917728287588</v>
      </c>
      <c r="DY15" s="11" cm="1">
        <f t="array" ref="DY15">PRODUCT(1 + 真實IC!$C15:DY15) - 1</f>
        <v>6076.0175086302388</v>
      </c>
      <c r="DZ15" s="11" cm="1">
        <f t="array" ref="DZ15">PRODUCT(1 + 真實IC!$C15:DZ15) - 1</f>
        <v>6321.867222081778</v>
      </c>
      <c r="EA15" s="11" cm="1">
        <f t="array" ref="EA15">PRODUCT(1 + 真實IC!$C15:EA15) - 1</f>
        <v>6596.6035185517012</v>
      </c>
      <c r="EB15" s="11" cm="1">
        <f t="array" ref="EB15">PRODUCT(1 + 真實IC!$C15:EB15) - 1</f>
        <v>7177.7695854929625</v>
      </c>
      <c r="EC15" s="11" cm="1">
        <f t="array" ref="EC15">PRODUCT(1 + 真實IC!$C15:EC15) - 1</f>
        <v>7652.1560038428843</v>
      </c>
      <c r="ED15" s="11" cm="1">
        <f t="array" ref="ED15">PRODUCT(1 + 真實IC!$C15:ED15) - 1</f>
        <v>8519.6952370521667</v>
      </c>
      <c r="EE15" s="11" cm="1">
        <f t="array" ref="EE15">PRODUCT(1 + 真實IC!$C15:EE15) - 1</f>
        <v>8546.8823940322909</v>
      </c>
      <c r="EF15" s="11" cm="1">
        <f t="array" ref="EF15">PRODUCT(1 + 真實IC!$C15:EF15) - 1</f>
        <v>8800.2933862348036</v>
      </c>
      <c r="EG15">
        <f t="shared" si="6"/>
        <v>139095.46801633059</v>
      </c>
      <c r="EH15" s="12">
        <f t="shared" si="7"/>
        <v>972.35204947832665</v>
      </c>
    </row>
    <row r="16" spans="1:138" x14ac:dyDescent="0.3">
      <c r="A16" s="1">
        <v>9</v>
      </c>
      <c r="B16" s="1" t="s">
        <v>163</v>
      </c>
      <c r="C16" s="11" cm="1">
        <f t="array" ref="C16">PRODUCT(1 + 真實IC!$C16:C16) - 1</f>
        <v>0.20787477708292901</v>
      </c>
      <c r="D16" s="11" cm="1">
        <f t="array" ref="D16">PRODUCT(1 + 真實IC!$C16:D16) - 1</f>
        <v>0.70092319602591591</v>
      </c>
      <c r="E16" s="11" cm="1">
        <f t="array" ref="E16">PRODUCT(1 + 真實IC!$C16:E16) - 1</f>
        <v>0.81149439092882147</v>
      </c>
      <c r="F16" s="11" cm="1">
        <f t="array" ref="F16">PRODUCT(1 + 真實IC!$C16:F16) - 1</f>
        <v>0.66890175509481065</v>
      </c>
      <c r="G16" s="11" cm="1">
        <f t="array" ref="G16">PRODUCT(1 + 真實IC!$C16:G16) - 1</f>
        <v>0.68249754778749994</v>
      </c>
      <c r="H16" s="11" cm="1">
        <f t="array" ref="H16">PRODUCT(1 + 真實IC!$C16:H16) - 1</f>
        <v>0.8050642238525525</v>
      </c>
      <c r="I16" s="11" cm="1">
        <f t="array" ref="I16">PRODUCT(1 + 真實IC!$C16:I16) - 1</f>
        <v>0.90891068538196973</v>
      </c>
      <c r="J16" s="11" cm="1">
        <f t="array" ref="J16">PRODUCT(1 + 真實IC!$C16:J16) - 1</f>
        <v>0.99807576231821682</v>
      </c>
      <c r="K16" s="11" cm="1">
        <f t="array" ref="K16">PRODUCT(1 + 真實IC!$C16:K16) - 1</f>
        <v>1.1707512511469216</v>
      </c>
      <c r="L16" s="11" cm="1">
        <f t="array" ref="L16">PRODUCT(1 + 真實IC!$C16:L16) - 1</f>
        <v>1.1033990243690965</v>
      </c>
      <c r="M16" s="11" cm="1">
        <f t="array" ref="M16">PRODUCT(1 + 真實IC!$C16:M16) - 1</f>
        <v>1.0739778654237147</v>
      </c>
      <c r="N16" s="11" cm="1">
        <f t="array" ref="N16">PRODUCT(1 + 真實IC!$C16:N16) - 1</f>
        <v>1.8351020436287286</v>
      </c>
      <c r="O16" s="11" cm="1">
        <f t="array" ref="O16">PRODUCT(1 + 真實IC!$C16:O16) - 1</f>
        <v>1.7540547635477632</v>
      </c>
      <c r="P16" s="11" cm="1">
        <f t="array" ref="P16">PRODUCT(1 + 真實IC!$C16:P16) - 1</f>
        <v>1.922176674954807</v>
      </c>
      <c r="Q16" s="11" cm="1">
        <f t="array" ref="Q16">PRODUCT(1 + 真實IC!$C16:Q16) - 1</f>
        <v>2.383597344252554</v>
      </c>
      <c r="R16" s="11" cm="1">
        <f t="array" ref="R16">PRODUCT(1 + 真實IC!$C16:R16) - 1</f>
        <v>2.2178316002421092</v>
      </c>
      <c r="S16" s="11" cm="1">
        <f t="array" ref="S16">PRODUCT(1 + 真實IC!$C16:S16) - 1</f>
        <v>3.1415520585422962</v>
      </c>
      <c r="T16" s="11" cm="1">
        <f t="array" ref="T16">PRODUCT(1 + 真實IC!$C16:T16) - 1</f>
        <v>3.3006152953832162</v>
      </c>
      <c r="U16" s="11" cm="1">
        <f t="array" ref="U16">PRODUCT(1 + 真實IC!$C16:U16) - 1</f>
        <v>3.8599639493693179</v>
      </c>
      <c r="V16" s="11" cm="1">
        <f t="array" ref="V16">PRODUCT(1 + 真實IC!$C16:V16) - 1</f>
        <v>3.8306965401532418</v>
      </c>
      <c r="W16" s="11" cm="1">
        <f t="array" ref="W16">PRODUCT(1 + 真實IC!$C16:W16) - 1</f>
        <v>4.2092950776080933</v>
      </c>
      <c r="X16" s="11" cm="1">
        <f t="array" ref="X16">PRODUCT(1 + 真實IC!$C16:X16) - 1</f>
        <v>5.4622970413199088</v>
      </c>
      <c r="Y16" s="11" cm="1">
        <f t="array" ref="Y16">PRODUCT(1 + 真實IC!$C16:Y16) - 1</f>
        <v>5.3318840844836028</v>
      </c>
      <c r="Z16" s="11" cm="1">
        <f t="array" ref="Z16">PRODUCT(1 + 真實IC!$C16:Z16) - 1</f>
        <v>5.6045219117601377</v>
      </c>
      <c r="AA16" s="11" cm="1">
        <f t="array" ref="AA16">PRODUCT(1 + 真實IC!$C16:AA16) - 1</f>
        <v>6.7019219501670388</v>
      </c>
      <c r="AB16" s="11" cm="1">
        <f t="array" ref="AB16">PRODUCT(1 + 真實IC!$C16:AB16) - 1</f>
        <v>7.2794508882927893</v>
      </c>
      <c r="AC16" s="11" cm="1">
        <f t="array" ref="AC16">PRODUCT(1 + 真實IC!$C16:AC16) - 1</f>
        <v>7.1737599882165028</v>
      </c>
      <c r="AD16" s="11" cm="1">
        <f t="array" ref="AD16">PRODUCT(1 + 真實IC!$C16:AD16) - 1</f>
        <v>7.4582981518862326</v>
      </c>
      <c r="AE16" s="11" cm="1">
        <f t="array" ref="AE16">PRODUCT(1 + 真實IC!$C16:AE16) - 1</f>
        <v>9.2313963168160562</v>
      </c>
      <c r="AF16" s="11" cm="1">
        <f t="array" ref="AF16">PRODUCT(1 + 真實IC!$C16:AF16) - 1</f>
        <v>10.74477954687511</v>
      </c>
      <c r="AG16" s="11" cm="1">
        <f t="array" ref="AG16">PRODUCT(1 + 真實IC!$C16:AG16) - 1</f>
        <v>10.900876511301179</v>
      </c>
      <c r="AH16" s="11" cm="1">
        <f t="array" ref="AH16">PRODUCT(1 + 真實IC!$C16:AH16) - 1</f>
        <v>10.522840403220357</v>
      </c>
      <c r="AI16" s="11" cm="1">
        <f t="array" ref="AI16">PRODUCT(1 + 真實IC!$C16:AI16) - 1</f>
        <v>11.565918443026334</v>
      </c>
      <c r="AJ16" s="11" cm="1">
        <f t="array" ref="AJ16">PRODUCT(1 + 真實IC!$C16:AJ16) - 1</f>
        <v>11.477630726383669</v>
      </c>
      <c r="AK16" s="11" cm="1">
        <f t="array" ref="AK16">PRODUCT(1 + 真實IC!$C16:AK16) - 1</f>
        <v>12.281457176846352</v>
      </c>
      <c r="AL16" s="11" cm="1">
        <f t="array" ref="AL16">PRODUCT(1 + 真實IC!$C16:AL16) - 1</f>
        <v>12.08924113488581</v>
      </c>
      <c r="AM16" s="11" cm="1">
        <f t="array" ref="AM16">PRODUCT(1 + 真實IC!$C16:AM16) - 1</f>
        <v>12.954135395137632</v>
      </c>
      <c r="AN16" s="11" cm="1">
        <f t="array" ref="AN16">PRODUCT(1 + 真實IC!$C16:AN16) - 1</f>
        <v>14.439639624840828</v>
      </c>
      <c r="AO16" s="11" cm="1">
        <f t="array" ref="AO16">PRODUCT(1 + 真實IC!$C16:AO16) - 1</f>
        <v>13.8052224648061</v>
      </c>
      <c r="AP16" s="11" cm="1">
        <f t="array" ref="AP16">PRODUCT(1 + 真實IC!$C16:AP16) - 1</f>
        <v>14.957044612600422</v>
      </c>
      <c r="AQ16" s="11" cm="1">
        <f t="array" ref="AQ16">PRODUCT(1 + 真實IC!$C16:AQ16) - 1</f>
        <v>15.34058899626838</v>
      </c>
      <c r="AR16" s="11" cm="1">
        <f t="array" ref="AR16">PRODUCT(1 + 真實IC!$C16:AR16) - 1</f>
        <v>14.809638164328314</v>
      </c>
      <c r="AS16" s="11" cm="1">
        <f t="array" ref="AS16">PRODUCT(1 + 真實IC!$C16:AS16) - 1</f>
        <v>13.977375836995153</v>
      </c>
      <c r="AT16" s="11" cm="1">
        <f t="array" ref="AT16">PRODUCT(1 + 真實IC!$C16:AT16) - 1</f>
        <v>15.813063578354136</v>
      </c>
      <c r="AU16" s="11" cm="1">
        <f t="array" ref="AU16">PRODUCT(1 + 真實IC!$C16:AU16) - 1</f>
        <v>18.675250400354336</v>
      </c>
      <c r="AV16" s="11" cm="1">
        <f t="array" ref="AV16">PRODUCT(1 + 真實IC!$C16:AV16) - 1</f>
        <v>19.699953878631792</v>
      </c>
      <c r="AW16" s="11" cm="1">
        <f t="array" ref="AW16">PRODUCT(1 + 真實IC!$C16:AW16) - 1</f>
        <v>21.955937081976952</v>
      </c>
      <c r="AX16" s="11" cm="1">
        <f t="array" ref="AX16">PRODUCT(1 + 真實IC!$C16:AX16) - 1</f>
        <v>24.265793981933651</v>
      </c>
      <c r="AY16" s="11" cm="1">
        <f t="array" ref="AY16">PRODUCT(1 + 真實IC!$C16:AY16) - 1</f>
        <v>25.12009591093652</v>
      </c>
      <c r="AZ16" s="11" cm="1">
        <f t="array" ref="AZ16">PRODUCT(1 + 真實IC!$C16:AZ16) - 1</f>
        <v>26.343218403354253</v>
      </c>
      <c r="BA16" s="11" cm="1">
        <f t="array" ref="BA16">PRODUCT(1 + 真實IC!$C16:BA16) - 1</f>
        <v>30.717879060734479</v>
      </c>
      <c r="BB16" s="11" cm="1">
        <f t="array" ref="BB16">PRODUCT(1 + 真實IC!$C16:BB16) - 1</f>
        <v>37.869422265763667</v>
      </c>
      <c r="BC16" s="11" cm="1">
        <f t="array" ref="BC16">PRODUCT(1 + 真實IC!$C16:BC16) - 1</f>
        <v>36.35353843303043</v>
      </c>
      <c r="BD16" s="11" cm="1">
        <f t="array" ref="BD16">PRODUCT(1 + 真實IC!$C16:BD16) - 1</f>
        <v>36.588200250388702</v>
      </c>
      <c r="BE16" s="11" cm="1">
        <f t="array" ref="BE16">PRODUCT(1 + 真實IC!$C16:BE16) - 1</f>
        <v>38.888509545148437</v>
      </c>
      <c r="BF16" s="11" cm="1">
        <f t="array" ref="BF16">PRODUCT(1 + 真實IC!$C16:BF16) - 1</f>
        <v>48.77235803953949</v>
      </c>
      <c r="BG16" s="11" cm="1">
        <f t="array" ref="BG16">PRODUCT(1 + 真實IC!$C16:BG16) - 1</f>
        <v>56.797133903452639</v>
      </c>
      <c r="BH16" s="11" cm="1">
        <f t="array" ref="BH16">PRODUCT(1 + 真實IC!$C16:BH16) - 1</f>
        <v>62.355023888324553</v>
      </c>
      <c r="BI16" s="11" cm="1">
        <f t="array" ref="BI16">PRODUCT(1 + 真實IC!$C16:BI16) - 1</f>
        <v>64.980697319189147</v>
      </c>
      <c r="BJ16" s="11" cm="1">
        <f t="array" ref="BJ16">PRODUCT(1 + 真實IC!$C16:BJ16) - 1</f>
        <v>70.353381377417676</v>
      </c>
      <c r="BK16" s="11" cm="1">
        <f t="array" ref="BK16">PRODUCT(1 + 真實IC!$C16:BK16) - 1</f>
        <v>62.877459071292769</v>
      </c>
      <c r="BL16" s="11" cm="1">
        <f t="array" ref="BL16">PRODUCT(1 + 真實IC!$C16:BL16) - 1</f>
        <v>66.785073168605678</v>
      </c>
      <c r="BM16" s="11" cm="1">
        <f t="array" ref="BM16">PRODUCT(1 + 真實IC!$C16:BM16) - 1</f>
        <v>69.46244700513283</v>
      </c>
      <c r="BN16" s="11" cm="1">
        <f t="array" ref="BN16">PRODUCT(1 + 真實IC!$C16:BN16) - 1</f>
        <v>64.72751357663995</v>
      </c>
      <c r="BO16" s="11" cm="1">
        <f t="array" ref="BO16">PRODUCT(1 + 真實IC!$C16:BO16) - 1</f>
        <v>66.166312507691529</v>
      </c>
      <c r="BP16" s="11" cm="1">
        <f t="array" ref="BP16">PRODUCT(1 + 真實IC!$C16:BP16) - 1</f>
        <v>62.287453884689882</v>
      </c>
      <c r="BQ16" s="11" cm="1">
        <f t="array" ref="BQ16">PRODUCT(1 + 真實IC!$C16:BQ16) - 1</f>
        <v>63.330305578534833</v>
      </c>
      <c r="BR16" s="11" cm="1">
        <f t="array" ref="BR16">PRODUCT(1 + 真實IC!$C16:BR16) - 1</f>
        <v>71.730747827802588</v>
      </c>
      <c r="BS16" s="11" cm="1">
        <f t="array" ref="BS16">PRODUCT(1 + 真實IC!$C16:BS16) - 1</f>
        <v>74.058639942055876</v>
      </c>
      <c r="BT16" s="11" cm="1">
        <f t="array" ref="BT16">PRODUCT(1 + 真實IC!$C16:BT16) - 1</f>
        <v>76.915828000594956</v>
      </c>
      <c r="BU16" s="11" cm="1">
        <f t="array" ref="BU16">PRODUCT(1 + 真實IC!$C16:BU16) - 1</f>
        <v>84.827134253937189</v>
      </c>
      <c r="BV16" s="11" cm="1">
        <f t="array" ref="BV16">PRODUCT(1 + 真實IC!$C16:BV16) - 1</f>
        <v>87.967174711784523</v>
      </c>
      <c r="BW16" s="11" cm="1">
        <f t="array" ref="BW16">PRODUCT(1 + 真實IC!$C16:BW16) - 1</f>
        <v>116.25614150141136</v>
      </c>
      <c r="BX16" s="11" cm="1">
        <f t="array" ref="BX16">PRODUCT(1 + 真實IC!$C16:BX16) - 1</f>
        <v>119.07946675014276</v>
      </c>
      <c r="BY16" s="11" cm="1">
        <f t="array" ref="BY16">PRODUCT(1 + 真實IC!$C16:BY16) - 1</f>
        <v>103.16192365326948</v>
      </c>
      <c r="BZ16" s="11" cm="1">
        <f t="array" ref="BZ16">PRODUCT(1 + 真實IC!$C16:BZ16) - 1</f>
        <v>114.77867057026437</v>
      </c>
      <c r="CA16" s="11" cm="1">
        <f t="array" ref="CA16">PRODUCT(1 + 真實IC!$C16:CA16) - 1</f>
        <v>118.21896311297016</v>
      </c>
      <c r="CB16" s="11" cm="1">
        <f t="array" ref="CB16">PRODUCT(1 + 真實IC!$C16:CB16) - 1</f>
        <v>134.8272061635208</v>
      </c>
      <c r="CC16" s="11" cm="1">
        <f t="array" ref="CC16">PRODUCT(1 + 真實IC!$C16:CC16) - 1</f>
        <v>140.85632499538826</v>
      </c>
      <c r="CD16" s="11" cm="1">
        <f t="array" ref="CD16">PRODUCT(1 + 真實IC!$C16:CD16) - 1</f>
        <v>162.85416570066556</v>
      </c>
      <c r="CE16" s="11" cm="1">
        <f t="array" ref="CE16">PRODUCT(1 + 真實IC!$C16:CE16) - 1</f>
        <v>178.19324733169572</v>
      </c>
      <c r="CF16" s="11" cm="1">
        <f t="array" ref="CF16">PRODUCT(1 + 真實IC!$C16:CF16) - 1</f>
        <v>197.04460345300205</v>
      </c>
      <c r="CG16" s="11" cm="1">
        <f t="array" ref="CG16">PRODUCT(1 + 真實IC!$C16:CG16) - 1</f>
        <v>209.26947660255388</v>
      </c>
      <c r="CH16" s="11" cm="1">
        <f t="array" ref="CH16">PRODUCT(1 + 真實IC!$C16:CH16) - 1</f>
        <v>218.03717016783904</v>
      </c>
      <c r="CI16" s="11" cm="1">
        <f t="array" ref="CI16">PRODUCT(1 + 真實IC!$C16:CI16) - 1</f>
        <v>226.51607314108895</v>
      </c>
      <c r="CJ16" s="11" cm="1">
        <f t="array" ref="CJ16">PRODUCT(1 + 真實IC!$C16:CJ16) - 1</f>
        <v>233.27407076762597</v>
      </c>
      <c r="CK16" s="11" cm="1">
        <f t="array" ref="CK16">PRODUCT(1 + 真實IC!$C16:CK16) - 1</f>
        <v>253.98921425098615</v>
      </c>
      <c r="CL16" s="11" cm="1">
        <f t="array" ref="CL16">PRODUCT(1 + 真實IC!$C16:CL16) - 1</f>
        <v>258.03810698285469</v>
      </c>
      <c r="CM16" s="11" cm="1">
        <f t="array" ref="CM16">PRODUCT(1 + 真實IC!$C16:CM16) - 1</f>
        <v>287.32387734311595</v>
      </c>
      <c r="CN16" s="11" cm="1">
        <f t="array" ref="CN16">PRODUCT(1 + 真實IC!$C16:CN16) - 1</f>
        <v>333.55947018591473</v>
      </c>
      <c r="CO16" s="11" cm="1">
        <f t="array" ref="CO16">PRODUCT(1 + 真實IC!$C16:CO16) - 1</f>
        <v>403.66557694058253</v>
      </c>
      <c r="CP16" s="11" cm="1">
        <f t="array" ref="CP16">PRODUCT(1 + 真實IC!$C16:CP16) - 1</f>
        <v>458.95571839321957</v>
      </c>
      <c r="CQ16" s="11" cm="1">
        <f t="array" ref="CQ16">PRODUCT(1 + 真實IC!$C16:CQ16) - 1</f>
        <v>449.60308008829594</v>
      </c>
      <c r="CR16" s="11" cm="1">
        <f t="array" ref="CR16">PRODUCT(1 + 真實IC!$C16:CR16) - 1</f>
        <v>534.89617508794197</v>
      </c>
      <c r="CS16" s="11" cm="1">
        <f t="array" ref="CS16">PRODUCT(1 + 真實IC!$C16:CS16) - 1</f>
        <v>556.78870616393999</v>
      </c>
      <c r="CT16" s="11" cm="1">
        <f t="array" ref="CT16">PRODUCT(1 + 真實IC!$C16:CT16) - 1</f>
        <v>584.0665405643075</v>
      </c>
      <c r="CU16" s="11" cm="1">
        <f t="array" ref="CU16">PRODUCT(1 + 真實IC!$C16:CU16) - 1</f>
        <v>663.3264999332913</v>
      </c>
      <c r="CV16" s="11" cm="1">
        <f t="array" ref="CV16">PRODUCT(1 + 真實IC!$C16:CV16) - 1</f>
        <v>777.75775107589709</v>
      </c>
      <c r="CW16" s="11" cm="1">
        <f t="array" ref="CW16">PRODUCT(1 + 真實IC!$C16:CW16) - 1</f>
        <v>814.62543510666092</v>
      </c>
      <c r="CX16" s="11" cm="1">
        <f t="array" ref="CX16">PRODUCT(1 + 真實IC!$C16:CX16) - 1</f>
        <v>824.60892268517546</v>
      </c>
      <c r="CY16" s="11" cm="1">
        <f t="array" ref="CY16">PRODUCT(1 + 真實IC!$C16:CY16) - 1</f>
        <v>872.95188032180135</v>
      </c>
      <c r="CZ16" s="11" cm="1">
        <f t="array" ref="CZ16">PRODUCT(1 + 真實IC!$C16:CZ16) - 1</f>
        <v>962.64841016408502</v>
      </c>
      <c r="DA16" s="11" cm="1">
        <f t="array" ref="DA16">PRODUCT(1 + 真實IC!$C16:DA16) - 1</f>
        <v>1076.5336612789361</v>
      </c>
      <c r="DB16" s="11" cm="1">
        <f t="array" ref="DB16">PRODUCT(1 + 真實IC!$C16:DB16) - 1</f>
        <v>1182.1505829754817</v>
      </c>
      <c r="DC16" s="11" cm="1">
        <f t="array" ref="DC16">PRODUCT(1 + 真實IC!$C16:DC16) - 1</f>
        <v>1232.9578639893259</v>
      </c>
      <c r="DD16" s="11" cm="1">
        <f t="array" ref="DD16">PRODUCT(1 + 真實IC!$C16:DD16) - 1</f>
        <v>1272.1282651773054</v>
      </c>
      <c r="DE16" s="11" cm="1">
        <f t="array" ref="DE16">PRODUCT(1 + 真實IC!$C16:DE16) - 1</f>
        <v>1316.1179027038033</v>
      </c>
      <c r="DF16" s="11" cm="1">
        <f t="array" ref="DF16">PRODUCT(1 + 真實IC!$C16:DF16) - 1</f>
        <v>1744.9445579710496</v>
      </c>
      <c r="DG16" s="11" cm="1">
        <f t="array" ref="DG16">PRODUCT(1 + 真實IC!$C16:DG16) - 1</f>
        <v>1824.6939191906504</v>
      </c>
      <c r="DH16" s="11" cm="1">
        <f t="array" ref="DH16">PRODUCT(1 + 真實IC!$C16:DH16) - 1</f>
        <v>2075.0837514063828</v>
      </c>
      <c r="DI16" s="11" cm="1">
        <f t="array" ref="DI16">PRODUCT(1 + 真實IC!$C16:DI16) - 1</f>
        <v>2174.3820228237619</v>
      </c>
      <c r="DJ16" s="11" cm="1">
        <f t="array" ref="DJ16">PRODUCT(1 + 真實IC!$C16:DJ16) - 1</f>
        <v>2328.7363683234803</v>
      </c>
      <c r="DK16" s="11" cm="1">
        <f t="array" ref="DK16">PRODUCT(1 + 真實IC!$C16:DK16) - 1</f>
        <v>2552.9842683375014</v>
      </c>
      <c r="DL16" s="11" cm="1">
        <f t="array" ref="DL16">PRODUCT(1 + 真實IC!$C16:DL16) - 1</f>
        <v>2497.1212916002537</v>
      </c>
      <c r="DM16" s="11" cm="1">
        <f t="array" ref="DM16">PRODUCT(1 + 真實IC!$C16:DM16) - 1</f>
        <v>2401.8554472353585</v>
      </c>
      <c r="DN16" s="11" cm="1">
        <f t="array" ref="DN16">PRODUCT(1 + 真實IC!$C16:DN16) - 1</f>
        <v>2503.8274743489856</v>
      </c>
      <c r="DO16" s="11" cm="1">
        <f t="array" ref="DO16">PRODUCT(1 + 真實IC!$C16:DO16) - 1</f>
        <v>2928.6235362626799</v>
      </c>
      <c r="DP16" s="11" cm="1">
        <f t="array" ref="DP16">PRODUCT(1 + 真實IC!$C16:DP16) - 1</f>
        <v>3398.3417801420305</v>
      </c>
      <c r="DQ16" s="11" cm="1">
        <f t="array" ref="DQ16">PRODUCT(1 + 真實IC!$C16:DQ16) - 1</f>
        <v>3558.3493280460384</v>
      </c>
      <c r="DR16" s="11" cm="1">
        <f t="array" ref="DR16">PRODUCT(1 + 真實IC!$C16:DR16) - 1</f>
        <v>3754.7942725187604</v>
      </c>
      <c r="DS16" s="11" cm="1">
        <f t="array" ref="DS16">PRODUCT(1 + 真實IC!$C16:DS16) - 1</f>
        <v>3835.3210282912905</v>
      </c>
      <c r="DT16" s="11" cm="1">
        <f t="array" ref="DT16">PRODUCT(1 + 真實IC!$C16:DT16) - 1</f>
        <v>4062.0973776285946</v>
      </c>
      <c r="DU16" s="11" cm="1">
        <f t="array" ref="DU16">PRODUCT(1 + 真實IC!$C16:DU16) - 1</f>
        <v>4560.9321579021462</v>
      </c>
      <c r="DV16" s="11" cm="1">
        <f t="array" ref="DV16">PRODUCT(1 + 真實IC!$C16:DV16) - 1</f>
        <v>5185.7057921388314</v>
      </c>
      <c r="DW16" s="11" cm="1">
        <f t="array" ref="DW16">PRODUCT(1 + 真實IC!$C16:DW16) - 1</f>
        <v>4815.8803179388105</v>
      </c>
      <c r="DX16" s="11" cm="1">
        <f t="array" ref="DX16">PRODUCT(1 + 真實IC!$C16:DX16) - 1</f>
        <v>5419.3617539695215</v>
      </c>
      <c r="DY16" s="11" cm="1">
        <f t="array" ref="DY16">PRODUCT(1 + 真實IC!$C16:DY16) - 1</f>
        <v>6273.4597157397438</v>
      </c>
      <c r="DZ16" s="11" cm="1">
        <f t="array" ref="DZ16">PRODUCT(1 + 真實IC!$C16:DZ16) - 1</f>
        <v>6642.4653861169763</v>
      </c>
      <c r="EA16" s="11" cm="1">
        <f t="array" ref="EA16">PRODUCT(1 + 真實IC!$C16:EA16) - 1</f>
        <v>6645.2590645598711</v>
      </c>
      <c r="EB16" s="11" cm="1">
        <f t="array" ref="EB16">PRODUCT(1 + 真實IC!$C16:EB16) - 1</f>
        <v>7314.398450047458</v>
      </c>
      <c r="EC16" s="11" cm="1">
        <f t="array" ref="EC16">PRODUCT(1 + 真實IC!$C16:EC16) - 1</f>
        <v>7779.1608318343015</v>
      </c>
      <c r="ED16" s="11" cm="1">
        <f t="array" ref="ED16">PRODUCT(1 + 真實IC!$C16:ED16) - 1</f>
        <v>8677.1216900631171</v>
      </c>
      <c r="EE16" s="11" cm="1">
        <f t="array" ref="EE16">PRODUCT(1 + 真實IC!$C16:EE16) - 1</f>
        <v>8715.2765734068726</v>
      </c>
      <c r="EF16" s="11" cm="1">
        <f t="array" ref="EF16">PRODUCT(1 + 真實IC!$C16:EF16) - 1</f>
        <v>9016.4294723954772</v>
      </c>
      <c r="EG16">
        <f t="shared" si="6"/>
        <v>141834.05099760916</v>
      </c>
      <c r="EH16" s="14">
        <f t="shared" si="7"/>
        <v>991.17628003890798</v>
      </c>
    </row>
    <row r="17" spans="1:138" x14ac:dyDescent="0.3">
      <c r="A17" s="1">
        <v>8</v>
      </c>
      <c r="B17" s="1" t="s">
        <v>164</v>
      </c>
      <c r="C17" s="11" cm="1">
        <f t="array" ref="C17">PRODUCT(1 + 真實IC!$C17:C17) - 1</f>
        <v>0.20609218837920595</v>
      </c>
      <c r="D17" s="11" cm="1">
        <f t="array" ref="D17">PRODUCT(1 + 真實IC!$C17:D17) - 1</f>
        <v>0.73627643061078318</v>
      </c>
      <c r="E17" s="11" cm="1">
        <f t="array" ref="E17">PRODUCT(1 + 真實IC!$C17:E17) - 1</f>
        <v>0.87446641022380955</v>
      </c>
      <c r="F17" s="11" cm="1">
        <f t="array" ref="F17">PRODUCT(1 + 真實IC!$C17:F17) - 1</f>
        <v>0.72309919096740805</v>
      </c>
      <c r="G17" s="11" cm="1">
        <f t="array" ref="G17">PRODUCT(1 + 真實IC!$C17:G17) - 1</f>
        <v>0.9046915740589041</v>
      </c>
      <c r="H17" s="11" cm="1">
        <f t="array" ref="H17">PRODUCT(1 + 真實IC!$C17:H17) - 1</f>
        <v>1.104672863329951</v>
      </c>
      <c r="I17" s="11" cm="1">
        <f t="array" ref="I17">PRODUCT(1 + 真實IC!$C17:I17) - 1</f>
        <v>1.3440268432266591</v>
      </c>
      <c r="J17" s="11" cm="1">
        <f t="array" ref="J17">PRODUCT(1 + 真實IC!$C17:J17) - 1</f>
        <v>1.4421440449981762</v>
      </c>
      <c r="K17" s="11" cm="1">
        <f t="array" ref="K17">PRODUCT(1 + 真實IC!$C17:K17) - 1</f>
        <v>1.6901683889015553</v>
      </c>
      <c r="L17" s="11" cm="1">
        <f t="array" ref="L17">PRODUCT(1 + 真實IC!$C17:L17) - 1</f>
        <v>1.5993054509509448</v>
      </c>
      <c r="M17" s="11" cm="1">
        <f t="array" ref="M17">PRODUCT(1 + 真實IC!$C17:M17) - 1</f>
        <v>1.6374090388924958</v>
      </c>
      <c r="N17" s="11" cm="1">
        <f t="array" ref="N17">PRODUCT(1 + 真實IC!$C17:N17) - 1</f>
        <v>2.7058445633971755</v>
      </c>
      <c r="O17" s="11" cm="1">
        <f t="array" ref="O17">PRODUCT(1 + 真實IC!$C17:O17) - 1</f>
        <v>2.6639437793748177</v>
      </c>
      <c r="P17" s="11" cm="1">
        <f t="array" ref="P17">PRODUCT(1 + 真實IC!$C17:P17) - 1</f>
        <v>2.9070074982586873</v>
      </c>
      <c r="Q17" s="11" cm="1">
        <f t="array" ref="Q17">PRODUCT(1 + 真實IC!$C17:Q17) - 1</f>
        <v>3.5391663695479512</v>
      </c>
      <c r="R17" s="11" cm="1">
        <f t="array" ref="R17">PRODUCT(1 + 真實IC!$C17:R17) - 1</f>
        <v>3.3028682219294412</v>
      </c>
      <c r="S17" s="11" cm="1">
        <f t="array" ref="S17">PRODUCT(1 + 真實IC!$C17:S17) - 1</f>
        <v>4.639569005335221</v>
      </c>
      <c r="T17" s="11" cm="1">
        <f t="array" ref="T17">PRODUCT(1 + 真實IC!$C17:T17) - 1</f>
        <v>4.7712111270871098</v>
      </c>
      <c r="U17" s="11" cm="1">
        <f t="array" ref="U17">PRODUCT(1 + 真實IC!$C17:U17) - 1</f>
        <v>5.5865167168419383</v>
      </c>
      <c r="V17" s="11" cm="1">
        <f t="array" ref="V17">PRODUCT(1 + 真實IC!$C17:V17) - 1</f>
        <v>5.6129364857096729</v>
      </c>
      <c r="W17" s="11" cm="1">
        <f t="array" ref="W17">PRODUCT(1 + 真實IC!$C17:W17) - 1</f>
        <v>6.136297431010159</v>
      </c>
      <c r="X17" s="11" cm="1">
        <f t="array" ref="X17">PRODUCT(1 + 真實IC!$C17:X17) - 1</f>
        <v>7.8346607983488905</v>
      </c>
      <c r="Y17" s="11" cm="1">
        <f t="array" ref="Y17">PRODUCT(1 + 真實IC!$C17:Y17) - 1</f>
        <v>7.6320995978295443</v>
      </c>
      <c r="Z17" s="11" cm="1">
        <f t="array" ref="Z17">PRODUCT(1 + 真實IC!$C17:Z17) - 1</f>
        <v>8.097097762572913</v>
      </c>
      <c r="AA17" s="11" cm="1">
        <f t="array" ref="AA17">PRODUCT(1 + 真實IC!$C17:AA17) - 1</f>
        <v>9.8372218885533425</v>
      </c>
      <c r="AB17" s="11" cm="1">
        <f t="array" ref="AB17">PRODUCT(1 + 真實IC!$C17:AB17) - 1</f>
        <v>10.756782521665576</v>
      </c>
      <c r="AC17" s="11" cm="1">
        <f t="array" ref="AC17">PRODUCT(1 + 真實IC!$C17:AC17) - 1</f>
        <v>10.520632793035883</v>
      </c>
      <c r="AD17" s="11" cm="1">
        <f t="array" ref="AD17">PRODUCT(1 + 真實IC!$C17:AD17) - 1</f>
        <v>11.311176578870624</v>
      </c>
      <c r="AE17" s="11" cm="1">
        <f t="array" ref="AE17">PRODUCT(1 + 真實IC!$C17:AE17) - 1</f>
        <v>14.04576841526557</v>
      </c>
      <c r="AF17" s="11" cm="1">
        <f t="array" ref="AF17">PRODUCT(1 + 真實IC!$C17:AF17) - 1</f>
        <v>15.855568599560886</v>
      </c>
      <c r="AG17" s="11" cm="1">
        <f t="array" ref="AG17">PRODUCT(1 + 真實IC!$C17:AG17) - 1</f>
        <v>16.238880761250783</v>
      </c>
      <c r="AH17" s="11" cm="1">
        <f t="array" ref="AH17">PRODUCT(1 + 真實IC!$C17:AH17) - 1</f>
        <v>15.627372509040093</v>
      </c>
      <c r="AI17" s="11" cm="1">
        <f t="array" ref="AI17">PRODUCT(1 + 真實IC!$C17:AI17) - 1</f>
        <v>17.537266430721701</v>
      </c>
      <c r="AJ17" s="11" cm="1">
        <f t="array" ref="AJ17">PRODUCT(1 + 真實IC!$C17:AJ17) - 1</f>
        <v>16.747530118142201</v>
      </c>
      <c r="AK17" s="11" cm="1">
        <f t="array" ref="AK17">PRODUCT(1 + 真實IC!$C17:AK17) - 1</f>
        <v>18.055811924270497</v>
      </c>
      <c r="AL17" s="11" cm="1">
        <f t="array" ref="AL17">PRODUCT(1 + 真實IC!$C17:AL17) - 1</f>
        <v>17.865563779536689</v>
      </c>
      <c r="AM17" s="11" cm="1">
        <f t="array" ref="AM17">PRODUCT(1 + 真實IC!$C17:AM17) - 1</f>
        <v>19.287449390784978</v>
      </c>
      <c r="AN17" s="11" cm="1">
        <f t="array" ref="AN17">PRODUCT(1 + 真實IC!$C17:AN17) - 1</f>
        <v>21.585756111430552</v>
      </c>
      <c r="AO17" s="11" cm="1">
        <f t="array" ref="AO17">PRODUCT(1 + 真實IC!$C17:AO17) - 1</f>
        <v>19.853552215464617</v>
      </c>
      <c r="AP17" s="11" cm="1">
        <f t="array" ref="AP17">PRODUCT(1 + 真實IC!$C17:AP17) - 1</f>
        <v>21.464339279232888</v>
      </c>
      <c r="AQ17" s="11" cm="1">
        <f t="array" ref="AQ17">PRODUCT(1 + 真實IC!$C17:AQ17) - 1</f>
        <v>21.671774841575246</v>
      </c>
      <c r="AR17" s="11" cm="1">
        <f t="array" ref="AR17">PRODUCT(1 + 真實IC!$C17:AR17) - 1</f>
        <v>20.878324365881092</v>
      </c>
      <c r="AS17" s="11" cm="1">
        <f t="array" ref="AS17">PRODUCT(1 + 真實IC!$C17:AS17) - 1</f>
        <v>19.591814200182192</v>
      </c>
      <c r="AT17" s="11" cm="1">
        <f t="array" ref="AT17">PRODUCT(1 + 真實IC!$C17:AT17) - 1</f>
        <v>22.208452953930713</v>
      </c>
      <c r="AU17" s="11" cm="1">
        <f t="array" ref="AU17">PRODUCT(1 + 真實IC!$C17:AU17) - 1</f>
        <v>26.329392874911786</v>
      </c>
      <c r="AV17" s="11" cm="1">
        <f t="array" ref="AV17">PRODUCT(1 + 真實IC!$C17:AV17) - 1</f>
        <v>27.92896719053017</v>
      </c>
      <c r="AW17" s="11" cm="1">
        <f t="array" ref="AW17">PRODUCT(1 + 真實IC!$C17:AW17) - 1</f>
        <v>30.133053925127815</v>
      </c>
      <c r="AX17" s="11" cm="1">
        <f t="array" ref="AX17">PRODUCT(1 + 真實IC!$C17:AX17) - 1</f>
        <v>33.17223478887702</v>
      </c>
      <c r="AY17" s="11" cm="1">
        <f t="array" ref="AY17">PRODUCT(1 + 真實IC!$C17:AY17) - 1</f>
        <v>34.109363790967187</v>
      </c>
      <c r="AZ17" s="11" cm="1">
        <f t="array" ref="AZ17">PRODUCT(1 + 真實IC!$C17:AZ17) - 1</f>
        <v>35.793926296421859</v>
      </c>
      <c r="BA17" s="11" cm="1">
        <f t="array" ref="BA17">PRODUCT(1 + 真實IC!$C17:BA17) - 1</f>
        <v>41.784213339547321</v>
      </c>
      <c r="BB17" s="11" cm="1">
        <f t="array" ref="BB17">PRODUCT(1 + 真實IC!$C17:BB17) - 1</f>
        <v>51.643494952998552</v>
      </c>
      <c r="BC17" s="11" cm="1">
        <f t="array" ref="BC17">PRODUCT(1 + 真實IC!$C17:BC17) - 1</f>
        <v>50.206705290471149</v>
      </c>
      <c r="BD17" s="11" cm="1">
        <f t="array" ref="BD17">PRODUCT(1 + 真實IC!$C17:BD17) - 1</f>
        <v>51.200723293626076</v>
      </c>
      <c r="BE17" s="11" cm="1">
        <f t="array" ref="BE17">PRODUCT(1 + 真實IC!$C17:BE17) - 1</f>
        <v>53.503310422891737</v>
      </c>
      <c r="BF17" s="11" cm="1">
        <f t="array" ref="BF17">PRODUCT(1 + 真實IC!$C17:BF17) - 1</f>
        <v>61.557636876962192</v>
      </c>
      <c r="BG17" s="11" cm="1">
        <f t="array" ref="BG17">PRODUCT(1 + 真實IC!$C17:BG17) - 1</f>
        <v>73.177816650996519</v>
      </c>
      <c r="BH17" s="11" cm="1">
        <f t="array" ref="BH17">PRODUCT(1 + 真實IC!$C17:BH17) - 1</f>
        <v>83.057642634784884</v>
      </c>
      <c r="BI17" s="11" cm="1">
        <f t="array" ref="BI17">PRODUCT(1 + 真實IC!$C17:BI17) - 1</f>
        <v>90.380067413796837</v>
      </c>
      <c r="BJ17" s="11" cm="1">
        <f t="array" ref="BJ17">PRODUCT(1 + 真實IC!$C17:BJ17) - 1</f>
        <v>98.530390645660489</v>
      </c>
      <c r="BK17" s="11" cm="1">
        <f t="array" ref="BK17">PRODUCT(1 + 真實IC!$C17:BK17) - 1</f>
        <v>87.102730015657599</v>
      </c>
      <c r="BL17" s="11" cm="1">
        <f t="array" ref="BL17">PRODUCT(1 + 真實IC!$C17:BL17) - 1</f>
        <v>90.111653861643887</v>
      </c>
      <c r="BM17" s="11" cm="1">
        <f t="array" ref="BM17">PRODUCT(1 + 真實IC!$C17:BM17) - 1</f>
        <v>92.759268427318844</v>
      </c>
      <c r="BN17" s="11" cm="1">
        <f t="array" ref="BN17">PRODUCT(1 + 真實IC!$C17:BN17) - 1</f>
        <v>85.853263750884381</v>
      </c>
      <c r="BO17" s="11" cm="1">
        <f t="array" ref="BO17">PRODUCT(1 + 真實IC!$C17:BO17) - 1</f>
        <v>88.908728167327752</v>
      </c>
      <c r="BP17" s="11" cm="1">
        <f t="array" ref="BP17">PRODUCT(1 + 真實IC!$C17:BP17) - 1</f>
        <v>83.456829500233525</v>
      </c>
      <c r="BQ17" s="11" cm="1">
        <f t="array" ref="BQ17">PRODUCT(1 + 真實IC!$C17:BQ17) - 1</f>
        <v>84.417653503317112</v>
      </c>
      <c r="BR17" s="11" cm="1">
        <f t="array" ref="BR17">PRODUCT(1 + 真實IC!$C17:BR17) - 1</f>
        <v>94.242592999206991</v>
      </c>
      <c r="BS17" s="11" cm="1">
        <f t="array" ref="BS17">PRODUCT(1 + 真實IC!$C17:BS17) - 1</f>
        <v>96.233736383168008</v>
      </c>
      <c r="BT17" s="11" cm="1">
        <f t="array" ref="BT17">PRODUCT(1 + 真實IC!$C17:BT17) - 1</f>
        <v>99.505415650137749</v>
      </c>
      <c r="BU17" s="11" cm="1">
        <f t="array" ref="BU17">PRODUCT(1 + 真實IC!$C17:BU17) - 1</f>
        <v>110.01067382022742</v>
      </c>
      <c r="BV17" s="11" cm="1">
        <f t="array" ref="BV17">PRODUCT(1 + 真實IC!$C17:BV17) - 1</f>
        <v>114.25582816906601</v>
      </c>
      <c r="BW17" s="11" cm="1">
        <f t="array" ref="BW17">PRODUCT(1 + 真實IC!$C17:BW17) - 1</f>
        <v>138.26786153218683</v>
      </c>
      <c r="BX17" s="11" cm="1">
        <f t="array" ref="BX17">PRODUCT(1 + 真實IC!$C17:BX17) - 1</f>
        <v>139.25607700928975</v>
      </c>
      <c r="BY17" s="11" cm="1">
        <f t="array" ref="BY17">PRODUCT(1 + 真實IC!$C17:BY17) - 1</f>
        <v>119.27275931147054</v>
      </c>
      <c r="BZ17" s="11" cm="1">
        <f t="array" ref="BZ17">PRODUCT(1 + 真實IC!$C17:BZ17) - 1</f>
        <v>133.77502683197727</v>
      </c>
      <c r="CA17" s="11" cm="1">
        <f t="array" ref="CA17">PRODUCT(1 + 真實IC!$C17:CA17) - 1</f>
        <v>137.53994461263949</v>
      </c>
      <c r="CB17" s="11" cm="1">
        <f t="array" ref="CB17">PRODUCT(1 + 真實IC!$C17:CB17) - 1</f>
        <v>158.27011399162674</v>
      </c>
      <c r="CC17" s="11" cm="1">
        <f t="array" ref="CC17">PRODUCT(1 + 真實IC!$C17:CC17) - 1</f>
        <v>164.92127416351735</v>
      </c>
      <c r="CD17" s="11" cm="1">
        <f t="array" ref="CD17">PRODUCT(1 + 真實IC!$C17:CD17) - 1</f>
        <v>193.61897480559071</v>
      </c>
      <c r="CE17" s="11" cm="1">
        <f t="array" ref="CE17">PRODUCT(1 + 真實IC!$C17:CE17) - 1</f>
        <v>212.24558198220882</v>
      </c>
      <c r="CF17" s="11" cm="1">
        <f t="array" ref="CF17">PRODUCT(1 + 真實IC!$C17:CF17) - 1</f>
        <v>233.30277232088861</v>
      </c>
      <c r="CG17" s="11" cm="1">
        <f t="array" ref="CG17">PRODUCT(1 + 真實IC!$C17:CG17) - 1</f>
        <v>250.80870129052397</v>
      </c>
      <c r="CH17" s="11" cm="1">
        <f t="array" ref="CH17">PRODUCT(1 + 真實IC!$C17:CH17) - 1</f>
        <v>265.57386875893638</v>
      </c>
      <c r="CI17" s="11" cm="1">
        <f t="array" ref="CI17">PRODUCT(1 + 真實IC!$C17:CI17) - 1</f>
        <v>269.44750295926281</v>
      </c>
      <c r="CJ17" s="11" cm="1">
        <f t="array" ref="CJ17">PRODUCT(1 + 真實IC!$C17:CJ17) - 1</f>
        <v>275.11360193652376</v>
      </c>
      <c r="CK17" s="11" cm="1">
        <f t="array" ref="CK17">PRODUCT(1 + 真實IC!$C17:CK17) - 1</f>
        <v>298.29495360312666</v>
      </c>
      <c r="CL17" s="11" cm="1">
        <f t="array" ref="CL17">PRODUCT(1 + 真實IC!$C17:CL17) - 1</f>
        <v>295.47369618283238</v>
      </c>
      <c r="CM17" s="11" cm="1">
        <f t="array" ref="CM17">PRODUCT(1 + 真實IC!$C17:CM17) - 1</f>
        <v>323.78511702662195</v>
      </c>
      <c r="CN17" s="11" cm="1">
        <f t="array" ref="CN17">PRODUCT(1 + 真實IC!$C17:CN17) - 1</f>
        <v>381.11984899953688</v>
      </c>
      <c r="CO17" s="11" cm="1">
        <f t="array" ref="CO17">PRODUCT(1 + 真實IC!$C17:CO17) - 1</f>
        <v>456.81030913758775</v>
      </c>
      <c r="CP17" s="11" cm="1">
        <f t="array" ref="CP17">PRODUCT(1 + 真實IC!$C17:CP17) - 1</f>
        <v>524.63914997042275</v>
      </c>
      <c r="CQ17" s="11" cm="1">
        <f t="array" ref="CQ17">PRODUCT(1 + 真實IC!$C17:CQ17) - 1</f>
        <v>551.92355564839477</v>
      </c>
      <c r="CR17" s="11" cm="1">
        <f t="array" ref="CR17">PRODUCT(1 + 真實IC!$C17:CR17) - 1</f>
        <v>660.51919714110215</v>
      </c>
      <c r="CS17" s="11" cm="1">
        <f t="array" ref="CS17">PRODUCT(1 + 真實IC!$C17:CS17) - 1</f>
        <v>681.25505775996851</v>
      </c>
      <c r="CT17" s="11" cm="1">
        <f t="array" ref="CT17">PRODUCT(1 + 真實IC!$C17:CT17) - 1</f>
        <v>721.27190714892652</v>
      </c>
      <c r="CU17" s="11" cm="1">
        <f t="array" ref="CU17">PRODUCT(1 + 真實IC!$C17:CU17) - 1</f>
        <v>833.47821504060437</v>
      </c>
      <c r="CV17" s="11" cm="1">
        <f t="array" ref="CV17">PRODUCT(1 + 真實IC!$C17:CV17) - 1</f>
        <v>959.87778590943583</v>
      </c>
      <c r="CW17" s="11" cm="1">
        <f t="array" ref="CW17">PRODUCT(1 + 真實IC!$C17:CW17) - 1</f>
        <v>1020.7909216359645</v>
      </c>
      <c r="CX17" s="11" cm="1">
        <f t="array" ref="CX17">PRODUCT(1 + 真實IC!$C17:CX17) - 1</f>
        <v>1031.7980565648154</v>
      </c>
      <c r="CY17" s="11" cm="1">
        <f t="array" ref="CY17">PRODUCT(1 + 真實IC!$C17:CY17) - 1</f>
        <v>1093.2474256152273</v>
      </c>
      <c r="CZ17" s="11" cm="1">
        <f t="array" ref="CZ17">PRODUCT(1 + 真實IC!$C17:CZ17) - 1</f>
        <v>1229.2063965656698</v>
      </c>
      <c r="DA17" s="11" cm="1">
        <f t="array" ref="DA17">PRODUCT(1 + 真實IC!$C17:DA17) - 1</f>
        <v>1345.4564713379102</v>
      </c>
      <c r="DB17" s="11" cm="1">
        <f t="array" ref="DB17">PRODUCT(1 + 真實IC!$C17:DB17) - 1</f>
        <v>1485.8536768120425</v>
      </c>
      <c r="DC17" s="11" cm="1">
        <f t="array" ref="DC17">PRODUCT(1 + 真實IC!$C17:DC17) - 1</f>
        <v>1550.3288101005624</v>
      </c>
      <c r="DD17" s="11" cm="1">
        <f t="array" ref="DD17">PRODUCT(1 + 真實IC!$C17:DD17) - 1</f>
        <v>1595.5584544867829</v>
      </c>
      <c r="DE17" s="11" cm="1">
        <f t="array" ref="DE17">PRODUCT(1 + 真實IC!$C17:DE17) - 1</f>
        <v>1634.0752090263302</v>
      </c>
      <c r="DF17" s="11" cm="1">
        <f t="array" ref="DF17">PRODUCT(1 + 真實IC!$C17:DF17) - 1</f>
        <v>2209.9904808011725</v>
      </c>
      <c r="DG17" s="11" cm="1">
        <f t="array" ref="DG17">PRODUCT(1 + 真實IC!$C17:DG17) - 1</f>
        <v>2314.3735268058526</v>
      </c>
      <c r="DH17" s="11" cm="1">
        <f t="array" ref="DH17">PRODUCT(1 + 真實IC!$C17:DH17) - 1</f>
        <v>2692.7791927702888</v>
      </c>
      <c r="DI17" s="11" cm="1">
        <f t="array" ref="DI17">PRODUCT(1 + 真實IC!$C17:DI17) - 1</f>
        <v>2881.8350548417043</v>
      </c>
      <c r="DJ17" s="11" cm="1">
        <f t="array" ref="DJ17">PRODUCT(1 + 真實IC!$C17:DJ17) - 1</f>
        <v>3253.5047366403746</v>
      </c>
      <c r="DK17" s="11" cm="1">
        <f t="array" ref="DK17">PRODUCT(1 + 真實IC!$C17:DK17) - 1</f>
        <v>3588.0068626196453</v>
      </c>
      <c r="DL17" s="11" cm="1">
        <f t="array" ref="DL17">PRODUCT(1 + 真實IC!$C17:DL17) - 1</f>
        <v>3573.9030286119305</v>
      </c>
      <c r="DM17" s="11" cm="1">
        <f t="array" ref="DM17">PRODUCT(1 + 真實IC!$C17:DM17) - 1</f>
        <v>3421.7422549196344</v>
      </c>
      <c r="DN17" s="11" cm="1">
        <f t="array" ref="DN17">PRODUCT(1 + 真實IC!$C17:DN17) - 1</f>
        <v>3543.2120667772274</v>
      </c>
      <c r="DO17" s="11" cm="1">
        <f t="array" ref="DO17">PRODUCT(1 + 真實IC!$C17:DO17) - 1</f>
        <v>4180.3299986155253</v>
      </c>
      <c r="DP17" s="11" cm="1">
        <f t="array" ref="DP17">PRODUCT(1 + 真實IC!$C17:DP17) - 1</f>
        <v>4774.2216853370091</v>
      </c>
      <c r="DQ17" s="11" cm="1">
        <f t="array" ref="DQ17">PRODUCT(1 + 真實IC!$C17:DQ17) - 1</f>
        <v>5121.1606660458856</v>
      </c>
      <c r="DR17" s="11" cm="1">
        <f t="array" ref="DR17">PRODUCT(1 + 真實IC!$C17:DR17) - 1</f>
        <v>5407.4116666346699</v>
      </c>
      <c r="DS17" s="11" cm="1">
        <f t="array" ref="DS17">PRODUCT(1 + 真實IC!$C17:DS17) - 1</f>
        <v>5609.437956054272</v>
      </c>
      <c r="DT17" s="11" cm="1">
        <f t="array" ref="DT17">PRODUCT(1 + 真實IC!$C17:DT17) - 1</f>
        <v>5945.0091077216421</v>
      </c>
      <c r="DU17" s="11" cm="1">
        <f t="array" ref="DU17">PRODUCT(1 + 真實IC!$C17:DU17) - 1</f>
        <v>6714.9754053861006</v>
      </c>
      <c r="DV17" s="11" cm="1">
        <f t="array" ref="DV17">PRODUCT(1 + 真實IC!$C17:DV17) - 1</f>
        <v>7505.8849227047722</v>
      </c>
      <c r="DW17" s="11" cm="1">
        <f t="array" ref="DW17">PRODUCT(1 + 真實IC!$C17:DW17) - 1</f>
        <v>6930.8656973392763</v>
      </c>
      <c r="DX17" s="11" cm="1">
        <f t="array" ref="DX17">PRODUCT(1 + 真實IC!$C17:DX17) - 1</f>
        <v>7828.8125272680045</v>
      </c>
      <c r="DY17" s="11" cm="1">
        <f t="array" ref="DY17">PRODUCT(1 + 真實IC!$C17:DY17) - 1</f>
        <v>8668.8174872129694</v>
      </c>
      <c r="DZ17" s="11" cm="1">
        <f t="array" ref="DZ17">PRODUCT(1 + 真實IC!$C17:DZ17) - 1</f>
        <v>9095.4820001811004</v>
      </c>
      <c r="EA17" s="11" cm="1">
        <f t="array" ref="EA17">PRODUCT(1 + 真實IC!$C17:EA17) - 1</f>
        <v>9053.3423270282619</v>
      </c>
      <c r="EB17" s="11" cm="1">
        <f t="array" ref="EB17">PRODUCT(1 + 真實IC!$C17:EB17) - 1</f>
        <v>10024.740402123865</v>
      </c>
      <c r="EC17" s="11" cm="1">
        <f t="array" ref="EC17">PRODUCT(1 + 真實IC!$C17:EC17) - 1</f>
        <v>10189.415365980585</v>
      </c>
      <c r="ED17" s="11" cm="1">
        <f t="array" ref="ED17">PRODUCT(1 + 真實IC!$C17:ED17) - 1</f>
        <v>11497.094751224691</v>
      </c>
      <c r="EE17" s="11" cm="1">
        <f t="array" ref="EE17">PRODUCT(1 + 真實IC!$C17:EE17) - 1</f>
        <v>11494.869626750704</v>
      </c>
      <c r="EF17" s="11" cm="1">
        <f t="array" ref="EF17">PRODUCT(1 + 真實IC!$C17:EF17) - 1</f>
        <v>11966.053196668719</v>
      </c>
      <c r="EG17">
        <f t="shared" si="6"/>
        <v>193241.4501983833</v>
      </c>
      <c r="EH17" s="14">
        <f t="shared" si="7"/>
        <v>1352.8014701620491</v>
      </c>
    </row>
    <row r="18" spans="1:138" x14ac:dyDescent="0.3">
      <c r="A18" s="1">
        <v>7</v>
      </c>
      <c r="B18" s="1" t="s">
        <v>165</v>
      </c>
      <c r="C18" s="11" cm="1">
        <f t="array" ref="C18">PRODUCT(1 + 真實IC!$C18:C18) - 1</f>
        <v>0.18975112249235826</v>
      </c>
      <c r="D18" s="11" cm="1">
        <f t="array" ref="D18">PRODUCT(1 + 真實IC!$C18:D18) - 1</f>
        <v>0.66789268357562492</v>
      </c>
      <c r="E18" s="11" cm="1">
        <f t="array" ref="E18">PRODUCT(1 + 真實IC!$C18:E18) - 1</f>
        <v>0.75702378490219679</v>
      </c>
      <c r="F18" s="11" cm="1">
        <f t="array" ref="F18">PRODUCT(1 + 真實IC!$C18:F18) - 1</f>
        <v>0.54726508449061928</v>
      </c>
      <c r="G18" s="11" cm="1">
        <f t="array" ref="G18">PRODUCT(1 + 真實IC!$C18:G18) - 1</f>
        <v>0.71485922695327608</v>
      </c>
      <c r="H18" s="11" cm="1">
        <f t="array" ref="H18">PRODUCT(1 + 真實IC!$C18:H18) - 1</f>
        <v>0.93528648049093022</v>
      </c>
      <c r="I18" s="11" cm="1">
        <f t="array" ref="I18">PRODUCT(1 + 真實IC!$C18:I18) - 1</f>
        <v>1.1975181473810532</v>
      </c>
      <c r="J18" s="11" cm="1">
        <f t="array" ref="J18">PRODUCT(1 + 真實IC!$C18:J18) - 1</f>
        <v>1.2929157410506043</v>
      </c>
      <c r="K18" s="11" cm="1">
        <f t="array" ref="K18">PRODUCT(1 + 真實IC!$C18:K18) - 1</f>
        <v>1.603944920469119</v>
      </c>
      <c r="L18" s="11" cm="1">
        <f t="array" ref="L18">PRODUCT(1 + 真實IC!$C18:L18) - 1</f>
        <v>1.4824117274135475</v>
      </c>
      <c r="M18" s="11" cm="1">
        <f t="array" ref="M18">PRODUCT(1 + 真實IC!$C18:M18) - 1</f>
        <v>1.554529423280202</v>
      </c>
      <c r="N18" s="11" cm="1">
        <f t="array" ref="N18">PRODUCT(1 + 真實IC!$C18:N18) - 1</f>
        <v>2.7342622477013778</v>
      </c>
      <c r="O18" s="11" cm="1">
        <f t="array" ref="O18">PRODUCT(1 + 真實IC!$C18:O18) - 1</f>
        <v>2.8527800429615358</v>
      </c>
      <c r="P18" s="11" cm="1">
        <f t="array" ref="P18">PRODUCT(1 + 真實IC!$C18:P18) - 1</f>
        <v>3.1708370973125861</v>
      </c>
      <c r="Q18" s="11" cm="1">
        <f t="array" ref="Q18">PRODUCT(1 + 真實IC!$C18:Q18) - 1</f>
        <v>3.9590227840628884</v>
      </c>
      <c r="R18" s="11" cm="1">
        <f t="array" ref="R18">PRODUCT(1 + 真實IC!$C18:R18) - 1</f>
        <v>3.6540813754127495</v>
      </c>
      <c r="S18" s="11" cm="1">
        <f t="array" ref="S18">PRODUCT(1 + 真實IC!$C18:S18) - 1</f>
        <v>5.4400042568628502</v>
      </c>
      <c r="T18" s="11" cm="1">
        <f t="array" ref="T18">PRODUCT(1 + 真實IC!$C18:T18) - 1</f>
        <v>5.7768789317647657</v>
      </c>
      <c r="U18" s="11" cm="1">
        <f t="array" ref="U18">PRODUCT(1 + 真實IC!$C18:U18) - 1</f>
        <v>6.6747816713868646</v>
      </c>
      <c r="V18" s="11" cm="1">
        <f t="array" ref="V18">PRODUCT(1 + 真實IC!$C18:V18) - 1</f>
        <v>6.7737490176710127</v>
      </c>
      <c r="W18" s="11" cm="1">
        <f t="array" ref="W18">PRODUCT(1 + 真實IC!$C18:W18) - 1</f>
        <v>7.3746308988550293</v>
      </c>
      <c r="X18" s="11" cm="1">
        <f t="array" ref="X18">PRODUCT(1 + 真實IC!$C18:X18) - 1</f>
        <v>9.176190353151032</v>
      </c>
      <c r="Y18" s="11" cm="1">
        <f t="array" ref="Y18">PRODUCT(1 + 真實IC!$C18:Y18) - 1</f>
        <v>8.9804784577943213</v>
      </c>
      <c r="Z18" s="11" cm="1">
        <f t="array" ref="Z18">PRODUCT(1 + 真實IC!$C18:Z18) - 1</f>
        <v>9.8710800998074486</v>
      </c>
      <c r="AA18" s="11" cm="1">
        <f t="array" ref="AA18">PRODUCT(1 + 真實IC!$C18:AA18) - 1</f>
        <v>11.74710954074175</v>
      </c>
      <c r="AB18" s="11" cm="1">
        <f t="array" ref="AB18">PRODUCT(1 + 真實IC!$C18:AB18) - 1</f>
        <v>12.82676804532081</v>
      </c>
      <c r="AC18" s="11" cm="1">
        <f t="array" ref="AC18">PRODUCT(1 + 真實IC!$C18:AC18) - 1</f>
        <v>12.845647397538301</v>
      </c>
      <c r="AD18" s="11" cm="1">
        <f t="array" ref="AD18">PRODUCT(1 + 真實IC!$C18:AD18) - 1</f>
        <v>14.178787259349578</v>
      </c>
      <c r="AE18" s="11" cm="1">
        <f t="array" ref="AE18">PRODUCT(1 + 真實IC!$C18:AE18) - 1</f>
        <v>18.100854574189896</v>
      </c>
      <c r="AF18" s="11" cm="1">
        <f t="array" ref="AF18">PRODUCT(1 + 真實IC!$C18:AF18) - 1</f>
        <v>20.976366745538744</v>
      </c>
      <c r="AG18" s="11" cm="1">
        <f t="array" ref="AG18">PRODUCT(1 + 真實IC!$C18:AG18) - 1</f>
        <v>21.690447381611037</v>
      </c>
      <c r="AH18" s="11" cm="1">
        <f t="array" ref="AH18">PRODUCT(1 + 真實IC!$C18:AH18) - 1</f>
        <v>20.778349008630588</v>
      </c>
      <c r="AI18" s="11" cm="1">
        <f t="array" ref="AI18">PRODUCT(1 + 真實IC!$C18:AI18) - 1</f>
        <v>23.350061348775228</v>
      </c>
      <c r="AJ18" s="11" cm="1">
        <f t="array" ref="AJ18">PRODUCT(1 + 真實IC!$C18:AJ18) - 1</f>
        <v>22.196020478573296</v>
      </c>
      <c r="AK18" s="11" cm="1">
        <f t="array" ref="AK18">PRODUCT(1 + 真實IC!$C18:AK18) - 1</f>
        <v>22.895438035995614</v>
      </c>
      <c r="AL18" s="11" cm="1">
        <f t="array" ref="AL18">PRODUCT(1 + 真實IC!$C18:AL18) - 1</f>
        <v>22.87499417320748</v>
      </c>
      <c r="AM18" s="11" cm="1">
        <f t="array" ref="AM18">PRODUCT(1 + 真實IC!$C18:AM18) - 1</f>
        <v>24.466105089406593</v>
      </c>
      <c r="AN18" s="11" cm="1">
        <f t="array" ref="AN18">PRODUCT(1 + 真實IC!$C18:AN18) - 1</f>
        <v>26.485430723532417</v>
      </c>
      <c r="AO18" s="11" cm="1">
        <f t="array" ref="AO18">PRODUCT(1 + 真實IC!$C18:AO18) - 1</f>
        <v>27.161140260586048</v>
      </c>
      <c r="AP18" s="11" cm="1">
        <f t="array" ref="AP18">PRODUCT(1 + 真實IC!$C18:AP18) - 1</f>
        <v>29.365554667435166</v>
      </c>
      <c r="AQ18" s="11" cm="1">
        <f t="array" ref="AQ18">PRODUCT(1 + 真實IC!$C18:AQ18) - 1</f>
        <v>28.855864533517543</v>
      </c>
      <c r="AR18" s="11" cm="1">
        <f t="array" ref="AR18">PRODUCT(1 + 真實IC!$C18:AR18) - 1</f>
        <v>27.013921194432708</v>
      </c>
      <c r="AS18" s="11" cm="1">
        <f t="array" ref="AS18">PRODUCT(1 + 真實IC!$C18:AS18) - 1</f>
        <v>24.681674630555026</v>
      </c>
      <c r="AT18" s="11" cm="1">
        <f t="array" ref="AT18">PRODUCT(1 + 真實IC!$C18:AT18) - 1</f>
        <v>28.954740851325244</v>
      </c>
      <c r="AU18" s="11" cm="1">
        <f t="array" ref="AU18">PRODUCT(1 + 真實IC!$C18:AU18) - 1</f>
        <v>34.845632133475661</v>
      </c>
      <c r="AV18" s="11" cm="1">
        <f t="array" ref="AV18">PRODUCT(1 + 真實IC!$C18:AV18) - 1</f>
        <v>37.004817611859167</v>
      </c>
      <c r="AW18" s="11" cm="1">
        <f t="array" ref="AW18">PRODUCT(1 + 真實IC!$C18:AW18) - 1</f>
        <v>40.720429363859054</v>
      </c>
      <c r="AX18" s="11" cm="1">
        <f t="array" ref="AX18">PRODUCT(1 + 真實IC!$C18:AX18) - 1</f>
        <v>45.9798876487475</v>
      </c>
      <c r="AY18" s="11" cm="1">
        <f t="array" ref="AY18">PRODUCT(1 + 真實IC!$C18:AY18) - 1</f>
        <v>47.614002171363722</v>
      </c>
      <c r="AZ18" s="11" cm="1">
        <f t="array" ref="AZ18">PRODUCT(1 + 真實IC!$C18:AZ18) - 1</f>
        <v>50.839117094113782</v>
      </c>
      <c r="BA18" s="11" cm="1">
        <f t="array" ref="BA18">PRODUCT(1 + 真實IC!$C18:BA18) - 1</f>
        <v>60.195028747936497</v>
      </c>
      <c r="BB18" s="11" cm="1">
        <f t="array" ref="BB18">PRODUCT(1 + 真實IC!$C18:BB18) - 1</f>
        <v>79.621845037697781</v>
      </c>
      <c r="BC18" s="11" cm="1">
        <f t="array" ref="BC18">PRODUCT(1 + 真實IC!$C18:BC18) - 1</f>
        <v>81.874584719427475</v>
      </c>
      <c r="BD18" s="11" cm="1">
        <f t="array" ref="BD18">PRODUCT(1 + 真實IC!$C18:BD18) - 1</f>
        <v>83.554878498631993</v>
      </c>
      <c r="BE18" s="11" cm="1">
        <f t="array" ref="BE18">PRODUCT(1 + 真實IC!$C18:BE18) - 1</f>
        <v>91.263987994238178</v>
      </c>
      <c r="BF18" s="11" cm="1">
        <f t="array" ref="BF18">PRODUCT(1 + 真實IC!$C18:BF18) - 1</f>
        <v>106.48629996008204</v>
      </c>
      <c r="BG18" s="11" cm="1">
        <f t="array" ref="BG18">PRODUCT(1 + 真實IC!$C18:BG18) - 1</f>
        <v>122.25604226681139</v>
      </c>
      <c r="BH18" s="11" cm="1">
        <f t="array" ref="BH18">PRODUCT(1 + 真實IC!$C18:BH18) - 1</f>
        <v>139.25283666467732</v>
      </c>
      <c r="BI18" s="11" cm="1">
        <f t="array" ref="BI18">PRODUCT(1 + 真實IC!$C18:BI18) - 1</f>
        <v>154.54039683148963</v>
      </c>
      <c r="BJ18" s="11" cm="1">
        <f t="array" ref="BJ18">PRODUCT(1 + 真實IC!$C18:BJ18) - 1</f>
        <v>170.02156883647604</v>
      </c>
      <c r="BK18" s="11" cm="1">
        <f t="array" ref="BK18">PRODUCT(1 + 真實IC!$C18:BK18) - 1</f>
        <v>157.45907229716786</v>
      </c>
      <c r="BL18" s="11" cm="1">
        <f t="array" ref="BL18">PRODUCT(1 + 真實IC!$C18:BL18) - 1</f>
        <v>166.29916814395045</v>
      </c>
      <c r="BM18" s="11" cm="1">
        <f t="array" ref="BM18">PRODUCT(1 + 真實IC!$C18:BM18) - 1</f>
        <v>170.99715570552311</v>
      </c>
      <c r="BN18" s="11" cm="1">
        <f t="array" ref="BN18">PRODUCT(1 + 真實IC!$C18:BN18) - 1</f>
        <v>157.54548184312654</v>
      </c>
      <c r="BO18" s="11" cm="1">
        <f t="array" ref="BO18">PRODUCT(1 + 真實IC!$C18:BO18) - 1</f>
        <v>160.75245995979168</v>
      </c>
      <c r="BP18" s="11" cm="1">
        <f t="array" ref="BP18">PRODUCT(1 + 真實IC!$C18:BP18) - 1</f>
        <v>150.64884617036435</v>
      </c>
      <c r="BQ18" s="11" cm="1">
        <f t="array" ref="BQ18">PRODUCT(1 + 真實IC!$C18:BQ18) - 1</f>
        <v>150.93952426898065</v>
      </c>
      <c r="BR18" s="11" cm="1">
        <f t="array" ref="BR18">PRODUCT(1 + 真實IC!$C18:BR18) - 1</f>
        <v>169.31840533275511</v>
      </c>
      <c r="BS18" s="11" cm="1">
        <f t="array" ref="BS18">PRODUCT(1 + 真實IC!$C18:BS18) - 1</f>
        <v>174.91732597087938</v>
      </c>
      <c r="BT18" s="11" cm="1">
        <f t="array" ref="BT18">PRODUCT(1 + 真實IC!$C18:BT18) - 1</f>
        <v>177.25687701337199</v>
      </c>
      <c r="BU18" s="11" cm="1">
        <f t="array" ref="BU18">PRODUCT(1 + 真實IC!$C18:BU18) - 1</f>
        <v>197.1256640264736</v>
      </c>
      <c r="BV18" s="11" cm="1">
        <f t="array" ref="BV18">PRODUCT(1 + 真實IC!$C18:BV18) - 1</f>
        <v>204.97627976398834</v>
      </c>
      <c r="BW18" s="11" cm="1">
        <f t="array" ref="BW18">PRODUCT(1 + 真實IC!$C18:BW18) - 1</f>
        <v>249.95645266659346</v>
      </c>
      <c r="BX18" s="11" cm="1">
        <f t="array" ref="BX18">PRODUCT(1 + 真實IC!$C18:BX18) - 1</f>
        <v>245.98834832332344</v>
      </c>
      <c r="BY18" s="11" cm="1">
        <f t="array" ref="BY18">PRODUCT(1 + 真實IC!$C18:BY18) - 1</f>
        <v>224.38544617714066</v>
      </c>
      <c r="BZ18" s="11" cm="1">
        <f t="array" ref="BZ18">PRODUCT(1 + 真實IC!$C18:BZ18) - 1</f>
        <v>258.94154003590302</v>
      </c>
      <c r="CA18" s="11" cm="1">
        <f t="array" ref="CA18">PRODUCT(1 + 真實IC!$C18:CA18) - 1</f>
        <v>263.12050161386804</v>
      </c>
      <c r="CB18" s="11" cm="1">
        <f t="array" ref="CB18">PRODUCT(1 + 真實IC!$C18:CB18) - 1</f>
        <v>291.34073670068943</v>
      </c>
      <c r="CC18" s="11" cm="1">
        <f t="array" ref="CC18">PRODUCT(1 + 真實IC!$C18:CC18) - 1</f>
        <v>321.93730057810967</v>
      </c>
      <c r="CD18" s="11" cm="1">
        <f t="array" ref="CD18">PRODUCT(1 + 真實IC!$C18:CD18) - 1</f>
        <v>384.49568706849641</v>
      </c>
      <c r="CE18" s="11" cm="1">
        <f t="array" ref="CE18">PRODUCT(1 + 真實IC!$C18:CE18) - 1</f>
        <v>414.2792360752602</v>
      </c>
      <c r="CF18" s="11" cm="1">
        <f t="array" ref="CF18">PRODUCT(1 + 真實IC!$C18:CF18) - 1</f>
        <v>444.10359069335647</v>
      </c>
      <c r="CG18" s="11" cm="1">
        <f t="array" ref="CG18">PRODUCT(1 + 真實IC!$C18:CG18) - 1</f>
        <v>484.87919928560234</v>
      </c>
      <c r="CH18" s="11" cm="1">
        <f t="array" ref="CH18">PRODUCT(1 + 真實IC!$C18:CH18) - 1</f>
        <v>563.91087488815606</v>
      </c>
      <c r="CI18" s="11" cm="1">
        <f t="array" ref="CI18">PRODUCT(1 + 真實IC!$C18:CI18) - 1</f>
        <v>585.86847470261171</v>
      </c>
      <c r="CJ18" s="11" cm="1">
        <f t="array" ref="CJ18">PRODUCT(1 + 真實IC!$C18:CJ18) - 1</f>
        <v>583.6545917285041</v>
      </c>
      <c r="CK18" s="11" cm="1">
        <f t="array" ref="CK18">PRODUCT(1 + 真實IC!$C18:CK18) - 1</f>
        <v>639.81536101415418</v>
      </c>
      <c r="CL18" s="11" cm="1">
        <f t="array" ref="CL18">PRODUCT(1 + 真實IC!$C18:CL18) - 1</f>
        <v>619.95678451002379</v>
      </c>
      <c r="CM18" s="11" cm="1">
        <f t="array" ref="CM18">PRODUCT(1 + 真實IC!$C18:CM18) - 1</f>
        <v>683.77227209186015</v>
      </c>
      <c r="CN18" s="11" cm="1">
        <f t="array" ref="CN18">PRODUCT(1 + 真實IC!$C18:CN18) - 1</f>
        <v>766.59077644103354</v>
      </c>
      <c r="CO18" s="11" cm="1">
        <f t="array" ref="CO18">PRODUCT(1 + 真實IC!$C18:CO18) - 1</f>
        <v>941.81799998575752</v>
      </c>
      <c r="CP18" s="11" cm="1">
        <f t="array" ref="CP18">PRODUCT(1 + 真實IC!$C18:CP18) - 1</f>
        <v>1095.345643003584</v>
      </c>
      <c r="CQ18" s="11" cm="1">
        <f t="array" ref="CQ18">PRODUCT(1 + 真實IC!$C18:CQ18) - 1</f>
        <v>1137.2728337688989</v>
      </c>
      <c r="CR18" s="11" cm="1">
        <f t="array" ref="CR18">PRODUCT(1 + 真實IC!$C18:CR18) - 1</f>
        <v>1357.7817876917129</v>
      </c>
      <c r="CS18" s="11" cm="1">
        <f t="array" ref="CS18">PRODUCT(1 + 真實IC!$C18:CS18) - 1</f>
        <v>1436.1707903993777</v>
      </c>
      <c r="CT18" s="11" cm="1">
        <f t="array" ref="CT18">PRODUCT(1 + 真實IC!$C18:CT18) - 1</f>
        <v>1546.6464349677929</v>
      </c>
      <c r="CU18" s="11" cm="1">
        <f t="array" ref="CU18">PRODUCT(1 + 真實IC!$C18:CU18) - 1</f>
        <v>1770.3816650827946</v>
      </c>
      <c r="CV18" s="11" cm="1">
        <f t="array" ref="CV18">PRODUCT(1 + 真實IC!$C18:CV18) - 1</f>
        <v>1995.3865819108335</v>
      </c>
      <c r="CW18" s="11" cm="1">
        <f t="array" ref="CW18">PRODUCT(1 + 真實IC!$C18:CW18) - 1</f>
        <v>2128.2632269503843</v>
      </c>
      <c r="CX18" s="11" cm="1">
        <f t="array" ref="CX18">PRODUCT(1 + 真實IC!$C18:CX18) - 1</f>
        <v>2259.3410668904799</v>
      </c>
      <c r="CY18" s="11" cm="1">
        <f t="array" ref="CY18">PRODUCT(1 + 真實IC!$C18:CY18) - 1</f>
        <v>2420.8027872790858</v>
      </c>
      <c r="CZ18" s="11" cm="1">
        <f t="array" ref="CZ18">PRODUCT(1 + 真實IC!$C18:CZ18) - 1</f>
        <v>2742.5220038934503</v>
      </c>
      <c r="DA18" s="11" cm="1">
        <f t="array" ref="DA18">PRODUCT(1 + 真實IC!$C18:DA18) - 1</f>
        <v>2957.5006319829567</v>
      </c>
      <c r="DB18" s="11" cm="1">
        <f t="array" ref="DB18">PRODUCT(1 + 真實IC!$C18:DB18) - 1</f>
        <v>3306.9431006762443</v>
      </c>
      <c r="DC18" s="11" cm="1">
        <f t="array" ref="DC18">PRODUCT(1 + 真實IC!$C18:DC18) - 1</f>
        <v>3427.3812782283335</v>
      </c>
      <c r="DD18" s="11" cm="1">
        <f t="array" ref="DD18">PRODUCT(1 + 真實IC!$C18:DD18) - 1</f>
        <v>3567.9935501756877</v>
      </c>
      <c r="DE18" s="11" cm="1">
        <f t="array" ref="DE18">PRODUCT(1 + 真實IC!$C18:DE18) - 1</f>
        <v>3705.116379108792</v>
      </c>
      <c r="DF18" s="11" cm="1">
        <f t="array" ref="DF18">PRODUCT(1 + 真實IC!$C18:DF18) - 1</f>
        <v>5064.119642027611</v>
      </c>
      <c r="DG18" s="11" cm="1">
        <f t="array" ref="DG18">PRODUCT(1 + 真實IC!$C18:DG18) - 1</f>
        <v>5341.5386969820001</v>
      </c>
      <c r="DH18" s="11" cm="1">
        <f t="array" ref="DH18">PRODUCT(1 + 真實IC!$C18:DH18) - 1</f>
        <v>6369.450525451527</v>
      </c>
      <c r="DI18" s="11" cm="1">
        <f t="array" ref="DI18">PRODUCT(1 + 真實IC!$C18:DI18) - 1</f>
        <v>6993.519782374713</v>
      </c>
      <c r="DJ18" s="11" cm="1">
        <f t="array" ref="DJ18">PRODUCT(1 + 真實IC!$C18:DJ18) - 1</f>
        <v>8016.0911287576118</v>
      </c>
      <c r="DK18" s="11" cm="1">
        <f t="array" ref="DK18">PRODUCT(1 + 真實IC!$C18:DK18) - 1</f>
        <v>8870.1298959281612</v>
      </c>
      <c r="DL18" s="11" cm="1">
        <f t="array" ref="DL18">PRODUCT(1 + 真實IC!$C18:DL18) - 1</f>
        <v>8836.1510371375462</v>
      </c>
      <c r="DM18" s="11" cm="1">
        <f t="array" ref="DM18">PRODUCT(1 + 真實IC!$C18:DM18) - 1</f>
        <v>8319.5562471024987</v>
      </c>
      <c r="DN18" s="11" cm="1">
        <f t="array" ref="DN18">PRODUCT(1 + 真實IC!$C18:DN18) - 1</f>
        <v>8180.4193723736707</v>
      </c>
      <c r="DO18" s="11" cm="1">
        <f t="array" ref="DO18">PRODUCT(1 + 真實IC!$C18:DO18) - 1</f>
        <v>9982.9514212484701</v>
      </c>
      <c r="DP18" s="11" cm="1">
        <f t="array" ref="DP18">PRODUCT(1 + 真實IC!$C18:DP18) - 1</f>
        <v>11315.673875856673</v>
      </c>
      <c r="DQ18" s="11" cm="1">
        <f t="array" ref="DQ18">PRODUCT(1 + 真實IC!$C18:DQ18) - 1</f>
        <v>12059.739051638133</v>
      </c>
      <c r="DR18" s="11" cm="1">
        <f t="array" ref="DR18">PRODUCT(1 + 真實IC!$C18:DR18) - 1</f>
        <v>12986.494137399768</v>
      </c>
      <c r="DS18" s="11" cm="1">
        <f t="array" ref="DS18">PRODUCT(1 + 真實IC!$C18:DS18) - 1</f>
        <v>13132.966865827148</v>
      </c>
      <c r="DT18" s="11" cm="1">
        <f t="array" ref="DT18">PRODUCT(1 + 真實IC!$C18:DT18) - 1</f>
        <v>13429.808108563657</v>
      </c>
      <c r="DU18" s="11" cm="1">
        <f t="array" ref="DU18">PRODUCT(1 + 真實IC!$C18:DU18) - 1</f>
        <v>15561.476436456054</v>
      </c>
      <c r="DV18" s="11" cm="1">
        <f t="array" ref="DV18">PRODUCT(1 + 真實IC!$C18:DV18) - 1</f>
        <v>17205.505921639888</v>
      </c>
      <c r="DW18" s="11" cm="1">
        <f t="array" ref="DW18">PRODUCT(1 + 真實IC!$C18:DW18) - 1</f>
        <v>16024.503835845482</v>
      </c>
      <c r="DX18" s="11" cm="1">
        <f t="array" ref="DX18">PRODUCT(1 + 真實IC!$C18:DX18) - 1</f>
        <v>18486.068940367772</v>
      </c>
      <c r="DY18" s="11" cm="1">
        <f t="array" ref="DY18">PRODUCT(1 + 真實IC!$C18:DY18) - 1</f>
        <v>21015.712169556507</v>
      </c>
      <c r="DZ18" s="11" cm="1">
        <f t="array" ref="DZ18">PRODUCT(1 + 真實IC!$C18:DZ18) - 1</f>
        <v>22163.863018920572</v>
      </c>
      <c r="EA18" s="11" cm="1">
        <f t="array" ref="EA18">PRODUCT(1 + 真實IC!$C18:EA18) - 1</f>
        <v>22058.83930969195</v>
      </c>
      <c r="EB18" s="11" cm="1">
        <f t="array" ref="EB18">PRODUCT(1 + 真實IC!$C18:EB18) - 1</f>
        <v>24484.635298657267</v>
      </c>
      <c r="EC18" s="11" cm="1">
        <f t="array" ref="EC18">PRODUCT(1 + 真實IC!$C18:EC18) - 1</f>
        <v>24552.316420886305</v>
      </c>
      <c r="ED18" s="11" cm="1">
        <f t="array" ref="ED18">PRODUCT(1 + 真實IC!$C18:ED18) - 1</f>
        <v>27264.918249310042</v>
      </c>
      <c r="EE18" s="11" cm="1">
        <f t="array" ref="EE18">PRODUCT(1 + 真實IC!$C18:EE18) - 1</f>
        <v>27295.218528136011</v>
      </c>
      <c r="EF18" s="11" cm="1">
        <f t="array" ref="EF18">PRODUCT(1 + 真實IC!$C18:EF18) - 1</f>
        <v>29040.929996336228</v>
      </c>
      <c r="EG18">
        <f t="shared" si="6"/>
        <v>453789.39791865903</v>
      </c>
      <c r="EH18" s="14">
        <f t="shared" si="7"/>
        <v>3169.7646859874835</v>
      </c>
    </row>
    <row r="19" spans="1:138" x14ac:dyDescent="0.3">
      <c r="A19" s="1">
        <v>6</v>
      </c>
      <c r="B19" s="1" t="s">
        <v>166</v>
      </c>
      <c r="C19" s="11" cm="1">
        <f t="array" ref="C19">PRODUCT(1 + 真實IC!$C19:C19) - 1</f>
        <v>0.19660026531165431</v>
      </c>
      <c r="D19" s="11" cm="1">
        <f t="array" ref="D19">PRODUCT(1 + 真實IC!$C19:D19) - 1</f>
        <v>0.68423965512470697</v>
      </c>
      <c r="E19" s="11" cm="1">
        <f t="array" ref="E19">PRODUCT(1 + 真實IC!$C19:E19) - 1</f>
        <v>0.79508655298052222</v>
      </c>
      <c r="F19" s="11" cm="1">
        <f t="array" ref="F19">PRODUCT(1 + 真實IC!$C19:F19) - 1</f>
        <v>0.47612002555625677</v>
      </c>
      <c r="G19" s="11" cm="1">
        <f t="array" ref="G19">PRODUCT(1 + 真實IC!$C19:G19) - 1</f>
        <v>0.6179249303891603</v>
      </c>
      <c r="H19" s="11" cm="1">
        <f t="array" ref="H19">PRODUCT(1 + 真實IC!$C19:H19) - 1</f>
        <v>0.9052850931066958</v>
      </c>
      <c r="I19" s="11" cm="1">
        <f t="array" ref="I19">PRODUCT(1 + 真實IC!$C19:I19) - 1</f>
        <v>1.1618399862870334</v>
      </c>
      <c r="J19" s="11" cm="1">
        <f t="array" ref="J19">PRODUCT(1 + 真實IC!$C19:J19) - 1</f>
        <v>1.2384330788003184</v>
      </c>
      <c r="K19" s="11" cm="1">
        <f t="array" ref="K19">PRODUCT(1 + 真實IC!$C19:K19) - 1</f>
        <v>1.7729472035857015</v>
      </c>
      <c r="L19" s="11" cm="1">
        <f t="array" ref="L19">PRODUCT(1 + 真實IC!$C19:L19) - 1</f>
        <v>1.6887526705700457</v>
      </c>
      <c r="M19" s="11" cm="1">
        <f t="array" ref="M19">PRODUCT(1 + 真實IC!$C19:M19) - 1</f>
        <v>1.5712804314269384</v>
      </c>
      <c r="N19" s="11" cm="1">
        <f t="array" ref="N19">PRODUCT(1 + 真實IC!$C19:N19) - 1</f>
        <v>2.9401633767344606</v>
      </c>
      <c r="O19" s="11" cm="1">
        <f t="array" ref="O19">PRODUCT(1 + 真實IC!$C19:O19) - 1</f>
        <v>3.0645223186967767</v>
      </c>
      <c r="P19" s="11" cm="1">
        <f t="array" ref="P19">PRODUCT(1 + 真實IC!$C19:P19) - 1</f>
        <v>3.44062958369505</v>
      </c>
      <c r="Q19" s="11" cm="1">
        <f t="array" ref="Q19">PRODUCT(1 + 真實IC!$C19:Q19) - 1</f>
        <v>4.3161578262551554</v>
      </c>
      <c r="R19" s="11" cm="1">
        <f t="array" ref="R19">PRODUCT(1 + 真實IC!$C19:R19) - 1</f>
        <v>3.8361136088942054</v>
      </c>
      <c r="S19" s="11" cm="1">
        <f t="array" ref="S19">PRODUCT(1 + 真實IC!$C19:S19) - 1</f>
        <v>4.7267328554710524</v>
      </c>
      <c r="T19" s="11" cm="1">
        <f t="array" ref="T19">PRODUCT(1 + 真實IC!$C19:T19) - 1</f>
        <v>5.021457542617294</v>
      </c>
      <c r="U19" s="11" cm="1">
        <f t="array" ref="U19">PRODUCT(1 + 真實IC!$C19:U19) - 1</f>
        <v>5.8385593272931242</v>
      </c>
      <c r="V19" s="11" cm="1">
        <f t="array" ref="V19">PRODUCT(1 + 真實IC!$C19:V19) - 1</f>
        <v>6.0889783962015569</v>
      </c>
      <c r="W19" s="11" cm="1">
        <f t="array" ref="W19">PRODUCT(1 + 真實IC!$C19:W19) - 1</f>
        <v>6.6023308026561214</v>
      </c>
      <c r="X19" s="11" cm="1">
        <f t="array" ref="X19">PRODUCT(1 + 真實IC!$C19:X19) - 1</f>
        <v>7.7381180617584828</v>
      </c>
      <c r="Y19" s="11" cm="1">
        <f t="array" ref="Y19">PRODUCT(1 + 真實IC!$C19:Y19) - 1</f>
        <v>7.5141720012754369</v>
      </c>
      <c r="Z19" s="11" cm="1">
        <f t="array" ref="Z19">PRODUCT(1 + 真實IC!$C19:Z19) - 1</f>
        <v>8.2942328673235757</v>
      </c>
      <c r="AA19" s="11" cm="1">
        <f t="array" ref="AA19">PRODUCT(1 + 真實IC!$C19:AA19) - 1</f>
        <v>9.5195185346752975</v>
      </c>
      <c r="AB19" s="11" cm="1">
        <f t="array" ref="AB19">PRODUCT(1 + 真實IC!$C19:AB19) - 1</f>
        <v>10.595177237008816</v>
      </c>
      <c r="AC19" s="11" cm="1">
        <f t="array" ref="AC19">PRODUCT(1 + 真實IC!$C19:AC19) - 1</f>
        <v>10.759150931119876</v>
      </c>
      <c r="AD19" s="11" cm="1">
        <f t="array" ref="AD19">PRODUCT(1 + 真實IC!$C19:AD19) - 1</f>
        <v>11.887951549035371</v>
      </c>
      <c r="AE19" s="11" cm="1">
        <f t="array" ref="AE19">PRODUCT(1 + 真實IC!$C19:AE19) - 1</f>
        <v>15.863792555200977</v>
      </c>
      <c r="AF19" s="11" cm="1">
        <f t="array" ref="AF19">PRODUCT(1 + 真實IC!$C19:AF19) - 1</f>
        <v>18.710916445235529</v>
      </c>
      <c r="AG19" s="11" cm="1">
        <f t="array" ref="AG19">PRODUCT(1 + 真實IC!$C19:AG19) - 1</f>
        <v>19.147241609787947</v>
      </c>
      <c r="AH19" s="11" cm="1">
        <f t="array" ref="AH19">PRODUCT(1 + 真實IC!$C19:AH19) - 1</f>
        <v>18.007759656318704</v>
      </c>
      <c r="AI19" s="11" cm="1">
        <f t="array" ref="AI19">PRODUCT(1 + 真實IC!$C19:AI19) - 1</f>
        <v>19.747894638048251</v>
      </c>
      <c r="AJ19" s="11" cm="1">
        <f t="array" ref="AJ19">PRODUCT(1 + 真實IC!$C19:AJ19) - 1</f>
        <v>18.678438385250605</v>
      </c>
      <c r="AK19" s="11" cm="1">
        <f t="array" ref="AK19">PRODUCT(1 + 真實IC!$C19:AK19) - 1</f>
        <v>18.827050788386789</v>
      </c>
      <c r="AL19" s="11" cm="1">
        <f t="array" ref="AL19">PRODUCT(1 + 真實IC!$C19:AL19) - 1</f>
        <v>18.804522060408186</v>
      </c>
      <c r="AM19" s="11" cm="1">
        <f t="array" ref="AM19">PRODUCT(1 + 真實IC!$C19:AM19) - 1</f>
        <v>19.658216022263371</v>
      </c>
      <c r="AN19" s="11" cm="1">
        <f t="array" ref="AN19">PRODUCT(1 + 真實IC!$C19:AN19) - 1</f>
        <v>21.384587899881726</v>
      </c>
      <c r="AO19" s="11" cm="1">
        <f t="array" ref="AO19">PRODUCT(1 + 真實IC!$C19:AO19) - 1</f>
        <v>22.635665340954372</v>
      </c>
      <c r="AP19" s="11" cm="1">
        <f t="array" ref="AP19">PRODUCT(1 + 真實IC!$C19:AP19) - 1</f>
        <v>24.705537940251993</v>
      </c>
      <c r="AQ19" s="11" cm="1">
        <f t="array" ref="AQ19">PRODUCT(1 + 真實IC!$C19:AQ19) - 1</f>
        <v>23.293648612155057</v>
      </c>
      <c r="AR19" s="11" cm="1">
        <f t="array" ref="AR19">PRODUCT(1 + 真實IC!$C19:AR19) - 1</f>
        <v>21.48093192048951</v>
      </c>
      <c r="AS19" s="11" cm="1">
        <f t="array" ref="AS19">PRODUCT(1 + 真實IC!$C19:AS19) - 1</f>
        <v>19.026039422146553</v>
      </c>
      <c r="AT19" s="11" cm="1">
        <f t="array" ref="AT19">PRODUCT(1 + 真實IC!$C19:AT19) - 1</f>
        <v>22.722719410685244</v>
      </c>
      <c r="AU19" s="11" cm="1">
        <f t="array" ref="AU19">PRODUCT(1 + 真實IC!$C19:AU19) - 1</f>
        <v>28.388754261083875</v>
      </c>
      <c r="AV19" s="11" cm="1">
        <f t="array" ref="AV19">PRODUCT(1 + 真實IC!$C19:AV19) - 1</f>
        <v>28.299629642703021</v>
      </c>
      <c r="AW19" s="11" cm="1">
        <f t="array" ref="AW19">PRODUCT(1 + 真實IC!$C19:AW19) - 1</f>
        <v>32.304695553183087</v>
      </c>
      <c r="AX19" s="11" cm="1">
        <f t="array" ref="AX19">PRODUCT(1 + 真實IC!$C19:AX19) - 1</f>
        <v>39.769070321902028</v>
      </c>
      <c r="AY19" s="11" cm="1">
        <f t="array" ref="AY19">PRODUCT(1 + 真實IC!$C19:AY19) - 1</f>
        <v>40.972938992403094</v>
      </c>
      <c r="AZ19" s="11" cm="1">
        <f t="array" ref="AZ19">PRODUCT(1 + 真實IC!$C19:AZ19) - 1</f>
        <v>44.500028824525373</v>
      </c>
      <c r="BA19" s="11" cm="1">
        <f t="array" ref="BA19">PRODUCT(1 + 真實IC!$C19:BA19) - 1</f>
        <v>53.008387593361256</v>
      </c>
      <c r="BB19" s="11" cm="1">
        <f t="array" ref="BB19">PRODUCT(1 + 真實IC!$C19:BB19) - 1</f>
        <v>72.676132344009019</v>
      </c>
      <c r="BC19" s="11" cm="1">
        <f t="array" ref="BC19">PRODUCT(1 + 真實IC!$C19:BC19) - 1</f>
        <v>86.27466792728751</v>
      </c>
      <c r="BD19" s="11" cm="1">
        <f t="array" ref="BD19">PRODUCT(1 + 真實IC!$C19:BD19) - 1</f>
        <v>86.268235176141204</v>
      </c>
      <c r="BE19" s="11" cm="1">
        <f t="array" ref="BE19">PRODUCT(1 + 真實IC!$C19:BE19) - 1</f>
        <v>94.077059846456123</v>
      </c>
      <c r="BF19" s="11" cm="1">
        <f t="array" ref="BF19">PRODUCT(1 + 真實IC!$C19:BF19) - 1</f>
        <v>107.55988398129593</v>
      </c>
      <c r="BG19" s="11" cm="1">
        <f t="array" ref="BG19">PRODUCT(1 + 真實IC!$C19:BG19) - 1</f>
        <v>124.20306422160552</v>
      </c>
      <c r="BH19" s="11" cm="1">
        <f t="array" ref="BH19">PRODUCT(1 + 真實IC!$C19:BH19) - 1</f>
        <v>141.7937073606476</v>
      </c>
      <c r="BI19" s="11" cm="1">
        <f t="array" ref="BI19">PRODUCT(1 + 真實IC!$C19:BI19) - 1</f>
        <v>160.04254736535114</v>
      </c>
      <c r="BJ19" s="11" cm="1">
        <f t="array" ref="BJ19">PRODUCT(1 + 真實IC!$C19:BJ19) - 1</f>
        <v>168.38766079741492</v>
      </c>
      <c r="BK19" s="11" cm="1">
        <f t="array" ref="BK19">PRODUCT(1 + 真實IC!$C19:BK19) - 1</f>
        <v>151.95054932722584</v>
      </c>
      <c r="BL19" s="11" cm="1">
        <f t="array" ref="BL19">PRODUCT(1 + 真實IC!$C19:BL19) - 1</f>
        <v>161.61159946183054</v>
      </c>
      <c r="BM19" s="11" cm="1">
        <f t="array" ref="BM19">PRODUCT(1 + 真實IC!$C19:BM19) - 1</f>
        <v>166.78041483311966</v>
      </c>
      <c r="BN19" s="11" cm="1">
        <f t="array" ref="BN19">PRODUCT(1 + 真實IC!$C19:BN19) - 1</f>
        <v>153.12086426381879</v>
      </c>
      <c r="BO19" s="11" cm="1">
        <f t="array" ref="BO19">PRODUCT(1 + 真實IC!$C19:BO19) - 1</f>
        <v>157.08623401060871</v>
      </c>
      <c r="BP19" s="11" cm="1">
        <f t="array" ref="BP19">PRODUCT(1 + 真實IC!$C19:BP19) - 1</f>
        <v>155.1243298952464</v>
      </c>
      <c r="BQ19" s="11" cm="1">
        <f t="array" ref="BQ19">PRODUCT(1 + 真實IC!$C19:BQ19) - 1</f>
        <v>156.67527592882718</v>
      </c>
      <c r="BR19" s="11" cm="1">
        <f t="array" ref="BR19">PRODUCT(1 + 真實IC!$C19:BR19) - 1</f>
        <v>178.25144015098243</v>
      </c>
      <c r="BS19" s="11" cm="1">
        <f t="array" ref="BS19">PRODUCT(1 + 真實IC!$C19:BS19) - 1</f>
        <v>177.62407231037173</v>
      </c>
      <c r="BT19" s="11" cm="1">
        <f t="array" ref="BT19">PRODUCT(1 + 真實IC!$C19:BT19) - 1</f>
        <v>175.2673653885914</v>
      </c>
      <c r="BU19" s="11" cm="1">
        <f t="array" ref="BU19">PRODUCT(1 + 真實IC!$C19:BU19) - 1</f>
        <v>198.30033393455091</v>
      </c>
      <c r="BV19" s="11" cm="1">
        <f t="array" ref="BV19">PRODUCT(1 + 真實IC!$C19:BV19) - 1</f>
        <v>204.34925690853231</v>
      </c>
      <c r="BW19" s="11" cm="1">
        <f t="array" ref="BW19">PRODUCT(1 + 真實IC!$C19:BW19) - 1</f>
        <v>267.48450339120501</v>
      </c>
      <c r="BX19" s="11" cm="1">
        <f t="array" ref="BX19">PRODUCT(1 + 真實IC!$C19:BX19) - 1</f>
        <v>257.71196560402103</v>
      </c>
      <c r="BY19" s="11" cm="1">
        <f t="array" ref="BY19">PRODUCT(1 + 真實IC!$C19:BY19) - 1</f>
        <v>237.04943591526106</v>
      </c>
      <c r="BZ19" s="11" cm="1">
        <f t="array" ref="BZ19">PRODUCT(1 + 真實IC!$C19:BZ19) - 1</f>
        <v>253.40393797533082</v>
      </c>
      <c r="CA19" s="11" cm="1">
        <f t="array" ref="CA19">PRODUCT(1 + 真實IC!$C19:CA19) - 1</f>
        <v>260.86528880017357</v>
      </c>
      <c r="CB19" s="11" cm="1">
        <f t="array" ref="CB19">PRODUCT(1 + 真實IC!$C19:CB19) - 1</f>
        <v>294.341678346077</v>
      </c>
      <c r="CC19" s="11" cm="1">
        <f t="array" ref="CC19">PRODUCT(1 + 真實IC!$C19:CC19) - 1</f>
        <v>300.98870694357288</v>
      </c>
      <c r="CD19" s="11" cm="1">
        <f t="array" ref="CD19">PRODUCT(1 + 真實IC!$C19:CD19) - 1</f>
        <v>366.10326976810484</v>
      </c>
      <c r="CE19" s="11" cm="1">
        <f t="array" ref="CE19">PRODUCT(1 + 真實IC!$C19:CE19) - 1</f>
        <v>398.58267977639451</v>
      </c>
      <c r="CF19" s="11" cm="1">
        <f t="array" ref="CF19">PRODUCT(1 + 真實IC!$C19:CF19) - 1</f>
        <v>430.51109293790518</v>
      </c>
      <c r="CG19" s="11" cm="1">
        <f t="array" ref="CG19">PRODUCT(1 + 真實IC!$C19:CG19) - 1</f>
        <v>455.1579816702631</v>
      </c>
      <c r="CH19" s="11" cm="1">
        <f t="array" ref="CH19">PRODUCT(1 + 真實IC!$C19:CH19) - 1</f>
        <v>524.89991484159236</v>
      </c>
      <c r="CI19" s="11" cm="1">
        <f t="array" ref="CI19">PRODUCT(1 + 真實IC!$C19:CI19) - 1</f>
        <v>544.39341867067685</v>
      </c>
      <c r="CJ19" s="11" cm="1">
        <f t="array" ref="CJ19">PRODUCT(1 + 真實IC!$C19:CJ19) - 1</f>
        <v>537.95127373443881</v>
      </c>
      <c r="CK19" s="11" cm="1">
        <f t="array" ref="CK19">PRODUCT(1 + 真實IC!$C19:CK19) - 1</f>
        <v>601.97720992145923</v>
      </c>
      <c r="CL19" s="11" cm="1">
        <f t="array" ref="CL19">PRODUCT(1 + 真實IC!$C19:CL19) - 1</f>
        <v>575.90430654603767</v>
      </c>
      <c r="CM19" s="11" cm="1">
        <f t="array" ref="CM19">PRODUCT(1 + 真實IC!$C19:CM19) - 1</f>
        <v>639.4998597255119</v>
      </c>
      <c r="CN19" s="11" cm="1">
        <f t="array" ref="CN19">PRODUCT(1 + 真實IC!$C19:CN19) - 1</f>
        <v>731.21509094489431</v>
      </c>
      <c r="CO19" s="11" cm="1">
        <f t="array" ref="CO19">PRODUCT(1 + 真實IC!$C19:CO19) - 1</f>
        <v>915.17361150747502</v>
      </c>
      <c r="CP19" s="11" cm="1">
        <f t="array" ref="CP19">PRODUCT(1 + 真實IC!$C19:CP19) - 1</f>
        <v>1060.8750820645387</v>
      </c>
      <c r="CQ19" s="11" cm="1">
        <f t="array" ref="CQ19">PRODUCT(1 + 真實IC!$C19:CQ19) - 1</f>
        <v>1095.2741085794842</v>
      </c>
      <c r="CR19" s="11" cm="1">
        <f t="array" ref="CR19">PRODUCT(1 + 真實IC!$C19:CR19) - 1</f>
        <v>1288.5546055390473</v>
      </c>
      <c r="CS19" s="11" cm="1">
        <f t="array" ref="CS19">PRODUCT(1 + 真實IC!$C19:CS19) - 1</f>
        <v>1358.5135226066645</v>
      </c>
      <c r="CT19" s="11" cm="1">
        <f t="array" ref="CT19">PRODUCT(1 + 真實IC!$C19:CT19) - 1</f>
        <v>1394.4335030415652</v>
      </c>
      <c r="CU19" s="11" cm="1">
        <f t="array" ref="CU19">PRODUCT(1 + 真實IC!$C19:CU19) - 1</f>
        <v>1599.0145807064953</v>
      </c>
      <c r="CV19" s="11" cm="1">
        <f t="array" ref="CV19">PRODUCT(1 + 真實IC!$C19:CV19) - 1</f>
        <v>1750.300772110359</v>
      </c>
      <c r="CW19" s="11" cm="1">
        <f t="array" ref="CW19">PRODUCT(1 + 真實IC!$C19:CW19) - 1</f>
        <v>1856.282276980256</v>
      </c>
      <c r="CX19" s="11" cm="1">
        <f t="array" ref="CX19">PRODUCT(1 + 真實IC!$C19:CX19) - 1</f>
        <v>1963.3262328024925</v>
      </c>
      <c r="CY19" s="11" cm="1">
        <f t="array" ref="CY19">PRODUCT(1 + 真實IC!$C19:CY19) - 1</f>
        <v>2107.0193236411078</v>
      </c>
      <c r="CZ19" s="11" cm="1">
        <f t="array" ref="CZ19">PRODUCT(1 + 真實IC!$C19:CZ19) - 1</f>
        <v>2344.9131591255486</v>
      </c>
      <c r="DA19" s="11" cm="1">
        <f t="array" ref="DA19">PRODUCT(1 + 真實IC!$C19:DA19) - 1</f>
        <v>2521.2847214987269</v>
      </c>
      <c r="DB19" s="11" cm="1">
        <f t="array" ref="DB19">PRODUCT(1 + 真實IC!$C19:DB19) - 1</f>
        <v>2894.4866269704657</v>
      </c>
      <c r="DC19" s="11" cm="1">
        <f t="array" ref="DC19">PRODUCT(1 + 真實IC!$C19:DC19) - 1</f>
        <v>2792.6251450091063</v>
      </c>
      <c r="DD19" s="11" cm="1">
        <f t="array" ref="DD19">PRODUCT(1 + 真實IC!$C19:DD19) - 1</f>
        <v>2809.948764448347</v>
      </c>
      <c r="DE19" s="11" cm="1">
        <f t="array" ref="DE19">PRODUCT(1 + 真實IC!$C19:DE19) - 1</f>
        <v>2902.7618363290885</v>
      </c>
      <c r="DF19" s="11" cm="1">
        <f t="array" ref="DF19">PRODUCT(1 + 真實IC!$C19:DF19) - 1</f>
        <v>3499.4899624848154</v>
      </c>
      <c r="DG19" s="11" cm="1">
        <f t="array" ref="DG19">PRODUCT(1 + 真實IC!$C19:DG19) - 1</f>
        <v>3731.8324108651468</v>
      </c>
      <c r="DH19" s="11" cm="1">
        <f t="array" ref="DH19">PRODUCT(1 + 真實IC!$C19:DH19) - 1</f>
        <v>4570.1884234839481</v>
      </c>
      <c r="DI19" s="11" cm="1">
        <f t="array" ref="DI19">PRODUCT(1 + 真實IC!$C19:DI19) - 1</f>
        <v>5065.9860970798163</v>
      </c>
      <c r="DJ19" s="11" cm="1">
        <f t="array" ref="DJ19">PRODUCT(1 + 真實IC!$C19:DJ19) - 1</f>
        <v>5903.3079258313537</v>
      </c>
      <c r="DK19" s="11" cm="1">
        <f t="array" ref="DK19">PRODUCT(1 + 真實IC!$C19:DK19) - 1</f>
        <v>6620.3407164051732</v>
      </c>
      <c r="DL19" s="11" cm="1">
        <f t="array" ref="DL19">PRODUCT(1 + 真實IC!$C19:DL19) - 1</f>
        <v>6540.998608170119</v>
      </c>
      <c r="DM19" s="11" cm="1">
        <f t="array" ref="DM19">PRODUCT(1 + 真實IC!$C19:DM19) - 1</f>
        <v>6166.1392667614136</v>
      </c>
      <c r="DN19" s="11" cm="1">
        <f t="array" ref="DN19">PRODUCT(1 + 真實IC!$C19:DN19) - 1</f>
        <v>6181.4036956069285</v>
      </c>
      <c r="DO19" s="11" cm="1">
        <f t="array" ref="DO19">PRODUCT(1 + 真實IC!$C19:DO19) - 1</f>
        <v>7722.4417070314475</v>
      </c>
      <c r="DP19" s="11" cm="1">
        <f t="array" ref="DP19">PRODUCT(1 + 真實IC!$C19:DP19) - 1</f>
        <v>9037.4976889033478</v>
      </c>
      <c r="DQ19" s="11" cm="1">
        <f t="array" ref="DQ19">PRODUCT(1 + 真實IC!$C19:DQ19) - 1</f>
        <v>9763.9594553093102</v>
      </c>
      <c r="DR19" s="11" cm="1">
        <f t="array" ref="DR19">PRODUCT(1 + 真實IC!$C19:DR19) - 1</f>
        <v>10505.728755658287</v>
      </c>
      <c r="DS19" s="11" cm="1">
        <f t="array" ref="DS19">PRODUCT(1 + 真實IC!$C19:DS19) - 1</f>
        <v>10446.078762453417</v>
      </c>
      <c r="DT19" s="11" cm="1">
        <f t="array" ref="DT19">PRODUCT(1 + 真實IC!$C19:DT19) - 1</f>
        <v>10498.661485279799</v>
      </c>
      <c r="DU19" s="11" cm="1">
        <f t="array" ref="DU19">PRODUCT(1 + 真實IC!$C19:DU19) - 1</f>
        <v>12079.720691623903</v>
      </c>
      <c r="DV19" s="11" cm="1">
        <f t="array" ref="DV19">PRODUCT(1 + 真實IC!$C19:DV19) - 1</f>
        <v>13427.019520348194</v>
      </c>
      <c r="DW19" s="11" cm="1">
        <f t="array" ref="DW19">PRODUCT(1 + 真實IC!$C19:DW19) - 1</f>
        <v>12066.815271972939</v>
      </c>
      <c r="DX19" s="11" cm="1">
        <f t="array" ref="DX19">PRODUCT(1 + 真實IC!$C19:DX19) - 1</f>
        <v>13736.580152041006</v>
      </c>
      <c r="DY19" s="11" cm="1">
        <f t="array" ref="DY19">PRODUCT(1 + 真實IC!$C19:DY19) - 1</f>
        <v>15649.520036550219</v>
      </c>
      <c r="DZ19" s="11" cm="1">
        <f t="array" ref="DZ19">PRODUCT(1 + 真實IC!$C19:DZ19) - 1</f>
        <v>16878.679759446208</v>
      </c>
      <c r="EA19" s="11" cm="1">
        <f t="array" ref="EA19">PRODUCT(1 + 真實IC!$C19:EA19) - 1</f>
        <v>17434.354212266397</v>
      </c>
      <c r="EB19" s="11" cm="1">
        <f t="array" ref="EB19">PRODUCT(1 + 真實IC!$C19:EB19) - 1</f>
        <v>19330.51017463646</v>
      </c>
      <c r="EC19" s="11" cm="1">
        <f t="array" ref="EC19">PRODUCT(1 + 真實IC!$C19:EC19) - 1</f>
        <v>19094.858230028203</v>
      </c>
      <c r="ED19" s="11" cm="1">
        <f t="array" ref="ED19">PRODUCT(1 + 真實IC!$C19:ED19) - 1</f>
        <v>21977.097645176604</v>
      </c>
      <c r="EE19" s="11" cm="1">
        <f t="array" ref="EE19">PRODUCT(1 + 真實IC!$C19:EE19) - 1</f>
        <v>21816.514088419604</v>
      </c>
      <c r="EF19" s="11" cm="1">
        <f t="array" ref="EF19">PRODUCT(1 + 真實IC!$C19:EF19) - 1</f>
        <v>23431.510175240619</v>
      </c>
      <c r="EG19">
        <f t="shared" si="6"/>
        <v>357300.72004759283</v>
      </c>
      <c r="EH19" s="12">
        <f t="shared" si="7"/>
        <v>2491.5612677041208</v>
      </c>
    </row>
    <row r="20" spans="1:138" x14ac:dyDescent="0.3">
      <c r="A20" s="1">
        <v>5</v>
      </c>
      <c r="B20" s="1" t="s">
        <v>167</v>
      </c>
      <c r="C20" s="11" cm="1">
        <f t="array" ref="C20">PRODUCT(1 + 真實IC!$C20:C20) - 1</f>
        <v>0.20155104786391576</v>
      </c>
      <c r="D20" s="11" cm="1">
        <f t="array" ref="D20">PRODUCT(1 + 真實IC!$C20:D20) - 1</f>
        <v>0.66057361101204237</v>
      </c>
      <c r="E20" s="11" cm="1">
        <f t="array" ref="E20">PRODUCT(1 + 真實IC!$C20:E20) - 1</f>
        <v>0.75578484131643586</v>
      </c>
      <c r="F20" s="11" cm="1">
        <f t="array" ref="F20">PRODUCT(1 + 真實IC!$C20:F20) - 1</f>
        <v>0.39491616298364729</v>
      </c>
      <c r="G20" s="11" cm="1">
        <f t="array" ref="G20">PRODUCT(1 + 真實IC!$C20:G20) - 1</f>
        <v>0.55837682079678475</v>
      </c>
      <c r="H20" s="11" cm="1">
        <f t="array" ref="H20">PRODUCT(1 + 真實IC!$C20:H20) - 1</f>
        <v>0.78267755322840982</v>
      </c>
      <c r="I20" s="11" cm="1">
        <f t="array" ref="I20">PRODUCT(1 + 真實IC!$C20:I20) - 1</f>
        <v>1.064607228530285</v>
      </c>
      <c r="J20" s="11" cm="1">
        <f t="array" ref="J20">PRODUCT(1 + 真實IC!$C20:J20) - 1</f>
        <v>1.1357768384742903</v>
      </c>
      <c r="K20" s="11" cm="1">
        <f t="array" ref="K20">PRODUCT(1 + 真實IC!$C20:K20) - 1</f>
        <v>1.5943804602600946</v>
      </c>
      <c r="L20" s="11" cm="1">
        <f t="array" ref="L20">PRODUCT(1 + 真實IC!$C20:L20) - 1</f>
        <v>1.5147446989438067</v>
      </c>
      <c r="M20" s="11" cm="1">
        <f t="array" ref="M20">PRODUCT(1 + 真實IC!$C20:M20) - 1</f>
        <v>1.3193031963370219</v>
      </c>
      <c r="N20" s="11" cm="1">
        <f t="array" ref="N20">PRODUCT(1 + 真實IC!$C20:N20) - 1</f>
        <v>2.4789814154895935</v>
      </c>
      <c r="O20" s="11" cm="1">
        <f t="array" ref="O20">PRODUCT(1 + 真實IC!$C20:O20) - 1</f>
        <v>2.6524604274101038</v>
      </c>
      <c r="P20" s="11" cm="1">
        <f t="array" ref="P20">PRODUCT(1 + 真實IC!$C20:P20) - 1</f>
        <v>2.9854549803892336</v>
      </c>
      <c r="Q20" s="11" cm="1">
        <f t="array" ref="Q20">PRODUCT(1 + 真實IC!$C20:Q20) - 1</f>
        <v>3.8492056562771912</v>
      </c>
      <c r="R20" s="11" cm="1">
        <f t="array" ref="R20">PRODUCT(1 + 真實IC!$C20:R20) - 1</f>
        <v>3.3194151209144112</v>
      </c>
      <c r="S20" s="11" cm="1">
        <f t="array" ref="S20">PRODUCT(1 + 真實IC!$C20:S20) - 1</f>
        <v>3.9897132690223529</v>
      </c>
      <c r="T20" s="11" cm="1">
        <f t="array" ref="T20">PRODUCT(1 + 真實IC!$C20:T20) - 1</f>
        <v>4.4161613875603729</v>
      </c>
      <c r="U20" s="11" cm="1">
        <f t="array" ref="U20">PRODUCT(1 + 真實IC!$C20:U20) - 1</f>
        <v>5.2212720452874652</v>
      </c>
      <c r="V20" s="11" cm="1">
        <f t="array" ref="V20">PRODUCT(1 + 真實IC!$C20:V20) - 1</f>
        <v>5.2999344505481645</v>
      </c>
      <c r="W20" s="11" cm="1">
        <f t="array" ref="W20">PRODUCT(1 + 真實IC!$C20:W20) - 1</f>
        <v>5.8737631574099352</v>
      </c>
      <c r="X20" s="11" cm="1">
        <f t="array" ref="X20">PRODUCT(1 + 真實IC!$C20:X20) - 1</f>
        <v>7.3199095313782081</v>
      </c>
      <c r="Y20" s="11" cm="1">
        <f t="array" ref="Y20">PRODUCT(1 + 真實IC!$C20:Y20) - 1</f>
        <v>6.9699118242048792</v>
      </c>
      <c r="Z20" s="11" cm="1">
        <f t="array" ref="Z20">PRODUCT(1 + 真實IC!$C20:Z20) - 1</f>
        <v>7.8116696864001742</v>
      </c>
      <c r="AA20" s="11" cm="1">
        <f t="array" ref="AA20">PRODUCT(1 + 真實IC!$C20:AA20) - 1</f>
        <v>8.9614460290204629</v>
      </c>
      <c r="AB20" s="11" cm="1">
        <f t="array" ref="AB20">PRODUCT(1 + 真實IC!$C20:AB20) - 1</f>
        <v>9.8057766078426081</v>
      </c>
      <c r="AC20" s="11" cm="1">
        <f t="array" ref="AC20">PRODUCT(1 + 真實IC!$C20:AC20) - 1</f>
        <v>10.316330779989682</v>
      </c>
      <c r="AD20" s="11" cm="1">
        <f t="array" ref="AD20">PRODUCT(1 + 真實IC!$C20:AD20) - 1</f>
        <v>11.785681855758211</v>
      </c>
      <c r="AE20" s="11" cm="1">
        <f t="array" ref="AE20">PRODUCT(1 + 真實IC!$C20:AE20) - 1</f>
        <v>13.847004918844751</v>
      </c>
      <c r="AF20" s="11" cm="1">
        <f t="array" ref="AF20">PRODUCT(1 + 真實IC!$C20:AF20) - 1</f>
        <v>17.165278146337052</v>
      </c>
      <c r="AG20" s="11" cm="1">
        <f t="array" ref="AG20">PRODUCT(1 + 真實IC!$C20:AG20) - 1</f>
        <v>17.667715544424517</v>
      </c>
      <c r="AH20" s="11" cm="1">
        <f t="array" ref="AH20">PRODUCT(1 + 真實IC!$C20:AH20) - 1</f>
        <v>15.984294545172936</v>
      </c>
      <c r="AI20" s="11" cm="1">
        <f t="array" ref="AI20">PRODUCT(1 + 真實IC!$C20:AI20) - 1</f>
        <v>17.96019225946219</v>
      </c>
      <c r="AJ20" s="11" cm="1">
        <f t="array" ref="AJ20">PRODUCT(1 + 真實IC!$C20:AJ20) - 1</f>
        <v>16.784849286269985</v>
      </c>
      <c r="AK20" s="11" cm="1">
        <f t="array" ref="AK20">PRODUCT(1 + 真實IC!$C20:AK20) - 1</f>
        <v>16.543062206144139</v>
      </c>
      <c r="AL20" s="11" cm="1">
        <f t="array" ref="AL20">PRODUCT(1 + 真實IC!$C20:AL20) - 1</f>
        <v>16.444529380491449</v>
      </c>
      <c r="AM20" s="11" cm="1">
        <f t="array" ref="AM20">PRODUCT(1 + 真實IC!$C20:AM20) - 1</f>
        <v>17.021873189040118</v>
      </c>
      <c r="AN20" s="11" cm="1">
        <f t="array" ref="AN20">PRODUCT(1 + 真實IC!$C20:AN20) - 1</f>
        <v>18.381987446191822</v>
      </c>
      <c r="AO20" s="11" cm="1">
        <f t="array" ref="AO20">PRODUCT(1 + 真實IC!$C20:AO20) - 1</f>
        <v>19.333803796396555</v>
      </c>
      <c r="AP20" s="11" cm="1">
        <f t="array" ref="AP20">PRODUCT(1 + 真實IC!$C20:AP20) - 1</f>
        <v>22.012385149572427</v>
      </c>
      <c r="AQ20" s="11" cm="1">
        <f t="array" ref="AQ20">PRODUCT(1 + 真實IC!$C20:AQ20) - 1</f>
        <v>23.690005197442407</v>
      </c>
      <c r="AR20" s="11" cm="1">
        <f t="array" ref="AR20">PRODUCT(1 + 真實IC!$C20:AR20) - 1</f>
        <v>23.361892975784169</v>
      </c>
      <c r="AS20" s="11" cm="1">
        <f t="array" ref="AS20">PRODUCT(1 + 真實IC!$C20:AS20) - 1</f>
        <v>22.331586705892008</v>
      </c>
      <c r="AT20" s="11" cm="1">
        <f t="array" ref="AT20">PRODUCT(1 + 真實IC!$C20:AT20) - 1</f>
        <v>27.910723152844493</v>
      </c>
      <c r="AU20" s="11" cm="1">
        <f t="array" ref="AU20">PRODUCT(1 + 真實IC!$C20:AU20) - 1</f>
        <v>36.054812359842686</v>
      </c>
      <c r="AV20" s="11" cm="1">
        <f t="array" ref="AV20">PRODUCT(1 + 真實IC!$C20:AV20) - 1</f>
        <v>34.859920173788666</v>
      </c>
      <c r="AW20" s="11" cm="1">
        <f t="array" ref="AW20">PRODUCT(1 + 真實IC!$C20:AW20) - 1</f>
        <v>42.928324783374912</v>
      </c>
      <c r="AX20" s="11" cm="1">
        <f t="array" ref="AX20">PRODUCT(1 + 真實IC!$C20:AX20) - 1</f>
        <v>51.904604403783296</v>
      </c>
      <c r="AY20" s="11" cm="1">
        <f t="array" ref="AY20">PRODUCT(1 + 真實IC!$C20:AY20) - 1</f>
        <v>53.95067402534103</v>
      </c>
      <c r="AZ20" s="11" cm="1">
        <f t="array" ref="AZ20">PRODUCT(1 + 真實IC!$C20:AZ20) - 1</f>
        <v>59.434987760784757</v>
      </c>
      <c r="BA20" s="11" cm="1">
        <f t="array" ref="BA20">PRODUCT(1 + 真實IC!$C20:BA20) - 1</f>
        <v>68.581081349479604</v>
      </c>
      <c r="BB20" s="11" cm="1">
        <f t="array" ref="BB20">PRODUCT(1 + 真實IC!$C20:BB20) - 1</f>
        <v>94.913817904538149</v>
      </c>
      <c r="BC20" s="11" cm="1">
        <f t="array" ref="BC20">PRODUCT(1 + 真實IC!$C20:BC20) - 1</f>
        <v>117.94662687704155</v>
      </c>
      <c r="BD20" s="11" cm="1">
        <f t="array" ref="BD20">PRODUCT(1 + 真實IC!$C20:BD20) - 1</f>
        <v>118.94104129909636</v>
      </c>
      <c r="BE20" s="11" cm="1">
        <f t="array" ref="BE20">PRODUCT(1 + 真實IC!$C20:BE20) - 1</f>
        <v>130.72865190191777</v>
      </c>
      <c r="BF20" s="11" cm="1">
        <f t="array" ref="BF20">PRODUCT(1 + 真實IC!$C20:BF20) - 1</f>
        <v>148.90342038719874</v>
      </c>
      <c r="BG20" s="11" cm="1">
        <f t="array" ref="BG20">PRODUCT(1 + 真實IC!$C20:BG20) - 1</f>
        <v>163.00364425153984</v>
      </c>
      <c r="BH20" s="11" cm="1">
        <f t="array" ref="BH20">PRODUCT(1 + 真實IC!$C20:BH20) - 1</f>
        <v>187.61358839049501</v>
      </c>
      <c r="BI20" s="11" cm="1">
        <f t="array" ref="BI20">PRODUCT(1 + 真實IC!$C20:BI20) - 1</f>
        <v>212.462535968894</v>
      </c>
      <c r="BJ20" s="11" cm="1">
        <f t="array" ref="BJ20">PRODUCT(1 + 真實IC!$C20:BJ20) - 1</f>
        <v>224.23625865789418</v>
      </c>
      <c r="BK20" s="11" cm="1">
        <f t="array" ref="BK20">PRODUCT(1 + 真實IC!$C20:BK20) - 1</f>
        <v>197.73712894767911</v>
      </c>
      <c r="BL20" s="11" cm="1">
        <f t="array" ref="BL20">PRODUCT(1 + 真實IC!$C20:BL20) - 1</f>
        <v>211.62079386816944</v>
      </c>
      <c r="BM20" s="11" cm="1">
        <f t="array" ref="BM20">PRODUCT(1 + 真實IC!$C20:BM20) - 1</f>
        <v>221.71359496425734</v>
      </c>
      <c r="BN20" s="11" cm="1">
        <f t="array" ref="BN20">PRODUCT(1 + 真實IC!$C20:BN20) - 1</f>
        <v>225.86453701685181</v>
      </c>
      <c r="BO20" s="11" cm="1">
        <f t="array" ref="BO20">PRODUCT(1 + 真實IC!$C20:BO20) - 1</f>
        <v>217.13893727971626</v>
      </c>
      <c r="BP20" s="11" cm="1">
        <f t="array" ref="BP20">PRODUCT(1 + 真實IC!$C20:BP20) - 1</f>
        <v>218.72747901175376</v>
      </c>
      <c r="BQ20" s="11" cm="1">
        <f t="array" ref="BQ20">PRODUCT(1 + 真實IC!$C20:BQ20) - 1</f>
        <v>222.12264362868817</v>
      </c>
      <c r="BR20" s="11" cm="1">
        <f t="array" ref="BR20">PRODUCT(1 + 真實IC!$C20:BR20) - 1</f>
        <v>262.53619687939408</v>
      </c>
      <c r="BS20" s="11" cm="1">
        <f t="array" ref="BS20">PRODUCT(1 + 真實IC!$C20:BS20) - 1</f>
        <v>253.9617310700695</v>
      </c>
      <c r="BT20" s="11" cm="1">
        <f t="array" ref="BT20">PRODUCT(1 + 真實IC!$C20:BT20) - 1</f>
        <v>240.58449501298253</v>
      </c>
      <c r="BU20" s="11" cm="1">
        <f t="array" ref="BU20">PRODUCT(1 + 真實IC!$C20:BU20) - 1</f>
        <v>276.68712450950477</v>
      </c>
      <c r="BV20" s="11" cm="1">
        <f t="array" ref="BV20">PRODUCT(1 + 真實IC!$C20:BV20) - 1</f>
        <v>254.04356064439577</v>
      </c>
      <c r="BW20" s="11" cm="1">
        <f t="array" ref="BW20">PRODUCT(1 + 真實IC!$C20:BW20) - 1</f>
        <v>343.77542182865659</v>
      </c>
      <c r="BX20" s="11" cm="1">
        <f t="array" ref="BX20">PRODUCT(1 + 真實IC!$C20:BX20) - 1</f>
        <v>325.55010285305218</v>
      </c>
      <c r="BY20" s="11" cm="1">
        <f t="array" ref="BY20">PRODUCT(1 + 真實IC!$C20:BY20) - 1</f>
        <v>324.03511964555565</v>
      </c>
      <c r="BZ20" s="11" cm="1">
        <f t="array" ref="BZ20">PRODUCT(1 + 真實IC!$C20:BZ20) - 1</f>
        <v>353.37649632986927</v>
      </c>
      <c r="CA20" s="11" cm="1">
        <f t="array" ref="CA20">PRODUCT(1 + 真實IC!$C20:CA20) - 1</f>
        <v>367.58796059011905</v>
      </c>
      <c r="CB20" s="11" cm="1">
        <f t="array" ref="CB20">PRODUCT(1 + 真實IC!$C20:CB20) - 1</f>
        <v>414.21251153524418</v>
      </c>
      <c r="CC20" s="11" cm="1">
        <f t="array" ref="CC20">PRODUCT(1 + 真實IC!$C20:CC20) - 1</f>
        <v>419.5750423564661</v>
      </c>
      <c r="CD20" s="11" cm="1">
        <f t="array" ref="CD20">PRODUCT(1 + 真實IC!$C20:CD20) - 1</f>
        <v>495.71068978125896</v>
      </c>
      <c r="CE20" s="11" cm="1">
        <f t="array" ref="CE20">PRODUCT(1 + 真實IC!$C20:CE20) - 1</f>
        <v>538.31762506279301</v>
      </c>
      <c r="CF20" s="11" cm="1">
        <f t="array" ref="CF20">PRODUCT(1 + 真實IC!$C20:CF20) - 1</f>
        <v>581.97966748276599</v>
      </c>
      <c r="CG20" s="11" cm="1">
        <f t="array" ref="CG20">PRODUCT(1 + 真實IC!$C20:CG20) - 1</f>
        <v>626.26877316976879</v>
      </c>
      <c r="CH20" s="11" cm="1">
        <f t="array" ref="CH20">PRODUCT(1 + 真實IC!$C20:CH20) - 1</f>
        <v>671.34683234112663</v>
      </c>
      <c r="CI20" s="11" cm="1">
        <f t="array" ref="CI20">PRODUCT(1 + 真實IC!$C20:CI20) - 1</f>
        <v>691.78259496981082</v>
      </c>
      <c r="CJ20" s="11" cm="1">
        <f t="array" ref="CJ20">PRODUCT(1 + 真實IC!$C20:CJ20) - 1</f>
        <v>663.02519999404342</v>
      </c>
      <c r="CK20" s="11" cm="1">
        <f t="array" ref="CK20">PRODUCT(1 + 真實IC!$C20:CK20) - 1</f>
        <v>716.53874114865948</v>
      </c>
      <c r="CL20" s="11" cm="1">
        <f t="array" ref="CL20">PRODUCT(1 + 真實IC!$C20:CL20) - 1</f>
        <v>650.39247951771983</v>
      </c>
      <c r="CM20" s="11" cm="1">
        <f t="array" ref="CM20">PRODUCT(1 + 真實IC!$C20:CM20) - 1</f>
        <v>713.43151164718029</v>
      </c>
      <c r="CN20" s="11" cm="1">
        <f t="array" ref="CN20">PRODUCT(1 + 真實IC!$C20:CN20) - 1</f>
        <v>859.81269407955574</v>
      </c>
      <c r="CO20" s="11" cm="1">
        <f t="array" ref="CO20">PRODUCT(1 + 真實IC!$C20:CO20) - 1</f>
        <v>1115.1067598390939</v>
      </c>
      <c r="CP20" s="11" cm="1">
        <f t="array" ref="CP20">PRODUCT(1 + 真實IC!$C20:CP20) - 1</f>
        <v>1329.4340859613269</v>
      </c>
      <c r="CQ20" s="11" cm="1">
        <f t="array" ref="CQ20">PRODUCT(1 + 真實IC!$C20:CQ20) - 1</f>
        <v>1360.1911214296215</v>
      </c>
      <c r="CR20" s="11" cm="1">
        <f t="array" ref="CR20">PRODUCT(1 + 真實IC!$C20:CR20) - 1</f>
        <v>1626.2850793845348</v>
      </c>
      <c r="CS20" s="11" cm="1">
        <f t="array" ref="CS20">PRODUCT(1 + 真實IC!$C20:CS20) - 1</f>
        <v>1784.3548308095994</v>
      </c>
      <c r="CT20" s="11" cm="1">
        <f t="array" ref="CT20">PRODUCT(1 + 真實IC!$C20:CT20) - 1</f>
        <v>1835.0846303196897</v>
      </c>
      <c r="CU20" s="11" cm="1">
        <f t="array" ref="CU20">PRODUCT(1 + 真實IC!$C20:CU20) - 1</f>
        <v>2104.4896726135116</v>
      </c>
      <c r="CV20" s="11" cm="1">
        <f t="array" ref="CV20">PRODUCT(1 + 真實IC!$C20:CV20) - 1</f>
        <v>2355.4937883949424</v>
      </c>
      <c r="CW20" s="11" cm="1">
        <f t="array" ref="CW20">PRODUCT(1 + 真實IC!$C20:CW20) - 1</f>
        <v>2515.5084549179487</v>
      </c>
      <c r="CX20" s="11" cm="1">
        <f t="array" ref="CX20">PRODUCT(1 + 真實IC!$C20:CX20) - 1</f>
        <v>2742.7455216435164</v>
      </c>
      <c r="CY20" s="11" cm="1">
        <f t="array" ref="CY20">PRODUCT(1 + 真實IC!$C20:CY20) - 1</f>
        <v>3041.08076006479</v>
      </c>
      <c r="CZ20" s="11" cm="1">
        <f t="array" ref="CZ20">PRODUCT(1 + 真實IC!$C20:CZ20) - 1</f>
        <v>3513.0950154731668</v>
      </c>
      <c r="DA20" s="11" cm="1">
        <f t="array" ref="DA20">PRODUCT(1 + 真實IC!$C20:DA20) - 1</f>
        <v>3783.9674214676197</v>
      </c>
      <c r="DB20" s="11" cm="1">
        <f t="array" ref="DB20">PRODUCT(1 + 真實IC!$C20:DB20) - 1</f>
        <v>4075.2890580432836</v>
      </c>
      <c r="DC20" s="11" cm="1">
        <f t="array" ref="DC20">PRODUCT(1 + 真實IC!$C20:DC20) - 1</f>
        <v>3873.051846782444</v>
      </c>
      <c r="DD20" s="11" cm="1">
        <f t="array" ref="DD20">PRODUCT(1 + 真實IC!$C20:DD20) - 1</f>
        <v>3886.987527033325</v>
      </c>
      <c r="DE20" s="11" cm="1">
        <f t="array" ref="DE20">PRODUCT(1 + 真實IC!$C20:DE20) - 1</f>
        <v>3927.4953866884011</v>
      </c>
      <c r="DF20" s="11" cm="1">
        <f t="array" ref="DF20">PRODUCT(1 + 真實IC!$C20:DF20) - 1</f>
        <v>4892.232519211062</v>
      </c>
      <c r="DG20" s="11" cm="1">
        <f t="array" ref="DG20">PRODUCT(1 + 真實IC!$C20:DG20) - 1</f>
        <v>5148.3678618617678</v>
      </c>
      <c r="DH20" s="11" cm="1">
        <f t="array" ref="DH20">PRODUCT(1 + 真實IC!$C20:DH20) - 1</f>
        <v>6581.4310323629061</v>
      </c>
      <c r="DI20" s="11" cm="1">
        <f t="array" ref="DI20">PRODUCT(1 + 真實IC!$C20:DI20) - 1</f>
        <v>7487.1456283841844</v>
      </c>
      <c r="DJ20" s="11" cm="1">
        <f t="array" ref="DJ20">PRODUCT(1 + 真實IC!$C20:DJ20) - 1</f>
        <v>8509.7125112545709</v>
      </c>
      <c r="DK20" s="11" cm="1">
        <f t="array" ref="DK20">PRODUCT(1 + 真實IC!$C20:DK20) - 1</f>
        <v>9234.7191739100708</v>
      </c>
      <c r="DL20" s="11" cm="1">
        <f t="array" ref="DL20">PRODUCT(1 + 真實IC!$C20:DL20) - 1</f>
        <v>9054.9424521854417</v>
      </c>
      <c r="DM20" s="11" cm="1">
        <f t="array" ref="DM20">PRODUCT(1 + 真實IC!$C20:DM20) - 1</f>
        <v>8427.0386602769922</v>
      </c>
      <c r="DN20" s="11" cm="1">
        <f t="array" ref="DN20">PRODUCT(1 + 真實IC!$C20:DN20) - 1</f>
        <v>8916.0267769971833</v>
      </c>
      <c r="DO20" s="11" cm="1">
        <f t="array" ref="DO20">PRODUCT(1 + 真實IC!$C20:DO20) - 1</f>
        <v>11216.631843462972</v>
      </c>
      <c r="DP20" s="11" cm="1">
        <f t="array" ref="DP20">PRODUCT(1 + 真實IC!$C20:DP20) - 1</f>
        <v>13461.901822005984</v>
      </c>
      <c r="DQ20" s="11" cm="1">
        <f t="array" ref="DQ20">PRODUCT(1 + 真實IC!$C20:DQ20) - 1</f>
        <v>14235.482605893952</v>
      </c>
      <c r="DR20" s="11" cm="1">
        <f t="array" ref="DR20">PRODUCT(1 + 真實IC!$C20:DR20) - 1</f>
        <v>15353.226724729177</v>
      </c>
      <c r="DS20" s="11" cm="1">
        <f t="array" ref="DS20">PRODUCT(1 + 真實IC!$C20:DS20) - 1</f>
        <v>15238.212883799994</v>
      </c>
      <c r="DT20" s="11" cm="1">
        <f t="array" ref="DT20">PRODUCT(1 + 真實IC!$C20:DT20) - 1</f>
        <v>14785.831686316706</v>
      </c>
      <c r="DU20" s="11" cm="1">
        <f t="array" ref="DU20">PRODUCT(1 + 真實IC!$C20:DU20) - 1</f>
        <v>17393.861622936154</v>
      </c>
      <c r="DV20" s="11" cm="1">
        <f t="array" ref="DV20">PRODUCT(1 + 真實IC!$C20:DV20) - 1</f>
        <v>19643.808207126487</v>
      </c>
      <c r="DW20" s="11" cm="1">
        <f t="array" ref="DW20">PRODUCT(1 + 真實IC!$C20:DW20) - 1</f>
        <v>17609.663593437141</v>
      </c>
      <c r="DX20" s="11" cm="1">
        <f t="array" ref="DX20">PRODUCT(1 + 真實IC!$C20:DX20) - 1</f>
        <v>20319.351762490867</v>
      </c>
      <c r="DY20" s="11" cm="1">
        <f t="array" ref="DY20">PRODUCT(1 + 真實IC!$C20:DY20) - 1</f>
        <v>22790.132955801084</v>
      </c>
      <c r="DZ20" s="11" cm="1">
        <f t="array" ref="DZ20">PRODUCT(1 + 真實IC!$C20:DZ20) - 1</f>
        <v>24845.885083976482</v>
      </c>
      <c r="EA20" s="11" cm="1">
        <f t="array" ref="EA20">PRODUCT(1 + 真實IC!$C20:EA20) - 1</f>
        <v>24698.65239977825</v>
      </c>
      <c r="EB20" s="11" cm="1">
        <f t="array" ref="EB20">PRODUCT(1 + 真實IC!$C20:EB20) - 1</f>
        <v>26734.08017341443</v>
      </c>
      <c r="EC20" s="11" cm="1">
        <f t="array" ref="EC20">PRODUCT(1 + 真實IC!$C20:EC20) - 1</f>
        <v>27644.398462387369</v>
      </c>
      <c r="ED20" s="11" cm="1">
        <f t="array" ref="ED20">PRODUCT(1 + 真實IC!$C20:ED20) - 1</f>
        <v>32535.390872096621</v>
      </c>
      <c r="EE20" s="11" cm="1">
        <f t="array" ref="EE20">PRODUCT(1 + 真實IC!$C20:EE20) - 1</f>
        <v>32478.745674389877</v>
      </c>
      <c r="EF20" s="11" cm="1">
        <f t="array" ref="EF20">PRODUCT(1 + 真實IC!$C20:EF20) - 1</f>
        <v>35265.607268630345</v>
      </c>
      <c r="EG20">
        <f t="shared" si="6"/>
        <v>514097.54586223199</v>
      </c>
      <c r="EH20" s="12">
        <f t="shared" si="7"/>
        <v>3573.372676071654</v>
      </c>
    </row>
    <row r="21" spans="1:138" x14ac:dyDescent="0.3">
      <c r="A21" s="1">
        <v>4</v>
      </c>
      <c r="B21" s="1" t="s">
        <v>168</v>
      </c>
      <c r="C21" s="11" cm="1">
        <f t="array" ref="C21">PRODUCT(1 + 真實IC!$C21:C21) - 1</f>
        <v>0.2146295798069533</v>
      </c>
      <c r="D21" s="11" cm="1">
        <f t="array" ref="D21">PRODUCT(1 + 真實IC!$C21:D21) - 1</f>
        <v>0.36814408204211646</v>
      </c>
      <c r="E21" s="11" cm="1">
        <f t="array" ref="E21">PRODUCT(1 + 真實IC!$C21:E21) - 1</f>
        <v>0.3494139565834633</v>
      </c>
      <c r="F21" s="11" cm="1">
        <f t="array" ref="F21">PRODUCT(1 + 真實IC!$C21:F21) - 1</f>
        <v>0.10106972601432695</v>
      </c>
      <c r="G21" s="11" cm="1">
        <f t="array" ref="G21">PRODUCT(1 + 真實IC!$C21:G21) - 1</f>
        <v>0.25944996392914965</v>
      </c>
      <c r="H21" s="11" cm="1">
        <f t="array" ref="H21">PRODUCT(1 + 真實IC!$C21:H21) - 1</f>
        <v>0.46368751845170242</v>
      </c>
      <c r="I21" s="11" cm="1">
        <f t="array" ref="I21">PRODUCT(1 + 真實IC!$C21:I21) - 1</f>
        <v>0.67922371408989957</v>
      </c>
      <c r="J21" s="11" cm="1">
        <f t="array" ref="J21">PRODUCT(1 + 真實IC!$C21:J21) - 1</f>
        <v>0.78070814616005202</v>
      </c>
      <c r="K21" s="11" cm="1">
        <f t="array" ref="K21">PRODUCT(1 + 真實IC!$C21:K21) - 1</f>
        <v>1.1491010937421016</v>
      </c>
      <c r="L21" s="11" cm="1">
        <f t="array" ref="L21">PRODUCT(1 + 真實IC!$C21:L21) - 1</f>
        <v>1.1599092526127532</v>
      </c>
      <c r="M21" s="11" cm="1">
        <f t="array" ref="M21">PRODUCT(1 + 真實IC!$C21:M21) - 1</f>
        <v>0.94459957696741759</v>
      </c>
      <c r="N21" s="11" cm="1">
        <f t="array" ref="N21">PRODUCT(1 + 真實IC!$C21:N21) - 1</f>
        <v>2.0819788827208177</v>
      </c>
      <c r="O21" s="11" cm="1">
        <f t="array" ref="O21">PRODUCT(1 + 真實IC!$C21:O21) - 1</f>
        <v>2.1878509888181146</v>
      </c>
      <c r="P21" s="11" cm="1">
        <f t="array" ref="P21">PRODUCT(1 + 真實IC!$C21:P21) - 1</f>
        <v>2.6493644677180663</v>
      </c>
      <c r="Q21" s="11" cm="1">
        <f t="array" ref="Q21">PRODUCT(1 + 真實IC!$C21:Q21) - 1</f>
        <v>3.5883827093035334</v>
      </c>
      <c r="R21" s="11" cm="1">
        <f t="array" ref="R21">PRODUCT(1 + 真實IC!$C21:R21) - 1</f>
        <v>3.1498466043855657</v>
      </c>
      <c r="S21" s="11" cm="1">
        <f t="array" ref="S21">PRODUCT(1 + 真實IC!$C21:S21) - 1</f>
        <v>3.6834765638170408</v>
      </c>
      <c r="T21" s="11" cm="1">
        <f t="array" ref="T21">PRODUCT(1 + 真實IC!$C21:T21) - 1</f>
        <v>4.1446195006077247</v>
      </c>
      <c r="U21" s="11" cm="1">
        <f t="array" ref="U21">PRODUCT(1 + 真實IC!$C21:U21) - 1</f>
        <v>4.588489130334751</v>
      </c>
      <c r="V21" s="11" cm="1">
        <f t="array" ref="V21">PRODUCT(1 + 真實IC!$C21:V21) - 1</f>
        <v>4.8877953040084225</v>
      </c>
      <c r="W21" s="11" cm="1">
        <f t="array" ref="W21">PRODUCT(1 + 真實IC!$C21:W21) - 1</f>
        <v>5.6208176873024467</v>
      </c>
      <c r="X21" s="11" cm="1">
        <f t="array" ref="X21">PRODUCT(1 + 真實IC!$C21:X21) - 1</f>
        <v>7.0352292080091683</v>
      </c>
      <c r="Y21" s="11" cm="1">
        <f t="array" ref="Y21">PRODUCT(1 + 真實IC!$C21:Y21) - 1</f>
        <v>6.8678306118590005</v>
      </c>
      <c r="Z21" s="11" cm="1">
        <f t="array" ref="Z21">PRODUCT(1 + 真實IC!$C21:Z21) - 1</f>
        <v>7.7663682385263062</v>
      </c>
      <c r="AA21" s="11" cm="1">
        <f t="array" ref="AA21">PRODUCT(1 + 真實IC!$C21:AA21) - 1</f>
        <v>8.7362433397133863</v>
      </c>
      <c r="AB21" s="11" cm="1">
        <f t="array" ref="AB21">PRODUCT(1 + 真實IC!$C21:AB21) - 1</f>
        <v>10.000393109058024</v>
      </c>
      <c r="AC21" s="11" cm="1">
        <f t="array" ref="AC21">PRODUCT(1 + 真實IC!$C21:AC21) - 1</f>
        <v>10.207505614186667</v>
      </c>
      <c r="AD21" s="11" cm="1">
        <f t="array" ref="AD21">PRODUCT(1 + 真實IC!$C21:AD21) - 1</f>
        <v>11.651308777677391</v>
      </c>
      <c r="AE21" s="11" cm="1">
        <f t="array" ref="AE21">PRODUCT(1 + 真實IC!$C21:AE21) - 1</f>
        <v>13.272004420386512</v>
      </c>
      <c r="AF21" s="11" cm="1">
        <f t="array" ref="AF21">PRODUCT(1 + 真實IC!$C21:AF21) - 1</f>
        <v>17.484304576403972</v>
      </c>
      <c r="AG21" s="11" cm="1">
        <f t="array" ref="AG21">PRODUCT(1 + 真實IC!$C21:AG21) - 1</f>
        <v>18.303210614651267</v>
      </c>
      <c r="AH21" s="11" cm="1">
        <f t="array" ref="AH21">PRODUCT(1 + 真實IC!$C21:AH21) - 1</f>
        <v>16.226544914851804</v>
      </c>
      <c r="AI21" s="11" cm="1">
        <f t="array" ref="AI21">PRODUCT(1 + 真實IC!$C21:AI21) - 1</f>
        <v>17.985782997920133</v>
      </c>
      <c r="AJ21" s="11" cm="1">
        <f t="array" ref="AJ21">PRODUCT(1 + 真實IC!$C21:AJ21) - 1</f>
        <v>16.649082453830115</v>
      </c>
      <c r="AK21" s="11" cm="1">
        <f t="array" ref="AK21">PRODUCT(1 + 真實IC!$C21:AK21) - 1</f>
        <v>16.017189396429789</v>
      </c>
      <c r="AL21" s="11" cm="1">
        <f t="array" ref="AL21">PRODUCT(1 + 真實IC!$C21:AL21) - 1</f>
        <v>16.353803247193252</v>
      </c>
      <c r="AM21" s="11" cm="1">
        <f t="array" ref="AM21">PRODUCT(1 + 真實IC!$C21:AM21) - 1</f>
        <v>17.543160165026954</v>
      </c>
      <c r="AN21" s="11" cm="1">
        <f t="array" ref="AN21">PRODUCT(1 + 真實IC!$C21:AN21) - 1</f>
        <v>19.619179244049651</v>
      </c>
      <c r="AO21" s="11" cm="1">
        <f t="array" ref="AO21">PRODUCT(1 + 真實IC!$C21:AO21) - 1</f>
        <v>21.383516532513585</v>
      </c>
      <c r="AP21" s="11" cm="1">
        <f t="array" ref="AP21">PRODUCT(1 + 真實IC!$C21:AP21) - 1</f>
        <v>23.007108117801359</v>
      </c>
      <c r="AQ21" s="11" cm="1">
        <f t="array" ref="AQ21">PRODUCT(1 + 真實IC!$C21:AQ21) - 1</f>
        <v>26.205490152190045</v>
      </c>
      <c r="AR21" s="11" cm="1">
        <f t="array" ref="AR21">PRODUCT(1 + 真實IC!$C21:AR21) - 1</f>
        <v>27.511031060559702</v>
      </c>
      <c r="AS21" s="11" cm="1">
        <f t="array" ref="AS21">PRODUCT(1 + 真實IC!$C21:AS21) - 1</f>
        <v>26.216439737989852</v>
      </c>
      <c r="AT21" s="11" cm="1">
        <f t="array" ref="AT21">PRODUCT(1 + 真實IC!$C21:AT21) - 1</f>
        <v>33.424394214859156</v>
      </c>
      <c r="AU21" s="11" cm="1">
        <f t="array" ref="AU21">PRODUCT(1 + 真實IC!$C21:AU21) - 1</f>
        <v>45.351801833598834</v>
      </c>
      <c r="AV21" s="11" cm="1">
        <f t="array" ref="AV21">PRODUCT(1 + 真實IC!$C21:AV21) - 1</f>
        <v>42.166788169080398</v>
      </c>
      <c r="AW21" s="11" cm="1">
        <f t="array" ref="AW21">PRODUCT(1 + 真實IC!$C21:AW21) - 1</f>
        <v>53.530657378657843</v>
      </c>
      <c r="AX21" s="11" cm="1">
        <f t="array" ref="AX21">PRODUCT(1 + 真實IC!$C21:AX21) - 1</f>
        <v>65.402979538277378</v>
      </c>
      <c r="AY21" s="11" cm="1">
        <f t="array" ref="AY21">PRODUCT(1 + 真實IC!$C21:AY21) - 1</f>
        <v>68.525333360955429</v>
      </c>
      <c r="AZ21" s="11" cm="1">
        <f t="array" ref="AZ21">PRODUCT(1 + 真實IC!$C21:AZ21) - 1</f>
        <v>76.068996000180789</v>
      </c>
      <c r="BA21" s="11" cm="1">
        <f t="array" ref="BA21">PRODUCT(1 + 真實IC!$C21:BA21) - 1</f>
        <v>86.827263863326579</v>
      </c>
      <c r="BB21" s="11" cm="1">
        <f t="array" ref="BB21">PRODUCT(1 + 真實IC!$C21:BB21) - 1</f>
        <v>122.34736961659868</v>
      </c>
      <c r="BC21" s="11" cm="1">
        <f t="array" ref="BC21">PRODUCT(1 + 真實IC!$C21:BC21) - 1</f>
        <v>142.63314363576612</v>
      </c>
      <c r="BD21" s="11" cm="1">
        <f t="array" ref="BD21">PRODUCT(1 + 真實IC!$C21:BD21) - 1</f>
        <v>148.1226799049349</v>
      </c>
      <c r="BE21" s="11" cm="1">
        <f t="array" ref="BE21">PRODUCT(1 + 真實IC!$C21:BE21) - 1</f>
        <v>168.51451384248466</v>
      </c>
      <c r="BF21" s="11" cm="1">
        <f t="array" ref="BF21">PRODUCT(1 + 真實IC!$C21:BF21) - 1</f>
        <v>202.26777198338715</v>
      </c>
      <c r="BG21" s="11" cm="1">
        <f t="array" ref="BG21">PRODUCT(1 + 真實IC!$C21:BG21) - 1</f>
        <v>221.02645448988017</v>
      </c>
      <c r="BH21" s="11" cm="1">
        <f t="array" ref="BH21">PRODUCT(1 + 真實IC!$C21:BH21) - 1</f>
        <v>244.74822928289782</v>
      </c>
      <c r="BI21" s="11" cm="1">
        <f t="array" ref="BI21">PRODUCT(1 + 真實IC!$C21:BI21) - 1</f>
        <v>285.53496365853522</v>
      </c>
      <c r="BJ21" s="11" cm="1">
        <f t="array" ref="BJ21">PRODUCT(1 + 真實IC!$C21:BJ21) - 1</f>
        <v>291.9516455042023</v>
      </c>
      <c r="BK21" s="11" cm="1">
        <f t="array" ref="BK21">PRODUCT(1 + 真實IC!$C21:BK21) - 1</f>
        <v>270.64728937237561</v>
      </c>
      <c r="BL21" s="11" cm="1">
        <f t="array" ref="BL21">PRODUCT(1 + 真實IC!$C21:BL21) - 1</f>
        <v>294.37317835456645</v>
      </c>
      <c r="BM21" s="11" cm="1">
        <f t="array" ref="BM21">PRODUCT(1 + 真實IC!$C21:BM21) - 1</f>
        <v>306.42301165075332</v>
      </c>
      <c r="BN21" s="11" cm="1">
        <f t="array" ref="BN21">PRODUCT(1 + 真實IC!$C21:BN21) - 1</f>
        <v>314.35168674511607</v>
      </c>
      <c r="BO21" s="11" cm="1">
        <f t="array" ref="BO21">PRODUCT(1 + 真實IC!$C21:BO21) - 1</f>
        <v>294.21419953118038</v>
      </c>
      <c r="BP21" s="11" cm="1">
        <f t="array" ref="BP21">PRODUCT(1 + 真實IC!$C21:BP21) - 1</f>
        <v>292.9799673174611</v>
      </c>
      <c r="BQ21" s="11" cm="1">
        <f t="array" ref="BQ21">PRODUCT(1 + 真實IC!$C21:BQ21) - 1</f>
        <v>309.01429055561027</v>
      </c>
      <c r="BR21" s="11" cm="1">
        <f t="array" ref="BR21">PRODUCT(1 + 真實IC!$C21:BR21) - 1</f>
        <v>353.05537202487562</v>
      </c>
      <c r="BS21" s="11" cm="1">
        <f t="array" ref="BS21">PRODUCT(1 + 真實IC!$C21:BS21) - 1</f>
        <v>329.77912714716706</v>
      </c>
      <c r="BT21" s="11" cm="1">
        <f t="array" ref="BT21">PRODUCT(1 + 真實IC!$C21:BT21) - 1</f>
        <v>309.66089501650816</v>
      </c>
      <c r="BU21" s="11" cm="1">
        <f t="array" ref="BU21">PRODUCT(1 + 真實IC!$C21:BU21) - 1</f>
        <v>362.70267351788647</v>
      </c>
      <c r="BV21" s="11" cm="1">
        <f t="array" ref="BV21">PRODUCT(1 + 真實IC!$C21:BV21) - 1</f>
        <v>346.5761042331456</v>
      </c>
      <c r="BW21" s="11" cm="1">
        <f t="array" ref="BW21">PRODUCT(1 + 真實IC!$C21:BW21) - 1</f>
        <v>410.69022554637843</v>
      </c>
      <c r="BX21" s="11" cm="1">
        <f t="array" ref="BX21">PRODUCT(1 + 真實IC!$C21:BX21) - 1</f>
        <v>378.92214825438703</v>
      </c>
      <c r="BY21" s="11" cm="1">
        <f t="array" ref="BY21">PRODUCT(1 + 真實IC!$C21:BY21) - 1</f>
        <v>357.77329092035961</v>
      </c>
      <c r="BZ21" s="11" cm="1">
        <f t="array" ref="BZ21">PRODUCT(1 + 真實IC!$C21:BZ21) - 1</f>
        <v>374.87347671239326</v>
      </c>
      <c r="CA21" s="11" cm="1">
        <f t="array" ref="CA21">PRODUCT(1 + 真實IC!$C21:CA21) - 1</f>
        <v>397.62043866796716</v>
      </c>
      <c r="CB21" s="11" cm="1">
        <f t="array" ref="CB21">PRODUCT(1 + 真實IC!$C21:CB21) - 1</f>
        <v>480.48160862434167</v>
      </c>
      <c r="CC21" s="11" cm="1">
        <f t="array" ref="CC21">PRODUCT(1 + 真實IC!$C21:CC21) - 1</f>
        <v>476.62062962247177</v>
      </c>
      <c r="CD21" s="11" cm="1">
        <f t="array" ref="CD21">PRODUCT(1 + 真實IC!$C21:CD21) - 1</f>
        <v>614.20214844984753</v>
      </c>
      <c r="CE21" s="11" cm="1">
        <f t="array" ref="CE21">PRODUCT(1 + 真實IC!$C21:CE21) - 1</f>
        <v>652.04623623576288</v>
      </c>
      <c r="CF21" s="11" cm="1">
        <f t="array" ref="CF21">PRODUCT(1 + 真實IC!$C21:CF21) - 1</f>
        <v>737.76879241764323</v>
      </c>
      <c r="CG21" s="11" cm="1">
        <f t="array" ref="CG21">PRODUCT(1 + 真實IC!$C21:CG21) - 1</f>
        <v>800.62718295831701</v>
      </c>
      <c r="CH21" s="11" cm="1">
        <f t="array" ref="CH21">PRODUCT(1 + 真實IC!$C21:CH21) - 1</f>
        <v>864.83777769669723</v>
      </c>
      <c r="CI21" s="11" cm="1">
        <f t="array" ref="CI21">PRODUCT(1 + 真實IC!$C21:CI21) - 1</f>
        <v>934.53738665810204</v>
      </c>
      <c r="CJ21" s="11" cm="1">
        <f t="array" ref="CJ21">PRODUCT(1 + 真實IC!$C21:CJ21) - 1</f>
        <v>882.95106129708699</v>
      </c>
      <c r="CK21" s="11" cm="1">
        <f t="array" ref="CK21">PRODUCT(1 + 真實IC!$C21:CK21) - 1</f>
        <v>942.3168877743127</v>
      </c>
      <c r="CL21" s="11" cm="1">
        <f t="array" ref="CL21">PRODUCT(1 + 真實IC!$C21:CL21) - 1</f>
        <v>816.01578911619652</v>
      </c>
      <c r="CM21" s="11" cm="1">
        <f t="array" ref="CM21">PRODUCT(1 + 真實IC!$C21:CM21) - 1</f>
        <v>910.97902058441207</v>
      </c>
      <c r="CN21" s="11" cm="1">
        <f t="array" ref="CN21">PRODUCT(1 + 真實IC!$C21:CN21) - 1</f>
        <v>984.71390041945097</v>
      </c>
      <c r="CO21" s="11" cm="1">
        <f t="array" ref="CO21">PRODUCT(1 + 真實IC!$C21:CO21) - 1</f>
        <v>1315.4049042371018</v>
      </c>
      <c r="CP21" s="11" cm="1">
        <f t="array" ref="CP21">PRODUCT(1 + 真實IC!$C21:CP21) - 1</f>
        <v>1608.5683565506872</v>
      </c>
      <c r="CQ21" s="11" cm="1">
        <f t="array" ref="CQ21">PRODUCT(1 + 真實IC!$C21:CQ21) - 1</f>
        <v>1645.4470992650536</v>
      </c>
      <c r="CR21" s="11" cm="1">
        <f t="array" ref="CR21">PRODUCT(1 + 真實IC!$C21:CR21) - 1</f>
        <v>2039.0466874309643</v>
      </c>
      <c r="CS21" s="11" cm="1">
        <f t="array" ref="CS21">PRODUCT(1 + 真實IC!$C21:CS21) - 1</f>
        <v>2164.0383818122982</v>
      </c>
      <c r="CT21" s="11" cm="1">
        <f t="array" ref="CT21">PRODUCT(1 + 真實IC!$C21:CT21) - 1</f>
        <v>2267.9452941926638</v>
      </c>
      <c r="CU21" s="11" cm="1">
        <f t="array" ref="CU21">PRODUCT(1 + 真實IC!$C21:CU21) - 1</f>
        <v>2628.5184165688352</v>
      </c>
      <c r="CV21" s="11" cm="1">
        <f t="array" ref="CV21">PRODUCT(1 + 真實IC!$C21:CV21) - 1</f>
        <v>3034.3368446666163</v>
      </c>
      <c r="CW21" s="11" cm="1">
        <f t="array" ref="CW21">PRODUCT(1 + 真實IC!$C21:CW21) - 1</f>
        <v>3150.72840485502</v>
      </c>
      <c r="CX21" s="11" cm="1">
        <f t="array" ref="CX21">PRODUCT(1 + 真實IC!$C21:CX21) - 1</f>
        <v>3472.5897666400638</v>
      </c>
      <c r="CY21" s="11" cm="1">
        <f t="array" ref="CY21">PRODUCT(1 + 真實IC!$C21:CY21) - 1</f>
        <v>3828.6506452007725</v>
      </c>
      <c r="CZ21" s="11" cm="1">
        <f t="array" ref="CZ21">PRODUCT(1 + 真實IC!$C21:CZ21) - 1</f>
        <v>4738.0064406877209</v>
      </c>
      <c r="DA21" s="11" cm="1">
        <f t="array" ref="DA21">PRODUCT(1 + 真實IC!$C21:DA21) - 1</f>
        <v>4935.6659639217223</v>
      </c>
      <c r="DB21" s="11" cm="1">
        <f t="array" ref="DB21">PRODUCT(1 + 真實IC!$C21:DB21) - 1</f>
        <v>5288.4461057003527</v>
      </c>
      <c r="DC21" s="11" cm="1">
        <f t="array" ref="DC21">PRODUCT(1 + 真實IC!$C21:DC21) - 1</f>
        <v>5050.169468995412</v>
      </c>
      <c r="DD21" s="11" cm="1">
        <f t="array" ref="DD21">PRODUCT(1 + 真實IC!$C21:DD21) - 1</f>
        <v>5064.4076771629634</v>
      </c>
      <c r="DE21" s="11" cm="1">
        <f t="array" ref="DE21">PRODUCT(1 + 真實IC!$C21:DE21) - 1</f>
        <v>5211.1917289351513</v>
      </c>
      <c r="DF21" s="11" cm="1">
        <f t="array" ref="DF21">PRODUCT(1 + 真實IC!$C21:DF21) - 1</f>
        <v>6780.8443714313698</v>
      </c>
      <c r="DG21" s="11" cm="1">
        <f t="array" ref="DG21">PRODUCT(1 + 真實IC!$C21:DG21) - 1</f>
        <v>7183.7504824191928</v>
      </c>
      <c r="DH21" s="11" cm="1">
        <f t="array" ref="DH21">PRODUCT(1 + 真實IC!$C21:DH21) - 1</f>
        <v>7768.8491754505003</v>
      </c>
      <c r="DI21" s="11" cm="1">
        <f t="array" ref="DI21">PRODUCT(1 + 真實IC!$C21:DI21) - 1</f>
        <v>9166.1774927406132</v>
      </c>
      <c r="DJ21" s="11" cm="1">
        <f t="array" ref="DJ21">PRODUCT(1 + 真實IC!$C21:DJ21) - 1</f>
        <v>10601.809910274982</v>
      </c>
      <c r="DK21" s="11" cm="1">
        <f t="array" ref="DK21">PRODUCT(1 + 真實IC!$C21:DK21) - 1</f>
        <v>11565.558582343447</v>
      </c>
      <c r="DL21" s="11" cm="1">
        <f t="array" ref="DL21">PRODUCT(1 + 真實IC!$C21:DL21) - 1</f>
        <v>11418.235423984166</v>
      </c>
      <c r="DM21" s="11" cm="1">
        <f t="array" ref="DM21">PRODUCT(1 + 真實IC!$C21:DM21) - 1</f>
        <v>11132.882405933875</v>
      </c>
      <c r="DN21" s="11" cm="1">
        <f t="array" ref="DN21">PRODUCT(1 + 真實IC!$C21:DN21) - 1</f>
        <v>11925.588251025241</v>
      </c>
      <c r="DO21" s="11" cm="1">
        <f t="array" ref="DO21">PRODUCT(1 + 真實IC!$C21:DO21) - 1</f>
        <v>15880.764605815941</v>
      </c>
      <c r="DP21" s="11" cm="1">
        <f t="array" ref="DP21">PRODUCT(1 + 真實IC!$C21:DP21) - 1</f>
        <v>19518.004583767364</v>
      </c>
      <c r="DQ21" s="11" cm="1">
        <f t="array" ref="DQ21">PRODUCT(1 + 真實IC!$C21:DQ21) - 1</f>
        <v>20892.585564605564</v>
      </c>
      <c r="DR21" s="11" cm="1">
        <f t="array" ref="DR21">PRODUCT(1 + 真實IC!$C21:DR21) - 1</f>
        <v>21940.834700746575</v>
      </c>
      <c r="DS21" s="11" cm="1">
        <f t="array" ref="DS21">PRODUCT(1 + 真實IC!$C21:DS21) - 1</f>
        <v>21904.145875688908</v>
      </c>
      <c r="DT21" s="11" cm="1">
        <f t="array" ref="DT21">PRODUCT(1 + 真實IC!$C21:DT21) - 1</f>
        <v>21789.906370375415</v>
      </c>
      <c r="DU21" s="11" cm="1">
        <f t="array" ref="DU21">PRODUCT(1 + 真實IC!$C21:DU21) - 1</f>
        <v>25028.355745902958</v>
      </c>
      <c r="DV21" s="11" cm="1">
        <f t="array" ref="DV21">PRODUCT(1 + 真實IC!$C21:DV21) - 1</f>
        <v>28539.373073583189</v>
      </c>
      <c r="DW21" s="11" cm="1">
        <f t="array" ref="DW21">PRODUCT(1 + 真實IC!$C21:DW21) - 1</f>
        <v>25584.460028900572</v>
      </c>
      <c r="DX21" s="11" cm="1">
        <f t="array" ref="DX21">PRODUCT(1 + 真實IC!$C21:DX21) - 1</f>
        <v>30342.491164721388</v>
      </c>
      <c r="DY21" s="11" cm="1">
        <f t="array" ref="DY21">PRODUCT(1 + 真實IC!$C21:DY21) - 1</f>
        <v>35401.690912833488</v>
      </c>
      <c r="DZ21" s="11" cm="1">
        <f t="array" ref="DZ21">PRODUCT(1 + 真實IC!$C21:DZ21) - 1</f>
        <v>38904.099433944422</v>
      </c>
      <c r="EA21" s="11" cm="1">
        <f t="array" ref="EA21">PRODUCT(1 + 真實IC!$C21:EA21) - 1</f>
        <v>37539.835430356638</v>
      </c>
      <c r="EB21" s="11" cm="1">
        <f t="array" ref="EB21">PRODUCT(1 + 真實IC!$C21:EB21) - 1</f>
        <v>38527.241766712912</v>
      </c>
      <c r="EC21" s="11" cm="1">
        <f t="array" ref="EC21">PRODUCT(1 + 真實IC!$C21:EC21) - 1</f>
        <v>39068.064819222942</v>
      </c>
      <c r="ED21" s="11" cm="1">
        <f t="array" ref="ED21">PRODUCT(1 + 真實IC!$C21:ED21) - 1</f>
        <v>41197.284170463536</v>
      </c>
      <c r="EE21" s="11" cm="1">
        <f t="array" ref="EE21">PRODUCT(1 + 真實IC!$C21:EE21) - 1</f>
        <v>42075.244008203947</v>
      </c>
      <c r="EF21" s="11" cm="1">
        <f t="array" ref="EF21">PRODUCT(1 + 真實IC!$C21:EF21) - 1</f>
        <v>43286.923133797522</v>
      </c>
      <c r="EG21">
        <f t="shared" si="6"/>
        <v>710907.45974075072</v>
      </c>
      <c r="EH21" s="12">
        <f t="shared" si="7"/>
        <v>4982.2428104996507</v>
      </c>
    </row>
    <row r="22" spans="1:138" x14ac:dyDescent="0.3">
      <c r="A22" s="1">
        <v>3</v>
      </c>
      <c r="B22" s="1" t="s">
        <v>169</v>
      </c>
      <c r="C22" s="11" cm="1">
        <f t="array" ref="C22">PRODUCT(1 + 真實IC!$C22:C22) - 1</f>
        <v>0.20528030103697548</v>
      </c>
      <c r="D22" s="11" cm="1">
        <f t="array" ref="D22">PRODUCT(1 + 真實IC!$C22:D22) - 1</f>
        <v>0.37694578546487212</v>
      </c>
      <c r="E22" s="11" cm="1">
        <f t="array" ref="E22">PRODUCT(1 + 真實IC!$C22:E22) - 1</f>
        <v>0.35304875515552792</v>
      </c>
      <c r="F22" s="11" cm="1">
        <f t="array" ref="F22">PRODUCT(1 + 真實IC!$C22:F22) - 1</f>
        <v>0.26127002261511456</v>
      </c>
      <c r="G22" s="11" cm="1">
        <f t="array" ref="G22">PRODUCT(1 + 真實IC!$C22:G22) - 1</f>
        <v>0.39229625585167116</v>
      </c>
      <c r="H22" s="11" cm="1">
        <f t="array" ref="H22">PRODUCT(1 + 真實IC!$C22:H22) - 1</f>
        <v>0.56518890797069221</v>
      </c>
      <c r="I22" s="11" cm="1">
        <f t="array" ref="I22">PRODUCT(1 + 真實IC!$C22:I22) - 1</f>
        <v>0.75847904682878564</v>
      </c>
      <c r="J22" s="11" cm="1">
        <f t="array" ref="J22">PRODUCT(1 + 真實IC!$C22:J22) - 1</f>
        <v>0.8509725639446446</v>
      </c>
      <c r="K22" s="11" cm="1">
        <f t="array" ref="K22">PRODUCT(1 + 真實IC!$C22:K22) - 1</f>
        <v>1.3051381364476624</v>
      </c>
      <c r="L22" s="11" cm="1">
        <f t="array" ref="L22">PRODUCT(1 + 真實IC!$C22:L22) - 1</f>
        <v>1.2722364187784336</v>
      </c>
      <c r="M22" s="11" cm="1">
        <f t="array" ref="M22">PRODUCT(1 + 真實IC!$C22:M22) - 1</f>
        <v>1.1038635666063161</v>
      </c>
      <c r="N22" s="11" cm="1">
        <f t="array" ref="N22">PRODUCT(1 + 真實IC!$C22:N22) - 1</f>
        <v>2.6946862077091414</v>
      </c>
      <c r="O22" s="11" cm="1">
        <f t="array" ref="O22">PRODUCT(1 + 真實IC!$C22:O22) - 1</f>
        <v>2.669873144739479</v>
      </c>
      <c r="P22" s="11" cm="1">
        <f t="array" ref="P22">PRODUCT(1 + 真實IC!$C22:P22) - 1</f>
        <v>2.9369770966005095</v>
      </c>
      <c r="Q22" s="11" cm="1">
        <f t="array" ref="Q22">PRODUCT(1 + 真實IC!$C22:Q22) - 1</f>
        <v>4.0266413884894661</v>
      </c>
      <c r="R22" s="11" cm="1">
        <f t="array" ref="R22">PRODUCT(1 + 真實IC!$C22:R22) - 1</f>
        <v>3.8425233847843359</v>
      </c>
      <c r="S22" s="11" cm="1">
        <f t="array" ref="S22">PRODUCT(1 + 真實IC!$C22:S22) - 1</f>
        <v>4.6640407972217774</v>
      </c>
      <c r="T22" s="11" cm="1">
        <f t="array" ref="T22">PRODUCT(1 + 真實IC!$C22:T22) - 1</f>
        <v>5.3936396105231328</v>
      </c>
      <c r="U22" s="11" cm="1">
        <f t="array" ref="U22">PRODUCT(1 + 真實IC!$C22:U22) - 1</f>
        <v>6.1007123646780634</v>
      </c>
      <c r="V22" s="11" cm="1">
        <f t="array" ref="V22">PRODUCT(1 + 真實IC!$C22:V22) - 1</f>
        <v>6.3725757521162674</v>
      </c>
      <c r="W22" s="11" cm="1">
        <f t="array" ref="W22">PRODUCT(1 + 真實IC!$C22:W22) - 1</f>
        <v>7.5377947847692663</v>
      </c>
      <c r="X22" s="11" cm="1">
        <f t="array" ref="X22">PRODUCT(1 + 真實IC!$C22:X22) - 1</f>
        <v>9.431364619379524</v>
      </c>
      <c r="Y22" s="11" cm="1">
        <f t="array" ref="Y22">PRODUCT(1 + 真實IC!$C22:Y22) - 1</f>
        <v>9.267256217150015</v>
      </c>
      <c r="Z22" s="11" cm="1">
        <f t="array" ref="Z22">PRODUCT(1 + 真實IC!$C22:Z22) - 1</f>
        <v>10.042929653232624</v>
      </c>
      <c r="AA22" s="11" cm="1">
        <f t="array" ref="AA22">PRODUCT(1 + 真實IC!$C22:AA22) - 1</f>
        <v>10.954241079565158</v>
      </c>
      <c r="AB22" s="11" cm="1">
        <f t="array" ref="AB22">PRODUCT(1 + 真實IC!$C22:AB22) - 1</f>
        <v>12.561323976163955</v>
      </c>
      <c r="AC22" s="11" cm="1">
        <f t="array" ref="AC22">PRODUCT(1 + 真實IC!$C22:AC22) - 1</f>
        <v>13.724566349454635</v>
      </c>
      <c r="AD22" s="11" cm="1">
        <f t="array" ref="AD22">PRODUCT(1 + 真實IC!$C22:AD22) - 1</f>
        <v>13.924419778280402</v>
      </c>
      <c r="AE22" s="11" cm="1">
        <f t="array" ref="AE22">PRODUCT(1 + 真實IC!$C22:AE22) - 1</f>
        <v>15.876889725479145</v>
      </c>
      <c r="AF22" s="11" cm="1">
        <f t="array" ref="AF22">PRODUCT(1 + 真實IC!$C22:AF22) - 1</f>
        <v>23.132547610969965</v>
      </c>
      <c r="AG22" s="11" cm="1">
        <f t="array" ref="AG22">PRODUCT(1 + 真實IC!$C22:AG22) - 1</f>
        <v>24.407748595097843</v>
      </c>
      <c r="AH22" s="11" cm="1">
        <f t="array" ref="AH22">PRODUCT(1 + 真實IC!$C22:AH22) - 1</f>
        <v>21.71793291336364</v>
      </c>
      <c r="AI22" s="11" cm="1">
        <f t="array" ref="AI22">PRODUCT(1 + 真實IC!$C22:AI22) - 1</f>
        <v>24.23970777815186</v>
      </c>
      <c r="AJ22" s="11" cm="1">
        <f t="array" ref="AJ22">PRODUCT(1 + 真實IC!$C22:AJ22) - 1</f>
        <v>23.439612844541873</v>
      </c>
      <c r="AK22" s="11" cm="1">
        <f t="array" ref="AK22">PRODUCT(1 + 真實IC!$C22:AK22) - 1</f>
        <v>25.915066054618009</v>
      </c>
      <c r="AL22" s="11" cm="1">
        <f t="array" ref="AL22">PRODUCT(1 + 真實IC!$C22:AL22) - 1</f>
        <v>25.660994870059778</v>
      </c>
      <c r="AM22" s="11" cm="1">
        <f t="array" ref="AM22">PRODUCT(1 + 真實IC!$C22:AM22) - 1</f>
        <v>27.90288869404117</v>
      </c>
      <c r="AN22" s="11" cm="1">
        <f t="array" ref="AN22">PRODUCT(1 + 真實IC!$C22:AN22) - 1</f>
        <v>31.11494792200309</v>
      </c>
      <c r="AO22" s="11" cm="1">
        <f t="array" ref="AO22">PRODUCT(1 + 真實IC!$C22:AO22) - 1</f>
        <v>36.194019275776178</v>
      </c>
      <c r="AP22" s="11" cm="1">
        <f t="array" ref="AP22">PRODUCT(1 + 真實IC!$C22:AP22) - 1</f>
        <v>38.519997627722937</v>
      </c>
      <c r="AQ22" s="11" cm="1">
        <f t="array" ref="AQ22">PRODUCT(1 + 真實IC!$C22:AQ22) - 1</f>
        <v>42.872402636211326</v>
      </c>
      <c r="AR22" s="11" cm="1">
        <f t="array" ref="AR22">PRODUCT(1 + 真實IC!$C22:AR22) - 1</f>
        <v>45.852413109602196</v>
      </c>
      <c r="AS22" s="11" cm="1">
        <f t="array" ref="AS22">PRODUCT(1 + 真實IC!$C22:AS22) - 1</f>
        <v>49.312168773381515</v>
      </c>
      <c r="AT22" s="11" cm="1">
        <f t="array" ref="AT22">PRODUCT(1 + 真實IC!$C22:AT22) - 1</f>
        <v>50.204121566930738</v>
      </c>
      <c r="AU22" s="11" cm="1">
        <f t="array" ref="AU22">PRODUCT(1 + 真實IC!$C22:AU22) - 1</f>
        <v>72.188804952822579</v>
      </c>
      <c r="AV22" s="11" cm="1">
        <f t="array" ref="AV22">PRODUCT(1 + 真實IC!$C22:AV22) - 1</f>
        <v>65.619818279880491</v>
      </c>
      <c r="AW22" s="11" cm="1">
        <f t="array" ref="AW22">PRODUCT(1 + 真實IC!$C22:AW22) - 1</f>
        <v>90.322398844597231</v>
      </c>
      <c r="AX22" s="11" cm="1">
        <f t="array" ref="AX22">PRODUCT(1 + 真實IC!$C22:AX22) - 1</f>
        <v>89.420573169520665</v>
      </c>
      <c r="AY22" s="11" cm="1">
        <f t="array" ref="AY22">PRODUCT(1 + 真實IC!$C22:AY22) - 1</f>
        <v>95.906746986831877</v>
      </c>
      <c r="AZ22" s="11" cm="1">
        <f t="array" ref="AZ22">PRODUCT(1 + 真實IC!$C22:AZ22) - 1</f>
        <v>110.94555039276882</v>
      </c>
      <c r="BA22" s="11" cm="1">
        <f t="array" ref="BA22">PRODUCT(1 + 真實IC!$C22:BA22) - 1</f>
        <v>116.51763541530737</v>
      </c>
      <c r="BB22" s="11" cm="1">
        <f t="array" ref="BB22">PRODUCT(1 + 真實IC!$C22:BB22) - 1</f>
        <v>177.42280102743769</v>
      </c>
      <c r="BC22" s="11" cm="1">
        <f t="array" ref="BC22">PRODUCT(1 + 真實IC!$C22:BC22) - 1</f>
        <v>212.32694620856955</v>
      </c>
      <c r="BD22" s="11" cm="1">
        <f t="array" ref="BD22">PRODUCT(1 + 真實IC!$C22:BD22) - 1</f>
        <v>229.23514288411388</v>
      </c>
      <c r="BE22" s="11" cm="1">
        <f t="array" ref="BE22">PRODUCT(1 + 真實IC!$C22:BE22) - 1</f>
        <v>258.7208704478137</v>
      </c>
      <c r="BF22" s="11" cm="1">
        <f t="array" ref="BF22">PRODUCT(1 + 真實IC!$C22:BF22) - 1</f>
        <v>310.43193169310518</v>
      </c>
      <c r="BG22" s="11" cm="1">
        <f t="array" ref="BG22">PRODUCT(1 + 真實IC!$C22:BG22) - 1</f>
        <v>297.59113560831008</v>
      </c>
      <c r="BH22" s="11" cm="1">
        <f t="array" ref="BH22">PRODUCT(1 + 真實IC!$C22:BH22) - 1</f>
        <v>335.72331656912712</v>
      </c>
      <c r="BI22" s="11" cm="1">
        <f t="array" ref="BI22">PRODUCT(1 + 真實IC!$C22:BI22) - 1</f>
        <v>373.12947860224818</v>
      </c>
      <c r="BJ22" s="11" cm="1">
        <f t="array" ref="BJ22">PRODUCT(1 + 真實IC!$C22:BJ22) - 1</f>
        <v>388.42775707338154</v>
      </c>
      <c r="BK22" s="11" cm="1">
        <f t="array" ref="BK22">PRODUCT(1 + 真實IC!$C22:BK22) - 1</f>
        <v>369.61246111817212</v>
      </c>
      <c r="BL22" s="11" cm="1">
        <f t="array" ref="BL22">PRODUCT(1 + 真實IC!$C22:BL22) - 1</f>
        <v>421.30229637020955</v>
      </c>
      <c r="BM22" s="11" cm="1">
        <f t="array" ref="BM22">PRODUCT(1 + 真實IC!$C22:BM22) - 1</f>
        <v>422.32869502608759</v>
      </c>
      <c r="BN22" s="11" cm="1">
        <f t="array" ref="BN22">PRODUCT(1 + 真實IC!$C22:BN22) - 1</f>
        <v>457.43868766276529</v>
      </c>
      <c r="BO22" s="11" cm="1">
        <f t="array" ref="BO22">PRODUCT(1 + 真實IC!$C22:BO22) - 1</f>
        <v>434.29467223291209</v>
      </c>
      <c r="BP22" s="11" cm="1">
        <f t="array" ref="BP22">PRODUCT(1 + 真實IC!$C22:BP22) - 1</f>
        <v>434.05917776102609</v>
      </c>
      <c r="BQ22" s="11" cm="1">
        <f t="array" ref="BQ22">PRODUCT(1 + 真實IC!$C22:BQ22) - 1</f>
        <v>446.16691705214521</v>
      </c>
      <c r="BR22" s="11" cm="1">
        <f t="array" ref="BR22">PRODUCT(1 + 真實IC!$C22:BR22) - 1</f>
        <v>493.82005640480531</v>
      </c>
      <c r="BS22" s="11" cm="1">
        <f t="array" ref="BS22">PRODUCT(1 + 真實IC!$C22:BS22) - 1</f>
        <v>445.79896259325193</v>
      </c>
      <c r="BT22" s="11" cm="1">
        <f t="array" ref="BT22">PRODUCT(1 + 真實IC!$C22:BT22) - 1</f>
        <v>485.44173417598688</v>
      </c>
      <c r="BU22" s="11" cm="1">
        <f t="array" ref="BU22">PRODUCT(1 + 真實IC!$C22:BU22) - 1</f>
        <v>536.20221277284793</v>
      </c>
      <c r="BV22" s="11" cm="1">
        <f t="array" ref="BV22">PRODUCT(1 + 真實IC!$C22:BV22) - 1</f>
        <v>510.09228644301356</v>
      </c>
      <c r="BW22" s="11" cm="1">
        <f t="array" ref="BW22">PRODUCT(1 + 真實IC!$C22:BW22) - 1</f>
        <v>577.64426958230547</v>
      </c>
      <c r="BX22" s="11" cm="1">
        <f t="array" ref="BX22">PRODUCT(1 + 真實IC!$C22:BX22) - 1</f>
        <v>512.24074493409682</v>
      </c>
      <c r="BY22" s="11" cm="1">
        <f t="array" ref="BY22">PRODUCT(1 + 真實IC!$C22:BY22) - 1</f>
        <v>483.70607359116536</v>
      </c>
      <c r="BZ22" s="11" cm="1">
        <f t="array" ref="BZ22">PRODUCT(1 + 真實IC!$C22:BZ22) - 1</f>
        <v>506.61218518807618</v>
      </c>
      <c r="CA22" s="11" cm="1">
        <f t="array" ref="CA22">PRODUCT(1 + 真實IC!$C22:CA22) - 1</f>
        <v>520.56648399646497</v>
      </c>
      <c r="CB22" s="11" cm="1">
        <f t="array" ref="CB22">PRODUCT(1 + 真實IC!$C22:CB22) - 1</f>
        <v>653.42994193554148</v>
      </c>
      <c r="CC22" s="11" cm="1">
        <f t="array" ref="CC22">PRODUCT(1 + 真實IC!$C22:CC22) - 1</f>
        <v>571.55814154234804</v>
      </c>
      <c r="CD22" s="11" cm="1">
        <f t="array" ref="CD22">PRODUCT(1 + 真實IC!$C22:CD22) - 1</f>
        <v>762.72272974439261</v>
      </c>
      <c r="CE22" s="11" cm="1">
        <f t="array" ref="CE22">PRODUCT(1 + 真實IC!$C22:CE22) - 1</f>
        <v>813.77006822665578</v>
      </c>
      <c r="CF22" s="11" cm="1">
        <f t="array" ref="CF22">PRODUCT(1 + 真實IC!$C22:CF22) - 1</f>
        <v>967.59848255173506</v>
      </c>
      <c r="CG22" s="11" cm="1">
        <f t="array" ref="CG22">PRODUCT(1 + 真實IC!$C22:CG22) - 1</f>
        <v>1168.181021499277</v>
      </c>
      <c r="CH22" s="11" cm="1">
        <f t="array" ref="CH22">PRODUCT(1 + 真實IC!$C22:CH22) - 1</f>
        <v>1303.7110489147233</v>
      </c>
      <c r="CI22" s="11" cm="1">
        <f t="array" ref="CI22">PRODUCT(1 + 真實IC!$C22:CI22) - 1</f>
        <v>1457.3795852224712</v>
      </c>
      <c r="CJ22" s="11" cm="1">
        <f t="array" ref="CJ22">PRODUCT(1 + 真實IC!$C22:CJ22) - 1</f>
        <v>1273.1492601546854</v>
      </c>
      <c r="CK22" s="11" cm="1">
        <f t="array" ref="CK22">PRODUCT(1 + 真實IC!$C22:CK22) - 1</f>
        <v>1414.4824069448273</v>
      </c>
      <c r="CL22" s="11" cm="1">
        <f t="array" ref="CL22">PRODUCT(1 + 真實IC!$C22:CL22) - 1</f>
        <v>1073.8440197914526</v>
      </c>
      <c r="CM22" s="11" cm="1">
        <f t="array" ref="CM22">PRODUCT(1 + 真實IC!$C22:CM22) - 1</f>
        <v>1310.1296518618392</v>
      </c>
      <c r="CN22" s="11" cm="1">
        <f t="array" ref="CN22">PRODUCT(1 + 真實IC!$C22:CN22) - 1</f>
        <v>1510.4753981123315</v>
      </c>
      <c r="CO22" s="11" cm="1">
        <f t="array" ref="CO22">PRODUCT(1 + 真實IC!$C22:CO22) - 1</f>
        <v>1921.6866363841204</v>
      </c>
      <c r="CP22" s="11" cm="1">
        <f t="array" ref="CP22">PRODUCT(1 + 真實IC!$C22:CP22) - 1</f>
        <v>2420.4480022328794</v>
      </c>
      <c r="CQ22" s="11" cm="1">
        <f t="array" ref="CQ22">PRODUCT(1 + 真實IC!$C22:CQ22) - 1</f>
        <v>2461.9991189507459</v>
      </c>
      <c r="CR22" s="11" cm="1">
        <f t="array" ref="CR22">PRODUCT(1 + 真實IC!$C22:CR22) - 1</f>
        <v>3069.8002340217981</v>
      </c>
      <c r="CS22" s="11" cm="1">
        <f t="array" ref="CS22">PRODUCT(1 + 真實IC!$C22:CS22) - 1</f>
        <v>3330.1486225763256</v>
      </c>
      <c r="CT22" s="11" cm="1">
        <f t="array" ref="CT22">PRODUCT(1 + 真實IC!$C22:CT22) - 1</f>
        <v>3457.6070784149229</v>
      </c>
      <c r="CU22" s="11" cm="1">
        <f t="array" ref="CU22">PRODUCT(1 + 真實IC!$C22:CU22) - 1</f>
        <v>4036.4185002445183</v>
      </c>
      <c r="CV22" s="11" cm="1">
        <f t="array" ref="CV22">PRODUCT(1 + 真實IC!$C22:CV22) - 1</f>
        <v>4707.5290183459247</v>
      </c>
      <c r="CW22" s="11" cm="1">
        <f t="array" ref="CW22">PRODUCT(1 + 真實IC!$C22:CW22) - 1</f>
        <v>4815.2791957231311</v>
      </c>
      <c r="CX22" s="11" cm="1">
        <f t="array" ref="CX22">PRODUCT(1 + 真實IC!$C22:CX22) - 1</f>
        <v>4833.3382837714953</v>
      </c>
      <c r="CY22" s="11" cm="1">
        <f t="array" ref="CY22">PRODUCT(1 + 真實IC!$C22:CY22) - 1</f>
        <v>5338.5789713009099</v>
      </c>
      <c r="CZ22" s="11" cm="1">
        <f t="array" ref="CZ22">PRODUCT(1 + 真實IC!$C22:CZ22) - 1</f>
        <v>6742.4636619912526</v>
      </c>
      <c r="DA22" s="11" cm="1">
        <f t="array" ref="DA22">PRODUCT(1 + 真實IC!$C22:DA22) - 1</f>
        <v>6961.3159966798748</v>
      </c>
      <c r="DB22" s="11" cm="1">
        <f t="array" ref="DB22">PRODUCT(1 + 真實IC!$C22:DB22) - 1</f>
        <v>7337.5708440015642</v>
      </c>
      <c r="DC22" s="11" cm="1">
        <f t="array" ref="DC22">PRODUCT(1 + 真實IC!$C22:DC22) - 1</f>
        <v>7185.4805451314523</v>
      </c>
      <c r="DD22" s="11" cm="1">
        <f t="array" ref="DD22">PRODUCT(1 + 真實IC!$C22:DD22) - 1</f>
        <v>7413.365058637025</v>
      </c>
      <c r="DE22" s="11" cm="1">
        <f t="array" ref="DE22">PRODUCT(1 + 真實IC!$C22:DE22) - 1</f>
        <v>7281.7118595087286</v>
      </c>
      <c r="DF22" s="11" cm="1">
        <f t="array" ref="DF22">PRODUCT(1 + 真實IC!$C22:DF22) - 1</f>
        <v>10119.548956679626</v>
      </c>
      <c r="DG22" s="11" cm="1">
        <f t="array" ref="DG22">PRODUCT(1 + 真實IC!$C22:DG22) - 1</f>
        <v>10847.110155000599</v>
      </c>
      <c r="DH22" s="11" cm="1">
        <f t="array" ref="DH22">PRODUCT(1 + 真實IC!$C22:DH22) - 1</f>
        <v>11730.736259377431</v>
      </c>
      <c r="DI22" s="11" cm="1">
        <f t="array" ref="DI22">PRODUCT(1 + 真實IC!$C22:DI22) - 1</f>
        <v>12436.073012160929</v>
      </c>
      <c r="DJ22" s="11" cm="1">
        <f t="array" ref="DJ22">PRODUCT(1 + 真實IC!$C22:DJ22) - 1</f>
        <v>14347.648184433556</v>
      </c>
      <c r="DK22" s="11" cm="1">
        <f t="array" ref="DK22">PRODUCT(1 + 真實IC!$C22:DK22) - 1</f>
        <v>15659.522202696369</v>
      </c>
      <c r="DL22" s="11" cm="1">
        <f t="array" ref="DL22">PRODUCT(1 + 真實IC!$C22:DL22) - 1</f>
        <v>15609.199765248839</v>
      </c>
      <c r="DM22" s="11" cm="1">
        <f t="array" ref="DM22">PRODUCT(1 + 真實IC!$C22:DM22) - 1</f>
        <v>15111.473083779256</v>
      </c>
      <c r="DN22" s="11" cm="1">
        <f t="array" ref="DN22">PRODUCT(1 + 真實IC!$C22:DN22) - 1</f>
        <v>15818.182622570253</v>
      </c>
      <c r="DO22" s="11" cm="1">
        <f t="array" ref="DO22">PRODUCT(1 + 真實IC!$C22:DO22) - 1</f>
        <v>17015.94494415975</v>
      </c>
      <c r="DP22" s="11" cm="1">
        <f t="array" ref="DP22">PRODUCT(1 + 真實IC!$C22:DP22) - 1</f>
        <v>19901.379516496381</v>
      </c>
      <c r="DQ22" s="11" cm="1">
        <f t="array" ref="DQ22">PRODUCT(1 + 真實IC!$C22:DQ22) - 1</f>
        <v>23193.31601267758</v>
      </c>
      <c r="DR22" s="11" cm="1">
        <f t="array" ref="DR22">PRODUCT(1 + 真實IC!$C22:DR22) - 1</f>
        <v>23052.003421994028</v>
      </c>
      <c r="DS22" s="11" cm="1">
        <f t="array" ref="DS22">PRODUCT(1 + 真實IC!$C22:DS22) - 1</f>
        <v>22214.112913978784</v>
      </c>
      <c r="DT22" s="11" cm="1">
        <f t="array" ref="DT22">PRODUCT(1 + 真實IC!$C22:DT22) - 1</f>
        <v>22816.781246819381</v>
      </c>
      <c r="DU22" s="11" cm="1">
        <f t="array" ref="DU22">PRODUCT(1 + 真實IC!$C22:DU22) - 1</f>
        <v>26502.923320440943</v>
      </c>
      <c r="DV22" s="11" cm="1">
        <f t="array" ref="DV22">PRODUCT(1 + 真實IC!$C22:DV22) - 1</f>
        <v>29834.602120370379</v>
      </c>
      <c r="DW22" s="11" cm="1">
        <f t="array" ref="DW22">PRODUCT(1 + 真實IC!$C22:DW22) - 1</f>
        <v>27405.524240301504</v>
      </c>
      <c r="DX22" s="11" cm="1">
        <f t="array" ref="DX22">PRODUCT(1 + 真實IC!$C22:DX22) - 1</f>
        <v>33501.90298081559</v>
      </c>
      <c r="DY22" s="11" cm="1">
        <f t="array" ref="DY22">PRODUCT(1 + 真實IC!$C22:DY22) - 1</f>
        <v>37520.778038929231</v>
      </c>
      <c r="DZ22" s="11" cm="1">
        <f t="array" ref="DZ22">PRODUCT(1 + 真實IC!$C22:DZ22) - 1</f>
        <v>41679.48572662838</v>
      </c>
      <c r="EA22" s="11" cm="1">
        <f t="array" ref="EA22">PRODUCT(1 + 真實IC!$C22:EA22) - 1</f>
        <v>40254.378135387975</v>
      </c>
      <c r="EB22" s="11" cm="1">
        <f t="array" ref="EB22">PRODUCT(1 + 真實IC!$C22:EB22) - 1</f>
        <v>45478.15553405675</v>
      </c>
      <c r="EC22" s="11" cm="1">
        <f t="array" ref="EC22">PRODUCT(1 + 真實IC!$C22:EC22) - 1</f>
        <v>46455.734601835546</v>
      </c>
      <c r="ED22" s="11" cm="1">
        <f t="array" ref="ED22">PRODUCT(1 + 真實IC!$C22:ED22) - 1</f>
        <v>50052.116141212216</v>
      </c>
      <c r="EE22" s="11" cm="1">
        <f t="array" ref="EE22">PRODUCT(1 + 真實IC!$C22:EE22) - 1</f>
        <v>52436.479385973915</v>
      </c>
      <c r="EF22" s="11" cm="1">
        <f t="array" ref="EF22">PRODUCT(1 + 真實IC!$C22:EF22) - 1</f>
        <v>54355.45354419158</v>
      </c>
      <c r="EG22">
        <f t="shared" si="6"/>
        <v>844866.95202366007</v>
      </c>
      <c r="EH22" s="12">
        <f t="shared" si="7"/>
        <v>5899.3395408915558</v>
      </c>
    </row>
    <row r="23" spans="1:138" x14ac:dyDescent="0.3">
      <c r="A23" s="1">
        <v>2</v>
      </c>
      <c r="B23" s="1" t="s">
        <v>170</v>
      </c>
      <c r="C23" s="11" cm="1">
        <f t="array" ref="C23">PRODUCT(1 + 真實IC!$C23:C23) - 1</f>
        <v>0.28298926569632887</v>
      </c>
      <c r="D23" s="11" cm="1">
        <f t="array" ref="D23">PRODUCT(1 + 真實IC!$C23:D23) - 1</f>
        <v>0.60898737920913004</v>
      </c>
      <c r="E23" s="11" cm="1">
        <f t="array" ref="E23">PRODUCT(1 + 真實IC!$C23:E23) - 1</f>
        <v>0.82299105781477033</v>
      </c>
      <c r="F23" s="11" cm="1">
        <f t="array" ref="F23">PRODUCT(1 + 真實IC!$C23:F23) - 1</f>
        <v>0.49048464352429932</v>
      </c>
      <c r="G23" s="11" cm="1">
        <f t="array" ref="G23">PRODUCT(1 + 真實IC!$C23:G23) - 1</f>
        <v>0.45028393482696538</v>
      </c>
      <c r="H23" s="11" cm="1">
        <f t="array" ref="H23">PRODUCT(1 + 真實IC!$C23:H23) - 1</f>
        <v>0.4239054877664914</v>
      </c>
      <c r="I23" s="11" cm="1">
        <f t="array" ref="I23">PRODUCT(1 + 真實IC!$C23:I23) - 1</f>
        <v>0.63485997431418806</v>
      </c>
      <c r="J23" s="11" cm="1">
        <f t="array" ref="J23">PRODUCT(1 + 真實IC!$C23:J23) - 1</f>
        <v>0.47437837353187717</v>
      </c>
      <c r="K23" s="11" cm="1">
        <f t="array" ref="K23">PRODUCT(1 + 真實IC!$C23:K23) - 1</f>
        <v>0.68463589819749093</v>
      </c>
      <c r="L23" s="11" cm="1">
        <f t="array" ref="L23">PRODUCT(1 + 真實IC!$C23:L23) - 1</f>
        <v>0.59910552915632476</v>
      </c>
      <c r="M23" s="11" cm="1">
        <f t="array" ref="M23">PRODUCT(1 + 真實IC!$C23:M23) - 1</f>
        <v>0.18581683889722989</v>
      </c>
      <c r="N23" s="11" cm="1">
        <f t="array" ref="N23">PRODUCT(1 + 真實IC!$C23:N23) - 1</f>
        <v>1.3430572034324233</v>
      </c>
      <c r="O23" s="11" cm="1">
        <f t="array" ref="O23">PRODUCT(1 + 真實IC!$C23:O23) - 1</f>
        <v>1.2975838257466834</v>
      </c>
      <c r="P23" s="11" cm="1">
        <f t="array" ref="P23">PRODUCT(1 + 真實IC!$C23:P23) - 1</f>
        <v>1.5052893351785577</v>
      </c>
      <c r="Q23" s="11" cm="1">
        <f t="array" ref="Q23">PRODUCT(1 + 真實IC!$C23:Q23) - 1</f>
        <v>1.3560542177199477</v>
      </c>
      <c r="R23" s="11" cm="1">
        <f t="array" ref="R23">PRODUCT(1 + 真實IC!$C23:R23) - 1</f>
        <v>1.2236177164338926</v>
      </c>
      <c r="S23" s="11" cm="1">
        <f t="array" ref="S23">PRODUCT(1 + 真實IC!$C23:S23) - 1</f>
        <v>1.4764976024217602</v>
      </c>
      <c r="T23" s="11" cm="1">
        <f t="array" ref="T23">PRODUCT(1 + 真實IC!$C23:T23) - 1</f>
        <v>1.8593708017750834</v>
      </c>
      <c r="U23" s="11" cm="1">
        <f t="array" ref="U23">PRODUCT(1 + 真實IC!$C23:U23) - 1</f>
        <v>2.1274580379519832</v>
      </c>
      <c r="V23" s="11" cm="1">
        <f t="array" ref="V23">PRODUCT(1 + 真實IC!$C23:V23) - 1</f>
        <v>2.0554343772042967</v>
      </c>
      <c r="W23" s="11" cm="1">
        <f t="array" ref="W23">PRODUCT(1 + 真實IC!$C23:W23) - 1</f>
        <v>2.8484641924785539</v>
      </c>
      <c r="X23" s="11" cm="1">
        <f t="array" ref="X23">PRODUCT(1 + 真實IC!$C23:X23) - 1</f>
        <v>3.5480425768877666</v>
      </c>
      <c r="Y23" s="11" cm="1">
        <f t="array" ref="Y23">PRODUCT(1 + 真實IC!$C23:Y23) - 1</f>
        <v>3.4813691753583722</v>
      </c>
      <c r="Z23" s="11" cm="1">
        <f t="array" ref="Z23">PRODUCT(1 + 真實IC!$C23:Z23) - 1</f>
        <v>3.6294000718531043</v>
      </c>
      <c r="AA23" s="11" cm="1">
        <f t="array" ref="AA23">PRODUCT(1 + 真實IC!$C23:AA23) - 1</f>
        <v>3.3666888120478173</v>
      </c>
      <c r="AB23" s="11" cm="1">
        <f t="array" ref="AB23">PRODUCT(1 + 真實IC!$C23:AB23) - 1</f>
        <v>3.6463306023617728</v>
      </c>
      <c r="AC23" s="11" cm="1">
        <f t="array" ref="AC23">PRODUCT(1 + 真實IC!$C23:AC23) - 1</f>
        <v>4.4304211922101899</v>
      </c>
      <c r="AD23" s="11" cm="1">
        <f t="array" ref="AD23">PRODUCT(1 + 真實IC!$C23:AD23) - 1</f>
        <v>4.8193961154366622</v>
      </c>
      <c r="AE23" s="11" cm="1">
        <f t="array" ref="AE23">PRODUCT(1 + 真實IC!$C23:AE23) - 1</f>
        <v>5.6178870298043275</v>
      </c>
      <c r="AF23" s="11" cm="1">
        <f t="array" ref="AF23">PRODUCT(1 + 真實IC!$C23:AF23) - 1</f>
        <v>7.7664457700637008</v>
      </c>
      <c r="AG23" s="11" cm="1">
        <f t="array" ref="AG23">PRODUCT(1 + 真實IC!$C23:AG23) - 1</f>
        <v>8.5718512075179145</v>
      </c>
      <c r="AH23" s="11" cm="1">
        <f t="array" ref="AH23">PRODUCT(1 + 真實IC!$C23:AH23) - 1</f>
        <v>7.7661733245609881</v>
      </c>
      <c r="AI23" s="11" cm="1">
        <f t="array" ref="AI23">PRODUCT(1 + 真實IC!$C23:AI23) - 1</f>
        <v>9.5996324891752298</v>
      </c>
      <c r="AJ23" s="11" cm="1">
        <f t="array" ref="AJ23">PRODUCT(1 + 真實IC!$C23:AJ23) - 1</f>
        <v>9.6594476764514212</v>
      </c>
      <c r="AK23" s="11" cm="1">
        <f t="array" ref="AK23">PRODUCT(1 + 真實IC!$C23:AK23) - 1</f>
        <v>10.875808969245153</v>
      </c>
      <c r="AL23" s="11" cm="1">
        <f t="array" ref="AL23">PRODUCT(1 + 真實IC!$C23:AL23) - 1</f>
        <v>10.708756796658269</v>
      </c>
      <c r="AM23" s="11" cm="1">
        <f t="array" ref="AM23">PRODUCT(1 + 真實IC!$C23:AM23) - 1</f>
        <v>10.799727853850547</v>
      </c>
      <c r="AN23" s="11" cm="1">
        <f t="array" ref="AN23">PRODUCT(1 + 真實IC!$C23:AN23) - 1</f>
        <v>13.658975361254308</v>
      </c>
      <c r="AO23" s="11" cm="1">
        <f t="array" ref="AO23">PRODUCT(1 + 真實IC!$C23:AO23) - 1</f>
        <v>14.989753491912545</v>
      </c>
      <c r="AP23" s="11" cm="1">
        <f t="array" ref="AP23">PRODUCT(1 + 真實IC!$C23:AP23) - 1</f>
        <v>14.93984788264541</v>
      </c>
      <c r="AQ23" s="11" cm="1">
        <f t="array" ref="AQ23">PRODUCT(1 + 真實IC!$C23:AQ23) - 1</f>
        <v>16.523960150988778</v>
      </c>
      <c r="AR23" s="11" cm="1">
        <f t="array" ref="AR23">PRODUCT(1 + 真實IC!$C23:AR23) - 1</f>
        <v>19.084844471490193</v>
      </c>
      <c r="AS23" s="11" cm="1">
        <f t="array" ref="AS23">PRODUCT(1 + 真實IC!$C23:AS23) - 1</f>
        <v>20.725045593846701</v>
      </c>
      <c r="AT23" s="11" cm="1">
        <f t="array" ref="AT23">PRODUCT(1 + 真實IC!$C23:AT23) - 1</f>
        <v>23.104066328554509</v>
      </c>
      <c r="AU23" s="11" cm="1">
        <f t="array" ref="AU23">PRODUCT(1 + 真實IC!$C23:AU23) - 1</f>
        <v>37.767342272929049</v>
      </c>
      <c r="AV23" s="11" cm="1">
        <f t="array" ref="AV23">PRODUCT(1 + 真實IC!$C23:AV23) - 1</f>
        <v>35.861924817174021</v>
      </c>
      <c r="AW23" s="11" cm="1">
        <f t="array" ref="AW23">PRODUCT(1 + 真實IC!$C23:AW23) - 1</f>
        <v>57.325148209233618</v>
      </c>
      <c r="AX23" s="11" cm="1">
        <f t="array" ref="AX23">PRODUCT(1 + 真實IC!$C23:AX23) - 1</f>
        <v>56.461190678169849</v>
      </c>
      <c r="AY23" s="11" cm="1">
        <f t="array" ref="AY23">PRODUCT(1 + 真實IC!$C23:AY23) - 1</f>
        <v>66.24303791115446</v>
      </c>
      <c r="AZ23" s="11" cm="1">
        <f t="array" ref="AZ23">PRODUCT(1 + 真實IC!$C23:AZ23) - 1</f>
        <v>71.492807890953571</v>
      </c>
      <c r="BA23" s="11" cm="1">
        <f t="array" ref="BA23">PRODUCT(1 + 真實IC!$C23:BA23) - 1</f>
        <v>75.407299079678481</v>
      </c>
      <c r="BB23" s="11" cm="1">
        <f t="array" ref="BB23">PRODUCT(1 + 真實IC!$C23:BB23) - 1</f>
        <v>127.82448880615479</v>
      </c>
      <c r="BC23" s="11" cm="1">
        <f t="array" ref="BC23">PRODUCT(1 + 真實IC!$C23:BC23) - 1</f>
        <v>160.40023189924509</v>
      </c>
      <c r="BD23" s="11" cm="1">
        <f t="array" ref="BD23">PRODUCT(1 + 真實IC!$C23:BD23) - 1</f>
        <v>180.73226852642233</v>
      </c>
      <c r="BE23" s="11" cm="1">
        <f t="array" ref="BE23">PRODUCT(1 + 真實IC!$C23:BE23) - 1</f>
        <v>203.32016163852958</v>
      </c>
      <c r="BF23" s="11" cm="1">
        <f t="array" ref="BF23">PRODUCT(1 + 真實IC!$C23:BF23) - 1</f>
        <v>246.22925752374115</v>
      </c>
      <c r="BG23" s="11" cm="1">
        <f t="array" ref="BG23">PRODUCT(1 + 真實IC!$C23:BG23) - 1</f>
        <v>255.70378169278706</v>
      </c>
      <c r="BH23" s="11" cm="1">
        <f t="array" ref="BH23">PRODUCT(1 + 真實IC!$C23:BH23) - 1</f>
        <v>271.96986705751186</v>
      </c>
      <c r="BI23" s="11" cm="1">
        <f t="array" ref="BI23">PRODUCT(1 + 真實IC!$C23:BI23) - 1</f>
        <v>324.13770594345016</v>
      </c>
      <c r="BJ23" s="11" cm="1">
        <f t="array" ref="BJ23">PRODUCT(1 + 真實IC!$C23:BJ23) - 1</f>
        <v>342.83112795157956</v>
      </c>
      <c r="BK23" s="11" cm="1">
        <f t="array" ref="BK23">PRODUCT(1 + 真實IC!$C23:BK23) - 1</f>
        <v>326.37904114921224</v>
      </c>
      <c r="BL23" s="11" cm="1">
        <f t="array" ref="BL23">PRODUCT(1 + 真實IC!$C23:BL23) - 1</f>
        <v>363.82016755558448</v>
      </c>
      <c r="BM23" s="11" cm="1">
        <f t="array" ref="BM23">PRODUCT(1 + 真實IC!$C23:BM23) - 1</f>
        <v>338.46682145547169</v>
      </c>
      <c r="BN23" s="11" cm="1">
        <f t="array" ref="BN23">PRODUCT(1 + 真實IC!$C23:BN23) - 1</f>
        <v>351.5204196761004</v>
      </c>
      <c r="BO23" s="11" cm="1">
        <f t="array" ref="BO23">PRODUCT(1 + 真實IC!$C23:BO23) - 1</f>
        <v>364.39620746904507</v>
      </c>
      <c r="BP23" s="11" cm="1">
        <f t="array" ref="BP23">PRODUCT(1 + 真實IC!$C23:BP23) - 1</f>
        <v>356.18366411202823</v>
      </c>
      <c r="BQ23" s="11" cm="1">
        <f t="array" ref="BQ23">PRODUCT(1 + 真實IC!$C23:BQ23) - 1</f>
        <v>381.91799753825887</v>
      </c>
      <c r="BR23" s="11" cm="1">
        <f t="array" ref="BR23">PRODUCT(1 + 真實IC!$C23:BR23) - 1</f>
        <v>421.29061787181581</v>
      </c>
      <c r="BS23" s="11" cm="1">
        <f t="array" ref="BS23">PRODUCT(1 + 真實IC!$C23:BS23) - 1</f>
        <v>328.14720329443912</v>
      </c>
      <c r="BT23" s="11" cm="1">
        <f t="array" ref="BT23">PRODUCT(1 + 真實IC!$C23:BT23) - 1</f>
        <v>399.96273753969405</v>
      </c>
      <c r="BU23" s="11" cm="1">
        <f t="array" ref="BU23">PRODUCT(1 + 真實IC!$C23:BU23) - 1</f>
        <v>442.33859423752915</v>
      </c>
      <c r="BV23" s="11" cm="1">
        <f t="array" ref="BV23">PRODUCT(1 + 真實IC!$C23:BV23) - 1</f>
        <v>418.72236824682705</v>
      </c>
      <c r="BW23" s="11" cm="1">
        <f t="array" ref="BW23">PRODUCT(1 + 真實IC!$C23:BW23) - 1</f>
        <v>425.17035944294042</v>
      </c>
      <c r="BX23" s="11" cm="1">
        <f t="array" ref="BX23">PRODUCT(1 + 真實IC!$C23:BX23) - 1</f>
        <v>395.87750171649162</v>
      </c>
      <c r="BY23" s="11" cm="1">
        <f t="array" ref="BY23">PRODUCT(1 + 真實IC!$C23:BY23) - 1</f>
        <v>442.80796225731086</v>
      </c>
      <c r="BZ23" s="11" cm="1">
        <f t="array" ref="BZ23">PRODUCT(1 + 真實IC!$C23:BZ23) - 1</f>
        <v>446.21186389318564</v>
      </c>
      <c r="CA23" s="11" cm="1">
        <f t="array" ref="CA23">PRODUCT(1 + 真實IC!$C23:CA23) - 1</f>
        <v>480.04487236135907</v>
      </c>
      <c r="CB23" s="11" cm="1">
        <f t="array" ref="CB23">PRODUCT(1 + 真實IC!$C23:CB23) - 1</f>
        <v>632.13527191650121</v>
      </c>
      <c r="CC23" s="11" cm="1">
        <f t="array" ref="CC23">PRODUCT(1 + 真實IC!$C23:CC23) - 1</f>
        <v>578.60709428935297</v>
      </c>
      <c r="CD23" s="11" cm="1">
        <f t="array" ref="CD23">PRODUCT(1 + 真實IC!$C23:CD23) - 1</f>
        <v>689.70412742415647</v>
      </c>
      <c r="CE23" s="11" cm="1">
        <f t="array" ref="CE23">PRODUCT(1 + 真實IC!$C23:CE23) - 1</f>
        <v>730.87168330744828</v>
      </c>
      <c r="CF23" s="11" cm="1">
        <f t="array" ref="CF23">PRODUCT(1 + 真實IC!$C23:CF23) - 1</f>
        <v>845.87427424267219</v>
      </c>
      <c r="CG23" s="11" cm="1">
        <f t="array" ref="CG23">PRODUCT(1 + 真實IC!$C23:CG23) - 1</f>
        <v>1029.3387810196443</v>
      </c>
      <c r="CH23" s="11" cm="1">
        <f t="array" ref="CH23">PRODUCT(1 + 真實IC!$C23:CH23) - 1</f>
        <v>1215.0021705454176</v>
      </c>
      <c r="CI23" s="11" cm="1">
        <f t="array" ref="CI23">PRODUCT(1 + 真實IC!$C23:CI23) - 1</f>
        <v>1591.8405344239432</v>
      </c>
      <c r="CJ23" s="11" cm="1">
        <f t="array" ref="CJ23">PRODUCT(1 + 真實IC!$C23:CJ23) - 1</f>
        <v>1342.5356703278117</v>
      </c>
      <c r="CK23" s="11" cm="1">
        <f t="array" ref="CK23">PRODUCT(1 + 真實IC!$C23:CK23) - 1</f>
        <v>1439.0772941546652</v>
      </c>
      <c r="CL23" s="11" cm="1">
        <f t="array" ref="CL23">PRODUCT(1 + 真實IC!$C23:CL23) - 1</f>
        <v>850.57384880606401</v>
      </c>
      <c r="CM23" s="11" cm="1">
        <f t="array" ref="CM23">PRODUCT(1 + 真實IC!$C23:CM23) - 1</f>
        <v>1050.4424656706774</v>
      </c>
      <c r="CN23" s="11" cm="1">
        <f t="array" ref="CN23">PRODUCT(1 + 真實IC!$C23:CN23) - 1</f>
        <v>1341.801654109619</v>
      </c>
      <c r="CO23" s="11" cm="1">
        <f t="array" ref="CO23">PRODUCT(1 + 真實IC!$C23:CO23) - 1</f>
        <v>1699.1997788249682</v>
      </c>
      <c r="CP23" s="11" cm="1">
        <f t="array" ref="CP23">PRODUCT(1 + 真實IC!$C23:CP23) - 1</f>
        <v>2228.5752454850649</v>
      </c>
      <c r="CQ23" s="11" cm="1">
        <f t="array" ref="CQ23">PRODUCT(1 + 真實IC!$C23:CQ23) - 1</f>
        <v>2173.4996756087908</v>
      </c>
      <c r="CR23" s="11" cm="1">
        <f t="array" ref="CR23">PRODUCT(1 + 真實IC!$C23:CR23) - 1</f>
        <v>2501.8451483219105</v>
      </c>
      <c r="CS23" s="11" cm="1">
        <f t="array" ref="CS23">PRODUCT(1 + 真實IC!$C23:CS23) - 1</f>
        <v>2664.9302485903931</v>
      </c>
      <c r="CT23" s="11" cm="1">
        <f t="array" ref="CT23">PRODUCT(1 + 真實IC!$C23:CT23) - 1</f>
        <v>2839.2560017336423</v>
      </c>
      <c r="CU23" s="11" cm="1">
        <f t="array" ref="CU23">PRODUCT(1 + 真實IC!$C23:CU23) - 1</f>
        <v>3413.2827740421003</v>
      </c>
      <c r="CV23" s="11" cm="1">
        <f t="array" ref="CV23">PRODUCT(1 + 真實IC!$C23:CV23) - 1</f>
        <v>3936.7980577389335</v>
      </c>
      <c r="CW23" s="11" cm="1">
        <f t="array" ref="CW23">PRODUCT(1 + 真實IC!$C23:CW23) - 1</f>
        <v>3841.5573406594895</v>
      </c>
      <c r="CX23" s="11" cm="1">
        <f t="array" ref="CX23">PRODUCT(1 + 真實IC!$C23:CX23) - 1</f>
        <v>3500.6572037526375</v>
      </c>
      <c r="CY23" s="11" cm="1">
        <f t="array" ref="CY23">PRODUCT(1 + 真實IC!$C23:CY23) - 1</f>
        <v>4039.0381672329536</v>
      </c>
      <c r="CZ23" s="11" cm="1">
        <f t="array" ref="CZ23">PRODUCT(1 + 真實IC!$C23:CZ23) - 1</f>
        <v>4774.3202408070156</v>
      </c>
      <c r="DA23" s="11" cm="1">
        <f t="array" ref="DA23">PRODUCT(1 + 真實IC!$C23:DA23) - 1</f>
        <v>5083.0202564273977</v>
      </c>
      <c r="DB23" s="11" cm="1">
        <f t="array" ref="DB23">PRODUCT(1 + 真實IC!$C23:DB23) - 1</f>
        <v>5178.3307219733169</v>
      </c>
      <c r="DC23" s="11" cm="1">
        <f t="array" ref="DC23">PRODUCT(1 + 真實IC!$C23:DC23) - 1</f>
        <v>5795.6576682447467</v>
      </c>
      <c r="DD23" s="11" cm="1">
        <f t="array" ref="DD23">PRODUCT(1 + 真實IC!$C23:DD23) - 1</f>
        <v>6333.579817415015</v>
      </c>
      <c r="DE23" s="11" cm="1">
        <f t="array" ref="DE23">PRODUCT(1 + 真實IC!$C23:DE23) - 1</f>
        <v>5952.9605870068244</v>
      </c>
      <c r="DF23" s="11" cm="1">
        <f t="array" ref="DF23">PRODUCT(1 + 真實IC!$C23:DF23) - 1</f>
        <v>8386.9094321951288</v>
      </c>
      <c r="DG23" s="11" cm="1">
        <f t="array" ref="DG23">PRODUCT(1 + 真實IC!$C23:DG23) - 1</f>
        <v>8954.1034530464149</v>
      </c>
      <c r="DH23" s="11" cm="1">
        <f t="array" ref="DH23">PRODUCT(1 + 真實IC!$C23:DH23) - 1</f>
        <v>10200.894687893622</v>
      </c>
      <c r="DI23" s="11" cm="1">
        <f t="array" ref="DI23">PRODUCT(1 + 真實IC!$C23:DI23) - 1</f>
        <v>11180.690273645791</v>
      </c>
      <c r="DJ23" s="11" cm="1">
        <f t="array" ref="DJ23">PRODUCT(1 + 真實IC!$C23:DJ23) - 1</f>
        <v>12522.857426346894</v>
      </c>
      <c r="DK23" s="11" cm="1">
        <f t="array" ref="DK23">PRODUCT(1 + 真實IC!$C23:DK23) - 1</f>
        <v>13665.596656205635</v>
      </c>
      <c r="DL23" s="11" cm="1">
        <f t="array" ref="DL23">PRODUCT(1 + 真實IC!$C23:DL23) - 1</f>
        <v>14024.244397708662</v>
      </c>
      <c r="DM23" s="11" cm="1">
        <f t="array" ref="DM23">PRODUCT(1 + 真實IC!$C23:DM23) - 1</f>
        <v>13372.388682010012</v>
      </c>
      <c r="DN23" s="11" cm="1">
        <f t="array" ref="DN23">PRODUCT(1 + 真實IC!$C23:DN23) - 1</f>
        <v>13459.278210049242</v>
      </c>
      <c r="DO23" s="11" cm="1">
        <f t="array" ref="DO23">PRODUCT(1 + 真實IC!$C23:DO23) - 1</f>
        <v>15129.273956291428</v>
      </c>
      <c r="DP23" s="11" cm="1">
        <f t="array" ref="DP23">PRODUCT(1 + 真實IC!$C23:DP23) - 1</f>
        <v>17804.905830294123</v>
      </c>
      <c r="DQ23" s="11" cm="1">
        <f t="array" ref="DQ23">PRODUCT(1 + 真實IC!$C23:DQ23) - 1</f>
        <v>22184.199060813262</v>
      </c>
      <c r="DR23" s="11" cm="1">
        <f t="array" ref="DR23">PRODUCT(1 + 真實IC!$C23:DR23) - 1</f>
        <v>20190.060197438415</v>
      </c>
      <c r="DS23" s="11" cm="1">
        <f t="array" ref="DS23">PRODUCT(1 + 真實IC!$C23:DS23) - 1</f>
        <v>17836.267332115163</v>
      </c>
      <c r="DT23" s="11" cm="1">
        <f t="array" ref="DT23">PRODUCT(1 + 真實IC!$C23:DT23) - 1</f>
        <v>17438.559466802875</v>
      </c>
      <c r="DU23" s="11" cm="1">
        <f t="array" ref="DU23">PRODUCT(1 + 真實IC!$C23:DU23) - 1</f>
        <v>18408.887464437877</v>
      </c>
      <c r="DV23" s="11" cm="1">
        <f t="array" ref="DV23">PRODUCT(1 + 真實IC!$C23:DV23) - 1</f>
        <v>23495.016683402118</v>
      </c>
      <c r="DW23" s="11" cm="1">
        <f t="array" ref="DW23">PRODUCT(1 + 真實IC!$C23:DW23) - 1</f>
        <v>24036.642648445846</v>
      </c>
      <c r="DX23" s="11" cm="1">
        <f t="array" ref="DX23">PRODUCT(1 + 真實IC!$C23:DX23) - 1</f>
        <v>31572.280316098917</v>
      </c>
      <c r="DY23" s="11" cm="1">
        <f t="array" ref="DY23">PRODUCT(1 + 真實IC!$C23:DY23) - 1</f>
        <v>29869.652512384673</v>
      </c>
      <c r="DZ23" s="11" cm="1">
        <f t="array" ref="DZ23">PRODUCT(1 + 真實IC!$C23:DZ23) - 1</f>
        <v>23382.523789502608</v>
      </c>
      <c r="EA23" s="11" cm="1">
        <f t="array" ref="EA23">PRODUCT(1 + 真實IC!$C23:EA23) - 1</f>
        <v>21199.389383202542</v>
      </c>
      <c r="EB23" s="11" cm="1">
        <f t="array" ref="EB23">PRODUCT(1 + 真實IC!$C23:EB23) - 1</f>
        <v>26378.319255772207</v>
      </c>
      <c r="EC23" s="11" cm="1">
        <f t="array" ref="EC23">PRODUCT(1 + 真實IC!$C23:EC23) - 1</f>
        <v>25413.249895659417</v>
      </c>
      <c r="ED23" s="11" cm="1">
        <f t="array" ref="ED23">PRODUCT(1 + 真實IC!$C23:ED23) - 1</f>
        <v>27736.770682603252</v>
      </c>
      <c r="EE23" s="11" cm="1">
        <f t="array" ref="EE23">PRODUCT(1 + 真實IC!$C23:EE23) - 1</f>
        <v>29656.559374741893</v>
      </c>
      <c r="EF23" s="11" cm="1">
        <f t="array" ref="EF23">PRODUCT(1 + 真實IC!$C23:EF23) - 1</f>
        <v>32427.045727359546</v>
      </c>
      <c r="EG23">
        <f t="shared" si="6"/>
        <v>618671.91178092419</v>
      </c>
      <c r="EH23" s="12">
        <f t="shared" si="7"/>
        <v>4374.9616869668998</v>
      </c>
    </row>
    <row r="24" spans="1:138" x14ac:dyDescent="0.3">
      <c r="A24" s="1">
        <v>1</v>
      </c>
      <c r="B24" s="1" t="s">
        <v>171</v>
      </c>
      <c r="C24" s="11" cm="1">
        <f t="array" ref="C24">PRODUCT(1 + 真實IC!$C24:C24) - 1</f>
        <v>9.9113364206882659E-2</v>
      </c>
      <c r="D24" s="11" cm="1">
        <f t="array" ref="D24">PRODUCT(1 + 真實IC!$C24:D24) - 1</f>
        <v>0.20969506404611526</v>
      </c>
      <c r="E24" s="11" cm="1">
        <f t="array" ref="E24">PRODUCT(1 + 真實IC!$C24:E24) - 1</f>
        <v>0.55386842816174742</v>
      </c>
      <c r="F24" s="11" cm="1">
        <f t="array" ref="F24">PRODUCT(1 + 真實IC!$C24:F24) - 1</f>
        <v>0.24069289877593314</v>
      </c>
      <c r="G24" s="11" cm="1">
        <f t="array" ref="G24">PRODUCT(1 + 真實IC!$C24:G24) - 1</f>
        <v>0.21262546193294352</v>
      </c>
      <c r="H24" s="11" cm="1">
        <f t="array" ref="H24">PRODUCT(1 + 真實IC!$C24:H24) - 1</f>
        <v>0.25610511391463398</v>
      </c>
      <c r="I24" s="11" cm="1">
        <f t="array" ref="I24">PRODUCT(1 + 真實IC!$C24:I24) - 1</f>
        <v>0.25345230381791928</v>
      </c>
      <c r="J24" s="11" cm="1">
        <f t="array" ref="J24">PRODUCT(1 + 真實IC!$C24:J24) - 1</f>
        <v>0.12814192829697957</v>
      </c>
      <c r="K24" s="11" cm="1">
        <f t="array" ref="K24">PRODUCT(1 + 真實IC!$C24:K24) - 1</f>
        <v>0.18505029877633472</v>
      </c>
      <c r="L24" s="11" cm="1">
        <f t="array" ref="L24">PRODUCT(1 + 真實IC!$C24:L24) - 1</f>
        <v>7.3892944257294202E-2</v>
      </c>
      <c r="M24" s="11" cm="1">
        <f t="array" ref="M24">PRODUCT(1 + 真實IC!$C24:M24) - 1</f>
        <v>-8.3775307867408499E-2</v>
      </c>
      <c r="N24" s="11" cm="1">
        <f t="array" ref="N24">PRODUCT(1 + 真實IC!$C24:N24) - 1</f>
        <v>1.5370549136706519</v>
      </c>
      <c r="O24" s="11" cm="1">
        <f t="array" ref="O24">PRODUCT(1 + 真實IC!$C24:O24) - 1</f>
        <v>1.6300349082964987</v>
      </c>
      <c r="P24" s="11" cm="1">
        <f t="array" ref="P24">PRODUCT(1 + 真實IC!$C24:P24) - 1</f>
        <v>1.9042118773267269</v>
      </c>
      <c r="Q24" s="11" cm="1">
        <f t="array" ref="Q24">PRODUCT(1 + 真實IC!$C24:Q24) - 1</f>
        <v>1.727156711611594</v>
      </c>
      <c r="R24" s="11" cm="1">
        <f t="array" ref="R24">PRODUCT(1 + 真實IC!$C24:R24) - 1</f>
        <v>1.0571014778656136</v>
      </c>
      <c r="S24" s="11" cm="1">
        <f t="array" ref="S24">PRODUCT(1 + 真實IC!$C24:S24) - 1</f>
        <v>1.7822594966814784</v>
      </c>
      <c r="T24" s="11" cm="1">
        <f t="array" ref="T24">PRODUCT(1 + 真實IC!$C24:T24) - 1</f>
        <v>1.0296952660535199</v>
      </c>
      <c r="U24" s="11" cm="1">
        <f t="array" ref="U24">PRODUCT(1 + 真實IC!$C24:U24) - 1</f>
        <v>1.331142916046351</v>
      </c>
      <c r="V24" s="11" cm="1">
        <f t="array" ref="V24">PRODUCT(1 + 真實IC!$C24:V24) - 1</f>
        <v>1.1746316058481225</v>
      </c>
      <c r="W24" s="11" cm="1">
        <f t="array" ref="W24">PRODUCT(1 + 真實IC!$C24:W24) - 1</f>
        <v>0.81676440470254397</v>
      </c>
      <c r="X24" s="11" cm="1">
        <f t="array" ref="X24">PRODUCT(1 + 真實IC!$C24:X24) - 1</f>
        <v>0.75107402564449766</v>
      </c>
      <c r="Y24" s="11" cm="1">
        <f t="array" ref="Y24">PRODUCT(1 + 真實IC!$C24:Y24) - 1</f>
        <v>0.73447907096620346</v>
      </c>
      <c r="Z24" s="11" cm="1">
        <f t="array" ref="Z24">PRODUCT(1 + 真實IC!$C24:Z24) - 1</f>
        <v>0.91806037245364935</v>
      </c>
      <c r="AA24" s="11" cm="1">
        <f t="array" ref="AA24">PRODUCT(1 + 真實IC!$C24:AA24) - 1</f>
        <v>1.3372420703737919</v>
      </c>
      <c r="AB24" s="11" cm="1">
        <f t="array" ref="AB24">PRODUCT(1 + 真實IC!$C24:AB24) - 1</f>
        <v>1.7937980545013139</v>
      </c>
      <c r="AC24" s="11" cm="1">
        <f t="array" ref="AC24">PRODUCT(1 + 真實IC!$C24:AC24) - 1</f>
        <v>2.9161989742040255</v>
      </c>
      <c r="AD24" s="11" cm="1">
        <f t="array" ref="AD24">PRODUCT(1 + 真實IC!$C24:AD24) - 1</f>
        <v>3.3124215773679895</v>
      </c>
      <c r="AE24" s="11" cm="1">
        <f t="array" ref="AE24">PRODUCT(1 + 真實IC!$C24:AE24) - 1</f>
        <v>4.1453303988124457</v>
      </c>
      <c r="AF24" s="11" cm="1">
        <f t="array" ref="AF24">PRODUCT(1 + 真實IC!$C24:AF24) - 1</f>
        <v>6.6942726037635465</v>
      </c>
      <c r="AG24" s="11" cm="1">
        <f t="array" ref="AG24">PRODUCT(1 + 真實IC!$C24:AG24) - 1</f>
        <v>7.7617430350616612</v>
      </c>
      <c r="AH24" s="11" cm="1">
        <f t="array" ref="AH24">PRODUCT(1 + 真實IC!$C24:AH24) - 1</f>
        <v>7.2649753353813225</v>
      </c>
      <c r="AI24" s="11" cm="1">
        <f t="array" ref="AI24">PRODUCT(1 + 真實IC!$C24:AI24) - 1</f>
        <v>9.8305413333030938</v>
      </c>
      <c r="AJ24" s="11" cm="1">
        <f t="array" ref="AJ24">PRODUCT(1 + 真實IC!$C24:AJ24) - 1</f>
        <v>8.9544453716655532</v>
      </c>
      <c r="AK24" s="11" cm="1">
        <f t="array" ref="AK24">PRODUCT(1 + 真實IC!$C24:AK24) - 1</f>
        <v>9.7994180454138977</v>
      </c>
      <c r="AL24" s="11" cm="1">
        <f t="array" ref="AL24">PRODUCT(1 + 真實IC!$C24:AL24) - 1</f>
        <v>10.740843290226193</v>
      </c>
      <c r="AM24" s="11" cm="1">
        <f t="array" ref="AM24">PRODUCT(1 + 真實IC!$C24:AM24) - 1</f>
        <v>10.518714971904101</v>
      </c>
      <c r="AN24" s="11" cm="1">
        <f t="array" ref="AN24">PRODUCT(1 + 真實IC!$C24:AN24) - 1</f>
        <v>13.066533375702242</v>
      </c>
      <c r="AO24" s="11" cm="1">
        <f t="array" ref="AO24">PRODUCT(1 + 真實IC!$C24:AO24) - 1</f>
        <v>14.514059875562808</v>
      </c>
      <c r="AP24" s="11" cm="1">
        <f t="array" ref="AP24">PRODUCT(1 + 真實IC!$C24:AP24) - 1</f>
        <v>14.868582757919974</v>
      </c>
      <c r="AQ24" s="11" cm="1">
        <f t="array" ref="AQ24">PRODUCT(1 + 真實IC!$C24:AQ24) - 1</f>
        <v>18.314083749753362</v>
      </c>
      <c r="AR24" s="11" cm="1">
        <f t="array" ref="AR24">PRODUCT(1 + 真實IC!$C24:AR24) - 1</f>
        <v>21.613574463792322</v>
      </c>
      <c r="AS24" s="11" cm="1">
        <f t="array" ref="AS24">PRODUCT(1 + 真實IC!$C24:AS24) - 1</f>
        <v>21.687900165752669</v>
      </c>
      <c r="AT24" s="11" cm="1">
        <f t="array" ref="AT24">PRODUCT(1 + 真實IC!$C24:AT24) - 1</f>
        <v>25.108531730398884</v>
      </c>
      <c r="AU24" s="11" cm="1">
        <f t="array" ref="AU24">PRODUCT(1 + 真實IC!$C24:AU24) - 1</f>
        <v>37.563716115136799</v>
      </c>
      <c r="AV24" s="11" cm="1">
        <f t="array" ref="AV24">PRODUCT(1 + 真實IC!$C24:AV24) - 1</f>
        <v>47.115357038333265</v>
      </c>
      <c r="AW24" s="11" cm="1">
        <f t="array" ref="AW24">PRODUCT(1 + 真實IC!$C24:AW24) - 1</f>
        <v>39.960076269310967</v>
      </c>
      <c r="AX24" s="11" cm="1">
        <f t="array" ref="AX24">PRODUCT(1 + 真實IC!$C24:AX24) - 1</f>
        <v>44.526769932766605</v>
      </c>
      <c r="AY24" s="11" cm="1">
        <f t="array" ref="AY24">PRODUCT(1 + 真實IC!$C24:AY24) - 1</f>
        <v>52.181062560882602</v>
      </c>
      <c r="AZ24" s="11" cm="1">
        <f t="array" ref="AZ24">PRODUCT(1 + 真實IC!$C24:AZ24) - 1</f>
        <v>58.489598305097779</v>
      </c>
      <c r="BA24" s="11" cm="1">
        <f t="array" ref="BA24">PRODUCT(1 + 真實IC!$C24:BA24) - 1</f>
        <v>61.493305781958391</v>
      </c>
      <c r="BB24" s="11" cm="1">
        <f t="array" ref="BB24">PRODUCT(1 + 真實IC!$C24:BB24) - 1</f>
        <v>116.03141053594831</v>
      </c>
      <c r="BC24" s="11" cm="1">
        <f t="array" ref="BC24">PRODUCT(1 + 真實IC!$C24:BC24) - 1</f>
        <v>115.52034962535045</v>
      </c>
      <c r="BD24" s="11" cm="1">
        <f t="array" ref="BD24">PRODUCT(1 + 真實IC!$C24:BD24) - 1</f>
        <v>117.69124423103362</v>
      </c>
      <c r="BE24" s="11" cm="1">
        <f t="array" ref="BE24">PRODUCT(1 + 真實IC!$C24:BE24) - 1</f>
        <v>110.88067678293838</v>
      </c>
      <c r="BF24" s="11" cm="1">
        <f t="array" ref="BF24">PRODUCT(1 + 真實IC!$C24:BF24) - 1</f>
        <v>103.67887052230977</v>
      </c>
      <c r="BG24" s="11" cm="1">
        <f t="array" ref="BG24">PRODUCT(1 + 真實IC!$C24:BG24) - 1</f>
        <v>94.154744330550756</v>
      </c>
      <c r="BH24" s="11" cm="1">
        <f t="array" ref="BH24">PRODUCT(1 + 真實IC!$C24:BH24) - 1</f>
        <v>108.20658467645906</v>
      </c>
      <c r="BI24" s="11" cm="1">
        <f t="array" ref="BI24">PRODUCT(1 + 真實IC!$C24:BI24) - 1</f>
        <v>132.6283555846185</v>
      </c>
      <c r="BJ24" s="11" cm="1">
        <f t="array" ref="BJ24">PRODUCT(1 + 真實IC!$C24:BJ24) - 1</f>
        <v>159.30592492604458</v>
      </c>
      <c r="BK24" s="11" cm="1">
        <f t="array" ref="BK24">PRODUCT(1 + 真實IC!$C24:BK24) - 1</f>
        <v>153.7228467330151</v>
      </c>
      <c r="BL24" s="11" cm="1">
        <f t="array" ref="BL24">PRODUCT(1 + 真實IC!$C24:BL24) - 1</f>
        <v>170.14001147687634</v>
      </c>
      <c r="BM24" s="11" cm="1">
        <f t="array" ref="BM24">PRODUCT(1 + 真實IC!$C24:BM24) - 1</f>
        <v>184.64976477396411</v>
      </c>
      <c r="BN24" s="11" cm="1">
        <f t="array" ref="BN24">PRODUCT(1 + 真實IC!$C24:BN24) - 1</f>
        <v>204.86948593249667</v>
      </c>
      <c r="BO24" s="11" cm="1">
        <f t="array" ref="BO24">PRODUCT(1 + 真實IC!$C24:BO24) - 1</f>
        <v>171.70191664789354</v>
      </c>
      <c r="BP24" s="11" cm="1">
        <f t="array" ref="BP24">PRODUCT(1 + 真實IC!$C24:BP24) - 1</f>
        <v>177.1928194037686</v>
      </c>
      <c r="BQ24" s="11" cm="1">
        <f t="array" ref="BQ24">PRODUCT(1 + 真實IC!$C24:BQ24) - 1</f>
        <v>165.75825152056936</v>
      </c>
      <c r="BR24" s="11" cm="1">
        <f t="array" ref="BR24">PRODUCT(1 + 真實IC!$C24:BR24) - 1</f>
        <v>182.25412603996023</v>
      </c>
      <c r="BS24" s="11" cm="1">
        <f t="array" ref="BS24">PRODUCT(1 + 真實IC!$C24:BS24) - 1</f>
        <v>159.96656928265307</v>
      </c>
      <c r="BT24" s="11" cm="1">
        <f t="array" ref="BT24">PRODUCT(1 + 真實IC!$C24:BT24) - 1</f>
        <v>204.50907996601353</v>
      </c>
      <c r="BU24" s="11" cm="1">
        <f t="array" ref="BU24">PRODUCT(1 + 真實IC!$C24:BU24) - 1</f>
        <v>206.30697457272717</v>
      </c>
      <c r="BV24" s="11" cm="1">
        <f t="array" ref="BV24">PRODUCT(1 + 真實IC!$C24:BV24) - 1</f>
        <v>196.71722223798028</v>
      </c>
      <c r="BW24" s="11" cm="1">
        <f t="array" ref="BW24">PRODUCT(1 + 真實IC!$C24:BW24) - 1</f>
        <v>226.57794922859921</v>
      </c>
      <c r="BX24" s="11" cm="1">
        <f t="array" ref="BX24">PRODUCT(1 + 真實IC!$C24:BX24) - 1</f>
        <v>202.9200757677178</v>
      </c>
      <c r="BY24" s="11" cm="1">
        <f t="array" ref="BY24">PRODUCT(1 + 真實IC!$C24:BY24) - 1</f>
        <v>227.06589121501679</v>
      </c>
      <c r="BZ24" s="11" cm="1">
        <f t="array" ref="BZ24">PRODUCT(1 + 真實IC!$C24:BZ24) - 1</f>
        <v>286.11053092048053</v>
      </c>
      <c r="CA24" s="11" cm="1">
        <f t="array" ref="CA24">PRODUCT(1 + 真實IC!$C24:CA24) - 1</f>
        <v>319.19188886088574</v>
      </c>
      <c r="CB24" s="11" cm="1">
        <f t="array" ref="CB24">PRODUCT(1 + 真實IC!$C24:CB24) - 1</f>
        <v>524.0180425701044</v>
      </c>
      <c r="CC24" s="11" cm="1">
        <f t="array" ref="CC24">PRODUCT(1 + 真實IC!$C24:CC24) - 1</f>
        <v>428.21806340353476</v>
      </c>
      <c r="CD24" s="11" cm="1">
        <f t="array" ref="CD24">PRODUCT(1 + 真實IC!$C24:CD24) - 1</f>
        <v>490.15693863720838</v>
      </c>
      <c r="CE24" s="11" cm="1">
        <f t="array" ref="CE24">PRODUCT(1 + 真實IC!$C24:CE24) - 1</f>
        <v>571.47527529253944</v>
      </c>
      <c r="CF24" s="11" cm="1">
        <f t="array" ref="CF24">PRODUCT(1 + 真實IC!$C24:CF24) - 1</f>
        <v>698.40527318220506</v>
      </c>
      <c r="CG24" s="11" cm="1">
        <f t="array" ref="CG24">PRODUCT(1 + 真實IC!$C24:CG24) - 1</f>
        <v>1062.0743099454053</v>
      </c>
      <c r="CH24" s="11" cm="1">
        <f t="array" ref="CH24">PRODUCT(1 + 真實IC!$C24:CH24) - 1</f>
        <v>1438.6974028155726</v>
      </c>
      <c r="CI24" s="11" cm="1">
        <f t="array" ref="CI24">PRODUCT(1 + 真實IC!$C24:CI24) - 1</f>
        <v>965.82616959039819</v>
      </c>
      <c r="CJ24" s="11" cm="1">
        <f t="array" ref="CJ24">PRODUCT(1 + 真實IC!$C24:CJ24) - 1</f>
        <v>675.59762509929124</v>
      </c>
      <c r="CK24" s="11" cm="1">
        <f t="array" ref="CK24">PRODUCT(1 + 真實IC!$C24:CK24) - 1</f>
        <v>894.17875678679775</v>
      </c>
      <c r="CL24" s="11" cm="1">
        <f t="array" ref="CL24">PRODUCT(1 + 真實IC!$C24:CL24) - 1</f>
        <v>1021.0751198831268</v>
      </c>
      <c r="CM24" s="11" cm="1">
        <f t="array" ref="CM24">PRODUCT(1 + 真實IC!$C24:CM24) - 1</f>
        <v>1671.5577248509833</v>
      </c>
      <c r="CN24" s="11" cm="1">
        <f t="array" ref="CN24">PRODUCT(1 + 真實IC!$C24:CN24) - 1</f>
        <v>2691.2780308055253</v>
      </c>
      <c r="CO24" s="11" cm="1">
        <f t="array" ref="CO24">PRODUCT(1 + 真實IC!$C24:CO24) - 1</f>
        <v>3909.4731067730481</v>
      </c>
      <c r="CP24" s="11" cm="1">
        <f t="array" ref="CP24">PRODUCT(1 + 真實IC!$C24:CP24) - 1</f>
        <v>4536.4948075283974</v>
      </c>
      <c r="CQ24" s="11" cm="1">
        <f t="array" ref="CQ24">PRODUCT(1 + 真實IC!$C24:CQ24) - 1</f>
        <v>3809.6351177363049</v>
      </c>
      <c r="CR24" s="11" cm="1">
        <f t="array" ref="CR24">PRODUCT(1 + 真實IC!$C24:CR24) - 1</f>
        <v>4334.6928365390404</v>
      </c>
      <c r="CS24" s="11" cm="1">
        <f t="array" ref="CS24">PRODUCT(1 + 真實IC!$C24:CS24) - 1</f>
        <v>4802.8359578306581</v>
      </c>
      <c r="CT24" s="11" cm="1">
        <f t="array" ref="CT24">PRODUCT(1 + 真實IC!$C24:CT24) - 1</f>
        <v>4228.5643265860799</v>
      </c>
      <c r="CU24" s="11" cm="1">
        <f t="array" ref="CU24">PRODUCT(1 + 真實IC!$C24:CU24) - 1</f>
        <v>4451.5852135048726</v>
      </c>
      <c r="CV24" s="11" cm="1">
        <f t="array" ref="CV24">PRODUCT(1 + 真實IC!$C24:CV24) - 1</f>
        <v>5265.8031785697249</v>
      </c>
      <c r="CW24" s="11" cm="1">
        <f t="array" ref="CW24">PRODUCT(1 + 真實IC!$C24:CW24) - 1</f>
        <v>4028.14016542838</v>
      </c>
      <c r="CX24" s="11" cm="1">
        <f t="array" ref="CX24">PRODUCT(1 + 真實IC!$C24:CX24) - 1</f>
        <v>4250.5776870206364</v>
      </c>
      <c r="CY24" s="11" cm="1">
        <f t="array" ref="CY24">PRODUCT(1 + 真實IC!$C24:CY24) - 1</f>
        <v>5615.9623045396474</v>
      </c>
      <c r="CZ24" s="11" cm="1">
        <f t="array" ref="CZ24">PRODUCT(1 + 真實IC!$C24:CZ24) - 1</f>
        <v>6246.2227068322682</v>
      </c>
      <c r="DA24" s="11" cm="1">
        <f t="array" ref="DA24">PRODUCT(1 + 真實IC!$C24:DA24) - 1</f>
        <v>6458.5007423905818</v>
      </c>
      <c r="DB24" s="11" cm="1">
        <f t="array" ref="DB24">PRODUCT(1 + 真實IC!$C24:DB24) - 1</f>
        <v>6351.906927688161</v>
      </c>
      <c r="DC24" s="11" cm="1">
        <f t="array" ref="DC24">PRODUCT(1 + 真實IC!$C24:DC24) - 1</f>
        <v>7566.4287261757891</v>
      </c>
      <c r="DD24" s="11" cm="1">
        <f t="array" ref="DD24">PRODUCT(1 + 真實IC!$C24:DD24) - 1</f>
        <v>6084.3877496624655</v>
      </c>
      <c r="DE24" s="11" cm="1">
        <f t="array" ref="DE24">PRODUCT(1 + 真實IC!$C24:DE24) - 1</f>
        <v>6885.1370949643924</v>
      </c>
      <c r="DF24" s="11" cm="1">
        <f t="array" ref="DF24">PRODUCT(1 + 真實IC!$C24:DF24) - 1</f>
        <v>10504.387502333107</v>
      </c>
      <c r="DG24" s="11" cm="1">
        <f t="array" ref="DG24">PRODUCT(1 + 真實IC!$C24:DG24) - 1</f>
        <v>11760.257060043894</v>
      </c>
      <c r="DH24" s="11" cm="1">
        <f t="array" ref="DH24">PRODUCT(1 + 真實IC!$C24:DH24) - 1</f>
        <v>14886.430659639389</v>
      </c>
      <c r="DI24" s="11" cm="1">
        <f t="array" ref="DI24">PRODUCT(1 + 真實IC!$C24:DI24) - 1</f>
        <v>15440.018403159285</v>
      </c>
      <c r="DJ24" s="11" cm="1">
        <f t="array" ref="DJ24">PRODUCT(1 + 真實IC!$C24:DJ24) - 1</f>
        <v>18981.722856924174</v>
      </c>
      <c r="DK24" s="11" cm="1">
        <f t="array" ref="DK24">PRODUCT(1 + 真實IC!$C24:DK24) - 1</f>
        <v>21253.578568265704</v>
      </c>
      <c r="DL24" s="11" cm="1">
        <f t="array" ref="DL24">PRODUCT(1 + 真實IC!$C24:DL24) - 1</f>
        <v>22557.77041739189</v>
      </c>
      <c r="DM24" s="11" cm="1">
        <f t="array" ref="DM24">PRODUCT(1 + 真實IC!$C24:DM24) - 1</f>
        <v>22548.443601028248</v>
      </c>
      <c r="DN24" s="11" cm="1">
        <f t="array" ref="DN24">PRODUCT(1 + 真實IC!$C24:DN24) - 1</f>
        <v>27810.008344882393</v>
      </c>
      <c r="DO24" s="11" cm="1">
        <f t="array" ref="DO24">PRODUCT(1 + 真實IC!$C24:DO24) - 1</f>
        <v>31025.293390808576</v>
      </c>
      <c r="DP24" s="11" cm="1">
        <f t="array" ref="DP24">PRODUCT(1 + 真實IC!$C24:DP24) - 1</f>
        <v>37961.898380131817</v>
      </c>
      <c r="DQ24" s="11" cm="1">
        <f t="array" ref="DQ24">PRODUCT(1 + 真實IC!$C24:DQ24) - 1</f>
        <v>51593.28573284849</v>
      </c>
      <c r="DR24" s="11" cm="1">
        <f t="array" ref="DR24">PRODUCT(1 + 真實IC!$C24:DR24) - 1</f>
        <v>50534.796445699591</v>
      </c>
      <c r="DS24" s="11" cm="1">
        <f t="array" ref="DS24">PRODUCT(1 + 真實IC!$C24:DS24) - 1</f>
        <v>47130.57654743555</v>
      </c>
      <c r="DT24" s="11" cm="1">
        <f t="array" ref="DT24">PRODUCT(1 + 真實IC!$C24:DT24) - 1</f>
        <v>45743.224355909464</v>
      </c>
      <c r="DU24" s="11" cm="1">
        <f t="array" ref="DU24">PRODUCT(1 + 真實IC!$C24:DU24) - 1</f>
        <v>44746.85131972059</v>
      </c>
      <c r="DV24" s="11" cm="1">
        <f t="array" ref="DV24">PRODUCT(1 + 真實IC!$C24:DV24) - 1</f>
        <v>51827.066609741589</v>
      </c>
      <c r="DW24" s="11" cm="1">
        <f t="array" ref="DW24">PRODUCT(1 + 真實IC!$C24:DW24) - 1</f>
        <v>57071.159786129538</v>
      </c>
      <c r="DX24" s="11" cm="1">
        <f t="array" ref="DX24">PRODUCT(1 + 真實IC!$C24:DX24) - 1</f>
        <v>74854.452563763203</v>
      </c>
      <c r="DY24" s="11" cm="1">
        <f t="array" ref="DY24">PRODUCT(1 + 真實IC!$C24:DY24) - 1</f>
        <v>74611.930133979971</v>
      </c>
      <c r="DZ24" s="11" cm="1">
        <f t="array" ref="DZ24">PRODUCT(1 + 真實IC!$C24:DZ24) - 1</f>
        <v>42266.734062078511</v>
      </c>
      <c r="EA24" s="11" cm="1">
        <f t="array" ref="EA24">PRODUCT(1 + 真實IC!$C24:EA24) - 1</f>
        <v>41287.327184204296</v>
      </c>
      <c r="EB24" s="11" cm="1">
        <f t="array" ref="EB24">PRODUCT(1 + 真實IC!$C24:EB24) - 1</f>
        <v>65634.967721106499</v>
      </c>
      <c r="EC24" s="11" cm="1">
        <f t="array" ref="EC24">PRODUCT(1 + 真實IC!$C24:EC24) - 1</f>
        <v>64695.722354582562</v>
      </c>
      <c r="ED24" s="11" cm="1">
        <f t="array" ref="ED24">PRODUCT(1 + 真實IC!$C24:ED24) - 1</f>
        <v>68329.921330717611</v>
      </c>
      <c r="EE24" s="11" cm="1">
        <f t="array" ref="EE24">PRODUCT(1 + 真實IC!$C24:EE24) - 1</f>
        <v>75674.173664776448</v>
      </c>
      <c r="EF24" s="11" cm="1">
        <f t="array" ref="EF24">PRODUCT(1 + 真實IC!$C24:EF24) - 1</f>
        <v>85821.236453781079</v>
      </c>
      <c r="EG24">
        <f t="shared" si="6"/>
        <v>1283583.9920262422</v>
      </c>
      <c r="EH24" s="12">
        <f t="shared" si="7"/>
        <v>8938.5280266601567</v>
      </c>
    </row>
    <row r="26" spans="1:138" x14ac:dyDescent="0.3">
      <c r="A26" t="s">
        <v>147</v>
      </c>
      <c r="B26" t="s">
        <v>148</v>
      </c>
      <c r="C26" s="19">
        <v>-1.7399999999999999E-2</v>
      </c>
      <c r="D26" s="19">
        <v>2.07E-2</v>
      </c>
      <c r="E26" s="19">
        <v>2.4E-2</v>
      </c>
      <c r="F26" s="19">
        <v>-6.6E-3</v>
      </c>
      <c r="G26" s="19">
        <v>3.1800000000000002E-2</v>
      </c>
      <c r="H26" s="19">
        <v>3.4299999999999997E-2</v>
      </c>
      <c r="I26" s="19">
        <v>-8.3000000000000001E-3</v>
      </c>
      <c r="J26" s="19">
        <v>1.2800000000000001E-2</v>
      </c>
      <c r="K26" s="19">
        <v>-5.0999999999999997E-2</v>
      </c>
      <c r="L26" s="19">
        <v>8.9999999999999998E-4</v>
      </c>
      <c r="M26" s="19">
        <v>2.3400000000000001E-2</v>
      </c>
      <c r="N26" s="19">
        <v>1.2999999999999999E-2</v>
      </c>
      <c r="O26" s="19">
        <v>5.8999999999999999E-3</v>
      </c>
      <c r="P26" s="19">
        <v>2.7400000000000001E-2</v>
      </c>
      <c r="Q26" s="19">
        <v>-3.7000000000000002E-3</v>
      </c>
      <c r="R26" s="19">
        <v>2.41E-2</v>
      </c>
      <c r="S26" s="19">
        <v>-1.2200000000000001E-2</v>
      </c>
      <c r="T26" s="19">
        <v>-3.9699999999999999E-2</v>
      </c>
      <c r="U26" s="19">
        <v>-7.3200000000000001E-2</v>
      </c>
      <c r="V26" s="19">
        <v>-5.8299999999999998E-2</v>
      </c>
      <c r="W26" s="19">
        <v>8.0000000000000004E-4</v>
      </c>
      <c r="X26" s="19">
        <v>4.4600000000000001E-2</v>
      </c>
      <c r="Y26" s="19">
        <v>-2.7699999999999999E-2</v>
      </c>
      <c r="Z26" s="19">
        <v>2.0999999999999999E-3</v>
      </c>
      <c r="AA26" s="19">
        <v>-2.3400000000000001E-2</v>
      </c>
      <c r="AB26" s="19">
        <v>3.2099999999999997E-2</v>
      </c>
      <c r="AC26" s="19">
        <v>3.8899999999999997E-2</v>
      </c>
      <c r="AD26" s="19">
        <v>-4.2900000000000001E-2</v>
      </c>
      <c r="AE26" s="19">
        <v>1.8599999999999998E-2</v>
      </c>
      <c r="AF26" s="19">
        <v>1.52E-2</v>
      </c>
      <c r="AG26" s="19">
        <v>3.5999999999999997E-2</v>
      </c>
      <c r="AH26" s="19">
        <v>9.4000000000000004E-3</v>
      </c>
      <c r="AI26" s="19">
        <v>1.0699999999999999E-2</v>
      </c>
      <c r="AJ26" s="19">
        <v>1.34E-2</v>
      </c>
      <c r="AK26" s="19">
        <v>-5.3E-3</v>
      </c>
      <c r="AL26" s="19">
        <v>1.4E-3</v>
      </c>
      <c r="AM26" s="19">
        <v>2.0799999999999999E-2</v>
      </c>
      <c r="AN26" s="19">
        <v>3.15E-2</v>
      </c>
      <c r="AO26" s="19">
        <v>6.1999999999999998E-3</v>
      </c>
      <c r="AP26" s="19">
        <v>6.1000000000000004E-3</v>
      </c>
      <c r="AQ26" s="19">
        <v>1.6899999999999998E-2</v>
      </c>
      <c r="AR26" s="19">
        <v>3.4700000000000002E-2</v>
      </c>
      <c r="AS26" s="19">
        <v>3.0999999999999999E-3</v>
      </c>
      <c r="AT26" s="19">
        <v>1.5100000000000001E-2</v>
      </c>
      <c r="AU26" s="19">
        <v>-1.9300000000000001E-2</v>
      </c>
      <c r="AV26" s="19">
        <v>3.8699999999999998E-2</v>
      </c>
      <c r="AW26" s="19">
        <v>-2.1899999999999999E-2</v>
      </c>
      <c r="AX26" s="19">
        <v>7.7999999999999996E-3</v>
      </c>
      <c r="AY26" s="19">
        <v>4.24E-2</v>
      </c>
      <c r="AZ26" s="19">
        <v>-2.63E-2</v>
      </c>
      <c r="BA26" s="19">
        <v>9.5999999999999992E-3</v>
      </c>
      <c r="BB26" s="19">
        <v>-2.4199999999999999E-2</v>
      </c>
      <c r="BC26" s="19">
        <v>2.0199999999999999E-2</v>
      </c>
      <c r="BD26" s="19">
        <v>-3.5000000000000001E-3</v>
      </c>
      <c r="BE26" s="19">
        <v>2.0199999999999999E-2</v>
      </c>
      <c r="BF26" s="19">
        <v>5.9999999999999995E-4</v>
      </c>
      <c r="BG26" s="19">
        <v>-5.1999999999999998E-3</v>
      </c>
      <c r="BH26" s="19">
        <v>-0.1159</v>
      </c>
      <c r="BI26" s="19">
        <v>8.6999999999999994E-3</v>
      </c>
      <c r="BJ26" s="19">
        <v>-1.6400000000000001E-2</v>
      </c>
      <c r="BK26" s="19">
        <v>2.0799999999999999E-2</v>
      </c>
      <c r="BL26" s="19">
        <v>4.4999999999999998E-2</v>
      </c>
      <c r="BM26" s="19">
        <v>2.4E-2</v>
      </c>
      <c r="BN26" s="19">
        <v>3.0200000000000001E-2</v>
      </c>
      <c r="BO26" s="19">
        <v>-4.3700000000000003E-2</v>
      </c>
      <c r="BP26" s="19">
        <v>2.1899999999999999E-2</v>
      </c>
      <c r="BQ26" s="19">
        <v>8.6E-3</v>
      </c>
      <c r="BR26" s="19">
        <v>-1.9199999999999998E-2</v>
      </c>
      <c r="BS26" s="19">
        <v>1.9699999999999999E-2</v>
      </c>
      <c r="BT26" s="19">
        <v>4.7699999999999999E-2</v>
      </c>
      <c r="BU26" s="19">
        <v>1.15E-2</v>
      </c>
      <c r="BV26" s="19">
        <v>4.3200000000000002E-2</v>
      </c>
      <c r="BW26" s="19">
        <v>-4.2700000000000002E-2</v>
      </c>
      <c r="BX26" s="19">
        <v>-1.78E-2</v>
      </c>
      <c r="BY26" s="19">
        <v>-0.1512</v>
      </c>
      <c r="BZ26" s="19">
        <v>0.1242</v>
      </c>
      <c r="CA26" s="19">
        <v>-4.5999999999999999E-3</v>
      </c>
      <c r="CB26" s="19">
        <v>6.0199999999999997E-2</v>
      </c>
      <c r="CC26" s="19">
        <v>8.5999999999999993E-2</v>
      </c>
      <c r="CD26" s="19">
        <v>-5.7999999999999996E-3</v>
      </c>
      <c r="CE26" s="19">
        <v>-6.0000000000000001E-3</v>
      </c>
      <c r="CF26" s="19">
        <v>2.5000000000000001E-3</v>
      </c>
      <c r="CG26" s="19">
        <v>8.9599999999999999E-2</v>
      </c>
      <c r="CH26" s="19">
        <v>7.0999999999999994E-2</v>
      </c>
      <c r="CI26" s="19">
        <v>2.7199999999999998E-2</v>
      </c>
      <c r="CJ26" s="19">
        <v>5.2499999999999998E-2</v>
      </c>
      <c r="CK26" s="19">
        <v>2.9499999999999998E-2</v>
      </c>
      <c r="CL26" s="19">
        <v>6.6799999999999998E-2</v>
      </c>
      <c r="CM26" s="19">
        <v>-2.8799999999999999E-2</v>
      </c>
      <c r="CN26" s="19">
        <v>3.95E-2</v>
      </c>
      <c r="CO26" s="19">
        <v>-2.9000000000000001E-2</v>
      </c>
      <c r="CP26" s="19">
        <v>1.4E-2</v>
      </c>
      <c r="CQ26" s="19">
        <v>-3.2300000000000002E-2</v>
      </c>
      <c r="CR26" s="19">
        <v>3.0999999999999999E-3</v>
      </c>
      <c r="CS26" s="19">
        <v>2.5600000000000001E-2</v>
      </c>
      <c r="CT26" s="19">
        <v>4.4400000000000002E-2</v>
      </c>
      <c r="CU26" s="19">
        <v>-3.0300000000000001E-2</v>
      </c>
      <c r="CV26" s="19">
        <v>-1.2999999999999999E-3</v>
      </c>
      <c r="CW26" s="19">
        <v>2.3E-3</v>
      </c>
      <c r="CX26" s="19">
        <v>-6.4299999999999996E-2</v>
      </c>
      <c r="CY26" s="19">
        <v>1.29E-2</v>
      </c>
      <c r="CZ26" s="19">
        <v>-0.1255</v>
      </c>
      <c r="DA26" s="19">
        <v>1.17E-2</v>
      </c>
      <c r="DB26" s="19">
        <v>6.3E-3</v>
      </c>
      <c r="DC26" s="19">
        <v>-0.1173</v>
      </c>
      <c r="DD26" s="19">
        <v>-3.5999999999999997E-2</v>
      </c>
      <c r="DE26" s="19">
        <v>0.1389</v>
      </c>
      <c r="DF26" s="19">
        <v>-5.11E-2</v>
      </c>
      <c r="DG26" s="19">
        <v>7.6700000000000004E-2</v>
      </c>
      <c r="DH26" s="19">
        <v>1.55E-2</v>
      </c>
      <c r="DI26" s="19">
        <v>2.3199999999999998E-2</v>
      </c>
      <c r="DJ26" s="19">
        <v>-1.84E-2</v>
      </c>
      <c r="DK26" s="19">
        <v>6.2199999999999998E-2</v>
      </c>
      <c r="DL26" s="19">
        <v>2.01E-2</v>
      </c>
      <c r="DM26" s="19">
        <v>1.35E-2</v>
      </c>
      <c r="DN26" s="19">
        <v>-3.0300000000000001E-2</v>
      </c>
      <c r="DO26" s="19">
        <v>-1.7000000000000001E-2</v>
      </c>
      <c r="DP26" s="19">
        <v>-2.18E-2</v>
      </c>
      <c r="DQ26" s="19">
        <v>8.5699999999999998E-2</v>
      </c>
      <c r="DR26" s="19">
        <v>2.81E-2</v>
      </c>
      <c r="DS26" s="19">
        <v>-2.3E-3</v>
      </c>
      <c r="DT26" s="19">
        <v>5.8500000000000003E-2</v>
      </c>
      <c r="DU26" s="19">
        <v>6.7699999999999996E-2</v>
      </c>
      <c r="DV26" s="19">
        <v>5.0000000000000001E-3</v>
      </c>
      <c r="DW26" s="19">
        <v>3.7400000000000003E-2</v>
      </c>
      <c r="DX26" s="19">
        <v>8.4099999999999994E-2</v>
      </c>
      <c r="DY26" s="19">
        <v>-3.6799999999999999E-2</v>
      </c>
      <c r="DZ26" s="19">
        <v>3.0999999999999999E-3</v>
      </c>
      <c r="EA26" s="19">
        <v>-2E-3</v>
      </c>
      <c r="EB26" s="19">
        <v>2.6499999999999999E-2</v>
      </c>
      <c r="EC26" s="19">
        <v>-2.4799999999999999E-2</v>
      </c>
      <c r="ED26" s="19">
        <v>3.4099999999999998E-2</v>
      </c>
      <c r="EE26" s="19">
        <v>2.1100000000000001E-2</v>
      </c>
      <c r="EF26" s="19">
        <v>-2.0277393000000001E-2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AC2A-11AC-4A66-A3C4-D5CD561D055D}">
  <dimension ref="A1:EG25"/>
  <sheetViews>
    <sheetView topLeftCell="DK27" zoomScale="87" workbookViewId="0">
      <selection activeCell="DW34" sqref="DW34"/>
    </sheetView>
  </sheetViews>
  <sheetFormatPr defaultRowHeight="15" x14ac:dyDescent="0.3"/>
  <cols>
    <col min="137" max="137" width="10" bestFit="1" customWidth="1"/>
  </cols>
  <sheetData>
    <row r="1" spans="1:137" x14ac:dyDescent="0.3">
      <c r="A1" t="s">
        <v>149</v>
      </c>
    </row>
    <row r="2" spans="1:137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144</v>
      </c>
    </row>
    <row r="3" spans="1:137" x14ac:dyDescent="0.3">
      <c r="B3" s="1" t="s">
        <v>136</v>
      </c>
      <c r="C3" s="7">
        <v>7.8798868708971931E-2</v>
      </c>
      <c r="D3" s="7">
        <v>0.1797330866000155</v>
      </c>
      <c r="E3" s="7">
        <v>1.5489078774061971E-2</v>
      </c>
      <c r="F3" s="7">
        <v>-2.2168251176828441E-2</v>
      </c>
      <c r="G3" s="7">
        <v>-8.1037288150826448E-3</v>
      </c>
      <c r="H3" s="7">
        <v>-1.5401268795349249E-2</v>
      </c>
      <c r="I3" s="7">
        <v>-0.196765586355543</v>
      </c>
      <c r="J3" s="7">
        <v>0.27883034253821021</v>
      </c>
      <c r="K3" s="7">
        <v>-5.6931615083873344E-3</v>
      </c>
      <c r="L3" s="7">
        <v>-4.7889749224815682E-2</v>
      </c>
      <c r="M3" s="7">
        <v>-5.2700847804917073E-3</v>
      </c>
      <c r="N3" s="7">
        <v>-0.1910696506679144</v>
      </c>
      <c r="O3" s="7">
        <v>0.31084678168383018</v>
      </c>
      <c r="P3" s="7">
        <v>0.113770913143069</v>
      </c>
      <c r="Q3" s="7">
        <v>-0.12307050339382571</v>
      </c>
      <c r="R3" s="7">
        <v>-0.1125584938483795</v>
      </c>
      <c r="S3" s="7">
        <v>0.1046658927019708</v>
      </c>
      <c r="T3" s="7">
        <v>-0.14458476697667119</v>
      </c>
      <c r="U3" s="7">
        <v>-0.26280780822848671</v>
      </c>
      <c r="V3" s="7">
        <v>3.0188655456815931E-3</v>
      </c>
      <c r="W3" s="7">
        <v>0.13196040423464189</v>
      </c>
      <c r="X3" s="7">
        <v>-8.9415173838412076E-2</v>
      </c>
      <c r="Y3" s="7">
        <v>0.27906324575998881</v>
      </c>
      <c r="Z3" s="7">
        <v>0.1030897419422631</v>
      </c>
      <c r="AA3" s="7">
        <v>0.48637748963693123</v>
      </c>
      <c r="AB3" s="7">
        <v>-0.23481983175156351</v>
      </c>
      <c r="AC3" s="7">
        <v>1.209651139005685E-2</v>
      </c>
      <c r="AD3" s="7">
        <v>2.4631762383159009E-2</v>
      </c>
      <c r="AE3" s="7">
        <v>-5.6680955135345323E-3</v>
      </c>
      <c r="AF3" s="7">
        <v>-5.6269213313917182E-2</v>
      </c>
      <c r="AG3" s="7">
        <v>0.1224049331936681</v>
      </c>
      <c r="AH3" s="7">
        <v>4.3996774628333513E-2</v>
      </c>
      <c r="AI3" s="7">
        <v>0.16226838670026769</v>
      </c>
      <c r="AJ3" s="7">
        <v>6.8930166950288974E-2</v>
      </c>
      <c r="AK3" s="7">
        <v>8.7359955926435195E-2</v>
      </c>
      <c r="AL3" s="7">
        <v>0.1873807232887153</v>
      </c>
      <c r="AM3" s="7">
        <v>9.6837349683265961E-2</v>
      </c>
      <c r="AN3" s="7">
        <v>0.2075736584826228</v>
      </c>
      <c r="AO3" s="7">
        <v>0.1179758622033649</v>
      </c>
      <c r="AP3" s="7">
        <v>-2.8503518413618201E-2</v>
      </c>
      <c r="AQ3" s="7">
        <v>-0.2114396427417905</v>
      </c>
      <c r="AR3" s="7">
        <v>-3.2302566009505602E-2</v>
      </c>
      <c r="AS3" s="7">
        <v>0.14111009314114389</v>
      </c>
      <c r="AT3" s="7">
        <v>-3.480751243628416E-2</v>
      </c>
      <c r="AU3" s="7">
        <v>4.4456114444751893E-2</v>
      </c>
      <c r="AV3" s="7">
        <v>2.116273888563508E-2</v>
      </c>
      <c r="AW3" s="7">
        <v>-0.1741550037979904</v>
      </c>
      <c r="AX3" s="7">
        <v>7.6317816973352492E-2</v>
      </c>
      <c r="AY3" s="7">
        <v>9.0306432388433944E-3</v>
      </c>
      <c r="AZ3" s="7">
        <v>1.6638949885503629E-2</v>
      </c>
      <c r="BA3" s="7">
        <v>0.16049954912817649</v>
      </c>
      <c r="BB3" s="7">
        <v>-0.123740953293938</v>
      </c>
      <c r="BC3" s="7">
        <v>0.1567368975950931</v>
      </c>
      <c r="BD3" s="7">
        <v>0.16688346547535879</v>
      </c>
      <c r="BE3" s="7">
        <v>-0.13147229447438241</v>
      </c>
      <c r="BF3" s="7">
        <v>9.9500132775893202E-3</v>
      </c>
      <c r="BG3" s="7">
        <v>0.31531123716866039</v>
      </c>
      <c r="BH3" s="7">
        <v>0.27010117711850462</v>
      </c>
      <c r="BI3" s="7">
        <v>5.6315448743319063E-2</v>
      </c>
      <c r="BJ3" s="7">
        <v>-2.409816856997149E-3</v>
      </c>
      <c r="BK3" s="7">
        <v>7.9800375711835514E-2</v>
      </c>
      <c r="BL3" s="7">
        <v>-2.3392393936945088E-2</v>
      </c>
      <c r="BM3" s="7">
        <v>9.4008939681696324E-2</v>
      </c>
      <c r="BN3" s="7">
        <v>1.764390595780152E-2</v>
      </c>
      <c r="BO3" s="7">
        <v>-0.149287939972541</v>
      </c>
      <c r="BP3" s="7">
        <v>4.1225940656230857E-2</v>
      </c>
      <c r="BQ3" s="7">
        <v>-8.2741207352384993E-2</v>
      </c>
      <c r="BR3" s="7">
        <v>0.21346470331308601</v>
      </c>
      <c r="BS3" s="7">
        <v>-6.7985397750362997E-2</v>
      </c>
      <c r="BT3" s="7">
        <v>0.14435039701784511</v>
      </c>
      <c r="BU3" s="7">
        <v>0.1137793780847101</v>
      </c>
      <c r="BV3" s="7">
        <v>5.6009583131789156E-3</v>
      </c>
      <c r="BW3" s="7">
        <v>0.1131466357554793</v>
      </c>
      <c r="BX3" s="7">
        <v>-9.0571156630968819E-2</v>
      </c>
      <c r="BY3" s="7">
        <v>0.1185697363729489</v>
      </c>
      <c r="BZ3" s="7">
        <v>-0.14071284467671319</v>
      </c>
      <c r="CA3" s="7">
        <v>7.3472777058867567E-2</v>
      </c>
      <c r="CB3" s="7">
        <v>-0.1710256064919487</v>
      </c>
      <c r="CC3" s="7">
        <v>8.6731635966007636E-2</v>
      </c>
      <c r="CD3" s="7">
        <v>3.1267715866912023E-2</v>
      </c>
      <c r="CE3" s="7">
        <v>0.21879703659667429</v>
      </c>
      <c r="CF3" s="7">
        <v>-0.14159470736568711</v>
      </c>
      <c r="CG3" s="7">
        <v>9.9731607421901125E-2</v>
      </c>
      <c r="CH3" s="7">
        <v>4.5308069873117418E-2</v>
      </c>
      <c r="CI3" s="7">
        <v>8.9441140161070076E-2</v>
      </c>
      <c r="CJ3" s="7">
        <v>-0.39111281147264998</v>
      </c>
      <c r="CK3" s="7">
        <v>-0.1097911700085549</v>
      </c>
      <c r="CL3" s="7">
        <v>-4.3456184080796323E-2</v>
      </c>
      <c r="CM3" s="7">
        <v>0.18311247425732111</v>
      </c>
      <c r="CN3" s="7">
        <v>-0.39746167912504499</v>
      </c>
      <c r="CO3" s="7">
        <v>-9.6930225730283204E-2</v>
      </c>
      <c r="CP3" s="7">
        <v>-9.5682049872747255E-2</v>
      </c>
      <c r="CQ3" s="7">
        <v>0.1719749674179798</v>
      </c>
      <c r="CR3" s="7">
        <v>6.193948475943406E-2</v>
      </c>
      <c r="CS3" s="7">
        <v>-4.766403897443855E-2</v>
      </c>
      <c r="CT3" s="7">
        <v>-1.0473980040770331E-2</v>
      </c>
      <c r="CU3" s="7">
        <v>-3.4400594909697269E-2</v>
      </c>
      <c r="CV3" s="7">
        <v>-2.258422919649378E-2</v>
      </c>
      <c r="CW3" s="7">
        <v>3.9676013642423347E-2</v>
      </c>
      <c r="CX3" s="7">
        <v>-5.3904732790442063E-2</v>
      </c>
      <c r="CY3" s="7">
        <v>2.7221884648997659E-2</v>
      </c>
      <c r="CZ3" s="7">
        <v>9.887843547877545E-2</v>
      </c>
      <c r="DA3" s="7">
        <v>0.31254073484350059</v>
      </c>
      <c r="DB3" s="7">
        <v>-0.15564612733519101</v>
      </c>
      <c r="DC3" s="7">
        <v>-0.1869585274246745</v>
      </c>
      <c r="DD3" s="7">
        <v>-0.1685228634155537</v>
      </c>
      <c r="DE3" s="7">
        <v>0.167797614048632</v>
      </c>
      <c r="DF3" s="7">
        <v>-9.1638386466207117E-2</v>
      </c>
      <c r="DG3" s="7">
        <v>-7.5708963031610038E-2</v>
      </c>
      <c r="DH3" s="7">
        <v>7.7960520930383534E-3</v>
      </c>
      <c r="DI3" s="7">
        <v>-2.550037968045427E-3</v>
      </c>
      <c r="DJ3" s="7">
        <v>-6.8988362574604056E-2</v>
      </c>
      <c r="DK3" s="7">
        <v>4.6125318624910372E-2</v>
      </c>
      <c r="DL3" s="7">
        <v>-5.8337699674184812E-2</v>
      </c>
      <c r="DM3" s="7">
        <v>-7.0566061856034673E-2</v>
      </c>
      <c r="DN3" s="7">
        <v>2.8092871036590469E-2</v>
      </c>
      <c r="DO3" s="7">
        <v>-7.0883392118803512E-2</v>
      </c>
      <c r="DP3" s="7">
        <v>0.16113140194021491</v>
      </c>
      <c r="DQ3" s="7">
        <v>0.1547440050249741</v>
      </c>
      <c r="DR3" s="7">
        <v>-0.1074253347743111</v>
      </c>
      <c r="DS3" s="7">
        <v>0.1128417239921658</v>
      </c>
      <c r="DT3" s="7">
        <v>-9.1401515312696358E-2</v>
      </c>
      <c r="DU3" s="7">
        <v>-6.5441570505782948E-2</v>
      </c>
      <c r="DV3" s="7">
        <v>-7.3758705524151646E-2</v>
      </c>
      <c r="DW3" s="7">
        <v>6.6155769939567149E-2</v>
      </c>
      <c r="DX3" s="7">
        <v>6.9417132083775007E-2</v>
      </c>
      <c r="DY3" s="7">
        <v>-0.1029921683468592</v>
      </c>
      <c r="DZ3" s="7">
        <v>0.26391340422439702</v>
      </c>
      <c r="EA3" s="7">
        <v>-8.9759100562535832E-2</v>
      </c>
      <c r="EB3" s="7">
        <v>0.1943247699855464</v>
      </c>
      <c r="EC3" s="7">
        <v>-3.0097119912413432E-2</v>
      </c>
      <c r="ED3" s="7">
        <v>2.8618294955548351E-2</v>
      </c>
      <c r="EE3" s="7">
        <v>-8.7371804917649953E-2</v>
      </c>
      <c r="EF3" s="7">
        <v>-2.097644515945218E-2</v>
      </c>
      <c r="EG3" s="1"/>
    </row>
    <row r="4" spans="1:137" x14ac:dyDescent="0.3">
      <c r="B4" s="1" t="s">
        <v>137</v>
      </c>
      <c r="C4" s="7">
        <v>-0.20373737278850079</v>
      </c>
      <c r="D4" s="7">
        <v>-0.19625335237819111</v>
      </c>
      <c r="E4" s="7">
        <v>-0.25415940811056359</v>
      </c>
      <c r="F4" s="7">
        <v>4.6203751390931913E-2</v>
      </c>
      <c r="G4" s="7">
        <v>3.0789039449800271E-2</v>
      </c>
      <c r="H4" s="7">
        <v>-5.1609232396986122E-2</v>
      </c>
      <c r="I4" s="7">
        <v>1.151272534425374E-3</v>
      </c>
      <c r="J4" s="7">
        <v>4.8762634606076112E-2</v>
      </c>
      <c r="K4" s="7">
        <v>-0.1019817977011339</v>
      </c>
      <c r="L4" s="7">
        <v>-1.8321503973252721E-2</v>
      </c>
      <c r="M4" s="7">
        <v>-5.4833735050777932E-2</v>
      </c>
      <c r="N4" s="7">
        <v>-3.0149620485337539E-2</v>
      </c>
      <c r="O4" s="7">
        <v>-0.18672650958156109</v>
      </c>
      <c r="P4" s="7">
        <v>3.0188496442265841E-2</v>
      </c>
      <c r="Q4" s="7">
        <v>9.7889818288440011E-2</v>
      </c>
      <c r="R4" s="7">
        <v>-9.380784496339345E-2</v>
      </c>
      <c r="S4" s="7">
        <v>2.2756317670806329E-2</v>
      </c>
      <c r="T4" s="7">
        <v>7.3507175756873266E-2</v>
      </c>
      <c r="U4" s="7">
        <v>6.8550642870981449E-3</v>
      </c>
      <c r="V4" s="7">
        <v>-2.1638526708681379E-2</v>
      </c>
      <c r="W4" s="7">
        <v>-6.0385491305918748E-3</v>
      </c>
      <c r="X4" s="7">
        <v>-0.16973075948726549</v>
      </c>
      <c r="Y4" s="7">
        <v>-0.2336530995268635</v>
      </c>
      <c r="Z4" s="7">
        <v>-9.998148525383499E-3</v>
      </c>
      <c r="AA4" s="7">
        <v>-2.4349471614097951E-3</v>
      </c>
      <c r="AB4" s="7">
        <v>-0.16380781721638549</v>
      </c>
      <c r="AC4" s="7">
        <v>-6.5405588207859466E-2</v>
      </c>
      <c r="AD4" s="7">
        <v>-5.3691935268133761E-2</v>
      </c>
      <c r="AE4" s="7">
        <v>4.3446009950345747E-2</v>
      </c>
      <c r="AF4" s="7">
        <v>8.0856156973185378E-2</v>
      </c>
      <c r="AG4" s="7">
        <v>-0.1008200200700493</v>
      </c>
      <c r="AH4" s="7">
        <v>0.1185484902349838</v>
      </c>
      <c r="AI4" s="7">
        <v>-8.6917583432359891E-2</v>
      </c>
      <c r="AJ4" s="7">
        <v>-9.6714761437004526E-2</v>
      </c>
      <c r="AK4" s="7">
        <v>7.7115472579782463E-2</v>
      </c>
      <c r="AL4" s="7">
        <v>1.9375682024094228E-2</v>
      </c>
      <c r="AM4" s="7">
        <v>-6.6846435244087843E-3</v>
      </c>
      <c r="AN4" s="7">
        <v>1.143271994558326E-2</v>
      </c>
      <c r="AO4" s="7">
        <v>-4.4564575721720352E-2</v>
      </c>
      <c r="AP4" s="7">
        <v>7.9750638168698984E-2</v>
      </c>
      <c r="AQ4" s="7">
        <v>-9.0693006788388431E-2</v>
      </c>
      <c r="AR4" s="7">
        <v>0.1144314103616733</v>
      </c>
      <c r="AS4" s="7">
        <v>8.2295799616039389E-2</v>
      </c>
      <c r="AT4" s="7">
        <v>1.0311530981850231E-2</v>
      </c>
      <c r="AU4" s="7">
        <v>-3.3710155553132282E-2</v>
      </c>
      <c r="AV4" s="7">
        <v>-0.21769900369851489</v>
      </c>
      <c r="AW4" s="7">
        <v>5.245717031440833E-2</v>
      </c>
      <c r="AX4" s="7">
        <v>1.3927468226748729E-2</v>
      </c>
      <c r="AY4" s="7">
        <v>0.1050107086686278</v>
      </c>
      <c r="AZ4" s="7">
        <v>1.7528918973958699E-2</v>
      </c>
      <c r="BA4" s="7">
        <v>-0.15432648292571119</v>
      </c>
      <c r="BB4" s="7">
        <v>-0.25246377965845751</v>
      </c>
      <c r="BC4" s="7">
        <v>-0.14987217699416711</v>
      </c>
      <c r="BD4" s="7">
        <v>-2.2774061820067359E-2</v>
      </c>
      <c r="BE4" s="7">
        <v>-3.1425095001580423E-2</v>
      </c>
      <c r="BF4" s="7">
        <v>0.1232771881685419</v>
      </c>
      <c r="BG4" s="7">
        <v>-7.5330977107530117E-2</v>
      </c>
      <c r="BH4" s="7">
        <v>-6.4736813987872566E-2</v>
      </c>
      <c r="BI4" s="7">
        <v>1.821390966158987E-2</v>
      </c>
      <c r="BJ4" s="7">
        <v>-0.1508508871203755</v>
      </c>
      <c r="BK4" s="7">
        <v>-5.8953203032860557E-2</v>
      </c>
      <c r="BL4" s="7">
        <v>-4.7773781438463558E-2</v>
      </c>
      <c r="BM4" s="7">
        <v>2.034180601101987E-2</v>
      </c>
      <c r="BN4" s="7">
        <v>4.0714107422102692E-2</v>
      </c>
      <c r="BO4" s="7">
        <v>4.5214638741134287E-2</v>
      </c>
      <c r="BP4" s="7">
        <v>8.3627121253362802E-2</v>
      </c>
      <c r="BQ4" s="7">
        <v>3.0825396788037199E-2</v>
      </c>
      <c r="BR4" s="7">
        <v>-0.11545472065009039</v>
      </c>
      <c r="BS4" s="7">
        <v>-1.926452999418871E-2</v>
      </c>
      <c r="BT4" s="7">
        <v>-3.4111549917248851E-2</v>
      </c>
      <c r="BU4" s="7">
        <v>-4.5269937245304703E-2</v>
      </c>
      <c r="BV4" s="7">
        <v>0.17197266141593739</v>
      </c>
      <c r="BW4" s="7">
        <v>-0.10029050755647261</v>
      </c>
      <c r="BX4" s="7">
        <v>-6.8044962494687056E-2</v>
      </c>
      <c r="BY4" s="7">
        <v>-0.1826948620902353</v>
      </c>
      <c r="BZ4" s="7">
        <v>8.5574019762324482E-2</v>
      </c>
      <c r="CA4" s="7">
        <v>9.9907862663961566E-3</v>
      </c>
      <c r="CB4" s="7">
        <v>0.19801890737320349</v>
      </c>
      <c r="CC4" s="7">
        <v>-0.29446404903659129</v>
      </c>
      <c r="CD4" s="7">
        <v>-0.13184913857205419</v>
      </c>
      <c r="CE4" s="7">
        <v>-5.9049425825826063E-2</v>
      </c>
      <c r="CF4" s="7">
        <v>-0.11382074234660421</v>
      </c>
      <c r="CG4" s="7">
        <v>5.6476011311058727E-2</v>
      </c>
      <c r="CH4" s="7">
        <v>-4.7278812128794812E-3</v>
      </c>
      <c r="CI4" s="7">
        <v>8.4060042745477404E-2</v>
      </c>
      <c r="CJ4" s="7">
        <v>2.860589104349032E-2</v>
      </c>
      <c r="CK4" s="7">
        <v>-2.196015758338277E-2</v>
      </c>
      <c r="CL4" s="7">
        <v>-6.7870860352922335E-2</v>
      </c>
      <c r="CM4" s="7">
        <v>4.0070082430315068E-2</v>
      </c>
      <c r="CN4" s="7">
        <v>0.18816019391077179</v>
      </c>
      <c r="CO4" s="7">
        <v>2.367017674917093E-3</v>
      </c>
      <c r="CP4" s="7">
        <v>1.9450901205715351E-2</v>
      </c>
      <c r="CQ4" s="7">
        <v>-3.0616705499888042E-2</v>
      </c>
      <c r="CR4" s="7">
        <v>-0.28761057639089671</v>
      </c>
      <c r="CS4" s="7">
        <v>-0.27901111949972451</v>
      </c>
      <c r="CT4" s="7">
        <v>8.2166791936902683E-2</v>
      </c>
      <c r="CU4" s="7">
        <v>-0.1044948676458937</v>
      </c>
      <c r="CV4" s="7">
        <v>0.1117497704879042</v>
      </c>
      <c r="CW4" s="7">
        <v>-5.0011486829184548E-2</v>
      </c>
      <c r="CX4" s="7">
        <v>5.9209700317154557E-2</v>
      </c>
      <c r="CY4" s="7">
        <v>-0.17471118648177961</v>
      </c>
      <c r="CZ4" s="7">
        <v>-0.13109686697720241</v>
      </c>
      <c r="DA4" s="7">
        <v>-0.2203257151296327</v>
      </c>
      <c r="DB4" s="7">
        <v>-5.1224388631531781E-2</v>
      </c>
      <c r="DC4" s="7">
        <v>-0.14279358769975301</v>
      </c>
      <c r="DD4" s="7">
        <v>0.1020904846945818</v>
      </c>
      <c r="DE4" s="7">
        <v>4.4656291464193032E-2</v>
      </c>
      <c r="DF4" s="7">
        <v>5.6233135690451519E-2</v>
      </c>
      <c r="DG4" s="7">
        <v>-0.1416822717519004</v>
      </c>
      <c r="DH4" s="7">
        <v>0.15762567020768259</v>
      </c>
      <c r="DI4" s="7">
        <v>-6.2035901643650249E-2</v>
      </c>
      <c r="DJ4" s="7">
        <v>-0.1196792904639139</v>
      </c>
      <c r="DK4" s="7">
        <v>-0.1636929902628452</v>
      </c>
      <c r="DL4" s="7">
        <v>9.4429634312145794E-2</v>
      </c>
      <c r="DM4" s="7">
        <v>0.23372019522840051</v>
      </c>
      <c r="DN4" s="7">
        <v>7.3797400786563827E-2</v>
      </c>
      <c r="DO4" s="7">
        <v>-4.5812944635489572E-2</v>
      </c>
      <c r="DP4" s="7">
        <v>-6.8308325202590225E-2</v>
      </c>
      <c r="DQ4" s="7">
        <v>-0.16930629268172481</v>
      </c>
      <c r="DR4" s="7">
        <v>-0.1292436792863576</v>
      </c>
      <c r="DS4" s="7">
        <v>-7.3886793403296736E-2</v>
      </c>
      <c r="DT4" s="7">
        <v>-0.20370624475922131</v>
      </c>
      <c r="DU4" s="7">
        <v>-5.4891500526604631E-2</v>
      </c>
      <c r="DV4" s="7">
        <v>1.2036945748828741E-2</v>
      </c>
      <c r="DW4" s="7">
        <v>-6.1300239407735546E-3</v>
      </c>
      <c r="DX4" s="7">
        <v>-8.4900404469877344E-2</v>
      </c>
      <c r="DY4" s="7">
        <v>0.1000065013622802</v>
      </c>
      <c r="DZ4" s="7">
        <v>-0.1310602433648711</v>
      </c>
      <c r="EA4" s="7">
        <v>-0.1948807812701929</v>
      </c>
      <c r="EB4" s="7">
        <v>-0.31979832241280798</v>
      </c>
      <c r="EC4" s="7">
        <v>4.9837267550007169E-2</v>
      </c>
      <c r="ED4" s="7">
        <v>5.4627759739140913E-2</v>
      </c>
      <c r="EE4" s="7">
        <v>0.1200464788195035</v>
      </c>
      <c r="EF4" s="7">
        <v>0.24381115553913091</v>
      </c>
      <c r="EG4" s="1"/>
    </row>
    <row r="5" spans="1:137" x14ac:dyDescent="0.3">
      <c r="B5" s="1" t="s">
        <v>138</v>
      </c>
      <c r="C5" s="7">
        <v>-0.20935792122733929</v>
      </c>
      <c r="D5" s="7">
        <v>-0.1073627692333063</v>
      </c>
      <c r="E5" s="7">
        <v>0.52484760680152232</v>
      </c>
      <c r="F5" s="7">
        <v>4.6837059958046809E-2</v>
      </c>
      <c r="G5" s="7">
        <v>-0.2104714261735883</v>
      </c>
      <c r="H5" s="7">
        <v>0.4744149628629204</v>
      </c>
      <c r="I5" s="7">
        <v>0.14678498763585299</v>
      </c>
      <c r="J5" s="7">
        <v>-5.6231752728838222E-2</v>
      </c>
      <c r="K5" s="7">
        <v>0.27552845629080469</v>
      </c>
      <c r="L5" s="7">
        <v>-0.43004286310886081</v>
      </c>
      <c r="M5" s="7">
        <v>0.32376774959305898</v>
      </c>
      <c r="N5" s="7">
        <v>-0.34824165047033961</v>
      </c>
      <c r="O5" s="7">
        <v>-9.7528911512976074E-2</v>
      </c>
      <c r="P5" s="7">
        <v>0.39546612391174241</v>
      </c>
      <c r="Q5" s="7">
        <v>4.8467491330228173E-2</v>
      </c>
      <c r="R5" s="7">
        <v>-9.8851331549351315E-2</v>
      </c>
      <c r="S5" s="7">
        <v>0.3057921371194337</v>
      </c>
      <c r="T5" s="7">
        <v>7.2071946189346189E-2</v>
      </c>
      <c r="U5" s="7">
        <v>-4.7890408561752917E-4</v>
      </c>
      <c r="V5" s="7">
        <v>-0.13936695356286269</v>
      </c>
      <c r="W5" s="7">
        <v>-0.39469012652483237</v>
      </c>
      <c r="X5" s="7">
        <v>-0.12947787244850251</v>
      </c>
      <c r="Y5" s="7">
        <v>-0.68127295831176804</v>
      </c>
      <c r="Z5" s="7">
        <v>-4.1720386960932424E-3</v>
      </c>
      <c r="AA5" s="7">
        <v>1.8198047382592619E-2</v>
      </c>
      <c r="AB5" s="7">
        <v>0.20112165888415301</v>
      </c>
      <c r="AC5" s="7">
        <v>-8.9163225286403025E-2</v>
      </c>
      <c r="AD5" s="7">
        <v>0.14514145822358679</v>
      </c>
      <c r="AE5" s="7">
        <v>7.4669147590605167E-2</v>
      </c>
      <c r="AF5" s="7">
        <v>0.17577042279847119</v>
      </c>
      <c r="AG5" s="7">
        <v>-0.30336041259100399</v>
      </c>
      <c r="AH5" s="7">
        <v>-0.3482499081721625</v>
      </c>
      <c r="AI5" s="7">
        <v>0.25872371710226461</v>
      </c>
      <c r="AJ5" s="7">
        <v>-0.48889196953357</v>
      </c>
      <c r="AK5" s="7">
        <v>0.13254842946584691</v>
      </c>
      <c r="AL5" s="7">
        <v>-2.3789775596635129E-2</v>
      </c>
      <c r="AM5" s="7">
        <v>1.17524054827144E-2</v>
      </c>
      <c r="AN5" s="7">
        <v>-7.4933432869098024E-2</v>
      </c>
      <c r="AO5" s="7">
        <v>0.1844633194704077</v>
      </c>
      <c r="AP5" s="7">
        <v>3.2348031051998787E-2</v>
      </c>
      <c r="AQ5" s="7">
        <v>0.1511984265546954</v>
      </c>
      <c r="AR5" s="7">
        <v>-9.5283109587288514E-2</v>
      </c>
      <c r="AS5" s="7">
        <v>-0.1260043749729467</v>
      </c>
      <c r="AT5" s="7">
        <v>0.1516447920969482</v>
      </c>
      <c r="AU5" s="7">
        <v>-0.20083705233961571</v>
      </c>
      <c r="AV5" s="7">
        <v>7.890636801828628E-2</v>
      </c>
      <c r="AW5" s="7">
        <v>6.7935762483271878E-4</v>
      </c>
      <c r="AX5" s="7">
        <v>0.1122931240608864</v>
      </c>
      <c r="AY5" s="7">
        <v>-0.118056117907044</v>
      </c>
      <c r="AZ5" s="7">
        <v>0.20621977214253931</v>
      </c>
      <c r="BA5" s="7">
        <v>-3.9691918773370187E-2</v>
      </c>
      <c r="BB5" s="7">
        <v>8.2995939761629778E-2</v>
      </c>
      <c r="BC5" s="7">
        <v>-0.13000542995066139</v>
      </c>
      <c r="BD5" s="7">
        <v>-0.1063161628626854</v>
      </c>
      <c r="BE5" s="7">
        <v>0.1159333959862182</v>
      </c>
      <c r="BF5" s="7">
        <v>-0.28526227318364472</v>
      </c>
      <c r="BG5" s="7">
        <v>-0.15093334040887121</v>
      </c>
      <c r="BH5" s="7">
        <v>2.919940093087194E-3</v>
      </c>
      <c r="BI5" s="7">
        <v>5.812657406460206E-2</v>
      </c>
      <c r="BJ5" s="7">
        <v>-0.25986983403483388</v>
      </c>
      <c r="BK5" s="7">
        <v>0.18487944696901781</v>
      </c>
      <c r="BL5" s="7">
        <v>-0.26913172790454543</v>
      </c>
      <c r="BM5" s="7">
        <v>0.1717381908649544</v>
      </c>
      <c r="BN5" s="7">
        <v>-0.18092216130584951</v>
      </c>
      <c r="BO5" s="7">
        <v>-6.3203737577877367E-2</v>
      </c>
      <c r="BP5" s="7">
        <v>7.1867500126512024E-2</v>
      </c>
      <c r="BQ5" s="7">
        <v>-0.16861046240236999</v>
      </c>
      <c r="BR5" s="7">
        <v>-2.5447831594333319E-2</v>
      </c>
      <c r="BS5" s="7">
        <v>0.1244241075337672</v>
      </c>
      <c r="BT5" s="7">
        <v>0.20772231279415901</v>
      </c>
      <c r="BU5" s="7">
        <v>-6.0051294436158628E-2</v>
      </c>
      <c r="BV5" s="7">
        <v>-5.1700003009333508E-2</v>
      </c>
      <c r="BW5" s="7">
        <v>-0.1268015683060742</v>
      </c>
      <c r="BX5" s="7">
        <v>-0.10582029087279909</v>
      </c>
      <c r="BY5" s="7">
        <v>5.3607320437496067E-2</v>
      </c>
      <c r="BZ5" s="7">
        <v>-3.4479447424122608E-2</v>
      </c>
      <c r="CA5" s="7">
        <v>-2.0066210971329639E-2</v>
      </c>
      <c r="CB5" s="7">
        <v>8.4589606751002688E-2</v>
      </c>
      <c r="CC5" s="7">
        <v>-0.1103836570393476</v>
      </c>
      <c r="CD5" s="7">
        <v>0.32742328506094998</v>
      </c>
      <c r="CE5" s="7">
        <v>-1.486719718236725E-2</v>
      </c>
      <c r="CF5" s="7">
        <v>-0.14937324914413941</v>
      </c>
      <c r="CG5" s="7">
        <v>0.16320028060313421</v>
      </c>
      <c r="CH5" s="7">
        <v>-6.9038325074175663E-2</v>
      </c>
      <c r="CI5" s="7">
        <v>-0.11536214708505139</v>
      </c>
      <c r="CJ5" s="7">
        <v>-0.26301723908525793</v>
      </c>
      <c r="CK5" s="7">
        <v>0.37897350211797709</v>
      </c>
      <c r="CL5" s="7">
        <v>-7.6383453932209341E-2</v>
      </c>
      <c r="CM5" s="7">
        <v>4.2833444041791832E-2</v>
      </c>
      <c r="CN5" s="7">
        <v>-0.15161552738072651</v>
      </c>
      <c r="CO5" s="7">
        <v>0.43716796518582229</v>
      </c>
      <c r="CP5" s="7">
        <v>-4.1833927507883796E-3</v>
      </c>
      <c r="CQ5" s="7">
        <v>-0.49935244279872992</v>
      </c>
      <c r="CR5" s="7">
        <v>0.3398570382696095</v>
      </c>
      <c r="CS5" s="7">
        <v>-0.18988696947799641</v>
      </c>
      <c r="CT5" s="7">
        <v>0.2246197528310597</v>
      </c>
      <c r="CU5" s="7">
        <v>-0.25171771168640761</v>
      </c>
      <c r="CV5" s="7">
        <v>-6.0587944319075937E-2</v>
      </c>
      <c r="CW5" s="7">
        <v>0.2108770628752098</v>
      </c>
      <c r="CX5" s="7">
        <v>0.25016150139728283</v>
      </c>
      <c r="CY5" s="7">
        <v>-0.52413353929587791</v>
      </c>
      <c r="CZ5" s="7">
        <v>0.8216183061041753</v>
      </c>
      <c r="DA5" s="7">
        <v>-0.17652298417539669</v>
      </c>
      <c r="DB5" s="7">
        <v>0.13115957739194459</v>
      </c>
      <c r="DC5" s="7">
        <v>0.1757366545058428</v>
      </c>
      <c r="DD5" s="7">
        <v>-0.42083892435479142</v>
      </c>
      <c r="DE5" s="7">
        <v>-0.2279724207651195</v>
      </c>
      <c r="DF5" s="7">
        <v>-0.33715973842927388</v>
      </c>
      <c r="DG5" s="7">
        <v>-0.44400370439279008</v>
      </c>
      <c r="DH5" s="7">
        <v>-4.293279443633978E-2</v>
      </c>
      <c r="DI5" s="7">
        <v>0.30896916307249689</v>
      </c>
      <c r="DJ5" s="7">
        <v>-0.28669247758290828</v>
      </c>
      <c r="DK5" s="7">
        <v>0.84621248517861269</v>
      </c>
      <c r="DL5" s="7">
        <v>-0.16924034367306559</v>
      </c>
      <c r="DM5" s="7">
        <v>-0.43945016692248923</v>
      </c>
      <c r="DN5" s="7">
        <v>0.74751336560070059</v>
      </c>
      <c r="DO5" s="7">
        <v>-0.39996426308914668</v>
      </c>
      <c r="DP5" s="7">
        <v>-4.4863264481034962E-2</v>
      </c>
      <c r="DQ5" s="7">
        <v>-0.58863430244229409</v>
      </c>
      <c r="DR5" s="7">
        <v>-6.5627469319089037E-3</v>
      </c>
      <c r="DS5" s="7">
        <v>-0.19878519438361211</v>
      </c>
      <c r="DT5" s="7">
        <v>0.4132117833889476</v>
      </c>
      <c r="DU5" s="7">
        <v>-0.17065403209770361</v>
      </c>
      <c r="DV5" s="7">
        <v>0.68828031734213269</v>
      </c>
      <c r="DW5" s="7">
        <v>4.0806005098273937E-2</v>
      </c>
      <c r="DX5" s="7">
        <v>-0.1999347157162332</v>
      </c>
      <c r="DY5" s="7">
        <v>0.56631420698904078</v>
      </c>
      <c r="DZ5" s="7">
        <v>0.47362880432099852</v>
      </c>
      <c r="EA5" s="7">
        <v>9.5444977871898054E-2</v>
      </c>
      <c r="EB5" s="7">
        <v>-1.076360940060376</v>
      </c>
      <c r="EC5" s="7">
        <v>-0.13610628648279391</v>
      </c>
      <c r="ED5" s="7">
        <v>-0.27349656344743889</v>
      </c>
      <c r="EE5" s="7">
        <v>0.60134859370029736</v>
      </c>
      <c r="EF5" s="7">
        <v>6.7468790588863341E-3</v>
      </c>
      <c r="EG5" s="1"/>
    </row>
    <row r="6" spans="1:137" x14ac:dyDescent="0.3">
      <c r="A6" s="22" t="s">
        <v>139</v>
      </c>
      <c r="B6" s="23"/>
      <c r="C6" s="7">
        <f t="array" ref="C6">MATCH(MAX(ABS(C3:C5)), ABS(C3:C5), 0)</f>
        <v>3</v>
      </c>
      <c r="D6" s="7">
        <f t="array" ref="D6">MATCH(MAX(ABS(D3:D5)), ABS(D3:D5), 0)</f>
        <v>2</v>
      </c>
      <c r="E6" s="7">
        <f t="array" ref="E6">MATCH(MAX(ABS(E3:E5)), ABS(E3:E5), 0)</f>
        <v>3</v>
      </c>
      <c r="F6" s="7">
        <f t="array" ref="F6">MATCH(MAX(ABS(F3:F5)), ABS(F3:F5), 0)</f>
        <v>3</v>
      </c>
      <c r="G6" s="7">
        <f t="array" ref="G6">MATCH(MAX(ABS(G3:G5)), ABS(G3:G5), 0)</f>
        <v>3</v>
      </c>
      <c r="H6" s="7">
        <f t="array" ref="H6">MATCH(MAX(ABS(H3:H5)), ABS(H3:H5), 0)</f>
        <v>3</v>
      </c>
      <c r="I6" s="7">
        <f t="array" ref="I6">MATCH(MAX(ABS(I3:I5)), ABS(I3:I5), 0)</f>
        <v>1</v>
      </c>
      <c r="J6" s="7">
        <f t="array" ref="J6">MATCH(MAX(ABS(J3:J5)), ABS(J3:J5), 0)</f>
        <v>1</v>
      </c>
      <c r="K6" s="7">
        <f t="array" ref="K6">MATCH(MAX(ABS(K3:K5)), ABS(K3:K5), 0)</f>
        <v>3</v>
      </c>
      <c r="L6" s="7">
        <f t="array" ref="L6">MATCH(MAX(ABS(L3:L5)), ABS(L3:L5), 0)</f>
        <v>3</v>
      </c>
      <c r="M6" s="7">
        <f t="array" ref="M6">MATCH(MAX(ABS(M3:M5)), ABS(M3:M5), 0)</f>
        <v>3</v>
      </c>
      <c r="N6" s="7">
        <f t="array" ref="N6">MATCH(MAX(ABS(N3:N5)), ABS(N3:N5), 0)</f>
        <v>3</v>
      </c>
      <c r="O6" s="7">
        <f t="array" ref="O6">MATCH(MAX(ABS(O3:O5)), ABS(O3:O5), 0)</f>
        <v>1</v>
      </c>
      <c r="P6" s="7">
        <f t="array" ref="P6">MATCH(MAX(ABS(P3:P5)), ABS(P3:P5), 0)</f>
        <v>3</v>
      </c>
      <c r="Q6" s="7">
        <f t="array" ref="Q6">MATCH(MAX(ABS(Q3:Q5)), ABS(Q3:Q5), 0)</f>
        <v>1</v>
      </c>
      <c r="R6" s="7">
        <f t="array" ref="R6">MATCH(MAX(ABS(R3:R5)), ABS(R3:R5), 0)</f>
        <v>1</v>
      </c>
      <c r="S6" s="7">
        <f t="array" ref="S6">MATCH(MAX(ABS(S3:S5)), ABS(S3:S5), 0)</f>
        <v>3</v>
      </c>
      <c r="T6" s="7">
        <f t="array" ref="T6">MATCH(MAX(ABS(T3:T5)), ABS(T3:T5), 0)</f>
        <v>1</v>
      </c>
      <c r="U6" s="7">
        <f t="array" ref="U6">MATCH(MAX(ABS(U3:U5)), ABS(U3:U5), 0)</f>
        <v>1</v>
      </c>
      <c r="V6" s="7">
        <f t="array" ref="V6">MATCH(MAX(ABS(V3:V5)), ABS(V3:V5), 0)</f>
        <v>3</v>
      </c>
      <c r="W6" s="7">
        <f t="array" ref="W6">MATCH(MAX(ABS(W3:W5)), ABS(W3:W5), 0)</f>
        <v>3</v>
      </c>
      <c r="X6" s="7">
        <f t="array" ref="X6">MATCH(MAX(ABS(X3:X5)), ABS(X3:X5), 0)</f>
        <v>2</v>
      </c>
      <c r="Y6" s="7">
        <f t="array" ref="Y6">MATCH(MAX(ABS(Y3:Y5)), ABS(Y3:Y5), 0)</f>
        <v>3</v>
      </c>
      <c r="Z6" s="7">
        <f t="array" ref="Z6">MATCH(MAX(ABS(Z3:Z5)), ABS(Z3:Z5), 0)</f>
        <v>1</v>
      </c>
      <c r="AA6" s="7">
        <f t="array" ref="AA6">MATCH(MAX(ABS(AA3:AA5)), ABS(AA3:AA5), 0)</f>
        <v>1</v>
      </c>
      <c r="AB6" s="7">
        <f t="array" ref="AB6">MATCH(MAX(ABS(AB3:AB5)), ABS(AB3:AB5), 0)</f>
        <v>1</v>
      </c>
      <c r="AC6" s="7">
        <f t="array" ref="AC6">MATCH(MAX(ABS(AC3:AC5)), ABS(AC3:AC5), 0)</f>
        <v>3</v>
      </c>
      <c r="AD6" s="7">
        <f t="array" ref="AD6">MATCH(MAX(ABS(AD3:AD5)), ABS(AD3:AD5), 0)</f>
        <v>3</v>
      </c>
      <c r="AE6" s="7">
        <f t="array" ref="AE6">MATCH(MAX(ABS(AE3:AE5)), ABS(AE3:AE5), 0)</f>
        <v>3</v>
      </c>
      <c r="AF6" s="7">
        <f t="array" ref="AF6">MATCH(MAX(ABS(AF3:AF5)), ABS(AF3:AF5), 0)</f>
        <v>3</v>
      </c>
      <c r="AG6" s="7">
        <f t="array" ref="AG6">MATCH(MAX(ABS(AG3:AG5)), ABS(AG3:AG5), 0)</f>
        <v>3</v>
      </c>
      <c r="AH6" s="7">
        <f t="array" ref="AH6">MATCH(MAX(ABS(AH3:AH5)), ABS(AH3:AH5), 0)</f>
        <v>3</v>
      </c>
      <c r="AI6" s="7">
        <f t="array" ref="AI6">MATCH(MAX(ABS(AI3:AI5)), ABS(AI3:AI5), 0)</f>
        <v>3</v>
      </c>
      <c r="AJ6" s="7">
        <f t="array" ref="AJ6">MATCH(MAX(ABS(AJ3:AJ5)), ABS(AJ3:AJ5), 0)</f>
        <v>3</v>
      </c>
      <c r="AK6" s="7">
        <f t="array" ref="AK6">MATCH(MAX(ABS(AK3:AK5)), ABS(AK3:AK5), 0)</f>
        <v>3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3</v>
      </c>
      <c r="AP6" s="7">
        <f t="array" ref="AP6">MATCH(MAX(ABS(AP3:AP5)), ABS(AP3:AP5), 0)</f>
        <v>2</v>
      </c>
      <c r="AQ6" s="7">
        <f t="array" ref="AQ6">MATCH(MAX(ABS(AQ3:AQ5)), ABS(AQ3:AQ5), 0)</f>
        <v>1</v>
      </c>
      <c r="AR6" s="7">
        <f t="array" ref="AR6">MATCH(MAX(ABS(AR3:AR5)), ABS(AR3:AR5), 0)</f>
        <v>2</v>
      </c>
      <c r="AS6" s="7">
        <f t="array" ref="AS6">MATCH(MAX(ABS(AS3:AS5)), ABS(AS3:AS5), 0)</f>
        <v>1</v>
      </c>
      <c r="AT6" s="7">
        <f t="array" ref="AT6">MATCH(MAX(ABS(AT3:AT5)), ABS(AT3:AT5), 0)</f>
        <v>3</v>
      </c>
      <c r="AU6" s="7">
        <f t="array" ref="AU6">MATCH(MAX(ABS(AU3:AU5)), ABS(AU3:AU5), 0)</f>
        <v>3</v>
      </c>
      <c r="AV6" s="7">
        <f t="array" ref="AV6">MATCH(MAX(ABS(AV3:AV5)), ABS(AV3:AV5), 0)</f>
        <v>2</v>
      </c>
      <c r="AW6" s="7">
        <f t="array" ref="AW6">MATCH(MAX(ABS(AW3:AW5)), ABS(AW3:AW5), 0)</f>
        <v>1</v>
      </c>
      <c r="AX6" s="7">
        <f t="array" ref="AX6">MATCH(MAX(ABS(AX3:AX5)), ABS(AX3:AX5), 0)</f>
        <v>3</v>
      </c>
      <c r="AY6" s="7">
        <f t="array" ref="AY6">MATCH(MAX(ABS(AY3:AY5)), ABS(AY3:AY5), 0)</f>
        <v>3</v>
      </c>
      <c r="AZ6" s="7">
        <f t="array" ref="AZ6">MATCH(MAX(ABS(AZ3:AZ5)), ABS(AZ3:AZ5), 0)</f>
        <v>3</v>
      </c>
      <c r="BA6" s="7">
        <f t="array" ref="BA6">MATCH(MAX(ABS(BA3:BA5)), ABS(BA3:BA5), 0)</f>
        <v>1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3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3</v>
      </c>
      <c r="BJ6" s="7">
        <f t="array" ref="BJ6">MATCH(MAX(ABS(BJ3:BJ5)), ABS(BJ3:BJ5), 0)</f>
        <v>3</v>
      </c>
      <c r="BK6" s="7">
        <f t="array" ref="BK6">MATCH(MAX(ABS(BK3:BK5)), ABS(BK3:BK5), 0)</f>
        <v>3</v>
      </c>
      <c r="BL6" s="7">
        <f t="array" ref="BL6">MATCH(MAX(ABS(BL3:BL5)), ABS(BL3:BL5), 0)</f>
        <v>3</v>
      </c>
      <c r="BM6" s="7">
        <f t="array" ref="BM6">MATCH(MAX(ABS(BM3:BM5)), ABS(BM3:BM5), 0)</f>
        <v>3</v>
      </c>
      <c r="BN6" s="7">
        <f t="array" ref="BN6">MATCH(MAX(ABS(BN3:BN5)), ABS(BN3:BN5), 0)</f>
        <v>3</v>
      </c>
      <c r="BO6" s="7">
        <f t="array" ref="BO6">MATCH(MAX(ABS(BO3:BO5)), ABS(BO3:BO5), 0)</f>
        <v>1</v>
      </c>
      <c r="BP6" s="7">
        <f t="array" ref="BP6">MATCH(MAX(ABS(BP3:BP5)), ABS(BP3:BP5), 0)</f>
        <v>2</v>
      </c>
      <c r="BQ6" s="7">
        <f t="array" ref="BQ6">MATCH(MAX(ABS(BQ3:BQ5)), ABS(BQ3:BQ5), 0)</f>
        <v>3</v>
      </c>
      <c r="BR6" s="7">
        <f t="array" ref="BR6">MATCH(MAX(ABS(BR3:BR5)), ABS(BR3:BR5), 0)</f>
        <v>1</v>
      </c>
      <c r="BS6" s="7">
        <f t="array" ref="BS6">MATCH(MAX(ABS(BS3:BS5)), ABS(BS3:BS5), 0)</f>
        <v>3</v>
      </c>
      <c r="BT6" s="7">
        <f t="array" ref="BT6">MATCH(MAX(ABS(BT3:BT5)), ABS(BT3:BT5), 0)</f>
        <v>3</v>
      </c>
      <c r="BU6" s="7">
        <f t="array" ref="BU6">MATCH(MAX(ABS(BU3:BU5)), ABS(BU3:BU5), 0)</f>
        <v>1</v>
      </c>
      <c r="BV6" s="7">
        <f t="array" ref="BV6">MATCH(MAX(ABS(BV3:BV5)), ABS(BV3:BV5), 0)</f>
        <v>2</v>
      </c>
      <c r="BW6" s="7">
        <f t="array" ref="BW6">MATCH(MAX(ABS(BW3:BW5)), ABS(BW3:BW5), 0)</f>
        <v>3</v>
      </c>
      <c r="BX6" s="7">
        <f t="array" ref="BX6">MATCH(MAX(ABS(BX3:BX5)), ABS(BX3:BX5), 0)</f>
        <v>3</v>
      </c>
      <c r="BY6" s="7">
        <f t="array" ref="BY6">MATCH(MAX(ABS(BY3:BY5)), ABS(BY3:BY5), 0)</f>
        <v>2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2</v>
      </c>
      <c r="CC6" s="7">
        <f t="array" ref="CC6">MATCH(MAX(ABS(CC3:CC5)), ABS(CC3:CC5), 0)</f>
        <v>2</v>
      </c>
      <c r="CD6" s="7">
        <f t="array" ref="CD6">MATCH(MAX(ABS(CD3:CD5)), ABS(CD3:CD5), 0)</f>
        <v>3</v>
      </c>
      <c r="CE6" s="7">
        <f t="array" ref="CE6">MATCH(MAX(ABS(CE3:CE5)), ABS(CE3:CE5), 0)</f>
        <v>1</v>
      </c>
      <c r="CF6" s="7">
        <f t="array" ref="CF6">MATCH(MAX(ABS(CF3:CF5)), ABS(CF3:CF5), 0)</f>
        <v>3</v>
      </c>
      <c r="CG6" s="7">
        <f t="array" ref="CG6">MATCH(MAX(ABS(CG3:CG5)), ABS(CG3:CG5), 0)</f>
        <v>3</v>
      </c>
      <c r="CH6" s="7">
        <f t="array" ref="CH6">MATCH(MAX(ABS(CH3:CH5)), ABS(CH3:CH5), 0)</f>
        <v>3</v>
      </c>
      <c r="CI6" s="7">
        <f t="array" ref="CI6">MATCH(MAX(ABS(CI3:CI5)), ABS(CI3:CI5), 0)</f>
        <v>3</v>
      </c>
      <c r="CJ6" s="7">
        <f t="array" ref="CJ6">MATCH(MAX(ABS(CJ3:CJ5)), ABS(CJ3:CJ5), 0)</f>
        <v>1</v>
      </c>
      <c r="CK6" s="7">
        <f t="array" ref="CK6">MATCH(MAX(ABS(CK3:CK5)), ABS(CK3:CK5), 0)</f>
        <v>3</v>
      </c>
      <c r="CL6" s="7">
        <f t="array" ref="CL6">MATCH(MAX(ABS(CL3:CL5)), ABS(CL3:CL5), 0)</f>
        <v>3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3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3</v>
      </c>
      <c r="CS6" s="7">
        <f t="array" ref="CS6">MATCH(MAX(ABS(CS3:CS5)), ABS(CS3:CS5), 0)</f>
        <v>2</v>
      </c>
      <c r="CT6" s="7">
        <f t="array" ref="CT6">MATCH(MAX(ABS(CT3:CT5)), ABS(CT3:CT5), 0)</f>
        <v>3</v>
      </c>
      <c r="CU6" s="7">
        <f t="array" ref="CU6">MATCH(MAX(ABS(CU3:CU5)), ABS(CU3:CU5), 0)</f>
        <v>3</v>
      </c>
      <c r="CV6" s="7">
        <f t="array" ref="CV6">MATCH(MAX(ABS(CV3:CV5)), ABS(CV3:CV5), 0)</f>
        <v>2</v>
      </c>
      <c r="CW6" s="7">
        <f t="array" ref="CW6">MATCH(MAX(ABS(CW3:CW5)), ABS(CW3:CW5), 0)</f>
        <v>3</v>
      </c>
      <c r="CX6" s="7">
        <f t="array" ref="CX6">MATCH(MAX(ABS(CX3:CX5)), ABS(CX3:CX5), 0)</f>
        <v>3</v>
      </c>
      <c r="CY6" s="7">
        <f t="array" ref="CY6">MATCH(MAX(ABS(CY3:CY5)), ABS(CY3:CY5), 0)</f>
        <v>3</v>
      </c>
      <c r="CZ6" s="7">
        <f t="array" ref="CZ6">MATCH(MAX(ABS(CZ3:CZ5)), ABS(CZ3:CZ5), 0)</f>
        <v>3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1</v>
      </c>
      <c r="DD6" s="7">
        <f t="array" ref="DD6">MATCH(MAX(ABS(DD3:DD5)), ABS(DD3:DD5), 0)</f>
        <v>3</v>
      </c>
      <c r="DE6" s="7">
        <f t="array" ref="DE6">MATCH(MAX(ABS(DE3:DE5)), ABS(DE3:DE5), 0)</f>
        <v>3</v>
      </c>
      <c r="DF6" s="7">
        <f t="array" ref="DF6">MATCH(MAX(ABS(DF3:DF5)), ABS(DF3:DF5), 0)</f>
        <v>3</v>
      </c>
      <c r="DG6" s="7">
        <f t="array" ref="DG6">MATCH(MAX(ABS(DG3:DG5)), ABS(DG3:DG5), 0)</f>
        <v>3</v>
      </c>
      <c r="DH6" s="7">
        <f t="array" ref="DH6">MATCH(MAX(ABS(DH3:DH5)), ABS(DH3:DH5), 0)</f>
        <v>2</v>
      </c>
      <c r="DI6" s="7">
        <f t="array" ref="DI6">MATCH(MAX(ABS(DI3:DI5)), ABS(DI3:DI5), 0)</f>
        <v>3</v>
      </c>
      <c r="DJ6" s="7">
        <f t="array" ref="DJ6">MATCH(MAX(ABS(DJ3:DJ5)), ABS(DJ3:DJ5), 0)</f>
        <v>3</v>
      </c>
      <c r="DK6" s="7">
        <f t="array" ref="DK6">MATCH(MAX(ABS(DK3:DK5)), ABS(DK3:DK5), 0)</f>
        <v>3</v>
      </c>
      <c r="DL6" s="7">
        <f t="array" ref="DL6">MATCH(MAX(ABS(DL3:DL5)), ABS(DL3:DL5), 0)</f>
        <v>3</v>
      </c>
      <c r="DM6" s="7">
        <f t="array" ref="DM6">MATCH(MAX(ABS(DM3:DM5)), ABS(DM3:DM5), 0)</f>
        <v>3</v>
      </c>
      <c r="DN6" s="7">
        <f t="array" ref="DN6">MATCH(MAX(ABS(DN3:DN5)), ABS(DN3:DN5), 0)</f>
        <v>3</v>
      </c>
      <c r="DO6" s="7">
        <f t="array" ref="DO6">MATCH(MAX(ABS(DO3:DO5)), ABS(DO3:DO5), 0)</f>
        <v>3</v>
      </c>
      <c r="DP6" s="7">
        <f t="array" ref="DP6">MATCH(MAX(ABS(DP3:DP5)), ABS(DP3:DP5), 0)</f>
        <v>1</v>
      </c>
      <c r="DQ6" s="7">
        <f t="array" ref="DQ6">MATCH(MAX(ABS(DQ3:DQ5)), ABS(DQ3:DQ5), 0)</f>
        <v>3</v>
      </c>
      <c r="DR6" s="7">
        <f t="array" ref="DR6">MATCH(MAX(ABS(DR3:DR5)), ABS(DR3:DR5), 0)</f>
        <v>2</v>
      </c>
      <c r="DS6" s="7">
        <f t="array" ref="DS6">MATCH(MAX(ABS(DS3:DS5)), ABS(DS3:DS5), 0)</f>
        <v>3</v>
      </c>
      <c r="DT6" s="7">
        <f t="array" ref="DT6">MATCH(MAX(ABS(DT3:DT5)), ABS(DT3:DT5), 0)</f>
        <v>3</v>
      </c>
      <c r="DU6" s="7">
        <f t="array" ref="DU6">MATCH(MAX(ABS(DU3:DU5)), ABS(DU3:DU5), 0)</f>
        <v>3</v>
      </c>
      <c r="DV6" s="7">
        <f t="array" ref="DV6">MATCH(MAX(ABS(DV3:DV5)), ABS(DV3:DV5), 0)</f>
        <v>3</v>
      </c>
      <c r="DW6" s="7">
        <f t="array" ref="DW6">MATCH(MAX(ABS(DW3:DW5)), ABS(DW3:DW5), 0)</f>
        <v>1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3</v>
      </c>
      <c r="EC6" s="7">
        <f t="array" ref="EC6">MATCH(MAX(ABS(EC3:EC5)), ABS(EC3:EC5), 0)</f>
        <v>3</v>
      </c>
      <c r="ED6" s="7">
        <f t="array" ref="ED6">MATCH(MAX(ABS(ED3:ED5)), ABS(ED3:ED5), 0)</f>
        <v>3</v>
      </c>
      <c r="EE6" s="7">
        <f t="array" ref="EE6">MATCH(MAX(ABS(EE3:EE5)), ABS(EE3:EE5), 0)</f>
        <v>3</v>
      </c>
      <c r="EF6" s="7">
        <f t="array" ref="EF6">MATCH(MAX(ABS(EF3:EF5)), ABS(EF3:EF5), 0)</f>
        <v>2</v>
      </c>
      <c r="EG6" s="1">
        <f t="array" ref="EG6">MATCH(MAX(ABS(EG3:EG5)), ABS(EG3:EG5), 0)</f>
        <v>1</v>
      </c>
    </row>
    <row r="7" spans="1:137" x14ac:dyDescent="0.3">
      <c r="C7" s="7" t="str">
        <f t="shared" ref="C7:BN7" si="0">IF(C6=1,"bm",IF(C6=2,"size",IF(C6=3,"mom")))</f>
        <v>mom</v>
      </c>
      <c r="D7" s="7" t="str">
        <f t="shared" si="0"/>
        <v>size</v>
      </c>
      <c r="E7" s="7" t="str">
        <f t="shared" si="0"/>
        <v>mom</v>
      </c>
      <c r="F7" s="7" t="str">
        <f t="shared" si="0"/>
        <v>mom</v>
      </c>
      <c r="G7" s="7" t="str">
        <f t="shared" si="0"/>
        <v>mom</v>
      </c>
      <c r="H7" s="7" t="str">
        <f t="shared" si="0"/>
        <v>mom</v>
      </c>
      <c r="I7" s="7" t="str">
        <f t="shared" si="0"/>
        <v>bm</v>
      </c>
      <c r="J7" s="7" t="str">
        <f t="shared" si="0"/>
        <v>bm</v>
      </c>
      <c r="K7" s="7" t="str">
        <f t="shared" si="0"/>
        <v>mom</v>
      </c>
      <c r="L7" s="7" t="str">
        <f t="shared" si="0"/>
        <v>mom</v>
      </c>
      <c r="M7" s="7" t="str">
        <f t="shared" si="0"/>
        <v>mom</v>
      </c>
      <c r="N7" s="7" t="str">
        <f t="shared" si="0"/>
        <v>mom</v>
      </c>
      <c r="O7" s="7" t="str">
        <f t="shared" si="0"/>
        <v>bm</v>
      </c>
      <c r="P7" s="7" t="str">
        <f t="shared" si="0"/>
        <v>mom</v>
      </c>
      <c r="Q7" s="7" t="str">
        <f t="shared" si="0"/>
        <v>bm</v>
      </c>
      <c r="R7" s="7" t="str">
        <f t="shared" si="0"/>
        <v>bm</v>
      </c>
      <c r="S7" s="7" t="str">
        <f t="shared" si="0"/>
        <v>mom</v>
      </c>
      <c r="T7" s="7" t="str">
        <f t="shared" si="0"/>
        <v>bm</v>
      </c>
      <c r="U7" s="7" t="str">
        <f t="shared" si="0"/>
        <v>bm</v>
      </c>
      <c r="V7" s="7" t="str">
        <f t="shared" si="0"/>
        <v>mom</v>
      </c>
      <c r="W7" s="7" t="str">
        <f t="shared" si="0"/>
        <v>mom</v>
      </c>
      <c r="X7" s="7" t="str">
        <f t="shared" si="0"/>
        <v>size</v>
      </c>
      <c r="Y7" s="7" t="str">
        <f t="shared" si="0"/>
        <v>mom</v>
      </c>
      <c r="Z7" s="7" t="str">
        <f t="shared" si="0"/>
        <v>bm</v>
      </c>
      <c r="AA7" s="7" t="str">
        <f t="shared" si="0"/>
        <v>bm</v>
      </c>
      <c r="AB7" s="7" t="str">
        <f t="shared" si="0"/>
        <v>bm</v>
      </c>
      <c r="AC7" s="7" t="str">
        <f t="shared" si="0"/>
        <v>mom</v>
      </c>
      <c r="AD7" s="7" t="str">
        <f t="shared" si="0"/>
        <v>mom</v>
      </c>
      <c r="AE7" s="7" t="str">
        <f t="shared" si="0"/>
        <v>mom</v>
      </c>
      <c r="AF7" s="7" t="str">
        <f t="shared" si="0"/>
        <v>mom</v>
      </c>
      <c r="AG7" s="7" t="str">
        <f t="shared" si="0"/>
        <v>mom</v>
      </c>
      <c r="AH7" s="7" t="str">
        <f t="shared" si="0"/>
        <v>mom</v>
      </c>
      <c r="AI7" s="7" t="str">
        <f t="shared" si="0"/>
        <v>mom</v>
      </c>
      <c r="AJ7" s="7" t="str">
        <f t="shared" si="0"/>
        <v>mom</v>
      </c>
      <c r="AK7" s="7" t="str">
        <f t="shared" si="0"/>
        <v>mom</v>
      </c>
      <c r="AL7" s="7" t="str">
        <f t="shared" si="0"/>
        <v>bm</v>
      </c>
      <c r="AM7" s="7" t="str">
        <f t="shared" si="0"/>
        <v>bm</v>
      </c>
      <c r="AN7" s="7" t="str">
        <f t="shared" si="0"/>
        <v>bm</v>
      </c>
      <c r="AO7" s="7" t="str">
        <f t="shared" si="0"/>
        <v>mom</v>
      </c>
      <c r="AP7" s="7" t="str">
        <f t="shared" si="0"/>
        <v>size</v>
      </c>
      <c r="AQ7" s="7" t="str">
        <f t="shared" si="0"/>
        <v>bm</v>
      </c>
      <c r="AR7" s="7" t="str">
        <f t="shared" si="0"/>
        <v>size</v>
      </c>
      <c r="AS7" s="7" t="str">
        <f t="shared" si="0"/>
        <v>bm</v>
      </c>
      <c r="AT7" s="7" t="str">
        <f t="shared" si="0"/>
        <v>mom</v>
      </c>
      <c r="AU7" s="7" t="str">
        <f t="shared" si="0"/>
        <v>mom</v>
      </c>
      <c r="AV7" s="7" t="str">
        <f t="shared" si="0"/>
        <v>size</v>
      </c>
      <c r="AW7" s="7" t="str">
        <f t="shared" si="0"/>
        <v>bm</v>
      </c>
      <c r="AX7" s="7" t="str">
        <f t="shared" si="0"/>
        <v>mom</v>
      </c>
      <c r="AY7" s="7" t="str">
        <f t="shared" si="0"/>
        <v>mom</v>
      </c>
      <c r="AZ7" s="7" t="str">
        <f t="shared" si="0"/>
        <v>mom</v>
      </c>
      <c r="BA7" s="7" t="str">
        <f t="shared" si="0"/>
        <v>bm</v>
      </c>
      <c r="BB7" s="7" t="str">
        <f t="shared" si="0"/>
        <v>size</v>
      </c>
      <c r="BC7" s="7" t="str">
        <f t="shared" si="0"/>
        <v>bm</v>
      </c>
      <c r="BD7" s="7" t="str">
        <f t="shared" si="0"/>
        <v>bm</v>
      </c>
      <c r="BE7" s="7" t="str">
        <f t="shared" si="0"/>
        <v>bm</v>
      </c>
      <c r="BF7" s="7" t="str">
        <f t="shared" si="0"/>
        <v>mom</v>
      </c>
      <c r="BG7" s="7" t="str">
        <f t="shared" si="0"/>
        <v>bm</v>
      </c>
      <c r="BH7" s="7" t="str">
        <f t="shared" si="0"/>
        <v>bm</v>
      </c>
      <c r="BI7" s="7" t="str">
        <f t="shared" si="0"/>
        <v>mom</v>
      </c>
      <c r="BJ7" s="7" t="str">
        <f t="shared" si="0"/>
        <v>mom</v>
      </c>
      <c r="BK7" s="7" t="str">
        <f t="shared" si="0"/>
        <v>mom</v>
      </c>
      <c r="BL7" s="7" t="str">
        <f t="shared" si="0"/>
        <v>mom</v>
      </c>
      <c r="BM7" s="7" t="str">
        <f t="shared" si="0"/>
        <v>mom</v>
      </c>
      <c r="BN7" s="7" t="str">
        <f t="shared" si="0"/>
        <v>mom</v>
      </c>
      <c r="BO7" s="7" t="str">
        <f t="shared" ref="BO7:DZ7" si="1">IF(BO6=1,"bm",IF(BO6=2,"size",IF(BO6=3,"mom")))</f>
        <v>bm</v>
      </c>
      <c r="BP7" s="7" t="str">
        <f t="shared" si="1"/>
        <v>size</v>
      </c>
      <c r="BQ7" s="7" t="str">
        <f t="shared" si="1"/>
        <v>mom</v>
      </c>
      <c r="BR7" s="7" t="str">
        <f t="shared" si="1"/>
        <v>bm</v>
      </c>
      <c r="BS7" s="7" t="str">
        <f t="shared" si="1"/>
        <v>mom</v>
      </c>
      <c r="BT7" s="7" t="str">
        <f t="shared" si="1"/>
        <v>mom</v>
      </c>
      <c r="BU7" s="7" t="str">
        <f t="shared" si="1"/>
        <v>bm</v>
      </c>
      <c r="BV7" s="7" t="str">
        <f t="shared" si="1"/>
        <v>size</v>
      </c>
      <c r="BW7" s="7" t="str">
        <f t="shared" si="1"/>
        <v>mom</v>
      </c>
      <c r="BX7" s="7" t="str">
        <f t="shared" si="1"/>
        <v>mom</v>
      </c>
      <c r="BY7" s="7" t="str">
        <f t="shared" si="1"/>
        <v>size</v>
      </c>
      <c r="BZ7" s="7" t="str">
        <f t="shared" si="1"/>
        <v>bm</v>
      </c>
      <c r="CA7" s="7" t="str">
        <f t="shared" si="1"/>
        <v>bm</v>
      </c>
      <c r="CB7" s="7" t="str">
        <f t="shared" si="1"/>
        <v>size</v>
      </c>
      <c r="CC7" s="7" t="str">
        <f t="shared" si="1"/>
        <v>size</v>
      </c>
      <c r="CD7" s="7" t="str">
        <f t="shared" si="1"/>
        <v>mom</v>
      </c>
      <c r="CE7" s="7" t="str">
        <f t="shared" si="1"/>
        <v>bm</v>
      </c>
      <c r="CF7" s="7" t="str">
        <f t="shared" si="1"/>
        <v>mom</v>
      </c>
      <c r="CG7" s="7" t="str">
        <f t="shared" si="1"/>
        <v>mom</v>
      </c>
      <c r="CH7" s="7" t="str">
        <f t="shared" si="1"/>
        <v>mom</v>
      </c>
      <c r="CI7" s="7" t="str">
        <f t="shared" si="1"/>
        <v>mom</v>
      </c>
      <c r="CJ7" s="7" t="str">
        <f t="shared" si="1"/>
        <v>bm</v>
      </c>
      <c r="CK7" s="7" t="str">
        <f t="shared" si="1"/>
        <v>mom</v>
      </c>
      <c r="CL7" s="7" t="str">
        <f t="shared" si="1"/>
        <v>mom</v>
      </c>
      <c r="CM7" s="7" t="str">
        <f t="shared" si="1"/>
        <v>bm</v>
      </c>
      <c r="CN7" s="7" t="str">
        <f t="shared" si="1"/>
        <v>bm</v>
      </c>
      <c r="CO7" s="7" t="str">
        <f t="shared" si="1"/>
        <v>mom</v>
      </c>
      <c r="CP7" s="7" t="str">
        <f t="shared" si="1"/>
        <v>bm</v>
      </c>
      <c r="CQ7" s="7" t="str">
        <f t="shared" si="1"/>
        <v>mom</v>
      </c>
      <c r="CR7" s="7" t="str">
        <f t="shared" si="1"/>
        <v>mom</v>
      </c>
      <c r="CS7" s="7" t="str">
        <f t="shared" si="1"/>
        <v>size</v>
      </c>
      <c r="CT7" s="7" t="str">
        <f t="shared" si="1"/>
        <v>mom</v>
      </c>
      <c r="CU7" s="7" t="str">
        <f t="shared" si="1"/>
        <v>mom</v>
      </c>
      <c r="CV7" s="7" t="str">
        <f t="shared" si="1"/>
        <v>size</v>
      </c>
      <c r="CW7" s="7" t="str">
        <f t="shared" si="1"/>
        <v>mom</v>
      </c>
      <c r="CX7" s="7" t="str">
        <f t="shared" si="1"/>
        <v>mom</v>
      </c>
      <c r="CY7" s="7" t="str">
        <f t="shared" si="1"/>
        <v>mom</v>
      </c>
      <c r="CZ7" s="7" t="str">
        <f t="shared" si="1"/>
        <v>mom</v>
      </c>
      <c r="DA7" s="7" t="str">
        <f t="shared" si="1"/>
        <v>bm</v>
      </c>
      <c r="DB7" s="7" t="str">
        <f t="shared" si="1"/>
        <v>bm</v>
      </c>
      <c r="DC7" s="7" t="str">
        <f t="shared" si="1"/>
        <v>bm</v>
      </c>
      <c r="DD7" s="7" t="str">
        <f t="shared" si="1"/>
        <v>mom</v>
      </c>
      <c r="DE7" s="7" t="str">
        <f t="shared" si="1"/>
        <v>mom</v>
      </c>
      <c r="DF7" s="7" t="str">
        <f t="shared" si="1"/>
        <v>mom</v>
      </c>
      <c r="DG7" s="7" t="str">
        <f t="shared" si="1"/>
        <v>mom</v>
      </c>
      <c r="DH7" s="7" t="str">
        <f t="shared" si="1"/>
        <v>size</v>
      </c>
      <c r="DI7" s="7" t="str">
        <f t="shared" si="1"/>
        <v>mom</v>
      </c>
      <c r="DJ7" s="7" t="str">
        <f t="shared" si="1"/>
        <v>mom</v>
      </c>
      <c r="DK7" s="7" t="str">
        <f t="shared" si="1"/>
        <v>mom</v>
      </c>
      <c r="DL7" s="7" t="str">
        <f t="shared" si="1"/>
        <v>mom</v>
      </c>
      <c r="DM7" s="7" t="str">
        <f t="shared" si="1"/>
        <v>mom</v>
      </c>
      <c r="DN7" s="7" t="str">
        <f t="shared" si="1"/>
        <v>mom</v>
      </c>
      <c r="DO7" s="7" t="str">
        <f t="shared" si="1"/>
        <v>mom</v>
      </c>
      <c r="DP7" s="7" t="str">
        <f t="shared" si="1"/>
        <v>bm</v>
      </c>
      <c r="DQ7" s="7" t="str">
        <f t="shared" si="1"/>
        <v>mom</v>
      </c>
      <c r="DR7" s="7" t="str">
        <f t="shared" si="1"/>
        <v>size</v>
      </c>
      <c r="DS7" s="7" t="str">
        <f t="shared" si="1"/>
        <v>mom</v>
      </c>
      <c r="DT7" s="7" t="str">
        <f t="shared" si="1"/>
        <v>mom</v>
      </c>
      <c r="DU7" s="7" t="str">
        <f t="shared" si="1"/>
        <v>mom</v>
      </c>
      <c r="DV7" s="7" t="str">
        <f t="shared" si="1"/>
        <v>mom</v>
      </c>
      <c r="DW7" s="7" t="str">
        <f t="shared" si="1"/>
        <v>bm</v>
      </c>
      <c r="DX7" s="7" t="str">
        <f t="shared" si="1"/>
        <v>mom</v>
      </c>
      <c r="DY7" s="7" t="str">
        <f t="shared" si="1"/>
        <v>mom</v>
      </c>
      <c r="DZ7" s="7" t="str">
        <f t="shared" si="1"/>
        <v>mom</v>
      </c>
      <c r="EA7" s="7" t="str">
        <f t="shared" ref="EA7:EG7" si="2">IF(EA6=1,"bm",IF(EA6=2,"size",IF(EA6=3,"mom")))</f>
        <v>size</v>
      </c>
      <c r="EB7" s="7" t="str">
        <f t="shared" si="2"/>
        <v>mom</v>
      </c>
      <c r="EC7" s="7" t="str">
        <f t="shared" si="2"/>
        <v>mom</v>
      </c>
      <c r="ED7" s="7" t="str">
        <f t="shared" si="2"/>
        <v>mom</v>
      </c>
      <c r="EE7" s="7" t="str">
        <f t="shared" si="2"/>
        <v>mom</v>
      </c>
      <c r="EF7" s="7" t="str">
        <f t="shared" si="2"/>
        <v>size</v>
      </c>
      <c r="EG7" s="1" t="str">
        <f t="shared" si="2"/>
        <v>bm</v>
      </c>
    </row>
    <row r="8" spans="1:137" x14ac:dyDescent="0.3">
      <c r="C8" s="7">
        <f t="shared" ref="C8:BN8" si="3">IF(C6=1,C3,IF(C6=2,C4,IF(C6=3,C5)))</f>
        <v>-0.20935792122733929</v>
      </c>
      <c r="D8" s="7">
        <f t="shared" si="3"/>
        <v>-0.19625335237819111</v>
      </c>
      <c r="E8" s="7">
        <f t="shared" si="3"/>
        <v>0.52484760680152232</v>
      </c>
      <c r="F8" s="7">
        <f t="shared" si="3"/>
        <v>4.6837059958046809E-2</v>
      </c>
      <c r="G8" s="7">
        <f t="shared" si="3"/>
        <v>-0.2104714261735883</v>
      </c>
      <c r="H8" s="7">
        <f t="shared" si="3"/>
        <v>0.4744149628629204</v>
      </c>
      <c r="I8" s="7">
        <f t="shared" si="3"/>
        <v>-0.196765586355543</v>
      </c>
      <c r="J8" s="7">
        <f t="shared" si="3"/>
        <v>0.27883034253821021</v>
      </c>
      <c r="K8" s="7">
        <f t="shared" si="3"/>
        <v>0.27552845629080469</v>
      </c>
      <c r="L8" s="7">
        <f t="shared" si="3"/>
        <v>-0.43004286310886081</v>
      </c>
      <c r="M8" s="7">
        <f t="shared" si="3"/>
        <v>0.32376774959305898</v>
      </c>
      <c r="N8" s="7">
        <f t="shared" si="3"/>
        <v>-0.34824165047033961</v>
      </c>
      <c r="O8" s="7">
        <f t="shared" si="3"/>
        <v>0.31084678168383018</v>
      </c>
      <c r="P8" s="7">
        <f t="shared" si="3"/>
        <v>0.39546612391174241</v>
      </c>
      <c r="Q8" s="7">
        <f t="shared" si="3"/>
        <v>-0.12307050339382571</v>
      </c>
      <c r="R8" s="7">
        <f t="shared" si="3"/>
        <v>-0.1125584938483795</v>
      </c>
      <c r="S8" s="7">
        <f t="shared" si="3"/>
        <v>0.3057921371194337</v>
      </c>
      <c r="T8" s="7">
        <f t="shared" si="3"/>
        <v>-0.14458476697667119</v>
      </c>
      <c r="U8" s="7">
        <f t="shared" si="3"/>
        <v>-0.26280780822848671</v>
      </c>
      <c r="V8" s="7">
        <f t="shared" si="3"/>
        <v>-0.13936695356286269</v>
      </c>
      <c r="W8" s="7">
        <f t="shared" si="3"/>
        <v>-0.39469012652483237</v>
      </c>
      <c r="X8" s="7">
        <f t="shared" si="3"/>
        <v>-0.16973075948726549</v>
      </c>
      <c r="Y8" s="7">
        <f t="shared" si="3"/>
        <v>-0.68127295831176804</v>
      </c>
      <c r="Z8" s="7">
        <f t="shared" si="3"/>
        <v>0.1030897419422631</v>
      </c>
      <c r="AA8" s="7">
        <f t="shared" si="3"/>
        <v>0.48637748963693123</v>
      </c>
      <c r="AB8" s="7">
        <f t="shared" si="3"/>
        <v>-0.23481983175156351</v>
      </c>
      <c r="AC8" s="7">
        <f t="shared" si="3"/>
        <v>-8.9163225286403025E-2</v>
      </c>
      <c r="AD8" s="7">
        <f t="shared" si="3"/>
        <v>0.14514145822358679</v>
      </c>
      <c r="AE8" s="7">
        <f t="shared" si="3"/>
        <v>7.4669147590605167E-2</v>
      </c>
      <c r="AF8" s="7">
        <f t="shared" si="3"/>
        <v>0.17577042279847119</v>
      </c>
      <c r="AG8" s="7">
        <f t="shared" si="3"/>
        <v>-0.30336041259100399</v>
      </c>
      <c r="AH8" s="7">
        <f t="shared" si="3"/>
        <v>-0.3482499081721625</v>
      </c>
      <c r="AI8" s="7">
        <f t="shared" si="3"/>
        <v>0.25872371710226461</v>
      </c>
      <c r="AJ8" s="7">
        <f t="shared" si="3"/>
        <v>-0.48889196953357</v>
      </c>
      <c r="AK8" s="7">
        <f t="shared" si="3"/>
        <v>0.13254842946584691</v>
      </c>
      <c r="AL8" s="7">
        <f t="shared" si="3"/>
        <v>0.1873807232887153</v>
      </c>
      <c r="AM8" s="7">
        <f t="shared" si="3"/>
        <v>9.6837349683265961E-2</v>
      </c>
      <c r="AN8" s="7">
        <f t="shared" si="3"/>
        <v>0.2075736584826228</v>
      </c>
      <c r="AO8" s="7">
        <f t="shared" si="3"/>
        <v>0.1844633194704077</v>
      </c>
      <c r="AP8" s="7">
        <f t="shared" si="3"/>
        <v>7.9750638168698984E-2</v>
      </c>
      <c r="AQ8" s="7">
        <f t="shared" si="3"/>
        <v>-0.2114396427417905</v>
      </c>
      <c r="AR8" s="7">
        <f t="shared" si="3"/>
        <v>0.1144314103616733</v>
      </c>
      <c r="AS8" s="7">
        <f t="shared" si="3"/>
        <v>0.14111009314114389</v>
      </c>
      <c r="AT8" s="7">
        <f t="shared" si="3"/>
        <v>0.1516447920969482</v>
      </c>
      <c r="AU8" s="7">
        <f t="shared" si="3"/>
        <v>-0.20083705233961571</v>
      </c>
      <c r="AV8" s="7">
        <f t="shared" si="3"/>
        <v>-0.21769900369851489</v>
      </c>
      <c r="AW8" s="7">
        <f t="shared" si="3"/>
        <v>-0.1741550037979904</v>
      </c>
      <c r="AX8" s="7">
        <f t="shared" si="3"/>
        <v>0.1122931240608864</v>
      </c>
      <c r="AY8" s="7">
        <f t="shared" si="3"/>
        <v>-0.118056117907044</v>
      </c>
      <c r="AZ8" s="7">
        <f t="shared" si="3"/>
        <v>0.20621977214253931</v>
      </c>
      <c r="BA8" s="7">
        <f t="shared" si="3"/>
        <v>0.16049954912817649</v>
      </c>
      <c r="BB8" s="7">
        <f t="shared" si="3"/>
        <v>-0.25246377965845751</v>
      </c>
      <c r="BC8" s="7">
        <f t="shared" si="3"/>
        <v>0.1567368975950931</v>
      </c>
      <c r="BD8" s="7">
        <f t="shared" si="3"/>
        <v>0.16688346547535879</v>
      </c>
      <c r="BE8" s="7">
        <f t="shared" si="3"/>
        <v>-0.13147229447438241</v>
      </c>
      <c r="BF8" s="7">
        <f t="shared" si="3"/>
        <v>-0.28526227318364472</v>
      </c>
      <c r="BG8" s="7">
        <f t="shared" si="3"/>
        <v>0.31531123716866039</v>
      </c>
      <c r="BH8" s="7">
        <f t="shared" si="3"/>
        <v>0.27010117711850462</v>
      </c>
      <c r="BI8" s="7">
        <f t="shared" si="3"/>
        <v>5.812657406460206E-2</v>
      </c>
      <c r="BJ8" s="7">
        <f t="shared" si="3"/>
        <v>-0.25986983403483388</v>
      </c>
      <c r="BK8" s="7">
        <f t="shared" si="3"/>
        <v>0.18487944696901781</v>
      </c>
      <c r="BL8" s="7">
        <f t="shared" si="3"/>
        <v>-0.26913172790454543</v>
      </c>
      <c r="BM8" s="7">
        <f t="shared" si="3"/>
        <v>0.1717381908649544</v>
      </c>
      <c r="BN8" s="7">
        <f t="shared" si="3"/>
        <v>-0.18092216130584951</v>
      </c>
      <c r="BO8" s="7">
        <f t="shared" ref="BO8:DZ8" si="4">IF(BO6=1,BO3,IF(BO6=2,BO4,IF(BO6=3,BO5)))</f>
        <v>-0.149287939972541</v>
      </c>
      <c r="BP8" s="7">
        <f t="shared" si="4"/>
        <v>8.3627121253362802E-2</v>
      </c>
      <c r="BQ8" s="7">
        <f t="shared" si="4"/>
        <v>-0.16861046240236999</v>
      </c>
      <c r="BR8" s="7">
        <f t="shared" si="4"/>
        <v>0.21346470331308601</v>
      </c>
      <c r="BS8" s="7">
        <f t="shared" si="4"/>
        <v>0.1244241075337672</v>
      </c>
      <c r="BT8" s="7">
        <f t="shared" si="4"/>
        <v>0.20772231279415901</v>
      </c>
      <c r="BU8" s="7">
        <f t="shared" si="4"/>
        <v>0.1137793780847101</v>
      </c>
      <c r="BV8" s="7">
        <f t="shared" si="4"/>
        <v>0.17197266141593739</v>
      </c>
      <c r="BW8" s="7">
        <f t="shared" si="4"/>
        <v>-0.1268015683060742</v>
      </c>
      <c r="BX8" s="7">
        <f t="shared" si="4"/>
        <v>-0.10582029087279909</v>
      </c>
      <c r="BY8" s="7">
        <f t="shared" si="4"/>
        <v>-0.1826948620902353</v>
      </c>
      <c r="BZ8" s="7">
        <f t="shared" si="4"/>
        <v>-0.14071284467671319</v>
      </c>
      <c r="CA8" s="7">
        <f t="shared" si="4"/>
        <v>7.3472777058867567E-2</v>
      </c>
      <c r="CB8" s="7">
        <f t="shared" si="4"/>
        <v>0.19801890737320349</v>
      </c>
      <c r="CC8" s="7">
        <f t="shared" si="4"/>
        <v>-0.29446404903659129</v>
      </c>
      <c r="CD8" s="7">
        <f t="shared" si="4"/>
        <v>0.32742328506094998</v>
      </c>
      <c r="CE8" s="7">
        <f t="shared" si="4"/>
        <v>0.21879703659667429</v>
      </c>
      <c r="CF8" s="7">
        <f t="shared" si="4"/>
        <v>-0.14937324914413941</v>
      </c>
      <c r="CG8" s="7">
        <f t="shared" si="4"/>
        <v>0.16320028060313421</v>
      </c>
      <c r="CH8" s="7">
        <f t="shared" si="4"/>
        <v>-6.9038325074175663E-2</v>
      </c>
      <c r="CI8" s="7">
        <f t="shared" si="4"/>
        <v>-0.11536214708505139</v>
      </c>
      <c r="CJ8" s="7">
        <f t="shared" si="4"/>
        <v>-0.39111281147264998</v>
      </c>
      <c r="CK8" s="7">
        <f t="shared" si="4"/>
        <v>0.37897350211797709</v>
      </c>
      <c r="CL8" s="7">
        <f t="shared" si="4"/>
        <v>-7.6383453932209341E-2</v>
      </c>
      <c r="CM8" s="7">
        <f t="shared" si="4"/>
        <v>0.18311247425732111</v>
      </c>
      <c r="CN8" s="7">
        <f t="shared" si="4"/>
        <v>-0.39746167912504499</v>
      </c>
      <c r="CO8" s="7">
        <f t="shared" si="4"/>
        <v>0.43716796518582229</v>
      </c>
      <c r="CP8" s="7">
        <f t="shared" si="4"/>
        <v>-9.5682049872747255E-2</v>
      </c>
      <c r="CQ8" s="7">
        <f t="shared" si="4"/>
        <v>-0.49935244279872992</v>
      </c>
      <c r="CR8" s="7">
        <f t="shared" si="4"/>
        <v>0.3398570382696095</v>
      </c>
      <c r="CS8" s="7">
        <f t="shared" si="4"/>
        <v>-0.27901111949972451</v>
      </c>
      <c r="CT8" s="7">
        <f t="shared" si="4"/>
        <v>0.2246197528310597</v>
      </c>
      <c r="CU8" s="7">
        <f t="shared" si="4"/>
        <v>-0.25171771168640761</v>
      </c>
      <c r="CV8" s="7">
        <f t="shared" si="4"/>
        <v>0.1117497704879042</v>
      </c>
      <c r="CW8" s="7">
        <f t="shared" si="4"/>
        <v>0.2108770628752098</v>
      </c>
      <c r="CX8" s="7">
        <f t="shared" si="4"/>
        <v>0.25016150139728283</v>
      </c>
      <c r="CY8" s="7">
        <f t="shared" si="4"/>
        <v>-0.52413353929587791</v>
      </c>
      <c r="CZ8" s="7">
        <f t="shared" si="4"/>
        <v>0.8216183061041753</v>
      </c>
      <c r="DA8" s="7">
        <f t="shared" si="4"/>
        <v>0.31254073484350059</v>
      </c>
      <c r="DB8" s="7">
        <f t="shared" si="4"/>
        <v>-0.15564612733519101</v>
      </c>
      <c r="DC8" s="7">
        <f t="shared" si="4"/>
        <v>-0.1869585274246745</v>
      </c>
      <c r="DD8" s="7">
        <f t="shared" si="4"/>
        <v>-0.42083892435479142</v>
      </c>
      <c r="DE8" s="7">
        <f t="shared" si="4"/>
        <v>-0.2279724207651195</v>
      </c>
      <c r="DF8" s="7">
        <f t="shared" si="4"/>
        <v>-0.33715973842927388</v>
      </c>
      <c r="DG8" s="7">
        <f t="shared" si="4"/>
        <v>-0.44400370439279008</v>
      </c>
      <c r="DH8" s="7">
        <f t="shared" si="4"/>
        <v>0.15762567020768259</v>
      </c>
      <c r="DI8" s="7">
        <f t="shared" si="4"/>
        <v>0.30896916307249689</v>
      </c>
      <c r="DJ8" s="7">
        <f t="shared" si="4"/>
        <v>-0.28669247758290828</v>
      </c>
      <c r="DK8" s="7">
        <f t="shared" si="4"/>
        <v>0.84621248517861269</v>
      </c>
      <c r="DL8" s="7">
        <f t="shared" si="4"/>
        <v>-0.16924034367306559</v>
      </c>
      <c r="DM8" s="7">
        <f t="shared" si="4"/>
        <v>-0.43945016692248923</v>
      </c>
      <c r="DN8" s="7">
        <f t="shared" si="4"/>
        <v>0.74751336560070059</v>
      </c>
      <c r="DO8" s="7">
        <f t="shared" si="4"/>
        <v>-0.39996426308914668</v>
      </c>
      <c r="DP8" s="7">
        <f t="shared" si="4"/>
        <v>0.16113140194021491</v>
      </c>
      <c r="DQ8" s="7">
        <f t="shared" si="4"/>
        <v>-0.58863430244229409</v>
      </c>
      <c r="DR8" s="7">
        <f t="shared" si="4"/>
        <v>-0.1292436792863576</v>
      </c>
      <c r="DS8" s="7">
        <f t="shared" si="4"/>
        <v>-0.19878519438361211</v>
      </c>
      <c r="DT8" s="7">
        <f t="shared" si="4"/>
        <v>0.4132117833889476</v>
      </c>
      <c r="DU8" s="7">
        <f t="shared" si="4"/>
        <v>-0.17065403209770361</v>
      </c>
      <c r="DV8" s="7">
        <f t="shared" si="4"/>
        <v>0.68828031734213269</v>
      </c>
      <c r="DW8" s="7">
        <f t="shared" si="4"/>
        <v>6.6155769939567149E-2</v>
      </c>
      <c r="DX8" s="7">
        <f t="shared" si="4"/>
        <v>-0.1999347157162332</v>
      </c>
      <c r="DY8" s="7">
        <f t="shared" si="4"/>
        <v>0.56631420698904078</v>
      </c>
      <c r="DZ8" s="7">
        <f t="shared" si="4"/>
        <v>0.47362880432099852</v>
      </c>
      <c r="EA8" s="7">
        <f t="shared" ref="EA8:EG8" si="5">IF(EA6=1,EA3,IF(EA6=2,EA4,IF(EA6=3,EA5)))</f>
        <v>-0.1948807812701929</v>
      </c>
      <c r="EB8" s="7">
        <f t="shared" si="5"/>
        <v>-1.076360940060376</v>
      </c>
      <c r="EC8" s="7">
        <f t="shared" si="5"/>
        <v>-0.13610628648279391</v>
      </c>
      <c r="ED8" s="7">
        <f t="shared" si="5"/>
        <v>-0.27349656344743889</v>
      </c>
      <c r="EE8" s="7">
        <f t="shared" si="5"/>
        <v>0.60134859370029736</v>
      </c>
      <c r="EF8" s="7">
        <f t="shared" si="5"/>
        <v>0.24381115553913091</v>
      </c>
      <c r="EG8" s="1">
        <f t="shared" si="5"/>
        <v>0</v>
      </c>
    </row>
    <row r="10" spans="1:137" x14ac:dyDescent="0.3">
      <c r="A10" s="22" t="s">
        <v>140</v>
      </c>
      <c r="B10" s="23"/>
      <c r="C10" s="1" t="s">
        <v>141</v>
      </c>
      <c r="D10" s="2">
        <v>964</v>
      </c>
    </row>
    <row r="11" spans="1:137" x14ac:dyDescent="0.3">
      <c r="A11" s="1" t="s">
        <v>158</v>
      </c>
      <c r="B11" s="1" t="s">
        <v>142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144</v>
      </c>
    </row>
    <row r="12" spans="1:137" x14ac:dyDescent="0.3">
      <c r="A12" s="1">
        <v>96</v>
      </c>
      <c r="B12" s="1" t="s">
        <v>159</v>
      </c>
      <c r="C12" s="15" cm="1">
        <f t="array" ref="C12">PRODUCT(1 + 預測IC!$C12:C12) - 1</f>
        <v>1.4499246984096104E-2</v>
      </c>
      <c r="D12" s="15">
        <f>C12+預測IC!D12</f>
        <v>0.12918787602931961</v>
      </c>
      <c r="E12" s="15">
        <f>D12+預測IC!E12</f>
        <v>0.12779415148845316</v>
      </c>
      <c r="F12" s="15">
        <f>E12+預測IC!F12</f>
        <v>7.183476670399444E-2</v>
      </c>
      <c r="G12" s="15">
        <f>F12+預測IC!G12</f>
        <v>3.9887318185363979E-2</v>
      </c>
      <c r="H12" s="15">
        <f>G12+預測IC!H12</f>
        <v>4.9486576541963562E-2</v>
      </c>
      <c r="I12" s="15">
        <f>H12+預測IC!I12</f>
        <v>1.3182639692911551E-2</v>
      </c>
      <c r="J12" s="15">
        <f>I12+預測IC!J12</f>
        <v>5.6967218437783074E-2</v>
      </c>
      <c r="K12" s="15">
        <f>J12+預測IC!K12</f>
        <v>8.6155216571482257E-2</v>
      </c>
      <c r="L12" s="15">
        <f>K12+預測IC!L12</f>
        <v>7.7396660607316023E-2</v>
      </c>
      <c r="M12" s="15">
        <f>L12+預測IC!M12</f>
        <v>0.10428583444052297</v>
      </c>
      <c r="N12" s="15">
        <f>M12+預測IC!N12</f>
        <v>0.1389891886839858</v>
      </c>
      <c r="O12" s="15">
        <f>N12+預測IC!O12</f>
        <v>0.15761907732996477</v>
      </c>
      <c r="P12" s="15">
        <f>O12+預測IC!P12</f>
        <v>0.15736474922180765</v>
      </c>
      <c r="Q12" s="15">
        <f>P12+預測IC!Q12</f>
        <v>0.19115753334271537</v>
      </c>
      <c r="R12" s="15">
        <f>Q12+預測IC!R12</f>
        <v>0.17776002710277963</v>
      </c>
      <c r="S12" s="15">
        <f>R12+預測IC!S12</f>
        <v>0.18881505687611885</v>
      </c>
      <c r="T12" s="15">
        <f>S12+預測IC!T12</f>
        <v>0.23205854569563203</v>
      </c>
      <c r="U12" s="15">
        <f>T12+預測IC!U12</f>
        <v>0.25242576624876301</v>
      </c>
      <c r="V12" s="15">
        <f>U12+預測IC!V12</f>
        <v>0.24291481259511477</v>
      </c>
      <c r="W12" s="15">
        <f>V12+預測IC!W12</f>
        <v>0.27133247545327788</v>
      </c>
      <c r="X12" s="15">
        <f>W12+預測IC!X12</f>
        <v>0.29840636587782499</v>
      </c>
      <c r="Y12" s="15">
        <f>X12+預測IC!Y12</f>
        <v>0.27780797235013371</v>
      </c>
      <c r="Z12" s="15">
        <f>Y12+預測IC!Z12</f>
        <v>0.34143165566570766</v>
      </c>
      <c r="AA12" s="15">
        <f>Z12+預測IC!AA12</f>
        <v>0.30202799426459587</v>
      </c>
      <c r="AB12" s="15">
        <f>AA12+預測IC!AB12</f>
        <v>0.2673388837131177</v>
      </c>
      <c r="AC12" s="15">
        <f>AB12+預測IC!AC12</f>
        <v>0.31411182933942894</v>
      </c>
      <c r="AD12" s="15">
        <f>AC12+預測IC!AD12</f>
        <v>0.3115813995082054</v>
      </c>
      <c r="AE12" s="15">
        <f>AD12+預測IC!AE12</f>
        <v>0.35801911617518944</v>
      </c>
      <c r="AF12" s="15">
        <f>AE12+預測IC!AF12</f>
        <v>0.30600701339842173</v>
      </c>
      <c r="AG12" s="15">
        <f>AF12+預測IC!AG12</f>
        <v>0.30982194381923156</v>
      </c>
      <c r="AH12" s="15">
        <f>AG12+預測IC!AH12</f>
        <v>0.32553497758851241</v>
      </c>
      <c r="AI12" s="15">
        <f>AH12+預測IC!AI12</f>
        <v>0.334328770080774</v>
      </c>
      <c r="AJ12" s="15">
        <f>AI12+預測IC!AJ12</f>
        <v>0.35305206641370818</v>
      </c>
      <c r="AK12" s="15">
        <f>AJ12+預測IC!AK12</f>
        <v>0.33657669818957248</v>
      </c>
      <c r="AL12" s="15">
        <f>AK12+預測IC!AL12</f>
        <v>0.35443570121149454</v>
      </c>
      <c r="AM12" s="15">
        <f>AL12+預測IC!AM12</f>
        <v>0.38452181682409248</v>
      </c>
      <c r="AN12" s="15">
        <f>AM12+預測IC!AN12</f>
        <v>0.45375505113752101</v>
      </c>
      <c r="AO12" s="15">
        <f>AN12+預測IC!AO12</f>
        <v>0.46875052198064832</v>
      </c>
      <c r="AP12" s="15">
        <f>AO12+預測IC!AP12</f>
        <v>0.47338445850847743</v>
      </c>
      <c r="AQ12" s="15">
        <f>AP12+預測IC!AQ12</f>
        <v>0.48100639489706126</v>
      </c>
      <c r="AR12" s="15">
        <f>AQ12+預測IC!AR12</f>
        <v>0.48851082298582132</v>
      </c>
      <c r="AS12" s="15">
        <f>AR12+預測IC!AS12</f>
        <v>0.50761054144052198</v>
      </c>
      <c r="AT12" s="15">
        <f>AS12+預測IC!AT12</f>
        <v>0.57980592379295703</v>
      </c>
      <c r="AU12" s="15">
        <f>AT12+預測IC!AU12</f>
        <v>0.57609238735291246</v>
      </c>
      <c r="AV12" s="15">
        <f>AU12+預測IC!AV12</f>
        <v>0.55430249212848592</v>
      </c>
      <c r="AW12" s="15">
        <f>AV12+預測IC!AW12</f>
        <v>0.55368101511046985</v>
      </c>
      <c r="AX12" s="15">
        <f>AW12+預測IC!AX12</f>
        <v>0.508985003137572</v>
      </c>
      <c r="AY12" s="15">
        <f>AX12+預測IC!AY12</f>
        <v>0.49149368147856448</v>
      </c>
      <c r="AZ12" s="15">
        <f>AY12+預測IC!AZ12</f>
        <v>0.46787912831326384</v>
      </c>
      <c r="BA12" s="15">
        <f>AZ12+預測IC!BA12</f>
        <v>0.47281701649650565</v>
      </c>
      <c r="BB12" s="15">
        <f>BA12+預測IC!BB12</f>
        <v>0.47860241141078086</v>
      </c>
      <c r="BC12" s="15">
        <f>BB12+預測IC!BC12</f>
        <v>0.49087520044925737</v>
      </c>
      <c r="BD12" s="15">
        <f>BC12+預測IC!BD12</f>
        <v>0.50450575739090997</v>
      </c>
      <c r="BE12" s="15">
        <f>BD12+預測IC!BE12</f>
        <v>0.48589694755152468</v>
      </c>
      <c r="BF12" s="15">
        <f>BE12+預測IC!BF12</f>
        <v>0.55351389679922003</v>
      </c>
      <c r="BG12" s="15">
        <f>BF12+預測IC!BG12</f>
        <v>0.58718475924048286</v>
      </c>
      <c r="BH12" s="15">
        <f>BG12+預測IC!BH12</f>
        <v>0.60140811925180482</v>
      </c>
      <c r="BI12" s="15">
        <f>BH12+預測IC!BI12</f>
        <v>0.55765205487196023</v>
      </c>
      <c r="BJ12" s="15">
        <f>BI12+預測IC!BJ12</f>
        <v>0.58231518104707958</v>
      </c>
      <c r="BK12" s="15">
        <f>BJ12+預測IC!BK12</f>
        <v>0.58165779755204505</v>
      </c>
      <c r="BL12" s="15">
        <f>BK12+預測IC!BL12</f>
        <v>0.6137868958525392</v>
      </c>
      <c r="BM12" s="15">
        <f>BL12+預測IC!BM12</f>
        <v>0.66409258037586372</v>
      </c>
      <c r="BN12" s="15">
        <f>BM12+預測IC!BN12</f>
        <v>0.67566854754880434</v>
      </c>
      <c r="BO12" s="15">
        <f>BN12+預測IC!BO12</f>
        <v>0.65142223729256743</v>
      </c>
      <c r="BP12" s="15">
        <f>BO12+預測IC!BP12</f>
        <v>0.67784419462673473</v>
      </c>
      <c r="BQ12" s="15">
        <f>BP12+預測IC!BQ12</f>
        <v>0.69655970353148899</v>
      </c>
      <c r="BR12" s="15">
        <f>BQ12+預測IC!BR12</f>
        <v>0.69429869507809017</v>
      </c>
      <c r="BS12" s="15">
        <f>BR12+預測IC!BS12</f>
        <v>0.66165584018969748</v>
      </c>
      <c r="BT12" s="15">
        <f>BS12+預測IC!BT12</f>
        <v>0.67802062350412284</v>
      </c>
      <c r="BU12" s="15">
        <f>BT12+預測IC!BU12</f>
        <v>0.68680214064421929</v>
      </c>
      <c r="BV12" s="15">
        <f>BU12+預測IC!BV12</f>
        <v>0.65474891447382477</v>
      </c>
      <c r="BW12" s="15">
        <f>BV12+預測IC!BW12</f>
        <v>0.69922591836547499</v>
      </c>
      <c r="BX12" s="15">
        <f>BW12+預測IC!BX12</f>
        <v>0.70621107222361423</v>
      </c>
      <c r="BY12" s="15">
        <f>BX12+預測IC!BY12</f>
        <v>0.66039508599078389</v>
      </c>
      <c r="BZ12" s="15">
        <f>BY12+預測IC!BZ12</f>
        <v>0.61503814029951087</v>
      </c>
      <c r="CA12" s="15">
        <f>BZ12+預測IC!CA12</f>
        <v>0.58063785285916836</v>
      </c>
      <c r="CB12" s="15">
        <f>CA12+預測IC!CB12</f>
        <v>0.50816197678698904</v>
      </c>
      <c r="CC12" s="15">
        <f>CB12+預測IC!CC12</f>
        <v>0.57372858941467897</v>
      </c>
      <c r="CD12" s="15">
        <f>CC12+預測IC!CD12</f>
        <v>0.52937332605799436</v>
      </c>
      <c r="CE12" s="15">
        <f>CD12+預測IC!CE12</f>
        <v>0.54099273450022356</v>
      </c>
      <c r="CF12" s="15">
        <f>CE12+預測IC!CF12</f>
        <v>0.53297145998629358</v>
      </c>
      <c r="CG12" s="15">
        <f>CF12+預測IC!CG12</f>
        <v>0.48369350002321299</v>
      </c>
      <c r="CH12" s="15">
        <f>CG12+預測IC!CH12</f>
        <v>0.50015661240199882</v>
      </c>
      <c r="CI12" s="15">
        <f>CH12+預測IC!CI12</f>
        <v>0.53575464330310463</v>
      </c>
      <c r="CJ12" s="15">
        <f>CI12+預測IC!CJ12</f>
        <v>0.52030946282441581</v>
      </c>
      <c r="CK12" s="15">
        <f>CJ12+預測IC!CK12</f>
        <v>0.57641090347220603</v>
      </c>
      <c r="CL12" s="15">
        <f>CK12+預測IC!CL12</f>
        <v>0.49797062318618512</v>
      </c>
      <c r="CM12" s="15">
        <f>CL12+預測IC!CM12</f>
        <v>0.48275089701884433</v>
      </c>
      <c r="CN12" s="15">
        <f>CM12+預測IC!CN12</f>
        <v>0.50983459823340371</v>
      </c>
      <c r="CO12" s="15">
        <f>CN12+預測IC!CO12</f>
        <v>0.4850148129781911</v>
      </c>
      <c r="CP12" s="15">
        <f>CO12+預測IC!CP12</f>
        <v>0.43971579151069734</v>
      </c>
      <c r="CQ12" s="15">
        <f>CP12+預測IC!CQ12</f>
        <v>0.50240013851427212</v>
      </c>
      <c r="CR12" s="15">
        <f>CQ12+預測IC!CR12</f>
        <v>0.44524015199275857</v>
      </c>
      <c r="CS12" s="15">
        <f>CR12+預測IC!CS12</f>
        <v>0.43073050155428905</v>
      </c>
      <c r="CT12" s="15">
        <f>CS12+預測IC!CT12</f>
        <v>0.42140143832431215</v>
      </c>
      <c r="CU12" s="15">
        <f>CT12+預測IC!CU12</f>
        <v>0.49618096760566888</v>
      </c>
      <c r="CV12" s="15">
        <f>CU12+預測IC!CV12</f>
        <v>0.49177760949049076</v>
      </c>
      <c r="CW12" s="15">
        <f>CV12+預測IC!CW12</f>
        <v>0.50481427886906838</v>
      </c>
      <c r="CX12" s="15">
        <f>CW12+預測IC!CX12</f>
        <v>0.47406164060160538</v>
      </c>
      <c r="CY12" s="15">
        <f>CX12+預測IC!CY12</f>
        <v>0.45764104435379976</v>
      </c>
      <c r="CZ12" s="15">
        <f>CY12+預測IC!CZ12</f>
        <v>0.44531678229388316</v>
      </c>
      <c r="DA12" s="15">
        <f>CZ12+預測IC!DA12</f>
        <v>0.45092056636424371</v>
      </c>
      <c r="DB12" s="15">
        <f>DA12+預測IC!DB12</f>
        <v>0.47390244231837075</v>
      </c>
      <c r="DC12" s="15">
        <f>DB12+預測IC!DC12</f>
        <v>0.43992923944359608</v>
      </c>
      <c r="DD12" s="15">
        <f>DC12+預測IC!DD12</f>
        <v>0.50988978517793937</v>
      </c>
      <c r="DE12" s="15">
        <f>DD12+預測IC!DE12</f>
        <v>0.53462742959303444</v>
      </c>
      <c r="DF12" s="15">
        <f>DE12+預測IC!DF12</f>
        <v>0.52300310990516541</v>
      </c>
      <c r="DG12" s="15">
        <f>DF12+預測IC!DG12</f>
        <v>0.57039753153498973</v>
      </c>
      <c r="DH12" s="15">
        <f>DG12+預測IC!DH12</f>
        <v>0.50920237674667279</v>
      </c>
      <c r="DI12" s="15">
        <f>DH12+預測IC!DI12</f>
        <v>0.53918163130417252</v>
      </c>
      <c r="DJ12" s="15">
        <f>DI12+預測IC!DJ12</f>
        <v>0.49780358836850097</v>
      </c>
      <c r="DK12" s="15">
        <f>DJ12+預測IC!DK12</f>
        <v>0.49887478699708165</v>
      </c>
      <c r="DL12" s="15">
        <f>DK12+預測IC!DL12</f>
        <v>0.48020495366327859</v>
      </c>
      <c r="DM12" s="15">
        <f>DL12+預測IC!DM12</f>
        <v>0.47106146032974944</v>
      </c>
      <c r="DN12" s="15">
        <f>DM12+預測IC!DN12</f>
        <v>0.45252001687113702</v>
      </c>
      <c r="DO12" s="15">
        <f>DN12+預測IC!DO12</f>
        <v>0.47155074513903483</v>
      </c>
      <c r="DP12" s="15">
        <f>DO12+預測IC!DP12</f>
        <v>0.50413519473933199</v>
      </c>
      <c r="DQ12" s="15">
        <f>DP12+預測IC!DQ12</f>
        <v>0.42959454725885926</v>
      </c>
      <c r="DR12" s="15">
        <f>DQ12+預測IC!DR12</f>
        <v>0.44665952670897741</v>
      </c>
      <c r="DS12" s="15">
        <f>DR12+預測IC!DS12</f>
        <v>0.40063524770385261</v>
      </c>
      <c r="DT12" s="15">
        <f>DS12+預測IC!DT12</f>
        <v>0.42544908926643932</v>
      </c>
      <c r="DU12" s="15">
        <f>DT12+預測IC!DU12</f>
        <v>0.37966194729197233</v>
      </c>
      <c r="DV12" s="15">
        <f>DU12+預測IC!DV12</f>
        <v>0.36291050577815176</v>
      </c>
      <c r="DW12" s="15">
        <f>DV12+預測IC!DW12</f>
        <v>0.40663606999818919</v>
      </c>
      <c r="DX12" s="15">
        <f>DW12+預測IC!DX12</f>
        <v>0.38853693321985577</v>
      </c>
      <c r="DY12" s="15">
        <f>DX12+預測IC!DY12</f>
        <v>0.45126515531462569</v>
      </c>
      <c r="DZ12" s="15">
        <f>DY12+預測IC!DZ12</f>
        <v>0.4713040454382148</v>
      </c>
      <c r="EA12" s="15">
        <f>DZ12+預測IC!EA12</f>
        <v>0.5224016779757461</v>
      </c>
      <c r="EB12" s="15">
        <f>EA12+預測IC!EB12</f>
        <v>0.55292745479358774</v>
      </c>
      <c r="EC12" s="15">
        <f>EB12+預測IC!EC12</f>
        <v>0.53804353666406857</v>
      </c>
      <c r="ED12" s="15">
        <f>EC12+預測IC!ED12</f>
        <v>0.51459896142112738</v>
      </c>
      <c r="EE12" s="15">
        <f>ED12+預測IC!EE12</f>
        <v>0.486382681153324</v>
      </c>
      <c r="EF12" s="15">
        <f>EE12+預測IC!EF12</f>
        <v>0.4571489153980926</v>
      </c>
    </row>
    <row r="13" spans="1:137" x14ac:dyDescent="0.3">
      <c r="A13" s="1">
        <v>48</v>
      </c>
      <c r="B13" s="1" t="s">
        <v>160</v>
      </c>
      <c r="C13" s="15">
        <v>-7.4773642018864783E-3</v>
      </c>
      <c r="D13" s="15">
        <f>C13+預測IC!D13</f>
        <v>0.11626766459088582</v>
      </c>
      <c r="E13" s="15">
        <f>D13+預測IC!E13</f>
        <v>0.11074403788759948</v>
      </c>
      <c r="F13" s="15">
        <f>E13+預測IC!F13</f>
        <v>5.0757511194676516E-2</v>
      </c>
      <c r="G13" s="15">
        <f>F13+預測IC!G13</f>
        <v>3.8710106894570585E-2</v>
      </c>
      <c r="H13" s="15">
        <f>G13+預測IC!H13</f>
        <v>5.6098493922069573E-2</v>
      </c>
      <c r="I13" s="15">
        <f>H13+預測IC!I13</f>
        <v>2.3415630937347234E-2</v>
      </c>
      <c r="J13" s="15">
        <f>I13+預測IC!J13</f>
        <v>5.7965522906991931E-2</v>
      </c>
      <c r="K13" s="15">
        <f>J13+預測IC!K13</f>
        <v>0.11829166213456208</v>
      </c>
      <c r="L13" s="15">
        <f>K13+預測IC!L13</f>
        <v>9.6311191755839298E-2</v>
      </c>
      <c r="M13" s="15">
        <f>L13+預測IC!M13</f>
        <v>9.9590949981844021E-2</v>
      </c>
      <c r="N13" s="15">
        <f>M13+預測IC!N13</f>
        <v>0.14298336744754081</v>
      </c>
      <c r="O13" s="15">
        <f>N13+預測IC!O13</f>
        <v>0.17925664316746329</v>
      </c>
      <c r="P13" s="15">
        <f>O13+預測IC!P13</f>
        <v>0.17297899550673035</v>
      </c>
      <c r="Q13" s="15">
        <f>P13+預測IC!Q13</f>
        <v>0.21719725973470039</v>
      </c>
      <c r="R13" s="15">
        <f>Q13+預測IC!R13</f>
        <v>0.21070734955862599</v>
      </c>
      <c r="S13" s="15">
        <f>R13+預測IC!S13</f>
        <v>0.20469354655158373</v>
      </c>
      <c r="T13" s="15">
        <f>S13+預測IC!T13</f>
        <v>0.25759334946027707</v>
      </c>
      <c r="U13" s="15">
        <f>T13+預測IC!U13</f>
        <v>0.31175442450197122</v>
      </c>
      <c r="V13" s="15">
        <f>U13+預測IC!V13</f>
        <v>0.30953778459891729</v>
      </c>
      <c r="W13" s="15">
        <f>V13+預測IC!W13</f>
        <v>0.34050668867040018</v>
      </c>
      <c r="X13" s="15">
        <f>W13+預測IC!X13</f>
        <v>0.39378358339634378</v>
      </c>
      <c r="Y13" s="15">
        <f>X13+預測IC!Y13</f>
        <v>0.40046694212288925</v>
      </c>
      <c r="Z13" s="15">
        <f>Y13+預測IC!Z13</f>
        <v>0.47889137692807282</v>
      </c>
      <c r="AA13" s="15">
        <f>Z13+預測IC!AA13</f>
        <v>0.44677186658960155</v>
      </c>
      <c r="AB13" s="15">
        <f>AA13+預測IC!AB13</f>
        <v>0.40009364646822426</v>
      </c>
      <c r="AC13" s="15">
        <f>AB13+預測IC!AC13</f>
        <v>0.46686534685015413</v>
      </c>
      <c r="AD13" s="15">
        <f>AC13+預測IC!AD13</f>
        <v>0.44642511847636168</v>
      </c>
      <c r="AE13" s="15">
        <f>AD13+預測IC!AE13</f>
        <v>0.52349653520316242</v>
      </c>
      <c r="AF13" s="15">
        <f>AE13+預測IC!AF13</f>
        <v>0.45021537437485126</v>
      </c>
      <c r="AG13" s="15">
        <f>AF13+預測IC!AG13</f>
        <v>0.44031016664777717</v>
      </c>
      <c r="AH13" s="15">
        <f>AG13+預測IC!AH13</f>
        <v>0.46526537319764405</v>
      </c>
      <c r="AI13" s="15">
        <f>AH13+預測IC!AI13</f>
        <v>0.48391141957761008</v>
      </c>
      <c r="AJ13" s="15">
        <f>AI13+預測IC!AJ13</f>
        <v>0.48561887041622903</v>
      </c>
      <c r="AK13" s="15">
        <f>AJ13+預測IC!AK13</f>
        <v>0.44725948013335692</v>
      </c>
      <c r="AL13" s="15">
        <f>AK13+預測IC!AL13</f>
        <v>0.47041090872852798</v>
      </c>
      <c r="AM13" s="15">
        <f>AL13+預測IC!AM13</f>
        <v>0.51669335226535695</v>
      </c>
      <c r="AN13" s="15">
        <f>AM13+預測IC!AN13</f>
        <v>0.6220235904013911</v>
      </c>
      <c r="AO13" s="15">
        <f>AN13+預測IC!AO13</f>
        <v>0.62031474371275575</v>
      </c>
      <c r="AP13" s="15">
        <f>AO13+預測IC!AP13</f>
        <v>0.6269027336203985</v>
      </c>
      <c r="AQ13" s="15">
        <f>AP13+預測IC!AQ13</f>
        <v>0.63295202238929815</v>
      </c>
      <c r="AR13" s="15">
        <f>AQ13+預測IC!AR13</f>
        <v>0.62370128990602192</v>
      </c>
      <c r="AS13" s="15">
        <f>AR13+預測IC!AS13</f>
        <v>0.66501440839025605</v>
      </c>
      <c r="AT13" s="15">
        <f>AS13+預測IC!AT13</f>
        <v>0.75143732311785549</v>
      </c>
      <c r="AU13" s="15">
        <f>AT13+預測IC!AU13</f>
        <v>0.76713274154432798</v>
      </c>
      <c r="AV13" s="15">
        <f>AU13+預測IC!AV13</f>
        <v>0.75617383131402749</v>
      </c>
      <c r="AW13" s="15">
        <f>AV13+預測IC!AW13</f>
        <v>0.75209381773096406</v>
      </c>
      <c r="AX13" s="15">
        <f>AW13+預測IC!AX13</f>
        <v>0.71929398559510827</v>
      </c>
      <c r="AY13" s="15">
        <f>AX13+預測IC!AY13</f>
        <v>0.70503178168796954</v>
      </c>
      <c r="AZ13" s="15">
        <f>AY13+預測IC!AZ13</f>
        <v>0.67381124559419947</v>
      </c>
      <c r="BA13" s="15">
        <f>AZ13+預測IC!BA13</f>
        <v>0.68035218320126045</v>
      </c>
      <c r="BB13" s="15">
        <f>BA13+預測IC!BB13</f>
        <v>0.70639852873415654</v>
      </c>
      <c r="BC13" s="15">
        <f>BB13+預測IC!BC13</f>
        <v>0.71768229584581422</v>
      </c>
      <c r="BD13" s="15">
        <f>BC13+預測IC!BD13</f>
        <v>0.72102672422949554</v>
      </c>
      <c r="BE13" s="15">
        <f>BD13+預測IC!BE13</f>
        <v>0.69363491792385401</v>
      </c>
      <c r="BF13" s="15">
        <f>BE13+預測IC!BF13</f>
        <v>0.81529206118980968</v>
      </c>
      <c r="BG13" s="15">
        <f>BF13+預測IC!BG13</f>
        <v>0.86185852352852133</v>
      </c>
      <c r="BH13" s="15">
        <f>BG13+預測IC!BH13</f>
        <v>0.87033425334014036</v>
      </c>
      <c r="BI13" s="15">
        <f>BH13+預測IC!BI13</f>
        <v>0.84873269423720743</v>
      </c>
      <c r="BJ13" s="15">
        <f>BI13+預測IC!BJ13</f>
        <v>0.87299878185031632</v>
      </c>
      <c r="BK13" s="15">
        <f>BJ13+預測IC!BK13</f>
        <v>0.86412038593422491</v>
      </c>
      <c r="BL13" s="15">
        <f>BK13+預測IC!BL13</f>
        <v>0.89858042638267577</v>
      </c>
      <c r="BM13" s="15">
        <f>BL13+預測IC!BM13</f>
        <v>0.95195219507786644</v>
      </c>
      <c r="BN13" s="15">
        <f>BM13+預測IC!BN13</f>
        <v>0.98750490849027373</v>
      </c>
      <c r="BO13" s="15">
        <f>BN13+預測IC!BO13</f>
        <v>0.95662619225679957</v>
      </c>
      <c r="BP13" s="15">
        <f>BO13+預測IC!BP13</f>
        <v>0.96457733867457418</v>
      </c>
      <c r="BQ13" s="15">
        <f>BP13+預測IC!BQ13</f>
        <v>0.96342651944917213</v>
      </c>
      <c r="BR13" s="15">
        <f>BQ13+預測IC!BR13</f>
        <v>0.95674510196561469</v>
      </c>
      <c r="BS13" s="15">
        <f>BR13+預測IC!BS13</f>
        <v>0.91656458760419779</v>
      </c>
      <c r="BT13" s="15">
        <f>BS13+預測IC!BT13</f>
        <v>0.91708565928000074</v>
      </c>
      <c r="BU13" s="15">
        <f>BT13+預測IC!BU13</f>
        <v>0.93479221431655446</v>
      </c>
      <c r="BV13" s="15">
        <f>BU13+預測IC!BV13</f>
        <v>0.90335147588094178</v>
      </c>
      <c r="BW13" s="15">
        <f>BV13+預測IC!BW13</f>
        <v>0.97906548151762129</v>
      </c>
      <c r="BX13" s="15">
        <f>BW13+預測IC!BX13</f>
        <v>0.97981112032363138</v>
      </c>
      <c r="BY13" s="15">
        <f>BX13+預測IC!BY13</f>
        <v>0.94898336065925815</v>
      </c>
      <c r="BZ13" s="15">
        <f>BY13+預測IC!BZ13</f>
        <v>0.87284523760020793</v>
      </c>
      <c r="CA13" s="15">
        <f>BZ13+預測IC!CA13</f>
        <v>0.83931367199981111</v>
      </c>
      <c r="CB13" s="15">
        <f>CA13+預測IC!CB13</f>
        <v>0.7188867002677759</v>
      </c>
      <c r="CC13" s="15">
        <f>CB13+預測IC!CC13</f>
        <v>0.83900487400600909</v>
      </c>
      <c r="CD13" s="15">
        <f>CC13+預測IC!CD13</f>
        <v>0.81780073012540255</v>
      </c>
      <c r="CE13" s="15">
        <f>CD13+預測IC!CE13</f>
        <v>0.82702171445081629</v>
      </c>
      <c r="CF13" s="15">
        <f>CE13+預測IC!CF13</f>
        <v>0.83906538146587561</v>
      </c>
      <c r="CG13" s="15">
        <f>CF13+預測IC!CG13</f>
        <v>0.78105041365863626</v>
      </c>
      <c r="CH13" s="15">
        <f>CG13+預測IC!CH13</f>
        <v>0.78507991971684654</v>
      </c>
      <c r="CI13" s="15">
        <f>CH13+預測IC!CI13</f>
        <v>0.79961322295012638</v>
      </c>
      <c r="CJ13" s="15">
        <f>CI13+預測IC!CJ13</f>
        <v>0.8027193109220776</v>
      </c>
      <c r="CK13" s="15">
        <f>CJ13+預測IC!CK13</f>
        <v>0.868406437188875</v>
      </c>
      <c r="CL13" s="15">
        <f>CK13+預測IC!CL13</f>
        <v>0.79568226203565651</v>
      </c>
      <c r="CM13" s="15">
        <f>CL13+預測IC!CM13</f>
        <v>0.78538545827926154</v>
      </c>
      <c r="CN13" s="15">
        <f>CM13+預測IC!CN13</f>
        <v>0.81227302427811388</v>
      </c>
      <c r="CO13" s="15">
        <f>CN13+預測IC!CO13</f>
        <v>0.77693868019745649</v>
      </c>
      <c r="CP13" s="15">
        <f>CO13+預測IC!CP13</f>
        <v>0.7072121399197222</v>
      </c>
      <c r="CQ13" s="15">
        <f>CP13+預測IC!CQ13</f>
        <v>0.77839100488812607</v>
      </c>
      <c r="CR13" s="15">
        <f>CQ13+預測IC!CR13</f>
        <v>0.66674611850765131</v>
      </c>
      <c r="CS13" s="15">
        <f>CR13+預測IC!CS13</f>
        <v>0.67069376917061185</v>
      </c>
      <c r="CT13" s="15">
        <f>CS13+預測IC!CT13</f>
        <v>0.67110230928622816</v>
      </c>
      <c r="CU13" s="15">
        <f>CT13+預測IC!CU13</f>
        <v>0.77819327099986546</v>
      </c>
      <c r="CV13" s="15">
        <f>CU13+預測IC!CV13</f>
        <v>0.75387428798116884</v>
      </c>
      <c r="CW13" s="15">
        <f>CV13+預測IC!CW13</f>
        <v>0.79018340773760221</v>
      </c>
      <c r="CX13" s="15">
        <f>CW13+預測IC!CX13</f>
        <v>0.75960056625791239</v>
      </c>
      <c r="CY13" s="15">
        <f>CX13+預測IC!CY13</f>
        <v>0.71839881437381559</v>
      </c>
      <c r="CZ13" s="15">
        <f>CY13+預測IC!CZ13</f>
        <v>0.71350059821375034</v>
      </c>
      <c r="DA13" s="15">
        <f>CZ13+預測IC!DA13</f>
        <v>0.70791692128792894</v>
      </c>
      <c r="DB13" s="15">
        <f>DA13+預測IC!DB13</f>
        <v>0.74967849100471351</v>
      </c>
      <c r="DC13" s="15">
        <f>DB13+預測IC!DC13</f>
        <v>0.71990292512642062</v>
      </c>
      <c r="DD13" s="15">
        <f>DC13+預測IC!DD13</f>
        <v>0.78887998405080406</v>
      </c>
      <c r="DE13" s="15">
        <f>DD13+預測IC!DE13</f>
        <v>0.81132198048004012</v>
      </c>
      <c r="DF13" s="15">
        <f>DE13+預測IC!DF13</f>
        <v>0.79405034845185773</v>
      </c>
      <c r="DG13" s="15">
        <f>DF13+預測IC!DG13</f>
        <v>0.86538610866677734</v>
      </c>
      <c r="DH13" s="15">
        <f>DG13+預測IC!DH13</f>
        <v>0.77666550772047027</v>
      </c>
      <c r="DI13" s="15">
        <f>DH13+預測IC!DI13</f>
        <v>0.80623592735489846</v>
      </c>
      <c r="DJ13" s="15">
        <f>DI13+預測IC!DJ13</f>
        <v>0.79921480373934051</v>
      </c>
      <c r="DK13" s="15">
        <f>DJ13+預測IC!DK13</f>
        <v>0.77581391184375026</v>
      </c>
      <c r="DL13" s="15">
        <f>DK13+預測IC!DL13</f>
        <v>0.75376322116566208</v>
      </c>
      <c r="DM13" s="15">
        <f>DL13+預測IC!DM13</f>
        <v>0.76541911558118225</v>
      </c>
      <c r="DN13" s="15">
        <f>DM13+預測IC!DN13</f>
        <v>0.75264322609497902</v>
      </c>
      <c r="DO13" s="15">
        <f>DN13+預測IC!DO13</f>
        <v>0.79696836551718186</v>
      </c>
      <c r="DP13" s="15">
        <f>DO13+預測IC!DP13</f>
        <v>0.84575500137345139</v>
      </c>
      <c r="DQ13" s="15">
        <f>DP13+預測IC!DQ13</f>
        <v>0.75862598998088093</v>
      </c>
      <c r="DR13" s="15">
        <f>DQ13+預測IC!DR13</f>
        <v>0.77379454012684201</v>
      </c>
      <c r="DS13" s="15">
        <f>DR13+預測IC!DS13</f>
        <v>0.74387934623551488</v>
      </c>
      <c r="DT13" s="15">
        <f>DS13+預測IC!DT13</f>
        <v>0.7737251553965182</v>
      </c>
      <c r="DU13" s="15">
        <f>DT13+預測IC!DU13</f>
        <v>0.75002630161531669</v>
      </c>
      <c r="DV13" s="15">
        <f>DU13+預測IC!DV13</f>
        <v>0.74017349685306866</v>
      </c>
      <c r="DW13" s="15">
        <f>DV13+預測IC!DW13</f>
        <v>0.78459128647741894</v>
      </c>
      <c r="DX13" s="15">
        <f>DW13+預測IC!DX13</f>
        <v>0.7613616769284528</v>
      </c>
      <c r="DY13" s="15">
        <f>DX13+預測IC!DY13</f>
        <v>0.77086630173233028</v>
      </c>
      <c r="DZ13" s="15">
        <f>DY13+預測IC!DZ13</f>
        <v>0.80115155320727161</v>
      </c>
      <c r="EA13" s="15">
        <f>DZ13+預測IC!EA13</f>
        <v>0.86327023038330153</v>
      </c>
      <c r="EB13" s="15">
        <f>EA13+預測IC!EB13</f>
        <v>0.92047552313169057</v>
      </c>
      <c r="EC13" s="15">
        <f>EB13+預測IC!EC13</f>
        <v>0.89849067060016619</v>
      </c>
      <c r="ED13" s="15">
        <f>EC13+預測IC!ED13</f>
        <v>0.84451265097091088</v>
      </c>
      <c r="EE13" s="15">
        <f>ED13+預測IC!EE13</f>
        <v>0.80864517107009082</v>
      </c>
      <c r="EF13" s="15">
        <f>EE13+預測IC!EF13</f>
        <v>0.76413156151737083</v>
      </c>
    </row>
    <row r="14" spans="1:137" x14ac:dyDescent="0.3">
      <c r="A14" s="1">
        <v>19</v>
      </c>
      <c r="B14" s="1" t="s">
        <v>161</v>
      </c>
      <c r="C14" s="15">
        <v>-3.3228977675766179E-2</v>
      </c>
      <c r="D14" s="15">
        <f>C14+預測IC!D14</f>
        <v>0.18907947086485982</v>
      </c>
      <c r="E14" s="15">
        <f>D14+預測IC!E14</f>
        <v>0.14115872485159059</v>
      </c>
      <c r="F14" s="15">
        <f>E14+預測IC!F14</f>
        <v>8.0816819945558033E-2</v>
      </c>
      <c r="G14" s="15">
        <f>F14+預測IC!G14</f>
        <v>2.7160189502777356E-2</v>
      </c>
      <c r="H14" s="15">
        <f>G14+預測IC!H14</f>
        <v>1.5651928640653765E-2</v>
      </c>
      <c r="I14" s="15">
        <f>H14+預測IC!I14</f>
        <v>-2.8135431182488537E-2</v>
      </c>
      <c r="J14" s="15">
        <f>I14+預測IC!J14</f>
        <v>-4.8254592175776476E-3</v>
      </c>
      <c r="K14" s="15">
        <f>J14+預測IC!K14</f>
        <v>4.6002007043270315E-2</v>
      </c>
      <c r="L14" s="15">
        <f>K14+預測IC!L14</f>
        <v>-1.0269077932965207E-2</v>
      </c>
      <c r="M14" s="15">
        <f>L14+預測IC!M14</f>
        <v>-2.9290792397949187E-2</v>
      </c>
      <c r="N14" s="15">
        <f>M14+預測IC!N14</f>
        <v>2.8078634259072862E-2</v>
      </c>
      <c r="O14" s="15">
        <f>N14+預測IC!O14</f>
        <v>6.5554421272079361E-2</v>
      </c>
      <c r="P14" s="15">
        <f>O14+預測IC!P14</f>
        <v>7.2095842230229759E-2</v>
      </c>
      <c r="Q14" s="15">
        <f>P14+預測IC!Q14</f>
        <v>0.19619971340167847</v>
      </c>
      <c r="R14" s="15">
        <f>Q14+預測IC!R14</f>
        <v>0.21214090069878028</v>
      </c>
      <c r="S14" s="15">
        <f>R14+預測IC!S14</f>
        <v>0.18733415460601249</v>
      </c>
      <c r="T14" s="15">
        <f>S14+預測IC!T14</f>
        <v>0.25717563412690836</v>
      </c>
      <c r="U14" s="15">
        <f>T14+預測IC!U14</f>
        <v>0.36144229876255596</v>
      </c>
      <c r="V14" s="15">
        <f>U14+預測IC!V14</f>
        <v>0.41386359892144103</v>
      </c>
      <c r="W14" s="15">
        <f>V14+預測IC!W14</f>
        <v>0.46165860165496109</v>
      </c>
      <c r="X14" s="15">
        <f>W14+預測IC!X14</f>
        <v>0.51524031016914429</v>
      </c>
      <c r="Y14" s="15">
        <f>X14+預測IC!Y14</f>
        <v>0.57043130158136601</v>
      </c>
      <c r="Z14" s="15">
        <f>Y14+預測IC!Z14</f>
        <v>0.60894322786167365</v>
      </c>
      <c r="AA14" s="15">
        <f>Z14+預測IC!AA14</f>
        <v>0.56949304755959151</v>
      </c>
      <c r="AB14" s="15">
        <f>AA14+預測IC!AB14</f>
        <v>0.4987236702123613</v>
      </c>
      <c r="AC14" s="15">
        <f>AB14+預測IC!AC14</f>
        <v>0.49563710787357201</v>
      </c>
      <c r="AD14" s="15">
        <f>AC14+預測IC!AD14</f>
        <v>0.42576251613842991</v>
      </c>
      <c r="AE14" s="15">
        <f>AD14+預測IC!AE14</f>
        <v>0.54259943597799598</v>
      </c>
      <c r="AF14" s="15">
        <f>AE14+預測IC!AF14</f>
        <v>0.44651934052136233</v>
      </c>
      <c r="AG14" s="15">
        <f>AF14+預測IC!AG14</f>
        <v>0.42119004551040928</v>
      </c>
      <c r="AH14" s="15">
        <f>AG14+預測IC!AH14</f>
        <v>0.50214222993421087</v>
      </c>
      <c r="AI14" s="15">
        <f>AH14+預測IC!AI14</f>
        <v>0.46667958603559895</v>
      </c>
      <c r="AJ14" s="15">
        <f>AI14+預測IC!AJ14</f>
        <v>0.44217401093451403</v>
      </c>
      <c r="AK14" s="15">
        <f>AJ14+預測IC!AK14</f>
        <v>0.36469867191206001</v>
      </c>
      <c r="AL14" s="15">
        <f>AK14+預測IC!AL14</f>
        <v>0.40266786163452073</v>
      </c>
      <c r="AM14" s="15">
        <f>AL14+預測IC!AM14</f>
        <v>0.46391002801314596</v>
      </c>
      <c r="AN14" s="15">
        <f>AM14+預測IC!AN14</f>
        <v>0.56250469478268972</v>
      </c>
      <c r="AO14" s="15">
        <f>AN14+預測IC!AO14</f>
        <v>0.52446034224062843</v>
      </c>
      <c r="AP14" s="15">
        <f>AO14+預測IC!AP14</f>
        <v>0.51740551370386356</v>
      </c>
      <c r="AQ14" s="15">
        <f>AP14+預測IC!AQ14</f>
        <v>0.5177734814416235</v>
      </c>
      <c r="AR14" s="15">
        <f>AQ14+預測IC!AR14</f>
        <v>0.49960265842273827</v>
      </c>
      <c r="AS14" s="15">
        <f>AR14+預測IC!AS14</f>
        <v>0.58497964437578509</v>
      </c>
      <c r="AT14" s="15">
        <f>AS14+預測IC!AT14</f>
        <v>0.66438312408642308</v>
      </c>
      <c r="AU14" s="15">
        <f>AT14+預測IC!AU14</f>
        <v>0.72180473720055693</v>
      </c>
      <c r="AV14" s="15">
        <f>AU14+預測IC!AV14</f>
        <v>0.73023119050553031</v>
      </c>
      <c r="AW14" s="15">
        <f>AV14+預測IC!AW14</f>
        <v>0.74859412201148778</v>
      </c>
      <c r="AX14" s="15">
        <f>AW14+預測IC!AX14</f>
        <v>0.72922390863599718</v>
      </c>
      <c r="AY14" s="15">
        <f>AX14+預測IC!AY14</f>
        <v>0.72753333681099008</v>
      </c>
      <c r="AZ14" s="15">
        <f>AY14+預測IC!AZ14</f>
        <v>0.66646275632975083</v>
      </c>
      <c r="BA14" s="15">
        <f>AZ14+預測IC!BA14</f>
        <v>0.684084401873994</v>
      </c>
      <c r="BB14" s="15">
        <f>BA14+預測IC!BB14</f>
        <v>0.78598274213245201</v>
      </c>
      <c r="BC14" s="15">
        <f>BB14+預測IC!BC14</f>
        <v>0.77616174317717457</v>
      </c>
      <c r="BD14" s="15">
        <f>BC14+預測IC!BD14</f>
        <v>0.81948952484457993</v>
      </c>
      <c r="BE14" s="15">
        <f>BD14+預測IC!BE14</f>
        <v>0.7757024623090929</v>
      </c>
      <c r="BF14" s="15">
        <f>BE14+預測IC!BF14</f>
        <v>0.92953172388310124</v>
      </c>
      <c r="BG14" s="15">
        <f>BF14+預測IC!BG14</f>
        <v>0.97090598795703398</v>
      </c>
      <c r="BH14" s="15">
        <f>BG14+預測IC!BH14</f>
        <v>0.97624874352563462</v>
      </c>
      <c r="BI14" s="15">
        <f>BH14+預測IC!BI14</f>
        <v>1.0172798114588666</v>
      </c>
      <c r="BJ14" s="15">
        <f>BI14+預測IC!BJ14</f>
        <v>1.0858840070611693</v>
      </c>
      <c r="BK14" s="15">
        <f>BJ14+預測IC!BK14</f>
        <v>1.0521925871904008</v>
      </c>
      <c r="BL14" s="15">
        <f>BK14+預測IC!BL14</f>
        <v>1.1121894827178411</v>
      </c>
      <c r="BM14" s="15">
        <f>BL14+預測IC!BM14</f>
        <v>1.1584678077208415</v>
      </c>
      <c r="BN14" s="15">
        <f>BM14+預測IC!BN14</f>
        <v>1.1845557679964211</v>
      </c>
      <c r="BO14" s="15">
        <f>BN14+預測IC!BO14</f>
        <v>1.1509467223191567</v>
      </c>
      <c r="BP14" s="15">
        <f>BO14+預測IC!BP14</f>
        <v>1.1006144389914114</v>
      </c>
      <c r="BQ14" s="15">
        <f>BP14+預測IC!BQ14</f>
        <v>1.0497299567973308</v>
      </c>
      <c r="BR14" s="15">
        <f>BQ14+預測IC!BR14</f>
        <v>1.0218005272647128</v>
      </c>
      <c r="BS14" s="15">
        <f>BR14+預測IC!BS14</f>
        <v>0.99146780327794215</v>
      </c>
      <c r="BT14" s="15">
        <f>BS14+預測IC!BT14</f>
        <v>0.96074132715217775</v>
      </c>
      <c r="BU14" s="15">
        <f>BT14+預測IC!BU14</f>
        <v>0.95188649179414686</v>
      </c>
      <c r="BV14" s="15">
        <f>BU14+預測IC!BV14</f>
        <v>0.91060400293624844</v>
      </c>
      <c r="BW14" s="15">
        <f>BV14+預測IC!BW14</f>
        <v>1.0415015114934336</v>
      </c>
      <c r="BX14" s="15">
        <f>BW14+預測IC!BX14</f>
        <v>1.027166216216133</v>
      </c>
      <c r="BY14" s="15">
        <f>BX14+預測IC!BY14</f>
        <v>0.94676644763237183</v>
      </c>
      <c r="BZ14" s="15">
        <f>BY14+預測IC!BZ14</f>
        <v>0.88673239080358957</v>
      </c>
      <c r="CA14" s="15">
        <f>BZ14+預測IC!CA14</f>
        <v>0.86226712468865252</v>
      </c>
      <c r="CB14" s="15">
        <f>CA14+預測IC!CB14</f>
        <v>0.69780162336674567</v>
      </c>
      <c r="CC14" s="15">
        <f>CB14+預測IC!CC14</f>
        <v>0.81839778195592816</v>
      </c>
      <c r="CD14" s="15">
        <f>CC14+預測IC!CD14</f>
        <v>0.8513241693087118</v>
      </c>
      <c r="CE14" s="15">
        <f>CD14+預測IC!CE14</f>
        <v>0.77916745009701383</v>
      </c>
      <c r="CF14" s="15">
        <f>CE14+預測IC!CF14</f>
        <v>0.82204486017233069</v>
      </c>
      <c r="CG14" s="15">
        <f>CF14+預測IC!CG14</f>
        <v>0.76472419650451007</v>
      </c>
      <c r="CH14" s="15">
        <f>CG14+預測IC!CH14</f>
        <v>0.81360386696057585</v>
      </c>
      <c r="CI14" s="15">
        <f>CH14+預測IC!CI14</f>
        <v>0.82830547897201856</v>
      </c>
      <c r="CJ14" s="15">
        <f>CI14+預測IC!CJ14</f>
        <v>0.85697333391619313</v>
      </c>
      <c r="CK14" s="15">
        <f>CJ14+預測IC!CK14</f>
        <v>0.91076542043018605</v>
      </c>
      <c r="CL14" s="15">
        <f>CK14+預測IC!CL14</f>
        <v>0.7734218499767116</v>
      </c>
      <c r="CM14" s="15">
        <f>CL14+預測IC!CM14</f>
        <v>0.80546186034502876</v>
      </c>
      <c r="CN14" s="15">
        <f>CM14+預測IC!CN14</f>
        <v>0.82848854901595481</v>
      </c>
      <c r="CO14" s="15">
        <f>CN14+預測IC!CO14</f>
        <v>0.74972479029763073</v>
      </c>
      <c r="CP14" s="15">
        <f>CO14+預測IC!CP14</f>
        <v>0.64991545881587787</v>
      </c>
      <c r="CQ14" s="15">
        <f>CP14+預測IC!CQ14</f>
        <v>0.68214335870326559</v>
      </c>
      <c r="CR14" s="15">
        <f>CQ14+預測IC!CR14</f>
        <v>0.47442364611261756</v>
      </c>
      <c r="CS14" s="15">
        <f>CR14+預測IC!CS14</f>
        <v>0.47060753276909761</v>
      </c>
      <c r="CT14" s="15">
        <f>CS14+預測IC!CT14</f>
        <v>0.46094564648704239</v>
      </c>
      <c r="CU14" s="15">
        <f>CT14+預測IC!CU14</f>
        <v>0.5624906464437569</v>
      </c>
      <c r="CV14" s="15">
        <f>CU14+預測IC!CV14</f>
        <v>0.5230912125425371</v>
      </c>
      <c r="CW14" s="15">
        <f>CV14+預測IC!CW14</f>
        <v>0.56785509698579717</v>
      </c>
      <c r="CX14" s="15">
        <f>CW14+預測IC!CX14</f>
        <v>0.47721586963587348</v>
      </c>
      <c r="CY14" s="15">
        <f>CX14+預測IC!CY14</f>
        <v>0.38085473950858956</v>
      </c>
      <c r="CZ14" s="15">
        <f>CY14+預測IC!CZ14</f>
        <v>0.3705533398501662</v>
      </c>
      <c r="DA14" s="15">
        <f>CZ14+預測IC!DA14</f>
        <v>0.34624905067958173</v>
      </c>
      <c r="DB14" s="15">
        <f>DA14+預測IC!DB14</f>
        <v>0.36981012386777257</v>
      </c>
      <c r="DC14" s="15">
        <f>DB14+預測IC!DC14</f>
        <v>0.34617751466292507</v>
      </c>
      <c r="DD14" s="15">
        <f>DC14+預測IC!DD14</f>
        <v>0.42538286651110957</v>
      </c>
      <c r="DE14" s="15">
        <f>DD14+預測IC!DE14</f>
        <v>0.48790979051756855</v>
      </c>
      <c r="DF14" s="15">
        <f>DE14+預測IC!DF14</f>
        <v>0.423729382646514</v>
      </c>
      <c r="DG14" s="15">
        <f>DF14+預測IC!DG14</f>
        <v>0.51105418840504702</v>
      </c>
      <c r="DH14" s="15">
        <f>DG14+預測IC!DH14</f>
        <v>0.45231299423867333</v>
      </c>
      <c r="DI14" s="15">
        <f>DH14+預測IC!DI14</f>
        <v>0.49297212887424496</v>
      </c>
      <c r="DJ14" s="15">
        <f>DI14+預測IC!DJ14</f>
        <v>0.4841780994869242</v>
      </c>
      <c r="DK14" s="15">
        <f>DJ14+預測IC!DK14</f>
        <v>0.40676481519678798</v>
      </c>
      <c r="DL14" s="15">
        <f>DK14+預測IC!DL14</f>
        <v>0.36600994336488896</v>
      </c>
      <c r="DM14" s="15">
        <f>DL14+預測IC!DM14</f>
        <v>0.39843186010666792</v>
      </c>
      <c r="DN14" s="15">
        <f>DM14+預測IC!DN14</f>
        <v>0.44336760071516357</v>
      </c>
      <c r="DO14" s="15">
        <f>DN14+預測IC!DO14</f>
        <v>0.51365614965969519</v>
      </c>
      <c r="DP14" s="15">
        <f>DO14+預測IC!DP14</f>
        <v>0.55719586601734716</v>
      </c>
      <c r="DQ14" s="15">
        <f>DP14+預測IC!DQ14</f>
        <v>0.48602330143621419</v>
      </c>
      <c r="DR14" s="15">
        <f>DQ14+預測IC!DR14</f>
        <v>0.49381772324529949</v>
      </c>
      <c r="DS14" s="15">
        <f>DR14+預測IC!DS14</f>
        <v>0.40437996885633232</v>
      </c>
      <c r="DT14" s="15">
        <f>DS14+預測IC!DT14</f>
        <v>0.41213425919541519</v>
      </c>
      <c r="DU14" s="15">
        <f>DT14+預測IC!DU14</f>
        <v>0.29321667262784207</v>
      </c>
      <c r="DV14" s="15">
        <f>DU14+預測IC!DV14</f>
        <v>0.24806344872335906</v>
      </c>
      <c r="DW14" s="15">
        <f>DV14+預測IC!DW14</f>
        <v>0.34640781574113677</v>
      </c>
      <c r="DX14" s="15">
        <f>DW14+預測IC!DX14</f>
        <v>0.31871811838073816</v>
      </c>
      <c r="DY14" s="15">
        <f>DX14+預測IC!DY14</f>
        <v>0.36637910498307935</v>
      </c>
      <c r="DZ14" s="15">
        <f>DY14+預測IC!DZ14</f>
        <v>0.38807669423919616</v>
      </c>
      <c r="EA14" s="15">
        <f>DZ14+預測IC!EA14</f>
        <v>0.49560217743671997</v>
      </c>
      <c r="EB14" s="15">
        <f>EA14+預測IC!EB14</f>
        <v>0.5737820081369831</v>
      </c>
      <c r="EC14" s="15">
        <f>EB14+預測IC!EC14</f>
        <v>0.53052199060767546</v>
      </c>
      <c r="ED14" s="15">
        <f>EC14+預測IC!ED14</f>
        <v>0.45212272646261198</v>
      </c>
      <c r="EE14" s="15">
        <f>ED14+預測IC!EE14</f>
        <v>0.40961698716125372</v>
      </c>
      <c r="EF14" s="15">
        <f>EE14+預測IC!EF14</f>
        <v>0.38409163195937246</v>
      </c>
    </row>
    <row r="15" spans="1:137" x14ac:dyDescent="0.3">
      <c r="A15" s="1">
        <v>10</v>
      </c>
      <c r="B15" s="1" t="s">
        <v>162</v>
      </c>
      <c r="C15" s="15">
        <v>-3.6350225217569622E-2</v>
      </c>
      <c r="D15" s="15">
        <f>C15+預測IC!D15</f>
        <v>0.33635899039235595</v>
      </c>
      <c r="E15" s="15">
        <f>D15+預測IC!E15</f>
        <v>0.24101438492138549</v>
      </c>
      <c r="F15" s="15">
        <f>E15+預測IC!F15</f>
        <v>0.27593582147808288</v>
      </c>
      <c r="G15" s="15">
        <f>F15+預測IC!G15</f>
        <v>0.24153190051104637</v>
      </c>
      <c r="H15" s="15">
        <f>G15+預測IC!H15</f>
        <v>0.24028817445294126</v>
      </c>
      <c r="I15" s="15">
        <f>H15+預測IC!I15</f>
        <v>0.18185673017307571</v>
      </c>
      <c r="J15" s="15">
        <f>I15+預測IC!J15</f>
        <v>0.23181819542046536</v>
      </c>
      <c r="K15" s="15">
        <f>J15+預測IC!K15</f>
        <v>0.32633299301239627</v>
      </c>
      <c r="L15" s="15">
        <f>K15+預測IC!L15</f>
        <v>0.24516193244375001</v>
      </c>
      <c r="M15" s="15">
        <f>L15+預測IC!M15</f>
        <v>0.24302891600746232</v>
      </c>
      <c r="N15" s="15">
        <f>M15+預測IC!N15</f>
        <v>0.35282511043259601</v>
      </c>
      <c r="O15" s="15">
        <f>N15+預測IC!O15</f>
        <v>0.42658245467891065</v>
      </c>
      <c r="P15" s="15">
        <f>O15+預測IC!P15</f>
        <v>0.44847902452413468</v>
      </c>
      <c r="Q15" s="15">
        <f>P15+預測IC!Q15</f>
        <v>0.60401586663194717</v>
      </c>
      <c r="R15" s="15">
        <f>Q15+預測IC!R15</f>
        <v>0.65614555673706465</v>
      </c>
      <c r="S15" s="15">
        <f>R15+預測IC!S15</f>
        <v>0.74163344694300548</v>
      </c>
      <c r="T15" s="15">
        <f>S15+預測IC!T15</f>
        <v>0.80843357188611753</v>
      </c>
      <c r="U15" s="15">
        <f>T15+預測IC!U15</f>
        <v>0.94540163355338636</v>
      </c>
      <c r="V15" s="15">
        <f>U15+預測IC!V15</f>
        <v>1.0555286398842223</v>
      </c>
      <c r="W15" s="15">
        <f>V15+預測IC!W15</f>
        <v>1.1062000641292129</v>
      </c>
      <c r="X15" s="15">
        <f>W15+預測IC!X15</f>
        <v>1.1846364765748003</v>
      </c>
      <c r="Y15" s="15">
        <f>X15+預測IC!Y15</f>
        <v>1.2366652746319424</v>
      </c>
      <c r="Z15" s="15">
        <f>Y15+預測IC!Z15</f>
        <v>1.2833852466853011</v>
      </c>
      <c r="AA15" s="15">
        <f>Z15+預測IC!AA15</f>
        <v>1.2293040996572675</v>
      </c>
      <c r="AB15" s="15">
        <f>AA15+預測IC!AB15</f>
        <v>1.1456039271414369</v>
      </c>
      <c r="AC15" s="15">
        <f>AB15+預測IC!AC15</f>
        <v>1.149921595989492</v>
      </c>
      <c r="AD15" s="15">
        <f>AC15+預測IC!AD15</f>
        <v>1.0682082211013095</v>
      </c>
      <c r="AE15" s="15">
        <f>AD15+預測IC!AE15</f>
        <v>1.2800008641485816</v>
      </c>
      <c r="AF15" s="15">
        <f>AE15+預測IC!AF15</f>
        <v>1.1422745769709273</v>
      </c>
      <c r="AG15" s="15">
        <f>AF15+預測IC!AG15</f>
        <v>1.0979500327558513</v>
      </c>
      <c r="AH15" s="15">
        <f>AG15+預測IC!AH15</f>
        <v>1.2309173977655741</v>
      </c>
      <c r="AI15" s="15">
        <f>AH15+預測IC!AI15</f>
        <v>1.2060681406330431</v>
      </c>
      <c r="AJ15" s="15">
        <f>AI15+預測IC!AJ15</f>
        <v>1.1723502185138699</v>
      </c>
      <c r="AK15" s="15">
        <f>AJ15+預測IC!AK15</f>
        <v>1.1029887673219534</v>
      </c>
      <c r="AL15" s="15">
        <f>AK15+預測IC!AL15</f>
        <v>1.1474204298177679</v>
      </c>
      <c r="AM15" s="15">
        <f>AL15+預測IC!AM15</f>
        <v>1.202543051952395</v>
      </c>
      <c r="AN15" s="15">
        <f>AM15+預測IC!AN15</f>
        <v>1.3042317578647784</v>
      </c>
      <c r="AO15" s="15">
        <f>AN15+預測IC!AO15</f>
        <v>1.252847237624811</v>
      </c>
      <c r="AP15" s="15">
        <f>AO15+預測IC!AP15</f>
        <v>1.2402652926691653</v>
      </c>
      <c r="AQ15" s="15">
        <f>AP15+預測IC!AQ15</f>
        <v>1.2776324194652871</v>
      </c>
      <c r="AR15" s="15">
        <f>AQ15+預測IC!AR15</f>
        <v>1.2530815997670084</v>
      </c>
      <c r="AS15" s="15">
        <f>AR15+預測IC!AS15</f>
        <v>1.3069027788041223</v>
      </c>
      <c r="AT15" s="15">
        <f>AS15+預測IC!AT15</f>
        <v>1.3778925914078273</v>
      </c>
      <c r="AU15" s="15">
        <f>AT15+預測IC!AU15</f>
        <v>1.4550666686577891</v>
      </c>
      <c r="AV15" s="15">
        <f>AU15+預測IC!AV15</f>
        <v>1.4882919708761677</v>
      </c>
      <c r="AW15" s="15">
        <f>AV15+預測IC!AW15</f>
        <v>1.4726320316215868</v>
      </c>
      <c r="AX15" s="15">
        <f>AW15+預測IC!AX15</f>
        <v>1.3912714656668188</v>
      </c>
      <c r="AY15" s="15">
        <f>AX15+預測IC!AY15</f>
        <v>1.3622658063663271</v>
      </c>
      <c r="AZ15" s="15">
        <f>AY15+預測IC!AZ15</f>
        <v>1.2944194772476767</v>
      </c>
      <c r="BA15" s="15">
        <f>AZ15+預測IC!BA15</f>
        <v>1.3050329920553296</v>
      </c>
      <c r="BB15" s="15">
        <f>BA15+預測IC!BB15</f>
        <v>1.4138220918714524</v>
      </c>
      <c r="BC15" s="15">
        <f>BB15+預測IC!BC15</f>
        <v>1.4759772355392826</v>
      </c>
      <c r="BD15" s="15">
        <f>BC15+預測IC!BD15</f>
        <v>1.5290205094440787</v>
      </c>
      <c r="BE15" s="15">
        <f>BD15+預測IC!BE15</f>
        <v>1.4805777884264155</v>
      </c>
      <c r="BF15" s="15">
        <f>BE15+預測IC!BF15</f>
        <v>1.6914498759164029</v>
      </c>
      <c r="BG15" s="15">
        <f>BF15+預測IC!BG15</f>
        <v>1.6939394146509681</v>
      </c>
      <c r="BH15" s="15">
        <f>BG15+預測IC!BH15</f>
        <v>1.7283812601326576</v>
      </c>
      <c r="BI15" s="15">
        <f>BH15+預測IC!BI15</f>
        <v>1.7495403745393971</v>
      </c>
      <c r="BJ15" s="15">
        <f>BI15+預測IC!BJ15</f>
        <v>1.8796506295755666</v>
      </c>
      <c r="BK15" s="15">
        <f>BJ15+預測IC!BK15</f>
        <v>1.9252555618759801</v>
      </c>
      <c r="BL15" s="15">
        <f>BK15+預測IC!BL15</f>
        <v>1.9850109828503011</v>
      </c>
      <c r="BM15" s="15">
        <f>BL15+預測IC!BM15</f>
        <v>2.0332299873380451</v>
      </c>
      <c r="BN15" s="15">
        <f>BM15+預測IC!BN15</f>
        <v>2.0969507147490569</v>
      </c>
      <c r="BO15" s="15">
        <f>BN15+預測IC!BO15</f>
        <v>2.0692162387941258</v>
      </c>
      <c r="BP15" s="15">
        <f>BO15+預測IC!BP15</f>
        <v>2.017599384322061</v>
      </c>
      <c r="BQ15" s="15">
        <f>BP15+預測IC!BQ15</f>
        <v>1.9741681308291652</v>
      </c>
      <c r="BR15" s="15">
        <f>BQ15+預測IC!BR15</f>
        <v>1.9240107017071055</v>
      </c>
      <c r="BS15" s="15">
        <f>BR15+預測IC!BS15</f>
        <v>1.9121447907984939</v>
      </c>
      <c r="BT15" s="15">
        <f>BS15+預測IC!BT15</f>
        <v>1.8522938547066432</v>
      </c>
      <c r="BU15" s="15">
        <f>BT15+預測IC!BU15</f>
        <v>1.8717702745024367</v>
      </c>
      <c r="BV15" s="15">
        <f>BU15+預測IC!BV15</f>
        <v>1.7855901377865167</v>
      </c>
      <c r="BW15" s="15">
        <f>BV15+預測IC!BW15</f>
        <v>2.0844691273624445</v>
      </c>
      <c r="BX15" s="15">
        <f>BW15+預測IC!BX15</f>
        <v>2.0306175584179806</v>
      </c>
      <c r="BY15" s="15">
        <f>BX15+預測IC!BY15</f>
        <v>1.9372791659541437</v>
      </c>
      <c r="BZ15" s="15">
        <f>BY15+預測IC!BZ15</f>
        <v>1.8343726969767964</v>
      </c>
      <c r="CA15" s="15">
        <f>BZ15+預測IC!CA15</f>
        <v>1.8157806761803541</v>
      </c>
      <c r="CB15" s="15">
        <f>CA15+預測IC!CB15</f>
        <v>1.6846892733962928</v>
      </c>
      <c r="CC15" s="15">
        <f>CB15+預測IC!CC15</f>
        <v>1.8583409791184127</v>
      </c>
      <c r="CD15" s="15">
        <f>CC15+預測IC!CD15</f>
        <v>1.811226510989739</v>
      </c>
      <c r="CE15" s="15">
        <f>CD15+預測IC!CE15</f>
        <v>1.6947099419196183</v>
      </c>
      <c r="CF15" s="15">
        <f>CE15+預測IC!CF15</f>
        <v>1.7360593717875858</v>
      </c>
      <c r="CG15" s="15">
        <f>CF15+預測IC!CG15</f>
        <v>1.6501733502574221</v>
      </c>
      <c r="CH15" s="15">
        <f>CG15+預測IC!CH15</f>
        <v>1.7315159582407502</v>
      </c>
      <c r="CI15" s="15">
        <f>CH15+預測IC!CI15</f>
        <v>1.7290050194604178</v>
      </c>
      <c r="CJ15" s="15">
        <f>CI15+預測IC!CJ15</f>
        <v>1.8160493755331359</v>
      </c>
      <c r="CK15" s="15">
        <f>CJ15+預測IC!CK15</f>
        <v>1.9116901237058412</v>
      </c>
      <c r="CL15" s="15">
        <f>CK15+預測IC!CL15</f>
        <v>1.7500356506626646</v>
      </c>
      <c r="CM15" s="15">
        <f>CL15+預測IC!CM15</f>
        <v>1.8246667667911185</v>
      </c>
      <c r="CN15" s="15">
        <f>CM15+預測IC!CN15</f>
        <v>1.8673008825902788</v>
      </c>
      <c r="CO15" s="15">
        <f>CN15+預測IC!CO15</f>
        <v>1.7603216383907108</v>
      </c>
      <c r="CP15" s="15">
        <f>CO15+預測IC!CP15</f>
        <v>1.6327858029577611</v>
      </c>
      <c r="CQ15" s="15">
        <f>CP15+預測IC!CQ15</f>
        <v>1.6078224425013223</v>
      </c>
      <c r="CR15" s="15">
        <f>CQ15+預測IC!CR15</f>
        <v>1.4263335102655872</v>
      </c>
      <c r="CS15" s="15">
        <f>CR15+預測IC!CS15</f>
        <v>1.4432444969698428</v>
      </c>
      <c r="CT15" s="15">
        <f>CS15+預測IC!CT15</f>
        <v>1.4481861673354548</v>
      </c>
      <c r="CU15" s="15">
        <f>CT15+預測IC!CU15</f>
        <v>1.5722360987493229</v>
      </c>
      <c r="CV15" s="15">
        <f>CU15+預測IC!CV15</f>
        <v>1.511791603059933</v>
      </c>
      <c r="CW15" s="15">
        <f>CV15+預測IC!CW15</f>
        <v>1.5378636939630597</v>
      </c>
      <c r="CX15" s="15">
        <f>CW15+預測IC!CX15</f>
        <v>1.3854759150714917</v>
      </c>
      <c r="CY15" s="15">
        <f>CX15+預測IC!CY15</f>
        <v>1.2925280107361337</v>
      </c>
      <c r="CZ15" s="15">
        <f>CY15+預測IC!CZ15</f>
        <v>1.2687646755956516</v>
      </c>
      <c r="DA15" s="15">
        <f>CZ15+預測IC!DA15</f>
        <v>1.242388840153775</v>
      </c>
      <c r="DB15" s="15">
        <f>DA15+預測IC!DB15</f>
        <v>1.2726154583678988</v>
      </c>
      <c r="DC15" s="15">
        <f>DB15+預測IC!DC15</f>
        <v>1.2375403083933167</v>
      </c>
      <c r="DD15" s="15">
        <f>DC15+預測IC!DD15</f>
        <v>1.252047034524763</v>
      </c>
      <c r="DE15" s="15">
        <f>DD15+預測IC!DE15</f>
        <v>1.3092106692560155</v>
      </c>
      <c r="DF15" s="15">
        <f>DE15+預測IC!DF15</f>
        <v>1.3152651955286196</v>
      </c>
      <c r="DG15" s="15">
        <f>DF15+預測IC!DG15</f>
        <v>1.4283567583689794</v>
      </c>
      <c r="DH15" s="15">
        <f>DG15+預測IC!DH15</f>
        <v>1.2987348227011224</v>
      </c>
      <c r="DI15" s="15">
        <f>DH15+預測IC!DI15</f>
        <v>1.3528431413582527</v>
      </c>
      <c r="DJ15" s="15">
        <f>DI15+預測IC!DJ15</f>
        <v>1.2928193646671955</v>
      </c>
      <c r="DK15" s="15">
        <f>DJ15+預測IC!DK15</f>
        <v>1.220630766861398</v>
      </c>
      <c r="DL15" s="15">
        <f>DK15+預測IC!DL15</f>
        <v>1.220934760064226</v>
      </c>
      <c r="DM15" s="15">
        <f>DL15+預測IC!DM15</f>
        <v>1.2599868767578917</v>
      </c>
      <c r="DN15" s="15">
        <f>DM15+預測IC!DN15</f>
        <v>1.3417175890090207</v>
      </c>
      <c r="DO15" s="15">
        <f>DN15+預測IC!DO15</f>
        <v>1.3758220047581178</v>
      </c>
      <c r="DP15" s="15">
        <f>DO15+預測IC!DP15</f>
        <v>1.3995576067650104</v>
      </c>
      <c r="DQ15" s="15">
        <f>DP15+預測IC!DQ15</f>
        <v>1.362518917812813</v>
      </c>
      <c r="DR15" s="15">
        <f>DQ15+預測IC!DR15</f>
        <v>1.3404836528179389</v>
      </c>
      <c r="DS15" s="15">
        <f>DR15+預測IC!DS15</f>
        <v>1.3309121103591743</v>
      </c>
      <c r="DT15" s="15">
        <f>DS15+預測IC!DT15</f>
        <v>1.3836309003482439</v>
      </c>
      <c r="DU15" s="15">
        <f>DT15+預測IC!DU15</f>
        <v>1.194990255445856</v>
      </c>
      <c r="DV15" s="15">
        <f>DU15+預測IC!DV15</f>
        <v>1.1482625260926163</v>
      </c>
      <c r="DW15" s="15">
        <f>DV15+預測IC!DW15</f>
        <v>1.1738011532394488</v>
      </c>
      <c r="DX15" s="15">
        <f>DW15+預測IC!DX15</f>
        <v>1.1522554829189688</v>
      </c>
      <c r="DY15" s="15">
        <f>DX15+預測IC!DY15</f>
        <v>1.06858184822643</v>
      </c>
      <c r="DZ15" s="15">
        <f>DY15+預測IC!DZ15</f>
        <v>1.105178345990234</v>
      </c>
      <c r="EA15" s="15">
        <f>DZ15+預測IC!EA15</f>
        <v>1.2143552789001126</v>
      </c>
      <c r="EB15" s="15">
        <f>EA15+預測IC!EB15</f>
        <v>1.3024427284273674</v>
      </c>
      <c r="EC15" s="15">
        <f>EB15+預測IC!EC15</f>
        <v>1.2262856516307477</v>
      </c>
      <c r="ED15" s="15">
        <f>EC15+預測IC!ED15</f>
        <v>1.1156256171425274</v>
      </c>
      <c r="EE15" s="15">
        <f>ED15+預測IC!EE15</f>
        <v>1.0662814372023679</v>
      </c>
      <c r="EF15" s="15">
        <f>EE15+預測IC!EF15</f>
        <v>1.0366353821303618</v>
      </c>
    </row>
    <row r="16" spans="1:137" x14ac:dyDescent="0.3">
      <c r="A16" s="1">
        <v>9</v>
      </c>
      <c r="B16" s="1" t="s">
        <v>163</v>
      </c>
      <c r="C16" s="15">
        <v>-3.9435389831589431E-2</v>
      </c>
      <c r="D16" s="15">
        <f>C16+預測IC!D16</f>
        <v>0.36875958890099114</v>
      </c>
      <c r="E16" s="15">
        <f>D16+預測IC!E16</f>
        <v>0.28205541747243784</v>
      </c>
      <c r="F16" s="15">
        <f>E16+預測IC!F16</f>
        <v>0.36077088937676882</v>
      </c>
      <c r="G16" s="15">
        <f>F16+預測IC!G16</f>
        <v>0.35262433871781956</v>
      </c>
      <c r="H16" s="15">
        <f>G16+預測IC!H16</f>
        <v>0.35197498926099652</v>
      </c>
      <c r="I16" s="15">
        <f>H16+預測IC!I16</f>
        <v>0.29444437059537509</v>
      </c>
      <c r="J16" s="15">
        <f>I16+預測IC!J16</f>
        <v>0.34115429663804125</v>
      </c>
      <c r="K16" s="15">
        <f>J16+預測IC!K16</f>
        <v>0.42757518822043183</v>
      </c>
      <c r="L16" s="15">
        <f>K16+預測IC!L16</f>
        <v>0.34241358410622041</v>
      </c>
      <c r="M16" s="15">
        <f>L16+預測IC!M16</f>
        <v>0.32842614824430333</v>
      </c>
      <c r="N16" s="15">
        <f>M16+預測IC!N16</f>
        <v>0.44866864652350003</v>
      </c>
      <c r="O16" s="15">
        <f>N16+預測IC!O16</f>
        <v>0.52849550709461712</v>
      </c>
      <c r="P16" s="15">
        <f>O16+預測IC!P16</f>
        <v>0.53668368660894905</v>
      </c>
      <c r="Q16" s="15">
        <f>P16+預測IC!Q16</f>
        <v>0.69458675703328709</v>
      </c>
      <c r="R16" s="15">
        <f>Q16+預測IC!R16</f>
        <v>0.74357773531621363</v>
      </c>
      <c r="S16" s="15">
        <f>R16+預測IC!S16</f>
        <v>0.85343677965102027</v>
      </c>
      <c r="T16" s="15">
        <f>S16+預測IC!T16</f>
        <v>0.92065583980862153</v>
      </c>
      <c r="U16" s="15">
        <f>T16+預測IC!U16</f>
        <v>1.050718311238366</v>
      </c>
      <c r="V16" s="15">
        <f>U16+預測IC!V16</f>
        <v>1.126289797347273</v>
      </c>
      <c r="W16" s="15">
        <f>V16+預測IC!W16</f>
        <v>1.2279211544784483</v>
      </c>
      <c r="X16" s="15">
        <f>W16+預測IC!X16</f>
        <v>1.3015994321359154</v>
      </c>
      <c r="Y16" s="15">
        <f>X16+預測IC!Y16</f>
        <v>1.351878266596978</v>
      </c>
      <c r="Z16" s="15">
        <f>Y16+預測IC!Z16</f>
        <v>1.3949361974811896</v>
      </c>
      <c r="AA16" s="15">
        <f>Z16+預測IC!AA16</f>
        <v>1.3514485616451974</v>
      </c>
      <c r="AB16" s="15">
        <f>AA16+預測IC!AB16</f>
        <v>1.276463520007217</v>
      </c>
      <c r="AC16" s="15">
        <f>AB16+預測IC!AC16</f>
        <v>1.2636980719718003</v>
      </c>
      <c r="AD16" s="15">
        <f>AC16+預測IC!AD16</f>
        <v>1.2105620164239435</v>
      </c>
      <c r="AE16" s="15">
        <f>AD16+預測IC!AE16</f>
        <v>1.420190257600854</v>
      </c>
      <c r="AF16" s="15">
        <f>AE16+預測IC!AF16</f>
        <v>1.2722746473364275</v>
      </c>
      <c r="AG16" s="15">
        <f>AF16+預測IC!AG16</f>
        <v>1.2284984876006551</v>
      </c>
      <c r="AH16" s="15">
        <f>AG16+預測IC!AH16</f>
        <v>1.3769001127678075</v>
      </c>
      <c r="AI16" s="15">
        <f>AH16+預測IC!AI16</f>
        <v>1.3435168570961602</v>
      </c>
      <c r="AJ16" s="15">
        <f>AI16+預測IC!AJ16</f>
        <v>1.2953963785598299</v>
      </c>
      <c r="AK16" s="15">
        <f>AJ16+預測IC!AK16</f>
        <v>1.257962925578342</v>
      </c>
      <c r="AL16" s="15">
        <f>AK16+預測IC!AL16</f>
        <v>1.3066518586828653</v>
      </c>
      <c r="AM16" s="15">
        <f>AL16+預測IC!AM16</f>
        <v>1.3727285892846632</v>
      </c>
      <c r="AN16" s="15">
        <f>AM16+預測IC!AN16</f>
        <v>1.4791847893743388</v>
      </c>
      <c r="AO16" s="15">
        <f>AN16+預測IC!AO16</f>
        <v>1.4380946360125977</v>
      </c>
      <c r="AP16" s="15">
        <f>AO16+預測IC!AP16</f>
        <v>1.4328547464492527</v>
      </c>
      <c r="AQ16" s="15">
        <f>AP16+預測IC!AQ16</f>
        <v>1.4713209465953212</v>
      </c>
      <c r="AR16" s="15">
        <f>AQ16+預測IC!AR16</f>
        <v>1.4388281868752575</v>
      </c>
      <c r="AS16" s="15">
        <f>AR16+預測IC!AS16</f>
        <v>1.5038964123492269</v>
      </c>
      <c r="AT16" s="15">
        <f>AS16+預測IC!AT16</f>
        <v>1.6264604556995117</v>
      </c>
      <c r="AU16" s="15">
        <f>AT16+預測IC!AU16</f>
        <v>1.7085507275425136</v>
      </c>
      <c r="AV16" s="15">
        <f>AU16+預測IC!AV16</f>
        <v>1.7321596038905724</v>
      </c>
      <c r="AW16" s="15">
        <f>AV16+預測IC!AW16</f>
        <v>1.6929066738159217</v>
      </c>
      <c r="AX16" s="15">
        <f>AW16+預測IC!AX16</f>
        <v>1.5922853447145189</v>
      </c>
      <c r="AY16" s="15">
        <f>AX16+預測IC!AY16</f>
        <v>1.5726834911153798</v>
      </c>
      <c r="AZ16" s="15">
        <f>AY16+預測IC!AZ16</f>
        <v>1.484533309594807</v>
      </c>
      <c r="BA16" s="15">
        <f>AZ16+預測IC!BA16</f>
        <v>1.499456414652393</v>
      </c>
      <c r="BB16" s="15">
        <f>BA16+預測IC!BB16</f>
        <v>1.6319311522489648</v>
      </c>
      <c r="BC16" s="15">
        <f>BB16+預測IC!BC16</f>
        <v>1.6990526183566566</v>
      </c>
      <c r="BD16" s="15">
        <f>BC16+預測IC!BD16</f>
        <v>1.7349893299025605</v>
      </c>
      <c r="BE16" s="15">
        <f>BD16+預測IC!BE16</f>
        <v>1.6835783355080856</v>
      </c>
      <c r="BF16" s="15">
        <f>BE16+預測IC!BF16</f>
        <v>1.9313651946085457</v>
      </c>
      <c r="BG16" s="15">
        <f>BF16+預測IC!BG16</f>
        <v>1.9448384766565023</v>
      </c>
      <c r="BH16" s="15">
        <f>BG16+預測IC!BH16</f>
        <v>1.9310628621725405</v>
      </c>
      <c r="BI16" s="15">
        <f>BH16+預測IC!BI16</f>
        <v>1.9800528026054516</v>
      </c>
      <c r="BJ16" s="15">
        <f>BI16+預測IC!BJ16</f>
        <v>2.0766196061309898</v>
      </c>
      <c r="BK16" s="15">
        <f>BJ16+預測IC!BK16</f>
        <v>2.1279912306570012</v>
      </c>
      <c r="BL16" s="15">
        <f>BK16+預測IC!BL16</f>
        <v>2.1891648301414715</v>
      </c>
      <c r="BM16" s="15">
        <f>BL16+預測IC!BM16</f>
        <v>2.2286628156325774</v>
      </c>
      <c r="BN16" s="15">
        <f>BM16+預測IC!BN16</f>
        <v>2.2899675655424621</v>
      </c>
      <c r="BO16" s="15">
        <f>BN16+預測IC!BO16</f>
        <v>2.2680772055888045</v>
      </c>
      <c r="BP16" s="15">
        <f>BO16+預測IC!BP16</f>
        <v>2.2103271449083488</v>
      </c>
      <c r="BQ16" s="15">
        <f>BP16+預測IC!BQ16</f>
        <v>2.1866364262411015</v>
      </c>
      <c r="BR16" s="15">
        <f>BQ16+預測IC!BR16</f>
        <v>2.1603395782196571</v>
      </c>
      <c r="BS16" s="15">
        <f>BR16+預測IC!BS16</f>
        <v>2.1283325910267741</v>
      </c>
      <c r="BT16" s="15">
        <f>BS16+預測IC!BT16</f>
        <v>2.0816717085332557</v>
      </c>
      <c r="BU16" s="15">
        <f>BT16+預測IC!BU16</f>
        <v>2.1394368187180559</v>
      </c>
      <c r="BV16" s="15">
        <f>BU16+預測IC!BV16</f>
        <v>2.0449263502511306</v>
      </c>
      <c r="BW16" s="15">
        <f>BV16+預測IC!BW16</f>
        <v>2.3628971847894977</v>
      </c>
      <c r="BX16" s="15">
        <f>BW16+預測IC!BX16</f>
        <v>2.2963376656714147</v>
      </c>
      <c r="BY16" s="15">
        <f>BX16+預測IC!BY16</f>
        <v>2.1773429576181362</v>
      </c>
      <c r="BZ16" s="15">
        <f>BY16+預測IC!BZ16</f>
        <v>2.065817109116487</v>
      </c>
      <c r="CA16" s="15">
        <f>BZ16+預測IC!CA16</f>
        <v>2.0361027193609238</v>
      </c>
      <c r="CB16" s="15">
        <f>CA16+預測IC!CB16</f>
        <v>1.8967939834275898</v>
      </c>
      <c r="CC16" s="15">
        <f>CB16+預測IC!CC16</f>
        <v>1.9411821365977955</v>
      </c>
      <c r="CD16" s="15">
        <f>CC16+預測IC!CD16</f>
        <v>1.8801936107240655</v>
      </c>
      <c r="CE16" s="15">
        <f>CD16+預測IC!CE16</f>
        <v>1.7475985499305542</v>
      </c>
      <c r="CF16" s="15">
        <f>CE16+預測IC!CF16</f>
        <v>1.8003986342658351</v>
      </c>
      <c r="CG16" s="15">
        <f>CF16+預測IC!CG16</f>
        <v>1.7386707561191685</v>
      </c>
      <c r="CH16" s="15">
        <f>CG16+預測IC!CH16</f>
        <v>1.7891194808231647</v>
      </c>
      <c r="CI16" s="15">
        <f>CH16+預測IC!CI16</f>
        <v>1.784878812711014</v>
      </c>
      <c r="CJ16" s="15">
        <f>CI16+預測IC!CJ16</f>
        <v>1.8304023634986806</v>
      </c>
      <c r="CK16" s="15">
        <f>CJ16+預測IC!CK16</f>
        <v>1.9188250532802882</v>
      </c>
      <c r="CL16" s="15">
        <f>CK16+預測IC!CL16</f>
        <v>1.7220846151210745</v>
      </c>
      <c r="CM16" s="15">
        <f>CL16+預測IC!CM16</f>
        <v>1.8110732432705861</v>
      </c>
      <c r="CN16" s="15">
        <f>CM16+預測IC!CN16</f>
        <v>1.8441307584115361</v>
      </c>
      <c r="CO16" s="15">
        <f>CN16+預測IC!CO16</f>
        <v>1.7094905496176307</v>
      </c>
      <c r="CP16" s="15">
        <f>CO16+預測IC!CP16</f>
        <v>1.5728588601355393</v>
      </c>
      <c r="CQ16" s="15">
        <f>CP16+預測IC!CQ16</f>
        <v>1.5525250803151784</v>
      </c>
      <c r="CR16" s="15">
        <f>CQ16+預測IC!CR16</f>
        <v>1.3632385468477801</v>
      </c>
      <c r="CS16" s="15">
        <f>CR16+預測IC!CS16</f>
        <v>1.3850455557574022</v>
      </c>
      <c r="CT16" s="15">
        <f>CS16+預測IC!CT16</f>
        <v>1.4106029337182369</v>
      </c>
      <c r="CU16" s="15">
        <f>CT16+預測IC!CU16</f>
        <v>1.546074634582443</v>
      </c>
      <c r="CV16" s="15">
        <f>CU16+預測IC!CV16</f>
        <v>1.486620641796607</v>
      </c>
      <c r="CW16" s="15">
        <f>CV16+預測IC!CW16</f>
        <v>1.5339623009708869</v>
      </c>
      <c r="CX16" s="15">
        <f>CW16+預測IC!CX16</f>
        <v>1.3716963256682708</v>
      </c>
      <c r="CY16" s="15">
        <f>CX16+預測IC!CY16</f>
        <v>1.2904156877940567</v>
      </c>
      <c r="CZ16" s="15">
        <f>CY16+預測IC!CZ16</f>
        <v>1.2576908655519126</v>
      </c>
      <c r="DA16" s="15">
        <f>CZ16+預測IC!DA16</f>
        <v>1.2278860715846771</v>
      </c>
      <c r="DB16" s="15">
        <f>DA16+預測IC!DB16</f>
        <v>1.2705982413649031</v>
      </c>
      <c r="DC16" s="15">
        <f>DB16+預測IC!DC16</f>
        <v>1.2276558790444028</v>
      </c>
      <c r="DD16" s="15">
        <f>DC16+預測IC!DD16</f>
        <v>1.2593995895316827</v>
      </c>
      <c r="DE16" s="15">
        <f>DD16+預測IC!DE16</f>
        <v>1.2939519898904728</v>
      </c>
      <c r="DF16" s="15">
        <f>DE16+預測IC!DF16</f>
        <v>1.2966500034427988</v>
      </c>
      <c r="DG16" s="15">
        <f>DF16+預測IC!DG16</f>
        <v>1.4230219232932715</v>
      </c>
      <c r="DH16" s="15">
        <f>DG16+預測IC!DH16</f>
        <v>1.2858741628807633</v>
      </c>
      <c r="DI16" s="15">
        <f>DH16+預測IC!DI16</f>
        <v>1.3312736607820246</v>
      </c>
      <c r="DJ16" s="15">
        <f>DI16+預測IC!DJ16</f>
        <v>1.260318608345139</v>
      </c>
      <c r="DK16" s="15">
        <f>DJ16+預測IC!DK16</f>
        <v>1.2026328389978795</v>
      </c>
      <c r="DL16" s="15">
        <f>DK16+預測IC!DL16</f>
        <v>1.2245057132476538</v>
      </c>
      <c r="DM16" s="15">
        <f>DL16+預測IC!DM16</f>
        <v>1.243416087416197</v>
      </c>
      <c r="DN16" s="15">
        <f>DM16+預測IC!DN16</f>
        <v>1.3593028191611887</v>
      </c>
      <c r="DO16" s="15">
        <f>DN16+預測IC!DO16</f>
        <v>1.4058666856409667</v>
      </c>
      <c r="DP16" s="15">
        <f>DO16+預測IC!DP16</f>
        <v>1.4257086342201928</v>
      </c>
      <c r="DQ16" s="15">
        <f>DP16+預測IC!DQ16</f>
        <v>1.3786384782156611</v>
      </c>
      <c r="DR16" s="15">
        <f>DQ16+預測IC!DR16</f>
        <v>1.3674603105665597</v>
      </c>
      <c r="DS16" s="15">
        <f>DR16+預測IC!DS16</f>
        <v>1.3778833349430746</v>
      </c>
      <c r="DT16" s="15">
        <f>DS16+預測IC!DT16</f>
        <v>1.4369963100212606</v>
      </c>
      <c r="DU16" s="15">
        <f>DT16+預測IC!DU16</f>
        <v>1.2468880675753422</v>
      </c>
      <c r="DV16" s="15">
        <f>DU16+預測IC!DV16</f>
        <v>1.2011597504028553</v>
      </c>
      <c r="DW16" s="15">
        <f>DV16+預測IC!DW16</f>
        <v>1.242077480102546</v>
      </c>
      <c r="DX16" s="15">
        <f>DW16+預測IC!DX16</f>
        <v>1.2201297523265051</v>
      </c>
      <c r="DY16" s="15">
        <f>DX16+預測IC!DY16</f>
        <v>1.1251448881052681</v>
      </c>
      <c r="DZ16" s="15">
        <f>DY16+預測IC!DZ16</f>
        <v>1.1377940596910574</v>
      </c>
      <c r="EA16" s="15">
        <f>DZ16+預測IC!EA16</f>
        <v>1.2775930784344471</v>
      </c>
      <c r="EB16" s="15">
        <f>EA16+預測IC!EB16</f>
        <v>1.3782721791116488</v>
      </c>
      <c r="EC16" s="15">
        <f>EB16+預測IC!EC16</f>
        <v>1.3097706985438098</v>
      </c>
      <c r="ED16" s="15">
        <f>EC16+預測IC!ED16</f>
        <v>1.1950714709028929</v>
      </c>
      <c r="EE16" s="15">
        <f>ED16+預測IC!EE16</f>
        <v>1.135830474247707</v>
      </c>
      <c r="EF16" s="15">
        <f>EE16+預測IC!EF16</f>
        <v>1.1012798382677274</v>
      </c>
    </row>
    <row r="17" spans="1:136" x14ac:dyDescent="0.3">
      <c r="A17" s="1">
        <v>8</v>
      </c>
      <c r="B17" s="1" t="s">
        <v>164</v>
      </c>
      <c r="C17" s="15">
        <v>-3.8913468982799751E-2</v>
      </c>
      <c r="D17" s="15">
        <f>C17+預測IC!D17</f>
        <v>0.40067501964182167</v>
      </c>
      <c r="E17" s="15">
        <f>D17+預測IC!E17</f>
        <v>0.30400391044921082</v>
      </c>
      <c r="F17" s="15">
        <f>E17+預測IC!F17</f>
        <v>0.38475607460152994</v>
      </c>
      <c r="G17" s="15">
        <f>F17+預測IC!G17</f>
        <v>0.27936899993779923</v>
      </c>
      <c r="H17" s="15">
        <f>G17+預測IC!H17</f>
        <v>0.2873118567858009</v>
      </c>
      <c r="I17" s="15">
        <f>H17+預測IC!I17</f>
        <v>0.17358682898361338</v>
      </c>
      <c r="J17" s="15">
        <f>I17+預測IC!J17</f>
        <v>0.21544522410184258</v>
      </c>
      <c r="K17" s="15">
        <f>J17+預測IC!K17</f>
        <v>0.31700530382415248</v>
      </c>
      <c r="L17" s="15">
        <f>K17+預測IC!L17</f>
        <v>0.27477051267881036</v>
      </c>
      <c r="M17" s="15">
        <f>L17+預測IC!M17</f>
        <v>0.28942965476909877</v>
      </c>
      <c r="N17" s="15">
        <f>M17+預測IC!N17</f>
        <v>0.39870748159890457</v>
      </c>
      <c r="O17" s="15">
        <f>N17+預測IC!O17</f>
        <v>0.49993425087124027</v>
      </c>
      <c r="P17" s="15">
        <f>O17+預測IC!P17</f>
        <v>0.51331719761460859</v>
      </c>
      <c r="Q17" s="15">
        <f>P17+預測IC!Q17</f>
        <v>0.67511849222973552</v>
      </c>
      <c r="R17" s="15">
        <f>Q17+預測IC!R17</f>
        <v>0.72717610113426279</v>
      </c>
      <c r="S17" s="15">
        <f>R17+預測IC!S17</f>
        <v>0.84623049045959353</v>
      </c>
      <c r="T17" s="15">
        <f>S17+預測IC!T17</f>
        <v>0.91743250499240059</v>
      </c>
      <c r="U17" s="15">
        <f>T17+預測IC!U17</f>
        <v>1.0587036475309575</v>
      </c>
      <c r="V17" s="15">
        <f>U17+預測IC!V17</f>
        <v>1.1559633033835606</v>
      </c>
      <c r="W17" s="15">
        <f>V17+預測IC!W17</f>
        <v>1.2846305577412291</v>
      </c>
      <c r="X17" s="15">
        <f>W17+預測IC!X17</f>
        <v>1.3848165247452173</v>
      </c>
      <c r="Y17" s="15">
        <f>X17+預測IC!Y17</f>
        <v>1.458439656235625</v>
      </c>
      <c r="Z17" s="15">
        <f>Y17+預測IC!Z17</f>
        <v>1.5123081455264908</v>
      </c>
      <c r="AA17" s="15">
        <f>Z17+預測IC!AA17</f>
        <v>1.4770983559442918</v>
      </c>
      <c r="AB17" s="15">
        <f>AA17+預測IC!AB17</f>
        <v>1.3922462930661195</v>
      </c>
      <c r="AC17" s="15">
        <f>AB17+預測IC!AC17</f>
        <v>1.3721600383280979</v>
      </c>
      <c r="AD17" s="15">
        <f>AC17+預測IC!AD17</f>
        <v>1.3223826628673438</v>
      </c>
      <c r="AE17" s="15">
        <f>AD17+預測IC!AE17</f>
        <v>1.5445053672957947</v>
      </c>
      <c r="AF17" s="15">
        <f>AE17+預測IC!AF17</f>
        <v>1.4242190426399481</v>
      </c>
      <c r="AG17" s="15">
        <f>AF17+預測IC!AG17</f>
        <v>1.3615789010688095</v>
      </c>
      <c r="AH17" s="15">
        <f>AG17+預測IC!AH17</f>
        <v>1.5086037903246141</v>
      </c>
      <c r="AI17" s="15">
        <f>AH17+預測IC!AI17</f>
        <v>1.4515658146691275</v>
      </c>
      <c r="AJ17" s="15">
        <f>AI17+預測IC!AJ17</f>
        <v>1.3899531960603853</v>
      </c>
      <c r="AK17" s="15">
        <f>AJ17+預測IC!AK17</f>
        <v>1.36057730645081</v>
      </c>
      <c r="AL17" s="15">
        <f>AK17+預測IC!AL17</f>
        <v>1.4113017121993665</v>
      </c>
      <c r="AM17" s="15">
        <f>AL17+預測IC!AM17</f>
        <v>1.4866710797870235</v>
      </c>
      <c r="AN17" s="15">
        <f>AM17+預測IC!AN17</f>
        <v>1.5999582001329413</v>
      </c>
      <c r="AO17" s="15">
        <f>AN17+預測IC!AO17</f>
        <v>1.5232636725103184</v>
      </c>
      <c r="AP17" s="15">
        <f>AO17+預測IC!AP17</f>
        <v>1.5195056009214678</v>
      </c>
      <c r="AQ17" s="15">
        <f>AP17+預測IC!AQ17</f>
        <v>1.5800327383229669</v>
      </c>
      <c r="AR17" s="15">
        <f>AQ17+預測IC!AR17</f>
        <v>1.5450354572879095</v>
      </c>
      <c r="AS17" s="15">
        <f>AR17+預測IC!AS17</f>
        <v>1.6013590193223852</v>
      </c>
      <c r="AT17" s="15">
        <f>AS17+預測IC!AT17</f>
        <v>1.7284308124296368</v>
      </c>
      <c r="AU17" s="15">
        <f>AT17+預測IC!AU17</f>
        <v>1.8441304219637418</v>
      </c>
      <c r="AV17" s="15">
        <f>AU17+預測IC!AV17</f>
        <v>1.8716934760390191</v>
      </c>
      <c r="AW17" s="15">
        <f>AV17+預測IC!AW17</f>
        <v>1.8632715879971824</v>
      </c>
      <c r="AX17" s="15">
        <f>AW17+預測IC!AX17</f>
        <v>1.7656524828795745</v>
      </c>
      <c r="AY17" s="15">
        <f>AX17+預測IC!AY17</f>
        <v>1.7501744371743282</v>
      </c>
      <c r="AZ17" s="15">
        <f>AY17+預測IC!AZ17</f>
        <v>1.6796802062578937</v>
      </c>
      <c r="BA17" s="15">
        <f>AZ17+預測IC!BA17</f>
        <v>1.6895053853650066</v>
      </c>
      <c r="BB17" s="15">
        <f>BA17+預測IC!BB17</f>
        <v>1.8427766696433914</v>
      </c>
      <c r="BC17" s="15">
        <f>BB17+預測IC!BC17</f>
        <v>1.9266398648212051</v>
      </c>
      <c r="BD17" s="15">
        <f>BC17+預測IC!BD17</f>
        <v>1.9489963470674099</v>
      </c>
      <c r="BE17" s="15">
        <f>BD17+預測IC!BE17</f>
        <v>1.8716461048293496</v>
      </c>
      <c r="BF17" s="15">
        <f>BE17+預測IC!BF17</f>
        <v>2.0194229351095077</v>
      </c>
      <c r="BG17" s="15">
        <f>BF17+預測IC!BG17</f>
        <v>1.9840286990214704</v>
      </c>
      <c r="BH17" s="15">
        <f>BG17+預測IC!BH17</f>
        <v>1.9975481598732234</v>
      </c>
      <c r="BI17" s="15">
        <f>BH17+預測IC!BI17</f>
        <v>2.0782865594315751</v>
      </c>
      <c r="BJ17" s="15">
        <f>BI17+預測IC!BJ17</f>
        <v>2.1761548037999989</v>
      </c>
      <c r="BK17" s="15">
        <f>BJ17+預測IC!BK17</f>
        <v>2.1929061305503796</v>
      </c>
      <c r="BL17" s="15">
        <f>BK17+預測IC!BL17</f>
        <v>2.2270585778746739</v>
      </c>
      <c r="BM17" s="15">
        <f>BL17+預測IC!BM17</f>
        <v>2.2561175890270282</v>
      </c>
      <c r="BN17" s="15">
        <f>BM17+預測IC!BN17</f>
        <v>2.3095877699741805</v>
      </c>
      <c r="BO17" s="15">
        <f>BN17+預測IC!BO17</f>
        <v>2.2744081545574568</v>
      </c>
      <c r="BP17" s="15">
        <f>BO17+預測IC!BP17</f>
        <v>2.2137700076475397</v>
      </c>
      <c r="BQ17" s="15">
        <f>BP17+預測IC!BQ17</f>
        <v>2.1881682921320915</v>
      </c>
      <c r="BR17" s="15">
        <f>BQ17+預測IC!BR17</f>
        <v>2.1785219170073415</v>
      </c>
      <c r="BS17" s="15">
        <f>BR17+預測IC!BS17</f>
        <v>2.157615898793646</v>
      </c>
      <c r="BT17" s="15">
        <f>BS17+預測IC!BT17</f>
        <v>2.1049657385316682</v>
      </c>
      <c r="BU17" s="15">
        <f>BT17+預測IC!BU17</f>
        <v>2.1760935572824205</v>
      </c>
      <c r="BV17" s="15">
        <f>BU17+預測IC!BV17</f>
        <v>2.0694496396490285</v>
      </c>
      <c r="BW17" s="15">
        <f>BV17+預測IC!BW17</f>
        <v>2.2777864651664168</v>
      </c>
      <c r="BX17" s="15">
        <f>BW17+預測IC!BX17</f>
        <v>2.1951454756287685</v>
      </c>
      <c r="BY17" s="15">
        <f>BX17+預測IC!BY17</f>
        <v>2.0992846037087776</v>
      </c>
      <c r="BZ17" s="15">
        <f>BY17+預測IC!BZ17</f>
        <v>1.9787064478276923</v>
      </c>
      <c r="CA17" s="15">
        <f>BZ17+預測IC!CA17</f>
        <v>1.9507716154692027</v>
      </c>
      <c r="CB17" s="15">
        <f>CA17+預測IC!CB17</f>
        <v>1.8011384577763132</v>
      </c>
      <c r="CC17" s="15">
        <f>CB17+預測IC!CC17</f>
        <v>1.8428987102505487</v>
      </c>
      <c r="CD17" s="15">
        <f>CC17+預測IC!CD17</f>
        <v>1.7665135949710746</v>
      </c>
      <c r="CE17" s="15">
        <f>CD17+預測IC!CE17</f>
        <v>1.5913973494650231</v>
      </c>
      <c r="CF17" s="15">
        <f>CE17+預測IC!CF17</f>
        <v>1.6496361460597195</v>
      </c>
      <c r="CG17" s="15">
        <f>CF17+預測IC!CG17</f>
        <v>1.5749211574309885</v>
      </c>
      <c r="CH17" s="15">
        <f>CG17+預測IC!CH17</f>
        <v>1.6078902296014415</v>
      </c>
      <c r="CI17" s="15">
        <f>CH17+預測IC!CI17</f>
        <v>1.604188446226557</v>
      </c>
      <c r="CJ17" s="15">
        <f>CI17+預測IC!CJ17</f>
        <v>1.654930767710999</v>
      </c>
      <c r="CK17" s="15">
        <f>CJ17+預測IC!CK17</f>
        <v>1.7388866159706298</v>
      </c>
      <c r="CL17" s="15">
        <f>CK17+預測IC!CL17</f>
        <v>1.602047517005893</v>
      </c>
      <c r="CM17" s="15">
        <f>CL17+預測IC!CM17</f>
        <v>1.7366168614374673</v>
      </c>
      <c r="CN17" s="15">
        <f>CM17+預測IC!CN17</f>
        <v>1.7633349225884543</v>
      </c>
      <c r="CO17" s="15">
        <f>CN17+預測IC!CO17</f>
        <v>1.6259220472589291</v>
      </c>
      <c r="CP17" s="15">
        <f>CO17+預測IC!CP17</f>
        <v>1.4777627780615854</v>
      </c>
      <c r="CQ17" s="15">
        <f>CP17+預測IC!CQ17</f>
        <v>1.5296698814033118</v>
      </c>
      <c r="CR17" s="15">
        <f>CQ17+預測IC!CR17</f>
        <v>1.3332672496410225</v>
      </c>
      <c r="CS17" s="15">
        <f>CR17+預測IC!CS17</f>
        <v>1.3448127653580277</v>
      </c>
      <c r="CT17" s="15">
        <f>CS17+預測IC!CT17</f>
        <v>1.3621520457631184</v>
      </c>
      <c r="CU17" s="15">
        <f>CT17+預測IC!CU17</f>
        <v>1.5175039385628779</v>
      </c>
      <c r="CV17" s="15">
        <f>CU17+預測IC!CV17</f>
        <v>1.4496129214915985</v>
      </c>
      <c r="CW17" s="15">
        <f>CV17+預測IC!CW17</f>
        <v>1.5130061402960864</v>
      </c>
      <c r="CX17" s="15">
        <f>CW17+預測IC!CX17</f>
        <v>1.3879962848963689</v>
      </c>
      <c r="CY17" s="15">
        <f>CX17+預測IC!CY17</f>
        <v>1.3123873714865633</v>
      </c>
      <c r="CZ17" s="15">
        <f>CY17+預測IC!CZ17</f>
        <v>1.2807946871062226</v>
      </c>
      <c r="DA17" s="15">
        <f>CZ17+預測IC!DA17</f>
        <v>1.2368988279610884</v>
      </c>
      <c r="DB17" s="15">
        <f>DA17+預測IC!DB17</f>
        <v>1.2717818387535562</v>
      </c>
      <c r="DC17" s="15">
        <f>DB17+預測IC!DC17</f>
        <v>1.2284183697760569</v>
      </c>
      <c r="DD17" s="15">
        <f>DC17+預測IC!DD17</f>
        <v>1.2575737906589377</v>
      </c>
      <c r="DE17" s="15">
        <f>DD17+預測IC!DE17</f>
        <v>1.2816986540056596</v>
      </c>
      <c r="DF17" s="15">
        <f>DE17+預測IC!DF17</f>
        <v>1.2973730989421894</v>
      </c>
      <c r="DG17" s="15">
        <f>DF17+預測IC!DG17</f>
        <v>1.4205855650728287</v>
      </c>
      <c r="DH17" s="15">
        <f>DG17+預測IC!DH17</f>
        <v>1.2571537638608397</v>
      </c>
      <c r="DI17" s="15">
        <f>DH17+預測IC!DI17</f>
        <v>1.2921982999267847</v>
      </c>
      <c r="DJ17" s="15">
        <f>DI17+預測IC!DJ17</f>
        <v>1.1632732401407753</v>
      </c>
      <c r="DK17" s="15">
        <f>DJ17+預測IC!DK17</f>
        <v>1.0951551286518901</v>
      </c>
      <c r="DL17" s="15">
        <f>DK17+預測IC!DL17</f>
        <v>1.0990848603430188</v>
      </c>
      <c r="DM17" s="15">
        <f>DL17+預測IC!DM17</f>
        <v>1.136312335859011</v>
      </c>
      <c r="DN17" s="15">
        <f>DM17+預測IC!DN17</f>
        <v>1.2427922984662974</v>
      </c>
      <c r="DO17" s="15">
        <f>DN17+預測IC!DO17</f>
        <v>1.3080428428177511</v>
      </c>
      <c r="DP17" s="15">
        <f>DO17+預測IC!DP17</f>
        <v>1.2915243345611276</v>
      </c>
      <c r="DQ17" s="15">
        <f>DP17+預測IC!DQ17</f>
        <v>1.2188703294551027</v>
      </c>
      <c r="DR17" s="15">
        <f>DQ17+預測IC!DR17</f>
        <v>1.1931438899888291</v>
      </c>
      <c r="DS17" s="15">
        <f>DR17+預測IC!DS17</f>
        <v>1.1996494262203015</v>
      </c>
      <c r="DT17" s="15">
        <f>DS17+預測IC!DT17</f>
        <v>1.2594613614552777</v>
      </c>
      <c r="DU17" s="15">
        <f>DT17+預測IC!DU17</f>
        <v>1.0999062619768338</v>
      </c>
      <c r="DV17" s="15">
        <f>DU17+預測IC!DV17</f>
        <v>1.054757425827775</v>
      </c>
      <c r="DW17" s="15">
        <f>DV17+預測IC!DW17</f>
        <v>1.1034389092419252</v>
      </c>
      <c r="DX17" s="15">
        <f>DW17+預測IC!DX17</f>
        <v>1.1264740894111138</v>
      </c>
      <c r="DY17" s="15">
        <f>DX17+預測IC!DY17</f>
        <v>1.0004635515100591</v>
      </c>
      <c r="DZ17" s="15">
        <f>DY17+預測IC!DZ17</f>
        <v>0.99567249826407045</v>
      </c>
      <c r="EA17" s="15">
        <f>DZ17+預測IC!EA17</f>
        <v>1.1602440214961853</v>
      </c>
      <c r="EB17" s="15">
        <f>EA17+預測IC!EB17</f>
        <v>1.2675293482499428</v>
      </c>
      <c r="EC17" s="15">
        <f>EB17+預測IC!EC17</f>
        <v>1.1460173309819197</v>
      </c>
      <c r="ED17" s="15">
        <f>EC17+預測IC!ED17</f>
        <v>1.0427266570448905</v>
      </c>
      <c r="EE17" s="15">
        <f>ED17+預測IC!EE17</f>
        <v>0.97844795707600152</v>
      </c>
      <c r="EF17" s="15">
        <f>EE17+預測IC!EF17</f>
        <v>0.93746075165210041</v>
      </c>
    </row>
    <row r="18" spans="1:136" x14ac:dyDescent="0.3">
      <c r="A18" s="1">
        <v>7</v>
      </c>
      <c r="B18" s="1" t="s">
        <v>165</v>
      </c>
      <c r="C18" s="15">
        <v>-5.9146797802220617E-2</v>
      </c>
      <c r="D18" s="15">
        <f>C18+預測IC!D18</f>
        <v>0.34273688361984739</v>
      </c>
      <c r="E18" s="15">
        <f>D18+預測IC!E18</f>
        <v>0.24226126061675518</v>
      </c>
      <c r="F18" s="15">
        <f>E18+預測IC!F18</f>
        <v>0.36164422071894498</v>
      </c>
      <c r="G18" s="15">
        <f>F18+預測IC!G18</f>
        <v>0.25332784743386499</v>
      </c>
      <c r="H18" s="15">
        <f>G18+預測IC!H18</f>
        <v>0.26195007518830932</v>
      </c>
      <c r="I18" s="15">
        <f>H18+預測IC!I18</f>
        <v>0.12644989496506823</v>
      </c>
      <c r="J18" s="15">
        <f>I18+預測IC!J18</f>
        <v>0.16986141071670985</v>
      </c>
      <c r="K18" s="15">
        <f>J18+預測IC!K18</f>
        <v>0.30550929949434213</v>
      </c>
      <c r="L18" s="15">
        <f>K18+預測IC!L18</f>
        <v>0.25475109238762311</v>
      </c>
      <c r="M18" s="15">
        <f>L18+預測IC!M18</f>
        <v>0.28380255676408045</v>
      </c>
      <c r="N18" s="15">
        <f>M18+預測IC!N18</f>
        <v>0.42501004526037656</v>
      </c>
      <c r="O18" s="15">
        <f>N18+預測IC!O18</f>
        <v>0.52868053488999578</v>
      </c>
      <c r="P18" s="15">
        <f>O18+預測IC!P18</f>
        <v>0.53700862074390476</v>
      </c>
      <c r="Q18" s="15">
        <f>P18+預測IC!Q18</f>
        <v>0.72598403943339462</v>
      </c>
      <c r="R18" s="15">
        <f>Q18+預測IC!R18</f>
        <v>0.78747627730536962</v>
      </c>
      <c r="S18" s="15">
        <f>R18+預測IC!S18</f>
        <v>0.93128150460426884</v>
      </c>
      <c r="T18" s="15">
        <f>S18+預測IC!T18</f>
        <v>0.9855259446358775</v>
      </c>
      <c r="U18" s="15">
        <f>T18+預測IC!U18</f>
        <v>1.1180209690656966</v>
      </c>
      <c r="V18" s="15">
        <f>U18+預測IC!V18</f>
        <v>1.2394124304916223</v>
      </c>
      <c r="W18" s="15">
        <f>V18+預測IC!W18</f>
        <v>1.4055472597609213</v>
      </c>
      <c r="X18" s="15">
        <f>W18+預測IC!X18</f>
        <v>1.5326700683864116</v>
      </c>
      <c r="Y18" s="15">
        <f>X18+預測IC!Y18</f>
        <v>1.6365493122952228</v>
      </c>
      <c r="Z18" s="15">
        <f>Y18+預測IC!Z18</f>
        <v>1.7257836757357456</v>
      </c>
      <c r="AA18" s="15">
        <f>Z18+預測IC!AA18</f>
        <v>1.6840784305530216</v>
      </c>
      <c r="AB18" s="15">
        <f>AA18+預測IC!AB18</f>
        <v>1.5993801308225375</v>
      </c>
      <c r="AC18" s="15">
        <f>AB18+預測IC!AC18</f>
        <v>1.6007455512993698</v>
      </c>
      <c r="AD18" s="15">
        <f>AC18+預測IC!AD18</f>
        <v>1.5283017622108384</v>
      </c>
      <c r="AE18" s="15">
        <f>AD18+預測IC!AE18</f>
        <v>1.7866931111260469</v>
      </c>
      <c r="AF18" s="15">
        <f>AE18+預測IC!AF18</f>
        <v>1.6361494713019735</v>
      </c>
      <c r="AG18" s="15">
        <f>AF18+預測IC!AG18</f>
        <v>1.5544294914092198</v>
      </c>
      <c r="AH18" s="15">
        <f>AG18+預測IC!AH18</f>
        <v>1.7174979962340695</v>
      </c>
      <c r="AI18" s="15">
        <f>AH18+預測IC!AI18</f>
        <v>1.6360742461828999</v>
      </c>
      <c r="AJ18" s="15">
        <f>AI18+預測IC!AJ18</f>
        <v>1.5652070285212973</v>
      </c>
      <c r="AK18" s="15">
        <f>AJ18+預測IC!AK18</f>
        <v>1.542374143159301</v>
      </c>
      <c r="AL18" s="15">
        <f>AK18+預測IC!AL18</f>
        <v>1.5899019067915587</v>
      </c>
      <c r="AM18" s="15">
        <f>AL18+預測IC!AM18</f>
        <v>1.6565453122163301</v>
      </c>
      <c r="AN18" s="15">
        <f>AM18+預測IC!AN18</f>
        <v>1.7358399521715318</v>
      </c>
      <c r="AO18" s="15">
        <f>AN18+預測IC!AO18</f>
        <v>1.7604242326163386</v>
      </c>
      <c r="AP18" s="15">
        <f>AO18+預測IC!AP18</f>
        <v>1.7584098011684304</v>
      </c>
      <c r="AQ18" s="15">
        <f>AP18+預測IC!AQ18</f>
        <v>1.8346406464948803</v>
      </c>
      <c r="AR18" s="15">
        <f>AQ18+預測IC!AR18</f>
        <v>1.7729461228940988</v>
      </c>
      <c r="AS18" s="15">
        <f>AR18+預測IC!AS18</f>
        <v>1.8587726744480679</v>
      </c>
      <c r="AT18" s="15">
        <f>AS18+預測IC!AT18</f>
        <v>2.0251584838721266</v>
      </c>
      <c r="AU18" s="15">
        <f>AT18+預測IC!AU18</f>
        <v>2.1640566985183463</v>
      </c>
      <c r="AV18" s="15">
        <f>AU18+預測IC!AV18</f>
        <v>2.1991143860942226</v>
      </c>
      <c r="AW18" s="15">
        <f>AV18+預測IC!AW18</f>
        <v>2.1745763518531152</v>
      </c>
      <c r="AX18" s="15">
        <f>AW18+預測IC!AX18</f>
        <v>2.0485120144269877</v>
      </c>
      <c r="AY18" s="15">
        <f>AX18+預測IC!AY18</f>
        <v>2.0183226556984977</v>
      </c>
      <c r="AZ18" s="15">
        <f>AY18+預測IC!AZ18</f>
        <v>1.9666763283049893</v>
      </c>
      <c r="BA18" s="15">
        <f>AZ18+預測IC!BA18</f>
        <v>1.9673086392296748</v>
      </c>
      <c r="BB18" s="15">
        <f>BA18+預測IC!BB18</f>
        <v>2.1345666577104674</v>
      </c>
      <c r="BC18" s="15">
        <f>BB18+預測IC!BC18</f>
        <v>2.217768230303788</v>
      </c>
      <c r="BD18" s="15">
        <f>BC18+預測IC!BD18</f>
        <v>2.1937519586164878</v>
      </c>
      <c r="BE18" s="15">
        <f>BD18+預測IC!BE18</f>
        <v>2.1253907453783247</v>
      </c>
      <c r="BF18" s="15">
        <f>BE18+預測IC!BF18</f>
        <v>2.2903772400743323</v>
      </c>
      <c r="BG18" s="15">
        <f>BF18+預測IC!BG18</f>
        <v>2.2735709988481281</v>
      </c>
      <c r="BH18" s="15">
        <f>BG18+預測IC!BH18</f>
        <v>2.2940748519119336</v>
      </c>
      <c r="BI18" s="15">
        <f>BH18+預測IC!BI18</f>
        <v>2.3700659456523923</v>
      </c>
      <c r="BJ18" s="15">
        <f>BI18+預測IC!BJ18</f>
        <v>2.4685998023378142</v>
      </c>
      <c r="BK18" s="15">
        <f>BJ18+預測IC!BK18</f>
        <v>2.469580886240931</v>
      </c>
      <c r="BL18" s="15">
        <f>BK18+預測IC!BL18</f>
        <v>2.525368767102711</v>
      </c>
      <c r="BM18" s="15">
        <f>BL18+預測IC!BM18</f>
        <v>2.5534501234758062</v>
      </c>
      <c r="BN18" s="15">
        <f>BM18+預測IC!BN18</f>
        <v>2.5956417122806097</v>
      </c>
      <c r="BO18" s="15">
        <f>BN18+預測IC!BO18</f>
        <v>2.5754142161742353</v>
      </c>
      <c r="BP18" s="15">
        <f>BO18+預測IC!BP18</f>
        <v>2.5129507841377836</v>
      </c>
      <c r="BQ18" s="15">
        <f>BP18+預測IC!BQ18</f>
        <v>2.4264910932255543</v>
      </c>
      <c r="BR18" s="15">
        <f>BQ18+預測IC!BR18</f>
        <v>2.4207428996415996</v>
      </c>
      <c r="BS18" s="15">
        <f>BR18+預測IC!BS18</f>
        <v>2.3878696430655677</v>
      </c>
      <c r="BT18" s="15">
        <f>BS18+預測IC!BT18</f>
        <v>2.3263243201728629</v>
      </c>
      <c r="BU18" s="15">
        <f>BT18+預測IC!BU18</f>
        <v>2.4070017642129038</v>
      </c>
      <c r="BV18" s="15">
        <f>BU18+預測IC!BV18</f>
        <v>2.2914962455002597</v>
      </c>
      <c r="BW18" s="15">
        <f>BV18+預測IC!BW18</f>
        <v>2.5098717446312482</v>
      </c>
      <c r="BX18" s="15">
        <f>BW18+預測IC!BX18</f>
        <v>2.43529088121665</v>
      </c>
      <c r="BY18" s="15">
        <f>BX18+預測IC!BY18</f>
        <v>2.3726041367665651</v>
      </c>
      <c r="BZ18" s="15">
        <f>BY18+預測IC!BZ18</f>
        <v>2.219284148963967</v>
      </c>
      <c r="CA18" s="15">
        <f>BZ18+預測IC!CA18</f>
        <v>2.203207605071106</v>
      </c>
      <c r="CB18" s="15">
        <f>CA18+預測IC!CB18</f>
        <v>2.0963615446010326</v>
      </c>
      <c r="CC18" s="15">
        <f>CB18+預測IC!CC18</f>
        <v>2.2010221684426776</v>
      </c>
      <c r="CD18" s="15">
        <f>CC18+預測IC!CD18</f>
        <v>2.0794269452739136</v>
      </c>
      <c r="CE18" s="15">
        <f>CD18+預測IC!CE18</f>
        <v>1.9015005889650363</v>
      </c>
      <c r="CF18" s="15">
        <f>CE18+預測IC!CF18</f>
        <v>1.8575428455784275</v>
      </c>
      <c r="CG18" s="15">
        <f>CF18+預測IC!CG18</f>
        <v>1.7659335900145081</v>
      </c>
      <c r="CH18" s="15">
        <f>CG18+預測IC!CH18</f>
        <v>1.8112992389736668</v>
      </c>
      <c r="CI18" s="15">
        <f>CH18+預測IC!CI18</f>
        <v>1.9263585497828453</v>
      </c>
      <c r="CJ18" s="15">
        <f>CI18+預測IC!CJ18</f>
        <v>1.9886722276077549</v>
      </c>
      <c r="CK18" s="15">
        <f>CJ18+預測IC!CK18</f>
        <v>2.0847302592732779</v>
      </c>
      <c r="CL18" s="15">
        <f>CK18+預測IC!CL18</f>
        <v>1.9318163154637928</v>
      </c>
      <c r="CM18" s="15">
        <f>CL18+預測IC!CM18</f>
        <v>2.0754648586281865</v>
      </c>
      <c r="CN18" s="15">
        <f>CM18+預測IC!CN18</f>
        <v>2.110551112606363</v>
      </c>
      <c r="CO18" s="15">
        <f>CN18+預測IC!CO18</f>
        <v>1.9599536029841156</v>
      </c>
      <c r="CP18" s="15">
        <f>CO18+預測IC!CP18</f>
        <v>1.7971144940361048</v>
      </c>
      <c r="CQ18" s="15">
        <f>CP18+預測IC!CQ18</f>
        <v>1.8353571696310476</v>
      </c>
      <c r="CR18" s="15">
        <f>CQ18+預測IC!CR18</f>
        <v>1.6416347619788383</v>
      </c>
      <c r="CS18" s="15">
        <f>CR18+預測IC!CS18</f>
        <v>1.6697633223929269</v>
      </c>
      <c r="CT18" s="15">
        <f>CS18+預測IC!CT18</f>
        <v>1.6534908281929181</v>
      </c>
      <c r="CU18" s="15">
        <f>CT18+預測IC!CU18</f>
        <v>1.7980556493690529</v>
      </c>
      <c r="CV18" s="15">
        <f>CU18+預測IC!CV18</f>
        <v>1.73511102732459</v>
      </c>
      <c r="CW18" s="15">
        <f>CV18+預測IC!CW18</f>
        <v>1.8016696018229061</v>
      </c>
      <c r="CX18" s="15">
        <f>CW18+預測IC!CX18</f>
        <v>1.648593912213753</v>
      </c>
      <c r="CY18" s="15">
        <f>CX18+預測IC!CY18</f>
        <v>1.5554155283058455</v>
      </c>
      <c r="CZ18" s="15">
        <f>CY18+預測IC!CZ18</f>
        <v>1.4639563148931429</v>
      </c>
      <c r="DA18" s="15">
        <f>CZ18+預測IC!DA18</f>
        <v>1.4165753753744494</v>
      </c>
      <c r="DB18" s="15">
        <f>DA18+預測IC!DB18</f>
        <v>1.4623105840532089</v>
      </c>
      <c r="DC18" s="15">
        <f>DB18+預測IC!DC18</f>
        <v>1.4259018025577026</v>
      </c>
      <c r="DD18" s="15">
        <f>DC18+預測IC!DD18</f>
        <v>1.4669159898770365</v>
      </c>
      <c r="DE18" s="15">
        <f>DD18+預測IC!DE18</f>
        <v>1.5053365773634875</v>
      </c>
      <c r="DF18" s="15">
        <f>DE18+預測IC!DF18</f>
        <v>1.5334085524414489</v>
      </c>
      <c r="DG18" s="15">
        <f>DF18+預測IC!DG18</f>
        <v>1.6516256457150442</v>
      </c>
      <c r="DH18" s="15">
        <f>DG18+預測IC!DH18</f>
        <v>1.459224263755903</v>
      </c>
      <c r="DI18" s="15">
        <f>DH18+預測IC!DI18</f>
        <v>1.4778375117863212</v>
      </c>
      <c r="DJ18" s="15">
        <f>DI18+預測IC!DJ18</f>
        <v>1.3316414356869088</v>
      </c>
      <c r="DK18" s="15">
        <f>DJ18+預測IC!DK18</f>
        <v>1.2743908457002828</v>
      </c>
      <c r="DL18" s="15">
        <f>DK18+預測IC!DL18</f>
        <v>1.278221119767875</v>
      </c>
      <c r="DM18" s="15">
        <f>DL18+預測IC!DM18</f>
        <v>1.2834717985101389</v>
      </c>
      <c r="DN18" s="15">
        <f>DM18+預測IC!DN18</f>
        <v>1.4085804817796697</v>
      </c>
      <c r="DO18" s="15">
        <f>DN18+預測IC!DO18</f>
        <v>1.4387794992412595</v>
      </c>
      <c r="DP18" s="15">
        <f>DO18+預測IC!DP18</f>
        <v>1.4181748127743938</v>
      </c>
      <c r="DQ18" s="15">
        <f>DP18+預測IC!DQ18</f>
        <v>1.352425354590495</v>
      </c>
      <c r="DR18" s="15">
        <f>DQ18+預測IC!DR18</f>
        <v>1.3419741057709784</v>
      </c>
      <c r="DS18" s="15">
        <f>DR18+預測IC!DS18</f>
        <v>1.3673597570281166</v>
      </c>
      <c r="DT18" s="15">
        <f>DS18+預測IC!DT18</f>
        <v>1.3899607918692241</v>
      </c>
      <c r="DU18" s="15">
        <f>DT18+預測IC!DU18</f>
        <v>1.2273720074449739</v>
      </c>
      <c r="DV18" s="15">
        <f>DU18+預測IC!DV18</f>
        <v>1.1568443149388963</v>
      </c>
      <c r="DW18" s="15">
        <f>DV18+預測IC!DW18</f>
        <v>1.2387530072232695</v>
      </c>
      <c r="DX18" s="15">
        <f>DW18+預測IC!DX18</f>
        <v>1.3069303007450048</v>
      </c>
      <c r="DY18" s="15">
        <f>DX18+預測IC!DY18</f>
        <v>1.1411671960830017</v>
      </c>
      <c r="DZ18" s="15">
        <f>DY18+預測IC!DZ18</f>
        <v>1.0979393412135598</v>
      </c>
      <c r="EA18" s="15">
        <f>DZ18+預測IC!EA18</f>
        <v>1.2968850893778971</v>
      </c>
      <c r="EB18" s="15">
        <f>EA18+預測IC!EB18</f>
        <v>1.4068494438280925</v>
      </c>
      <c r="EC18" s="15">
        <f>EB18+預測IC!EC18</f>
        <v>1.2638092132353069</v>
      </c>
      <c r="ED18" s="15">
        <f>EC18+預測IC!ED18</f>
        <v>1.1810501118467402</v>
      </c>
      <c r="EE18" s="15">
        <f>ED18+預測IC!EE18</f>
        <v>1.1280350715313761</v>
      </c>
      <c r="EF18" s="15">
        <f>EE18+預測IC!EF18</f>
        <v>1.0640807378422317</v>
      </c>
    </row>
    <row r="19" spans="1:136" x14ac:dyDescent="0.3">
      <c r="A19" s="1">
        <v>6</v>
      </c>
      <c r="B19" s="1" t="s">
        <v>166</v>
      </c>
      <c r="C19" s="15">
        <v>-7.386192988077088E-2</v>
      </c>
      <c r="D19" s="15">
        <f>C19+預測IC!D19</f>
        <v>0.33365878020869838</v>
      </c>
      <c r="E19" s="15">
        <f>D19+預測IC!E19</f>
        <v>0.19307510361736718</v>
      </c>
      <c r="F19" s="15">
        <f>E19+預測IC!F19</f>
        <v>0.37076376542292766</v>
      </c>
      <c r="G19" s="15">
        <f>F19+預測IC!G19</f>
        <v>0.27469779356575025</v>
      </c>
      <c r="H19" s="15">
        <f>G19+預測IC!H19</f>
        <v>0.26262900510326531</v>
      </c>
      <c r="I19" s="15">
        <f>H19+預測IC!I19</f>
        <v>0.12797467221179881</v>
      </c>
      <c r="J19" s="15">
        <f>I19+預測IC!J19</f>
        <v>0.16340425673198983</v>
      </c>
      <c r="K19" s="15">
        <f>J19+預測IC!K19</f>
        <v>0.40219367145590657</v>
      </c>
      <c r="L19" s="15">
        <f>K19+預測IC!L19</f>
        <v>0.38186702181556148</v>
      </c>
      <c r="M19" s="15">
        <f>L19+預測IC!M19</f>
        <v>0.33817678565925419</v>
      </c>
      <c r="N19" s="15">
        <f>M19+預測IC!N19</f>
        <v>0.49002036680723426</v>
      </c>
      <c r="O19" s="15">
        <f>N19+預測IC!O19</f>
        <v>0.58224174982669152</v>
      </c>
      <c r="P19" s="15">
        <f>O19+預測IC!P19</f>
        <v>0.60575491065121156</v>
      </c>
      <c r="Q19" s="15">
        <f>P19+預測IC!Q19</f>
        <v>0.80291799891573146</v>
      </c>
      <c r="R19" s="15">
        <f>Q19+預測IC!R19</f>
        <v>0.89321708954658774</v>
      </c>
      <c r="S19" s="15">
        <f>R19+預測IC!S19</f>
        <v>1.0159089658823293</v>
      </c>
      <c r="T19" s="15">
        <f>S19+預測IC!T19</f>
        <v>1.0430632438686285</v>
      </c>
      <c r="U19" s="15">
        <f>T19+預測IC!U19</f>
        <v>1.1787615825005517</v>
      </c>
      <c r="V19" s="15">
        <f>U19+預測IC!V19</f>
        <v>1.271449902225865</v>
      </c>
      <c r="W19" s="15">
        <f>V19+預測IC!W19</f>
        <v>1.4461846655280965</v>
      </c>
      <c r="X19" s="15">
        <f>W19+預測IC!X19</f>
        <v>1.5691078117738135</v>
      </c>
      <c r="Y19" s="15">
        <f>X19+預測IC!Y19</f>
        <v>1.6722380507042518</v>
      </c>
      <c r="Z19" s="15">
        <f>Y19+預測IC!Z19</f>
        <v>1.7638571612802754</v>
      </c>
      <c r="AA19" s="15">
        <f>Z19+預測IC!AA19</f>
        <v>1.7222869767421196</v>
      </c>
      <c r="AB19" s="15">
        <f>AA19+預測IC!AB19</f>
        <v>1.6200333708581769</v>
      </c>
      <c r="AC19" s="15">
        <f>AB19+預測IC!AC19</f>
        <v>1.6341749135667867</v>
      </c>
      <c r="AD19" s="15">
        <f>AC19+預測IC!AD19</f>
        <v>1.6101774563057261</v>
      </c>
      <c r="AE19" s="15">
        <f>AD19+預測IC!AE19</f>
        <v>1.9186703142310948</v>
      </c>
      <c r="AF19" s="15">
        <f>AE19+預測IC!AF19</f>
        <v>1.7498397335230518</v>
      </c>
      <c r="AG19" s="15">
        <f>AF19+預測IC!AG19</f>
        <v>1.7083526300787402</v>
      </c>
      <c r="AH19" s="15">
        <f>AG19+預測IC!AH19</f>
        <v>1.9125089172439498</v>
      </c>
      <c r="AI19" s="15">
        <f>AH19+預測IC!AI19</f>
        <v>1.8647425644841533</v>
      </c>
      <c r="AJ19" s="15">
        <f>AI19+預測IC!AJ19</f>
        <v>1.7875398548395818</v>
      </c>
      <c r="AK19" s="15">
        <f>AJ19+預測IC!AK19</f>
        <v>1.7469583317264188</v>
      </c>
      <c r="AL19" s="15">
        <f>AK19+預測IC!AL19</f>
        <v>1.8172292773972243</v>
      </c>
      <c r="AM19" s="15">
        <f>AL19+預測IC!AM19</f>
        <v>1.8603352892086291</v>
      </c>
      <c r="AN19" s="15">
        <f>AM19+預測IC!AN19</f>
        <v>1.9439035835743113</v>
      </c>
      <c r="AO19" s="15">
        <f>AN19+預測IC!AO19</f>
        <v>1.999793709703426</v>
      </c>
      <c r="AP19" s="15">
        <f>AO19+預測IC!AP19</f>
        <v>1.9900815887618259</v>
      </c>
      <c r="AQ19" s="15">
        <f>AP19+預測IC!AQ19</f>
        <v>2.0783343458224768</v>
      </c>
      <c r="AR19" s="15">
        <f>AQ19+預測IC!AR19</f>
        <v>2.0037174481878179</v>
      </c>
      <c r="AS19" s="15">
        <f>AR19+預測IC!AS19</f>
        <v>2.1015144034561324</v>
      </c>
      <c r="AT19" s="15">
        <f>AS19+預測IC!AT19</f>
        <v>2.2861080672661904</v>
      </c>
      <c r="AU19" s="15">
        <f>AT19+預測IC!AU19</f>
        <v>2.4391226937404511</v>
      </c>
      <c r="AV19" s="15">
        <f>AU19+預測IC!AV19</f>
        <v>2.4817999894647884</v>
      </c>
      <c r="AW19" s="15">
        <f>AV19+預測IC!AW19</f>
        <v>2.4594438213106518</v>
      </c>
      <c r="AX19" s="15">
        <f>AW19+預測IC!AX19</f>
        <v>2.2353200260097958</v>
      </c>
      <c r="AY19" s="15">
        <f>AX19+預測IC!AY19</f>
        <v>2.1690467832973237</v>
      </c>
      <c r="AZ19" s="15">
        <f>AY19+預測IC!AZ19</f>
        <v>2.0534352549279</v>
      </c>
      <c r="BA19" s="15">
        <f>AZ19+預測IC!BA19</f>
        <v>2.0190713709738271</v>
      </c>
      <c r="BB19" s="15">
        <f>BA19+預測IC!BB19</f>
        <v>2.2208732816370347</v>
      </c>
      <c r="BC19" s="15">
        <f>BB19+預測IC!BC19</f>
        <v>2.2849287679832204</v>
      </c>
      <c r="BD19" s="15">
        <f>BC19+預測IC!BD19</f>
        <v>2.2816943753531524</v>
      </c>
      <c r="BE19" s="15">
        <f>BD19+預測IC!BE19</f>
        <v>2.2305625013894859</v>
      </c>
      <c r="BF19" s="15">
        <f>BE19+預測IC!BF19</f>
        <v>2.3723719363532276</v>
      </c>
      <c r="BG19" s="15">
        <f>BF19+預測IC!BG19</f>
        <v>2.3560282780203856</v>
      </c>
      <c r="BH19" s="15">
        <f>BG19+預測IC!BH19</f>
        <v>2.3580464797218168</v>
      </c>
      <c r="BI19" s="15">
        <f>BH19+預測IC!BI19</f>
        <v>2.4593307096810331</v>
      </c>
      <c r="BJ19" s="15">
        <f>BI19+預測IC!BJ19</f>
        <v>2.5182429268534889</v>
      </c>
      <c r="BK19" s="15">
        <f>BJ19+預測IC!BK19</f>
        <v>2.4487238902240471</v>
      </c>
      <c r="BL19" s="15">
        <f>BK19+預測IC!BL19</f>
        <v>2.5118884239710666</v>
      </c>
      <c r="BM19" s="15">
        <f>BL19+預測IC!BM19</f>
        <v>2.5436746888402118</v>
      </c>
      <c r="BN19" s="15">
        <f>BM19+預測IC!BN19</f>
        <v>2.6158597885627128</v>
      </c>
      <c r="BO19" s="15">
        <f>BN19+預測IC!BO19</f>
        <v>2.5901308272975974</v>
      </c>
      <c r="BP19" s="15">
        <f>BO19+預測IC!BP19</f>
        <v>2.5777204860199965</v>
      </c>
      <c r="BQ19" s="15">
        <f>BP19+預測IC!BQ19</f>
        <v>2.4680673510869395</v>
      </c>
      <c r="BR19" s="15">
        <f>BQ19+預測IC!BR19</f>
        <v>2.4747425971104597</v>
      </c>
      <c r="BS19" s="15">
        <f>BR19+預測IC!BS19</f>
        <v>2.4782425290500987</v>
      </c>
      <c r="BT19" s="15">
        <f>BS19+預測IC!BT19</f>
        <v>2.3959191253727874</v>
      </c>
      <c r="BU19" s="15">
        <f>BT19+預測IC!BU19</f>
        <v>2.4718553766070253</v>
      </c>
      <c r="BV19" s="15">
        <f>BU19+預測IC!BV19</f>
        <v>2.3717701110254099</v>
      </c>
      <c r="BW19" s="15">
        <f>BV19+預測IC!BW19</f>
        <v>2.6792231178351433</v>
      </c>
      <c r="BX19" s="15">
        <f>BW19+預測IC!BX19</f>
        <v>2.6243928362748266</v>
      </c>
      <c r="BY19" s="15">
        <f>BX19+預測IC!BY19</f>
        <v>2.5967173438631659</v>
      </c>
      <c r="BZ19" s="15">
        <f>BY19+預測IC!BZ19</f>
        <v>2.5280152190411118</v>
      </c>
      <c r="CA19" s="15">
        <f>BZ19+預測IC!CA19</f>
        <v>2.4986864638173372</v>
      </c>
      <c r="CB19" s="15">
        <f>CA19+預測IC!CB19</f>
        <v>2.37084825471644</v>
      </c>
      <c r="CC19" s="15">
        <f>CB19+預測IC!CC19</f>
        <v>2.3933544876149573</v>
      </c>
      <c r="CD19" s="15">
        <f>CC19+預測IC!CD19</f>
        <v>2.24462257432655</v>
      </c>
      <c r="CE19" s="15">
        <f>CD19+預測IC!CE19</f>
        <v>2.0463567451495908</v>
      </c>
      <c r="CF19" s="15">
        <f>CE19+預測IC!CF19</f>
        <v>1.9673052201787764</v>
      </c>
      <c r="CG19" s="15">
        <f>CF19+預測IC!CG19</f>
        <v>1.9101875953118193</v>
      </c>
      <c r="CH19" s="15">
        <f>CG19+預測IC!CH19</f>
        <v>1.9529026390545534</v>
      </c>
      <c r="CI19" s="15">
        <f>CH19+預測IC!CI19</f>
        <v>2.063636846808258</v>
      </c>
      <c r="CJ19" s="15">
        <f>CI19+預測IC!CJ19</f>
        <v>2.125577346774294</v>
      </c>
      <c r="CK19" s="15">
        <f>CJ19+預測IC!CK19</f>
        <v>2.2443746097316284</v>
      </c>
      <c r="CL19" s="15">
        <f>CK19+預測IC!CL19</f>
        <v>2.1290268280928908</v>
      </c>
      <c r="CM19" s="15">
        <f>CL19+預測IC!CM19</f>
        <v>2.304374469674606</v>
      </c>
      <c r="CN19" s="15">
        <f>CM19+預測IC!CN19</f>
        <v>2.3813071243419093</v>
      </c>
      <c r="CO19" s="15">
        <f>CN19+預測IC!CO19</f>
        <v>2.2151605665666287</v>
      </c>
      <c r="CP19" s="15">
        <f>CO19+預測IC!CP19</f>
        <v>2.0561279675842958</v>
      </c>
      <c r="CQ19" s="15">
        <f>CP19+預測IC!CQ19</f>
        <v>2.0885225751007144</v>
      </c>
      <c r="CR19" s="15">
        <f>CQ19+預測IC!CR19</f>
        <v>1.9122158508545224</v>
      </c>
      <c r="CS19" s="15">
        <f>CR19+預測IC!CS19</f>
        <v>1.9559908378328266</v>
      </c>
      <c r="CT19" s="15">
        <f>CS19+預測IC!CT19</f>
        <v>1.9280502006478297</v>
      </c>
      <c r="CU19" s="15">
        <f>CT19+預測IC!CU19</f>
        <v>2.0746577439087686</v>
      </c>
      <c r="CV19" s="15">
        <f>CU19+預測IC!CV19</f>
        <v>1.9985152494296716</v>
      </c>
      <c r="CW19" s="15">
        <f>CV19+預測IC!CW19</f>
        <v>2.0590311280027089</v>
      </c>
      <c r="CX19" s="15">
        <f>CW19+預測IC!CX19</f>
        <v>1.910880837198204</v>
      </c>
      <c r="CY19" s="15">
        <f>CX19+預測IC!CY19</f>
        <v>1.8029887177410131</v>
      </c>
      <c r="CZ19" s="15">
        <f>CY19+預測IC!CZ19</f>
        <v>1.745489454652501</v>
      </c>
      <c r="DA19" s="15">
        <f>CZ19+預測IC!DA19</f>
        <v>1.6872655779492642</v>
      </c>
      <c r="DB19" s="15">
        <f>DA19+預測IC!DB19</f>
        <v>1.7229864769744798</v>
      </c>
      <c r="DC19" s="15">
        <f>DB19+預測IC!DC19</f>
        <v>1.758165876876574</v>
      </c>
      <c r="DD19" s="15">
        <f>DC19+預測IC!DD19</f>
        <v>1.7643670021314029</v>
      </c>
      <c r="DE19" s="15">
        <f>DD19+預測IC!DE19</f>
        <v>1.7973854167871948</v>
      </c>
      <c r="DF19" s="15">
        <f>DE19+預測IC!DF19</f>
        <v>1.8186817592143618</v>
      </c>
      <c r="DG19" s="15">
        <f>DF19+預測IC!DG19</f>
        <v>1.9451725570518832</v>
      </c>
      <c r="DH19" s="15">
        <f>DG19+預測IC!DH19</f>
        <v>1.7205827763323951</v>
      </c>
      <c r="DI19" s="15">
        <f>DH19+預測IC!DI19</f>
        <v>1.7792298093436636</v>
      </c>
      <c r="DJ19" s="15">
        <f>DI19+預測IC!DJ19</f>
        <v>1.6139793403845917</v>
      </c>
      <c r="DK19" s="15">
        <f>DJ19+預測IC!DK19</f>
        <v>1.5979950508099277</v>
      </c>
      <c r="DL19" s="15">
        <f>DK19+預測IC!DL19</f>
        <v>1.6099778367189015</v>
      </c>
      <c r="DM19" s="15">
        <f>DL19+預測IC!DM19</f>
        <v>1.5638799342332739</v>
      </c>
      <c r="DN19" s="15">
        <f>DM19+預測IC!DN19</f>
        <v>1.7378082359618221</v>
      </c>
      <c r="DO19" s="15">
        <f>DN19+預測IC!DO19</f>
        <v>1.786513755822416</v>
      </c>
      <c r="DP19" s="15">
        <f>DO19+預測IC!DP19</f>
        <v>1.8143517703054097</v>
      </c>
      <c r="DQ19" s="15">
        <f>DP19+預測IC!DQ19</f>
        <v>1.7339775984673347</v>
      </c>
      <c r="DR19" s="15">
        <f>DQ19+預測IC!DR19</f>
        <v>1.7164327991915265</v>
      </c>
      <c r="DS19" s="15">
        <f>DR19+預測IC!DS19</f>
        <v>1.7613517623434065</v>
      </c>
      <c r="DT19" s="15">
        <f>DS19+預測IC!DT19</f>
        <v>1.7663850088635116</v>
      </c>
      <c r="DU19" s="15">
        <f>DT19+預測IC!DU19</f>
        <v>1.5718655694005323</v>
      </c>
      <c r="DV19" s="15">
        <f>DU19+預測IC!DV19</f>
        <v>1.5002721828031302</v>
      </c>
      <c r="DW19" s="15">
        <f>DV19+預測IC!DW19</f>
        <v>1.5608813221438145</v>
      </c>
      <c r="DX19" s="15">
        <f>DW19+預測IC!DX19</f>
        <v>1.6554955155013522</v>
      </c>
      <c r="DY19" s="15">
        <f>DX19+預測IC!DY19</f>
        <v>1.5033761058968653</v>
      </c>
      <c r="DZ19" s="15">
        <f>DY19+預測IC!DZ19</f>
        <v>1.4237325377584302</v>
      </c>
      <c r="EA19" s="15">
        <f>DZ19+預測IC!EA19</f>
        <v>1.6567783680637107</v>
      </c>
      <c r="EB19" s="15">
        <f>EA19+預測IC!EB19</f>
        <v>1.7655318777019633</v>
      </c>
      <c r="EC19" s="15">
        <f>EB19+預測IC!EC19</f>
        <v>1.6217576748769542</v>
      </c>
      <c r="ED19" s="15">
        <f>EC19+預測IC!ED19</f>
        <v>1.5414724166005791</v>
      </c>
      <c r="EE19" s="15">
        <f>ED19+預測IC!EE19</f>
        <v>1.5186565307566662</v>
      </c>
      <c r="EF19" s="15">
        <f>EE19+預測IC!EF19</f>
        <v>1.4446336113591611</v>
      </c>
    </row>
    <row r="20" spans="1:136" x14ac:dyDescent="0.3">
      <c r="A20" s="1">
        <v>5</v>
      </c>
      <c r="B20" s="1" t="s">
        <v>167</v>
      </c>
      <c r="C20" s="15">
        <v>1.1241331728202891E-2</v>
      </c>
      <c r="D20" s="15">
        <f>C20+預測IC!D20</f>
        <v>0.3932663517755528</v>
      </c>
      <c r="E20" s="15">
        <f>D20+預測IC!E20</f>
        <v>0.2471414465113069</v>
      </c>
      <c r="F20" s="15">
        <f>E20+預測IC!F20</f>
        <v>0.45267271084448113</v>
      </c>
      <c r="G20" s="15">
        <f>F20+預測IC!G20</f>
        <v>0.33548956955554204</v>
      </c>
      <c r="H20" s="15">
        <f>G20+預測IC!H20</f>
        <v>0.34707259563411974</v>
      </c>
      <c r="I20" s="15">
        <f>H20+預測IC!I20</f>
        <v>0.18892303303301805</v>
      </c>
      <c r="J20" s="15">
        <f>I20+預測IC!J20</f>
        <v>0.2233942917598743</v>
      </c>
      <c r="K20" s="15">
        <f>J20+預測IC!K20</f>
        <v>0.43811879552095612</v>
      </c>
      <c r="L20" s="15">
        <f>K20+預測IC!L20</f>
        <v>0.42911902417976777</v>
      </c>
      <c r="M20" s="15">
        <f>L20+預測IC!M20</f>
        <v>0.35140079588849427</v>
      </c>
      <c r="N20" s="15">
        <f>M20+預測IC!N20</f>
        <v>0.51954438407803816</v>
      </c>
      <c r="O20" s="15">
        <f>N20+預測IC!O20</f>
        <v>0.61864586822251189</v>
      </c>
      <c r="P20" s="15">
        <f>O20+預測IC!P20</f>
        <v>0.6617845471110394</v>
      </c>
      <c r="Q20" s="15">
        <f>P20+預測IC!Q20</f>
        <v>0.87851028611401794</v>
      </c>
      <c r="R20" s="15">
        <f>Q20+預測IC!R20</f>
        <v>0.98776334175148672</v>
      </c>
      <c r="S20" s="15">
        <f>R20+預測IC!S20</f>
        <v>1.0703259524587747</v>
      </c>
      <c r="T20" s="15">
        <f>S20+預測IC!T20</f>
        <v>1.0546630419395153</v>
      </c>
      <c r="U20" s="15">
        <f>T20+預測IC!U20</f>
        <v>1.2033127220572903</v>
      </c>
      <c r="V20" s="15">
        <f>U20+預測IC!V20</f>
        <v>1.3068303252619078</v>
      </c>
      <c r="W20" s="15">
        <f>V20+預測IC!W20</f>
        <v>1.5332739873450092</v>
      </c>
      <c r="X20" s="15">
        <f>W20+預測IC!X20</f>
        <v>1.6833162989725479</v>
      </c>
      <c r="Y20" s="15">
        <f>X20+預測IC!Y20</f>
        <v>1.8122813378549216</v>
      </c>
      <c r="Z20" s="15">
        <f>Y20+預測IC!Z20</f>
        <v>1.9178982983385808</v>
      </c>
      <c r="AA20" s="15">
        <f>Z20+預測IC!AA20</f>
        <v>1.8963037449512836</v>
      </c>
      <c r="AB20" s="15">
        <f>AA20+預測IC!AB20</f>
        <v>1.8115439042251105</v>
      </c>
      <c r="AC20" s="15">
        <f>AB20+預測IC!AC20</f>
        <v>1.858792166953078</v>
      </c>
      <c r="AD20" s="15">
        <f>AC20+預測IC!AD20</f>
        <v>1.8318048633824</v>
      </c>
      <c r="AE20" s="15">
        <f>AD20+預測IC!AE20</f>
        <v>1.9930260705375109</v>
      </c>
      <c r="AF20" s="15">
        <f>AE20+預測IC!AF20</f>
        <v>1.7695282509011383</v>
      </c>
      <c r="AG20" s="15">
        <f>AF20+預測IC!AG20</f>
        <v>1.7373650020194618</v>
      </c>
      <c r="AH20" s="15">
        <f>AG20+預測IC!AH20</f>
        <v>1.9540074546678226</v>
      </c>
      <c r="AI20" s="15">
        <f>AH20+預測IC!AI20</f>
        <v>1.8707281009170991</v>
      </c>
      <c r="AJ20" s="15">
        <f>AI20+預測IC!AJ20</f>
        <v>1.8100024162563149</v>
      </c>
      <c r="AK20" s="15">
        <f>AJ20+預測IC!AK20</f>
        <v>1.8017539011937018</v>
      </c>
      <c r="AL20" s="15">
        <f>AK20+預測IC!AL20</f>
        <v>1.8746473532306789</v>
      </c>
      <c r="AM20" s="15">
        <f>AL20+預測IC!AM20</f>
        <v>1.9077433339794816</v>
      </c>
      <c r="AN20" s="15">
        <f>AM20+預測IC!AN20</f>
        <v>1.9832135274984799</v>
      </c>
      <c r="AO20" s="15">
        <f>AN20+預測IC!AO20</f>
        <v>2.0323218221378796</v>
      </c>
      <c r="AP20" s="15">
        <f>AO20+預測IC!AP20</f>
        <v>2.0197173061747131</v>
      </c>
      <c r="AQ20" s="15">
        <f>AP20+預測IC!AQ20</f>
        <v>1.9922648208417622</v>
      </c>
      <c r="AR20" s="15">
        <f>AQ20+預測IC!AR20</f>
        <v>1.978975547751928</v>
      </c>
      <c r="AS20" s="15">
        <f>AR20+預測IC!AS20</f>
        <v>2.0910713574347448</v>
      </c>
      <c r="AT20" s="15">
        <f>AS20+預測IC!AT20</f>
        <v>2.3301951048798153</v>
      </c>
      <c r="AU20" s="15">
        <f>AT20+預測IC!AU20</f>
        <v>2.4732677458069809</v>
      </c>
      <c r="AV20" s="15">
        <f>AU20+預測IC!AV20</f>
        <v>2.5447409314609142</v>
      </c>
      <c r="AW20" s="15">
        <f>AV20+預測IC!AW20</f>
        <v>2.5378756632817634</v>
      </c>
      <c r="AX20" s="15">
        <f>AW20+預測IC!AX20</f>
        <v>2.3335364433212167</v>
      </c>
      <c r="AY20" s="15">
        <f>AX20+預測IC!AY20</f>
        <v>2.4155940793387831</v>
      </c>
      <c r="AZ20" s="15">
        <f>AY20+預測IC!AZ20</f>
        <v>2.2593200716321191</v>
      </c>
      <c r="BA20" s="15">
        <f>AZ20+預測IC!BA20</f>
        <v>2.2225212067715785</v>
      </c>
      <c r="BB20" s="15">
        <f>BA20+預測IC!BB20</f>
        <v>2.4537348329596553</v>
      </c>
      <c r="BC20" s="15">
        <f>BB20+預測IC!BC20</f>
        <v>2.5243404006373957</v>
      </c>
      <c r="BD20" s="15">
        <f>BC20+預測IC!BD20</f>
        <v>2.4709105874157986</v>
      </c>
      <c r="BE20" s="15">
        <f>BD20+預測IC!BE20</f>
        <v>2.4768573845550588</v>
      </c>
      <c r="BF20" s="15">
        <f>BE20+預測IC!BF20</f>
        <v>2.6148286476240341</v>
      </c>
      <c r="BG20" s="15">
        <f>BF20+預測IC!BG20</f>
        <v>2.6079025049153408</v>
      </c>
      <c r="BH20" s="15">
        <f>BG20+預測IC!BH20</f>
        <v>2.5362960578012297</v>
      </c>
      <c r="BI20" s="15">
        <f>BH20+預測IC!BI20</f>
        <v>2.6505517235357532</v>
      </c>
      <c r="BJ20" s="15">
        <f>BI20+預測IC!BJ20</f>
        <v>2.6996915073470271</v>
      </c>
      <c r="BK20" s="15">
        <f>BJ20+預測IC!BK20</f>
        <v>2.5970932231925818</v>
      </c>
      <c r="BL20" s="15">
        <f>BK20+預測IC!BL20</f>
        <v>2.6669526651298026</v>
      </c>
      <c r="BM20" s="15">
        <f>BL20+預測IC!BM20</f>
        <v>2.7144212165939914</v>
      </c>
      <c r="BN20" s="15">
        <f>BM20+預測IC!BN20</f>
        <v>2.800085848035172</v>
      </c>
      <c r="BO20" s="15">
        <f>BN20+預測IC!BO20</f>
        <v>2.8385475655511514</v>
      </c>
      <c r="BP20" s="15">
        <f>BO20+預測IC!BP20</f>
        <v>2.8458298130574762</v>
      </c>
      <c r="BQ20" s="15">
        <f>BP20+預測IC!BQ20</f>
        <v>2.7372295454982241</v>
      </c>
      <c r="BR20" s="15">
        <f>BQ20+預測IC!BR20</f>
        <v>2.7493031772286964</v>
      </c>
      <c r="BS20" s="15">
        <f>BR20+預測IC!BS20</f>
        <v>2.7818393749535524</v>
      </c>
      <c r="BT20" s="15">
        <f>BS20+預測IC!BT20</f>
        <v>2.6853088737390967</v>
      </c>
      <c r="BU20" s="15">
        <f>BT20+預測IC!BU20</f>
        <v>2.7840638231068033</v>
      </c>
      <c r="BV20" s="15">
        <f>BU20+預測IC!BV20</f>
        <v>2.6503538986297968</v>
      </c>
      <c r="BW20" s="15">
        <f>BV20+預測IC!BW20</f>
        <v>3.0021834486782013</v>
      </c>
      <c r="BX20" s="15">
        <f>BW20+預測IC!BX20</f>
        <v>2.9441954304021705</v>
      </c>
      <c r="BY20" s="15">
        <f>BX20+預測IC!BY20</f>
        <v>2.9010119477149341</v>
      </c>
      <c r="BZ20" s="15">
        <f>BY20+預測IC!BZ20</f>
        <v>2.8107405434546506</v>
      </c>
      <c r="CA20" s="15">
        <f>BZ20+預測IC!CA20</f>
        <v>2.7706378154028979</v>
      </c>
      <c r="CB20" s="15">
        <f>CA20+預測IC!CB20</f>
        <v>2.6441427696328788</v>
      </c>
      <c r="CC20" s="15">
        <f>CB20+預測IC!CC20</f>
        <v>2.6570579171109592</v>
      </c>
      <c r="CD20" s="15">
        <f>CC20+預測IC!CD20</f>
        <v>2.4681984045675636</v>
      </c>
      <c r="CE20" s="15">
        <f>CD20+預測IC!CE20</f>
        <v>2.2242346090978304</v>
      </c>
      <c r="CF20" s="15">
        <f>CE20+預測IC!CF20</f>
        <v>2.1184497198217387</v>
      </c>
      <c r="CG20" s="15">
        <f>CF20+預測IC!CG20</f>
        <v>2.0424794790786307</v>
      </c>
      <c r="CH20" s="15">
        <f>CG20+預測IC!CH20</f>
        <v>2.0646747081027637</v>
      </c>
      <c r="CI20" s="15">
        <f>CH20+預測IC!CI20</f>
        <v>2.1498829105378392</v>
      </c>
      <c r="CJ20" s="15">
        <f>CI20+預測IC!CJ20</f>
        <v>2.27332323042519</v>
      </c>
      <c r="CK20" s="15">
        <f>CJ20+預測IC!CK20</f>
        <v>2.3539128543658117</v>
      </c>
      <c r="CL20" s="15">
        <f>CK20+預測IC!CL20</f>
        <v>2.20459970373556</v>
      </c>
      <c r="CM20" s="15">
        <f>CL20+預測IC!CM20</f>
        <v>2.3936508689061808</v>
      </c>
      <c r="CN20" s="15">
        <f>CM20+預測IC!CN20</f>
        <v>2.3714914575356962</v>
      </c>
      <c r="CO20" s="15">
        <f>CN20+預測IC!CO20</f>
        <v>2.1429732543541551</v>
      </c>
      <c r="CP20" s="15">
        <f>CO20+預測IC!CP20</f>
        <v>1.9509420492451277</v>
      </c>
      <c r="CQ20" s="15">
        <f>CP20+預測IC!CQ20</f>
        <v>1.9740600945454108</v>
      </c>
      <c r="CR20" s="15">
        <f>CQ20+預測IC!CR20</f>
        <v>1.7785739840604686</v>
      </c>
      <c r="CS20" s="15">
        <f>CR20+預測IC!CS20</f>
        <v>1.8008670222198282</v>
      </c>
      <c r="CT20" s="15">
        <f>CS20+預測IC!CT20</f>
        <v>1.7827903114399932</v>
      </c>
      <c r="CU20" s="15">
        <f>CT20+預測IC!CU20</f>
        <v>1.92951832051162</v>
      </c>
      <c r="CV20" s="15">
        <f>CU20+預測IC!CV20</f>
        <v>1.8325143661898999</v>
      </c>
      <c r="CW20" s="15">
        <f>CV20+預測IC!CW20</f>
        <v>1.9004180743647454</v>
      </c>
      <c r="CX20" s="15">
        <f>CW20+預測IC!CX20</f>
        <v>1.7552638863648786</v>
      </c>
      <c r="CY20" s="15">
        <f>CX20+預測IC!CY20</f>
        <v>1.6542972292530551</v>
      </c>
      <c r="CZ20" s="15">
        <f>CY20+預測IC!CZ20</f>
        <v>1.6412345953907246</v>
      </c>
      <c r="DA20" s="15">
        <f>CZ20+預測IC!DA20</f>
        <v>1.5937627022355469</v>
      </c>
      <c r="DB20" s="15">
        <f>DA20+預測IC!DB20</f>
        <v>1.6506654119926811</v>
      </c>
      <c r="DC20" s="15">
        <f>DB20+預測IC!DC20</f>
        <v>1.700278481228237</v>
      </c>
      <c r="DD20" s="15">
        <f>DC20+預測IC!DD20</f>
        <v>1.7038756659851872</v>
      </c>
      <c r="DE20" s="15">
        <f>DD20+預測IC!DE20</f>
        <v>1.71429438759204</v>
      </c>
      <c r="DF20" s="15">
        <f>DE20+預測IC!DF20</f>
        <v>1.7597943460828385</v>
      </c>
      <c r="DG20" s="15">
        <f>DF20+預測IC!DG20</f>
        <v>1.8838676540669597</v>
      </c>
      <c r="DH20" s="15">
        <f>DG20+預測IC!DH20</f>
        <v>1.6055688008980173</v>
      </c>
      <c r="DI20" s="15">
        <f>DH20+預測IC!DI20</f>
        <v>1.6798171364901107</v>
      </c>
      <c r="DJ20" s="15">
        <f>DI20+預測IC!DJ20</f>
        <v>1.5432590440574132</v>
      </c>
      <c r="DK20" s="15">
        <f>DJ20+預測IC!DK20</f>
        <v>1.5224933855694185</v>
      </c>
      <c r="DL20" s="15">
        <f>DK20+預測IC!DL20</f>
        <v>1.5419587589030384</v>
      </c>
      <c r="DM20" s="15">
        <f>DL20+預測IC!DM20</f>
        <v>1.5848235330113842</v>
      </c>
      <c r="DN20" s="15">
        <f>DM20+預測IC!DN20</f>
        <v>1.7680582666325531</v>
      </c>
      <c r="DO20" s="15">
        <f>DN20+預測IC!DO20</f>
        <v>1.817879121309449</v>
      </c>
      <c r="DP20" s="15">
        <f>DO20+預測IC!DP20</f>
        <v>1.8277096527003363</v>
      </c>
      <c r="DQ20" s="15">
        <f>DP20+預測IC!DQ20</f>
        <v>1.7702494710756362</v>
      </c>
      <c r="DR20" s="15">
        <f>DQ20+預測IC!DR20</f>
        <v>1.7146914788489049</v>
      </c>
      <c r="DS20" s="15">
        <f>DR20+預測IC!DS20</f>
        <v>1.6448987209506225</v>
      </c>
      <c r="DT20" s="15">
        <f>DS20+預測IC!DT20</f>
        <v>1.61521338215178</v>
      </c>
      <c r="DU20" s="15">
        <f>DT20+預測IC!DU20</f>
        <v>1.3425690543098345</v>
      </c>
      <c r="DV20" s="15">
        <f>DU20+預測IC!DV20</f>
        <v>1.2405268731273593</v>
      </c>
      <c r="DW20" s="15">
        <f>DV20+預測IC!DW20</f>
        <v>1.309587077085399</v>
      </c>
      <c r="DX20" s="15">
        <f>DW20+預測IC!DX20</f>
        <v>1.4074382952901243</v>
      </c>
      <c r="DY20" s="15">
        <f>DX20+預測IC!DY20</f>
        <v>1.220036465250931</v>
      </c>
      <c r="DZ20" s="15">
        <f>DY20+預測IC!DZ20</f>
        <v>1.2381515917633137</v>
      </c>
      <c r="EA20" s="15">
        <f>DZ20+預測IC!EA20</f>
        <v>1.531841575727485</v>
      </c>
      <c r="EB20" s="15">
        <f>EA20+預測IC!EB20</f>
        <v>1.6142487181719047</v>
      </c>
      <c r="EC20" s="15">
        <f>EB20+預測IC!EC20</f>
        <v>1.4832425724098373</v>
      </c>
      <c r="ED20" s="15">
        <f>EC20+預測IC!ED20</f>
        <v>1.4254150082096386</v>
      </c>
      <c r="EE20" s="15">
        <f>ED20+預測IC!EE20</f>
        <v>1.4053974209126199</v>
      </c>
      <c r="EF20" s="15">
        <f>EE20+預測IC!EF20</f>
        <v>1.3195943600703703</v>
      </c>
    </row>
    <row r="21" spans="1:136" x14ac:dyDescent="0.3">
      <c r="A21" s="1">
        <v>4</v>
      </c>
      <c r="B21" s="1" t="s">
        <v>168</v>
      </c>
      <c r="C21" s="15">
        <v>1.038483447742689E-2</v>
      </c>
      <c r="D21" s="15">
        <f>C21+預測IC!D21</f>
        <v>0.13677275124425048</v>
      </c>
      <c r="E21" s="15">
        <f>D21+預測IC!E21</f>
        <v>9.3055196364529469E-2</v>
      </c>
      <c r="F21" s="15">
        <f>E21+預測IC!F21</f>
        <v>0.27709377797065948</v>
      </c>
      <c r="G21" s="15">
        <f>F21+預測IC!G21</f>
        <v>0.133251626858095</v>
      </c>
      <c r="H21" s="15">
        <f>G21+預測IC!H21</f>
        <v>9.5407549829802596E-2</v>
      </c>
      <c r="I21" s="15">
        <f>H21+預測IC!I21</f>
        <v>-5.1848058297670391E-2</v>
      </c>
      <c r="J21" s="15">
        <f>I21+預測IC!J21</f>
        <v>8.5872673939719271E-3</v>
      </c>
      <c r="K21" s="15">
        <f>J21+預測IC!K21</f>
        <v>0.21546729339736742</v>
      </c>
      <c r="L21" s="15">
        <f>K21+預測IC!L21</f>
        <v>0.158241126532423</v>
      </c>
      <c r="M21" s="15">
        <f>L21+預測IC!M21</f>
        <v>5.8556533124211746E-2</v>
      </c>
      <c r="N21" s="15">
        <f>M21+預測IC!N21</f>
        <v>0.19760720898501155</v>
      </c>
      <c r="O21" s="15">
        <f>N21+預測IC!O21</f>
        <v>0.32738966751536502</v>
      </c>
      <c r="P21" s="15">
        <f>O21+預測IC!P21</f>
        <v>0.36728139037546775</v>
      </c>
      <c r="Q21" s="15">
        <f>P21+預測IC!Q21</f>
        <v>0.62459146446972003</v>
      </c>
      <c r="R21" s="15">
        <f>Q21+預測IC!R21</f>
        <v>0.72016677557635023</v>
      </c>
      <c r="S21" s="15">
        <f>R21+預測IC!S21</f>
        <v>0.92932625105131472</v>
      </c>
      <c r="T21" s="15">
        <f>S21+預測IC!T21</f>
        <v>0.94336661539151967</v>
      </c>
      <c r="U21" s="15">
        <f>T21+預測IC!U21</f>
        <v>1.0296450330032776</v>
      </c>
      <c r="V21" s="15">
        <f>U21+預測IC!V21</f>
        <v>1.1350158033926321</v>
      </c>
      <c r="W21" s="15">
        <f>V21+預測IC!W21</f>
        <v>1.4579363520808191</v>
      </c>
      <c r="X21" s="15">
        <f>W21+預測IC!X21</f>
        <v>1.6657376194341569</v>
      </c>
      <c r="Y21" s="15">
        <f>X21+預測IC!Y21</f>
        <v>1.7584668433803614</v>
      </c>
      <c r="Z21" s="15">
        <f>Y21+預測IC!Z21</f>
        <v>1.8726708306030859</v>
      </c>
      <c r="AA21" s="15">
        <f>Z21+預測IC!AA21</f>
        <v>1.8921618741431798</v>
      </c>
      <c r="AB21" s="15">
        <f>AA21+預測IC!AB21</f>
        <v>1.7623222917461101</v>
      </c>
      <c r="AC21" s="15">
        <f>AB21+預測IC!AC21</f>
        <v>1.7811500284529103</v>
      </c>
      <c r="AD21" s="15">
        <f>AC21+預測IC!AD21</f>
        <v>1.8070833044503452</v>
      </c>
      <c r="AE21" s="15">
        <f>AD21+預測IC!AE21</f>
        <v>1.935188283246591</v>
      </c>
      <c r="AF21" s="15">
        <f>AE21+預測IC!AF21</f>
        <v>1.6400440251632276</v>
      </c>
      <c r="AG21" s="15">
        <f>AF21+預測IC!AG21</f>
        <v>1.6289974530567837</v>
      </c>
      <c r="AH21" s="15">
        <f>AG21+預測IC!AH21</f>
        <v>1.8693487087155505</v>
      </c>
      <c r="AI21" s="15">
        <f>AH21+預測IC!AI21</f>
        <v>1.8016190281203994</v>
      </c>
      <c r="AJ21" s="15">
        <f>AI21+預測IC!AJ21</f>
        <v>1.7226778641087002</v>
      </c>
      <c r="AK21" s="15">
        <f>AJ21+預測IC!AK21</f>
        <v>1.7409962330180129</v>
      </c>
      <c r="AL21" s="15">
        <f>AK21+預測IC!AL21</f>
        <v>1.8063760557511235</v>
      </c>
      <c r="AM21" s="15">
        <f>AL21+預測IC!AM21</f>
        <v>1.874911863198754</v>
      </c>
      <c r="AN21" s="15">
        <f>AM21+預測IC!AN21</f>
        <v>1.9868679192618484</v>
      </c>
      <c r="AO21" s="15">
        <f>AN21+預測IC!AO21</f>
        <v>2.0724356941757356</v>
      </c>
      <c r="AP21" s="15">
        <f>AO21+預測IC!AP21</f>
        <v>2.0534933152595625</v>
      </c>
      <c r="AQ21" s="15">
        <f>AP21+預測IC!AQ21</f>
        <v>1.9766278082490147</v>
      </c>
      <c r="AR21" s="15">
        <f>AQ21+預測IC!AR21</f>
        <v>2.0246159496523251</v>
      </c>
      <c r="AS21" s="15">
        <f>AR21+預測IC!AS21</f>
        <v>2.0890718182989545</v>
      </c>
      <c r="AT21" s="15">
        <f>AS21+預測IC!AT21</f>
        <v>2.3539100758469518</v>
      </c>
      <c r="AU21" s="15">
        <f>AT21+預測IC!AU21</f>
        <v>2.4173654054602318</v>
      </c>
      <c r="AV21" s="15">
        <f>AU21+預測IC!AV21</f>
        <v>2.4682629734316741</v>
      </c>
      <c r="AW21" s="15">
        <f>AV21+預測IC!AW21</f>
        <v>2.4584719434775768</v>
      </c>
      <c r="AX21" s="15">
        <f>AW21+預測IC!AX21</f>
        <v>2.2407536409605395</v>
      </c>
      <c r="AY21" s="15">
        <f>AX21+預測IC!AY21</f>
        <v>2.3064759356930464</v>
      </c>
      <c r="AZ21" s="15">
        <f>AY21+預測IC!AZ21</f>
        <v>2.2134165415644533</v>
      </c>
      <c r="BA21" s="15">
        <f>AZ21+預測IC!BA21</f>
        <v>2.1423843599163677</v>
      </c>
      <c r="BB21" s="15">
        <f>BA21+預測IC!BB21</f>
        <v>2.4368969968936893</v>
      </c>
      <c r="BC21" s="15">
        <f>BB21+預測IC!BC21</f>
        <v>2.475218144618883</v>
      </c>
      <c r="BD21" s="15">
        <f>BC21+預測IC!BD21</f>
        <v>2.4534672812482552</v>
      </c>
      <c r="BE21" s="15">
        <f>BD21+預測IC!BE21</f>
        <v>2.4471167478508535</v>
      </c>
      <c r="BF21" s="15">
        <f>BE21+預測IC!BF21</f>
        <v>2.646233964281457</v>
      </c>
      <c r="BG21" s="15">
        <f>BF21+預測IC!BG21</f>
        <v>2.6828691534982694</v>
      </c>
      <c r="BH21" s="15">
        <f>BG21+預測IC!BH21</f>
        <v>2.6065477903595142</v>
      </c>
      <c r="BI21" s="15">
        <f>BH21+預測IC!BI21</f>
        <v>2.7604224364517709</v>
      </c>
      <c r="BJ21" s="15">
        <f>BI21+預測IC!BJ21</f>
        <v>2.7924049508627631</v>
      </c>
      <c r="BK21" s="15">
        <f>BJ21+預測IC!BK21</f>
        <v>2.7094317889726973</v>
      </c>
      <c r="BL21" s="15">
        <f>BK21+預測IC!BL21</f>
        <v>2.7967725794403955</v>
      </c>
      <c r="BM21" s="15">
        <f>BL21+預測IC!BM21</f>
        <v>2.8375678654691163</v>
      </c>
      <c r="BN21" s="15">
        <f>BM21+預測IC!BN21</f>
        <v>3.0258153680615045</v>
      </c>
      <c r="BO21" s="15">
        <f>BN21+預測IC!BO21</f>
        <v>3.0896726044751848</v>
      </c>
      <c r="BP21" s="15">
        <f>BO21+預測IC!BP21</f>
        <v>3.0854918021435918</v>
      </c>
      <c r="BQ21" s="15">
        <f>BP21+預測IC!BQ21</f>
        <v>3.0126010591092487</v>
      </c>
      <c r="BR21" s="15">
        <f>BQ21+預測IC!BR21</f>
        <v>3.0249249212931133</v>
      </c>
      <c r="BS21" s="15">
        <f>BR21+預測IC!BS21</f>
        <v>3.0906667422534606</v>
      </c>
      <c r="BT21" s="15">
        <f>BS21+預測IC!BT21</f>
        <v>2.9977145389052033</v>
      </c>
      <c r="BU21" s="15">
        <f>BT21+預測IC!BU21</f>
        <v>3.1332110011037724</v>
      </c>
      <c r="BV21" s="15">
        <f>BU21+預測IC!BV21</f>
        <v>3.1139705129515329</v>
      </c>
      <c r="BW21" s="15">
        <f>BV21+預測IC!BW21</f>
        <v>3.298431183671942</v>
      </c>
      <c r="BX21" s="15">
        <f>BW21+預測IC!BX21</f>
        <v>3.2100518488843033</v>
      </c>
      <c r="BY21" s="15">
        <f>BX21+預測IC!BY21</f>
        <v>3.1951354699674663</v>
      </c>
      <c r="BZ21" s="15">
        <f>BY21+預測IC!BZ21</f>
        <v>3.1474725412467506</v>
      </c>
      <c r="CA21" s="15">
        <f>BZ21+預測IC!CA21</f>
        <v>3.0869549379443519</v>
      </c>
      <c r="CB21" s="15">
        <f>CA21+預測IC!CB21</f>
        <v>2.8790850900427643</v>
      </c>
      <c r="CC21" s="15">
        <f>CB21+預測IC!CC21</f>
        <v>2.8710661357717981</v>
      </c>
      <c r="CD21" s="15">
        <f>CC21+預測IC!CD21</f>
        <v>2.7202777455695175</v>
      </c>
      <c r="CE21" s="15">
        <f>CD21+預測IC!CE21</f>
        <v>2.3252018031044721</v>
      </c>
      <c r="CF21" s="15">
        <f>CE21+預測IC!CF21</f>
        <v>2.2106756454933039</v>
      </c>
      <c r="CG21" s="15">
        <f>CF21+預測IC!CG21</f>
        <v>2.1255903100191729</v>
      </c>
      <c r="CH21" s="15">
        <f>CG21+預測IC!CH21</f>
        <v>2.2822167506461413</v>
      </c>
      <c r="CI21" s="15">
        <f>CH21+預測IC!CI21</f>
        <v>2.3553994777211402</v>
      </c>
      <c r="CJ21" s="15">
        <f>CI21+預測IC!CJ21</f>
        <v>2.4410272347376427</v>
      </c>
      <c r="CK21" s="15">
        <f>CJ21+預測IC!CK21</f>
        <v>2.5081868650344985</v>
      </c>
      <c r="CL21" s="15">
        <f>CK21+預測IC!CL21</f>
        <v>2.3207537434937717</v>
      </c>
      <c r="CM21" s="15">
        <f>CL21+預測IC!CM21</f>
        <v>2.546256731897143</v>
      </c>
      <c r="CN21" s="15">
        <f>CM21+預測IC!CN21</f>
        <v>2.5157178416933674</v>
      </c>
      <c r="CO21" s="15">
        <f>CN21+預測IC!CO21</f>
        <v>2.2779258605539749</v>
      </c>
      <c r="CP21" s="15">
        <f>CO21+預測IC!CP21</f>
        <v>2.0552257996760623</v>
      </c>
      <c r="CQ21" s="15">
        <f>CP21+預測IC!CQ21</f>
        <v>2.0781379938455586</v>
      </c>
      <c r="CR21" s="15">
        <f>CQ21+預測IC!CR21</f>
        <v>1.8390780274842908</v>
      </c>
      <c r="CS21" s="15">
        <f>CR21+預測IC!CS21</f>
        <v>1.8699857731667886</v>
      </c>
      <c r="CT21" s="15">
        <f>CS21+預測IC!CT21</f>
        <v>1.7839132162953926</v>
      </c>
      <c r="CU21" s="15">
        <f>CT21+預測IC!CU21</f>
        <v>1.9428298386128426</v>
      </c>
      <c r="CV21" s="15">
        <f>CU21+預測IC!CV21</f>
        <v>1.8112023074508861</v>
      </c>
      <c r="CW21" s="15">
        <f>CV21+預測IC!CW21</f>
        <v>1.8495478243225687</v>
      </c>
      <c r="CX21" s="15">
        <f>CW21+預測IC!CX21</f>
        <v>1.6925789774109572</v>
      </c>
      <c r="CY21" s="15">
        <f>CX21+預測IC!CY21</f>
        <v>1.5401266711656381</v>
      </c>
      <c r="CZ21" s="15">
        <f>CY21+預測IC!CZ21</f>
        <v>1.5262794647539375</v>
      </c>
      <c r="DA21" s="15">
        <f>CZ21+預測IC!DA21</f>
        <v>1.5274717212106692</v>
      </c>
      <c r="DB21" s="15">
        <f>DA21+預測IC!DB21</f>
        <v>1.5790961548868239</v>
      </c>
      <c r="DC21" s="15">
        <f>DB21+預測IC!DC21</f>
        <v>1.6241437141101145</v>
      </c>
      <c r="DD21" s="15">
        <f>DC21+預測IC!DD21</f>
        <v>1.6269625085011852</v>
      </c>
      <c r="DE21" s="15">
        <f>DD21+預測IC!DE21</f>
        <v>1.6559402455615118</v>
      </c>
      <c r="DF21" s="15">
        <f>DE21+預測IC!DF21</f>
        <v>1.804749148051255</v>
      </c>
      <c r="DG21" s="15">
        <f>DF21+預測IC!DG21</f>
        <v>1.9529340791829846</v>
      </c>
      <c r="DH21" s="15">
        <f>DG21+預測IC!DH21</f>
        <v>1.8714978909029572</v>
      </c>
      <c r="DI21" s="15">
        <f>DH21+預測IC!DI21</f>
        <v>1.9616470936207777</v>
      </c>
      <c r="DJ21" s="15">
        <f>DI21+預測IC!DJ21</f>
        <v>1.8050413751571361</v>
      </c>
      <c r="DK21" s="15">
        <f>DJ21+預測IC!DK21</f>
        <v>1.7840753130051177</v>
      </c>
      <c r="DL21" s="15">
        <f>DK21+預測IC!DL21</f>
        <v>1.7968123045061308</v>
      </c>
      <c r="DM21" s="15">
        <f>DL21+預測IC!DM21</f>
        <v>1.7925577404852453</v>
      </c>
      <c r="DN21" s="15">
        <f>DM21+預測IC!DN21</f>
        <v>2.0128533813497729</v>
      </c>
      <c r="DO21" s="15">
        <f>DN21+預測IC!DO21</f>
        <v>1.9942945722919854</v>
      </c>
      <c r="DP21" s="15">
        <f>DO21+預測IC!DP21</f>
        <v>2.0185607273855513</v>
      </c>
      <c r="DQ21" s="15">
        <f>DP21+預測IC!DQ21</f>
        <v>1.948138028577368</v>
      </c>
      <c r="DR21" s="15">
        <f>DQ21+預測IC!DR21</f>
        <v>1.8945810387706736</v>
      </c>
      <c r="DS21" s="15">
        <f>DR21+預測IC!DS21</f>
        <v>1.8099756051651377</v>
      </c>
      <c r="DT21" s="15">
        <f>DS21+預測IC!DT21</f>
        <v>1.8047604148184584</v>
      </c>
      <c r="DU21" s="15">
        <f>DT21+預測IC!DU21</f>
        <v>1.4649537759608906</v>
      </c>
      <c r="DV21" s="15">
        <f>DU21+預測IC!DV21</f>
        <v>1.310055524830986</v>
      </c>
      <c r="DW21" s="15">
        <f>DV21+預測IC!DW21</f>
        <v>1.4383033934951071</v>
      </c>
      <c r="DX21" s="15">
        <f>DW21+預測IC!DX21</f>
        <v>1.5551322833698895</v>
      </c>
      <c r="DY21" s="15">
        <f>DX21+預測IC!DY21</f>
        <v>1.3294704021819004</v>
      </c>
      <c r="DZ21" s="15">
        <f>DY21+預測IC!DZ21</f>
        <v>1.5093614239068007</v>
      </c>
      <c r="EA21" s="15">
        <f>DZ21+預測IC!EA21</f>
        <v>1.7754182561861467</v>
      </c>
      <c r="EB21" s="15">
        <f>EA21+預測IC!EB21</f>
        <v>1.8017204501846806</v>
      </c>
      <c r="EC21" s="15">
        <f>EB21+預測IC!EC21</f>
        <v>1.6616264322324548</v>
      </c>
      <c r="ED21" s="15">
        <f>EC21+預測IC!ED21</f>
        <v>1.7907816355696411</v>
      </c>
      <c r="EE21" s="15">
        <f>ED21+預測IC!EE21</f>
        <v>1.8017375809765155</v>
      </c>
      <c r="EF21" s="15">
        <f>EE21+預測IC!EF21</f>
        <v>1.7729403545568445</v>
      </c>
    </row>
    <row r="22" spans="1:136" x14ac:dyDescent="0.3">
      <c r="A22" s="1">
        <v>3</v>
      </c>
      <c r="B22" s="1" t="s">
        <v>169</v>
      </c>
      <c r="C22" s="15">
        <v>2.5922326608526759E-2</v>
      </c>
      <c r="D22" s="15">
        <f>C22+預測IC!D22</f>
        <v>0.16835017868592525</v>
      </c>
      <c r="E22" s="15">
        <f>D22+預測IC!E22</f>
        <v>0.14611976642668711</v>
      </c>
      <c r="F22" s="15">
        <f>E22+預測IC!F22</f>
        <v>0.21395082734796467</v>
      </c>
      <c r="G22" s="15">
        <f>F22+預測IC!G22</f>
        <v>0.11006646405763057</v>
      </c>
      <c r="H22" s="15">
        <f>G22+預測IC!H22</f>
        <v>-0.11973908043377002</v>
      </c>
      <c r="I22" s="15">
        <f>H22+預測IC!I22</f>
        <v>-0.24323224977183983</v>
      </c>
      <c r="J22" s="15">
        <f>I22+預測IC!J22</f>
        <v>-0.19063366050649691</v>
      </c>
      <c r="K22" s="15">
        <f>J22+預測IC!K22</f>
        <v>5.4732252176258794E-2</v>
      </c>
      <c r="L22" s="15">
        <f>K22+預測IC!L22</f>
        <v>-5.275491647498301E-2</v>
      </c>
      <c r="M22" s="15">
        <f>L22+預測IC!M22</f>
        <v>-0.12685497524555556</v>
      </c>
      <c r="N22" s="15">
        <f>M22+預測IC!N22</f>
        <v>-2.8824114437922793E-2</v>
      </c>
      <c r="O22" s="15">
        <f>N22+預測IC!O22</f>
        <v>0.1146562315663496</v>
      </c>
      <c r="P22" s="15">
        <f>O22+預測IC!P22</f>
        <v>0.15751472008533951</v>
      </c>
      <c r="Q22" s="15">
        <f>P22+預測IC!Q22</f>
        <v>0.43429161391839133</v>
      </c>
      <c r="R22" s="15">
        <f>Q22+預測IC!R22</f>
        <v>0.4709200481899794</v>
      </c>
      <c r="S22" s="15">
        <f>R22+預測IC!S22</f>
        <v>0.71797667771970897</v>
      </c>
      <c r="T22" s="15">
        <f>S22+預測IC!T22</f>
        <v>0.73821529019654297</v>
      </c>
      <c r="U22" s="15">
        <f>T22+預測IC!U22</f>
        <v>0.84880531359904721</v>
      </c>
      <c r="V22" s="15">
        <f>U22+預測IC!V22</f>
        <v>0.90582944823333689</v>
      </c>
      <c r="W22" s="15">
        <f>V22+預測IC!W22</f>
        <v>1.2520229335325854</v>
      </c>
      <c r="X22" s="15">
        <f>W22+預測IC!X22</f>
        <v>1.5092252847460825</v>
      </c>
      <c r="Y22" s="15">
        <f>X22+預測IC!Y22</f>
        <v>1.5571636169258509</v>
      </c>
      <c r="Z22" s="15">
        <f>Y22+預測IC!Z22</f>
        <v>1.6327118860716969</v>
      </c>
      <c r="AA22" s="15">
        <f>Z22+預測IC!AA22</f>
        <v>1.6397599029585537</v>
      </c>
      <c r="AB22" s="15">
        <f>AA22+預測IC!AB22</f>
        <v>1.5053236902452283</v>
      </c>
      <c r="AC22" s="15">
        <f>AB22+預測IC!AC22</f>
        <v>1.5911001509606608</v>
      </c>
      <c r="AD22" s="15">
        <f>AC22+預測IC!AD22</f>
        <v>1.6096939001753221</v>
      </c>
      <c r="AE22" s="15">
        <f>AD22+預測IC!AE22</f>
        <v>1.7405177429916563</v>
      </c>
      <c r="AF22" s="15">
        <f>AE22+預測IC!AF22</f>
        <v>1.3106009749430443</v>
      </c>
      <c r="AG22" s="15">
        <f>AF22+預測IC!AG22</f>
        <v>1.2997888743762021</v>
      </c>
      <c r="AH22" s="15">
        <f>AG22+預測IC!AH22</f>
        <v>1.5474111205396033</v>
      </c>
      <c r="AI22" s="15">
        <f>AH22+預測IC!AI22</f>
        <v>1.4800182195284173</v>
      </c>
      <c r="AJ22" s="15">
        <f>AI22+預測IC!AJ22</f>
        <v>1.4341520900302627</v>
      </c>
      <c r="AK22" s="15">
        <f>AJ22+預測IC!AK22</f>
        <v>1.5127278587351769</v>
      </c>
      <c r="AL22" s="15">
        <f>AK22+預測IC!AL22</f>
        <v>1.5530688255420773</v>
      </c>
      <c r="AM22" s="15">
        <f>AL22+預測IC!AM22</f>
        <v>1.6371577290097807</v>
      </c>
      <c r="AN22" s="15">
        <f>AM22+預測IC!AN22</f>
        <v>1.7482905386733401</v>
      </c>
      <c r="AO22" s="15">
        <f>AN22+預測IC!AO22</f>
        <v>1.906443413967067</v>
      </c>
      <c r="AP22" s="15">
        <f>AO22+預測IC!AP22</f>
        <v>1.8859506854490884</v>
      </c>
      <c r="AQ22" s="15">
        <f>AP22+預測IC!AQ22</f>
        <v>1.8065245679704953</v>
      </c>
      <c r="AR22" s="15">
        <f>AQ22+預測IC!AR22</f>
        <v>1.8744490556740987</v>
      </c>
      <c r="AS22" s="15">
        <f>AR22+預測IC!AS22</f>
        <v>1.9572594945726487</v>
      </c>
      <c r="AT22" s="15">
        <f>AS22+預測IC!AT22</f>
        <v>1.9749878655670854</v>
      </c>
      <c r="AU22" s="15">
        <f>AT22+預測IC!AU22</f>
        <v>2.0849024628852697</v>
      </c>
      <c r="AV22" s="15">
        <f>AU22+預測IC!AV22</f>
        <v>2.1445486030589351</v>
      </c>
      <c r="AW22" s="15">
        <f>AV22+預測IC!AW22</f>
        <v>2.1746979922659442</v>
      </c>
      <c r="AX22" s="15">
        <f>AW22+預測IC!AX22</f>
        <v>2.1845731782716382</v>
      </c>
      <c r="AY22" s="15">
        <f>AX22+預測IC!AY22</f>
        <v>2.2830294544010017</v>
      </c>
      <c r="AZ22" s="15">
        <f>AY22+預測IC!AZ22</f>
        <v>2.0555439581675481</v>
      </c>
      <c r="BA22" s="15">
        <f>AZ22+預測IC!BA22</f>
        <v>2.0099455330000859</v>
      </c>
      <c r="BB22" s="15">
        <f>BA22+預測IC!BB22</f>
        <v>2.3794961162965738</v>
      </c>
      <c r="BC22" s="15">
        <f>BB22+預測IC!BC22</f>
        <v>2.2486591781736185</v>
      </c>
      <c r="BD22" s="15">
        <f>BC22+預測IC!BD22</f>
        <v>2.2264849967077902</v>
      </c>
      <c r="BE22" s="15">
        <f>BD22+預測IC!BE22</f>
        <v>2.2042688133133099</v>
      </c>
      <c r="BF22" s="15">
        <f>BE22+預測IC!BF22</f>
        <v>2.4033712618617482</v>
      </c>
      <c r="BG22" s="15">
        <f>BF22+預測IC!BG22</f>
        <v>2.4496507740301343</v>
      </c>
      <c r="BH22" s="15">
        <f>BG22+預測IC!BH22</f>
        <v>2.3216902316920023</v>
      </c>
      <c r="BI22" s="15">
        <f>BH22+預測IC!BI22</f>
        <v>2.4090082908691781</v>
      </c>
      <c r="BJ22" s="15">
        <f>BI22+預測IC!BJ22</f>
        <v>2.3987743154200745</v>
      </c>
      <c r="BK22" s="15">
        <f>BJ22+預測IC!BK22</f>
        <v>2.3779195600903078</v>
      </c>
      <c r="BL22" s="15">
        <f>BK22+預測IC!BL22</f>
        <v>2.5173909504911713</v>
      </c>
      <c r="BM22" s="15">
        <f>BL22+預測IC!BM22</f>
        <v>2.5198214337367046</v>
      </c>
      <c r="BN22" s="15">
        <f>BM22+預測IC!BN22</f>
        <v>2.4913026272727294</v>
      </c>
      <c r="BO22" s="15">
        <f>BN22+預測IC!BO22</f>
        <v>2.5417870563854796</v>
      </c>
      <c r="BP22" s="15">
        <f>BO22+預測IC!BP22</f>
        <v>2.541246056260948</v>
      </c>
      <c r="BQ22" s="15">
        <f>BP22+預測IC!BQ22</f>
        <v>2.4500178650665387</v>
      </c>
      <c r="BR22" s="15">
        <f>BQ22+預測IC!BR22</f>
        <v>2.4708314745329916</v>
      </c>
      <c r="BS22" s="15">
        <f>BR22+預測IC!BS22</f>
        <v>2.5678790642375366</v>
      </c>
      <c r="BT22" s="15">
        <f>BS22+預測IC!BT22</f>
        <v>2.6350222796552618</v>
      </c>
      <c r="BU22" s="15">
        <f>BT22+預測IC!BU22</f>
        <v>2.8479710457932721</v>
      </c>
      <c r="BV22" s="15">
        <f>BU22+預測IC!BV22</f>
        <v>2.8472892856257146</v>
      </c>
      <c r="BW22" s="15">
        <f>BV22+預測IC!BW22</f>
        <v>2.979461077161496</v>
      </c>
      <c r="BX22" s="15">
        <f>BW22+預測IC!BX22</f>
        <v>2.8265237069115039</v>
      </c>
      <c r="BY22" s="15">
        <f>BX22+預測IC!BY22</f>
        <v>2.8588765824320035</v>
      </c>
      <c r="BZ22" s="15">
        <f>BY22+預測IC!BZ22</f>
        <v>2.8116188465691114</v>
      </c>
      <c r="CA22" s="15">
        <f>BZ22+預測IC!CA22</f>
        <v>2.7841287680887881</v>
      </c>
      <c r="CB22" s="15">
        <f>CA22+預測IC!CB22</f>
        <v>2.529389512373927</v>
      </c>
      <c r="CC22" s="15">
        <f>CB22+預測IC!CC22</f>
        <v>2.4042855170538942</v>
      </c>
      <c r="CD22" s="15">
        <f>CC22+預測IC!CD22</f>
        <v>2.0885138568510451</v>
      </c>
      <c r="CE22" s="15">
        <f>CD22+預測IC!CE22</f>
        <v>1.6951265177467669</v>
      </c>
      <c r="CF22" s="15">
        <f>CE22+預測IC!CF22</f>
        <v>1.5943561607127021</v>
      </c>
      <c r="CG22" s="15">
        <f>CF22+預測IC!CG22</f>
        <v>1.3872708280791892</v>
      </c>
      <c r="CH22" s="15">
        <f>CG22+預測IC!CH22</f>
        <v>1.5408771128887326</v>
      </c>
      <c r="CI22" s="15">
        <f>CH22+預測IC!CI22</f>
        <v>1.6054944356991068</v>
      </c>
      <c r="CJ22" s="15">
        <f>CI22+預測IC!CJ22</f>
        <v>1.7088739407886695</v>
      </c>
      <c r="CK22" s="15">
        <f>CJ22+預測IC!CK22</f>
        <v>1.8197974810754518</v>
      </c>
      <c r="CL22" s="15">
        <f>CK22+預測IC!CL22</f>
        <v>1.7248004690519063</v>
      </c>
      <c r="CM22" s="15">
        <f>CL22+預測IC!CM22</f>
        <v>2.0452324727097317</v>
      </c>
      <c r="CN22" s="15">
        <f>CM22+預測IC!CN22</f>
        <v>2.0537792445306393</v>
      </c>
      <c r="CO22" s="15">
        <f>CN22+預測IC!CO22</f>
        <v>1.8684934866254126</v>
      </c>
      <c r="CP22" s="15">
        <f>CO22+預測IC!CP22</f>
        <v>1.6090849296560101</v>
      </c>
      <c r="CQ22" s="15">
        <f>CP22+預測IC!CQ22</f>
        <v>1.6262445451751339</v>
      </c>
      <c r="CR22" s="15">
        <f>CQ22+預測IC!CR22</f>
        <v>1.3794717751832473</v>
      </c>
      <c r="CS22" s="15">
        <f>CR22+預測IC!CS22</f>
        <v>1.4039113620152799</v>
      </c>
      <c r="CT22" s="15">
        <f>CS22+預測IC!CT22</f>
        <v>1.2778199838265083</v>
      </c>
      <c r="CU22" s="15">
        <f>CT22+預測IC!CU22</f>
        <v>1.4451738950128765</v>
      </c>
      <c r="CV22" s="15">
        <f>CU22+預測IC!CV22</f>
        <v>1.2621273482681783</v>
      </c>
      <c r="CW22" s="15">
        <f>CV22+預測IC!CW22</f>
        <v>1.285011390600163</v>
      </c>
      <c r="CX22" s="15">
        <f>CW22+預測IC!CX22</f>
        <v>1.2307180951263592</v>
      </c>
      <c r="CY22" s="15">
        <f>CX22+預測IC!CY22</f>
        <v>1.0682782264129125</v>
      </c>
      <c r="CZ22" s="15">
        <f>CY22+預測IC!CZ22</f>
        <v>1.0606909799717734</v>
      </c>
      <c r="DA22" s="15">
        <f>CZ22+預測IC!DA22</f>
        <v>1.0566992260898493</v>
      </c>
      <c r="DB22" s="15">
        <f>DA22+預測IC!DB22</f>
        <v>1.1150827329183415</v>
      </c>
      <c r="DC22" s="15">
        <f>DB22+預測IC!DC22</f>
        <v>1.1358075173624991</v>
      </c>
      <c r="DD22" s="15">
        <f>DC22+預測IC!DD22</f>
        <v>1.1675176864883245</v>
      </c>
      <c r="DE22" s="15">
        <f>DD22+預測IC!DE22</f>
        <v>1.1497611829863916</v>
      </c>
      <c r="DF22" s="15">
        <f>DE22+預測IC!DF22</f>
        <v>1.2468328886226185</v>
      </c>
      <c r="DG22" s="15">
        <f>DF22+預測IC!DG22</f>
        <v>1.3349542991256822</v>
      </c>
      <c r="DH22" s="15">
        <f>DG22+預測IC!DH22</f>
        <v>1.2534999175097736</v>
      </c>
      <c r="DI22" s="15">
        <f>DH22+預測IC!DI22</f>
        <v>1.3346054613500438</v>
      </c>
      <c r="DJ22" s="15">
        <f>DI22+預測IC!DJ22</f>
        <v>1.1809056985197142</v>
      </c>
      <c r="DK22" s="15">
        <f>DJ22+預測IC!DK22</f>
        <v>1.1575595218867527</v>
      </c>
      <c r="DL22" s="15">
        <f>DK22+預測IC!DL22</f>
        <v>1.1607728526298915</v>
      </c>
      <c r="DM22" s="15">
        <f>DL22+預測IC!DM22</f>
        <v>1.1180963035138507</v>
      </c>
      <c r="DN22" s="15">
        <f>DM22+預測IC!DN22</f>
        <v>1.4234713317860539</v>
      </c>
      <c r="DO22" s="15">
        <f>DN22+預測IC!DO22</f>
        <v>1.4472400000735028</v>
      </c>
      <c r="DP22" s="15">
        <f>DO22+預測IC!DP22</f>
        <v>1.4574672579264067</v>
      </c>
      <c r="DQ22" s="15">
        <f>DP22+預測IC!DQ22</f>
        <v>1.2920630913817668</v>
      </c>
      <c r="DR22" s="15">
        <f>DQ22+預測IC!DR22</f>
        <v>1.2208267917086311</v>
      </c>
      <c r="DS22" s="15">
        <f>DR22+預測IC!DS22</f>
        <v>1.091302952339426</v>
      </c>
      <c r="DT22" s="15">
        <f>DS22+預測IC!DT22</f>
        <v>1.1184317063175961</v>
      </c>
      <c r="DU22" s="15">
        <f>DT22+預測IC!DU22</f>
        <v>0.74316283397562399</v>
      </c>
      <c r="DV22" s="15">
        <f>DU22+預測IC!DV22</f>
        <v>0.58610046442587316</v>
      </c>
      <c r="DW22" s="15">
        <f>DV22+預測IC!DW22</f>
        <v>0.66449018813287031</v>
      </c>
      <c r="DX22" s="15">
        <f>DW22+預測IC!DX22</f>
        <v>0.82884231217440951</v>
      </c>
      <c r="DY22" s="15">
        <f>DX22+預測IC!DY22</f>
        <v>0.51108793980992706</v>
      </c>
      <c r="DZ22" s="15">
        <f>DY22+預測IC!DZ22</f>
        <v>0.67671418603568267</v>
      </c>
      <c r="EA22" s="15">
        <f>DZ22+預測IC!EA22</f>
        <v>0.81707034803637624</v>
      </c>
      <c r="EB22" s="15">
        <f>EA22+預測IC!EB22</f>
        <v>0.94683629834244531</v>
      </c>
      <c r="EC22" s="15">
        <f>EB22+預測IC!EC22</f>
        <v>0.97526511012049621</v>
      </c>
      <c r="ED22" s="15">
        <f>EC22+預測IC!ED22</f>
        <v>1.158947096624652</v>
      </c>
      <c r="EE22" s="15">
        <f>ED22+預測IC!EE22</f>
        <v>1.1948464538207209</v>
      </c>
      <c r="EF22" s="15">
        <f>EE22+預測IC!EF22</f>
        <v>1.1582509846889426</v>
      </c>
    </row>
    <row r="23" spans="1:136" x14ac:dyDescent="0.3">
      <c r="A23" s="1">
        <v>2</v>
      </c>
      <c r="B23" s="1" t="s">
        <v>170</v>
      </c>
      <c r="C23" s="15">
        <v>3.1325684581971477E-2</v>
      </c>
      <c r="D23" s="15">
        <f>C23+預測IC!D23</f>
        <v>0.28541831203343276</v>
      </c>
      <c r="E23" s="15">
        <f>D23+預測IC!E23</f>
        <v>0.27035672434646735</v>
      </c>
      <c r="F23" s="15">
        <f>E23+預測IC!F23</f>
        <v>0.45275279966734605</v>
      </c>
      <c r="G23" s="15">
        <f>F23+預測IC!G23</f>
        <v>0.47972436819171405</v>
      </c>
      <c r="H23" s="15">
        <f>G23+預測IC!H23</f>
        <v>0.21691412699026125</v>
      </c>
      <c r="I23" s="15">
        <f>H23+預測IC!I23</f>
        <v>6.8762098389967247E-2</v>
      </c>
      <c r="J23" s="15">
        <f>I23+預測IC!J23</f>
        <v>-2.940019275648513E-2</v>
      </c>
      <c r="K23" s="15">
        <f>J23+預測IC!K23</f>
        <v>0.11320738236816978</v>
      </c>
      <c r="L23" s="15">
        <f>K23+預測IC!L23</f>
        <v>-0.11923697867429241</v>
      </c>
      <c r="M23" s="15">
        <f>L23+預測IC!M23</f>
        <v>-0.37768689503293479</v>
      </c>
      <c r="N23" s="15">
        <f>M23+預測IC!N23</f>
        <v>-0.25088688134060633</v>
      </c>
      <c r="O23" s="15">
        <f>N23+預測IC!O23</f>
        <v>-4.632250336760424E-2</v>
      </c>
      <c r="P23" s="15">
        <f>O23+預測IC!P23</f>
        <v>-3.5638998607857492E-2</v>
      </c>
      <c r="Q23" s="15">
        <f>P23+預測IC!Q23</f>
        <v>-9.5207015508377985E-2</v>
      </c>
      <c r="R23" s="15">
        <f>Q23+預測IC!R23</f>
        <v>-3.8995872195122933E-2</v>
      </c>
      <c r="S23" s="15">
        <f>R23+預測IC!S23</f>
        <v>0.13029912771812108</v>
      </c>
      <c r="T23" s="15">
        <f>S23+預測IC!T23</f>
        <v>0.13067249692659982</v>
      </c>
      <c r="U23" s="15">
        <f>T23+預測IC!U23</f>
        <v>0.2244299193673942</v>
      </c>
      <c r="V23" s="15">
        <f>U23+預測IC!V23</f>
        <v>0.16107290838832816</v>
      </c>
      <c r="W23" s="15">
        <f>V23+預測IC!W23</f>
        <v>0.66499223957363895</v>
      </c>
      <c r="X23" s="15">
        <f>W23+預測IC!X23</f>
        <v>0.85954870103128322</v>
      </c>
      <c r="Y23" s="15">
        <f>X23+預測IC!Y23</f>
        <v>0.86713746445996143</v>
      </c>
      <c r="Z23" s="15">
        <f>Y23+預測IC!Z23</f>
        <v>0.90016997990383674</v>
      </c>
      <c r="AA23" s="15">
        <f>Z23+預測IC!AA23</f>
        <v>0.906776271873307</v>
      </c>
      <c r="AB23" s="15">
        <f>AA23+預測IC!AB23</f>
        <v>0.84273649199652345</v>
      </c>
      <c r="AC23" s="15">
        <f>AB23+預測IC!AC23</f>
        <v>1.0114912916334362</v>
      </c>
      <c r="AD23" s="15">
        <f>AC23+預測IC!AD23</f>
        <v>1.0144865832039205</v>
      </c>
      <c r="AE23" s="15">
        <f>AD23+預測IC!AE23</f>
        <v>1.1516985719615804</v>
      </c>
      <c r="AF23" s="15">
        <f>AE23+預測IC!AF23</f>
        <v>0.82703924632136916</v>
      </c>
      <c r="AG23" s="15">
        <f>AF23+預測IC!AG23</f>
        <v>0.97293313926104119</v>
      </c>
      <c r="AH23" s="15">
        <f>AG23+預測IC!AH23</f>
        <v>0.83728421891037397</v>
      </c>
      <c r="AI23" s="15">
        <f>AH23+預測IC!AI23</f>
        <v>0.76183404917091169</v>
      </c>
      <c r="AJ23" s="15">
        <f>AI23+預測IC!AJ23</f>
        <v>0.7787965045560612</v>
      </c>
      <c r="AK23" s="15">
        <f>AJ23+預測IC!AK23</f>
        <v>0.86999572883132092</v>
      </c>
      <c r="AL23" s="15">
        <f>AK23+預測IC!AL23</f>
        <v>1.0014274420238565</v>
      </c>
      <c r="AM23" s="15">
        <f>AL23+預測IC!AM23</f>
        <v>1.0091969310287217</v>
      </c>
      <c r="AN23" s="15">
        <f>AM23+預測IC!AN23</f>
        <v>1.2515116303860223</v>
      </c>
      <c r="AO23" s="15">
        <f>AN23+預測IC!AO23</f>
        <v>1.3422941099156398</v>
      </c>
      <c r="AP23" s="15">
        <f>AO23+預測IC!AP23</f>
        <v>1.507560482249132</v>
      </c>
      <c r="AQ23" s="15">
        <f>AP23+預測IC!AQ23</f>
        <v>1.4181354899895213</v>
      </c>
      <c r="AR23" s="15">
        <f>AQ23+預測IC!AR23</f>
        <v>1.5642716543288884</v>
      </c>
      <c r="AS23" s="15">
        <f>AR23+預測IC!AS23</f>
        <v>1.5495647663315109</v>
      </c>
      <c r="AT23" s="15">
        <f>AS23+預測IC!AT23</f>
        <v>1.659070669296411</v>
      </c>
      <c r="AU23" s="15">
        <f>AT23+預測IC!AU23</f>
        <v>1.8626665604779968</v>
      </c>
      <c r="AV23" s="15">
        <f>AU23+預測IC!AV23</f>
        <v>1.7659093100778633</v>
      </c>
      <c r="AW23" s="15">
        <f>AV23+預測IC!AW23</f>
        <v>1.8179362199162661</v>
      </c>
      <c r="AX23" s="15">
        <f>AW23+預測IC!AX23</f>
        <v>1.8327489989248069</v>
      </c>
      <c r="AY23" s="15">
        <f>AX23+預測IC!AY23</f>
        <v>1.8908885990315969</v>
      </c>
      <c r="AZ23" s="15">
        <f>AY23+預測IC!AZ23</f>
        <v>1.5749040777757957</v>
      </c>
      <c r="BA23" s="15">
        <f>AZ23+預測IC!BA23</f>
        <v>1.5845508578558964</v>
      </c>
      <c r="BB23" s="15">
        <f>BA23+預測IC!BB23</f>
        <v>2.1513773839033368</v>
      </c>
      <c r="BC23" s="15">
        <f>BB23+預測IC!BC23</f>
        <v>1.8505491347302709</v>
      </c>
      <c r="BD23" s="15">
        <f>BC23+預測IC!BD23</f>
        <v>1.9453800160767212</v>
      </c>
      <c r="BE23" s="15">
        <f>BD23+預測IC!BE23</f>
        <v>2.0168107784740177</v>
      </c>
      <c r="BF23" s="15">
        <f>BE23+預測IC!BF23</f>
        <v>2.2268198913344688</v>
      </c>
      <c r="BG23" s="15">
        <f>BF23+預測IC!BG23</f>
        <v>2.3015813625312211</v>
      </c>
      <c r="BH23" s="15">
        <f>BG23+預測IC!BH23</f>
        <v>2.098097381175934</v>
      </c>
      <c r="BI23" s="15">
        <f>BH23+預測IC!BI23</f>
        <v>2.2363169364023809</v>
      </c>
      <c r="BJ23" s="15">
        <f>BI23+預測IC!BJ23</f>
        <v>2.2943371499470233</v>
      </c>
      <c r="BK23" s="15">
        <f>BJ23+預測IC!BK23</f>
        <v>2.2893272864724881</v>
      </c>
      <c r="BL23" s="15">
        <f>BK23+預測IC!BL23</f>
        <v>2.4036935766141569</v>
      </c>
      <c r="BM23" s="15">
        <f>BL23+預測IC!BM23</f>
        <v>2.3341981145897064</v>
      </c>
      <c r="BN23" s="15">
        <f>BM23+預測IC!BN23</f>
        <v>2.3075946445677289</v>
      </c>
      <c r="BO23" s="15">
        <f>BN23+預測IC!BO23</f>
        <v>2.2710697028217299</v>
      </c>
      <c r="BP23" s="15">
        <f>BO23+預測IC!BP23</f>
        <v>2.2485939814290479</v>
      </c>
      <c r="BQ23" s="15">
        <f>BP23+預測IC!BQ23</f>
        <v>2.1892375565686302</v>
      </c>
      <c r="BR23" s="15">
        <f>BQ23+預測IC!BR23</f>
        <v>2.2070818780325929</v>
      </c>
      <c r="BS23" s="15">
        <f>BR23+預測IC!BS23</f>
        <v>2.4276489724349837</v>
      </c>
      <c r="BT23" s="15">
        <f>BS23+預測IC!BT23</f>
        <v>2.4978382365996206</v>
      </c>
      <c r="BU23" s="15">
        <f>BT23+預測IC!BU23</f>
        <v>2.7035259724455667</v>
      </c>
      <c r="BV23" s="15">
        <f>BU23+預測IC!BV23</f>
        <v>2.7205449233214947</v>
      </c>
      <c r="BW23" s="15">
        <f>BV23+預測IC!BW23</f>
        <v>2.7359074383645852</v>
      </c>
      <c r="BX23" s="15">
        <f>BW23+預測IC!BX23</f>
        <v>2.6116879148199499</v>
      </c>
      <c r="BY23" s="15">
        <f>BX23+預測IC!BY23</f>
        <v>2.6516273636960803</v>
      </c>
      <c r="BZ23" s="15">
        <f>BY23+預測IC!BZ23</f>
        <v>2.6439576012642356</v>
      </c>
      <c r="CA23" s="15">
        <f>BZ23+預測IC!CA23</f>
        <v>2.5683044015176066</v>
      </c>
      <c r="CB23" s="15">
        <f>CA23+預測IC!CB23</f>
        <v>2.2521376397588568</v>
      </c>
      <c r="CC23" s="15">
        <f>CB23+預測IC!CC23</f>
        <v>2.1675930250430815</v>
      </c>
      <c r="CD23" s="15">
        <f>CC23+預測IC!CD23</f>
        <v>1.5268464475265289</v>
      </c>
      <c r="CE23" s="15">
        <f>CD23+預測IC!CE23</f>
        <v>1.4102218407300675</v>
      </c>
      <c r="CF23" s="15">
        <f>CE23+預測IC!CF23</f>
        <v>1.3940610052999858</v>
      </c>
      <c r="CG23" s="15">
        <f>CF23+預測IC!CG23</f>
        <v>1.1774237636727829</v>
      </c>
      <c r="CH23" s="15">
        <f>CG23+預測IC!CH23</f>
        <v>1.3395463379898536</v>
      </c>
      <c r="CI23" s="15">
        <f>CH23+預測IC!CI23</f>
        <v>1.4747685346413328</v>
      </c>
      <c r="CJ23" s="15">
        <f>CI23+預測IC!CJ23</f>
        <v>1.4946439021917435</v>
      </c>
      <c r="CK23" s="15">
        <f>CJ23+預測IC!CK23</f>
        <v>1.5665002927282881</v>
      </c>
      <c r="CL23" s="15">
        <f>CK23+預測IC!CL23</f>
        <v>1.4024508335493739</v>
      </c>
      <c r="CM23" s="15">
        <f>CL23+預測IC!CM23</f>
        <v>1.7891837800722834</v>
      </c>
      <c r="CN23" s="15">
        <f>CM23+預測IC!CN23</f>
        <v>1.8421889584420867</v>
      </c>
      <c r="CO23" s="15">
        <f>CN23+預測IC!CO23</f>
        <v>1.5737379815389376</v>
      </c>
      <c r="CP23" s="15">
        <f>CO23+預測IC!CP23</f>
        <v>1.2623772383761809</v>
      </c>
      <c r="CQ23" s="15">
        <f>CP23+預測IC!CQ23</f>
        <v>1.2376749682968</v>
      </c>
      <c r="CR23" s="15">
        <f>CQ23+預測IC!CR23</f>
        <v>1.0866767978228524</v>
      </c>
      <c r="CS23" s="15">
        <f>CR23+預測IC!CS23</f>
        <v>1.1556921686797577</v>
      </c>
      <c r="CT23" s="15">
        <f>CS23+預測IC!CT23</f>
        <v>1.1228419446736129</v>
      </c>
      <c r="CU23" s="15">
        <f>CT23+預測IC!CU23</f>
        <v>1.3249458296607697</v>
      </c>
      <c r="CV23" s="15">
        <f>CU23+預測IC!CV23</f>
        <v>1.1230943667738913</v>
      </c>
      <c r="CW23" s="15">
        <f>CV23+預測IC!CW23</f>
        <v>1.09890807898489</v>
      </c>
      <c r="CX23" s="15">
        <f>CW23+預測IC!CX23</f>
        <v>1.0370480858376092</v>
      </c>
      <c r="CY23" s="15">
        <f>CX23+預測IC!CY23</f>
        <v>0.75533725836358934</v>
      </c>
      <c r="CZ23" s="15">
        <f>CY23+預測IC!CZ23</f>
        <v>0.8166183588782302</v>
      </c>
      <c r="DA23" s="15">
        <f>CZ23+預測IC!DA23</f>
        <v>0.7856362226523198</v>
      </c>
      <c r="DB23" s="15">
        <f>DA23+預測IC!DB23</f>
        <v>0.80159137951931625</v>
      </c>
      <c r="DC23" s="15">
        <f>DB23+預測IC!DC23</f>
        <v>0.68240089344890209</v>
      </c>
      <c r="DD23" s="15">
        <f>DC23+預測IC!DD23</f>
        <v>0.77519956812605517</v>
      </c>
      <c r="DE23" s="15">
        <f>DD23+預測IC!DE23</f>
        <v>0.71511362061588357</v>
      </c>
      <c r="DF23" s="15">
        <f>DE23+預測IC!DF23</f>
        <v>0.90648749442833487</v>
      </c>
      <c r="DG23" s="15">
        <f>DF23+預測IC!DG23</f>
        <v>1.0594641487233876</v>
      </c>
      <c r="DH23" s="15">
        <f>DG23+預測IC!DH23</f>
        <v>0.92023725521127919</v>
      </c>
      <c r="DI23" s="15">
        <f>DH23+預測IC!DI23</f>
        <v>1.1051499687593844</v>
      </c>
      <c r="DJ23" s="15">
        <f>DI23+預測IC!DJ23</f>
        <v>0.98511738693546569</v>
      </c>
      <c r="DK23" s="15">
        <f>DJ23+預測IC!DK23</f>
        <v>0.93736758988688673</v>
      </c>
      <c r="DL23" s="15">
        <f>DK23+預測IC!DL23</f>
        <v>0.91112493778226222</v>
      </c>
      <c r="DM23" s="15">
        <f>DL23+預測IC!DM23</f>
        <v>0.92183527208908722</v>
      </c>
      <c r="DN23" s="15">
        <f>DM23+預測IC!DN23</f>
        <v>1.1868101285730785</v>
      </c>
      <c r="DO23" s="15">
        <f>DN23+預測IC!DO23</f>
        <v>1.1021393007658964</v>
      </c>
      <c r="DP23" s="15">
        <f>DO23+預測IC!DP23</f>
        <v>1.1492275334216193</v>
      </c>
      <c r="DQ23" s="15">
        <f>DP23+預測IC!DQ23</f>
        <v>0.903281425862833</v>
      </c>
      <c r="DR23" s="15">
        <f>DQ23+預測IC!DR23</f>
        <v>0.80085563062783183</v>
      </c>
      <c r="DS23" s="15">
        <f>DR23+預測IC!DS23</f>
        <v>0.55366107918536334</v>
      </c>
      <c r="DT23" s="15">
        <f>DS23+預測IC!DT23</f>
        <v>0.53136462211560609</v>
      </c>
      <c r="DU23" s="15">
        <f>DT23+預測IC!DU23</f>
        <v>6.1229154625062066E-3</v>
      </c>
      <c r="DV23" s="15">
        <f>DU23+預測IC!DV23</f>
        <v>-0.18661848575539081</v>
      </c>
      <c r="DW23" s="15">
        <f>DV23+預測IC!DW23</f>
        <v>-4.5390253172552214E-2</v>
      </c>
      <c r="DX23" s="15">
        <f>DW23+預測IC!DX23</f>
        <v>0.12561253379590229</v>
      </c>
      <c r="DY23" s="15">
        <f>DX23+預測IC!DY23</f>
        <v>-0.14260939557622163</v>
      </c>
      <c r="DZ23" s="15">
        <f>DY23+預測IC!DZ23</f>
        <v>-1.3276380024502821E-2</v>
      </c>
      <c r="EA23" s="15">
        <f>DZ23+預測IC!EA23</f>
        <v>-4.2035159800907801E-2</v>
      </c>
      <c r="EB23" s="15">
        <f>EA23+預測IC!EB23</f>
        <v>0.20224949832301439</v>
      </c>
      <c r="EC23" s="15">
        <f>EB23+預測IC!EC23</f>
        <v>0.32545444127867906</v>
      </c>
      <c r="ED23" s="15">
        <f>EC23+預測IC!ED23</f>
        <v>0.51977771980059806</v>
      </c>
      <c r="EE23" s="15">
        <f>ED23+預測IC!EE23</f>
        <v>0.58932327789558459</v>
      </c>
      <c r="EF23" s="15">
        <f>EE23+預測IC!EF23</f>
        <v>0.49590741998189669</v>
      </c>
    </row>
    <row r="24" spans="1:136" x14ac:dyDescent="0.3">
      <c r="A24" s="1">
        <v>1</v>
      </c>
      <c r="B24" s="1" t="s">
        <v>171</v>
      </c>
      <c r="C24" s="15">
        <v>2.776696731044102E-2</v>
      </c>
      <c r="D24" s="15">
        <f>C24+預測IC!D24</f>
        <v>0.12837688020966961</v>
      </c>
      <c r="E24" s="15">
        <f>D24+預測IC!E24</f>
        <v>0.2102572148200671</v>
      </c>
      <c r="F24" s="15">
        <f>E24+預測IC!F24</f>
        <v>0.41180293369171328</v>
      </c>
      <c r="G24" s="15">
        <f>F24+預測IC!G24</f>
        <v>0.43442532225433095</v>
      </c>
      <c r="H24" s="15">
        <f>G24+預測IC!H24</f>
        <v>8.3603130923292135E-2</v>
      </c>
      <c r="I24" s="15">
        <f>H24+預測IC!I24</f>
        <v>8.5715064126435633E-2</v>
      </c>
      <c r="J24" s="15">
        <f>I24+預測IC!J24</f>
        <v>-1.4257128783700501E-2</v>
      </c>
      <c r="K24" s="15">
        <f>J24+預測IC!K24</f>
        <v>3.6187207209788207E-2</v>
      </c>
      <c r="L24" s="15">
        <f>K24+預測IC!L24</f>
        <v>-0.29757223726585841</v>
      </c>
      <c r="M24" s="15">
        <f>L24+預測IC!M24</f>
        <v>-0.4443915761653669</v>
      </c>
      <c r="N24" s="15">
        <f>M24+預測IC!N24</f>
        <v>-0.33919986536952151</v>
      </c>
      <c r="O24" s="15">
        <f>N24+預測IC!O24</f>
        <v>-0.10389067196409851</v>
      </c>
      <c r="P24" s="15">
        <f>O24+預測IC!P24</f>
        <v>-2.6154186110041278E-2</v>
      </c>
      <c r="Q24" s="15">
        <f>P24+預測IC!Q24</f>
        <v>-8.7119147756747548E-2</v>
      </c>
      <c r="R24" s="15">
        <f>Q24+預測IC!R24</f>
        <v>0.15857822302251218</v>
      </c>
      <c r="S24" s="15">
        <f>R24+預測IC!S24</f>
        <v>0.29846202258951277</v>
      </c>
      <c r="T24" s="15">
        <f>S24+預測IC!T24</f>
        <v>0.17477097849772355</v>
      </c>
      <c r="U24" s="15">
        <f>T24+預測IC!U24</f>
        <v>0.32328965272164156</v>
      </c>
      <c r="V24" s="15">
        <f>U24+預測IC!V24</f>
        <v>0.20674933600479076</v>
      </c>
      <c r="W24" s="15">
        <f>V24+預測IC!W24</f>
        <v>0.84968286461045017</v>
      </c>
      <c r="X24" s="15">
        <f>W24+預測IC!X24</f>
        <v>0.84878398814543299</v>
      </c>
      <c r="Y24" s="15">
        <f>X24+預測IC!Y24</f>
        <v>0.87818282772586564</v>
      </c>
      <c r="Z24" s="15">
        <f>Y24+預測IC!Z24</f>
        <v>0.98402515500467269</v>
      </c>
      <c r="AA24" s="15">
        <f>Z24+預測IC!AA24</f>
        <v>0.99757292324225</v>
      </c>
      <c r="AB24" s="15">
        <f>AA24+預測IC!AB24</f>
        <v>0.80223330056700615</v>
      </c>
      <c r="AC24" s="15">
        <f>AB24+預測IC!AC24</f>
        <v>1.2039806344139607</v>
      </c>
      <c r="AD24" s="15">
        <f>AC24+預測IC!AD24</f>
        <v>1.2639027812247798</v>
      </c>
      <c r="AE24" s="15">
        <f>AD24+預測IC!AE24</f>
        <v>1.4570445709365378</v>
      </c>
      <c r="AF24" s="15">
        <f>AE24+預測IC!AF24</f>
        <v>0.96165515813237601</v>
      </c>
      <c r="AG24" s="15">
        <f>AF24+預測IC!AG24</f>
        <v>1.3417105507151721</v>
      </c>
      <c r="AH24" s="15">
        <f>AG24+預測IC!AH24</f>
        <v>1.0395877941085967</v>
      </c>
      <c r="AI24" s="15">
        <f>AH24+預測IC!AI24</f>
        <v>0.88767611932519941</v>
      </c>
      <c r="AJ24" s="15">
        <f>AI24+預測IC!AJ24</f>
        <v>0.90778848469839835</v>
      </c>
      <c r="AK24" s="15">
        <f>AJ24+預測IC!AK24</f>
        <v>1.0209676484740224</v>
      </c>
      <c r="AL24" s="15">
        <f>AK24+預測IC!AL24</f>
        <v>0.96629071298338709</v>
      </c>
      <c r="AM24" s="15">
        <f>AL24+預測IC!AM24</f>
        <v>0.94737143156286041</v>
      </c>
      <c r="AN24" s="15">
        <f>AM24+預測IC!AN24</f>
        <v>1.1685608967082917</v>
      </c>
      <c r="AO24" s="15">
        <f>AN24+預測IC!AO24</f>
        <v>1.2714665992860812</v>
      </c>
      <c r="AP24" s="15">
        <f>AO24+預測IC!AP24</f>
        <v>1.4359532884440016</v>
      </c>
      <c r="AQ24" s="15">
        <f>AP24+預測IC!AQ24</f>
        <v>1.3888763156097559</v>
      </c>
      <c r="AR24" s="15">
        <f>AQ24+預測IC!AR24</f>
        <v>1.5597097217805815</v>
      </c>
      <c r="AS24" s="15">
        <f>AR24+預測IC!AS24</f>
        <v>1.5317536445139914</v>
      </c>
      <c r="AT24" s="15">
        <f>AS24+預測IC!AT24</f>
        <v>1.6825226244396723</v>
      </c>
      <c r="AU24" s="15">
        <f>AT24+預測IC!AU24</f>
        <v>1.9123636401190922</v>
      </c>
      <c r="AV24" s="15">
        <f>AU24+預測IC!AV24</f>
        <v>1.8928414256965682</v>
      </c>
      <c r="AW24" s="15">
        <f>AV24+預測IC!AW24</f>
        <v>1.887853884185529</v>
      </c>
      <c r="AX24" s="15">
        <f>AW24+預測IC!AX24</f>
        <v>1.7763625472693134</v>
      </c>
      <c r="AY24" s="15">
        <f>AX24+預測IC!AY24</f>
        <v>2.0437982919557833</v>
      </c>
      <c r="AZ24" s="15">
        <f>AY24+預測IC!AZ24</f>
        <v>1.4338987317710066</v>
      </c>
      <c r="BA24" s="15">
        <f>AZ24+預測IC!BA24</f>
        <v>1.3801039996863733</v>
      </c>
      <c r="BB24" s="15">
        <f>BA24+預測IC!BB24</f>
        <v>2.0708805310670453</v>
      </c>
      <c r="BC24" s="15">
        <f>BB24+預測IC!BC24</f>
        <v>1.2676645180226678</v>
      </c>
      <c r="BD24" s="15">
        <f>BC24+預測IC!BD24</f>
        <v>1.453259737269103</v>
      </c>
      <c r="BE24" s="15">
        <f>BD24+預測IC!BE24</f>
        <v>1.4993240913007899</v>
      </c>
      <c r="BF24" s="15">
        <f>BE24+預測IC!BF24</f>
        <v>1.4349536703513264</v>
      </c>
      <c r="BG24" s="15">
        <f>BF24+預測IC!BG24</f>
        <v>1.4617896362176372</v>
      </c>
      <c r="BH24" s="15">
        <f>BG24+預測IC!BH24</f>
        <v>1.0755342993041022</v>
      </c>
      <c r="BI24" s="15">
        <f>BH24+預測IC!BI24</f>
        <v>1.0473826671559239</v>
      </c>
      <c r="BJ24" s="15">
        <f>BI24+預測IC!BJ24</f>
        <v>0.98681541283346452</v>
      </c>
      <c r="BK24" s="15">
        <f>BJ24+預測IC!BK24</f>
        <v>0.97679568588439447</v>
      </c>
      <c r="BL24" s="15">
        <f>BK24+預測IC!BL24</f>
        <v>1.0829026060355611</v>
      </c>
      <c r="BM24" s="15">
        <f>BL24+預測IC!BM24</f>
        <v>1.1676855458745494</v>
      </c>
      <c r="BN24" s="15">
        <f>BM24+預測IC!BN24</f>
        <v>1.1477953873953297</v>
      </c>
      <c r="BO24" s="15">
        <f>BN24+預測IC!BO24</f>
        <v>1.3089050784909717</v>
      </c>
      <c r="BP24" s="15">
        <f>BO24+預測IC!BP24</f>
        <v>1.3406991828208614</v>
      </c>
      <c r="BQ24" s="15">
        <f>BP24+預測IC!BQ24</f>
        <v>1.3545566492449976</v>
      </c>
      <c r="BR24" s="15">
        <f>BQ24+預測IC!BR24</f>
        <v>1.3969128725484155</v>
      </c>
      <c r="BS24" s="15">
        <f>BR24+預測IC!BS24</f>
        <v>1.5185339090780221</v>
      </c>
      <c r="BT24" s="15">
        <f>BS24+預測IC!BT24</f>
        <v>1.5743331653862787</v>
      </c>
      <c r="BU24" s="15">
        <f>BT24+預測IC!BU24</f>
        <v>1.8026597969462195</v>
      </c>
      <c r="BV24" s="15">
        <f>BU24+預測IC!BV24</f>
        <v>2.0059639487766701</v>
      </c>
      <c r="BW24" s="15">
        <f>BV24+預測IC!BW24</f>
        <v>2.1569913941990895</v>
      </c>
      <c r="BX24" s="15">
        <f>BW24+預測IC!BX24</f>
        <v>2.0989480245491743</v>
      </c>
      <c r="BY24" s="15">
        <f>BX24+預測IC!BY24</f>
        <v>1.8086111496037574</v>
      </c>
      <c r="BZ24" s="15">
        <f>BY24+預測IC!BZ24</f>
        <v>1.5497182507537604</v>
      </c>
      <c r="CA24" s="15">
        <f>BZ24+預測IC!CA24</f>
        <v>1.4344965699803456</v>
      </c>
      <c r="CB24" s="15">
        <f>CA24+預測IC!CB24</f>
        <v>0.79479843634583058</v>
      </c>
      <c r="CC24" s="15">
        <f>CB24+預測IC!CC24</f>
        <v>0.612328556458269</v>
      </c>
      <c r="CD24" s="15">
        <f>CC24+預測IC!CD24</f>
        <v>-7.9003412131113948E-2</v>
      </c>
      <c r="CE24" s="15">
        <f>CD24+預測IC!CE24</f>
        <v>-0.28912484736720234</v>
      </c>
      <c r="CF24" s="15">
        <f>CE24+預測IC!CF24</f>
        <v>-0.24516021337047078</v>
      </c>
      <c r="CG24" s="15">
        <f>CF24+預測IC!CG24</f>
        <v>-0.76512917944439285</v>
      </c>
      <c r="CH24" s="15">
        <f>CG24+預測IC!CH24</f>
        <v>-0.55215629541507449</v>
      </c>
      <c r="CI24" s="15">
        <f>CH24+預測IC!CI24</f>
        <v>-0.25855665176539061</v>
      </c>
      <c r="CJ24" s="15">
        <f>CI24+預測IC!CJ24</f>
        <v>-0.2716661371848102</v>
      </c>
      <c r="CK24" s="15">
        <f>CJ24+預測IC!CK24</f>
        <v>5.1393128143573885E-2</v>
      </c>
      <c r="CL24" s="15">
        <f>CK24+預測IC!CL24</f>
        <v>3.5709380254207362E-2</v>
      </c>
      <c r="CM24" s="15">
        <f>CL24+預測IC!CM24</f>
        <v>0.58529649021330754</v>
      </c>
      <c r="CN24" s="15">
        <f>CM24+預測IC!CN24</f>
        <v>0.69303525667052068</v>
      </c>
      <c r="CO24" s="15">
        <f>CN24+預測IC!CO24</f>
        <v>0.12062564693584565</v>
      </c>
      <c r="CP24" s="15">
        <f>CO24+預測IC!CP24</f>
        <v>-3.9718557878996447E-2</v>
      </c>
      <c r="CQ24" s="15">
        <f>CP24+預測IC!CQ24</f>
        <v>-0.19990820450649704</v>
      </c>
      <c r="CR24" s="15">
        <f>CQ24+預測IC!CR24</f>
        <v>-0.33769566055520017</v>
      </c>
      <c r="CS24" s="15">
        <f>CR24+預測IC!CS24</f>
        <v>-0.36455058307630872</v>
      </c>
      <c r="CT24" s="15">
        <f>CS24+預測IC!CT24</f>
        <v>-0.18165399578419222</v>
      </c>
      <c r="CU24" s="15">
        <f>CT24+預測IC!CU24</f>
        <v>-0.12892495097053741</v>
      </c>
      <c r="CV24" s="15">
        <f>CU24+預測IC!CV24</f>
        <v>-0.49040524632194749</v>
      </c>
      <c r="CW24" s="15">
        <f>CV24+預測IC!CW24</f>
        <v>-0.72539846159479349</v>
      </c>
      <c r="CX24" s="15">
        <f>CW24+預測IC!CX24</f>
        <v>-0.87209308726508095</v>
      </c>
      <c r="CY24" s="15">
        <f>CX24+預測IC!CY24</f>
        <v>-1.2323211340338187</v>
      </c>
      <c r="CZ24" s="15">
        <f>CY24+預測IC!CZ24</f>
        <v>-1.0702142241556585</v>
      </c>
      <c r="DA24" s="15">
        <f>CZ24+預測IC!DA24</f>
        <v>-1.0457030199929036</v>
      </c>
      <c r="DB24" s="15">
        <f>DA24+預測IC!DB24</f>
        <v>-0.85024234748024929</v>
      </c>
      <c r="DC24" s="15">
        <f>DB24+預測IC!DC24</f>
        <v>-1.0414181056507841</v>
      </c>
      <c r="DD24" s="15">
        <f>DC24+預測IC!DD24</f>
        <v>-1.2372628278332254</v>
      </c>
      <c r="DE24" s="15">
        <f>DD24+預測IC!DE24</f>
        <v>-1.1056772365376926</v>
      </c>
      <c r="DF24" s="15">
        <f>DE24+預測IC!DF24</f>
        <v>-0.91103917278176205</v>
      </c>
      <c r="DG24" s="15">
        <f>DF24+預測IC!DG24</f>
        <v>-0.66245019004853201</v>
      </c>
      <c r="DH24" s="15">
        <f>DG24+預測IC!DH24</f>
        <v>-0.92825286604104429</v>
      </c>
      <c r="DI24" s="15">
        <f>DH24+預測IC!DI24</f>
        <v>-0.50515406631270521</v>
      </c>
      <c r="DJ24" s="15">
        <f>DI24+預測IC!DJ24</f>
        <v>-0.73452394084379458</v>
      </c>
      <c r="DK24" s="15">
        <f>DJ24+預測IC!DK24</f>
        <v>-0.90054566919804457</v>
      </c>
      <c r="DL24" s="15">
        <f>DK24+預測IC!DL24</f>
        <v>-0.96190618241346149</v>
      </c>
      <c r="DM24" s="15">
        <f>DL24+預測IC!DM24</f>
        <v>-0.85359008728727648</v>
      </c>
      <c r="DN24" s="15">
        <f>DM24+預測IC!DN24</f>
        <v>-0.33674214828974425</v>
      </c>
      <c r="DO24" s="15">
        <f>DN24+預測IC!DO24</f>
        <v>-0.41985643787974997</v>
      </c>
      <c r="DP24" s="15">
        <f>DO24+預測IC!DP24</f>
        <v>-0.3054830123937361</v>
      </c>
      <c r="DQ24" s="15">
        <f>DP24+預測IC!DQ24</f>
        <v>-0.66455431449038449</v>
      </c>
      <c r="DR24" s="15">
        <f>DQ24+預測IC!DR24</f>
        <v>-0.68794604576391349</v>
      </c>
      <c r="DS24" s="15">
        <f>DR24+預測IC!DS24</f>
        <v>-0.8319530206027278</v>
      </c>
      <c r="DT24" s="15">
        <f>DS24+預測IC!DT24</f>
        <v>-0.86138874699159118</v>
      </c>
      <c r="DU24" s="15">
        <f>DT24+預測IC!DU24</f>
        <v>-1.63193205474755</v>
      </c>
      <c r="DV24" s="15">
        <f>DU24+預測IC!DV24</f>
        <v>-2.3823886039367714</v>
      </c>
      <c r="DW24" s="15">
        <f>DV24+預測IC!DW24</f>
        <v>-2.2735315140454411</v>
      </c>
      <c r="DX24" s="15">
        <f>DW24+預測IC!DX24</f>
        <v>-2.0997941835973619</v>
      </c>
      <c r="DY24" s="15">
        <f>DX24+預測IC!DY24</f>
        <v>-2.1318607193273134</v>
      </c>
      <c r="DZ24" s="15">
        <f>DY24+預測IC!DZ24</f>
        <v>-2.1807653835861132</v>
      </c>
      <c r="EA24" s="15">
        <f>DZ24+預測IC!EA24</f>
        <v>-2.2356855674276157</v>
      </c>
      <c r="EB24" s="15">
        <f>EA24+預測IC!EB24</f>
        <v>-1.6459876504285251</v>
      </c>
      <c r="EC24" s="15">
        <f>EB24+預測IC!EC24</f>
        <v>-1.3893362704649987</v>
      </c>
      <c r="ED24" s="15">
        <f>EC24+預測IC!ED24</f>
        <v>-1.3047961778977339</v>
      </c>
      <c r="EE24" s="15">
        <f>ED24+預測IC!EE24</f>
        <v>-1.3404601607686988</v>
      </c>
      <c r="EF24" s="15">
        <f>EE24+預測IC!EF24</f>
        <v>-1.4745472371189134</v>
      </c>
    </row>
    <row r="25" spans="1:136" s="13" customFormat="1" x14ac:dyDescent="0.3">
      <c r="A25" s="16" t="s">
        <v>147</v>
      </c>
      <c r="B25" s="16" t="s">
        <v>148</v>
      </c>
      <c r="C25" s="17">
        <v>-1.7446770539390338E-2</v>
      </c>
      <c r="D25" s="18">
        <f>C25+預測IC!D25</f>
        <v>3.2542899924252917E-3</v>
      </c>
      <c r="E25" s="18">
        <f>D25+預測IC!E25</f>
        <v>2.7236419247192001E-2</v>
      </c>
      <c r="F25" s="18">
        <f>E25+預測IC!F25</f>
        <v>2.0678840274368924E-2</v>
      </c>
      <c r="G25" s="18">
        <f>F25+預測IC!G25</f>
        <v>5.2523970074888612E-2</v>
      </c>
      <c r="H25" s="18">
        <f>G25+預測IC!H25</f>
        <v>8.6872502811879138E-2</v>
      </c>
      <c r="I25" s="18">
        <f>H25+預測IC!I25</f>
        <v>7.8617570030553904E-2</v>
      </c>
      <c r="J25" s="18">
        <f>I25+預測IC!J25</f>
        <v>9.1461094424606662E-2</v>
      </c>
      <c r="K25" s="18">
        <f>J25+預測IC!K25</f>
        <v>4.0442569797815839E-2</v>
      </c>
      <c r="L25" s="18">
        <f>K25+預測IC!L25</f>
        <v>4.1316512538852428E-2</v>
      </c>
      <c r="M25" s="18">
        <f>L25+預測IC!M25</f>
        <v>6.4706088044348353E-2</v>
      </c>
      <c r="N25" s="18">
        <f>M25+預測IC!N25</f>
        <v>7.7695060244681202E-2</v>
      </c>
      <c r="O25" s="18">
        <f>N25+預測IC!O25</f>
        <v>8.3549648970316082E-2</v>
      </c>
      <c r="P25" s="18">
        <f>O25+預測IC!P25</f>
        <v>0.11096285554210664</v>
      </c>
      <c r="Q25" s="18">
        <f>P25+預測IC!Q25</f>
        <v>0.10724991942441378</v>
      </c>
      <c r="R25" s="18">
        <f>Q25+預測IC!R25</f>
        <v>0.13132653347223711</v>
      </c>
      <c r="S25" s="18">
        <f>R25+預測IC!S25</f>
        <v>0.11913650817319715</v>
      </c>
      <c r="T25" s="18">
        <f>S25+預測IC!T25</f>
        <v>7.9386930013607554E-2</v>
      </c>
      <c r="U25" s="18">
        <f>T25+預測IC!U25</f>
        <v>6.2314801819580018E-3</v>
      </c>
      <c r="V25" s="18">
        <f>U25+預測IC!V25</f>
        <v>-5.2028749728156659E-2</v>
      </c>
      <c r="W25" s="18">
        <f>V25+預測IC!W25</f>
        <v>-5.1255952162648284E-2</v>
      </c>
      <c r="X25" s="18">
        <f>W25+預測IC!X25</f>
        <v>-6.6644310274293142E-3</v>
      </c>
      <c r="Y25" s="18">
        <f>X25+預測IC!Y25</f>
        <v>-3.4364111077642409E-2</v>
      </c>
      <c r="Z25" s="18">
        <f>Y25+預測IC!Z25</f>
        <v>-3.226910512789876E-2</v>
      </c>
      <c r="AA25" s="18">
        <f>Z25+預測IC!AA25</f>
        <v>-5.5669656120462874E-2</v>
      </c>
      <c r="AB25" s="18">
        <f>AA25+預測IC!AB25</f>
        <v>-2.3540285023140685E-2</v>
      </c>
      <c r="AC25" s="18">
        <f>AB25+預測IC!AC25</f>
        <v>1.5362988070925745E-2</v>
      </c>
      <c r="AD25" s="18">
        <f>AC25+預測IC!AD25</f>
        <v>-2.7502394100178525E-2</v>
      </c>
      <c r="AE25" s="18">
        <f>AD25+預測IC!AE25</f>
        <v>-8.8551995500263658E-3</v>
      </c>
      <c r="AF25" s="18">
        <f>AE25+預測IC!AF25</f>
        <v>6.3745687725025833E-3</v>
      </c>
      <c r="AG25" s="18">
        <f>AF25+預測IC!AG25</f>
        <v>4.2391172551395004E-2</v>
      </c>
      <c r="AH25" s="18">
        <f>AG25+預測IC!AH25</f>
        <v>5.174578393671117E-2</v>
      </c>
      <c r="AI25" s="18">
        <f>AH25+預測IC!AI25</f>
        <v>6.2494035273549312E-2</v>
      </c>
      <c r="AJ25" s="18">
        <f>AI25+預測IC!AJ25</f>
        <v>7.5851789326630281E-2</v>
      </c>
      <c r="AK25" s="18">
        <f>AJ25+預測IC!AK25</f>
        <v>7.0519041997534893E-2</v>
      </c>
      <c r="AL25" s="18">
        <f>AK25+預測IC!AL25</f>
        <v>7.1902177804796574E-2</v>
      </c>
      <c r="AM25" s="18">
        <f>AL25+預測IC!AM25</f>
        <v>9.2698106224871041E-2</v>
      </c>
      <c r="AN25" s="18">
        <f>AM25+預測IC!AN25</f>
        <v>0.12421580844526167</v>
      </c>
      <c r="AO25" s="18">
        <f>AN25+預測IC!AO25</f>
        <v>0.13045752497859112</v>
      </c>
      <c r="AP25" s="18">
        <f>AO25+預測IC!AP25</f>
        <v>0.13660278663216249</v>
      </c>
      <c r="AQ25" s="18">
        <f>AP25+預測IC!AQ25</f>
        <v>0.15354914430885899</v>
      </c>
      <c r="AR25" s="18">
        <f>AQ25+預測IC!AR25</f>
        <v>0.18823197476316722</v>
      </c>
      <c r="AS25" s="18">
        <f>AR25+預測IC!AS25</f>
        <v>0.19133056338036419</v>
      </c>
      <c r="AT25" s="18">
        <f>AS25+預測IC!AT25</f>
        <v>0.2064119105238503</v>
      </c>
      <c r="AU25" s="18">
        <f>AT25+預測IC!AU25</f>
        <v>0.18716070129398632</v>
      </c>
      <c r="AV25" s="18">
        <f>AU25+預測IC!AV25</f>
        <v>0.22587221468161775</v>
      </c>
      <c r="AW25" s="18">
        <f>AV25+預測IC!AW25</f>
        <v>0.20401526354588115</v>
      </c>
      <c r="AX25" s="18">
        <f>AW25+預測IC!AX25</f>
        <v>0.21178956425567083</v>
      </c>
      <c r="AY25" s="18">
        <f>AX25+預測IC!AY25</f>
        <v>0.25418681095099677</v>
      </c>
      <c r="AZ25" s="18">
        <f>AY25+預測IC!AZ25</f>
        <v>0.22787783608983703</v>
      </c>
      <c r="BA25" s="18">
        <f>AZ25+預測IC!BA25</f>
        <v>0.23744958539855326</v>
      </c>
      <c r="BB25" s="18">
        <f>BA25+預測IC!BB25</f>
        <v>0.21319984413227844</v>
      </c>
      <c r="BC25" s="18">
        <f>BB25+預測IC!BC25</f>
        <v>0.23336321827619427</v>
      </c>
      <c r="BD25" s="18">
        <f>BC25+預測IC!BD25</f>
        <v>0.22985821949407825</v>
      </c>
      <c r="BE25" s="18">
        <f>BD25+預測IC!BE25</f>
        <v>0.25001015459262055</v>
      </c>
      <c r="BF25" s="18">
        <f>BE25+預測IC!BF25</f>
        <v>0.25059149082339083</v>
      </c>
      <c r="BG25" s="18">
        <f>BF25+預測IC!BG25</f>
        <v>0.24537178987013822</v>
      </c>
      <c r="BH25" s="18">
        <f>BG25+預測IC!BH25</f>
        <v>0.12950002846800823</v>
      </c>
      <c r="BI25" s="18">
        <f>BH25+預測IC!BI25</f>
        <v>0.13822525416044559</v>
      </c>
      <c r="BJ25" s="18">
        <f>BI25+預測IC!BJ25</f>
        <v>0.12184799318262345</v>
      </c>
      <c r="BK25" s="18">
        <f>BJ25+預測IC!BK25</f>
        <v>0.14268836478288388</v>
      </c>
      <c r="BL25" s="18">
        <f>BK25+預測IC!BL25</f>
        <v>0.18766423688499859</v>
      </c>
      <c r="BM25" s="18">
        <f>BL25+預測IC!BM25</f>
        <v>0.21161854296686244</v>
      </c>
      <c r="BN25" s="18">
        <f>BM25+預測IC!BN25</f>
        <v>0.24185764435830504</v>
      </c>
      <c r="BO25" s="18">
        <f>BN25+預測IC!BO25</f>
        <v>0.19813175676721753</v>
      </c>
      <c r="BP25" s="18">
        <f>BO25+預測IC!BP25</f>
        <v>0.22002122633541615</v>
      </c>
      <c r="BQ25" s="18">
        <f>BP25+預測IC!BQ25</f>
        <v>0.22864865659892455</v>
      </c>
      <c r="BR25" s="18">
        <f>BQ25+預測IC!BR25</f>
        <v>0.20945570260426577</v>
      </c>
      <c r="BS25" s="18">
        <f>BR25+預測IC!BS25</f>
        <v>0.22919083249239883</v>
      </c>
      <c r="BT25" s="18">
        <f>BS25+預測IC!BT25</f>
        <v>0.27688516997609824</v>
      </c>
      <c r="BU25" s="18">
        <f>BT25+預測IC!BU25</f>
        <v>0.28833998678268163</v>
      </c>
      <c r="BV25" s="18">
        <f>BU25+預測IC!BV25</f>
        <v>0.33156860751789485</v>
      </c>
      <c r="BW25" s="18">
        <f>BV25+預測IC!BW25</f>
        <v>0.28882117708097205</v>
      </c>
      <c r="BX25" s="18">
        <f>BW25+預測IC!BX25</f>
        <v>0.27100988465317749</v>
      </c>
      <c r="BY25" s="18">
        <f>BX25+預測IC!BY25</f>
        <v>0.11985678778410189</v>
      </c>
      <c r="BZ25" s="18">
        <f>BY25+預測IC!BZ25</f>
        <v>0.24408079140367717</v>
      </c>
      <c r="CA25" s="18">
        <f>BZ25+預測IC!CA25</f>
        <v>0.23952353755914751</v>
      </c>
      <c r="CB25" s="18">
        <f>CA25+預測IC!CB25</f>
        <v>0.29973477776405871</v>
      </c>
      <c r="CC25" s="18">
        <f>CB25+預測IC!CC25</f>
        <v>0.385726811246561</v>
      </c>
      <c r="CD25" s="18">
        <f>CC25+預測IC!CD25</f>
        <v>0.37991833166419492</v>
      </c>
      <c r="CE25" s="18">
        <f>CD25+預測IC!CE25</f>
        <v>0.37387698467522684</v>
      </c>
      <c r="CF25" s="18">
        <f>CE25+預測IC!CF25</f>
        <v>0.37632930904747891</v>
      </c>
      <c r="CG25" s="18">
        <f>CF25+預測IC!CG25</f>
        <v>0.46596556098450181</v>
      </c>
      <c r="CH25" s="18">
        <f>CG25+預測IC!CH25</f>
        <v>0.53695829351125968</v>
      </c>
      <c r="CI25" s="18">
        <f>CH25+預測IC!CI25</f>
        <v>0.56412893641304307</v>
      </c>
      <c r="CJ25" s="18">
        <f>CI25+預測IC!CJ25</f>
        <v>0.61659736483837313</v>
      </c>
      <c r="CK25" s="18">
        <f>CJ25+預測IC!CK25</f>
        <v>0.64607802578142259</v>
      </c>
      <c r="CL25" s="18">
        <f>CK25+預測IC!CL25</f>
        <v>0.71290310684162383</v>
      </c>
      <c r="CM25" s="18">
        <f>CL25+預測IC!CM25</f>
        <v>0.68413087782180682</v>
      </c>
      <c r="CN25" s="18">
        <f>CM25+預測IC!CN25</f>
        <v>0.72359339372344467</v>
      </c>
      <c r="CO25" s="18">
        <f>CN25+預測IC!CO25</f>
        <v>0.69456230674608477</v>
      </c>
      <c r="CP25" s="18">
        <f>CO25+預測IC!CP25</f>
        <v>0.70854618926555268</v>
      </c>
      <c r="CQ25" s="18">
        <f>CP25+預測IC!CQ25</f>
        <v>0.67626922430621883</v>
      </c>
      <c r="CR25" s="18">
        <f>CQ25+預測IC!CR25</f>
        <v>0.6793728009191129</v>
      </c>
      <c r="CS25" s="18">
        <f>CR25+預測IC!CS25</f>
        <v>0.70496465668619601</v>
      </c>
      <c r="CT25" s="18">
        <f>CS25+預測IC!CT25</f>
        <v>0.74935654297338927</v>
      </c>
      <c r="CU25" s="18">
        <f>CT25+預測IC!CU25</f>
        <v>0.71901758442381181</v>
      </c>
      <c r="CV25" s="18">
        <f>CU25+預測IC!CV25</f>
        <v>0.7177596079692401</v>
      </c>
      <c r="CW25" s="18">
        <f>CV25+預測IC!CW25</f>
        <v>0.72009596442509805</v>
      </c>
      <c r="CX25" s="18">
        <f>CW25+預測IC!CX25</f>
        <v>0.655831819499192</v>
      </c>
      <c r="CY25" s="18">
        <f>CX25+預測IC!CY25</f>
        <v>0.66874159895818441</v>
      </c>
      <c r="CZ25" s="18">
        <f>CY25+預測IC!CZ25</f>
        <v>0.54326450428732564</v>
      </c>
      <c r="DA25" s="18">
        <f>CZ25+預測IC!DA25</f>
        <v>0.55495518722711823</v>
      </c>
      <c r="DB25" s="18">
        <f>DA25+預測IC!DB25</f>
        <v>0.56129303092785998</v>
      </c>
      <c r="DC25" s="18">
        <f>DB25+預測IC!DC25</f>
        <v>0.44398767445847448</v>
      </c>
      <c r="DD25" s="18">
        <f>DC25+預測IC!DD25</f>
        <v>0.40797680240902789</v>
      </c>
      <c r="DE25" s="18">
        <f>DD25+預測IC!DE25</f>
        <v>0.54688810648129582</v>
      </c>
      <c r="DF25" s="18">
        <f>DE25+預測IC!DF25</f>
        <v>0.49574460025519007</v>
      </c>
      <c r="DG25" s="18">
        <f>DF25+預測IC!DG25</f>
        <v>0.57247604743715907</v>
      </c>
      <c r="DH25" s="18">
        <f>DG25+預測IC!DH25</f>
        <v>0.58798482963416721</v>
      </c>
      <c r="DI25" s="18">
        <f>DH25+預測IC!DI25</f>
        <v>0.61120860330892302</v>
      </c>
      <c r="DJ25" s="18">
        <f>DI25+預測IC!DJ25</f>
        <v>0.59283572694769515</v>
      </c>
      <c r="DK25" s="18">
        <f>DJ25+預測IC!DK25</f>
        <v>0.65503474103279458</v>
      </c>
      <c r="DL25" s="18">
        <f>DK25+預測IC!DL25</f>
        <v>0.67513304551975173</v>
      </c>
      <c r="DM25" s="18">
        <f>DL25+預測IC!DM25</f>
        <v>0.68863198526781977</v>
      </c>
      <c r="DN25" s="18">
        <f>DM25+預測IC!DN25</f>
        <v>0.65837977253939894</v>
      </c>
      <c r="DO25" s="18">
        <f>DN25+預測IC!DO25</f>
        <v>0.64135693683134509</v>
      </c>
      <c r="DP25" s="18">
        <f>DO25+預測IC!DP25</f>
        <v>0.61956841355888315</v>
      </c>
      <c r="DQ25" s="18">
        <f>DP25+預測IC!DQ25</f>
        <v>0.70531403814402038</v>
      </c>
      <c r="DR25" s="18">
        <f>DQ25+預測IC!DR25</f>
        <v>0.73342078174899417</v>
      </c>
      <c r="DS25" s="18">
        <f>DR25+預測IC!DS25</f>
        <v>0.73111762194163477</v>
      </c>
      <c r="DT25" s="18">
        <f>DS25+預測IC!DT25</f>
        <v>0.78958882007312226</v>
      </c>
      <c r="DU25" s="18">
        <f>DT25+預測IC!DU25</f>
        <v>0.85724776912176992</v>
      </c>
      <c r="DV25" s="18">
        <f>DU25+預測IC!DV25</f>
        <v>0.86226853976220219</v>
      </c>
      <c r="DW25" s="18">
        <f>DV25+預測IC!DW25</f>
        <v>0.89968472343740924</v>
      </c>
      <c r="DX25" s="18">
        <f>DW25+預測IC!DX25</f>
        <v>0.98379572718345132</v>
      </c>
      <c r="DY25" s="18">
        <f>DX25+預測IC!DY25</f>
        <v>0.94696332863943844</v>
      </c>
      <c r="DZ25" s="18">
        <f>DY25+預測IC!DZ25</f>
        <v>0.95005503145637549</v>
      </c>
      <c r="EA25" s="18">
        <f>DZ25+預測IC!EA25</f>
        <v>0.94809740324208092</v>
      </c>
      <c r="EB25" s="18">
        <f>EA25+預測IC!EB25</f>
        <v>0.97455650684560069</v>
      </c>
      <c r="EC25" s="18">
        <f>EB25+預測IC!EC25</f>
        <v>0.94980396808491041</v>
      </c>
      <c r="ED25" s="18">
        <f>EC25+預測IC!ED25</f>
        <v>0.98391945906747036</v>
      </c>
      <c r="EE25" s="18">
        <f>ED25+預測IC!EE25</f>
        <v>1.0049814330565034</v>
      </c>
      <c r="EF25" s="18">
        <f>EE25+預測IC!EF25</f>
        <v>0.98470404035049752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6D2A-5368-4694-91F8-082D3881E505}">
  <dimension ref="A1:EI25"/>
  <sheetViews>
    <sheetView topLeftCell="EA10" workbookViewId="0">
      <selection activeCell="EG11" sqref="EG11:EI25"/>
    </sheetView>
  </sheetViews>
  <sheetFormatPr defaultRowHeight="15" x14ac:dyDescent="0.3"/>
  <sheetData>
    <row r="1" spans="1:139" x14ac:dyDescent="0.3">
      <c r="A1" t="s">
        <v>149</v>
      </c>
    </row>
    <row r="2" spans="1:139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144</v>
      </c>
    </row>
    <row r="3" spans="1:139" x14ac:dyDescent="0.3">
      <c r="B3" s="1" t="s">
        <v>136</v>
      </c>
      <c r="C3" s="7">
        <v>7.8798868708971931E-2</v>
      </c>
      <c r="D3" s="7">
        <v>0.1797330866000155</v>
      </c>
      <c r="E3" s="7">
        <v>1.5489078774061971E-2</v>
      </c>
      <c r="F3" s="7">
        <v>-2.2168251176828441E-2</v>
      </c>
      <c r="G3" s="7">
        <v>-8.1037288150826448E-3</v>
      </c>
      <c r="H3" s="7">
        <v>-1.5401268795349249E-2</v>
      </c>
      <c r="I3" s="7">
        <v>-0.196765586355543</v>
      </c>
      <c r="J3" s="7">
        <v>0.27883034253821021</v>
      </c>
      <c r="K3" s="7">
        <v>-5.6931615083873344E-3</v>
      </c>
      <c r="L3" s="7">
        <v>-4.7889749224815682E-2</v>
      </c>
      <c r="M3" s="7">
        <v>-5.2700847804917073E-3</v>
      </c>
      <c r="N3" s="7">
        <v>-0.1910696506679144</v>
      </c>
      <c r="O3" s="7">
        <v>0.31084678168383018</v>
      </c>
      <c r="P3" s="7">
        <v>0.113770913143069</v>
      </c>
      <c r="Q3" s="7">
        <v>-0.12307050339382571</v>
      </c>
      <c r="R3" s="7">
        <v>-0.1125584938483795</v>
      </c>
      <c r="S3" s="7">
        <v>0.1046658927019708</v>
      </c>
      <c r="T3" s="7">
        <v>-0.14458476697667119</v>
      </c>
      <c r="U3" s="7">
        <v>-0.26280780822848671</v>
      </c>
      <c r="V3" s="7">
        <v>3.0188655456815931E-3</v>
      </c>
      <c r="W3" s="7">
        <v>0.13196040423464189</v>
      </c>
      <c r="X3" s="7">
        <v>-8.9415173838412076E-2</v>
      </c>
      <c r="Y3" s="7">
        <v>0.27906324575998881</v>
      </c>
      <c r="Z3" s="7">
        <v>0.1030897419422631</v>
      </c>
      <c r="AA3" s="7">
        <v>0.48637748963693123</v>
      </c>
      <c r="AB3" s="7">
        <v>-0.23481983175156351</v>
      </c>
      <c r="AC3" s="7">
        <v>1.209651139005685E-2</v>
      </c>
      <c r="AD3" s="7">
        <v>2.4631762383159009E-2</v>
      </c>
      <c r="AE3" s="7">
        <v>-5.6680955135345323E-3</v>
      </c>
      <c r="AF3" s="7">
        <v>-5.6269213313917182E-2</v>
      </c>
      <c r="AG3" s="7">
        <v>0.1224049331936681</v>
      </c>
      <c r="AH3" s="7">
        <v>4.3996774628333513E-2</v>
      </c>
      <c r="AI3" s="7">
        <v>0.16226838670026769</v>
      </c>
      <c r="AJ3" s="7">
        <v>6.8930166950288974E-2</v>
      </c>
      <c r="AK3" s="7">
        <v>8.7359955926435195E-2</v>
      </c>
      <c r="AL3" s="7">
        <v>0.1873807232887153</v>
      </c>
      <c r="AM3" s="7">
        <v>9.6837349683265961E-2</v>
      </c>
      <c r="AN3" s="7">
        <v>0.2075736584826228</v>
      </c>
      <c r="AO3" s="7">
        <v>0.1179758622033649</v>
      </c>
      <c r="AP3" s="7">
        <v>-2.8503518413618201E-2</v>
      </c>
      <c r="AQ3" s="7">
        <v>-0.2114396427417905</v>
      </c>
      <c r="AR3" s="7">
        <v>-3.2302566009505602E-2</v>
      </c>
      <c r="AS3" s="7">
        <v>0.14111009314114389</v>
      </c>
      <c r="AT3" s="7">
        <v>-3.480751243628416E-2</v>
      </c>
      <c r="AU3" s="7">
        <v>4.4456114444751893E-2</v>
      </c>
      <c r="AV3" s="7">
        <v>2.116273888563508E-2</v>
      </c>
      <c r="AW3" s="7">
        <v>-0.1741550037979904</v>
      </c>
      <c r="AX3" s="7">
        <v>7.6317816973352492E-2</v>
      </c>
      <c r="AY3" s="7">
        <v>9.0306432388433944E-3</v>
      </c>
      <c r="AZ3" s="7">
        <v>1.6638949885503629E-2</v>
      </c>
      <c r="BA3" s="7">
        <v>0.16049954912817649</v>
      </c>
      <c r="BB3" s="7">
        <v>-0.123740953293938</v>
      </c>
      <c r="BC3" s="7">
        <v>0.1567368975950931</v>
      </c>
      <c r="BD3" s="7">
        <v>0.16688346547535879</v>
      </c>
      <c r="BE3" s="7">
        <v>-0.13147229447438241</v>
      </c>
      <c r="BF3" s="7">
        <v>9.9500132775893202E-3</v>
      </c>
      <c r="BG3" s="7">
        <v>0.31531123716866039</v>
      </c>
      <c r="BH3" s="7">
        <v>0.27010117711850462</v>
      </c>
      <c r="BI3" s="7">
        <v>5.6315448743319063E-2</v>
      </c>
      <c r="BJ3" s="7">
        <v>-2.409816856997149E-3</v>
      </c>
      <c r="BK3" s="7">
        <v>7.9800375711835514E-2</v>
      </c>
      <c r="BL3" s="7">
        <v>-2.3392393936945088E-2</v>
      </c>
      <c r="BM3" s="7">
        <v>9.4008939681696324E-2</v>
      </c>
      <c r="BN3" s="7">
        <v>1.764390595780152E-2</v>
      </c>
      <c r="BO3" s="7">
        <v>-0.149287939972541</v>
      </c>
      <c r="BP3" s="7">
        <v>4.1225940656230857E-2</v>
      </c>
      <c r="BQ3" s="7">
        <v>-8.2741207352384993E-2</v>
      </c>
      <c r="BR3" s="7">
        <v>0.21346470331308601</v>
      </c>
      <c r="BS3" s="7">
        <v>-6.7985397750362997E-2</v>
      </c>
      <c r="BT3" s="7">
        <v>0.14435039701784511</v>
      </c>
      <c r="BU3" s="7">
        <v>0.1137793780847101</v>
      </c>
      <c r="BV3" s="7">
        <v>5.6009583131789156E-3</v>
      </c>
      <c r="BW3" s="7">
        <v>0.1131466357554793</v>
      </c>
      <c r="BX3" s="7">
        <v>-9.0571156630968819E-2</v>
      </c>
      <c r="BY3" s="7">
        <v>0.1185697363729489</v>
      </c>
      <c r="BZ3" s="7">
        <v>-0.14071284467671319</v>
      </c>
      <c r="CA3" s="7">
        <v>7.3472777058867567E-2</v>
      </c>
      <c r="CB3" s="7">
        <v>-0.1710256064919487</v>
      </c>
      <c r="CC3" s="7">
        <v>8.6731635966007636E-2</v>
      </c>
      <c r="CD3" s="7">
        <v>3.1267715866912023E-2</v>
      </c>
      <c r="CE3" s="7">
        <v>0.21879703659667429</v>
      </c>
      <c r="CF3" s="7">
        <v>-0.14159470736568711</v>
      </c>
      <c r="CG3" s="7">
        <v>9.9731607421901125E-2</v>
      </c>
      <c r="CH3" s="7">
        <v>4.5308069873117418E-2</v>
      </c>
      <c r="CI3" s="7">
        <v>8.9441140161070076E-2</v>
      </c>
      <c r="CJ3" s="7">
        <v>-0.39111281147264998</v>
      </c>
      <c r="CK3" s="7">
        <v>-0.1097911700085549</v>
      </c>
      <c r="CL3" s="7">
        <v>-4.3456184080796323E-2</v>
      </c>
      <c r="CM3" s="7">
        <v>0.18311247425732111</v>
      </c>
      <c r="CN3" s="7">
        <v>-0.39746167912504499</v>
      </c>
      <c r="CO3" s="7">
        <v>-9.6930225730283204E-2</v>
      </c>
      <c r="CP3" s="7">
        <v>-9.5682049872747255E-2</v>
      </c>
      <c r="CQ3" s="7">
        <v>0.1719749674179798</v>
      </c>
      <c r="CR3" s="7">
        <v>6.193948475943406E-2</v>
      </c>
      <c r="CS3" s="7">
        <v>-4.766403897443855E-2</v>
      </c>
      <c r="CT3" s="7">
        <v>-1.0473980040770331E-2</v>
      </c>
      <c r="CU3" s="7">
        <v>-3.4400594909697269E-2</v>
      </c>
      <c r="CV3" s="7">
        <v>-2.258422919649378E-2</v>
      </c>
      <c r="CW3" s="7">
        <v>3.9676013642423347E-2</v>
      </c>
      <c r="CX3" s="7">
        <v>-5.3904732790442063E-2</v>
      </c>
      <c r="CY3" s="7">
        <v>2.7221884648997659E-2</v>
      </c>
      <c r="CZ3" s="7">
        <v>9.887843547877545E-2</v>
      </c>
      <c r="DA3" s="7">
        <v>0.31254073484350059</v>
      </c>
      <c r="DB3" s="7">
        <v>-0.15564612733519101</v>
      </c>
      <c r="DC3" s="7">
        <v>-0.1869585274246745</v>
      </c>
      <c r="DD3" s="7">
        <v>-0.1685228634155537</v>
      </c>
      <c r="DE3" s="7">
        <v>0.167797614048632</v>
      </c>
      <c r="DF3" s="7">
        <v>-9.1638386466207117E-2</v>
      </c>
      <c r="DG3" s="7">
        <v>-7.5708963031610038E-2</v>
      </c>
      <c r="DH3" s="7">
        <v>7.7960520930383534E-3</v>
      </c>
      <c r="DI3" s="7">
        <v>-2.550037968045427E-3</v>
      </c>
      <c r="DJ3" s="7">
        <v>-6.8988362574604056E-2</v>
      </c>
      <c r="DK3" s="7">
        <v>4.6125318624910372E-2</v>
      </c>
      <c r="DL3" s="7">
        <v>-5.8337699674184812E-2</v>
      </c>
      <c r="DM3" s="7">
        <v>-7.0566061856034673E-2</v>
      </c>
      <c r="DN3" s="7">
        <v>2.8092871036590469E-2</v>
      </c>
      <c r="DO3" s="7">
        <v>-7.0883392118803512E-2</v>
      </c>
      <c r="DP3" s="7">
        <v>0.16113140194021491</v>
      </c>
      <c r="DQ3" s="7">
        <v>0.1547440050249741</v>
      </c>
      <c r="DR3" s="7">
        <v>-0.1074253347743111</v>
      </c>
      <c r="DS3" s="7">
        <v>0.1128417239921658</v>
      </c>
      <c r="DT3" s="7">
        <v>-9.1401515312696358E-2</v>
      </c>
      <c r="DU3" s="7">
        <v>-6.5441570505782948E-2</v>
      </c>
      <c r="DV3" s="7">
        <v>-7.3758705524151646E-2</v>
      </c>
      <c r="DW3" s="7">
        <v>6.6155769939567149E-2</v>
      </c>
      <c r="DX3" s="7">
        <v>6.9417132083775007E-2</v>
      </c>
      <c r="DY3" s="7">
        <v>-0.1029921683468592</v>
      </c>
      <c r="DZ3" s="7">
        <v>0.26391340422439702</v>
      </c>
      <c r="EA3" s="7">
        <v>-8.9759100562535832E-2</v>
      </c>
      <c r="EB3" s="7">
        <v>0.1943247699855464</v>
      </c>
      <c r="EC3" s="7">
        <v>-3.0097119912413432E-2</v>
      </c>
      <c r="ED3" s="7">
        <v>2.8618294955548351E-2</v>
      </c>
      <c r="EE3" s="7">
        <v>-8.7371804917649953E-2</v>
      </c>
      <c r="EF3" s="7">
        <v>-2.097644515945218E-2</v>
      </c>
      <c r="EG3" s="1"/>
    </row>
    <row r="4" spans="1:139" x14ac:dyDescent="0.3">
      <c r="B4" s="1" t="s">
        <v>137</v>
      </c>
      <c r="C4" s="7">
        <v>-0.20373737278850079</v>
      </c>
      <c r="D4" s="7">
        <v>-0.19625335237819111</v>
      </c>
      <c r="E4" s="7">
        <v>-0.25415940811056359</v>
      </c>
      <c r="F4" s="7">
        <v>4.6203751390931913E-2</v>
      </c>
      <c r="G4" s="7">
        <v>3.0789039449800271E-2</v>
      </c>
      <c r="H4" s="7">
        <v>-5.1609232396986122E-2</v>
      </c>
      <c r="I4" s="7">
        <v>1.151272534425374E-3</v>
      </c>
      <c r="J4" s="7">
        <v>4.8762634606076112E-2</v>
      </c>
      <c r="K4" s="7">
        <v>-0.1019817977011339</v>
      </c>
      <c r="L4" s="7">
        <v>-1.8321503973252721E-2</v>
      </c>
      <c r="M4" s="7">
        <v>-5.4833735050777932E-2</v>
      </c>
      <c r="N4" s="7">
        <v>-3.0149620485337539E-2</v>
      </c>
      <c r="O4" s="7">
        <v>-0.18672650958156109</v>
      </c>
      <c r="P4" s="7">
        <v>3.0188496442265841E-2</v>
      </c>
      <c r="Q4" s="7">
        <v>9.7889818288440011E-2</v>
      </c>
      <c r="R4" s="7">
        <v>-9.380784496339345E-2</v>
      </c>
      <c r="S4" s="7">
        <v>2.2756317670806329E-2</v>
      </c>
      <c r="T4" s="7">
        <v>7.3507175756873266E-2</v>
      </c>
      <c r="U4" s="7">
        <v>6.8550642870981449E-3</v>
      </c>
      <c r="V4" s="7">
        <v>-2.1638526708681379E-2</v>
      </c>
      <c r="W4" s="7">
        <v>-6.0385491305918748E-3</v>
      </c>
      <c r="X4" s="7">
        <v>-0.16973075948726549</v>
      </c>
      <c r="Y4" s="7">
        <v>-0.2336530995268635</v>
      </c>
      <c r="Z4" s="7">
        <v>-9.998148525383499E-3</v>
      </c>
      <c r="AA4" s="7">
        <v>-2.4349471614097951E-3</v>
      </c>
      <c r="AB4" s="7">
        <v>-0.16380781721638549</v>
      </c>
      <c r="AC4" s="7">
        <v>-6.5405588207859466E-2</v>
      </c>
      <c r="AD4" s="7">
        <v>-5.3691935268133761E-2</v>
      </c>
      <c r="AE4" s="7">
        <v>4.3446009950345747E-2</v>
      </c>
      <c r="AF4" s="7">
        <v>8.0856156973185378E-2</v>
      </c>
      <c r="AG4" s="7">
        <v>-0.1008200200700493</v>
      </c>
      <c r="AH4" s="7">
        <v>0.1185484902349838</v>
      </c>
      <c r="AI4" s="7">
        <v>-8.6917583432359891E-2</v>
      </c>
      <c r="AJ4" s="7">
        <v>-9.6714761437004526E-2</v>
      </c>
      <c r="AK4" s="7">
        <v>7.7115472579782463E-2</v>
      </c>
      <c r="AL4" s="7">
        <v>1.9375682024094228E-2</v>
      </c>
      <c r="AM4" s="7">
        <v>-6.6846435244087843E-3</v>
      </c>
      <c r="AN4" s="7">
        <v>1.143271994558326E-2</v>
      </c>
      <c r="AO4" s="7">
        <v>-4.4564575721720352E-2</v>
      </c>
      <c r="AP4" s="7">
        <v>7.9750638168698984E-2</v>
      </c>
      <c r="AQ4" s="7">
        <v>-9.0693006788388431E-2</v>
      </c>
      <c r="AR4" s="7">
        <v>0.1144314103616733</v>
      </c>
      <c r="AS4" s="7">
        <v>8.2295799616039389E-2</v>
      </c>
      <c r="AT4" s="7">
        <v>1.0311530981850231E-2</v>
      </c>
      <c r="AU4" s="7">
        <v>-3.3710155553132282E-2</v>
      </c>
      <c r="AV4" s="7">
        <v>-0.21769900369851489</v>
      </c>
      <c r="AW4" s="7">
        <v>5.245717031440833E-2</v>
      </c>
      <c r="AX4" s="7">
        <v>1.3927468226748729E-2</v>
      </c>
      <c r="AY4" s="7">
        <v>0.1050107086686278</v>
      </c>
      <c r="AZ4" s="7">
        <v>1.7528918973958699E-2</v>
      </c>
      <c r="BA4" s="7">
        <v>-0.15432648292571119</v>
      </c>
      <c r="BB4" s="7">
        <v>-0.25246377965845751</v>
      </c>
      <c r="BC4" s="7">
        <v>-0.14987217699416711</v>
      </c>
      <c r="BD4" s="7">
        <v>-2.2774061820067359E-2</v>
      </c>
      <c r="BE4" s="7">
        <v>-3.1425095001580423E-2</v>
      </c>
      <c r="BF4" s="7">
        <v>0.1232771881685419</v>
      </c>
      <c r="BG4" s="7">
        <v>-7.5330977107530117E-2</v>
      </c>
      <c r="BH4" s="7">
        <v>-6.4736813987872566E-2</v>
      </c>
      <c r="BI4" s="7">
        <v>1.821390966158987E-2</v>
      </c>
      <c r="BJ4" s="7">
        <v>-0.1508508871203755</v>
      </c>
      <c r="BK4" s="7">
        <v>-5.8953203032860557E-2</v>
      </c>
      <c r="BL4" s="7">
        <v>-4.7773781438463558E-2</v>
      </c>
      <c r="BM4" s="7">
        <v>2.034180601101987E-2</v>
      </c>
      <c r="BN4" s="7">
        <v>4.0714107422102692E-2</v>
      </c>
      <c r="BO4" s="7">
        <v>4.5214638741134287E-2</v>
      </c>
      <c r="BP4" s="7">
        <v>8.3627121253362802E-2</v>
      </c>
      <c r="BQ4" s="7">
        <v>3.0825396788037199E-2</v>
      </c>
      <c r="BR4" s="7">
        <v>-0.11545472065009039</v>
      </c>
      <c r="BS4" s="7">
        <v>-1.926452999418871E-2</v>
      </c>
      <c r="BT4" s="7">
        <v>-3.4111549917248851E-2</v>
      </c>
      <c r="BU4" s="7">
        <v>-4.5269937245304703E-2</v>
      </c>
      <c r="BV4" s="7">
        <v>0.17197266141593739</v>
      </c>
      <c r="BW4" s="7">
        <v>-0.10029050755647261</v>
      </c>
      <c r="BX4" s="7">
        <v>-6.8044962494687056E-2</v>
      </c>
      <c r="BY4" s="7">
        <v>-0.1826948620902353</v>
      </c>
      <c r="BZ4" s="7">
        <v>8.5574019762324482E-2</v>
      </c>
      <c r="CA4" s="7">
        <v>9.9907862663961566E-3</v>
      </c>
      <c r="CB4" s="7">
        <v>0.19801890737320349</v>
      </c>
      <c r="CC4" s="7">
        <v>-0.29446404903659129</v>
      </c>
      <c r="CD4" s="7">
        <v>-0.13184913857205419</v>
      </c>
      <c r="CE4" s="7">
        <v>-5.9049425825826063E-2</v>
      </c>
      <c r="CF4" s="7">
        <v>-0.11382074234660421</v>
      </c>
      <c r="CG4" s="7">
        <v>5.6476011311058727E-2</v>
      </c>
      <c r="CH4" s="7">
        <v>-4.7278812128794812E-3</v>
      </c>
      <c r="CI4" s="7">
        <v>8.4060042745477404E-2</v>
      </c>
      <c r="CJ4" s="7">
        <v>2.860589104349032E-2</v>
      </c>
      <c r="CK4" s="7">
        <v>-2.196015758338277E-2</v>
      </c>
      <c r="CL4" s="7">
        <v>-6.7870860352922335E-2</v>
      </c>
      <c r="CM4" s="7">
        <v>4.0070082430315068E-2</v>
      </c>
      <c r="CN4" s="7">
        <v>0.18816019391077179</v>
      </c>
      <c r="CO4" s="7">
        <v>2.367017674917093E-3</v>
      </c>
      <c r="CP4" s="7">
        <v>1.9450901205715351E-2</v>
      </c>
      <c r="CQ4" s="7">
        <v>-3.0616705499888042E-2</v>
      </c>
      <c r="CR4" s="7">
        <v>-0.28761057639089671</v>
      </c>
      <c r="CS4" s="7">
        <v>-0.27901111949972451</v>
      </c>
      <c r="CT4" s="7">
        <v>8.2166791936902683E-2</v>
      </c>
      <c r="CU4" s="7">
        <v>-0.1044948676458937</v>
      </c>
      <c r="CV4" s="7">
        <v>0.1117497704879042</v>
      </c>
      <c r="CW4" s="7">
        <v>-5.0011486829184548E-2</v>
      </c>
      <c r="CX4" s="7">
        <v>5.9209700317154557E-2</v>
      </c>
      <c r="CY4" s="7">
        <v>-0.17471118648177961</v>
      </c>
      <c r="CZ4" s="7">
        <v>-0.13109686697720241</v>
      </c>
      <c r="DA4" s="7">
        <v>-0.2203257151296327</v>
      </c>
      <c r="DB4" s="7">
        <v>-5.1224388631531781E-2</v>
      </c>
      <c r="DC4" s="7">
        <v>-0.14279358769975301</v>
      </c>
      <c r="DD4" s="7">
        <v>0.1020904846945818</v>
      </c>
      <c r="DE4" s="7">
        <v>4.4656291464193032E-2</v>
      </c>
      <c r="DF4" s="7">
        <v>5.6233135690451519E-2</v>
      </c>
      <c r="DG4" s="7">
        <v>-0.1416822717519004</v>
      </c>
      <c r="DH4" s="7">
        <v>0.15762567020768259</v>
      </c>
      <c r="DI4" s="7">
        <v>-6.2035901643650249E-2</v>
      </c>
      <c r="DJ4" s="7">
        <v>-0.1196792904639139</v>
      </c>
      <c r="DK4" s="7">
        <v>-0.1636929902628452</v>
      </c>
      <c r="DL4" s="7">
        <v>9.4429634312145794E-2</v>
      </c>
      <c r="DM4" s="7">
        <v>0.23372019522840051</v>
      </c>
      <c r="DN4" s="7">
        <v>7.3797400786563827E-2</v>
      </c>
      <c r="DO4" s="7">
        <v>-4.5812944635489572E-2</v>
      </c>
      <c r="DP4" s="7">
        <v>-6.8308325202590225E-2</v>
      </c>
      <c r="DQ4" s="7">
        <v>-0.16930629268172481</v>
      </c>
      <c r="DR4" s="7">
        <v>-0.1292436792863576</v>
      </c>
      <c r="DS4" s="7">
        <v>-7.3886793403296736E-2</v>
      </c>
      <c r="DT4" s="7">
        <v>-0.20370624475922131</v>
      </c>
      <c r="DU4" s="7">
        <v>-5.4891500526604631E-2</v>
      </c>
      <c r="DV4" s="7">
        <v>1.2036945748828741E-2</v>
      </c>
      <c r="DW4" s="7">
        <v>-6.1300239407735546E-3</v>
      </c>
      <c r="DX4" s="7">
        <v>-8.4900404469877344E-2</v>
      </c>
      <c r="DY4" s="7">
        <v>0.1000065013622802</v>
      </c>
      <c r="DZ4" s="7">
        <v>-0.1310602433648711</v>
      </c>
      <c r="EA4" s="7">
        <v>-0.1948807812701929</v>
      </c>
      <c r="EB4" s="7">
        <v>-0.31979832241280798</v>
      </c>
      <c r="EC4" s="7">
        <v>4.9837267550007169E-2</v>
      </c>
      <c r="ED4" s="7">
        <v>5.4627759739140913E-2</v>
      </c>
      <c r="EE4" s="7">
        <v>0.1200464788195035</v>
      </c>
      <c r="EF4" s="7">
        <v>0.24381115553913091</v>
      </c>
      <c r="EG4" s="1"/>
    </row>
    <row r="5" spans="1:139" x14ac:dyDescent="0.3">
      <c r="B5" s="1" t="s">
        <v>138</v>
      </c>
      <c r="C5" s="7">
        <v>-0.20935792122733929</v>
      </c>
      <c r="D5" s="7">
        <v>-0.1073627692333063</v>
      </c>
      <c r="E5" s="7">
        <v>0.52484760680152232</v>
      </c>
      <c r="F5" s="7">
        <v>4.6837059958046809E-2</v>
      </c>
      <c r="G5" s="7">
        <v>-0.2104714261735883</v>
      </c>
      <c r="H5" s="7">
        <v>0.4744149628629204</v>
      </c>
      <c r="I5" s="7">
        <v>0.14678498763585299</v>
      </c>
      <c r="J5" s="7">
        <v>-5.6231752728838222E-2</v>
      </c>
      <c r="K5" s="7">
        <v>0.27552845629080469</v>
      </c>
      <c r="L5" s="7">
        <v>-0.43004286310886081</v>
      </c>
      <c r="M5" s="7">
        <v>0.32376774959305898</v>
      </c>
      <c r="N5" s="7">
        <v>-0.34824165047033961</v>
      </c>
      <c r="O5" s="7">
        <v>-9.7528911512976074E-2</v>
      </c>
      <c r="P5" s="7">
        <v>0.39546612391174241</v>
      </c>
      <c r="Q5" s="7">
        <v>4.8467491330228173E-2</v>
      </c>
      <c r="R5" s="7">
        <v>-9.8851331549351315E-2</v>
      </c>
      <c r="S5" s="7">
        <v>0.3057921371194337</v>
      </c>
      <c r="T5" s="7">
        <v>7.2071946189346189E-2</v>
      </c>
      <c r="U5" s="7">
        <v>-4.7890408561752917E-4</v>
      </c>
      <c r="V5" s="7">
        <v>-0.13936695356286269</v>
      </c>
      <c r="W5" s="7">
        <v>-0.39469012652483237</v>
      </c>
      <c r="X5" s="7">
        <v>-0.12947787244850251</v>
      </c>
      <c r="Y5" s="7">
        <v>-0.68127295831176804</v>
      </c>
      <c r="Z5" s="7">
        <v>-4.1720386960932424E-3</v>
      </c>
      <c r="AA5" s="7">
        <v>1.8198047382592619E-2</v>
      </c>
      <c r="AB5" s="7">
        <v>0.20112165888415301</v>
      </c>
      <c r="AC5" s="7">
        <v>-8.9163225286403025E-2</v>
      </c>
      <c r="AD5" s="7">
        <v>0.14514145822358679</v>
      </c>
      <c r="AE5" s="7">
        <v>7.4669147590605167E-2</v>
      </c>
      <c r="AF5" s="7">
        <v>0.17577042279847119</v>
      </c>
      <c r="AG5" s="7">
        <v>-0.30336041259100399</v>
      </c>
      <c r="AH5" s="7">
        <v>-0.3482499081721625</v>
      </c>
      <c r="AI5" s="7">
        <v>0.25872371710226461</v>
      </c>
      <c r="AJ5" s="7">
        <v>-0.48889196953357</v>
      </c>
      <c r="AK5" s="7">
        <v>0.13254842946584691</v>
      </c>
      <c r="AL5" s="7">
        <v>-2.3789775596635129E-2</v>
      </c>
      <c r="AM5" s="7">
        <v>1.17524054827144E-2</v>
      </c>
      <c r="AN5" s="7">
        <v>-7.4933432869098024E-2</v>
      </c>
      <c r="AO5" s="7">
        <v>0.1844633194704077</v>
      </c>
      <c r="AP5" s="7">
        <v>3.2348031051998787E-2</v>
      </c>
      <c r="AQ5" s="7">
        <v>0.1511984265546954</v>
      </c>
      <c r="AR5" s="7">
        <v>-9.5283109587288514E-2</v>
      </c>
      <c r="AS5" s="7">
        <v>-0.1260043749729467</v>
      </c>
      <c r="AT5" s="7">
        <v>0.1516447920969482</v>
      </c>
      <c r="AU5" s="7">
        <v>-0.20083705233961571</v>
      </c>
      <c r="AV5" s="7">
        <v>7.890636801828628E-2</v>
      </c>
      <c r="AW5" s="7">
        <v>6.7935762483271878E-4</v>
      </c>
      <c r="AX5" s="7">
        <v>0.1122931240608864</v>
      </c>
      <c r="AY5" s="7">
        <v>-0.118056117907044</v>
      </c>
      <c r="AZ5" s="7">
        <v>0.20621977214253931</v>
      </c>
      <c r="BA5" s="7">
        <v>-3.9691918773370187E-2</v>
      </c>
      <c r="BB5" s="7">
        <v>8.2995939761629778E-2</v>
      </c>
      <c r="BC5" s="7">
        <v>-0.13000542995066139</v>
      </c>
      <c r="BD5" s="7">
        <v>-0.1063161628626854</v>
      </c>
      <c r="BE5" s="7">
        <v>0.1159333959862182</v>
      </c>
      <c r="BF5" s="7">
        <v>-0.28526227318364472</v>
      </c>
      <c r="BG5" s="7">
        <v>-0.15093334040887121</v>
      </c>
      <c r="BH5" s="7">
        <v>2.919940093087194E-3</v>
      </c>
      <c r="BI5" s="7">
        <v>5.812657406460206E-2</v>
      </c>
      <c r="BJ5" s="7">
        <v>-0.25986983403483388</v>
      </c>
      <c r="BK5" s="7">
        <v>0.18487944696901781</v>
      </c>
      <c r="BL5" s="7">
        <v>-0.26913172790454543</v>
      </c>
      <c r="BM5" s="7">
        <v>0.1717381908649544</v>
      </c>
      <c r="BN5" s="7">
        <v>-0.18092216130584951</v>
      </c>
      <c r="BO5" s="7">
        <v>-6.3203737577877367E-2</v>
      </c>
      <c r="BP5" s="7">
        <v>7.1867500126512024E-2</v>
      </c>
      <c r="BQ5" s="7">
        <v>-0.16861046240236999</v>
      </c>
      <c r="BR5" s="7">
        <v>-2.5447831594333319E-2</v>
      </c>
      <c r="BS5" s="7">
        <v>0.1244241075337672</v>
      </c>
      <c r="BT5" s="7">
        <v>0.20772231279415901</v>
      </c>
      <c r="BU5" s="7">
        <v>-6.0051294436158628E-2</v>
      </c>
      <c r="BV5" s="7">
        <v>-5.1700003009333508E-2</v>
      </c>
      <c r="BW5" s="7">
        <v>-0.1268015683060742</v>
      </c>
      <c r="BX5" s="7">
        <v>-0.10582029087279909</v>
      </c>
      <c r="BY5" s="7">
        <v>5.3607320437496067E-2</v>
      </c>
      <c r="BZ5" s="7">
        <v>-3.4479447424122608E-2</v>
      </c>
      <c r="CA5" s="7">
        <v>-2.0066210971329639E-2</v>
      </c>
      <c r="CB5" s="7">
        <v>8.4589606751002688E-2</v>
      </c>
      <c r="CC5" s="7">
        <v>-0.1103836570393476</v>
      </c>
      <c r="CD5" s="7">
        <v>0.32742328506094998</v>
      </c>
      <c r="CE5" s="7">
        <v>-1.486719718236725E-2</v>
      </c>
      <c r="CF5" s="7">
        <v>-0.14937324914413941</v>
      </c>
      <c r="CG5" s="7">
        <v>0.16320028060313421</v>
      </c>
      <c r="CH5" s="7">
        <v>-6.9038325074175663E-2</v>
      </c>
      <c r="CI5" s="7">
        <v>-0.11536214708505139</v>
      </c>
      <c r="CJ5" s="7">
        <v>-0.26301723908525793</v>
      </c>
      <c r="CK5" s="7">
        <v>0.37897350211797709</v>
      </c>
      <c r="CL5" s="7">
        <v>-7.6383453932209341E-2</v>
      </c>
      <c r="CM5" s="7">
        <v>4.2833444041791832E-2</v>
      </c>
      <c r="CN5" s="7">
        <v>-0.15161552738072651</v>
      </c>
      <c r="CO5" s="7">
        <v>0.43716796518582229</v>
      </c>
      <c r="CP5" s="7">
        <v>-4.1833927507883796E-3</v>
      </c>
      <c r="CQ5" s="7">
        <v>-0.49935244279872992</v>
      </c>
      <c r="CR5" s="7">
        <v>0.3398570382696095</v>
      </c>
      <c r="CS5" s="7">
        <v>-0.18988696947799641</v>
      </c>
      <c r="CT5" s="7">
        <v>0.2246197528310597</v>
      </c>
      <c r="CU5" s="7">
        <v>-0.25171771168640761</v>
      </c>
      <c r="CV5" s="7">
        <v>-6.0587944319075937E-2</v>
      </c>
      <c r="CW5" s="7">
        <v>0.2108770628752098</v>
      </c>
      <c r="CX5" s="7">
        <v>0.25016150139728283</v>
      </c>
      <c r="CY5" s="7">
        <v>-0.52413353929587791</v>
      </c>
      <c r="CZ5" s="7">
        <v>0.8216183061041753</v>
      </c>
      <c r="DA5" s="7">
        <v>-0.17652298417539669</v>
      </c>
      <c r="DB5" s="7">
        <v>0.13115957739194459</v>
      </c>
      <c r="DC5" s="7">
        <v>0.1757366545058428</v>
      </c>
      <c r="DD5" s="7">
        <v>-0.42083892435479142</v>
      </c>
      <c r="DE5" s="7">
        <v>-0.2279724207651195</v>
      </c>
      <c r="DF5" s="7">
        <v>-0.33715973842927388</v>
      </c>
      <c r="DG5" s="7">
        <v>-0.44400370439279008</v>
      </c>
      <c r="DH5" s="7">
        <v>-4.293279443633978E-2</v>
      </c>
      <c r="DI5" s="7">
        <v>0.30896916307249689</v>
      </c>
      <c r="DJ5" s="7">
        <v>-0.28669247758290828</v>
      </c>
      <c r="DK5" s="7">
        <v>0.84621248517861269</v>
      </c>
      <c r="DL5" s="7">
        <v>-0.16924034367306559</v>
      </c>
      <c r="DM5" s="7">
        <v>-0.43945016692248923</v>
      </c>
      <c r="DN5" s="7">
        <v>0.74751336560070059</v>
      </c>
      <c r="DO5" s="7">
        <v>-0.39996426308914668</v>
      </c>
      <c r="DP5" s="7">
        <v>-4.4863264481034962E-2</v>
      </c>
      <c r="DQ5" s="7">
        <v>-0.58863430244229409</v>
      </c>
      <c r="DR5" s="7">
        <v>-6.5627469319089037E-3</v>
      </c>
      <c r="DS5" s="7">
        <v>-0.19878519438361211</v>
      </c>
      <c r="DT5" s="7">
        <v>0.4132117833889476</v>
      </c>
      <c r="DU5" s="7">
        <v>-0.17065403209770361</v>
      </c>
      <c r="DV5" s="7">
        <v>0.68828031734213269</v>
      </c>
      <c r="DW5" s="7">
        <v>4.0806005098273937E-2</v>
      </c>
      <c r="DX5" s="7">
        <v>-0.1999347157162332</v>
      </c>
      <c r="DY5" s="7">
        <v>0.56631420698904078</v>
      </c>
      <c r="DZ5" s="7">
        <v>0.47362880432099852</v>
      </c>
      <c r="EA5" s="7">
        <v>9.5444977871898054E-2</v>
      </c>
      <c r="EB5" s="7">
        <v>-1.076360940060376</v>
      </c>
      <c r="EC5" s="7">
        <v>-0.13610628648279391</v>
      </c>
      <c r="ED5" s="7">
        <v>-0.27349656344743889</v>
      </c>
      <c r="EE5" s="7">
        <v>0.60134859370029736</v>
      </c>
      <c r="EF5" s="7">
        <v>6.7468790588863341E-3</v>
      </c>
      <c r="EG5" s="1"/>
    </row>
    <row r="6" spans="1:139" x14ac:dyDescent="0.3">
      <c r="A6" s="22" t="s">
        <v>139</v>
      </c>
      <c r="B6" s="23"/>
      <c r="C6" s="7">
        <f t="array" ref="C6">MATCH(MAX(ABS(C3:C5)), ABS(C3:C5), 0)</f>
        <v>3</v>
      </c>
      <c r="D6" s="7">
        <f t="array" ref="D6">MATCH(MAX(ABS(D3:D5)), ABS(D3:D5), 0)</f>
        <v>2</v>
      </c>
      <c r="E6" s="7">
        <f t="array" ref="E6">MATCH(MAX(ABS(E3:E5)), ABS(E3:E5), 0)</f>
        <v>3</v>
      </c>
      <c r="F6" s="7">
        <f t="array" ref="F6">MATCH(MAX(ABS(F3:F5)), ABS(F3:F5), 0)</f>
        <v>3</v>
      </c>
      <c r="G6" s="7">
        <f t="array" ref="G6">MATCH(MAX(ABS(G3:G5)), ABS(G3:G5), 0)</f>
        <v>3</v>
      </c>
      <c r="H6" s="7">
        <f t="array" ref="H6">MATCH(MAX(ABS(H3:H5)), ABS(H3:H5), 0)</f>
        <v>3</v>
      </c>
      <c r="I6" s="7">
        <f t="array" ref="I6">MATCH(MAX(ABS(I3:I5)), ABS(I3:I5), 0)</f>
        <v>1</v>
      </c>
      <c r="J6" s="7">
        <f t="array" ref="J6">MATCH(MAX(ABS(J3:J5)), ABS(J3:J5), 0)</f>
        <v>1</v>
      </c>
      <c r="K6" s="7">
        <f t="array" ref="K6">MATCH(MAX(ABS(K3:K5)), ABS(K3:K5), 0)</f>
        <v>3</v>
      </c>
      <c r="L6" s="7">
        <f t="array" ref="L6">MATCH(MAX(ABS(L3:L5)), ABS(L3:L5), 0)</f>
        <v>3</v>
      </c>
      <c r="M6" s="7">
        <f t="array" ref="M6">MATCH(MAX(ABS(M3:M5)), ABS(M3:M5), 0)</f>
        <v>3</v>
      </c>
      <c r="N6" s="7">
        <f t="array" ref="N6">MATCH(MAX(ABS(N3:N5)), ABS(N3:N5), 0)</f>
        <v>3</v>
      </c>
      <c r="O6" s="7">
        <f t="array" ref="O6">MATCH(MAX(ABS(O3:O5)), ABS(O3:O5), 0)</f>
        <v>1</v>
      </c>
      <c r="P6" s="7">
        <f t="array" ref="P6">MATCH(MAX(ABS(P3:P5)), ABS(P3:P5), 0)</f>
        <v>3</v>
      </c>
      <c r="Q6" s="7">
        <f t="array" ref="Q6">MATCH(MAX(ABS(Q3:Q5)), ABS(Q3:Q5), 0)</f>
        <v>1</v>
      </c>
      <c r="R6" s="7">
        <f t="array" ref="R6">MATCH(MAX(ABS(R3:R5)), ABS(R3:R5), 0)</f>
        <v>1</v>
      </c>
      <c r="S6" s="7">
        <f t="array" ref="S6">MATCH(MAX(ABS(S3:S5)), ABS(S3:S5), 0)</f>
        <v>3</v>
      </c>
      <c r="T6" s="7">
        <f t="array" ref="T6">MATCH(MAX(ABS(T3:T5)), ABS(T3:T5), 0)</f>
        <v>1</v>
      </c>
      <c r="U6" s="7">
        <f t="array" ref="U6">MATCH(MAX(ABS(U3:U5)), ABS(U3:U5), 0)</f>
        <v>1</v>
      </c>
      <c r="V6" s="7">
        <f t="array" ref="V6">MATCH(MAX(ABS(V3:V5)), ABS(V3:V5), 0)</f>
        <v>3</v>
      </c>
      <c r="W6" s="7">
        <f t="array" ref="W6">MATCH(MAX(ABS(W3:W5)), ABS(W3:W5), 0)</f>
        <v>3</v>
      </c>
      <c r="X6" s="7">
        <f t="array" ref="X6">MATCH(MAX(ABS(X3:X5)), ABS(X3:X5), 0)</f>
        <v>2</v>
      </c>
      <c r="Y6" s="7">
        <f t="array" ref="Y6">MATCH(MAX(ABS(Y3:Y5)), ABS(Y3:Y5), 0)</f>
        <v>3</v>
      </c>
      <c r="Z6" s="7">
        <f t="array" ref="Z6">MATCH(MAX(ABS(Z3:Z5)), ABS(Z3:Z5), 0)</f>
        <v>1</v>
      </c>
      <c r="AA6" s="7">
        <f t="array" ref="AA6">MATCH(MAX(ABS(AA3:AA5)), ABS(AA3:AA5), 0)</f>
        <v>1</v>
      </c>
      <c r="AB6" s="7">
        <f t="array" ref="AB6">MATCH(MAX(ABS(AB3:AB5)), ABS(AB3:AB5), 0)</f>
        <v>1</v>
      </c>
      <c r="AC6" s="7">
        <f t="array" ref="AC6">MATCH(MAX(ABS(AC3:AC5)), ABS(AC3:AC5), 0)</f>
        <v>3</v>
      </c>
      <c r="AD6" s="7">
        <f t="array" ref="AD6">MATCH(MAX(ABS(AD3:AD5)), ABS(AD3:AD5), 0)</f>
        <v>3</v>
      </c>
      <c r="AE6" s="7">
        <f t="array" ref="AE6">MATCH(MAX(ABS(AE3:AE5)), ABS(AE3:AE5), 0)</f>
        <v>3</v>
      </c>
      <c r="AF6" s="7">
        <f t="array" ref="AF6">MATCH(MAX(ABS(AF3:AF5)), ABS(AF3:AF5), 0)</f>
        <v>3</v>
      </c>
      <c r="AG6" s="7">
        <f t="array" ref="AG6">MATCH(MAX(ABS(AG3:AG5)), ABS(AG3:AG5), 0)</f>
        <v>3</v>
      </c>
      <c r="AH6" s="7">
        <f t="array" ref="AH6">MATCH(MAX(ABS(AH3:AH5)), ABS(AH3:AH5), 0)</f>
        <v>3</v>
      </c>
      <c r="AI6" s="7">
        <f t="array" ref="AI6">MATCH(MAX(ABS(AI3:AI5)), ABS(AI3:AI5), 0)</f>
        <v>3</v>
      </c>
      <c r="AJ6" s="7">
        <f t="array" ref="AJ6">MATCH(MAX(ABS(AJ3:AJ5)), ABS(AJ3:AJ5), 0)</f>
        <v>3</v>
      </c>
      <c r="AK6" s="7">
        <f t="array" ref="AK6">MATCH(MAX(ABS(AK3:AK5)), ABS(AK3:AK5), 0)</f>
        <v>3</v>
      </c>
      <c r="AL6" s="7">
        <f t="array" ref="AL6">MATCH(MAX(ABS(AL3:AL5)), ABS(AL3:AL5), 0)</f>
        <v>1</v>
      </c>
      <c r="AM6" s="7">
        <f t="array" ref="AM6">MATCH(MAX(ABS(AM3:AM5)), ABS(AM3:AM5), 0)</f>
        <v>1</v>
      </c>
      <c r="AN6" s="7">
        <f t="array" ref="AN6">MATCH(MAX(ABS(AN3:AN5)), ABS(AN3:AN5), 0)</f>
        <v>1</v>
      </c>
      <c r="AO6" s="7">
        <f t="array" ref="AO6">MATCH(MAX(ABS(AO3:AO5)), ABS(AO3:AO5), 0)</f>
        <v>3</v>
      </c>
      <c r="AP6" s="7">
        <f t="array" ref="AP6">MATCH(MAX(ABS(AP3:AP5)), ABS(AP3:AP5), 0)</f>
        <v>2</v>
      </c>
      <c r="AQ6" s="7">
        <f t="array" ref="AQ6">MATCH(MAX(ABS(AQ3:AQ5)), ABS(AQ3:AQ5), 0)</f>
        <v>1</v>
      </c>
      <c r="AR6" s="7">
        <f t="array" ref="AR6">MATCH(MAX(ABS(AR3:AR5)), ABS(AR3:AR5), 0)</f>
        <v>2</v>
      </c>
      <c r="AS6" s="7">
        <f t="array" ref="AS6">MATCH(MAX(ABS(AS3:AS5)), ABS(AS3:AS5), 0)</f>
        <v>1</v>
      </c>
      <c r="AT6" s="7">
        <f t="array" ref="AT6">MATCH(MAX(ABS(AT3:AT5)), ABS(AT3:AT5), 0)</f>
        <v>3</v>
      </c>
      <c r="AU6" s="7">
        <f t="array" ref="AU6">MATCH(MAX(ABS(AU3:AU5)), ABS(AU3:AU5), 0)</f>
        <v>3</v>
      </c>
      <c r="AV6" s="7">
        <f t="array" ref="AV6">MATCH(MAX(ABS(AV3:AV5)), ABS(AV3:AV5), 0)</f>
        <v>2</v>
      </c>
      <c r="AW6" s="7">
        <f t="array" ref="AW6">MATCH(MAX(ABS(AW3:AW5)), ABS(AW3:AW5), 0)</f>
        <v>1</v>
      </c>
      <c r="AX6" s="7">
        <f t="array" ref="AX6">MATCH(MAX(ABS(AX3:AX5)), ABS(AX3:AX5), 0)</f>
        <v>3</v>
      </c>
      <c r="AY6" s="7">
        <f t="array" ref="AY6">MATCH(MAX(ABS(AY3:AY5)), ABS(AY3:AY5), 0)</f>
        <v>3</v>
      </c>
      <c r="AZ6" s="7">
        <f t="array" ref="AZ6">MATCH(MAX(ABS(AZ3:AZ5)), ABS(AZ3:AZ5), 0)</f>
        <v>3</v>
      </c>
      <c r="BA6" s="7">
        <f t="array" ref="BA6">MATCH(MAX(ABS(BA3:BA5)), ABS(BA3:BA5), 0)</f>
        <v>1</v>
      </c>
      <c r="BB6" s="7">
        <f t="array" ref="BB6">MATCH(MAX(ABS(BB3:BB5)), ABS(BB3:BB5), 0)</f>
        <v>2</v>
      </c>
      <c r="BC6" s="7">
        <f t="array" ref="BC6">MATCH(MAX(ABS(BC3:BC5)), ABS(BC3:BC5), 0)</f>
        <v>1</v>
      </c>
      <c r="BD6" s="7">
        <f t="array" ref="BD6">MATCH(MAX(ABS(BD3:BD5)), ABS(BD3:BD5), 0)</f>
        <v>1</v>
      </c>
      <c r="BE6" s="7">
        <f t="array" ref="BE6">MATCH(MAX(ABS(BE3:BE5)), ABS(BE3:BE5), 0)</f>
        <v>1</v>
      </c>
      <c r="BF6" s="7">
        <f t="array" ref="BF6">MATCH(MAX(ABS(BF3:BF5)), ABS(BF3:BF5), 0)</f>
        <v>3</v>
      </c>
      <c r="BG6" s="7">
        <f t="array" ref="BG6">MATCH(MAX(ABS(BG3:BG5)), ABS(BG3:BG5), 0)</f>
        <v>1</v>
      </c>
      <c r="BH6" s="7">
        <f t="array" ref="BH6">MATCH(MAX(ABS(BH3:BH5)), ABS(BH3:BH5), 0)</f>
        <v>1</v>
      </c>
      <c r="BI6" s="7">
        <f t="array" ref="BI6">MATCH(MAX(ABS(BI3:BI5)), ABS(BI3:BI5), 0)</f>
        <v>3</v>
      </c>
      <c r="BJ6" s="7">
        <f t="array" ref="BJ6">MATCH(MAX(ABS(BJ3:BJ5)), ABS(BJ3:BJ5), 0)</f>
        <v>3</v>
      </c>
      <c r="BK6" s="7">
        <f t="array" ref="BK6">MATCH(MAX(ABS(BK3:BK5)), ABS(BK3:BK5), 0)</f>
        <v>3</v>
      </c>
      <c r="BL6" s="7">
        <f t="array" ref="BL6">MATCH(MAX(ABS(BL3:BL5)), ABS(BL3:BL5), 0)</f>
        <v>3</v>
      </c>
      <c r="BM6" s="7">
        <f t="array" ref="BM6">MATCH(MAX(ABS(BM3:BM5)), ABS(BM3:BM5), 0)</f>
        <v>3</v>
      </c>
      <c r="BN6" s="7">
        <f t="array" ref="BN6">MATCH(MAX(ABS(BN3:BN5)), ABS(BN3:BN5), 0)</f>
        <v>3</v>
      </c>
      <c r="BO6" s="7">
        <f t="array" ref="BO6">MATCH(MAX(ABS(BO3:BO5)), ABS(BO3:BO5), 0)</f>
        <v>1</v>
      </c>
      <c r="BP6" s="7">
        <f t="array" ref="BP6">MATCH(MAX(ABS(BP3:BP5)), ABS(BP3:BP5), 0)</f>
        <v>2</v>
      </c>
      <c r="BQ6" s="7">
        <f t="array" ref="BQ6">MATCH(MAX(ABS(BQ3:BQ5)), ABS(BQ3:BQ5), 0)</f>
        <v>3</v>
      </c>
      <c r="BR6" s="7">
        <f t="array" ref="BR6">MATCH(MAX(ABS(BR3:BR5)), ABS(BR3:BR5), 0)</f>
        <v>1</v>
      </c>
      <c r="BS6" s="7">
        <f t="array" ref="BS6">MATCH(MAX(ABS(BS3:BS5)), ABS(BS3:BS5), 0)</f>
        <v>3</v>
      </c>
      <c r="BT6" s="7">
        <f t="array" ref="BT6">MATCH(MAX(ABS(BT3:BT5)), ABS(BT3:BT5), 0)</f>
        <v>3</v>
      </c>
      <c r="BU6" s="7">
        <f t="array" ref="BU6">MATCH(MAX(ABS(BU3:BU5)), ABS(BU3:BU5), 0)</f>
        <v>1</v>
      </c>
      <c r="BV6" s="7">
        <f t="array" ref="BV6">MATCH(MAX(ABS(BV3:BV5)), ABS(BV3:BV5), 0)</f>
        <v>2</v>
      </c>
      <c r="BW6" s="7">
        <f t="array" ref="BW6">MATCH(MAX(ABS(BW3:BW5)), ABS(BW3:BW5), 0)</f>
        <v>3</v>
      </c>
      <c r="BX6" s="7">
        <f t="array" ref="BX6">MATCH(MAX(ABS(BX3:BX5)), ABS(BX3:BX5), 0)</f>
        <v>3</v>
      </c>
      <c r="BY6" s="7">
        <f t="array" ref="BY6">MATCH(MAX(ABS(BY3:BY5)), ABS(BY3:BY5), 0)</f>
        <v>2</v>
      </c>
      <c r="BZ6" s="7">
        <f t="array" ref="BZ6">MATCH(MAX(ABS(BZ3:BZ5)), ABS(BZ3:BZ5), 0)</f>
        <v>1</v>
      </c>
      <c r="CA6" s="7">
        <f t="array" ref="CA6">MATCH(MAX(ABS(CA3:CA5)), ABS(CA3:CA5), 0)</f>
        <v>1</v>
      </c>
      <c r="CB6" s="7">
        <f t="array" ref="CB6">MATCH(MAX(ABS(CB3:CB5)), ABS(CB3:CB5), 0)</f>
        <v>2</v>
      </c>
      <c r="CC6" s="7">
        <f t="array" ref="CC6">MATCH(MAX(ABS(CC3:CC5)), ABS(CC3:CC5), 0)</f>
        <v>2</v>
      </c>
      <c r="CD6" s="7">
        <f t="array" ref="CD6">MATCH(MAX(ABS(CD3:CD5)), ABS(CD3:CD5), 0)</f>
        <v>3</v>
      </c>
      <c r="CE6" s="7">
        <f t="array" ref="CE6">MATCH(MAX(ABS(CE3:CE5)), ABS(CE3:CE5), 0)</f>
        <v>1</v>
      </c>
      <c r="CF6" s="7">
        <f t="array" ref="CF6">MATCH(MAX(ABS(CF3:CF5)), ABS(CF3:CF5), 0)</f>
        <v>3</v>
      </c>
      <c r="CG6" s="7">
        <f t="array" ref="CG6">MATCH(MAX(ABS(CG3:CG5)), ABS(CG3:CG5), 0)</f>
        <v>3</v>
      </c>
      <c r="CH6" s="7">
        <f t="array" ref="CH6">MATCH(MAX(ABS(CH3:CH5)), ABS(CH3:CH5), 0)</f>
        <v>3</v>
      </c>
      <c r="CI6" s="7">
        <f t="array" ref="CI6">MATCH(MAX(ABS(CI3:CI5)), ABS(CI3:CI5), 0)</f>
        <v>3</v>
      </c>
      <c r="CJ6" s="7">
        <f t="array" ref="CJ6">MATCH(MAX(ABS(CJ3:CJ5)), ABS(CJ3:CJ5), 0)</f>
        <v>1</v>
      </c>
      <c r="CK6" s="7">
        <f t="array" ref="CK6">MATCH(MAX(ABS(CK3:CK5)), ABS(CK3:CK5), 0)</f>
        <v>3</v>
      </c>
      <c r="CL6" s="7">
        <f t="array" ref="CL6">MATCH(MAX(ABS(CL3:CL5)), ABS(CL3:CL5), 0)</f>
        <v>3</v>
      </c>
      <c r="CM6" s="7">
        <f t="array" ref="CM6">MATCH(MAX(ABS(CM3:CM5)), ABS(CM3:CM5), 0)</f>
        <v>1</v>
      </c>
      <c r="CN6" s="7">
        <f t="array" ref="CN6">MATCH(MAX(ABS(CN3:CN5)), ABS(CN3:CN5), 0)</f>
        <v>1</v>
      </c>
      <c r="CO6" s="7">
        <f t="array" ref="CO6">MATCH(MAX(ABS(CO3:CO5)), ABS(CO3:CO5), 0)</f>
        <v>3</v>
      </c>
      <c r="CP6" s="7">
        <f t="array" ref="CP6">MATCH(MAX(ABS(CP3:CP5)), ABS(CP3:CP5), 0)</f>
        <v>1</v>
      </c>
      <c r="CQ6" s="7">
        <f t="array" ref="CQ6">MATCH(MAX(ABS(CQ3:CQ5)), ABS(CQ3:CQ5), 0)</f>
        <v>3</v>
      </c>
      <c r="CR6" s="7">
        <f t="array" ref="CR6">MATCH(MAX(ABS(CR3:CR5)), ABS(CR3:CR5), 0)</f>
        <v>3</v>
      </c>
      <c r="CS6" s="7">
        <f t="array" ref="CS6">MATCH(MAX(ABS(CS3:CS5)), ABS(CS3:CS5), 0)</f>
        <v>2</v>
      </c>
      <c r="CT6" s="7">
        <f t="array" ref="CT6">MATCH(MAX(ABS(CT3:CT5)), ABS(CT3:CT5), 0)</f>
        <v>3</v>
      </c>
      <c r="CU6" s="7">
        <f t="array" ref="CU6">MATCH(MAX(ABS(CU3:CU5)), ABS(CU3:CU5), 0)</f>
        <v>3</v>
      </c>
      <c r="CV6" s="7">
        <f t="array" ref="CV6">MATCH(MAX(ABS(CV3:CV5)), ABS(CV3:CV5), 0)</f>
        <v>2</v>
      </c>
      <c r="CW6" s="7">
        <f t="array" ref="CW6">MATCH(MAX(ABS(CW3:CW5)), ABS(CW3:CW5), 0)</f>
        <v>3</v>
      </c>
      <c r="CX6" s="7">
        <f t="array" ref="CX6">MATCH(MAX(ABS(CX3:CX5)), ABS(CX3:CX5), 0)</f>
        <v>3</v>
      </c>
      <c r="CY6" s="7">
        <f t="array" ref="CY6">MATCH(MAX(ABS(CY3:CY5)), ABS(CY3:CY5), 0)</f>
        <v>3</v>
      </c>
      <c r="CZ6" s="7">
        <f t="array" ref="CZ6">MATCH(MAX(ABS(CZ3:CZ5)), ABS(CZ3:CZ5), 0)</f>
        <v>3</v>
      </c>
      <c r="DA6" s="7">
        <f t="array" ref="DA6">MATCH(MAX(ABS(DA3:DA5)), ABS(DA3:DA5), 0)</f>
        <v>1</v>
      </c>
      <c r="DB6" s="7">
        <f t="array" ref="DB6">MATCH(MAX(ABS(DB3:DB5)), ABS(DB3:DB5), 0)</f>
        <v>1</v>
      </c>
      <c r="DC6" s="7">
        <f t="array" ref="DC6">MATCH(MAX(ABS(DC3:DC5)), ABS(DC3:DC5), 0)</f>
        <v>1</v>
      </c>
      <c r="DD6" s="7">
        <f t="array" ref="DD6">MATCH(MAX(ABS(DD3:DD5)), ABS(DD3:DD5), 0)</f>
        <v>3</v>
      </c>
      <c r="DE6" s="7">
        <f t="array" ref="DE6">MATCH(MAX(ABS(DE3:DE5)), ABS(DE3:DE5), 0)</f>
        <v>3</v>
      </c>
      <c r="DF6" s="7">
        <f t="array" ref="DF6">MATCH(MAX(ABS(DF3:DF5)), ABS(DF3:DF5), 0)</f>
        <v>3</v>
      </c>
      <c r="DG6" s="7">
        <f t="array" ref="DG6">MATCH(MAX(ABS(DG3:DG5)), ABS(DG3:DG5), 0)</f>
        <v>3</v>
      </c>
      <c r="DH6" s="7">
        <f t="array" ref="DH6">MATCH(MAX(ABS(DH3:DH5)), ABS(DH3:DH5), 0)</f>
        <v>2</v>
      </c>
      <c r="DI6" s="7">
        <f t="array" ref="DI6">MATCH(MAX(ABS(DI3:DI5)), ABS(DI3:DI5), 0)</f>
        <v>3</v>
      </c>
      <c r="DJ6" s="7">
        <f t="array" ref="DJ6">MATCH(MAX(ABS(DJ3:DJ5)), ABS(DJ3:DJ5), 0)</f>
        <v>3</v>
      </c>
      <c r="DK6" s="7">
        <f t="array" ref="DK6">MATCH(MAX(ABS(DK3:DK5)), ABS(DK3:DK5), 0)</f>
        <v>3</v>
      </c>
      <c r="DL6" s="7">
        <f t="array" ref="DL6">MATCH(MAX(ABS(DL3:DL5)), ABS(DL3:DL5), 0)</f>
        <v>3</v>
      </c>
      <c r="DM6" s="7">
        <f t="array" ref="DM6">MATCH(MAX(ABS(DM3:DM5)), ABS(DM3:DM5), 0)</f>
        <v>3</v>
      </c>
      <c r="DN6" s="7">
        <f t="array" ref="DN6">MATCH(MAX(ABS(DN3:DN5)), ABS(DN3:DN5), 0)</f>
        <v>3</v>
      </c>
      <c r="DO6" s="7">
        <f t="array" ref="DO6">MATCH(MAX(ABS(DO3:DO5)), ABS(DO3:DO5), 0)</f>
        <v>3</v>
      </c>
      <c r="DP6" s="7">
        <f t="array" ref="DP6">MATCH(MAX(ABS(DP3:DP5)), ABS(DP3:DP5), 0)</f>
        <v>1</v>
      </c>
      <c r="DQ6" s="7">
        <f t="array" ref="DQ6">MATCH(MAX(ABS(DQ3:DQ5)), ABS(DQ3:DQ5), 0)</f>
        <v>3</v>
      </c>
      <c r="DR6" s="7">
        <f t="array" ref="DR6">MATCH(MAX(ABS(DR3:DR5)), ABS(DR3:DR5), 0)</f>
        <v>2</v>
      </c>
      <c r="DS6" s="7">
        <f t="array" ref="DS6">MATCH(MAX(ABS(DS3:DS5)), ABS(DS3:DS5), 0)</f>
        <v>3</v>
      </c>
      <c r="DT6" s="7">
        <f t="array" ref="DT6">MATCH(MAX(ABS(DT3:DT5)), ABS(DT3:DT5), 0)</f>
        <v>3</v>
      </c>
      <c r="DU6" s="7">
        <f t="array" ref="DU6">MATCH(MAX(ABS(DU3:DU5)), ABS(DU3:DU5), 0)</f>
        <v>3</v>
      </c>
      <c r="DV6" s="7">
        <f t="array" ref="DV6">MATCH(MAX(ABS(DV3:DV5)), ABS(DV3:DV5), 0)</f>
        <v>3</v>
      </c>
      <c r="DW6" s="7">
        <f t="array" ref="DW6">MATCH(MAX(ABS(DW3:DW5)), ABS(DW3:DW5), 0)</f>
        <v>1</v>
      </c>
      <c r="DX6" s="7">
        <f t="array" ref="DX6">MATCH(MAX(ABS(DX3:DX5)), ABS(DX3:DX5), 0)</f>
        <v>3</v>
      </c>
      <c r="DY6" s="7">
        <f t="array" ref="DY6">MATCH(MAX(ABS(DY3:DY5)), ABS(DY3:DY5), 0)</f>
        <v>3</v>
      </c>
      <c r="DZ6" s="7">
        <f t="array" ref="DZ6">MATCH(MAX(ABS(DZ3:DZ5)), ABS(DZ3:DZ5), 0)</f>
        <v>3</v>
      </c>
      <c r="EA6" s="7">
        <f t="array" ref="EA6">MATCH(MAX(ABS(EA3:EA5)), ABS(EA3:EA5), 0)</f>
        <v>2</v>
      </c>
      <c r="EB6" s="7">
        <f t="array" ref="EB6">MATCH(MAX(ABS(EB3:EB5)), ABS(EB3:EB5), 0)</f>
        <v>3</v>
      </c>
      <c r="EC6" s="7">
        <f t="array" ref="EC6">MATCH(MAX(ABS(EC3:EC5)), ABS(EC3:EC5), 0)</f>
        <v>3</v>
      </c>
      <c r="ED6" s="7">
        <f t="array" ref="ED6">MATCH(MAX(ABS(ED3:ED5)), ABS(ED3:ED5), 0)</f>
        <v>3</v>
      </c>
      <c r="EE6" s="7">
        <f t="array" ref="EE6">MATCH(MAX(ABS(EE3:EE5)), ABS(EE3:EE5), 0)</f>
        <v>3</v>
      </c>
      <c r="EF6" s="7">
        <f t="array" ref="EF6">MATCH(MAX(ABS(EF3:EF5)), ABS(EF3:EF5), 0)</f>
        <v>2</v>
      </c>
      <c r="EG6" s="1">
        <f t="array" ref="EG6">MATCH(MAX(ABS(EG3:EG5)), ABS(EG3:EG5), 0)</f>
        <v>1</v>
      </c>
    </row>
    <row r="7" spans="1:139" x14ac:dyDescent="0.3">
      <c r="C7" s="7" t="str">
        <f t="shared" ref="C7:BN7" si="0">IF(C6=1,"bm",IF(C6=2,"size",IF(C6=3,"mom")))</f>
        <v>mom</v>
      </c>
      <c r="D7" s="7" t="str">
        <f t="shared" si="0"/>
        <v>size</v>
      </c>
      <c r="E7" s="7" t="str">
        <f t="shared" si="0"/>
        <v>mom</v>
      </c>
      <c r="F7" s="7" t="str">
        <f t="shared" si="0"/>
        <v>mom</v>
      </c>
      <c r="G7" s="7" t="str">
        <f t="shared" si="0"/>
        <v>mom</v>
      </c>
      <c r="H7" s="7" t="str">
        <f t="shared" si="0"/>
        <v>mom</v>
      </c>
      <c r="I7" s="7" t="str">
        <f t="shared" si="0"/>
        <v>bm</v>
      </c>
      <c r="J7" s="7" t="str">
        <f t="shared" si="0"/>
        <v>bm</v>
      </c>
      <c r="K7" s="7" t="str">
        <f t="shared" si="0"/>
        <v>mom</v>
      </c>
      <c r="L7" s="7" t="str">
        <f t="shared" si="0"/>
        <v>mom</v>
      </c>
      <c r="M7" s="7" t="str">
        <f t="shared" si="0"/>
        <v>mom</v>
      </c>
      <c r="N7" s="7" t="str">
        <f t="shared" si="0"/>
        <v>mom</v>
      </c>
      <c r="O7" s="7" t="str">
        <f t="shared" si="0"/>
        <v>bm</v>
      </c>
      <c r="P7" s="7" t="str">
        <f t="shared" si="0"/>
        <v>mom</v>
      </c>
      <c r="Q7" s="7" t="str">
        <f t="shared" si="0"/>
        <v>bm</v>
      </c>
      <c r="R7" s="7" t="str">
        <f t="shared" si="0"/>
        <v>bm</v>
      </c>
      <c r="S7" s="7" t="str">
        <f t="shared" si="0"/>
        <v>mom</v>
      </c>
      <c r="T7" s="7" t="str">
        <f t="shared" si="0"/>
        <v>bm</v>
      </c>
      <c r="U7" s="7" t="str">
        <f t="shared" si="0"/>
        <v>bm</v>
      </c>
      <c r="V7" s="7" t="str">
        <f t="shared" si="0"/>
        <v>mom</v>
      </c>
      <c r="W7" s="7" t="str">
        <f t="shared" si="0"/>
        <v>mom</v>
      </c>
      <c r="X7" s="7" t="str">
        <f t="shared" si="0"/>
        <v>size</v>
      </c>
      <c r="Y7" s="7" t="str">
        <f t="shared" si="0"/>
        <v>mom</v>
      </c>
      <c r="Z7" s="7" t="str">
        <f t="shared" si="0"/>
        <v>bm</v>
      </c>
      <c r="AA7" s="7" t="str">
        <f t="shared" si="0"/>
        <v>bm</v>
      </c>
      <c r="AB7" s="7" t="str">
        <f t="shared" si="0"/>
        <v>bm</v>
      </c>
      <c r="AC7" s="7" t="str">
        <f t="shared" si="0"/>
        <v>mom</v>
      </c>
      <c r="AD7" s="7" t="str">
        <f t="shared" si="0"/>
        <v>mom</v>
      </c>
      <c r="AE7" s="7" t="str">
        <f t="shared" si="0"/>
        <v>mom</v>
      </c>
      <c r="AF7" s="7" t="str">
        <f t="shared" si="0"/>
        <v>mom</v>
      </c>
      <c r="AG7" s="7" t="str">
        <f t="shared" si="0"/>
        <v>mom</v>
      </c>
      <c r="AH7" s="7" t="str">
        <f t="shared" si="0"/>
        <v>mom</v>
      </c>
      <c r="AI7" s="7" t="str">
        <f t="shared" si="0"/>
        <v>mom</v>
      </c>
      <c r="AJ7" s="7" t="str">
        <f t="shared" si="0"/>
        <v>mom</v>
      </c>
      <c r="AK7" s="7" t="str">
        <f t="shared" si="0"/>
        <v>mom</v>
      </c>
      <c r="AL7" s="7" t="str">
        <f t="shared" si="0"/>
        <v>bm</v>
      </c>
      <c r="AM7" s="7" t="str">
        <f t="shared" si="0"/>
        <v>bm</v>
      </c>
      <c r="AN7" s="7" t="str">
        <f t="shared" si="0"/>
        <v>bm</v>
      </c>
      <c r="AO7" s="7" t="str">
        <f t="shared" si="0"/>
        <v>mom</v>
      </c>
      <c r="AP7" s="7" t="str">
        <f t="shared" si="0"/>
        <v>size</v>
      </c>
      <c r="AQ7" s="7" t="str">
        <f t="shared" si="0"/>
        <v>bm</v>
      </c>
      <c r="AR7" s="7" t="str">
        <f t="shared" si="0"/>
        <v>size</v>
      </c>
      <c r="AS7" s="7" t="str">
        <f t="shared" si="0"/>
        <v>bm</v>
      </c>
      <c r="AT7" s="7" t="str">
        <f t="shared" si="0"/>
        <v>mom</v>
      </c>
      <c r="AU7" s="7" t="str">
        <f t="shared" si="0"/>
        <v>mom</v>
      </c>
      <c r="AV7" s="7" t="str">
        <f t="shared" si="0"/>
        <v>size</v>
      </c>
      <c r="AW7" s="7" t="str">
        <f t="shared" si="0"/>
        <v>bm</v>
      </c>
      <c r="AX7" s="7" t="str">
        <f t="shared" si="0"/>
        <v>mom</v>
      </c>
      <c r="AY7" s="7" t="str">
        <f t="shared" si="0"/>
        <v>mom</v>
      </c>
      <c r="AZ7" s="7" t="str">
        <f t="shared" si="0"/>
        <v>mom</v>
      </c>
      <c r="BA7" s="7" t="str">
        <f t="shared" si="0"/>
        <v>bm</v>
      </c>
      <c r="BB7" s="7" t="str">
        <f t="shared" si="0"/>
        <v>size</v>
      </c>
      <c r="BC7" s="7" t="str">
        <f t="shared" si="0"/>
        <v>bm</v>
      </c>
      <c r="BD7" s="7" t="str">
        <f t="shared" si="0"/>
        <v>bm</v>
      </c>
      <c r="BE7" s="7" t="str">
        <f t="shared" si="0"/>
        <v>bm</v>
      </c>
      <c r="BF7" s="7" t="str">
        <f t="shared" si="0"/>
        <v>mom</v>
      </c>
      <c r="BG7" s="7" t="str">
        <f t="shared" si="0"/>
        <v>bm</v>
      </c>
      <c r="BH7" s="7" t="str">
        <f t="shared" si="0"/>
        <v>bm</v>
      </c>
      <c r="BI7" s="7" t="str">
        <f t="shared" si="0"/>
        <v>mom</v>
      </c>
      <c r="BJ7" s="7" t="str">
        <f t="shared" si="0"/>
        <v>mom</v>
      </c>
      <c r="BK7" s="7" t="str">
        <f t="shared" si="0"/>
        <v>mom</v>
      </c>
      <c r="BL7" s="7" t="str">
        <f t="shared" si="0"/>
        <v>mom</v>
      </c>
      <c r="BM7" s="7" t="str">
        <f t="shared" si="0"/>
        <v>mom</v>
      </c>
      <c r="BN7" s="7" t="str">
        <f t="shared" si="0"/>
        <v>mom</v>
      </c>
      <c r="BO7" s="7" t="str">
        <f t="shared" ref="BO7:DZ7" si="1">IF(BO6=1,"bm",IF(BO6=2,"size",IF(BO6=3,"mom")))</f>
        <v>bm</v>
      </c>
      <c r="BP7" s="7" t="str">
        <f t="shared" si="1"/>
        <v>size</v>
      </c>
      <c r="BQ7" s="7" t="str">
        <f t="shared" si="1"/>
        <v>mom</v>
      </c>
      <c r="BR7" s="7" t="str">
        <f t="shared" si="1"/>
        <v>bm</v>
      </c>
      <c r="BS7" s="7" t="str">
        <f t="shared" si="1"/>
        <v>mom</v>
      </c>
      <c r="BT7" s="7" t="str">
        <f t="shared" si="1"/>
        <v>mom</v>
      </c>
      <c r="BU7" s="7" t="str">
        <f t="shared" si="1"/>
        <v>bm</v>
      </c>
      <c r="BV7" s="7" t="str">
        <f t="shared" si="1"/>
        <v>size</v>
      </c>
      <c r="BW7" s="7" t="str">
        <f t="shared" si="1"/>
        <v>mom</v>
      </c>
      <c r="BX7" s="7" t="str">
        <f t="shared" si="1"/>
        <v>mom</v>
      </c>
      <c r="BY7" s="7" t="str">
        <f t="shared" si="1"/>
        <v>size</v>
      </c>
      <c r="BZ7" s="7" t="str">
        <f t="shared" si="1"/>
        <v>bm</v>
      </c>
      <c r="CA7" s="7" t="str">
        <f t="shared" si="1"/>
        <v>bm</v>
      </c>
      <c r="CB7" s="7" t="str">
        <f t="shared" si="1"/>
        <v>size</v>
      </c>
      <c r="CC7" s="7" t="str">
        <f t="shared" si="1"/>
        <v>size</v>
      </c>
      <c r="CD7" s="7" t="str">
        <f t="shared" si="1"/>
        <v>mom</v>
      </c>
      <c r="CE7" s="7" t="str">
        <f t="shared" si="1"/>
        <v>bm</v>
      </c>
      <c r="CF7" s="7" t="str">
        <f t="shared" si="1"/>
        <v>mom</v>
      </c>
      <c r="CG7" s="7" t="str">
        <f t="shared" si="1"/>
        <v>mom</v>
      </c>
      <c r="CH7" s="7" t="str">
        <f t="shared" si="1"/>
        <v>mom</v>
      </c>
      <c r="CI7" s="7" t="str">
        <f t="shared" si="1"/>
        <v>mom</v>
      </c>
      <c r="CJ7" s="7" t="str">
        <f t="shared" si="1"/>
        <v>bm</v>
      </c>
      <c r="CK7" s="7" t="str">
        <f t="shared" si="1"/>
        <v>mom</v>
      </c>
      <c r="CL7" s="7" t="str">
        <f t="shared" si="1"/>
        <v>mom</v>
      </c>
      <c r="CM7" s="7" t="str">
        <f t="shared" si="1"/>
        <v>bm</v>
      </c>
      <c r="CN7" s="7" t="str">
        <f t="shared" si="1"/>
        <v>bm</v>
      </c>
      <c r="CO7" s="7" t="str">
        <f t="shared" si="1"/>
        <v>mom</v>
      </c>
      <c r="CP7" s="7" t="str">
        <f t="shared" si="1"/>
        <v>bm</v>
      </c>
      <c r="CQ7" s="7" t="str">
        <f t="shared" si="1"/>
        <v>mom</v>
      </c>
      <c r="CR7" s="7" t="str">
        <f t="shared" si="1"/>
        <v>mom</v>
      </c>
      <c r="CS7" s="7" t="str">
        <f t="shared" si="1"/>
        <v>size</v>
      </c>
      <c r="CT7" s="7" t="str">
        <f t="shared" si="1"/>
        <v>mom</v>
      </c>
      <c r="CU7" s="7" t="str">
        <f t="shared" si="1"/>
        <v>mom</v>
      </c>
      <c r="CV7" s="7" t="str">
        <f t="shared" si="1"/>
        <v>size</v>
      </c>
      <c r="CW7" s="7" t="str">
        <f t="shared" si="1"/>
        <v>mom</v>
      </c>
      <c r="CX7" s="7" t="str">
        <f t="shared" si="1"/>
        <v>mom</v>
      </c>
      <c r="CY7" s="7" t="str">
        <f t="shared" si="1"/>
        <v>mom</v>
      </c>
      <c r="CZ7" s="7" t="str">
        <f t="shared" si="1"/>
        <v>mom</v>
      </c>
      <c r="DA7" s="7" t="str">
        <f t="shared" si="1"/>
        <v>bm</v>
      </c>
      <c r="DB7" s="7" t="str">
        <f t="shared" si="1"/>
        <v>bm</v>
      </c>
      <c r="DC7" s="7" t="str">
        <f t="shared" si="1"/>
        <v>bm</v>
      </c>
      <c r="DD7" s="7" t="str">
        <f t="shared" si="1"/>
        <v>mom</v>
      </c>
      <c r="DE7" s="7" t="str">
        <f t="shared" si="1"/>
        <v>mom</v>
      </c>
      <c r="DF7" s="7" t="str">
        <f t="shared" si="1"/>
        <v>mom</v>
      </c>
      <c r="DG7" s="7" t="str">
        <f t="shared" si="1"/>
        <v>mom</v>
      </c>
      <c r="DH7" s="7" t="str">
        <f t="shared" si="1"/>
        <v>size</v>
      </c>
      <c r="DI7" s="7" t="str">
        <f t="shared" si="1"/>
        <v>mom</v>
      </c>
      <c r="DJ7" s="7" t="str">
        <f t="shared" si="1"/>
        <v>mom</v>
      </c>
      <c r="DK7" s="7" t="str">
        <f t="shared" si="1"/>
        <v>mom</v>
      </c>
      <c r="DL7" s="7" t="str">
        <f t="shared" si="1"/>
        <v>mom</v>
      </c>
      <c r="DM7" s="7" t="str">
        <f t="shared" si="1"/>
        <v>mom</v>
      </c>
      <c r="DN7" s="7" t="str">
        <f t="shared" si="1"/>
        <v>mom</v>
      </c>
      <c r="DO7" s="7" t="str">
        <f t="shared" si="1"/>
        <v>mom</v>
      </c>
      <c r="DP7" s="7" t="str">
        <f t="shared" si="1"/>
        <v>bm</v>
      </c>
      <c r="DQ7" s="7" t="str">
        <f t="shared" si="1"/>
        <v>mom</v>
      </c>
      <c r="DR7" s="7" t="str">
        <f t="shared" si="1"/>
        <v>size</v>
      </c>
      <c r="DS7" s="7" t="str">
        <f t="shared" si="1"/>
        <v>mom</v>
      </c>
      <c r="DT7" s="7" t="str">
        <f t="shared" si="1"/>
        <v>mom</v>
      </c>
      <c r="DU7" s="7" t="str">
        <f t="shared" si="1"/>
        <v>mom</v>
      </c>
      <c r="DV7" s="7" t="str">
        <f t="shared" si="1"/>
        <v>mom</v>
      </c>
      <c r="DW7" s="7" t="str">
        <f t="shared" si="1"/>
        <v>bm</v>
      </c>
      <c r="DX7" s="7" t="str">
        <f t="shared" si="1"/>
        <v>mom</v>
      </c>
      <c r="DY7" s="7" t="str">
        <f t="shared" si="1"/>
        <v>mom</v>
      </c>
      <c r="DZ7" s="7" t="str">
        <f t="shared" si="1"/>
        <v>mom</v>
      </c>
      <c r="EA7" s="7" t="str">
        <f t="shared" ref="EA7:EG7" si="2">IF(EA6=1,"bm",IF(EA6=2,"size",IF(EA6=3,"mom")))</f>
        <v>size</v>
      </c>
      <c r="EB7" s="7" t="str">
        <f t="shared" si="2"/>
        <v>mom</v>
      </c>
      <c r="EC7" s="7" t="str">
        <f t="shared" si="2"/>
        <v>mom</v>
      </c>
      <c r="ED7" s="7" t="str">
        <f t="shared" si="2"/>
        <v>mom</v>
      </c>
      <c r="EE7" s="7" t="str">
        <f t="shared" si="2"/>
        <v>mom</v>
      </c>
      <c r="EF7" s="7" t="str">
        <f t="shared" si="2"/>
        <v>size</v>
      </c>
      <c r="EG7" s="1" t="str">
        <f t="shared" si="2"/>
        <v>bm</v>
      </c>
    </row>
    <row r="8" spans="1:139" x14ac:dyDescent="0.3">
      <c r="C8" s="7">
        <f t="shared" ref="C8:BN8" si="3">IF(C6=1,C3,IF(C6=2,C4,IF(C6=3,C5)))</f>
        <v>-0.20935792122733929</v>
      </c>
      <c r="D8" s="7">
        <f t="shared" si="3"/>
        <v>-0.19625335237819111</v>
      </c>
      <c r="E8" s="7">
        <f t="shared" si="3"/>
        <v>0.52484760680152232</v>
      </c>
      <c r="F8" s="7">
        <f t="shared" si="3"/>
        <v>4.6837059958046809E-2</v>
      </c>
      <c r="G8" s="7">
        <f t="shared" si="3"/>
        <v>-0.2104714261735883</v>
      </c>
      <c r="H8" s="7">
        <f t="shared" si="3"/>
        <v>0.4744149628629204</v>
      </c>
      <c r="I8" s="7">
        <f t="shared" si="3"/>
        <v>-0.196765586355543</v>
      </c>
      <c r="J8" s="7">
        <f t="shared" si="3"/>
        <v>0.27883034253821021</v>
      </c>
      <c r="K8" s="7">
        <f t="shared" si="3"/>
        <v>0.27552845629080469</v>
      </c>
      <c r="L8" s="7">
        <f t="shared" si="3"/>
        <v>-0.43004286310886081</v>
      </c>
      <c r="M8" s="7">
        <f t="shared" si="3"/>
        <v>0.32376774959305898</v>
      </c>
      <c r="N8" s="7">
        <f t="shared" si="3"/>
        <v>-0.34824165047033961</v>
      </c>
      <c r="O8" s="7">
        <f t="shared" si="3"/>
        <v>0.31084678168383018</v>
      </c>
      <c r="P8" s="7">
        <f t="shared" si="3"/>
        <v>0.39546612391174241</v>
      </c>
      <c r="Q8" s="7">
        <f t="shared" si="3"/>
        <v>-0.12307050339382571</v>
      </c>
      <c r="R8" s="7">
        <f t="shared" si="3"/>
        <v>-0.1125584938483795</v>
      </c>
      <c r="S8" s="7">
        <f t="shared" si="3"/>
        <v>0.3057921371194337</v>
      </c>
      <c r="T8" s="7">
        <f t="shared" si="3"/>
        <v>-0.14458476697667119</v>
      </c>
      <c r="U8" s="7">
        <f t="shared" si="3"/>
        <v>-0.26280780822848671</v>
      </c>
      <c r="V8" s="7">
        <f t="shared" si="3"/>
        <v>-0.13936695356286269</v>
      </c>
      <c r="W8" s="7">
        <f t="shared" si="3"/>
        <v>-0.39469012652483237</v>
      </c>
      <c r="X8" s="7">
        <f t="shared" si="3"/>
        <v>-0.16973075948726549</v>
      </c>
      <c r="Y8" s="7">
        <f t="shared" si="3"/>
        <v>-0.68127295831176804</v>
      </c>
      <c r="Z8" s="7">
        <f t="shared" si="3"/>
        <v>0.1030897419422631</v>
      </c>
      <c r="AA8" s="7">
        <f t="shared" si="3"/>
        <v>0.48637748963693123</v>
      </c>
      <c r="AB8" s="7">
        <f t="shared" si="3"/>
        <v>-0.23481983175156351</v>
      </c>
      <c r="AC8" s="7">
        <f t="shared" si="3"/>
        <v>-8.9163225286403025E-2</v>
      </c>
      <c r="AD8" s="7">
        <f t="shared" si="3"/>
        <v>0.14514145822358679</v>
      </c>
      <c r="AE8" s="7">
        <f t="shared" si="3"/>
        <v>7.4669147590605167E-2</v>
      </c>
      <c r="AF8" s="7">
        <f t="shared" si="3"/>
        <v>0.17577042279847119</v>
      </c>
      <c r="AG8" s="7">
        <f t="shared" si="3"/>
        <v>-0.30336041259100399</v>
      </c>
      <c r="AH8" s="7">
        <f t="shared" si="3"/>
        <v>-0.3482499081721625</v>
      </c>
      <c r="AI8" s="7">
        <f t="shared" si="3"/>
        <v>0.25872371710226461</v>
      </c>
      <c r="AJ8" s="7">
        <f t="shared" si="3"/>
        <v>-0.48889196953357</v>
      </c>
      <c r="AK8" s="7">
        <f t="shared" si="3"/>
        <v>0.13254842946584691</v>
      </c>
      <c r="AL8" s="7">
        <f t="shared" si="3"/>
        <v>0.1873807232887153</v>
      </c>
      <c r="AM8" s="7">
        <f t="shared" si="3"/>
        <v>9.6837349683265961E-2</v>
      </c>
      <c r="AN8" s="7">
        <f t="shared" si="3"/>
        <v>0.2075736584826228</v>
      </c>
      <c r="AO8" s="7">
        <f t="shared" si="3"/>
        <v>0.1844633194704077</v>
      </c>
      <c r="AP8" s="7">
        <f t="shared" si="3"/>
        <v>7.9750638168698984E-2</v>
      </c>
      <c r="AQ8" s="7">
        <f t="shared" si="3"/>
        <v>-0.2114396427417905</v>
      </c>
      <c r="AR8" s="7">
        <f t="shared" si="3"/>
        <v>0.1144314103616733</v>
      </c>
      <c r="AS8" s="7">
        <f t="shared" si="3"/>
        <v>0.14111009314114389</v>
      </c>
      <c r="AT8" s="7">
        <f t="shared" si="3"/>
        <v>0.1516447920969482</v>
      </c>
      <c r="AU8" s="7">
        <f t="shared" si="3"/>
        <v>-0.20083705233961571</v>
      </c>
      <c r="AV8" s="7">
        <f t="shared" si="3"/>
        <v>-0.21769900369851489</v>
      </c>
      <c r="AW8" s="7">
        <f t="shared" si="3"/>
        <v>-0.1741550037979904</v>
      </c>
      <c r="AX8" s="7">
        <f t="shared" si="3"/>
        <v>0.1122931240608864</v>
      </c>
      <c r="AY8" s="7">
        <f t="shared" si="3"/>
        <v>-0.118056117907044</v>
      </c>
      <c r="AZ8" s="7">
        <f t="shared" si="3"/>
        <v>0.20621977214253931</v>
      </c>
      <c r="BA8" s="7">
        <f t="shared" si="3"/>
        <v>0.16049954912817649</v>
      </c>
      <c r="BB8" s="7">
        <f t="shared" si="3"/>
        <v>-0.25246377965845751</v>
      </c>
      <c r="BC8" s="7">
        <f t="shared" si="3"/>
        <v>0.1567368975950931</v>
      </c>
      <c r="BD8" s="7">
        <f t="shared" si="3"/>
        <v>0.16688346547535879</v>
      </c>
      <c r="BE8" s="7">
        <f t="shared" si="3"/>
        <v>-0.13147229447438241</v>
      </c>
      <c r="BF8" s="7">
        <f t="shared" si="3"/>
        <v>-0.28526227318364472</v>
      </c>
      <c r="BG8" s="7">
        <f t="shared" si="3"/>
        <v>0.31531123716866039</v>
      </c>
      <c r="BH8" s="7">
        <f t="shared" si="3"/>
        <v>0.27010117711850462</v>
      </c>
      <c r="BI8" s="7">
        <f t="shared" si="3"/>
        <v>5.812657406460206E-2</v>
      </c>
      <c r="BJ8" s="7">
        <f t="shared" si="3"/>
        <v>-0.25986983403483388</v>
      </c>
      <c r="BK8" s="7">
        <f t="shared" si="3"/>
        <v>0.18487944696901781</v>
      </c>
      <c r="BL8" s="7">
        <f t="shared" si="3"/>
        <v>-0.26913172790454543</v>
      </c>
      <c r="BM8" s="7">
        <f t="shared" si="3"/>
        <v>0.1717381908649544</v>
      </c>
      <c r="BN8" s="7">
        <f t="shared" si="3"/>
        <v>-0.18092216130584951</v>
      </c>
      <c r="BO8" s="7">
        <f t="shared" ref="BO8:DZ8" si="4">IF(BO6=1,BO3,IF(BO6=2,BO4,IF(BO6=3,BO5)))</f>
        <v>-0.149287939972541</v>
      </c>
      <c r="BP8" s="7">
        <f t="shared" si="4"/>
        <v>8.3627121253362802E-2</v>
      </c>
      <c r="BQ8" s="7">
        <f t="shared" si="4"/>
        <v>-0.16861046240236999</v>
      </c>
      <c r="BR8" s="7">
        <f t="shared" si="4"/>
        <v>0.21346470331308601</v>
      </c>
      <c r="BS8" s="7">
        <f t="shared" si="4"/>
        <v>0.1244241075337672</v>
      </c>
      <c r="BT8" s="7">
        <f t="shared" si="4"/>
        <v>0.20772231279415901</v>
      </c>
      <c r="BU8" s="7">
        <f t="shared" si="4"/>
        <v>0.1137793780847101</v>
      </c>
      <c r="BV8" s="7">
        <f t="shared" si="4"/>
        <v>0.17197266141593739</v>
      </c>
      <c r="BW8" s="7">
        <f t="shared" si="4"/>
        <v>-0.1268015683060742</v>
      </c>
      <c r="BX8" s="7">
        <f t="shared" si="4"/>
        <v>-0.10582029087279909</v>
      </c>
      <c r="BY8" s="7">
        <f t="shared" si="4"/>
        <v>-0.1826948620902353</v>
      </c>
      <c r="BZ8" s="7">
        <f t="shared" si="4"/>
        <v>-0.14071284467671319</v>
      </c>
      <c r="CA8" s="7">
        <f t="shared" si="4"/>
        <v>7.3472777058867567E-2</v>
      </c>
      <c r="CB8" s="7">
        <f t="shared" si="4"/>
        <v>0.19801890737320349</v>
      </c>
      <c r="CC8" s="7">
        <f t="shared" si="4"/>
        <v>-0.29446404903659129</v>
      </c>
      <c r="CD8" s="7">
        <f t="shared" si="4"/>
        <v>0.32742328506094998</v>
      </c>
      <c r="CE8" s="7">
        <f t="shared" si="4"/>
        <v>0.21879703659667429</v>
      </c>
      <c r="CF8" s="7">
        <f t="shared" si="4"/>
        <v>-0.14937324914413941</v>
      </c>
      <c r="CG8" s="7">
        <f t="shared" si="4"/>
        <v>0.16320028060313421</v>
      </c>
      <c r="CH8" s="7">
        <f t="shared" si="4"/>
        <v>-6.9038325074175663E-2</v>
      </c>
      <c r="CI8" s="7">
        <f t="shared" si="4"/>
        <v>-0.11536214708505139</v>
      </c>
      <c r="CJ8" s="7">
        <f t="shared" si="4"/>
        <v>-0.39111281147264998</v>
      </c>
      <c r="CK8" s="7">
        <f t="shared" si="4"/>
        <v>0.37897350211797709</v>
      </c>
      <c r="CL8" s="7">
        <f t="shared" si="4"/>
        <v>-7.6383453932209341E-2</v>
      </c>
      <c r="CM8" s="7">
        <f t="shared" si="4"/>
        <v>0.18311247425732111</v>
      </c>
      <c r="CN8" s="7">
        <f t="shared" si="4"/>
        <v>-0.39746167912504499</v>
      </c>
      <c r="CO8" s="7">
        <f t="shared" si="4"/>
        <v>0.43716796518582229</v>
      </c>
      <c r="CP8" s="7">
        <f t="shared" si="4"/>
        <v>-9.5682049872747255E-2</v>
      </c>
      <c r="CQ8" s="7">
        <f t="shared" si="4"/>
        <v>-0.49935244279872992</v>
      </c>
      <c r="CR8" s="7">
        <f t="shared" si="4"/>
        <v>0.3398570382696095</v>
      </c>
      <c r="CS8" s="7">
        <f t="shared" si="4"/>
        <v>-0.27901111949972451</v>
      </c>
      <c r="CT8" s="7">
        <f t="shared" si="4"/>
        <v>0.2246197528310597</v>
      </c>
      <c r="CU8" s="7">
        <f t="shared" si="4"/>
        <v>-0.25171771168640761</v>
      </c>
      <c r="CV8" s="7">
        <f t="shared" si="4"/>
        <v>0.1117497704879042</v>
      </c>
      <c r="CW8" s="7">
        <f t="shared" si="4"/>
        <v>0.2108770628752098</v>
      </c>
      <c r="CX8" s="7">
        <f t="shared" si="4"/>
        <v>0.25016150139728283</v>
      </c>
      <c r="CY8" s="7">
        <f t="shared" si="4"/>
        <v>-0.52413353929587791</v>
      </c>
      <c r="CZ8" s="7">
        <f t="shared" si="4"/>
        <v>0.8216183061041753</v>
      </c>
      <c r="DA8" s="7">
        <f t="shared" si="4"/>
        <v>0.31254073484350059</v>
      </c>
      <c r="DB8" s="7">
        <f t="shared" si="4"/>
        <v>-0.15564612733519101</v>
      </c>
      <c r="DC8" s="7">
        <f t="shared" si="4"/>
        <v>-0.1869585274246745</v>
      </c>
      <c r="DD8" s="7">
        <f t="shared" si="4"/>
        <v>-0.42083892435479142</v>
      </c>
      <c r="DE8" s="7">
        <f t="shared" si="4"/>
        <v>-0.2279724207651195</v>
      </c>
      <c r="DF8" s="7">
        <f t="shared" si="4"/>
        <v>-0.33715973842927388</v>
      </c>
      <c r="DG8" s="7">
        <f t="shared" si="4"/>
        <v>-0.44400370439279008</v>
      </c>
      <c r="DH8" s="7">
        <f t="shared" si="4"/>
        <v>0.15762567020768259</v>
      </c>
      <c r="DI8" s="7">
        <f t="shared" si="4"/>
        <v>0.30896916307249689</v>
      </c>
      <c r="DJ8" s="7">
        <f t="shared" si="4"/>
        <v>-0.28669247758290828</v>
      </c>
      <c r="DK8" s="7">
        <f t="shared" si="4"/>
        <v>0.84621248517861269</v>
      </c>
      <c r="DL8" s="7">
        <f t="shared" si="4"/>
        <v>-0.16924034367306559</v>
      </c>
      <c r="DM8" s="7">
        <f t="shared" si="4"/>
        <v>-0.43945016692248923</v>
      </c>
      <c r="DN8" s="7">
        <f t="shared" si="4"/>
        <v>0.74751336560070059</v>
      </c>
      <c r="DO8" s="7">
        <f t="shared" si="4"/>
        <v>-0.39996426308914668</v>
      </c>
      <c r="DP8" s="7">
        <f t="shared" si="4"/>
        <v>0.16113140194021491</v>
      </c>
      <c r="DQ8" s="7">
        <f t="shared" si="4"/>
        <v>-0.58863430244229409</v>
      </c>
      <c r="DR8" s="7">
        <f t="shared" si="4"/>
        <v>-0.1292436792863576</v>
      </c>
      <c r="DS8" s="7">
        <f t="shared" si="4"/>
        <v>-0.19878519438361211</v>
      </c>
      <c r="DT8" s="7">
        <f t="shared" si="4"/>
        <v>0.4132117833889476</v>
      </c>
      <c r="DU8" s="7">
        <f t="shared" si="4"/>
        <v>-0.17065403209770361</v>
      </c>
      <c r="DV8" s="7">
        <f t="shared" si="4"/>
        <v>0.68828031734213269</v>
      </c>
      <c r="DW8" s="7">
        <f t="shared" si="4"/>
        <v>6.6155769939567149E-2</v>
      </c>
      <c r="DX8" s="7">
        <f t="shared" si="4"/>
        <v>-0.1999347157162332</v>
      </c>
      <c r="DY8" s="7">
        <f t="shared" si="4"/>
        <v>0.56631420698904078</v>
      </c>
      <c r="DZ8" s="7">
        <f t="shared" si="4"/>
        <v>0.47362880432099852</v>
      </c>
      <c r="EA8" s="7">
        <f t="shared" ref="EA8:EG8" si="5">IF(EA6=1,EA3,IF(EA6=2,EA4,IF(EA6=3,EA5)))</f>
        <v>-0.1948807812701929</v>
      </c>
      <c r="EB8" s="7">
        <f t="shared" si="5"/>
        <v>-1.076360940060376</v>
      </c>
      <c r="EC8" s="7">
        <f t="shared" si="5"/>
        <v>-0.13610628648279391</v>
      </c>
      <c r="ED8" s="7">
        <f t="shared" si="5"/>
        <v>-0.27349656344743889</v>
      </c>
      <c r="EE8" s="7">
        <f t="shared" si="5"/>
        <v>0.60134859370029736</v>
      </c>
      <c r="EF8" s="7">
        <f t="shared" si="5"/>
        <v>0.24381115553913091</v>
      </c>
      <c r="EG8" s="1">
        <f t="shared" si="5"/>
        <v>0</v>
      </c>
    </row>
    <row r="10" spans="1:139" x14ac:dyDescent="0.3">
      <c r="A10" s="22" t="s">
        <v>140</v>
      </c>
      <c r="B10" s="23"/>
      <c r="C10" s="1" t="s">
        <v>141</v>
      </c>
      <c r="D10" s="2">
        <v>964</v>
      </c>
    </row>
    <row r="11" spans="1:139" x14ac:dyDescent="0.3">
      <c r="A11" s="1" t="s">
        <v>142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144</v>
      </c>
      <c r="EG11" s="20" t="s">
        <v>172</v>
      </c>
      <c r="EH11" s="20" t="s">
        <v>173</v>
      </c>
      <c r="EI11" s="20" t="s">
        <v>174</v>
      </c>
    </row>
    <row r="12" spans="1:139" x14ac:dyDescent="0.3">
      <c r="A12" s="1">
        <v>10</v>
      </c>
      <c r="B12" s="1">
        <v>96</v>
      </c>
      <c r="C12" s="7">
        <v>1.44992469840961E-2</v>
      </c>
      <c r="D12" s="7">
        <v>0.11468862904522351</v>
      </c>
      <c r="E12" s="7">
        <v>-1.3937245408664461E-3</v>
      </c>
      <c r="F12" s="7">
        <v>-5.5959384784458728E-2</v>
      </c>
      <c r="G12" s="7">
        <v>-3.1947448518630461E-2</v>
      </c>
      <c r="H12" s="7">
        <v>9.5992583565995809E-3</v>
      </c>
      <c r="I12" s="7">
        <v>-3.6303936849052011E-2</v>
      </c>
      <c r="J12" s="7">
        <v>4.3784578744871523E-2</v>
      </c>
      <c r="K12" s="7">
        <v>2.918799813369918E-2</v>
      </c>
      <c r="L12" s="7">
        <v>-8.7585559641662342E-3</v>
      </c>
      <c r="M12" s="7">
        <v>2.688917383320695E-2</v>
      </c>
      <c r="N12" s="7">
        <v>3.4703354243462818E-2</v>
      </c>
      <c r="O12" s="7">
        <v>1.8629888645978979E-2</v>
      </c>
      <c r="P12" s="7">
        <v>-2.5432810815711028E-4</v>
      </c>
      <c r="Q12" s="7">
        <v>3.3792784120907728E-2</v>
      </c>
      <c r="R12" s="7">
        <v>-1.3397506239935729E-2</v>
      </c>
      <c r="S12" s="7">
        <v>1.105502977333921E-2</v>
      </c>
      <c r="T12" s="7">
        <v>4.3243488819513169E-2</v>
      </c>
      <c r="U12" s="7">
        <v>2.0367220553130991E-2</v>
      </c>
      <c r="V12" s="7">
        <v>-9.5109536536482214E-3</v>
      </c>
      <c r="W12" s="7">
        <v>2.8417662858163131E-2</v>
      </c>
      <c r="X12" s="7">
        <v>2.7073890424547119E-2</v>
      </c>
      <c r="Y12" s="7">
        <v>-2.0598393527691269E-2</v>
      </c>
      <c r="Z12" s="7">
        <v>6.362368331557397E-2</v>
      </c>
      <c r="AA12" s="7">
        <v>-3.9403661401111782E-2</v>
      </c>
      <c r="AB12" s="7">
        <v>-3.4689110551478157E-2</v>
      </c>
      <c r="AC12" s="7">
        <v>4.6772945626311249E-2</v>
      </c>
      <c r="AD12" s="7">
        <v>-2.5304298312235208E-3</v>
      </c>
      <c r="AE12" s="7">
        <v>4.6437716666984021E-2</v>
      </c>
      <c r="AF12" s="7">
        <v>-5.2012102776767682E-2</v>
      </c>
      <c r="AG12" s="7">
        <v>3.814930420809846E-3</v>
      </c>
      <c r="AH12" s="7">
        <v>1.5713033769280859E-2</v>
      </c>
      <c r="AI12" s="7">
        <v>8.79379249226157E-3</v>
      </c>
      <c r="AJ12" s="7">
        <v>1.8723296332934201E-2</v>
      </c>
      <c r="AK12" s="7">
        <v>-1.6475368224135679E-2</v>
      </c>
      <c r="AL12" s="7">
        <v>1.7859003021922081E-2</v>
      </c>
      <c r="AM12" s="7">
        <v>3.0086115612597931E-2</v>
      </c>
      <c r="AN12" s="7">
        <v>6.9233234313428524E-2</v>
      </c>
      <c r="AO12" s="7">
        <v>1.499547084312732E-2</v>
      </c>
      <c r="AP12" s="7">
        <v>4.633936527829138E-3</v>
      </c>
      <c r="AQ12" s="7">
        <v>7.6219363885838051E-3</v>
      </c>
      <c r="AR12" s="7">
        <v>7.5044280887600658E-3</v>
      </c>
      <c r="AS12" s="7">
        <v>1.9099718454700602E-2</v>
      </c>
      <c r="AT12" s="7">
        <v>7.2195382352435097E-2</v>
      </c>
      <c r="AU12" s="7">
        <v>-3.713536440044597E-3</v>
      </c>
      <c r="AV12" s="7">
        <v>-2.1789895224426498E-2</v>
      </c>
      <c r="AW12" s="7">
        <v>-6.2147701801607523E-4</v>
      </c>
      <c r="AX12" s="7">
        <v>-4.4696011972897853E-2</v>
      </c>
      <c r="AY12" s="7">
        <v>-1.749132165900753E-2</v>
      </c>
      <c r="AZ12" s="7">
        <v>-2.361455316530062E-2</v>
      </c>
      <c r="BA12" s="7">
        <v>4.9378881832418033E-3</v>
      </c>
      <c r="BB12" s="7">
        <v>5.7853949142751861E-3</v>
      </c>
      <c r="BC12" s="7">
        <v>1.227278903847649E-2</v>
      </c>
      <c r="BD12" s="7">
        <v>1.3630556941652629E-2</v>
      </c>
      <c r="BE12" s="7">
        <v>-1.860880983938528E-2</v>
      </c>
      <c r="BF12" s="7">
        <v>6.7616949247695318E-2</v>
      </c>
      <c r="BG12" s="7">
        <v>3.3670862441262807E-2</v>
      </c>
      <c r="BH12" s="7">
        <v>1.422336001132196E-2</v>
      </c>
      <c r="BI12" s="7">
        <v>-4.3756064379844611E-2</v>
      </c>
      <c r="BJ12" s="7">
        <v>2.4663126175119381E-2</v>
      </c>
      <c r="BK12" s="7">
        <v>-6.5738349503457333E-4</v>
      </c>
      <c r="BL12" s="7">
        <v>3.2129098300494131E-2</v>
      </c>
      <c r="BM12" s="7">
        <v>5.030568452332447E-2</v>
      </c>
      <c r="BN12" s="7">
        <v>1.1575967172940649E-2</v>
      </c>
      <c r="BO12" s="7">
        <v>-2.4246310256236889E-2</v>
      </c>
      <c r="BP12" s="7">
        <v>2.642195733416729E-2</v>
      </c>
      <c r="BQ12" s="7">
        <v>1.8715508904754308E-2</v>
      </c>
      <c r="BR12" s="7">
        <v>-2.2610084533988121E-3</v>
      </c>
      <c r="BS12" s="7">
        <v>-3.2642854888392712E-2</v>
      </c>
      <c r="BT12" s="7">
        <v>1.636478331442541E-2</v>
      </c>
      <c r="BU12" s="7">
        <v>8.7815171400964752E-3</v>
      </c>
      <c r="BV12" s="7">
        <v>-3.2053226170394557E-2</v>
      </c>
      <c r="BW12" s="7">
        <v>4.4477003891650199E-2</v>
      </c>
      <c r="BX12" s="7">
        <v>6.985153858139255E-3</v>
      </c>
      <c r="BY12" s="7">
        <v>-4.5815986232830307E-2</v>
      </c>
      <c r="BZ12" s="7">
        <v>-4.5356945691272972E-2</v>
      </c>
      <c r="CA12" s="7">
        <v>-3.4400287440342493E-2</v>
      </c>
      <c r="CB12" s="7">
        <v>-7.2475876072179299E-2</v>
      </c>
      <c r="CC12" s="7">
        <v>6.5566612627689883E-2</v>
      </c>
      <c r="CD12" s="7">
        <v>-4.435526335668457E-2</v>
      </c>
      <c r="CE12" s="7">
        <v>1.161940844222922E-2</v>
      </c>
      <c r="CF12" s="7">
        <v>-8.0212745139300254E-3</v>
      </c>
      <c r="CG12" s="7">
        <v>-4.9277959963080598E-2</v>
      </c>
      <c r="CH12" s="7">
        <v>1.6463112378785821E-2</v>
      </c>
      <c r="CI12" s="7">
        <v>3.5598030901105832E-2</v>
      </c>
      <c r="CJ12" s="7">
        <v>-1.544518047868886E-2</v>
      </c>
      <c r="CK12" s="7">
        <v>5.6101440647790157E-2</v>
      </c>
      <c r="CL12" s="7">
        <v>-7.8440280286020903E-2</v>
      </c>
      <c r="CM12" s="7">
        <v>-1.5219726167340819E-2</v>
      </c>
      <c r="CN12" s="7">
        <v>2.7083701214559368E-2</v>
      </c>
      <c r="CO12" s="7">
        <v>-2.4819785255212591E-2</v>
      </c>
      <c r="CP12" s="7">
        <v>-4.5299021467493747E-2</v>
      </c>
      <c r="CQ12" s="7">
        <v>6.2684347003574781E-2</v>
      </c>
      <c r="CR12" s="7">
        <v>-5.7159986521513537E-2</v>
      </c>
      <c r="CS12" s="7">
        <v>-1.450965043846953E-2</v>
      </c>
      <c r="CT12" s="7">
        <v>-9.3290632299768764E-3</v>
      </c>
      <c r="CU12" s="7">
        <v>7.4779529281356727E-2</v>
      </c>
      <c r="CV12" s="7">
        <v>-4.4033581151781296E-3</v>
      </c>
      <c r="CW12" s="7">
        <v>1.303666937857764E-2</v>
      </c>
      <c r="CX12" s="7">
        <v>-3.0752638267462981E-2</v>
      </c>
      <c r="CY12" s="7">
        <v>-1.6420596247805602E-2</v>
      </c>
      <c r="CZ12" s="7">
        <v>-1.2324262059916619E-2</v>
      </c>
      <c r="DA12" s="7">
        <v>5.6037840703605252E-3</v>
      </c>
      <c r="DB12" s="7">
        <v>2.298187595412704E-2</v>
      </c>
      <c r="DC12" s="7">
        <v>-3.3973202874774677E-2</v>
      </c>
      <c r="DD12" s="7">
        <v>6.9960545734343321E-2</v>
      </c>
      <c r="DE12" s="7">
        <v>2.473764441509502E-2</v>
      </c>
      <c r="DF12" s="7">
        <v>-1.1624319687869001E-2</v>
      </c>
      <c r="DG12" s="7">
        <v>4.7394421629824317E-2</v>
      </c>
      <c r="DH12" s="7">
        <v>-6.1195154788316941E-2</v>
      </c>
      <c r="DI12" s="7">
        <v>2.9979254557499689E-2</v>
      </c>
      <c r="DJ12" s="7">
        <v>-4.1378042935671558E-2</v>
      </c>
      <c r="DK12" s="7">
        <v>1.0711986285806619E-3</v>
      </c>
      <c r="DL12" s="7">
        <v>-1.8669833333803058E-2</v>
      </c>
      <c r="DM12" s="7">
        <v>-9.143493333529153E-3</v>
      </c>
      <c r="DN12" s="7">
        <v>-1.854144345861243E-2</v>
      </c>
      <c r="DO12" s="7">
        <v>1.9030728267897829E-2</v>
      </c>
      <c r="DP12" s="7">
        <v>3.2584449600297112E-2</v>
      </c>
      <c r="DQ12" s="7">
        <v>-7.454064748047276E-2</v>
      </c>
      <c r="DR12" s="7">
        <v>1.7064979450118169E-2</v>
      </c>
      <c r="DS12" s="7">
        <v>-4.6024279005124763E-2</v>
      </c>
      <c r="DT12" s="7">
        <v>2.481384156258671E-2</v>
      </c>
      <c r="DU12" s="7">
        <v>-4.5787141974466997E-2</v>
      </c>
      <c r="DV12" s="7">
        <v>-1.6751441513820589E-2</v>
      </c>
      <c r="DW12" s="7">
        <v>4.3725564220037427E-2</v>
      </c>
      <c r="DX12" s="7">
        <v>-1.8099136778333389E-2</v>
      </c>
      <c r="DY12" s="7">
        <v>6.2728222094769928E-2</v>
      </c>
      <c r="DZ12" s="7">
        <v>2.0038890123589111E-2</v>
      </c>
      <c r="EA12" s="7">
        <v>5.1097632537531287E-2</v>
      </c>
      <c r="EB12" s="7">
        <v>3.052577681784165E-2</v>
      </c>
      <c r="EC12" s="7">
        <v>-1.48839181295192E-2</v>
      </c>
      <c r="ED12" s="7">
        <v>-2.344457524294118E-2</v>
      </c>
      <c r="EE12" s="7">
        <v>-2.821628026780338E-2</v>
      </c>
      <c r="EF12" s="8">
        <v>-2.923376575523141E-2</v>
      </c>
      <c r="EG12" s="21">
        <f>AVERAGE(C12:EF12)</f>
        <v>3.4115590701350195E-3</v>
      </c>
      <c r="EH12" s="21">
        <f>STDEV(C12:EF12)</f>
        <v>3.5527218681559398E-2</v>
      </c>
      <c r="EI12" s="21">
        <f>EG12/EH12</f>
        <v>9.6026629630475646E-2</v>
      </c>
    </row>
    <row r="13" spans="1:139" x14ac:dyDescent="0.3">
      <c r="A13" s="1">
        <v>20</v>
      </c>
      <c r="B13" s="1">
        <v>48</v>
      </c>
      <c r="C13" s="7">
        <v>-7.4773642018864783E-3</v>
      </c>
      <c r="D13" s="7">
        <v>0.1237450287927723</v>
      </c>
      <c r="E13" s="7">
        <v>-5.52362670328634E-3</v>
      </c>
      <c r="F13" s="7">
        <v>-5.9986526692922967E-2</v>
      </c>
      <c r="G13" s="7">
        <v>-1.2047404300105931E-2</v>
      </c>
      <c r="H13" s="7">
        <v>1.7388387027498991E-2</v>
      </c>
      <c r="I13" s="7">
        <v>-3.2682862984722338E-2</v>
      </c>
      <c r="J13" s="7">
        <v>3.4549891969644697E-2</v>
      </c>
      <c r="K13" s="7">
        <v>6.0326139227570137E-2</v>
      </c>
      <c r="L13" s="7">
        <v>-2.1980470378722781E-2</v>
      </c>
      <c r="M13" s="7">
        <v>3.2797582260047169E-3</v>
      </c>
      <c r="N13" s="7">
        <v>4.3392417465696789E-2</v>
      </c>
      <c r="O13" s="7">
        <v>3.6273275719922483E-2</v>
      </c>
      <c r="P13" s="7">
        <v>-6.2776476607329448E-3</v>
      </c>
      <c r="Q13" s="7">
        <v>4.4218264227970053E-2</v>
      </c>
      <c r="R13" s="7">
        <v>-6.4899101760743979E-3</v>
      </c>
      <c r="S13" s="7">
        <v>-6.0138030070422746E-3</v>
      </c>
      <c r="T13" s="7">
        <v>5.2899802908693339E-2</v>
      </c>
      <c r="U13" s="7">
        <v>5.4161075041694179E-2</v>
      </c>
      <c r="V13" s="7">
        <v>-2.216639903053957E-3</v>
      </c>
      <c r="W13" s="7">
        <v>3.096890407148287E-2</v>
      </c>
      <c r="X13" s="7">
        <v>5.327689472594363E-2</v>
      </c>
      <c r="Y13" s="7">
        <v>6.6833587265454353E-3</v>
      </c>
      <c r="Z13" s="7">
        <v>7.842443480518356E-2</v>
      </c>
      <c r="AA13" s="7">
        <v>-3.2119510338471283E-2</v>
      </c>
      <c r="AB13" s="7">
        <v>-4.6678220121377283E-2</v>
      </c>
      <c r="AC13" s="7">
        <v>6.6771700381929838E-2</v>
      </c>
      <c r="AD13" s="7">
        <v>-2.0440228373792429E-2</v>
      </c>
      <c r="AE13" s="7">
        <v>7.7071416726800679E-2</v>
      </c>
      <c r="AF13" s="7">
        <v>-7.3281160828311181E-2</v>
      </c>
      <c r="AG13" s="7">
        <v>-9.9052077270740842E-3</v>
      </c>
      <c r="AH13" s="7">
        <v>2.4955206549866871E-2</v>
      </c>
      <c r="AI13" s="7">
        <v>1.8646046379966041E-2</v>
      </c>
      <c r="AJ13" s="7">
        <v>1.707450838618965E-3</v>
      </c>
      <c r="AK13" s="7">
        <v>-3.8359390282872087E-2</v>
      </c>
      <c r="AL13" s="7">
        <v>2.3151428595171029E-2</v>
      </c>
      <c r="AM13" s="7">
        <v>4.6282443536828928E-2</v>
      </c>
      <c r="AN13" s="7">
        <v>0.10533023813603409</v>
      </c>
      <c r="AO13" s="7">
        <v>-1.7088466886353789E-3</v>
      </c>
      <c r="AP13" s="7">
        <v>6.5879899076427646E-3</v>
      </c>
      <c r="AQ13" s="7">
        <v>6.0492887688996834E-3</v>
      </c>
      <c r="AR13" s="7">
        <v>-9.2507324832761875E-3</v>
      </c>
      <c r="AS13" s="7">
        <v>4.1313118484234093E-2</v>
      </c>
      <c r="AT13" s="7">
        <v>8.6422914727599456E-2</v>
      </c>
      <c r="AU13" s="7">
        <v>1.5695418426472509E-2</v>
      </c>
      <c r="AV13" s="7">
        <v>-1.0958910230300529E-2</v>
      </c>
      <c r="AW13" s="7">
        <v>-4.0800135830634E-3</v>
      </c>
      <c r="AX13" s="7">
        <v>-3.2799832135855793E-2</v>
      </c>
      <c r="AY13" s="7">
        <v>-1.42622039071387E-2</v>
      </c>
      <c r="AZ13" s="7">
        <v>-3.1220536093770089E-2</v>
      </c>
      <c r="BA13" s="7">
        <v>6.5409376070610318E-3</v>
      </c>
      <c r="BB13" s="7">
        <v>2.6046345532896049E-2</v>
      </c>
      <c r="BC13" s="7">
        <v>1.128376711165765E-2</v>
      </c>
      <c r="BD13" s="7">
        <v>3.344428383681335E-3</v>
      </c>
      <c r="BE13" s="7">
        <v>-2.7391806305641558E-2</v>
      </c>
      <c r="BF13" s="7">
        <v>0.1216571432659557</v>
      </c>
      <c r="BG13" s="7">
        <v>4.6566462338711673E-2</v>
      </c>
      <c r="BH13" s="7">
        <v>8.4757298116190372E-3</v>
      </c>
      <c r="BI13" s="7">
        <v>-2.1601559102932929E-2</v>
      </c>
      <c r="BJ13" s="7">
        <v>2.4266087613108871E-2</v>
      </c>
      <c r="BK13" s="7">
        <v>-8.8783959160913702E-3</v>
      </c>
      <c r="BL13" s="7">
        <v>3.4460040448450822E-2</v>
      </c>
      <c r="BM13" s="7">
        <v>5.3371768695190711E-2</v>
      </c>
      <c r="BN13" s="7">
        <v>3.5552713412407247E-2</v>
      </c>
      <c r="BO13" s="7">
        <v>-3.0878716233474109E-2</v>
      </c>
      <c r="BP13" s="7">
        <v>7.9511464177745989E-3</v>
      </c>
      <c r="BQ13" s="7">
        <v>-1.1508192254020789E-3</v>
      </c>
      <c r="BR13" s="7">
        <v>-6.6814174835574522E-3</v>
      </c>
      <c r="BS13" s="7">
        <v>-4.0180514361416918E-2</v>
      </c>
      <c r="BT13" s="7">
        <v>5.2107167580298965E-4</v>
      </c>
      <c r="BU13" s="7">
        <v>1.7706555036553769E-2</v>
      </c>
      <c r="BV13" s="7">
        <v>-3.1440738435612722E-2</v>
      </c>
      <c r="BW13" s="7">
        <v>7.5714005636679529E-2</v>
      </c>
      <c r="BX13" s="7">
        <v>7.4563880601007104E-4</v>
      </c>
      <c r="BY13" s="7">
        <v>-3.0827759664373209E-2</v>
      </c>
      <c r="BZ13" s="7">
        <v>-7.6138123059050211E-2</v>
      </c>
      <c r="CA13" s="7">
        <v>-3.3531565600396843E-2</v>
      </c>
      <c r="CB13" s="7">
        <v>-0.1204269717320352</v>
      </c>
      <c r="CC13" s="7">
        <v>0.12011817373823321</v>
      </c>
      <c r="CD13" s="7">
        <v>-2.1204143880606541E-2</v>
      </c>
      <c r="CE13" s="7">
        <v>9.2209843254137634E-3</v>
      </c>
      <c r="CF13" s="7">
        <v>1.2043667015059319E-2</v>
      </c>
      <c r="CG13" s="7">
        <v>-5.8014967807239318E-2</v>
      </c>
      <c r="CH13" s="7">
        <v>4.0295060582103241E-3</v>
      </c>
      <c r="CI13" s="7">
        <v>1.4533303233279799E-2</v>
      </c>
      <c r="CJ13" s="7">
        <v>3.106087971951194E-3</v>
      </c>
      <c r="CK13" s="7">
        <v>6.568712626679736E-2</v>
      </c>
      <c r="CL13" s="7">
        <v>-7.2724175153218551E-2</v>
      </c>
      <c r="CM13" s="7">
        <v>-1.0296803756394969E-2</v>
      </c>
      <c r="CN13" s="7">
        <v>2.688756599885234E-2</v>
      </c>
      <c r="CO13" s="7">
        <v>-3.5334344080657359E-2</v>
      </c>
      <c r="CP13" s="7">
        <v>-6.9726540277734339E-2</v>
      </c>
      <c r="CQ13" s="7">
        <v>7.1178864968403879E-2</v>
      </c>
      <c r="CR13" s="7">
        <v>-0.11164488638047471</v>
      </c>
      <c r="CS13" s="7">
        <v>3.947650662960555E-3</v>
      </c>
      <c r="CT13" s="7">
        <v>4.0854011561625853E-4</v>
      </c>
      <c r="CU13" s="7">
        <v>0.1070909617136373</v>
      </c>
      <c r="CV13" s="7">
        <v>-2.431898301869664E-2</v>
      </c>
      <c r="CW13" s="7">
        <v>3.6309119756433333E-2</v>
      </c>
      <c r="CX13" s="7">
        <v>-3.0582841479689871E-2</v>
      </c>
      <c r="CY13" s="7">
        <v>-4.1201751884096749E-2</v>
      </c>
      <c r="CZ13" s="7">
        <v>-4.8982161600653051E-3</v>
      </c>
      <c r="DA13" s="7">
        <v>-5.583676925821391E-3</v>
      </c>
      <c r="DB13" s="7">
        <v>4.1761569716784581E-2</v>
      </c>
      <c r="DC13" s="7">
        <v>-2.9775565878292928E-2</v>
      </c>
      <c r="DD13" s="7">
        <v>6.8977058924383453E-2</v>
      </c>
      <c r="DE13" s="7">
        <v>2.2441996429236069E-2</v>
      </c>
      <c r="DF13" s="7">
        <v>-1.727163202818234E-2</v>
      </c>
      <c r="DG13" s="7">
        <v>7.1335760214919608E-2</v>
      </c>
      <c r="DH13" s="7">
        <v>-8.8720600946307043E-2</v>
      </c>
      <c r="DI13" s="7">
        <v>2.957041963442816E-2</v>
      </c>
      <c r="DJ13" s="7">
        <v>-7.0211236155579941E-3</v>
      </c>
      <c r="DK13" s="7">
        <v>-2.3400891895590289E-2</v>
      </c>
      <c r="DL13" s="7">
        <v>-2.2050690678088229E-2</v>
      </c>
      <c r="DM13" s="7">
        <v>1.1655894415520189E-2</v>
      </c>
      <c r="DN13" s="7">
        <v>-1.277588948620326E-2</v>
      </c>
      <c r="DO13" s="7">
        <v>4.4325139422202869E-2</v>
      </c>
      <c r="DP13" s="7">
        <v>4.8786635856269467E-2</v>
      </c>
      <c r="DQ13" s="7">
        <v>-8.712901139257051E-2</v>
      </c>
      <c r="DR13" s="7">
        <v>1.5168550145961031E-2</v>
      </c>
      <c r="DS13" s="7">
        <v>-2.991519389132713E-2</v>
      </c>
      <c r="DT13" s="7">
        <v>2.9845809161003281E-2</v>
      </c>
      <c r="DU13" s="7">
        <v>-2.369885378120147E-2</v>
      </c>
      <c r="DV13" s="7">
        <v>-9.8528047622480752E-3</v>
      </c>
      <c r="DW13" s="7">
        <v>4.4417789624350307E-2</v>
      </c>
      <c r="DX13" s="7">
        <v>-2.3229609548966131E-2</v>
      </c>
      <c r="DY13" s="7">
        <v>9.5046248038774313E-3</v>
      </c>
      <c r="DZ13" s="7">
        <v>3.028525147494129E-2</v>
      </c>
      <c r="EA13" s="7">
        <v>6.2118677176029868E-2</v>
      </c>
      <c r="EB13" s="7">
        <v>5.7205292748389078E-2</v>
      </c>
      <c r="EC13" s="7">
        <v>-2.198485253152441E-2</v>
      </c>
      <c r="ED13" s="7">
        <v>-5.3978019629255351E-2</v>
      </c>
      <c r="EE13" s="7">
        <v>-3.58674799008201E-2</v>
      </c>
      <c r="EF13" s="8">
        <v>-4.4513609552720032E-2</v>
      </c>
      <c r="EG13" s="21">
        <f t="shared" ref="EG13:EG25" si="6">AVERAGE(C13:EF13)</f>
        <v>5.702474339681872E-3</v>
      </c>
      <c r="EH13" s="21">
        <f t="shared" ref="EH13:EH25" si="7">STDEV(C13:EF13)</f>
        <v>4.5185518716024449E-2</v>
      </c>
      <c r="EI13" s="21">
        <f t="shared" ref="EI13:EI25" si="8">EG13/EH13</f>
        <v>0.12620136941483345</v>
      </c>
    </row>
    <row r="14" spans="1:139" x14ac:dyDescent="0.3">
      <c r="A14" s="1">
        <v>50</v>
      </c>
      <c r="B14" s="1">
        <v>19</v>
      </c>
      <c r="C14" s="7">
        <v>-3.3228977675766179E-2</v>
      </c>
      <c r="D14" s="7">
        <v>0.22230844854062601</v>
      </c>
      <c r="E14" s="7">
        <v>-4.7920746013269233E-2</v>
      </c>
      <c r="F14" s="7">
        <v>-6.0341904906032563E-2</v>
      </c>
      <c r="G14" s="7">
        <v>-5.3656630442780677E-2</v>
      </c>
      <c r="H14" s="7">
        <v>-1.1508260862123591E-2</v>
      </c>
      <c r="I14" s="7">
        <v>-4.3787359823142302E-2</v>
      </c>
      <c r="J14" s="7">
        <v>2.330997196491089E-2</v>
      </c>
      <c r="K14" s="7">
        <v>5.0827466260847963E-2</v>
      </c>
      <c r="L14" s="7">
        <v>-5.6271084976235522E-2</v>
      </c>
      <c r="M14" s="7">
        <v>-1.902171446498398E-2</v>
      </c>
      <c r="N14" s="7">
        <v>5.7369426657022049E-2</v>
      </c>
      <c r="O14" s="7">
        <v>3.7475787013006502E-2</v>
      </c>
      <c r="P14" s="7">
        <v>6.5414209581504002E-3</v>
      </c>
      <c r="Q14" s="7">
        <v>0.12410387117144869</v>
      </c>
      <c r="R14" s="7">
        <v>1.5941187297101821E-2</v>
      </c>
      <c r="S14" s="7">
        <v>-2.480674609276777E-2</v>
      </c>
      <c r="T14" s="7">
        <v>6.9841479520895866E-2</v>
      </c>
      <c r="U14" s="7">
        <v>0.1042666646356476</v>
      </c>
      <c r="V14" s="7">
        <v>5.2421300158885083E-2</v>
      </c>
      <c r="W14" s="7">
        <v>4.779500273352006E-2</v>
      </c>
      <c r="X14" s="7">
        <v>5.3581708514183243E-2</v>
      </c>
      <c r="Y14" s="7">
        <v>5.5190991412221717E-2</v>
      </c>
      <c r="Z14" s="7">
        <v>3.8511926280307661E-2</v>
      </c>
      <c r="AA14" s="7">
        <v>-3.9450180302082173E-2</v>
      </c>
      <c r="AB14" s="7">
        <v>-7.0769377347230211E-2</v>
      </c>
      <c r="AC14" s="7">
        <v>-3.086562338789272E-3</v>
      </c>
      <c r="AD14" s="7">
        <v>-6.9874591735142114E-2</v>
      </c>
      <c r="AE14" s="7">
        <v>0.11683691983956609</v>
      </c>
      <c r="AF14" s="7">
        <v>-9.6080095456633624E-2</v>
      </c>
      <c r="AG14" s="7">
        <v>-2.5329295010953049E-2</v>
      </c>
      <c r="AH14" s="7">
        <v>8.0952184423801643E-2</v>
      </c>
      <c r="AI14" s="7">
        <v>-3.5462643898611923E-2</v>
      </c>
      <c r="AJ14" s="7">
        <v>-2.4505575101084909E-2</v>
      </c>
      <c r="AK14" s="7">
        <v>-7.7475339022454029E-2</v>
      </c>
      <c r="AL14" s="7">
        <v>3.7969189722460717E-2</v>
      </c>
      <c r="AM14" s="7">
        <v>6.1242166378625243E-2</v>
      </c>
      <c r="AN14" s="7">
        <v>9.8594666769543718E-2</v>
      </c>
      <c r="AO14" s="7">
        <v>-3.804435254206133E-2</v>
      </c>
      <c r="AP14" s="7">
        <v>-7.0548285367649016E-3</v>
      </c>
      <c r="AQ14" s="7">
        <v>3.6796773775995059E-4</v>
      </c>
      <c r="AR14" s="7">
        <v>-1.817082301888524E-2</v>
      </c>
      <c r="AS14" s="7">
        <v>8.5376985953046783E-2</v>
      </c>
      <c r="AT14" s="7">
        <v>7.9403479710638047E-2</v>
      </c>
      <c r="AU14" s="7">
        <v>5.7421613114133872E-2</v>
      </c>
      <c r="AV14" s="7">
        <v>8.4264533049733317E-3</v>
      </c>
      <c r="AW14" s="7">
        <v>1.8362931505957501E-2</v>
      </c>
      <c r="AX14" s="7">
        <v>-1.9370213375490559E-2</v>
      </c>
      <c r="AY14" s="7">
        <v>-1.6905718250070641E-3</v>
      </c>
      <c r="AZ14" s="7">
        <v>-6.107058048123927E-2</v>
      </c>
      <c r="BA14" s="7">
        <v>1.7621645544243138E-2</v>
      </c>
      <c r="BB14" s="7">
        <v>0.101898340258458</v>
      </c>
      <c r="BC14" s="7">
        <v>-9.8209989552774171E-3</v>
      </c>
      <c r="BD14" s="7">
        <v>4.3327781667405418E-2</v>
      </c>
      <c r="BE14" s="7">
        <v>-4.3787062535487017E-2</v>
      </c>
      <c r="BF14" s="7">
        <v>0.15382926157400831</v>
      </c>
      <c r="BG14" s="7">
        <v>4.1374264073932777E-2</v>
      </c>
      <c r="BH14" s="7">
        <v>5.3427555686006711E-3</v>
      </c>
      <c r="BI14" s="7">
        <v>4.1031067933231892E-2</v>
      </c>
      <c r="BJ14" s="7">
        <v>6.8604195602302687E-2</v>
      </c>
      <c r="BK14" s="7">
        <v>-3.3691419870768569E-2</v>
      </c>
      <c r="BL14" s="7">
        <v>5.9996895527440267E-2</v>
      </c>
      <c r="BM14" s="7">
        <v>4.6278325003000387E-2</v>
      </c>
      <c r="BN14" s="7">
        <v>2.6087960275579629E-2</v>
      </c>
      <c r="BO14" s="7">
        <v>-3.3609045677264478E-2</v>
      </c>
      <c r="BP14" s="7">
        <v>-5.0332283327745371E-2</v>
      </c>
      <c r="BQ14" s="7">
        <v>-5.0884482194080573E-2</v>
      </c>
      <c r="BR14" s="7">
        <v>-2.7929429532617921E-2</v>
      </c>
      <c r="BS14" s="7">
        <v>-3.033272398677064E-2</v>
      </c>
      <c r="BT14" s="7">
        <v>-3.0726476125764419E-2</v>
      </c>
      <c r="BU14" s="7">
        <v>-8.8548353580308568E-3</v>
      </c>
      <c r="BV14" s="7">
        <v>-4.1282488857898411E-2</v>
      </c>
      <c r="BW14" s="7">
        <v>0.13089750855718521</v>
      </c>
      <c r="BX14" s="7">
        <v>-1.4335295277300691E-2</v>
      </c>
      <c r="BY14" s="7">
        <v>-8.0399768583761216E-2</v>
      </c>
      <c r="BZ14" s="7">
        <v>-6.0034056828782267E-2</v>
      </c>
      <c r="CA14" s="7">
        <v>-2.446526611493707E-2</v>
      </c>
      <c r="CB14" s="7">
        <v>-0.16446550132190679</v>
      </c>
      <c r="CC14" s="7">
        <v>0.1205961585891825</v>
      </c>
      <c r="CD14" s="7">
        <v>3.2926387352783637E-2</v>
      </c>
      <c r="CE14" s="7">
        <v>-7.2156719211697945E-2</v>
      </c>
      <c r="CF14" s="7">
        <v>4.2877410075316917E-2</v>
      </c>
      <c r="CG14" s="7">
        <v>-5.7320663667820577E-2</v>
      </c>
      <c r="CH14" s="7">
        <v>4.8879670456065782E-2</v>
      </c>
      <c r="CI14" s="7">
        <v>1.470161201144274E-2</v>
      </c>
      <c r="CJ14" s="7">
        <v>2.866785494417454E-2</v>
      </c>
      <c r="CK14" s="7">
        <v>5.3792086513992962E-2</v>
      </c>
      <c r="CL14" s="7">
        <v>-0.13734357045347451</v>
      </c>
      <c r="CM14" s="7">
        <v>3.2040010368317121E-2</v>
      </c>
      <c r="CN14" s="7">
        <v>2.3026688670926061E-2</v>
      </c>
      <c r="CO14" s="7">
        <v>-7.8763758718324112E-2</v>
      </c>
      <c r="CP14" s="7">
        <v>-9.9809331481752833E-2</v>
      </c>
      <c r="CQ14" s="7">
        <v>3.2227899887387702E-2</v>
      </c>
      <c r="CR14" s="7">
        <v>-0.207719712590648</v>
      </c>
      <c r="CS14" s="7">
        <v>-3.8161133435199359E-3</v>
      </c>
      <c r="CT14" s="7">
        <v>-9.6618862820552417E-3</v>
      </c>
      <c r="CU14" s="7">
        <v>0.1015449999567145</v>
      </c>
      <c r="CV14" s="7">
        <v>-3.9399433901219798E-2</v>
      </c>
      <c r="CW14" s="7">
        <v>4.476388444326003E-2</v>
      </c>
      <c r="CX14" s="7">
        <v>-9.0639227349923676E-2</v>
      </c>
      <c r="CY14" s="7">
        <v>-9.6361130127283909E-2</v>
      </c>
      <c r="CZ14" s="7">
        <v>-1.030139965842336E-2</v>
      </c>
      <c r="DA14" s="7">
        <v>-2.4304289170584491E-2</v>
      </c>
      <c r="DB14" s="7">
        <v>2.356107318819085E-2</v>
      </c>
      <c r="DC14" s="7">
        <v>-2.3632609204847509E-2</v>
      </c>
      <c r="DD14" s="7">
        <v>7.920535184818453E-2</v>
      </c>
      <c r="DE14" s="7">
        <v>6.2526924006459011E-2</v>
      </c>
      <c r="DF14" s="7">
        <v>-6.4180407871054571E-2</v>
      </c>
      <c r="DG14" s="7">
        <v>8.7324805758533047E-2</v>
      </c>
      <c r="DH14" s="7">
        <v>-5.8741194166373682E-2</v>
      </c>
      <c r="DI14" s="7">
        <v>4.0659134635571623E-2</v>
      </c>
      <c r="DJ14" s="7">
        <v>-8.7940293873207658E-3</v>
      </c>
      <c r="DK14" s="7">
        <v>-7.7413284290136219E-2</v>
      </c>
      <c r="DL14" s="7">
        <v>-4.0754871831899041E-2</v>
      </c>
      <c r="DM14" s="7">
        <v>3.2421916741778967E-2</v>
      </c>
      <c r="DN14" s="7">
        <v>4.4935740608495638E-2</v>
      </c>
      <c r="DO14" s="7">
        <v>7.0288548944531612E-2</v>
      </c>
      <c r="DP14" s="7">
        <v>4.3539716357652018E-2</v>
      </c>
      <c r="DQ14" s="7">
        <v>-7.1172564581132955E-2</v>
      </c>
      <c r="DR14" s="7">
        <v>7.7944218090853119E-3</v>
      </c>
      <c r="DS14" s="7">
        <v>-8.9437754388967186E-2</v>
      </c>
      <c r="DT14" s="7">
        <v>7.7542903390828534E-3</v>
      </c>
      <c r="DU14" s="7">
        <v>-0.11891758656757311</v>
      </c>
      <c r="DV14" s="7">
        <v>-4.5153223904483022E-2</v>
      </c>
      <c r="DW14" s="7">
        <v>9.8344367017777726E-2</v>
      </c>
      <c r="DX14" s="7">
        <v>-2.7689697360398641E-2</v>
      </c>
      <c r="DY14" s="7">
        <v>4.7660986602341179E-2</v>
      </c>
      <c r="DZ14" s="7">
        <v>2.1697589256116791E-2</v>
      </c>
      <c r="EA14" s="7">
        <v>0.10752548319752379</v>
      </c>
      <c r="EB14" s="7">
        <v>7.8179830700263173E-2</v>
      </c>
      <c r="EC14" s="7">
        <v>-4.3260017529307637E-2</v>
      </c>
      <c r="ED14" s="7">
        <v>-7.8399264145063485E-2</v>
      </c>
      <c r="EE14" s="7">
        <v>-4.2505739301358231E-2</v>
      </c>
      <c r="EF14" s="8">
        <v>-2.5525355201881251E-2</v>
      </c>
      <c r="EG14" s="21">
        <f t="shared" si="6"/>
        <v>2.8663554623833765E-3</v>
      </c>
      <c r="EH14" s="21">
        <f t="shared" si="7"/>
        <v>6.6324159241585912E-2</v>
      </c>
      <c r="EI14" s="21">
        <f t="shared" si="8"/>
        <v>4.3217365966791522E-2</v>
      </c>
    </row>
    <row r="15" spans="1:139" x14ac:dyDescent="0.3">
      <c r="A15" s="1">
        <v>100</v>
      </c>
      <c r="B15" s="1">
        <v>10</v>
      </c>
      <c r="C15" s="7">
        <v>-3.6350225217569622E-2</v>
      </c>
      <c r="D15" s="7">
        <v>0.37270921560992559</v>
      </c>
      <c r="E15" s="7">
        <v>-9.5344605470970442E-2</v>
      </c>
      <c r="F15" s="7">
        <v>3.4921436556697362E-2</v>
      </c>
      <c r="G15" s="7">
        <v>-3.4403920967036511E-2</v>
      </c>
      <c r="H15" s="7">
        <v>-1.2437260581051001E-3</v>
      </c>
      <c r="I15" s="7">
        <v>-5.843144427986554E-2</v>
      </c>
      <c r="J15" s="7">
        <v>4.9961465247389647E-2</v>
      </c>
      <c r="K15" s="7">
        <v>9.4514797591930877E-2</v>
      </c>
      <c r="L15" s="7">
        <v>-8.1171060568646272E-2</v>
      </c>
      <c r="M15" s="7">
        <v>-2.1330164362876949E-3</v>
      </c>
      <c r="N15" s="7">
        <v>0.10979619442513371</v>
      </c>
      <c r="O15" s="7">
        <v>7.375734424631461E-2</v>
      </c>
      <c r="P15" s="7">
        <v>2.1896569845224052E-2</v>
      </c>
      <c r="Q15" s="7">
        <v>0.15553684210781249</v>
      </c>
      <c r="R15" s="7">
        <v>5.2129690105117463E-2</v>
      </c>
      <c r="S15" s="7">
        <v>8.5487890205940886E-2</v>
      </c>
      <c r="T15" s="7">
        <v>6.6800124943112091E-2</v>
      </c>
      <c r="U15" s="7">
        <v>0.1369680616672688</v>
      </c>
      <c r="V15" s="7">
        <v>0.1101270063308359</v>
      </c>
      <c r="W15" s="7">
        <v>5.0671424244990583E-2</v>
      </c>
      <c r="X15" s="7">
        <v>7.8436412445587397E-2</v>
      </c>
      <c r="Y15" s="7">
        <v>5.202879805714216E-2</v>
      </c>
      <c r="Z15" s="7">
        <v>4.6719972053358677E-2</v>
      </c>
      <c r="AA15" s="7">
        <v>-5.4081147028033669E-2</v>
      </c>
      <c r="AB15" s="7">
        <v>-8.370017251583052E-2</v>
      </c>
      <c r="AC15" s="7">
        <v>4.3176688480551298E-3</v>
      </c>
      <c r="AD15" s="7">
        <v>-8.171337488818238E-2</v>
      </c>
      <c r="AE15" s="7">
        <v>0.21179264304727199</v>
      </c>
      <c r="AF15" s="7">
        <v>-0.13772628717765439</v>
      </c>
      <c r="AG15" s="7">
        <v>-4.4324544215075819E-2</v>
      </c>
      <c r="AH15" s="7">
        <v>0.13296736500972281</v>
      </c>
      <c r="AI15" s="7">
        <v>-2.4849257132530979E-2</v>
      </c>
      <c r="AJ15" s="7">
        <v>-3.3717922119173148E-2</v>
      </c>
      <c r="AK15" s="7">
        <v>-6.9361451191916404E-2</v>
      </c>
      <c r="AL15" s="7">
        <v>4.4431662495814539E-2</v>
      </c>
      <c r="AM15" s="7">
        <v>5.5122622134627111E-2</v>
      </c>
      <c r="AN15" s="7">
        <v>0.10168870591238351</v>
      </c>
      <c r="AO15" s="7">
        <v>-5.1384520239967417E-2</v>
      </c>
      <c r="AP15" s="7">
        <v>-1.2581944955645789E-2</v>
      </c>
      <c r="AQ15" s="7">
        <v>3.7367126796121669E-2</v>
      </c>
      <c r="AR15" s="7">
        <v>-2.4550819698278721E-2</v>
      </c>
      <c r="AS15" s="7">
        <v>5.3821179037114017E-2</v>
      </c>
      <c r="AT15" s="7">
        <v>7.098981260370496E-2</v>
      </c>
      <c r="AU15" s="7">
        <v>7.7174077249961781E-2</v>
      </c>
      <c r="AV15" s="7">
        <v>3.3225302218378612E-2</v>
      </c>
      <c r="AW15" s="7">
        <v>-1.5659939254580951E-2</v>
      </c>
      <c r="AX15" s="7">
        <v>-8.1360565954768135E-2</v>
      </c>
      <c r="AY15" s="7">
        <v>-2.9005659300491791E-2</v>
      </c>
      <c r="AZ15" s="7">
        <v>-6.7846329118650434E-2</v>
      </c>
      <c r="BA15" s="7">
        <v>1.061351480765297E-2</v>
      </c>
      <c r="BB15" s="7">
        <v>0.1087890998161227</v>
      </c>
      <c r="BC15" s="7">
        <v>6.2155143667830287E-2</v>
      </c>
      <c r="BD15" s="7">
        <v>5.3043273904796059E-2</v>
      </c>
      <c r="BE15" s="7">
        <v>-4.8442721017663122E-2</v>
      </c>
      <c r="BF15" s="7">
        <v>0.2108720874899874</v>
      </c>
      <c r="BG15" s="7">
        <v>2.489538734565238E-3</v>
      </c>
      <c r="BH15" s="7">
        <v>3.4441845481689458E-2</v>
      </c>
      <c r="BI15" s="7">
        <v>2.115911440673959E-2</v>
      </c>
      <c r="BJ15" s="7">
        <v>0.13011025503616941</v>
      </c>
      <c r="BK15" s="7">
        <v>4.5604932300413459E-2</v>
      </c>
      <c r="BL15" s="7">
        <v>5.9755420974320878E-2</v>
      </c>
      <c r="BM15" s="7">
        <v>4.8219004487744091E-2</v>
      </c>
      <c r="BN15" s="7">
        <v>6.3720727411011702E-2</v>
      </c>
      <c r="BO15" s="7">
        <v>-2.773447595493098E-2</v>
      </c>
      <c r="BP15" s="7">
        <v>-5.1616854472064641E-2</v>
      </c>
      <c r="BQ15" s="7">
        <v>-4.3431253492895713E-2</v>
      </c>
      <c r="BR15" s="7">
        <v>-5.0157429122059692E-2</v>
      </c>
      <c r="BS15" s="7">
        <v>-1.1865910908611719E-2</v>
      </c>
      <c r="BT15" s="7">
        <v>-5.9850936091850722E-2</v>
      </c>
      <c r="BU15" s="7">
        <v>1.9476419795793471E-2</v>
      </c>
      <c r="BV15" s="7">
        <v>-8.6180136715920008E-2</v>
      </c>
      <c r="BW15" s="7">
        <v>0.29887898957592779</v>
      </c>
      <c r="BX15" s="7">
        <v>-5.385156894446378E-2</v>
      </c>
      <c r="BY15" s="7">
        <v>-9.333839246383685E-2</v>
      </c>
      <c r="BZ15" s="7">
        <v>-0.1029064689773473</v>
      </c>
      <c r="CA15" s="7">
        <v>-1.859202079644226E-2</v>
      </c>
      <c r="CB15" s="7">
        <v>-0.13109140278406139</v>
      </c>
      <c r="CC15" s="7">
        <v>0.17365170572211991</v>
      </c>
      <c r="CD15" s="7">
        <v>-4.7114468128673648E-2</v>
      </c>
      <c r="CE15" s="7">
        <v>-0.1165165690701207</v>
      </c>
      <c r="CF15" s="7">
        <v>4.1349429867967538E-2</v>
      </c>
      <c r="CG15" s="7">
        <v>-8.5886021530163809E-2</v>
      </c>
      <c r="CH15" s="7">
        <v>8.1342607983328249E-2</v>
      </c>
      <c r="CI15" s="7">
        <v>-2.5109387803323689E-3</v>
      </c>
      <c r="CJ15" s="7">
        <v>8.7044356072718085E-2</v>
      </c>
      <c r="CK15" s="7">
        <v>9.5640748172705348E-2</v>
      </c>
      <c r="CL15" s="7">
        <v>-0.16165447304317659</v>
      </c>
      <c r="CM15" s="7">
        <v>7.4631116128453773E-2</v>
      </c>
      <c r="CN15" s="7">
        <v>4.2634115799160301E-2</v>
      </c>
      <c r="CO15" s="7">
        <v>-0.1069792441995681</v>
      </c>
      <c r="CP15" s="7">
        <v>-0.12753583543294969</v>
      </c>
      <c r="CQ15" s="7">
        <v>-2.49633604564388E-2</v>
      </c>
      <c r="CR15" s="7">
        <v>-0.18148893223573509</v>
      </c>
      <c r="CS15" s="7">
        <v>1.6910986704255612E-2</v>
      </c>
      <c r="CT15" s="7">
        <v>4.9416703656119249E-3</v>
      </c>
      <c r="CU15" s="7">
        <v>0.12404993141386809</v>
      </c>
      <c r="CV15" s="7">
        <v>-6.0444495689389921E-2</v>
      </c>
      <c r="CW15" s="7">
        <v>2.6072090903126711E-2</v>
      </c>
      <c r="CX15" s="7">
        <v>-0.15238777889156799</v>
      </c>
      <c r="CY15" s="7">
        <v>-9.2947904335357948E-2</v>
      </c>
      <c r="CZ15" s="7">
        <v>-2.3763335140482119E-2</v>
      </c>
      <c r="DA15" s="7">
        <v>-2.6375835441876511E-2</v>
      </c>
      <c r="DB15" s="7">
        <v>3.0226618214123681E-2</v>
      </c>
      <c r="DC15" s="7">
        <v>-3.5075149974582137E-2</v>
      </c>
      <c r="DD15" s="7">
        <v>1.450672613144627E-2</v>
      </c>
      <c r="DE15" s="7">
        <v>5.7163634731252508E-2</v>
      </c>
      <c r="DF15" s="7">
        <v>6.0545262726041799E-3</v>
      </c>
      <c r="DG15" s="7">
        <v>0.11309156284035971</v>
      </c>
      <c r="DH15" s="7">
        <v>-0.1296219356678569</v>
      </c>
      <c r="DI15" s="7">
        <v>5.4108318657130297E-2</v>
      </c>
      <c r="DJ15" s="7">
        <v>-6.0023776691057282E-2</v>
      </c>
      <c r="DK15" s="7">
        <v>-7.2188597805797533E-2</v>
      </c>
      <c r="DL15" s="7">
        <v>3.0399320282783332E-4</v>
      </c>
      <c r="DM15" s="7">
        <v>3.9052116693665768E-2</v>
      </c>
      <c r="DN15" s="7">
        <v>8.1730712251129128E-2</v>
      </c>
      <c r="DO15" s="7">
        <v>3.4104415749097068E-2</v>
      </c>
      <c r="DP15" s="7">
        <v>2.3735602006892551E-2</v>
      </c>
      <c r="DQ15" s="7">
        <v>-3.7038688952197418E-2</v>
      </c>
      <c r="DR15" s="7">
        <v>-2.2035264994874001E-2</v>
      </c>
      <c r="DS15" s="7">
        <v>-9.5715424587646258E-3</v>
      </c>
      <c r="DT15" s="7">
        <v>5.271878998906962E-2</v>
      </c>
      <c r="DU15" s="7">
        <v>-0.18864064490238791</v>
      </c>
      <c r="DV15" s="7">
        <v>-4.6727729353239662E-2</v>
      </c>
      <c r="DW15" s="7">
        <v>2.5538627146832551E-2</v>
      </c>
      <c r="DX15" s="7">
        <v>-2.1545670320480031E-2</v>
      </c>
      <c r="DY15" s="7">
        <v>-8.3673634692538773E-2</v>
      </c>
      <c r="DZ15" s="7">
        <v>3.6596497763803963E-2</v>
      </c>
      <c r="EA15" s="7">
        <v>0.10917693290987859</v>
      </c>
      <c r="EB15" s="7">
        <v>8.8087449527254891E-2</v>
      </c>
      <c r="EC15" s="7">
        <v>-7.6157076796619858E-2</v>
      </c>
      <c r="ED15" s="7">
        <v>-0.1106600344882203</v>
      </c>
      <c r="EE15" s="7">
        <v>-4.9344179940159598E-2</v>
      </c>
      <c r="EF15" s="8">
        <v>-2.964605507200602E-2</v>
      </c>
      <c r="EG15" s="21">
        <f t="shared" si="6"/>
        <v>7.7360849412713567E-3</v>
      </c>
      <c r="EH15" s="21">
        <f t="shared" si="7"/>
        <v>8.8476206997866333E-2</v>
      </c>
      <c r="EI15" s="21">
        <f t="shared" si="8"/>
        <v>8.7436896356304222E-2</v>
      </c>
    </row>
    <row r="16" spans="1:139" x14ac:dyDescent="0.3">
      <c r="A16" s="1">
        <v>107</v>
      </c>
      <c r="B16" s="1">
        <v>9</v>
      </c>
      <c r="C16" s="7">
        <v>-3.9435389831589431E-2</v>
      </c>
      <c r="D16" s="7">
        <v>0.40819497873258059</v>
      </c>
      <c r="E16" s="7">
        <v>-8.6704171428553314E-2</v>
      </c>
      <c r="F16" s="7">
        <v>7.871547190433098E-2</v>
      </c>
      <c r="G16" s="7">
        <v>-8.1465506589492725E-3</v>
      </c>
      <c r="H16" s="7">
        <v>-6.4934945682303775E-4</v>
      </c>
      <c r="I16" s="7">
        <v>-5.7530618665621432E-2</v>
      </c>
      <c r="J16" s="7">
        <v>4.6709926042666168E-2</v>
      </c>
      <c r="K16" s="7">
        <v>8.642089158239058E-2</v>
      </c>
      <c r="L16" s="7">
        <v>-8.5161604114211434E-2</v>
      </c>
      <c r="M16" s="7">
        <v>-1.3987435861917089E-2</v>
      </c>
      <c r="N16" s="7">
        <v>0.1202424982791967</v>
      </c>
      <c r="O16" s="7">
        <v>7.9826860571117084E-2</v>
      </c>
      <c r="P16" s="7">
        <v>8.1881795143319731E-3</v>
      </c>
      <c r="Q16" s="7">
        <v>0.15790307042433799</v>
      </c>
      <c r="R16" s="7">
        <v>4.899097828292652E-2</v>
      </c>
      <c r="S16" s="7">
        <v>0.1098590443348066</v>
      </c>
      <c r="T16" s="7">
        <v>6.7219060157601318E-2</v>
      </c>
      <c r="U16" s="7">
        <v>0.1300624714297445</v>
      </c>
      <c r="V16" s="7">
        <v>7.5571486108906974E-2</v>
      </c>
      <c r="W16" s="7">
        <v>0.1016313571311754</v>
      </c>
      <c r="X16" s="7">
        <v>7.3678277657467109E-2</v>
      </c>
      <c r="Y16" s="7">
        <v>5.0278834461062571E-2</v>
      </c>
      <c r="Z16" s="7">
        <v>4.3057930884211712E-2</v>
      </c>
      <c r="AA16" s="7">
        <v>-4.3487635835992113E-2</v>
      </c>
      <c r="AB16" s="7">
        <v>-7.4985041637980393E-2</v>
      </c>
      <c r="AC16" s="7">
        <v>-1.27654480354167E-2</v>
      </c>
      <c r="AD16" s="7">
        <v>-5.3136055547856789E-2</v>
      </c>
      <c r="AE16" s="7">
        <v>0.20962824117691051</v>
      </c>
      <c r="AF16" s="7">
        <v>-0.14791561026442651</v>
      </c>
      <c r="AG16" s="7">
        <v>-4.3776159735772403E-2</v>
      </c>
      <c r="AH16" s="7">
        <v>0.1484016251671525</v>
      </c>
      <c r="AI16" s="7">
        <v>-3.3383255671647301E-2</v>
      </c>
      <c r="AJ16" s="7">
        <v>-4.812047853633028E-2</v>
      </c>
      <c r="AK16" s="7">
        <v>-3.7433452981487869E-2</v>
      </c>
      <c r="AL16" s="7">
        <v>4.8688933104523248E-2</v>
      </c>
      <c r="AM16" s="7">
        <v>6.6076730601797973E-2</v>
      </c>
      <c r="AN16" s="7">
        <v>0.1064562000896756</v>
      </c>
      <c r="AO16" s="7">
        <v>-4.1090153361741252E-2</v>
      </c>
      <c r="AP16" s="7">
        <v>-5.239889563344962E-3</v>
      </c>
      <c r="AQ16" s="7">
        <v>3.8466200146068608E-2</v>
      </c>
      <c r="AR16" s="7">
        <v>-3.2492759720063692E-2</v>
      </c>
      <c r="AS16" s="7">
        <v>6.5068225473969343E-2</v>
      </c>
      <c r="AT16" s="7">
        <v>0.1225640433502848</v>
      </c>
      <c r="AU16" s="7">
        <v>8.2090271843001925E-2</v>
      </c>
      <c r="AV16" s="7">
        <v>2.360887634805886E-2</v>
      </c>
      <c r="AW16" s="7">
        <v>-3.9252930074650652E-2</v>
      </c>
      <c r="AX16" s="7">
        <v>-0.1006213291014028</v>
      </c>
      <c r="AY16" s="7">
        <v>-1.9601853599139189E-2</v>
      </c>
      <c r="AZ16" s="7">
        <v>-8.8150181520572649E-2</v>
      </c>
      <c r="BA16" s="7">
        <v>1.4923105057586089E-2</v>
      </c>
      <c r="BB16" s="7">
        <v>0.1324747375965718</v>
      </c>
      <c r="BC16" s="7">
        <v>6.712146610769186E-2</v>
      </c>
      <c r="BD16" s="7">
        <v>3.5936711545904013E-2</v>
      </c>
      <c r="BE16" s="7">
        <v>-5.1410994394474947E-2</v>
      </c>
      <c r="BF16" s="7">
        <v>0.24778685910046011</v>
      </c>
      <c r="BG16" s="7">
        <v>1.347328204795663E-2</v>
      </c>
      <c r="BH16" s="7">
        <v>-1.377561448396186E-2</v>
      </c>
      <c r="BI16" s="7">
        <v>4.8989940432910987E-2</v>
      </c>
      <c r="BJ16" s="7">
        <v>9.6566803525538036E-2</v>
      </c>
      <c r="BK16" s="7">
        <v>5.137162452601142E-2</v>
      </c>
      <c r="BL16" s="7">
        <v>6.1173599484470167E-2</v>
      </c>
      <c r="BM16" s="7">
        <v>3.9497985491106162E-2</v>
      </c>
      <c r="BN16" s="7">
        <v>6.1304749909884763E-2</v>
      </c>
      <c r="BO16" s="7">
        <v>-2.1890359953657689E-2</v>
      </c>
      <c r="BP16" s="7">
        <v>-5.7750060680455823E-2</v>
      </c>
      <c r="BQ16" s="7">
        <v>-2.3690718667247399E-2</v>
      </c>
      <c r="BR16" s="7">
        <v>-2.6296848021444389E-2</v>
      </c>
      <c r="BS16" s="7">
        <v>-3.2006987192883168E-2</v>
      </c>
      <c r="BT16" s="7">
        <v>-4.6660882493518303E-2</v>
      </c>
      <c r="BU16" s="7">
        <v>5.7765110184800447E-2</v>
      </c>
      <c r="BV16" s="7">
        <v>-9.4510468466925304E-2</v>
      </c>
      <c r="BW16" s="7">
        <v>0.31797083453836722</v>
      </c>
      <c r="BX16" s="7">
        <v>-6.6559519118082902E-2</v>
      </c>
      <c r="BY16" s="7">
        <v>-0.1189947080532785</v>
      </c>
      <c r="BZ16" s="7">
        <v>-0.11152584850164921</v>
      </c>
      <c r="CA16" s="7">
        <v>-2.971438975556321E-2</v>
      </c>
      <c r="CB16" s="7">
        <v>-0.13930873593333401</v>
      </c>
      <c r="CC16" s="7">
        <v>4.4388153170205821E-2</v>
      </c>
      <c r="CD16" s="7">
        <v>-6.0988525873729958E-2</v>
      </c>
      <c r="CE16" s="7">
        <v>-0.13259506079351141</v>
      </c>
      <c r="CF16" s="7">
        <v>5.280008433528089E-2</v>
      </c>
      <c r="CG16" s="7">
        <v>-6.1727878146666561E-2</v>
      </c>
      <c r="CH16" s="7">
        <v>5.0448724703996098E-2</v>
      </c>
      <c r="CI16" s="7">
        <v>-4.2406681121506702E-3</v>
      </c>
      <c r="CJ16" s="7">
        <v>4.5523550787666608E-2</v>
      </c>
      <c r="CK16" s="7">
        <v>8.8422689781607638E-2</v>
      </c>
      <c r="CL16" s="7">
        <v>-0.19674043815921369</v>
      </c>
      <c r="CM16" s="7">
        <v>8.8988628149511667E-2</v>
      </c>
      <c r="CN16" s="7">
        <v>3.3057515140949983E-2</v>
      </c>
      <c r="CO16" s="7">
        <v>-0.13464020879390531</v>
      </c>
      <c r="CP16" s="7">
        <v>-0.13663168948209131</v>
      </c>
      <c r="CQ16" s="7">
        <v>-2.0333779820360921E-2</v>
      </c>
      <c r="CR16" s="7">
        <v>-0.1892865334673984</v>
      </c>
      <c r="CS16" s="7">
        <v>2.1807008909622099E-2</v>
      </c>
      <c r="CT16" s="7">
        <v>2.5557377960834651E-2</v>
      </c>
      <c r="CU16" s="7">
        <v>0.1354717008642061</v>
      </c>
      <c r="CV16" s="7">
        <v>-5.9453992785835928E-2</v>
      </c>
      <c r="CW16" s="7">
        <v>4.7341659174279828E-2</v>
      </c>
      <c r="CX16" s="7">
        <v>-0.16226597530261619</v>
      </c>
      <c r="CY16" s="7">
        <v>-8.1280637874214245E-2</v>
      </c>
      <c r="CZ16" s="7">
        <v>-3.2724822242144208E-2</v>
      </c>
      <c r="DA16" s="7">
        <v>-2.9804793967235531E-2</v>
      </c>
      <c r="DB16" s="7">
        <v>4.2712169780226052E-2</v>
      </c>
      <c r="DC16" s="7">
        <v>-4.2942362320500277E-2</v>
      </c>
      <c r="DD16" s="7">
        <v>3.1743710487280023E-2</v>
      </c>
      <c r="DE16" s="7">
        <v>3.4552400358790022E-2</v>
      </c>
      <c r="DF16" s="7">
        <v>2.6980135523259619E-3</v>
      </c>
      <c r="DG16" s="7">
        <v>0.12637191985047269</v>
      </c>
      <c r="DH16" s="7">
        <v>-0.13714776041250831</v>
      </c>
      <c r="DI16" s="7">
        <v>4.5399497901261208E-2</v>
      </c>
      <c r="DJ16" s="7">
        <v>-7.0955052436885546E-2</v>
      </c>
      <c r="DK16" s="7">
        <v>-5.7685769347259337E-2</v>
      </c>
      <c r="DL16" s="7">
        <v>2.187287424977424E-2</v>
      </c>
      <c r="DM16" s="7">
        <v>1.8910374168543239E-2</v>
      </c>
      <c r="DN16" s="7">
        <v>0.1158867317449916</v>
      </c>
      <c r="DO16" s="7">
        <v>4.656386647977797E-2</v>
      </c>
      <c r="DP16" s="7">
        <v>1.9841948579226051E-2</v>
      </c>
      <c r="DQ16" s="7">
        <v>-4.7070156004531787E-2</v>
      </c>
      <c r="DR16" s="7">
        <v>-1.11781676491013E-2</v>
      </c>
      <c r="DS16" s="7">
        <v>1.042302437651493E-2</v>
      </c>
      <c r="DT16" s="7">
        <v>5.9112975078185963E-2</v>
      </c>
      <c r="DU16" s="7">
        <v>-0.1901082424459184</v>
      </c>
      <c r="DV16" s="7">
        <v>-4.5728317172487008E-2</v>
      </c>
      <c r="DW16" s="7">
        <v>4.0917729699690833E-2</v>
      </c>
      <c r="DX16" s="7">
        <v>-2.1947727776040898E-2</v>
      </c>
      <c r="DY16" s="7">
        <v>-9.4984864221236961E-2</v>
      </c>
      <c r="DZ16" s="7">
        <v>1.264917158578936E-2</v>
      </c>
      <c r="EA16" s="7">
        <v>0.13979901874338971</v>
      </c>
      <c r="EB16" s="7">
        <v>0.1006791006772017</v>
      </c>
      <c r="EC16" s="7">
        <v>-6.8501480567839029E-2</v>
      </c>
      <c r="ED16" s="7">
        <v>-0.11469922764091681</v>
      </c>
      <c r="EE16" s="7">
        <v>-5.9240996655185861E-2</v>
      </c>
      <c r="EF16" s="8">
        <v>-3.455063597997958E-2</v>
      </c>
      <c r="EG16" s="21">
        <f t="shared" si="6"/>
        <v>8.2185062557293079E-3</v>
      </c>
      <c r="EH16" s="21">
        <f t="shared" si="7"/>
        <v>9.330778991894359E-2</v>
      </c>
      <c r="EI16" s="21">
        <f t="shared" si="8"/>
        <v>8.8079529724889194E-2</v>
      </c>
    </row>
    <row r="17" spans="1:139" x14ac:dyDescent="0.3">
      <c r="A17" s="1">
        <v>120</v>
      </c>
      <c r="B17" s="1">
        <v>8</v>
      </c>
      <c r="C17" s="7">
        <v>-3.8913468982799751E-2</v>
      </c>
      <c r="D17" s="7">
        <v>0.43958848862462141</v>
      </c>
      <c r="E17" s="7">
        <v>-9.6671109192610821E-2</v>
      </c>
      <c r="F17" s="7">
        <v>8.0752164152319103E-2</v>
      </c>
      <c r="G17" s="7">
        <v>-0.10538707466373071</v>
      </c>
      <c r="H17" s="7">
        <v>7.9428568480016878E-3</v>
      </c>
      <c r="I17" s="7">
        <v>-0.1137250278021875</v>
      </c>
      <c r="J17" s="7">
        <v>4.1858395118229183E-2</v>
      </c>
      <c r="K17" s="7">
        <v>0.1015600797223099</v>
      </c>
      <c r="L17" s="7">
        <v>-4.2234791145342128E-2</v>
      </c>
      <c r="M17" s="7">
        <v>1.4659142090288421E-2</v>
      </c>
      <c r="N17" s="7">
        <v>0.1092778268298058</v>
      </c>
      <c r="O17" s="7">
        <v>0.1012267692723357</v>
      </c>
      <c r="P17" s="7">
        <v>1.338294674336832E-2</v>
      </c>
      <c r="Q17" s="7">
        <v>0.16180129461512691</v>
      </c>
      <c r="R17" s="7">
        <v>5.2057608904527208E-2</v>
      </c>
      <c r="S17" s="7">
        <v>0.1190543893253307</v>
      </c>
      <c r="T17" s="7">
        <v>7.120201453280707E-2</v>
      </c>
      <c r="U17" s="7">
        <v>0.14127114253855691</v>
      </c>
      <c r="V17" s="7">
        <v>9.7259655852603044E-2</v>
      </c>
      <c r="W17" s="7">
        <v>0.1286672543576686</v>
      </c>
      <c r="X17" s="7">
        <v>0.1001859670039883</v>
      </c>
      <c r="Y17" s="7">
        <v>7.3623131490407626E-2</v>
      </c>
      <c r="Z17" s="7">
        <v>5.3868489290865788E-2</v>
      </c>
      <c r="AA17" s="7">
        <v>-3.5209789582199093E-2</v>
      </c>
      <c r="AB17" s="7">
        <v>-8.4852062878172319E-2</v>
      </c>
      <c r="AC17" s="7">
        <v>-2.008625473802152E-2</v>
      </c>
      <c r="AD17" s="7">
        <v>-4.9777375460754107E-2</v>
      </c>
      <c r="AE17" s="7">
        <v>0.22212270442845089</v>
      </c>
      <c r="AF17" s="7">
        <v>-0.1202863246558465</v>
      </c>
      <c r="AG17" s="7">
        <v>-6.2640141571138702E-2</v>
      </c>
      <c r="AH17" s="7">
        <v>0.14702488925580459</v>
      </c>
      <c r="AI17" s="7">
        <v>-5.7037975655486538E-2</v>
      </c>
      <c r="AJ17" s="7">
        <v>-6.1612618608742321E-2</v>
      </c>
      <c r="AK17" s="7">
        <v>-2.937588960957525E-2</v>
      </c>
      <c r="AL17" s="7">
        <v>5.0724405748556509E-2</v>
      </c>
      <c r="AM17" s="7">
        <v>7.5369367587656971E-2</v>
      </c>
      <c r="AN17" s="7">
        <v>0.1132871203459177</v>
      </c>
      <c r="AO17" s="7">
        <v>-7.6694527622622979E-2</v>
      </c>
      <c r="AP17" s="7">
        <v>-3.7580715888505642E-3</v>
      </c>
      <c r="AQ17" s="7">
        <v>6.052713740149903E-2</v>
      </c>
      <c r="AR17" s="7">
        <v>-3.4997281035057427E-2</v>
      </c>
      <c r="AS17" s="7">
        <v>5.6323562034475708E-2</v>
      </c>
      <c r="AT17" s="7">
        <v>0.1270717931072517</v>
      </c>
      <c r="AU17" s="7">
        <v>0.11569960953410489</v>
      </c>
      <c r="AV17" s="7">
        <v>2.7563054075277468E-2</v>
      </c>
      <c r="AW17" s="7">
        <v>-8.4218880418367916E-3</v>
      </c>
      <c r="AX17" s="7">
        <v>-9.7619105117607935E-2</v>
      </c>
      <c r="AY17" s="7">
        <v>-1.547804570524644E-2</v>
      </c>
      <c r="AZ17" s="7">
        <v>-7.0494230916434586E-2</v>
      </c>
      <c r="BA17" s="7">
        <v>9.8251791071129642E-3</v>
      </c>
      <c r="BB17" s="7">
        <v>0.15327128427838471</v>
      </c>
      <c r="BC17" s="7">
        <v>8.386319517781364E-2</v>
      </c>
      <c r="BD17" s="7">
        <v>2.235648224620481E-2</v>
      </c>
      <c r="BE17" s="7">
        <v>-7.7350242238060404E-2</v>
      </c>
      <c r="BF17" s="7">
        <v>0.14777683028015831</v>
      </c>
      <c r="BG17" s="7">
        <v>-3.5394236088037288E-2</v>
      </c>
      <c r="BH17" s="7">
        <v>1.351946085175304E-2</v>
      </c>
      <c r="BI17" s="7">
        <v>8.073839955835159E-2</v>
      </c>
      <c r="BJ17" s="7">
        <v>9.7868244368423979E-2</v>
      </c>
      <c r="BK17" s="7">
        <v>1.67513267503808E-2</v>
      </c>
      <c r="BL17" s="7">
        <v>3.4152447324294427E-2</v>
      </c>
      <c r="BM17" s="7">
        <v>2.905901115235426E-2</v>
      </c>
      <c r="BN17" s="7">
        <v>5.3470180947152127E-2</v>
      </c>
      <c r="BO17" s="7">
        <v>-3.5179615416723611E-2</v>
      </c>
      <c r="BP17" s="7">
        <v>-6.0638146909917152E-2</v>
      </c>
      <c r="BQ17" s="7">
        <v>-2.5601715515448219E-2</v>
      </c>
      <c r="BR17" s="7">
        <v>-9.6463751247498966E-3</v>
      </c>
      <c r="BS17" s="7">
        <v>-2.0906018213695501E-2</v>
      </c>
      <c r="BT17" s="7">
        <v>-5.2650160261977733E-2</v>
      </c>
      <c r="BU17" s="7">
        <v>7.1127818750752414E-2</v>
      </c>
      <c r="BV17" s="7">
        <v>-0.1066439176333919</v>
      </c>
      <c r="BW17" s="7">
        <v>0.2083368255173885</v>
      </c>
      <c r="BX17" s="7">
        <v>-8.2640989537648424E-2</v>
      </c>
      <c r="BY17" s="7">
        <v>-9.5860871919991084E-2</v>
      </c>
      <c r="BZ17" s="7">
        <v>-0.12057815588108529</v>
      </c>
      <c r="CA17" s="7">
        <v>-2.7934832358489561E-2</v>
      </c>
      <c r="CB17" s="7">
        <v>-0.1496331576928896</v>
      </c>
      <c r="CC17" s="7">
        <v>4.1760252474235628E-2</v>
      </c>
      <c r="CD17" s="7">
        <v>-7.6385115279474114E-2</v>
      </c>
      <c r="CE17" s="7">
        <v>-0.17511624550605151</v>
      </c>
      <c r="CF17" s="7">
        <v>5.8238796594696537E-2</v>
      </c>
      <c r="CG17" s="7">
        <v>-7.4714988628731105E-2</v>
      </c>
      <c r="CH17" s="7">
        <v>3.296907217045305E-2</v>
      </c>
      <c r="CI17" s="7">
        <v>-3.7017833748845611E-3</v>
      </c>
      <c r="CJ17" s="7">
        <v>5.0742321484442049E-2</v>
      </c>
      <c r="CK17" s="7">
        <v>8.3955848259630761E-2</v>
      </c>
      <c r="CL17" s="7">
        <v>-0.13683909896473681</v>
      </c>
      <c r="CM17" s="7">
        <v>0.13456934443157431</v>
      </c>
      <c r="CN17" s="7">
        <v>2.6718061150986971E-2</v>
      </c>
      <c r="CO17" s="7">
        <v>-0.13741287532952509</v>
      </c>
      <c r="CP17" s="7">
        <v>-0.1481592691973436</v>
      </c>
      <c r="CQ17" s="7">
        <v>5.1907103341726511E-2</v>
      </c>
      <c r="CR17" s="7">
        <v>-0.19640263176228931</v>
      </c>
      <c r="CS17" s="7">
        <v>1.1545515717005199E-2</v>
      </c>
      <c r="CT17" s="7">
        <v>1.7339280405090751E-2</v>
      </c>
      <c r="CU17" s="7">
        <v>0.15535189279975939</v>
      </c>
      <c r="CV17" s="7">
        <v>-6.7891017071279425E-2</v>
      </c>
      <c r="CW17" s="7">
        <v>6.3393218804487977E-2</v>
      </c>
      <c r="CX17" s="7">
        <v>-0.1250098553997174</v>
      </c>
      <c r="CY17" s="7">
        <v>-7.5608913409805675E-2</v>
      </c>
      <c r="CZ17" s="7">
        <v>-3.1592684380340692E-2</v>
      </c>
      <c r="DA17" s="7">
        <v>-4.3895859145134192E-2</v>
      </c>
      <c r="DB17" s="7">
        <v>3.4883010792467917E-2</v>
      </c>
      <c r="DC17" s="7">
        <v>-4.3363468977499313E-2</v>
      </c>
      <c r="DD17" s="7">
        <v>2.9155420882880739E-2</v>
      </c>
      <c r="DE17" s="7">
        <v>2.4124863346722019E-2</v>
      </c>
      <c r="DF17" s="7">
        <v>1.5674444936529901E-2</v>
      </c>
      <c r="DG17" s="7">
        <v>0.12321246613063939</v>
      </c>
      <c r="DH17" s="7">
        <v>-0.163431801211989</v>
      </c>
      <c r="DI17" s="7">
        <v>3.5044536065945063E-2</v>
      </c>
      <c r="DJ17" s="7">
        <v>-0.12892505978600949</v>
      </c>
      <c r="DK17" s="7">
        <v>-6.8118111488885122E-2</v>
      </c>
      <c r="DL17" s="7">
        <v>3.929731691128693E-3</v>
      </c>
      <c r="DM17" s="7">
        <v>3.7227475515992328E-2</v>
      </c>
      <c r="DN17" s="7">
        <v>0.1064799626072864</v>
      </c>
      <c r="DO17" s="7">
        <v>6.5250544351453679E-2</v>
      </c>
      <c r="DP17" s="7">
        <v>-1.651850825662354E-2</v>
      </c>
      <c r="DQ17" s="7">
        <v>-7.2654005106024863E-2</v>
      </c>
      <c r="DR17" s="7">
        <v>-2.572643946627351E-2</v>
      </c>
      <c r="DS17" s="7">
        <v>6.5055362314722226E-3</v>
      </c>
      <c r="DT17" s="7">
        <v>5.9811935234976271E-2</v>
      </c>
      <c r="DU17" s="7">
        <v>-0.15955509947844379</v>
      </c>
      <c r="DV17" s="7">
        <v>-4.5148836149058763E-2</v>
      </c>
      <c r="DW17" s="7">
        <v>4.8681483414150163E-2</v>
      </c>
      <c r="DX17" s="7">
        <v>2.3035180169188669E-2</v>
      </c>
      <c r="DY17" s="7">
        <v>-0.12601053790105471</v>
      </c>
      <c r="DZ17" s="7">
        <v>-4.7910532459885732E-3</v>
      </c>
      <c r="EA17" s="7">
        <v>0.1645715232321148</v>
      </c>
      <c r="EB17" s="7">
        <v>0.1072853267537575</v>
      </c>
      <c r="EC17" s="7">
        <v>-0.1215120172680231</v>
      </c>
      <c r="ED17" s="7">
        <v>-0.10329067393702911</v>
      </c>
      <c r="EE17" s="7">
        <v>-6.4278699968889033E-2</v>
      </c>
      <c r="EF17" s="8">
        <v>-4.0987205423901073E-2</v>
      </c>
      <c r="EG17" s="21">
        <f t="shared" si="6"/>
        <v>6.9959757585977642E-3</v>
      </c>
      <c r="EH17" s="21">
        <f t="shared" si="7"/>
        <v>9.5658863173225722E-2</v>
      </c>
      <c r="EI17" s="21">
        <f t="shared" si="8"/>
        <v>7.3134632030164987E-2</v>
      </c>
    </row>
    <row r="18" spans="1:139" x14ac:dyDescent="0.3">
      <c r="A18" s="1">
        <v>137</v>
      </c>
      <c r="B18" s="1">
        <v>7</v>
      </c>
      <c r="C18" s="7">
        <v>-5.9146797802220617E-2</v>
      </c>
      <c r="D18" s="7">
        <v>0.40188368142206798</v>
      </c>
      <c r="E18" s="7">
        <v>-0.10047562300309219</v>
      </c>
      <c r="F18" s="7">
        <v>0.11938296010218979</v>
      </c>
      <c r="G18" s="7">
        <v>-0.10831637328507999</v>
      </c>
      <c r="H18" s="7">
        <v>8.6222277544443261E-3</v>
      </c>
      <c r="I18" s="7">
        <v>-0.13550018022324109</v>
      </c>
      <c r="J18" s="7">
        <v>4.3411515751641608E-2</v>
      </c>
      <c r="K18" s="7">
        <v>0.13564788877763229</v>
      </c>
      <c r="L18" s="7">
        <v>-5.0758207106719029E-2</v>
      </c>
      <c r="M18" s="7">
        <v>2.9051464376457319E-2</v>
      </c>
      <c r="N18" s="7">
        <v>0.14120748849629611</v>
      </c>
      <c r="O18" s="7">
        <v>0.10367048962961919</v>
      </c>
      <c r="P18" s="7">
        <v>8.3280858539089599E-3</v>
      </c>
      <c r="Q18" s="7">
        <v>0.18897541868948989</v>
      </c>
      <c r="R18" s="7">
        <v>6.149223787197499E-2</v>
      </c>
      <c r="S18" s="7">
        <v>0.14380522729889919</v>
      </c>
      <c r="T18" s="7">
        <v>5.4244440031608693E-2</v>
      </c>
      <c r="U18" s="7">
        <v>0.132495024429819</v>
      </c>
      <c r="V18" s="7">
        <v>0.1213914614259257</v>
      </c>
      <c r="W18" s="7">
        <v>0.16613482926929909</v>
      </c>
      <c r="X18" s="7">
        <v>0.1271228086254903</v>
      </c>
      <c r="Y18" s="7">
        <v>0.1038792439088113</v>
      </c>
      <c r="Z18" s="7">
        <v>8.9234363440522865E-2</v>
      </c>
      <c r="AA18" s="7">
        <v>-4.1705245182724067E-2</v>
      </c>
      <c r="AB18" s="7">
        <v>-8.4698299730484178E-2</v>
      </c>
      <c r="AC18" s="7">
        <v>1.3654204768322529E-3</v>
      </c>
      <c r="AD18" s="7">
        <v>-7.2443789088531399E-2</v>
      </c>
      <c r="AE18" s="7">
        <v>0.25839134891520849</v>
      </c>
      <c r="AF18" s="7">
        <v>-0.1505436398240734</v>
      </c>
      <c r="AG18" s="7">
        <v>-8.1719979892753619E-2</v>
      </c>
      <c r="AH18" s="7">
        <v>0.16306850482484961</v>
      </c>
      <c r="AI18" s="7">
        <v>-8.1423750051169697E-2</v>
      </c>
      <c r="AJ18" s="7">
        <v>-7.0867217661602505E-2</v>
      </c>
      <c r="AK18" s="7">
        <v>-2.283288536199644E-2</v>
      </c>
      <c r="AL18" s="7">
        <v>4.7527763632257733E-2</v>
      </c>
      <c r="AM18" s="7">
        <v>6.6643405424771207E-2</v>
      </c>
      <c r="AN18" s="7">
        <v>7.9294639955201793E-2</v>
      </c>
      <c r="AO18" s="7">
        <v>2.4584280444806969E-2</v>
      </c>
      <c r="AP18" s="7">
        <v>-2.0144314479082388E-3</v>
      </c>
      <c r="AQ18" s="7">
        <v>7.6230845326449942E-2</v>
      </c>
      <c r="AR18" s="7">
        <v>-6.1694523600781571E-2</v>
      </c>
      <c r="AS18" s="7">
        <v>8.5826551553969135E-2</v>
      </c>
      <c r="AT18" s="7">
        <v>0.16638580942405889</v>
      </c>
      <c r="AU18" s="7">
        <v>0.13889821464621971</v>
      </c>
      <c r="AV18" s="7">
        <v>3.5057687575876399E-2</v>
      </c>
      <c r="AW18" s="7">
        <v>-2.4538034241107461E-2</v>
      </c>
      <c r="AX18" s="7">
        <v>-0.12606433742612741</v>
      </c>
      <c r="AY18" s="7">
        <v>-3.0189358728490181E-2</v>
      </c>
      <c r="AZ18" s="7">
        <v>-5.1646327393508343E-2</v>
      </c>
      <c r="BA18" s="7">
        <v>6.3231092468556214E-4</v>
      </c>
      <c r="BB18" s="7">
        <v>0.16725801848079261</v>
      </c>
      <c r="BC18" s="7">
        <v>8.3201572593320602E-2</v>
      </c>
      <c r="BD18" s="7">
        <v>-2.4016271687300441E-2</v>
      </c>
      <c r="BE18" s="7">
        <v>-6.8361213238162841E-2</v>
      </c>
      <c r="BF18" s="7">
        <v>0.1649864946960074</v>
      </c>
      <c r="BG18" s="7">
        <v>-1.680624122620418E-2</v>
      </c>
      <c r="BH18" s="7">
        <v>2.0503853063805449E-2</v>
      </c>
      <c r="BI18" s="7">
        <v>7.5991093740458621E-2</v>
      </c>
      <c r="BJ18" s="7">
        <v>9.8533856685421792E-2</v>
      </c>
      <c r="BK18" s="7">
        <v>9.810839031169187E-4</v>
      </c>
      <c r="BL18" s="7">
        <v>5.5787880861779937E-2</v>
      </c>
      <c r="BM18" s="7">
        <v>2.8081356373095352E-2</v>
      </c>
      <c r="BN18" s="7">
        <v>4.2191588804803559E-2</v>
      </c>
      <c r="BO18" s="7">
        <v>-2.0227496106374639E-2</v>
      </c>
      <c r="BP18" s="7">
        <v>-6.2463432036451667E-2</v>
      </c>
      <c r="BQ18" s="7">
        <v>-8.6459690912229228E-2</v>
      </c>
      <c r="BR18" s="7">
        <v>-5.7481935839547244E-3</v>
      </c>
      <c r="BS18" s="7">
        <v>-3.2873256576031823E-2</v>
      </c>
      <c r="BT18" s="7">
        <v>-6.1545322892704799E-2</v>
      </c>
      <c r="BU18" s="7">
        <v>8.0677444040040805E-2</v>
      </c>
      <c r="BV18" s="7">
        <v>-0.11550551871264431</v>
      </c>
      <c r="BW18" s="7">
        <v>0.21837549913098869</v>
      </c>
      <c r="BX18" s="7">
        <v>-7.4580863414598103E-2</v>
      </c>
      <c r="BY18" s="7">
        <v>-6.2686744450084916E-2</v>
      </c>
      <c r="BZ18" s="7">
        <v>-0.15331998780259809</v>
      </c>
      <c r="CA18" s="7">
        <v>-1.6076543892860819E-2</v>
      </c>
      <c r="CB18" s="7">
        <v>-0.1068460604700732</v>
      </c>
      <c r="CC18" s="7">
        <v>0.1046606238416451</v>
      </c>
      <c r="CD18" s="7">
        <v>-0.1215952231687642</v>
      </c>
      <c r="CE18" s="7">
        <v>-0.1779263563088774</v>
      </c>
      <c r="CF18" s="7">
        <v>-4.3957743386608697E-2</v>
      </c>
      <c r="CG18" s="7">
        <v>-9.1609255563919342E-2</v>
      </c>
      <c r="CH18" s="7">
        <v>4.5365648959158789E-2</v>
      </c>
      <c r="CI18" s="7">
        <v>0.1150593108091785</v>
      </c>
      <c r="CJ18" s="7">
        <v>6.2313677824909687E-2</v>
      </c>
      <c r="CK18" s="7">
        <v>9.6058031665523097E-2</v>
      </c>
      <c r="CL18" s="7">
        <v>-0.15291394380948509</v>
      </c>
      <c r="CM18" s="7">
        <v>0.14364854316439371</v>
      </c>
      <c r="CN18" s="7">
        <v>3.5086253978176607E-2</v>
      </c>
      <c r="CO18" s="7">
        <v>-0.1505975096222473</v>
      </c>
      <c r="CP18" s="7">
        <v>-0.16283910894801071</v>
      </c>
      <c r="CQ18" s="7">
        <v>3.8242675594942703E-2</v>
      </c>
      <c r="CR18" s="7">
        <v>-0.19372240765220919</v>
      </c>
      <c r="CS18" s="7">
        <v>2.8128560414088639E-2</v>
      </c>
      <c r="CT18" s="7">
        <v>-1.6272494200008831E-2</v>
      </c>
      <c r="CU18" s="7">
        <v>0.14456482117613489</v>
      </c>
      <c r="CV18" s="7">
        <v>-6.2944622044462925E-2</v>
      </c>
      <c r="CW18" s="7">
        <v>6.6558574498316259E-2</v>
      </c>
      <c r="CX18" s="7">
        <v>-0.1530756896091533</v>
      </c>
      <c r="CY18" s="7">
        <v>-9.3178383907907517E-2</v>
      </c>
      <c r="CZ18" s="7">
        <v>-9.1459213412702536E-2</v>
      </c>
      <c r="DA18" s="7">
        <v>-4.7380939518693557E-2</v>
      </c>
      <c r="DB18" s="7">
        <v>4.5735208678759381E-2</v>
      </c>
      <c r="DC18" s="7">
        <v>-3.6408781495506221E-2</v>
      </c>
      <c r="DD18" s="7">
        <v>4.1014187319333921E-2</v>
      </c>
      <c r="DE18" s="7">
        <v>3.8420587486450893E-2</v>
      </c>
      <c r="DF18" s="7">
        <v>2.8071975077961529E-2</v>
      </c>
      <c r="DG18" s="7">
        <v>0.11821709327359541</v>
      </c>
      <c r="DH18" s="7">
        <v>-0.19240138195914119</v>
      </c>
      <c r="DI18" s="7">
        <v>1.8613248030418191E-2</v>
      </c>
      <c r="DJ18" s="7">
        <v>-0.14619607609941229</v>
      </c>
      <c r="DK18" s="7">
        <v>-5.7250589986626008E-2</v>
      </c>
      <c r="DL18" s="7">
        <v>3.830274067592157E-3</v>
      </c>
      <c r="DM18" s="7">
        <v>5.250678742263995E-3</v>
      </c>
      <c r="DN18" s="7">
        <v>0.1251086832695307</v>
      </c>
      <c r="DO18" s="7">
        <v>3.019901746158983E-2</v>
      </c>
      <c r="DP18" s="7">
        <v>-2.0604686466865741E-2</v>
      </c>
      <c r="DQ18" s="7">
        <v>-6.5749458183898837E-2</v>
      </c>
      <c r="DR18" s="7">
        <v>-1.045124881951652E-2</v>
      </c>
      <c r="DS18" s="7">
        <v>2.5385651257138282E-2</v>
      </c>
      <c r="DT18" s="7">
        <v>2.2601034841107401E-2</v>
      </c>
      <c r="DU18" s="7">
        <v>-0.16258878442425009</v>
      </c>
      <c r="DV18" s="7">
        <v>-7.0527692506077544E-2</v>
      </c>
      <c r="DW18" s="7">
        <v>8.1908692284373169E-2</v>
      </c>
      <c r="DX18" s="7">
        <v>6.8177293521735294E-2</v>
      </c>
      <c r="DY18" s="7">
        <v>-0.16576310466200311</v>
      </c>
      <c r="DZ18" s="7">
        <v>-4.3227854869441883E-2</v>
      </c>
      <c r="EA18" s="7">
        <v>0.19894574816433719</v>
      </c>
      <c r="EB18" s="7">
        <v>0.1099643544501954</v>
      </c>
      <c r="EC18" s="7">
        <v>-0.14304023059278551</v>
      </c>
      <c r="ED18" s="7">
        <v>-8.2759101388566583E-2</v>
      </c>
      <c r="EE18" s="7">
        <v>-5.3015040315364213E-2</v>
      </c>
      <c r="EF18" s="8">
        <v>-6.3954333689144396E-2</v>
      </c>
      <c r="EG18" s="21">
        <f t="shared" si="6"/>
        <v>7.9409010286733712E-3</v>
      </c>
      <c r="EH18" s="21">
        <f t="shared" si="7"/>
        <v>0.10463290322314675</v>
      </c>
      <c r="EI18" s="21">
        <f t="shared" si="8"/>
        <v>7.5892962768490738E-2</v>
      </c>
    </row>
    <row r="19" spans="1:139" x14ac:dyDescent="0.3">
      <c r="A19" s="1">
        <v>160</v>
      </c>
      <c r="B19" s="1">
        <v>6</v>
      </c>
      <c r="C19" s="7">
        <v>-7.386192988077088E-2</v>
      </c>
      <c r="D19" s="7">
        <v>0.40752071008946927</v>
      </c>
      <c r="E19" s="7">
        <v>-0.1405836765913312</v>
      </c>
      <c r="F19" s="7">
        <v>0.1776886618055605</v>
      </c>
      <c r="G19" s="7">
        <v>-9.6065971857177412E-2</v>
      </c>
      <c r="H19" s="7">
        <v>-1.2068788462484921E-2</v>
      </c>
      <c r="I19" s="7">
        <v>-0.1346543328914665</v>
      </c>
      <c r="J19" s="7">
        <v>3.5429584520191022E-2</v>
      </c>
      <c r="K19" s="7">
        <v>0.23878941472391671</v>
      </c>
      <c r="L19" s="7">
        <v>-2.032664964034506E-2</v>
      </c>
      <c r="M19" s="7">
        <v>-4.3690236156307287E-2</v>
      </c>
      <c r="N19" s="7">
        <v>0.15184358114798011</v>
      </c>
      <c r="O19" s="7">
        <v>9.2221383019457218E-2</v>
      </c>
      <c r="P19" s="7">
        <v>2.3513160824520051E-2</v>
      </c>
      <c r="Q19" s="7">
        <v>0.19716308826451989</v>
      </c>
      <c r="R19" s="7">
        <v>9.0299090630856282E-2</v>
      </c>
      <c r="S19" s="7">
        <v>0.1226918763357415</v>
      </c>
      <c r="T19" s="7">
        <v>2.7154277986299109E-2</v>
      </c>
      <c r="U19" s="7">
        <v>0.13569833863192321</v>
      </c>
      <c r="V19" s="7">
        <v>9.2688319725313148E-2</v>
      </c>
      <c r="W19" s="7">
        <v>0.1747347633022315</v>
      </c>
      <c r="X19" s="7">
        <v>0.122923146245717</v>
      </c>
      <c r="Y19" s="7">
        <v>0.10313023893043829</v>
      </c>
      <c r="Z19" s="7">
        <v>9.1619110576023566E-2</v>
      </c>
      <c r="AA19" s="7">
        <v>-4.1570184538155738E-2</v>
      </c>
      <c r="AB19" s="7">
        <v>-0.10225360588394269</v>
      </c>
      <c r="AC19" s="7">
        <v>1.4141542708609799E-2</v>
      </c>
      <c r="AD19" s="7">
        <v>-2.399745726106059E-2</v>
      </c>
      <c r="AE19" s="7">
        <v>0.30849285792536868</v>
      </c>
      <c r="AF19" s="7">
        <v>-0.1688305807080431</v>
      </c>
      <c r="AG19" s="7">
        <v>-4.1487103444311647E-2</v>
      </c>
      <c r="AH19" s="7">
        <v>0.20415628716520959</v>
      </c>
      <c r="AI19" s="7">
        <v>-4.7766352759796363E-2</v>
      </c>
      <c r="AJ19" s="7">
        <v>-7.720270964457146E-2</v>
      </c>
      <c r="AK19" s="7">
        <v>-4.0581523113162987E-2</v>
      </c>
      <c r="AL19" s="7">
        <v>7.0270945670805551E-2</v>
      </c>
      <c r="AM19" s="7">
        <v>4.3106011811404943E-2</v>
      </c>
      <c r="AN19" s="7">
        <v>8.3568294365682083E-2</v>
      </c>
      <c r="AO19" s="7">
        <v>5.5890126129114689E-2</v>
      </c>
      <c r="AP19" s="7">
        <v>-9.7121209416000734E-3</v>
      </c>
      <c r="AQ19" s="7">
        <v>8.8252757060650652E-2</v>
      </c>
      <c r="AR19" s="7">
        <v>-7.4616897634658869E-2</v>
      </c>
      <c r="AS19" s="7">
        <v>9.7796955268314459E-2</v>
      </c>
      <c r="AT19" s="7">
        <v>0.18459366381005801</v>
      </c>
      <c r="AU19" s="7">
        <v>0.1530146264742607</v>
      </c>
      <c r="AV19" s="7">
        <v>4.2677295724337212E-2</v>
      </c>
      <c r="AW19" s="7">
        <v>-2.2356168154136491E-2</v>
      </c>
      <c r="AX19" s="7">
        <v>-0.2241237953008561</v>
      </c>
      <c r="AY19" s="7">
        <v>-6.6273242712472244E-2</v>
      </c>
      <c r="AZ19" s="7">
        <v>-0.11561152836942371</v>
      </c>
      <c r="BA19" s="7">
        <v>-3.4363883954073027E-2</v>
      </c>
      <c r="BB19" s="7">
        <v>0.2018019106632078</v>
      </c>
      <c r="BC19" s="7">
        <v>6.4055486346185769E-2</v>
      </c>
      <c r="BD19" s="7">
        <v>-3.2343926300681461E-3</v>
      </c>
      <c r="BE19" s="7">
        <v>-5.1131873963666558E-2</v>
      </c>
      <c r="BF19" s="7">
        <v>0.14180943496374171</v>
      </c>
      <c r="BG19" s="7">
        <v>-1.6343658332842171E-2</v>
      </c>
      <c r="BH19" s="7">
        <v>2.0182017014309939E-3</v>
      </c>
      <c r="BI19" s="7">
        <v>0.1012842299592162</v>
      </c>
      <c r="BJ19" s="7">
        <v>5.8912217172455733E-2</v>
      </c>
      <c r="BK19" s="7">
        <v>-6.9519036629441727E-2</v>
      </c>
      <c r="BL19" s="7">
        <v>6.3164533747019302E-2</v>
      </c>
      <c r="BM19" s="7">
        <v>3.1786264869145278E-2</v>
      </c>
      <c r="BN19" s="7">
        <v>7.2185099722501103E-2</v>
      </c>
      <c r="BO19" s="7">
        <v>-2.5728961265115379E-2</v>
      </c>
      <c r="BP19" s="7">
        <v>-1.2410341277600779E-2</v>
      </c>
      <c r="BQ19" s="7">
        <v>-0.10965313493305689</v>
      </c>
      <c r="BR19" s="7">
        <v>6.6752460235200081E-3</v>
      </c>
      <c r="BS19" s="7">
        <v>3.4999319396389061E-3</v>
      </c>
      <c r="BT19" s="7">
        <v>-8.2323403677311308E-2</v>
      </c>
      <c r="BU19" s="7">
        <v>7.5936251234238056E-2</v>
      </c>
      <c r="BV19" s="7">
        <v>-0.1000852655816153</v>
      </c>
      <c r="BW19" s="7">
        <v>0.30745300680973342</v>
      </c>
      <c r="BX19" s="7">
        <v>-5.4830281560316878E-2</v>
      </c>
      <c r="BY19" s="7">
        <v>-2.7675492411660479E-2</v>
      </c>
      <c r="BZ19" s="7">
        <v>-6.8702124822053873E-2</v>
      </c>
      <c r="CA19" s="7">
        <v>-2.932875522377449E-2</v>
      </c>
      <c r="CB19" s="7">
        <v>-0.12783820910089719</v>
      </c>
      <c r="CC19" s="7">
        <v>2.2506232898517449E-2</v>
      </c>
      <c r="CD19" s="7">
        <v>-0.14873191328840721</v>
      </c>
      <c r="CE19" s="7">
        <v>-0.1982658291769592</v>
      </c>
      <c r="CF19" s="7">
        <v>-7.9051524970814385E-2</v>
      </c>
      <c r="CG19" s="7">
        <v>-5.7117624866957151E-2</v>
      </c>
      <c r="CH19" s="7">
        <v>4.271504374273416E-2</v>
      </c>
      <c r="CI19" s="7">
        <v>0.11073420775370441</v>
      </c>
      <c r="CJ19" s="7">
        <v>6.194049996603615E-2</v>
      </c>
      <c r="CK19" s="7">
        <v>0.1187972629573345</v>
      </c>
      <c r="CL19" s="7">
        <v>-0.1153477816387375</v>
      </c>
      <c r="CM19" s="7">
        <v>0.17534764158171501</v>
      </c>
      <c r="CN19" s="7">
        <v>7.6932654667303466E-2</v>
      </c>
      <c r="CO19" s="7">
        <v>-0.16614655777528059</v>
      </c>
      <c r="CP19" s="7">
        <v>-0.15903259898233271</v>
      </c>
      <c r="CQ19" s="7">
        <v>3.2394607516418629E-2</v>
      </c>
      <c r="CR19" s="7">
        <v>-0.17630672424619201</v>
      </c>
      <c r="CS19" s="7">
        <v>4.3774986978304217E-2</v>
      </c>
      <c r="CT19" s="7">
        <v>-2.794063718499688E-2</v>
      </c>
      <c r="CU19" s="7">
        <v>0.146607543260939</v>
      </c>
      <c r="CV19" s="7">
        <v>-7.6142494479096948E-2</v>
      </c>
      <c r="CW19" s="7">
        <v>6.0515878573037342E-2</v>
      </c>
      <c r="CX19" s="7">
        <v>-0.1481502908045049</v>
      </c>
      <c r="CY19" s="7">
        <v>-0.107892119457191</v>
      </c>
      <c r="CZ19" s="7">
        <v>-5.7499263088511957E-2</v>
      </c>
      <c r="DA19" s="7">
        <v>-5.8223876703236761E-2</v>
      </c>
      <c r="DB19" s="7">
        <v>3.572089902521567E-2</v>
      </c>
      <c r="DC19" s="7">
        <v>3.5179399902094073E-2</v>
      </c>
      <c r="DD19" s="7">
        <v>6.2011252548289514E-3</v>
      </c>
      <c r="DE19" s="7">
        <v>3.3018414655792E-2</v>
      </c>
      <c r="DF19" s="7">
        <v>2.1296342427166989E-2</v>
      </c>
      <c r="DG19" s="7">
        <v>0.12649079783752129</v>
      </c>
      <c r="DH19" s="7">
        <v>-0.22458978071948801</v>
      </c>
      <c r="DI19" s="7">
        <v>5.8647033011268501E-2</v>
      </c>
      <c r="DJ19" s="7">
        <v>-0.16525046895907189</v>
      </c>
      <c r="DK19" s="7">
        <v>-1.598428957466394E-2</v>
      </c>
      <c r="DL19" s="7">
        <v>1.198278590897381E-2</v>
      </c>
      <c r="DM19" s="7">
        <v>-4.6097902485627673E-2</v>
      </c>
      <c r="DN19" s="7">
        <v>0.17392830172854831</v>
      </c>
      <c r="DO19" s="7">
        <v>4.8705519860593828E-2</v>
      </c>
      <c r="DP19" s="7">
        <v>2.783801448299373E-2</v>
      </c>
      <c r="DQ19" s="7">
        <v>-8.0374171838075048E-2</v>
      </c>
      <c r="DR19" s="7">
        <v>-1.7544799275808199E-2</v>
      </c>
      <c r="DS19" s="7">
        <v>4.4918963151879987E-2</v>
      </c>
      <c r="DT19" s="7">
        <v>5.0332465201051654E-3</v>
      </c>
      <c r="DU19" s="7">
        <v>-0.1945194394629792</v>
      </c>
      <c r="DV19" s="7">
        <v>-7.1593386597402109E-2</v>
      </c>
      <c r="DW19" s="7">
        <v>6.0609139340684293E-2</v>
      </c>
      <c r="DX19" s="7">
        <v>9.4614193357537776E-2</v>
      </c>
      <c r="DY19" s="7">
        <v>-0.15211940960448689</v>
      </c>
      <c r="DZ19" s="7">
        <v>-7.9643568138435011E-2</v>
      </c>
      <c r="EA19" s="7">
        <v>0.23304583030528039</v>
      </c>
      <c r="EB19" s="7">
        <v>0.1087535096382525</v>
      </c>
      <c r="EC19" s="7">
        <v>-0.14377420282500911</v>
      </c>
      <c r="ED19" s="7">
        <v>-8.0285258276375129E-2</v>
      </c>
      <c r="EE19" s="7">
        <v>-2.2815885843912861E-2</v>
      </c>
      <c r="EF19" s="8">
        <v>-7.402291939750516E-2</v>
      </c>
      <c r="EG19" s="21">
        <f t="shared" si="6"/>
        <v>1.0780847845963889E-2</v>
      </c>
      <c r="EH19" s="21">
        <f t="shared" si="7"/>
        <v>0.1142439449152145</v>
      </c>
      <c r="EI19" s="21">
        <f t="shared" si="8"/>
        <v>9.4366908057707866E-2</v>
      </c>
    </row>
    <row r="20" spans="1:139" x14ac:dyDescent="0.3">
      <c r="A20" s="1">
        <v>192</v>
      </c>
      <c r="B20" s="1">
        <v>5</v>
      </c>
      <c r="C20" s="7">
        <v>1.1241331728202891E-2</v>
      </c>
      <c r="D20" s="7">
        <v>0.38202502004734989</v>
      </c>
      <c r="E20" s="7">
        <v>-0.1461249052642459</v>
      </c>
      <c r="F20" s="7">
        <v>0.2055312643331742</v>
      </c>
      <c r="G20" s="7">
        <v>-0.1171831412889391</v>
      </c>
      <c r="H20" s="7">
        <v>1.158302607857771E-2</v>
      </c>
      <c r="I20" s="7">
        <v>-0.15814956260110169</v>
      </c>
      <c r="J20" s="7">
        <v>3.4471258726856233E-2</v>
      </c>
      <c r="K20" s="7">
        <v>0.21472450376108179</v>
      </c>
      <c r="L20" s="7">
        <v>-8.9997713411883729E-3</v>
      </c>
      <c r="M20" s="7">
        <v>-7.7718228291273506E-2</v>
      </c>
      <c r="N20" s="7">
        <v>0.16814358818954389</v>
      </c>
      <c r="O20" s="7">
        <v>9.9101484144473756E-2</v>
      </c>
      <c r="P20" s="7">
        <v>4.3138678888527522E-2</v>
      </c>
      <c r="Q20" s="7">
        <v>0.21672573900297851</v>
      </c>
      <c r="R20" s="7">
        <v>0.1092530556374688</v>
      </c>
      <c r="S20" s="7">
        <v>8.2562610707287917E-2</v>
      </c>
      <c r="T20" s="7">
        <v>-1.566291051925937E-2</v>
      </c>
      <c r="U20" s="7">
        <v>0.14864968011777491</v>
      </c>
      <c r="V20" s="7">
        <v>0.1035176032046175</v>
      </c>
      <c r="W20" s="7">
        <v>0.22644366208310149</v>
      </c>
      <c r="X20" s="7">
        <v>0.15004231162753859</v>
      </c>
      <c r="Y20" s="7">
        <v>0.12896503888237379</v>
      </c>
      <c r="Z20" s="7">
        <v>0.1056169604836593</v>
      </c>
      <c r="AA20" s="7">
        <v>-2.159455338729711E-2</v>
      </c>
      <c r="AB20" s="7">
        <v>-8.4759840726173208E-2</v>
      </c>
      <c r="AC20" s="7">
        <v>4.7248262727967477E-2</v>
      </c>
      <c r="AD20" s="7">
        <v>-2.698730357067794E-2</v>
      </c>
      <c r="AE20" s="7">
        <v>0.16122120715511101</v>
      </c>
      <c r="AF20" s="7">
        <v>-0.22349781963637269</v>
      </c>
      <c r="AG20" s="7">
        <v>-3.216324888167648E-2</v>
      </c>
      <c r="AH20" s="7">
        <v>0.21664245264836079</v>
      </c>
      <c r="AI20" s="7">
        <v>-8.3279353750723401E-2</v>
      </c>
      <c r="AJ20" s="7">
        <v>-6.0725684660784138E-2</v>
      </c>
      <c r="AK20" s="7">
        <v>-8.2485150626129544E-3</v>
      </c>
      <c r="AL20" s="7">
        <v>7.2893452036976947E-2</v>
      </c>
      <c r="AM20" s="7">
        <v>3.3095980748802607E-2</v>
      </c>
      <c r="AN20" s="7">
        <v>7.5470193518998266E-2</v>
      </c>
      <c r="AO20" s="7">
        <v>4.9108294639399641E-2</v>
      </c>
      <c r="AP20" s="7">
        <v>-1.26045159631665E-2</v>
      </c>
      <c r="AQ20" s="7">
        <v>-2.7452485332951051E-2</v>
      </c>
      <c r="AR20" s="7">
        <v>-1.328927308983413E-2</v>
      </c>
      <c r="AS20" s="7">
        <v>0.112095809682817</v>
      </c>
      <c r="AT20" s="7">
        <v>0.23912374744507051</v>
      </c>
      <c r="AU20" s="7">
        <v>0.14307264092716551</v>
      </c>
      <c r="AV20" s="7">
        <v>7.1473185653933402E-2</v>
      </c>
      <c r="AW20" s="7">
        <v>-6.8652681791509596E-3</v>
      </c>
      <c r="AX20" s="7">
        <v>-0.20433921996054669</v>
      </c>
      <c r="AY20" s="7">
        <v>8.2057636017566535E-2</v>
      </c>
      <c r="AZ20" s="7">
        <v>-0.15627400770666389</v>
      </c>
      <c r="BA20" s="7">
        <v>-3.6798864860540501E-2</v>
      </c>
      <c r="BB20" s="7">
        <v>0.2312136261880767</v>
      </c>
      <c r="BC20" s="7">
        <v>7.0605567677740205E-2</v>
      </c>
      <c r="BD20" s="7">
        <v>-5.3429813221597323E-2</v>
      </c>
      <c r="BE20" s="7">
        <v>5.9467971392603326E-3</v>
      </c>
      <c r="BF20" s="7">
        <v>0.13797126306897531</v>
      </c>
      <c r="BG20" s="7">
        <v>-6.9261427086933884E-3</v>
      </c>
      <c r="BH20" s="7">
        <v>-7.1606447114111002E-2</v>
      </c>
      <c r="BI20" s="7">
        <v>0.1142556657345235</v>
      </c>
      <c r="BJ20" s="7">
        <v>4.9139783811273992E-2</v>
      </c>
      <c r="BK20" s="7">
        <v>-0.1025982841544454</v>
      </c>
      <c r="BL20" s="7">
        <v>6.9859441937220601E-2</v>
      </c>
      <c r="BM20" s="7">
        <v>4.7468551464188873E-2</v>
      </c>
      <c r="BN20" s="7">
        <v>8.5664631441180417E-2</v>
      </c>
      <c r="BO20" s="7">
        <v>3.8461717515979203E-2</v>
      </c>
      <c r="BP20" s="7">
        <v>7.2822475063245764E-3</v>
      </c>
      <c r="BQ20" s="7">
        <v>-0.1086002675592522</v>
      </c>
      <c r="BR20" s="7">
        <v>1.207363173047259E-2</v>
      </c>
      <c r="BS20" s="7">
        <v>3.2536197724856143E-2</v>
      </c>
      <c r="BT20" s="7">
        <v>-9.6530501214455888E-2</v>
      </c>
      <c r="BU20" s="7">
        <v>9.8754949367706665E-2</v>
      </c>
      <c r="BV20" s="7">
        <v>-0.13370992447700669</v>
      </c>
      <c r="BW20" s="7">
        <v>0.35182955004840472</v>
      </c>
      <c r="BX20" s="7">
        <v>-5.7988018276030777E-2</v>
      </c>
      <c r="BY20" s="7">
        <v>-4.3183482687236242E-2</v>
      </c>
      <c r="BZ20" s="7">
        <v>-9.02714042602836E-2</v>
      </c>
      <c r="CA20" s="7">
        <v>-4.0102728051752932E-2</v>
      </c>
      <c r="CB20" s="7">
        <v>-0.1264950457700191</v>
      </c>
      <c r="CC20" s="7">
        <v>1.291514747808061E-2</v>
      </c>
      <c r="CD20" s="7">
        <v>-0.1888595125433957</v>
      </c>
      <c r="CE20" s="7">
        <v>-0.2439637954697331</v>
      </c>
      <c r="CF20" s="7">
        <v>-0.1057848892760917</v>
      </c>
      <c r="CG20" s="7">
        <v>-7.597024074310807E-2</v>
      </c>
      <c r="CH20" s="7">
        <v>2.219522902413288E-2</v>
      </c>
      <c r="CI20" s="7">
        <v>8.5208202435075389E-2</v>
      </c>
      <c r="CJ20" s="7">
        <v>0.123440319887351</v>
      </c>
      <c r="CK20" s="7">
        <v>8.0589623940621552E-2</v>
      </c>
      <c r="CL20" s="7">
        <v>-0.14931315063025169</v>
      </c>
      <c r="CM20" s="7">
        <v>0.18905116517062071</v>
      </c>
      <c r="CN20" s="7">
        <v>-2.215941137048465E-2</v>
      </c>
      <c r="CO20" s="7">
        <v>-0.22851820318154101</v>
      </c>
      <c r="CP20" s="7">
        <v>-0.1920312051090273</v>
      </c>
      <c r="CQ20" s="7">
        <v>2.3118045300283038E-2</v>
      </c>
      <c r="CR20" s="7">
        <v>-0.1954861104849421</v>
      </c>
      <c r="CS20" s="7">
        <v>2.2293038159359669E-2</v>
      </c>
      <c r="CT20" s="7">
        <v>-1.807671077983496E-2</v>
      </c>
      <c r="CU20" s="7">
        <v>0.14672800907162681</v>
      </c>
      <c r="CV20" s="7">
        <v>-9.7003954321720084E-2</v>
      </c>
      <c r="CW20" s="7">
        <v>6.7903708174845409E-2</v>
      </c>
      <c r="CX20" s="7">
        <v>-0.14515418799986671</v>
      </c>
      <c r="CY20" s="7">
        <v>-0.1009666571118235</v>
      </c>
      <c r="CZ20" s="7">
        <v>-1.306263386233056E-2</v>
      </c>
      <c r="DA20" s="7">
        <v>-4.7471893155177573E-2</v>
      </c>
      <c r="DB20" s="7">
        <v>5.6902709757134122E-2</v>
      </c>
      <c r="DC20" s="7">
        <v>4.9613069235555772E-2</v>
      </c>
      <c r="DD20" s="7">
        <v>3.597184756950339E-3</v>
      </c>
      <c r="DE20" s="7">
        <v>1.0418721606852799E-2</v>
      </c>
      <c r="DF20" s="7">
        <v>4.5499958490798388E-2</v>
      </c>
      <c r="DG20" s="7">
        <v>0.1240733079841211</v>
      </c>
      <c r="DH20" s="7">
        <v>-0.27829885316894232</v>
      </c>
      <c r="DI20" s="7">
        <v>7.4248335592093345E-2</v>
      </c>
      <c r="DJ20" s="7">
        <v>-0.1365580924326974</v>
      </c>
      <c r="DK20" s="7">
        <v>-2.0765658487994779E-2</v>
      </c>
      <c r="DL20" s="7">
        <v>1.9465373333619789E-2</v>
      </c>
      <c r="DM20" s="7">
        <v>4.2864774108345972E-2</v>
      </c>
      <c r="DN20" s="7">
        <v>0.18323473362116879</v>
      </c>
      <c r="DO20" s="7">
        <v>4.9820854676895968E-2</v>
      </c>
      <c r="DP20" s="7">
        <v>9.8305313908873052E-3</v>
      </c>
      <c r="DQ20" s="7">
        <v>-5.7460181624700082E-2</v>
      </c>
      <c r="DR20" s="7">
        <v>-5.5557992226731322E-2</v>
      </c>
      <c r="DS20" s="7">
        <v>-6.9792757898282515E-2</v>
      </c>
      <c r="DT20" s="7">
        <v>-2.968533879884255E-2</v>
      </c>
      <c r="DU20" s="7">
        <v>-0.27264432784194559</v>
      </c>
      <c r="DV20" s="7">
        <v>-0.10204218118247529</v>
      </c>
      <c r="DW20" s="7">
        <v>6.9060203958039607E-2</v>
      </c>
      <c r="DX20" s="7">
        <v>9.7851218204725254E-2</v>
      </c>
      <c r="DY20" s="7">
        <v>-0.1874018300391932</v>
      </c>
      <c r="DZ20" s="7">
        <v>1.8115126512382701E-2</v>
      </c>
      <c r="EA20" s="7">
        <v>0.29368998396417129</v>
      </c>
      <c r="EB20" s="7">
        <v>8.2407142444419712E-2</v>
      </c>
      <c r="EC20" s="7">
        <v>-0.13100614576206751</v>
      </c>
      <c r="ED20" s="7">
        <v>-5.7827564200198737E-2</v>
      </c>
      <c r="EE20" s="7">
        <v>-2.0017587297018819E-2</v>
      </c>
      <c r="EF20" s="8">
        <v>-8.580306084224959E-2</v>
      </c>
      <c r="EG20" s="21">
        <f t="shared" si="6"/>
        <v>9.847719105002763E-3</v>
      </c>
      <c r="EH20" s="21">
        <f t="shared" si="7"/>
        <v>0.12329797848179239</v>
      </c>
      <c r="EI20" s="21">
        <f t="shared" si="8"/>
        <v>7.9869266522135163E-2</v>
      </c>
    </row>
    <row r="21" spans="1:139" x14ac:dyDescent="0.3">
      <c r="A21" s="1">
        <v>241</v>
      </c>
      <c r="B21" s="1">
        <v>4</v>
      </c>
      <c r="C21" s="7">
        <v>1.038483447742689E-2</v>
      </c>
      <c r="D21" s="7">
        <v>0.12638791676682359</v>
      </c>
      <c r="E21" s="7">
        <v>-4.3717554879721017E-2</v>
      </c>
      <c r="F21" s="7">
        <v>0.18403858160612999</v>
      </c>
      <c r="G21" s="7">
        <v>-0.14384215111256449</v>
      </c>
      <c r="H21" s="7">
        <v>-3.7844077028292407E-2</v>
      </c>
      <c r="I21" s="7">
        <v>-0.14725560812747299</v>
      </c>
      <c r="J21" s="7">
        <v>6.0435325691642318E-2</v>
      </c>
      <c r="K21" s="7">
        <v>0.2068800260033955</v>
      </c>
      <c r="L21" s="7">
        <v>-5.7226166864944403E-2</v>
      </c>
      <c r="M21" s="7">
        <v>-9.9684593408211258E-2</v>
      </c>
      <c r="N21" s="7">
        <v>0.13905067586079981</v>
      </c>
      <c r="O21" s="7">
        <v>0.1297824585303535</v>
      </c>
      <c r="P21" s="7">
        <v>3.9891722860102737E-2</v>
      </c>
      <c r="Q21" s="7">
        <v>0.25731007409425227</v>
      </c>
      <c r="R21" s="7">
        <v>9.5575311106630215E-2</v>
      </c>
      <c r="S21" s="7">
        <v>0.2091594754749645</v>
      </c>
      <c r="T21" s="7">
        <v>1.4040364340204919E-2</v>
      </c>
      <c r="U21" s="7">
        <v>8.6278417611758002E-2</v>
      </c>
      <c r="V21" s="7">
        <v>0.10537077038935461</v>
      </c>
      <c r="W21" s="7">
        <v>0.32292054868818693</v>
      </c>
      <c r="X21" s="7">
        <v>0.20780126735333779</v>
      </c>
      <c r="Y21" s="7">
        <v>9.2729223946204448E-2</v>
      </c>
      <c r="Z21" s="7">
        <v>0.1142039872227245</v>
      </c>
      <c r="AA21" s="7">
        <v>1.9491043540093941E-2</v>
      </c>
      <c r="AB21" s="7">
        <v>-0.1298395823970698</v>
      </c>
      <c r="AC21" s="7">
        <v>1.882773670680014E-2</v>
      </c>
      <c r="AD21" s="7">
        <v>2.593327599743489E-2</v>
      </c>
      <c r="AE21" s="7">
        <v>0.12810497879624591</v>
      </c>
      <c r="AF21" s="7">
        <v>-0.29514425808336342</v>
      </c>
      <c r="AG21" s="7">
        <v>-1.10465721064439E-2</v>
      </c>
      <c r="AH21" s="7">
        <v>0.2403512556587668</v>
      </c>
      <c r="AI21" s="7">
        <v>-6.7729680595151026E-2</v>
      </c>
      <c r="AJ21" s="7">
        <v>-7.8941164011699164E-2</v>
      </c>
      <c r="AK21" s="7">
        <v>1.8318368909312599E-2</v>
      </c>
      <c r="AL21" s="7">
        <v>6.5379822733110632E-2</v>
      </c>
      <c r="AM21" s="7">
        <v>6.8535807447630548E-2</v>
      </c>
      <c r="AN21" s="7">
        <v>0.11195605606309431</v>
      </c>
      <c r="AO21" s="7">
        <v>8.5567774913887312E-2</v>
      </c>
      <c r="AP21" s="7">
        <v>-1.8942378916172939E-2</v>
      </c>
      <c r="AQ21" s="7">
        <v>-7.6865507010547632E-2</v>
      </c>
      <c r="AR21" s="7">
        <v>4.798814140331014E-2</v>
      </c>
      <c r="AS21" s="7">
        <v>6.4455868646629361E-2</v>
      </c>
      <c r="AT21" s="7">
        <v>0.26483825754799722</v>
      </c>
      <c r="AU21" s="7">
        <v>6.3455329613280029E-2</v>
      </c>
      <c r="AV21" s="7">
        <v>5.0897567971442279E-2</v>
      </c>
      <c r="AW21" s="7">
        <v>-9.7910299540974015E-3</v>
      </c>
      <c r="AX21" s="7">
        <v>-0.21771830251703739</v>
      </c>
      <c r="AY21" s="7">
        <v>6.5722294732506903E-2</v>
      </c>
      <c r="AZ21" s="7">
        <v>-9.3059394128593209E-2</v>
      </c>
      <c r="BA21" s="7">
        <v>-7.1032181648085849E-2</v>
      </c>
      <c r="BB21" s="7">
        <v>0.29451263697732177</v>
      </c>
      <c r="BC21" s="7">
        <v>3.8321147725193863E-2</v>
      </c>
      <c r="BD21" s="7">
        <v>-2.1750863370627919E-2</v>
      </c>
      <c r="BE21" s="7">
        <v>-6.3505333974014731E-3</v>
      </c>
      <c r="BF21" s="7">
        <v>0.19911721643060321</v>
      </c>
      <c r="BG21" s="7">
        <v>3.6635189216812601E-2</v>
      </c>
      <c r="BH21" s="7">
        <v>-7.6321363138755302E-2</v>
      </c>
      <c r="BI21" s="7">
        <v>0.15387464609225671</v>
      </c>
      <c r="BJ21" s="7">
        <v>3.1982514410992063E-2</v>
      </c>
      <c r="BK21" s="7">
        <v>-8.2973161890065844E-2</v>
      </c>
      <c r="BL21" s="7">
        <v>8.7340790467698257E-2</v>
      </c>
      <c r="BM21" s="7">
        <v>4.0795286028720637E-2</v>
      </c>
      <c r="BN21" s="7">
        <v>0.18824750259238801</v>
      </c>
      <c r="BO21" s="7">
        <v>6.3857236413680254E-2</v>
      </c>
      <c r="BP21" s="7">
        <v>-4.1808023315929119E-3</v>
      </c>
      <c r="BQ21" s="7">
        <v>-7.2890743034343203E-2</v>
      </c>
      <c r="BR21" s="7">
        <v>1.232386218386442E-2</v>
      </c>
      <c r="BS21" s="7">
        <v>6.5741820960347419E-2</v>
      </c>
      <c r="BT21" s="7">
        <v>-9.2952203348257254E-2</v>
      </c>
      <c r="BU21" s="7">
        <v>0.1354964621985692</v>
      </c>
      <c r="BV21" s="7">
        <v>-1.9240488152239291E-2</v>
      </c>
      <c r="BW21" s="7">
        <v>0.18446067072040909</v>
      </c>
      <c r="BX21" s="7">
        <v>-8.8379334787638542E-2</v>
      </c>
      <c r="BY21" s="7">
        <v>-1.491637891683696E-2</v>
      </c>
      <c r="BZ21" s="7">
        <v>-4.7662928720715619E-2</v>
      </c>
      <c r="CA21" s="7">
        <v>-6.0517603302398457E-2</v>
      </c>
      <c r="CB21" s="7">
        <v>-0.2078698479015878</v>
      </c>
      <c r="CC21" s="7">
        <v>-8.0189542709663136E-3</v>
      </c>
      <c r="CD21" s="7">
        <v>-0.15078839020228069</v>
      </c>
      <c r="CE21" s="7">
        <v>-0.39507594246504552</v>
      </c>
      <c r="CF21" s="7">
        <v>-0.1145261576111684</v>
      </c>
      <c r="CG21" s="7">
        <v>-8.508533547413108E-2</v>
      </c>
      <c r="CH21" s="7">
        <v>0.15662644062696859</v>
      </c>
      <c r="CI21" s="7">
        <v>7.3182727074998788E-2</v>
      </c>
      <c r="CJ21" s="7">
        <v>8.5627757016502298E-2</v>
      </c>
      <c r="CK21" s="7">
        <v>6.7159630296855705E-2</v>
      </c>
      <c r="CL21" s="7">
        <v>-0.18743312154072689</v>
      </c>
      <c r="CM21" s="7">
        <v>0.2255029884033713</v>
      </c>
      <c r="CN21" s="7">
        <v>-3.05388902037756E-2</v>
      </c>
      <c r="CO21" s="7">
        <v>-0.23779198113939251</v>
      </c>
      <c r="CP21" s="7">
        <v>-0.22270006087791269</v>
      </c>
      <c r="CQ21" s="7">
        <v>2.2912194169496192E-2</v>
      </c>
      <c r="CR21" s="7">
        <v>-0.23905996636126789</v>
      </c>
      <c r="CS21" s="7">
        <v>3.0907745682497659E-2</v>
      </c>
      <c r="CT21" s="7">
        <v>-8.6072556871396061E-2</v>
      </c>
      <c r="CU21" s="7">
        <v>0.1589166223174501</v>
      </c>
      <c r="CV21" s="7">
        <v>-0.13162753116195661</v>
      </c>
      <c r="CW21" s="7">
        <v>3.8345516871682743E-2</v>
      </c>
      <c r="CX21" s="7">
        <v>-0.15696884691161159</v>
      </c>
      <c r="CY21" s="7">
        <v>-0.15245230624531919</v>
      </c>
      <c r="CZ21" s="7">
        <v>-1.3847206411700621E-2</v>
      </c>
      <c r="DA21" s="7">
        <v>1.192256456731756E-3</v>
      </c>
      <c r="DB21" s="7">
        <v>5.1624433676154581E-2</v>
      </c>
      <c r="DC21" s="7">
        <v>4.5047559223290658E-2</v>
      </c>
      <c r="DD21" s="7">
        <v>2.8187943910707451E-3</v>
      </c>
      <c r="DE21" s="7">
        <v>2.897773706032665E-2</v>
      </c>
      <c r="DF21" s="7">
        <v>0.1488089024897431</v>
      </c>
      <c r="DG21" s="7">
        <v>0.14818493113172959</v>
      </c>
      <c r="DH21" s="7">
        <v>-8.1436188280027383E-2</v>
      </c>
      <c r="DI21" s="7">
        <v>9.0149202717820648E-2</v>
      </c>
      <c r="DJ21" s="7">
        <v>-0.1566057184636416</v>
      </c>
      <c r="DK21" s="7">
        <v>-2.0966062152018541E-2</v>
      </c>
      <c r="DL21" s="7">
        <v>1.273699150101321E-2</v>
      </c>
      <c r="DM21" s="7">
        <v>-4.2545640208855387E-3</v>
      </c>
      <c r="DN21" s="7">
        <v>0.22029564086452741</v>
      </c>
      <c r="DO21" s="7">
        <v>-1.8558809057787451E-2</v>
      </c>
      <c r="DP21" s="7">
        <v>2.426615509356601E-2</v>
      </c>
      <c r="DQ21" s="7">
        <v>-7.0422698808183373E-2</v>
      </c>
      <c r="DR21" s="7">
        <v>-5.3556989806694252E-2</v>
      </c>
      <c r="DS21" s="7">
        <v>-8.4605433605535907E-2</v>
      </c>
      <c r="DT21" s="7">
        <v>-5.2151903466792276E-3</v>
      </c>
      <c r="DU21" s="7">
        <v>-0.3398066388575679</v>
      </c>
      <c r="DV21" s="7">
        <v>-0.15489825112990471</v>
      </c>
      <c r="DW21" s="7">
        <v>0.12824786866412111</v>
      </c>
      <c r="DX21" s="7">
        <v>0.1168288898747825</v>
      </c>
      <c r="DY21" s="7">
        <v>-0.22566188118798919</v>
      </c>
      <c r="DZ21" s="7">
        <v>0.17989102172490029</v>
      </c>
      <c r="EA21" s="7">
        <v>0.26605683227934601</v>
      </c>
      <c r="EB21" s="7">
        <v>2.6302193998533951E-2</v>
      </c>
      <c r="EC21" s="7">
        <v>-0.14009401795222581</v>
      </c>
      <c r="ED21" s="7">
        <v>0.12915520333718639</v>
      </c>
      <c r="EE21" s="7">
        <v>1.095594540687448E-2</v>
      </c>
      <c r="EF21" s="8">
        <v>-2.879722641967087E-2</v>
      </c>
      <c r="EG21" s="21">
        <f t="shared" si="6"/>
        <v>1.323089816833466E-2</v>
      </c>
      <c r="EH21" s="21">
        <f t="shared" si="7"/>
        <v>0.13159922849690811</v>
      </c>
      <c r="EI21" s="21">
        <f t="shared" si="8"/>
        <v>0.10053932929132268</v>
      </c>
    </row>
    <row r="22" spans="1:139" x14ac:dyDescent="0.3">
      <c r="A22" s="1">
        <v>321</v>
      </c>
      <c r="B22" s="1">
        <v>3</v>
      </c>
      <c r="C22" s="7">
        <v>2.5922326608526759E-2</v>
      </c>
      <c r="D22" s="7">
        <v>0.1424278520773985</v>
      </c>
      <c r="E22" s="7">
        <v>-2.2230412259238129E-2</v>
      </c>
      <c r="F22" s="7">
        <v>6.7831060921277567E-2</v>
      </c>
      <c r="G22" s="7">
        <v>-0.1038843632903341</v>
      </c>
      <c r="H22" s="7">
        <v>-0.22980554449140059</v>
      </c>
      <c r="I22" s="7">
        <v>-0.12349316933806979</v>
      </c>
      <c r="J22" s="7">
        <v>5.2598589265342909E-2</v>
      </c>
      <c r="K22" s="7">
        <v>0.2453659126827557</v>
      </c>
      <c r="L22" s="7">
        <v>-0.1074871686512418</v>
      </c>
      <c r="M22" s="7">
        <v>-7.4100058770572547E-2</v>
      </c>
      <c r="N22" s="7">
        <v>9.8030860807632764E-2</v>
      </c>
      <c r="O22" s="7">
        <v>0.1434803460042724</v>
      </c>
      <c r="P22" s="7">
        <v>4.28584885189899E-2</v>
      </c>
      <c r="Q22" s="7">
        <v>0.27677689383305182</v>
      </c>
      <c r="R22" s="7">
        <v>3.6628434271588052E-2</v>
      </c>
      <c r="S22" s="7">
        <v>0.24705662952972959</v>
      </c>
      <c r="T22" s="7">
        <v>2.023861247683403E-2</v>
      </c>
      <c r="U22" s="7">
        <v>0.11059002340250421</v>
      </c>
      <c r="V22" s="7">
        <v>5.7024134634289667E-2</v>
      </c>
      <c r="W22" s="7">
        <v>0.34619348529924859</v>
      </c>
      <c r="X22" s="7">
        <v>0.25720235121349699</v>
      </c>
      <c r="Y22" s="7">
        <v>4.7938332179768291E-2</v>
      </c>
      <c r="Z22" s="7">
        <v>7.5548269145846045E-2</v>
      </c>
      <c r="AA22" s="7">
        <v>7.0480168868567589E-3</v>
      </c>
      <c r="AB22" s="7">
        <v>-0.13443621271332551</v>
      </c>
      <c r="AC22" s="7">
        <v>8.5776460715432462E-2</v>
      </c>
      <c r="AD22" s="7">
        <v>1.859374921466125E-2</v>
      </c>
      <c r="AE22" s="7">
        <v>0.13082384281633419</v>
      </c>
      <c r="AF22" s="7">
        <v>-0.42991676804861201</v>
      </c>
      <c r="AG22" s="7">
        <v>-1.0812100566842311E-2</v>
      </c>
      <c r="AH22" s="7">
        <v>0.24762224616340131</v>
      </c>
      <c r="AI22" s="7">
        <v>-6.7392901011186057E-2</v>
      </c>
      <c r="AJ22" s="7">
        <v>-4.586612949815471E-2</v>
      </c>
      <c r="AK22" s="7">
        <v>7.8575768704914215E-2</v>
      </c>
      <c r="AL22" s="7">
        <v>4.0340966806900407E-2</v>
      </c>
      <c r="AM22" s="7">
        <v>8.4088903467703563E-2</v>
      </c>
      <c r="AN22" s="7">
        <v>0.1111328096635593</v>
      </c>
      <c r="AO22" s="7">
        <v>0.1581528752937269</v>
      </c>
      <c r="AP22" s="7">
        <v>-2.0492728517978578E-2</v>
      </c>
      <c r="AQ22" s="7">
        <v>-7.9426117478593142E-2</v>
      </c>
      <c r="AR22" s="7">
        <v>6.7924487703603389E-2</v>
      </c>
      <c r="AS22" s="7">
        <v>8.2810438898549957E-2</v>
      </c>
      <c r="AT22" s="7">
        <v>1.7728370994436651E-2</v>
      </c>
      <c r="AU22" s="7">
        <v>0.1099145973181844</v>
      </c>
      <c r="AV22" s="7">
        <v>5.9646140173665471E-2</v>
      </c>
      <c r="AW22" s="7">
        <v>3.014938920700894E-2</v>
      </c>
      <c r="AX22" s="7">
        <v>9.875186005693877E-3</v>
      </c>
      <c r="AY22" s="7">
        <v>9.8456276129363446E-2</v>
      </c>
      <c r="AZ22" s="7">
        <v>-0.2274854962334536</v>
      </c>
      <c r="BA22" s="7">
        <v>-4.5598425167461952E-2</v>
      </c>
      <c r="BB22" s="7">
        <v>0.36955058329648782</v>
      </c>
      <c r="BC22" s="7">
        <v>-0.13083693812295519</v>
      </c>
      <c r="BD22" s="7">
        <v>-2.2174181465828179E-2</v>
      </c>
      <c r="BE22" s="7">
        <v>-2.221618339448047E-2</v>
      </c>
      <c r="BF22" s="7">
        <v>0.1991024485484385</v>
      </c>
      <c r="BG22" s="7">
        <v>4.6279512168386029E-2</v>
      </c>
      <c r="BH22" s="7">
        <v>-0.12796054233813189</v>
      </c>
      <c r="BI22" s="7">
        <v>8.731805917717568E-2</v>
      </c>
      <c r="BJ22" s="7">
        <v>-1.023397544910358E-2</v>
      </c>
      <c r="BK22" s="7">
        <v>-2.085475532976656E-2</v>
      </c>
      <c r="BL22" s="7">
        <v>0.13947139040086359</v>
      </c>
      <c r="BM22" s="7">
        <v>2.4304832455331882E-3</v>
      </c>
      <c r="BN22" s="7">
        <v>-2.851880646397522E-2</v>
      </c>
      <c r="BO22" s="7">
        <v>5.0484429112750417E-2</v>
      </c>
      <c r="BP22" s="7">
        <v>-5.4100012453170681E-4</v>
      </c>
      <c r="BQ22" s="7">
        <v>-9.1228191194409197E-2</v>
      </c>
      <c r="BR22" s="7">
        <v>2.081360946645289E-2</v>
      </c>
      <c r="BS22" s="7">
        <v>9.7047589704545023E-2</v>
      </c>
      <c r="BT22" s="7">
        <v>6.7143215417725319E-2</v>
      </c>
      <c r="BU22" s="7">
        <v>0.21294876613801031</v>
      </c>
      <c r="BV22" s="7">
        <v>-6.8176016755736729E-4</v>
      </c>
      <c r="BW22" s="7">
        <v>0.1321717915357814</v>
      </c>
      <c r="BX22" s="7">
        <v>-0.15293737024999199</v>
      </c>
      <c r="BY22" s="7">
        <v>3.2352875520499369E-2</v>
      </c>
      <c r="BZ22" s="7">
        <v>-4.725773586289217E-2</v>
      </c>
      <c r="CA22" s="7">
        <v>-2.749007848032349E-2</v>
      </c>
      <c r="CB22" s="7">
        <v>-0.25473925571486122</v>
      </c>
      <c r="CC22" s="7">
        <v>-0.12510399532003291</v>
      </c>
      <c r="CD22" s="7">
        <v>-0.31577166020284902</v>
      </c>
      <c r="CE22" s="7">
        <v>-0.39338733910427809</v>
      </c>
      <c r="CF22" s="7">
        <v>-0.1007703570340648</v>
      </c>
      <c r="CG22" s="7">
        <v>-0.207085332633513</v>
      </c>
      <c r="CH22" s="7">
        <v>0.1536062848095433</v>
      </c>
      <c r="CI22" s="7">
        <v>6.4617322810374245E-2</v>
      </c>
      <c r="CJ22" s="7">
        <v>0.1033795050895627</v>
      </c>
      <c r="CK22" s="7">
        <v>0.1109235402867822</v>
      </c>
      <c r="CL22" s="7">
        <v>-9.499701202354538E-2</v>
      </c>
      <c r="CM22" s="7">
        <v>0.32043200365782532</v>
      </c>
      <c r="CN22" s="7">
        <v>8.5467718209073992E-3</v>
      </c>
      <c r="CO22" s="7">
        <v>-0.18528575790522681</v>
      </c>
      <c r="CP22" s="7">
        <v>-0.25940855696940252</v>
      </c>
      <c r="CQ22" s="7">
        <v>1.7159615519123799E-2</v>
      </c>
      <c r="CR22" s="7">
        <v>-0.24677276999188669</v>
      </c>
      <c r="CS22" s="7">
        <v>2.4439586832032689E-2</v>
      </c>
      <c r="CT22" s="7">
        <v>-0.1260913781887717</v>
      </c>
      <c r="CU22" s="7">
        <v>0.16735391118636819</v>
      </c>
      <c r="CV22" s="7">
        <v>-0.18304654674469811</v>
      </c>
      <c r="CW22" s="7">
        <v>2.2884042331984721E-2</v>
      </c>
      <c r="CX22" s="7">
        <v>-5.4293295473803682E-2</v>
      </c>
      <c r="CY22" s="7">
        <v>-0.16243986871344671</v>
      </c>
      <c r="CZ22" s="7">
        <v>-7.58724644113902E-3</v>
      </c>
      <c r="DA22" s="7">
        <v>-3.9917538819241108E-3</v>
      </c>
      <c r="DB22" s="7">
        <v>5.8383506828492103E-2</v>
      </c>
      <c r="DC22" s="7">
        <v>2.0724784444157599E-2</v>
      </c>
      <c r="DD22" s="7">
        <v>3.1710169125825367E-2</v>
      </c>
      <c r="DE22" s="7">
        <v>-1.7756503501932811E-2</v>
      </c>
      <c r="DF22" s="7">
        <v>9.7071705636226913E-2</v>
      </c>
      <c r="DG22" s="7">
        <v>8.8121410503063616E-2</v>
      </c>
      <c r="DH22" s="7">
        <v>-8.1454381615908525E-2</v>
      </c>
      <c r="DI22" s="7">
        <v>8.1105543840270106E-2</v>
      </c>
      <c r="DJ22" s="7">
        <v>-0.15369976283032971</v>
      </c>
      <c r="DK22" s="7">
        <v>-2.3346176632961561E-2</v>
      </c>
      <c r="DL22" s="7">
        <v>3.213330743138731E-3</v>
      </c>
      <c r="DM22" s="7">
        <v>-4.2676549116040817E-2</v>
      </c>
      <c r="DN22" s="7">
        <v>0.30537502827220309</v>
      </c>
      <c r="DO22" s="7">
        <v>2.3768668287448849E-2</v>
      </c>
      <c r="DP22" s="7">
        <v>1.022725785290381E-2</v>
      </c>
      <c r="DQ22" s="7">
        <v>-0.16540416654463991</v>
      </c>
      <c r="DR22" s="7">
        <v>-7.1236299673135633E-2</v>
      </c>
      <c r="DS22" s="7">
        <v>-0.12952383936920511</v>
      </c>
      <c r="DT22" s="7">
        <v>2.712875397817005E-2</v>
      </c>
      <c r="DU22" s="7">
        <v>-0.37526887234197209</v>
      </c>
      <c r="DV22" s="7">
        <v>-0.15706236954975081</v>
      </c>
      <c r="DW22" s="7">
        <v>7.838972370699715E-2</v>
      </c>
      <c r="DX22" s="7">
        <v>0.1643521240415392</v>
      </c>
      <c r="DY22" s="7">
        <v>-0.31775437236448251</v>
      </c>
      <c r="DZ22" s="7">
        <v>0.16562624622575561</v>
      </c>
      <c r="EA22" s="7">
        <v>0.14035616200069359</v>
      </c>
      <c r="EB22" s="7">
        <v>0.12976595030606911</v>
      </c>
      <c r="EC22" s="7">
        <v>2.8428811778050931E-2</v>
      </c>
      <c r="ED22" s="7">
        <v>0.18368198650415579</v>
      </c>
      <c r="EE22" s="7">
        <v>3.5899357196068807E-2</v>
      </c>
      <c r="EF22" s="8">
        <v>-3.6595469131778337E-2</v>
      </c>
      <c r="EG22" s="21">
        <f t="shared" si="6"/>
        <v>8.6436640648428556E-3</v>
      </c>
      <c r="EH22" s="21">
        <f t="shared" si="7"/>
        <v>0.14475456133073297</v>
      </c>
      <c r="EI22" s="21">
        <f t="shared" si="8"/>
        <v>5.971255057789817E-2</v>
      </c>
    </row>
    <row r="23" spans="1:139" x14ac:dyDescent="0.3">
      <c r="A23" s="1">
        <v>482</v>
      </c>
      <c r="B23" s="1">
        <v>2</v>
      </c>
      <c r="C23" s="7">
        <v>3.1325684581971477E-2</v>
      </c>
      <c r="D23" s="7">
        <v>0.25409262745146127</v>
      </c>
      <c r="E23" s="7">
        <v>-1.5061587686965401E-2</v>
      </c>
      <c r="F23" s="7">
        <v>0.1823960753208787</v>
      </c>
      <c r="G23" s="7">
        <v>2.6971568524368019E-2</v>
      </c>
      <c r="H23" s="7">
        <v>-0.2628102412014528</v>
      </c>
      <c r="I23" s="7">
        <v>-0.148152028600294</v>
      </c>
      <c r="J23" s="7">
        <v>-9.8162291146452377E-2</v>
      </c>
      <c r="K23" s="7">
        <v>0.14260757512465491</v>
      </c>
      <c r="L23" s="7">
        <v>-0.23244436104246219</v>
      </c>
      <c r="M23" s="7">
        <v>-0.2584499163586424</v>
      </c>
      <c r="N23" s="7">
        <v>0.12680001369232849</v>
      </c>
      <c r="O23" s="7">
        <v>0.20456437797300209</v>
      </c>
      <c r="P23" s="7">
        <v>1.068350475974675E-2</v>
      </c>
      <c r="Q23" s="7">
        <v>-5.95680169005205E-2</v>
      </c>
      <c r="R23" s="7">
        <v>5.6211143313255052E-2</v>
      </c>
      <c r="S23" s="7">
        <v>0.16929499991324401</v>
      </c>
      <c r="T23" s="7">
        <v>3.733692084787466E-4</v>
      </c>
      <c r="U23" s="7">
        <v>9.3757422440794366E-2</v>
      </c>
      <c r="V23" s="7">
        <v>-6.3357010979066042E-2</v>
      </c>
      <c r="W23" s="7">
        <v>0.50391933118531074</v>
      </c>
      <c r="X23" s="7">
        <v>0.1945564614576443</v>
      </c>
      <c r="Y23" s="7">
        <v>7.588763428678244E-3</v>
      </c>
      <c r="Z23" s="7">
        <v>3.3032515443875303E-2</v>
      </c>
      <c r="AA23" s="7">
        <v>6.6062919694702682E-3</v>
      </c>
      <c r="AB23" s="7">
        <v>-6.4039779876783498E-2</v>
      </c>
      <c r="AC23" s="7">
        <v>0.1687547996369127</v>
      </c>
      <c r="AD23" s="7">
        <v>2.9952915704841848E-3</v>
      </c>
      <c r="AE23" s="7">
        <v>0.13721198875766</v>
      </c>
      <c r="AF23" s="7">
        <v>-0.32465932564021122</v>
      </c>
      <c r="AG23" s="7">
        <v>0.145893892939672</v>
      </c>
      <c r="AH23" s="7">
        <v>-0.1356489203506672</v>
      </c>
      <c r="AI23" s="7">
        <v>-7.5450169739462281E-2</v>
      </c>
      <c r="AJ23" s="7">
        <v>1.6962455385149559E-2</v>
      </c>
      <c r="AK23" s="7">
        <v>9.1199224275259672E-2</v>
      </c>
      <c r="AL23" s="7">
        <v>0.1314317131925356</v>
      </c>
      <c r="AM23" s="7">
        <v>7.769489004865255E-3</v>
      </c>
      <c r="AN23" s="7">
        <v>0.24231469935730071</v>
      </c>
      <c r="AO23" s="7">
        <v>9.078247952961746E-2</v>
      </c>
      <c r="AP23" s="7">
        <v>0.16526637233349209</v>
      </c>
      <c r="AQ23" s="7">
        <v>-8.9424992259610633E-2</v>
      </c>
      <c r="AR23" s="7">
        <v>0.1461361643393671</v>
      </c>
      <c r="AS23" s="7">
        <v>-1.470688799737762E-2</v>
      </c>
      <c r="AT23" s="7">
        <v>0.1095059029649002</v>
      </c>
      <c r="AU23" s="7">
        <v>0.20359589118158589</v>
      </c>
      <c r="AV23" s="7">
        <v>-9.6757250400133471E-2</v>
      </c>
      <c r="AW23" s="7">
        <v>5.202690983840276E-2</v>
      </c>
      <c r="AX23" s="7">
        <v>1.4812779008540821E-2</v>
      </c>
      <c r="AY23" s="7">
        <v>5.8139600106789993E-2</v>
      </c>
      <c r="AZ23" s="7">
        <v>-0.31598452125580129</v>
      </c>
      <c r="BA23" s="7">
        <v>9.6467800801007808E-3</v>
      </c>
      <c r="BB23" s="7">
        <v>0.56682652604744033</v>
      </c>
      <c r="BC23" s="7">
        <v>-0.30082824917306578</v>
      </c>
      <c r="BD23" s="7">
        <v>9.4830881346450333E-2</v>
      </c>
      <c r="BE23" s="7">
        <v>7.1430762397296579E-2</v>
      </c>
      <c r="BF23" s="7">
        <v>0.21000911286045121</v>
      </c>
      <c r="BG23" s="7">
        <v>7.4761471196752541E-2</v>
      </c>
      <c r="BH23" s="7">
        <v>-0.2034839813552872</v>
      </c>
      <c r="BI23" s="7">
        <v>0.13821955522644711</v>
      </c>
      <c r="BJ23" s="7">
        <v>5.8020213544642429E-2</v>
      </c>
      <c r="BK23" s="7">
        <v>-5.0098634745350491E-3</v>
      </c>
      <c r="BL23" s="7">
        <v>0.11436629014166901</v>
      </c>
      <c r="BM23" s="7">
        <v>-6.9495462024450616E-2</v>
      </c>
      <c r="BN23" s="7">
        <v>-2.660347002197758E-2</v>
      </c>
      <c r="BO23" s="7">
        <v>-3.6524941745999073E-2</v>
      </c>
      <c r="BP23" s="7">
        <v>-2.2475721392681891E-2</v>
      </c>
      <c r="BQ23" s="7">
        <v>-5.9356424860417777E-2</v>
      </c>
      <c r="BR23" s="7">
        <v>1.7844321463962809E-2</v>
      </c>
      <c r="BS23" s="7">
        <v>0.2205670944023907</v>
      </c>
      <c r="BT23" s="7">
        <v>7.018926416463693E-2</v>
      </c>
      <c r="BU23" s="7">
        <v>0.20568773584594591</v>
      </c>
      <c r="BV23" s="7">
        <v>1.7018950875927849E-2</v>
      </c>
      <c r="BW23" s="7">
        <v>1.536251504309036E-2</v>
      </c>
      <c r="BX23" s="7">
        <v>-0.1242195235446351</v>
      </c>
      <c r="BY23" s="7">
        <v>3.9939448876130351E-2</v>
      </c>
      <c r="BZ23" s="7">
        <v>-7.6697624318448621E-3</v>
      </c>
      <c r="CA23" s="7">
        <v>-7.5653199746629096E-2</v>
      </c>
      <c r="CB23" s="7">
        <v>-0.31616676175875003</v>
      </c>
      <c r="CC23" s="7">
        <v>-8.4544614715775346E-2</v>
      </c>
      <c r="CD23" s="7">
        <v>-0.64074657751655262</v>
      </c>
      <c r="CE23" s="7">
        <v>-0.1166246067964614</v>
      </c>
      <c r="CF23" s="7">
        <v>-1.616083543008176E-2</v>
      </c>
      <c r="CG23" s="7">
        <v>-0.21663724162720299</v>
      </c>
      <c r="CH23" s="7">
        <v>0.16212257431707061</v>
      </c>
      <c r="CI23" s="7">
        <v>0.13522219665147919</v>
      </c>
      <c r="CJ23" s="7">
        <v>1.9875367550410569E-2</v>
      </c>
      <c r="CK23" s="7">
        <v>7.1856390536544607E-2</v>
      </c>
      <c r="CL23" s="7">
        <v>-0.1640494591789142</v>
      </c>
      <c r="CM23" s="7">
        <v>0.3867329465229094</v>
      </c>
      <c r="CN23" s="7">
        <v>5.3005178369803271E-2</v>
      </c>
      <c r="CO23" s="7">
        <v>-0.26845097690314912</v>
      </c>
      <c r="CP23" s="7">
        <v>-0.31136074316275669</v>
      </c>
      <c r="CQ23" s="7">
        <v>-2.4702270079380868E-2</v>
      </c>
      <c r="CR23" s="7">
        <v>-0.15099817047394759</v>
      </c>
      <c r="CS23" s="7">
        <v>6.901537085690515E-2</v>
      </c>
      <c r="CT23" s="7">
        <v>-3.2850224006144763E-2</v>
      </c>
      <c r="CU23" s="7">
        <v>0.20210388498715681</v>
      </c>
      <c r="CV23" s="7">
        <v>-0.20185146288687841</v>
      </c>
      <c r="CW23" s="7">
        <v>-2.418628778900123E-2</v>
      </c>
      <c r="CX23" s="7">
        <v>-6.1859993147280662E-2</v>
      </c>
      <c r="CY23" s="7">
        <v>-0.28171082747401988</v>
      </c>
      <c r="CZ23" s="7">
        <v>6.1281100514640897E-2</v>
      </c>
      <c r="DA23" s="7">
        <v>-3.0982136225910391E-2</v>
      </c>
      <c r="DB23" s="7">
        <v>1.5955156866996431E-2</v>
      </c>
      <c r="DC23" s="7">
        <v>-0.1191904860704142</v>
      </c>
      <c r="DD23" s="7">
        <v>9.2798674677153081E-2</v>
      </c>
      <c r="DE23" s="7">
        <v>-6.0085947510171572E-2</v>
      </c>
      <c r="DF23" s="7">
        <v>0.1913738738124513</v>
      </c>
      <c r="DG23" s="7">
        <v>0.15297665429505281</v>
      </c>
      <c r="DH23" s="7">
        <v>-0.1392268935121084</v>
      </c>
      <c r="DI23" s="7">
        <v>0.18491271354810521</v>
      </c>
      <c r="DJ23" s="7">
        <v>-0.1200325818239187</v>
      </c>
      <c r="DK23" s="7">
        <v>-4.7749797048578922E-2</v>
      </c>
      <c r="DL23" s="7">
        <v>-2.6242652104624471E-2</v>
      </c>
      <c r="DM23" s="7">
        <v>1.071033430682497E-2</v>
      </c>
      <c r="DN23" s="7">
        <v>0.26497485648399138</v>
      </c>
      <c r="DO23" s="7">
        <v>-8.4670827807182117E-2</v>
      </c>
      <c r="DP23" s="7">
        <v>4.7088232655722921E-2</v>
      </c>
      <c r="DQ23" s="7">
        <v>-0.24594610755878629</v>
      </c>
      <c r="DR23" s="7">
        <v>-0.1024257952350012</v>
      </c>
      <c r="DS23" s="7">
        <v>-0.24719455144246849</v>
      </c>
      <c r="DT23" s="7">
        <v>-2.2296457069757209E-2</v>
      </c>
      <c r="DU23" s="7">
        <v>-0.52524170665309988</v>
      </c>
      <c r="DV23" s="7">
        <v>-0.19274140121789701</v>
      </c>
      <c r="DW23" s="7">
        <v>0.14122823258283859</v>
      </c>
      <c r="DX23" s="7">
        <v>0.1710027869684545</v>
      </c>
      <c r="DY23" s="7">
        <v>-0.26822192937212391</v>
      </c>
      <c r="DZ23" s="7">
        <v>0.12933301555171881</v>
      </c>
      <c r="EA23" s="7">
        <v>-2.875877977640498E-2</v>
      </c>
      <c r="EB23" s="7">
        <v>0.24428465812392219</v>
      </c>
      <c r="EC23" s="7">
        <v>0.1232049429556647</v>
      </c>
      <c r="ED23" s="7">
        <v>0.194323278521919</v>
      </c>
      <c r="EE23" s="7">
        <v>6.9545558094986554E-2</v>
      </c>
      <c r="EF23" s="8">
        <v>-9.3415857913687922E-2</v>
      </c>
      <c r="EG23" s="21">
        <f t="shared" si="6"/>
        <v>3.7008016416559455E-3</v>
      </c>
      <c r="EH23" s="21">
        <f t="shared" si="7"/>
        <v>0.17486893957882746</v>
      </c>
      <c r="EI23" s="21">
        <f t="shared" si="8"/>
        <v>2.1163287491588505E-2</v>
      </c>
    </row>
    <row r="24" spans="1:139" x14ac:dyDescent="0.3">
      <c r="A24" s="1">
        <v>964</v>
      </c>
      <c r="B24" s="1">
        <v>1</v>
      </c>
      <c r="C24" s="7">
        <v>2.776696731044102E-2</v>
      </c>
      <c r="D24" s="7">
        <v>0.1006099128992286</v>
      </c>
      <c r="E24" s="7">
        <v>8.1880334610397495E-2</v>
      </c>
      <c r="F24" s="7">
        <v>0.20154571887164621</v>
      </c>
      <c r="G24" s="7">
        <v>2.2622388562617651E-2</v>
      </c>
      <c r="H24" s="7">
        <v>-0.35082219133103881</v>
      </c>
      <c r="I24" s="7">
        <v>2.111933203143501E-3</v>
      </c>
      <c r="J24" s="7">
        <v>-9.9972192910136135E-2</v>
      </c>
      <c r="K24" s="7">
        <v>5.0444335993488708E-2</v>
      </c>
      <c r="L24" s="7">
        <v>-0.33375944447564659</v>
      </c>
      <c r="M24" s="7">
        <v>-0.14681933889950849</v>
      </c>
      <c r="N24" s="7">
        <v>0.1051917107958454</v>
      </c>
      <c r="O24" s="7">
        <v>0.235309193405423</v>
      </c>
      <c r="P24" s="7">
        <v>7.7736485854057236E-2</v>
      </c>
      <c r="Q24" s="7">
        <v>-6.096496164670627E-2</v>
      </c>
      <c r="R24" s="7">
        <v>0.24569737077925971</v>
      </c>
      <c r="S24" s="7">
        <v>0.13988379956700059</v>
      </c>
      <c r="T24" s="7">
        <v>-0.1236910440917892</v>
      </c>
      <c r="U24" s="7">
        <v>0.14851867422391801</v>
      </c>
      <c r="V24" s="7">
        <v>-0.11654031671685081</v>
      </c>
      <c r="W24" s="7">
        <v>0.64293352860565944</v>
      </c>
      <c r="X24" s="7">
        <v>-8.988764650171982E-4</v>
      </c>
      <c r="Y24" s="7">
        <v>2.9398839580432611E-2</v>
      </c>
      <c r="Z24" s="7">
        <v>0.10584232727880701</v>
      </c>
      <c r="AA24" s="7">
        <v>1.354776823757727E-2</v>
      </c>
      <c r="AB24" s="7">
        <v>-0.1953396226752438</v>
      </c>
      <c r="AC24" s="7">
        <v>0.4017473338469546</v>
      </c>
      <c r="AD24" s="7">
        <v>5.9922146810819088E-2</v>
      </c>
      <c r="AE24" s="7">
        <v>0.19314178971175811</v>
      </c>
      <c r="AF24" s="7">
        <v>-0.49538941280416188</v>
      </c>
      <c r="AG24" s="7">
        <v>0.38005539258279603</v>
      </c>
      <c r="AH24" s="7">
        <v>-0.30212275660657528</v>
      </c>
      <c r="AI24" s="7">
        <v>-0.15191167478339729</v>
      </c>
      <c r="AJ24" s="7">
        <v>2.011236537319892E-2</v>
      </c>
      <c r="AK24" s="7">
        <v>0.11317916377562411</v>
      </c>
      <c r="AL24" s="7">
        <v>-5.4676935490635382E-2</v>
      </c>
      <c r="AM24" s="7">
        <v>-1.89192814205267E-2</v>
      </c>
      <c r="AN24" s="7">
        <v>0.22118946514543131</v>
      </c>
      <c r="AO24" s="7">
        <v>0.1029057025777895</v>
      </c>
      <c r="AP24" s="7">
        <v>0.16448668915792031</v>
      </c>
      <c r="AQ24" s="7">
        <v>-4.7076972834245667E-2</v>
      </c>
      <c r="AR24" s="7">
        <v>0.1708334061708256</v>
      </c>
      <c r="AS24" s="7">
        <v>-2.7956077266590069E-2</v>
      </c>
      <c r="AT24" s="7">
        <v>0.15076897992568081</v>
      </c>
      <c r="AU24" s="7">
        <v>0.22984101567941989</v>
      </c>
      <c r="AV24" s="7">
        <v>-1.952221442252405E-2</v>
      </c>
      <c r="AW24" s="7">
        <v>-4.9875415110391882E-3</v>
      </c>
      <c r="AX24" s="7">
        <v>-0.1114913369162155</v>
      </c>
      <c r="AY24" s="7">
        <v>0.26743574468647008</v>
      </c>
      <c r="AZ24" s="7">
        <v>-0.60989956018477687</v>
      </c>
      <c r="BA24" s="7">
        <v>-5.3794732084633153E-2</v>
      </c>
      <c r="BB24" s="7">
        <v>0.69077653138067185</v>
      </c>
      <c r="BC24" s="7">
        <v>-0.8032160130443774</v>
      </c>
      <c r="BD24" s="7">
        <v>0.18559521924643521</v>
      </c>
      <c r="BE24" s="7">
        <v>4.606435403168687E-2</v>
      </c>
      <c r="BF24" s="7">
        <v>-6.4370420949463519E-2</v>
      </c>
      <c r="BG24" s="7">
        <v>2.6835965866310919E-2</v>
      </c>
      <c r="BH24" s="7">
        <v>-0.38625533691353497</v>
      </c>
      <c r="BI24" s="7">
        <v>-2.8151632148178202E-2</v>
      </c>
      <c r="BJ24" s="7">
        <v>-6.0567254322459393E-2</v>
      </c>
      <c r="BK24" s="7">
        <v>-1.00197269490701E-2</v>
      </c>
      <c r="BL24" s="7">
        <v>0.1061069201511666</v>
      </c>
      <c r="BM24" s="7">
        <v>8.4782939838988242E-2</v>
      </c>
      <c r="BN24" s="7">
        <v>-1.989015847921969E-2</v>
      </c>
      <c r="BO24" s="7">
        <v>0.16110969109564191</v>
      </c>
      <c r="BP24" s="7">
        <v>3.1794104329889807E-2</v>
      </c>
      <c r="BQ24" s="7">
        <v>1.385746642413632E-2</v>
      </c>
      <c r="BR24" s="7">
        <v>4.2356223303417713E-2</v>
      </c>
      <c r="BS24" s="7">
        <v>0.1216210365296066</v>
      </c>
      <c r="BT24" s="7">
        <v>5.5799256308256592E-2</v>
      </c>
      <c r="BU24" s="7">
        <v>0.22832663155994071</v>
      </c>
      <c r="BV24" s="7">
        <v>0.20330415183045039</v>
      </c>
      <c r="BW24" s="7">
        <v>0.15102744542241939</v>
      </c>
      <c r="BX24" s="7">
        <v>-5.8043369649915091E-2</v>
      </c>
      <c r="BY24" s="7">
        <v>-0.29033687494541688</v>
      </c>
      <c r="BZ24" s="7">
        <v>-0.25889289884999689</v>
      </c>
      <c r="CA24" s="7">
        <v>-0.1152216807734147</v>
      </c>
      <c r="CB24" s="7">
        <v>-0.639698133634515</v>
      </c>
      <c r="CC24" s="7">
        <v>-0.18246987988756161</v>
      </c>
      <c r="CD24" s="7">
        <v>-0.69133196858938295</v>
      </c>
      <c r="CE24" s="7">
        <v>-0.21012143523608839</v>
      </c>
      <c r="CF24" s="7">
        <v>4.3964633996731547E-2</v>
      </c>
      <c r="CG24" s="7">
        <v>-0.51996896607392207</v>
      </c>
      <c r="CH24" s="7">
        <v>0.2129728840293183</v>
      </c>
      <c r="CI24" s="7">
        <v>0.29359964364968388</v>
      </c>
      <c r="CJ24" s="7">
        <v>-1.310948541941956E-2</v>
      </c>
      <c r="CK24" s="7">
        <v>0.32305926532838408</v>
      </c>
      <c r="CL24" s="7">
        <v>-1.5683747889366519E-2</v>
      </c>
      <c r="CM24" s="7">
        <v>0.54958710995910021</v>
      </c>
      <c r="CN24" s="7">
        <v>0.1077387664572132</v>
      </c>
      <c r="CO24" s="7">
        <v>-0.57240960973467503</v>
      </c>
      <c r="CP24" s="7">
        <v>-0.1603442048148421</v>
      </c>
      <c r="CQ24" s="7">
        <v>-0.1601896466275006</v>
      </c>
      <c r="CR24" s="7">
        <v>-0.1377874560487031</v>
      </c>
      <c r="CS24" s="7">
        <v>-2.6854922521108548E-2</v>
      </c>
      <c r="CT24" s="7">
        <v>0.1828965872921165</v>
      </c>
      <c r="CU24" s="7">
        <v>5.2729044813654813E-2</v>
      </c>
      <c r="CV24" s="7">
        <v>-0.36148029535141007</v>
      </c>
      <c r="CW24" s="7">
        <v>-0.234993215272846</v>
      </c>
      <c r="CX24" s="7">
        <v>-0.14669462567028749</v>
      </c>
      <c r="CY24" s="7">
        <v>-0.36022804676873771</v>
      </c>
      <c r="CZ24" s="7">
        <v>0.16210690987816029</v>
      </c>
      <c r="DA24" s="7">
        <v>2.451120416275485E-2</v>
      </c>
      <c r="DB24" s="7">
        <v>0.19546067251265431</v>
      </c>
      <c r="DC24" s="7">
        <v>-0.19117575817053481</v>
      </c>
      <c r="DD24" s="7">
        <v>-0.19584472218244131</v>
      </c>
      <c r="DE24" s="7">
        <v>0.13158559129553279</v>
      </c>
      <c r="DF24" s="7">
        <v>0.19463806375593051</v>
      </c>
      <c r="DG24" s="7">
        <v>0.24858898273322999</v>
      </c>
      <c r="DH24" s="7">
        <v>-0.26580267599251223</v>
      </c>
      <c r="DI24" s="7">
        <v>0.42309879972833903</v>
      </c>
      <c r="DJ24" s="7">
        <v>-0.2293698745310894</v>
      </c>
      <c r="DK24" s="7">
        <v>-0.16602172835425</v>
      </c>
      <c r="DL24" s="7">
        <v>-6.1360513215416877E-2</v>
      </c>
      <c r="DM24" s="7">
        <v>0.10831609512618499</v>
      </c>
      <c r="DN24" s="7">
        <v>0.51684793899753223</v>
      </c>
      <c r="DO24" s="7">
        <v>-8.3114289590005733E-2</v>
      </c>
      <c r="DP24" s="7">
        <v>0.1143734254860139</v>
      </c>
      <c r="DQ24" s="7">
        <v>-0.35907130209664839</v>
      </c>
      <c r="DR24" s="7">
        <v>-2.3391731273528969E-2</v>
      </c>
      <c r="DS24" s="7">
        <v>-0.14400697483881431</v>
      </c>
      <c r="DT24" s="7">
        <v>-2.9435726388863388E-2</v>
      </c>
      <c r="DU24" s="7">
        <v>-0.7705433077559587</v>
      </c>
      <c r="DV24" s="7">
        <v>-0.75045654918922122</v>
      </c>
      <c r="DW24" s="7">
        <v>0.10885708989133031</v>
      </c>
      <c r="DX24" s="7">
        <v>0.17373733044807921</v>
      </c>
      <c r="DY24" s="7">
        <v>-3.2066535729951551E-2</v>
      </c>
      <c r="DZ24" s="7">
        <v>-4.8904664258799802E-2</v>
      </c>
      <c r="EA24" s="7">
        <v>-5.4920183841502608E-2</v>
      </c>
      <c r="EB24" s="7">
        <v>0.58969791699909047</v>
      </c>
      <c r="EC24" s="7">
        <v>0.25665137996352638</v>
      </c>
      <c r="ED24" s="7">
        <v>8.4540092567264802E-2</v>
      </c>
      <c r="EE24" s="7">
        <v>-3.5663982870964749E-2</v>
      </c>
      <c r="EF24" s="8">
        <v>-0.13408707635021461</v>
      </c>
      <c r="EG24" s="21">
        <f t="shared" si="6"/>
        <v>-1.1004083859096368E-2</v>
      </c>
      <c r="EH24" s="21">
        <f t="shared" si="7"/>
        <v>0.26401949408342762</v>
      </c>
      <c r="EI24" s="21">
        <f t="shared" si="8"/>
        <v>-4.1679058197191997E-2</v>
      </c>
    </row>
    <row r="25" spans="1:139" s="5" customFormat="1" x14ac:dyDescent="0.3">
      <c r="A25" s="6" t="s">
        <v>147</v>
      </c>
      <c r="B25" s="6" t="s">
        <v>148</v>
      </c>
      <c r="C25" s="3">
        <v>-1.7446770539390338E-2</v>
      </c>
      <c r="D25" s="4">
        <v>2.070106053181563E-2</v>
      </c>
      <c r="E25" s="4">
        <v>2.3982129254766709E-2</v>
      </c>
      <c r="F25" s="4">
        <v>-6.557578972823077E-3</v>
      </c>
      <c r="G25" s="4">
        <v>3.1845129800519692E-2</v>
      </c>
      <c r="H25" s="4">
        <v>3.4348532736990518E-2</v>
      </c>
      <c r="I25" s="4">
        <v>-8.2549327813252367E-3</v>
      </c>
      <c r="J25" s="4">
        <v>1.2843524394052759E-2</v>
      </c>
      <c r="K25" s="4">
        <v>-5.1018524626790823E-2</v>
      </c>
      <c r="L25" s="4">
        <v>8.7394274103658827E-4</v>
      </c>
      <c r="M25" s="4">
        <v>2.3389575505495919E-2</v>
      </c>
      <c r="N25" s="4">
        <v>1.2988972200332851E-2</v>
      </c>
      <c r="O25" s="4">
        <v>5.8545887256348812E-3</v>
      </c>
      <c r="P25" s="4">
        <v>2.7413206571790558E-2</v>
      </c>
      <c r="Q25" s="4">
        <v>-3.7129361176928542E-3</v>
      </c>
      <c r="R25" s="4">
        <v>2.4076614047823328E-2</v>
      </c>
      <c r="S25" s="4">
        <v>-1.219002529903996E-2</v>
      </c>
      <c r="T25" s="4">
        <v>-3.9749578159589592E-2</v>
      </c>
      <c r="U25" s="4">
        <v>-7.3155449831649552E-2</v>
      </c>
      <c r="V25" s="4">
        <v>-5.8260229910114661E-2</v>
      </c>
      <c r="W25" s="4">
        <v>7.7279756550837221E-4</v>
      </c>
      <c r="X25" s="4">
        <v>4.459152113521897E-2</v>
      </c>
      <c r="Y25" s="4">
        <v>-2.7699680050213091E-2</v>
      </c>
      <c r="Z25" s="4">
        <v>2.0950059497436462E-3</v>
      </c>
      <c r="AA25" s="4">
        <v>-2.340055099256411E-2</v>
      </c>
      <c r="AB25" s="4">
        <v>3.2129371097322189E-2</v>
      </c>
      <c r="AC25" s="4">
        <v>3.890327309406643E-2</v>
      </c>
      <c r="AD25" s="4">
        <v>-4.286538217110427E-2</v>
      </c>
      <c r="AE25" s="4">
        <v>1.8647194550152159E-2</v>
      </c>
      <c r="AF25" s="4">
        <v>1.5229768322528949E-2</v>
      </c>
      <c r="AG25" s="4">
        <v>3.6016603778892417E-2</v>
      </c>
      <c r="AH25" s="4">
        <v>9.3546113853161701E-3</v>
      </c>
      <c r="AI25" s="4">
        <v>1.0748251336838139E-2</v>
      </c>
      <c r="AJ25" s="4">
        <v>1.335775405308097E-2</v>
      </c>
      <c r="AK25" s="4">
        <v>-5.3327473290953921E-3</v>
      </c>
      <c r="AL25" s="4">
        <v>1.383135807261675E-3</v>
      </c>
      <c r="AM25" s="4">
        <v>2.079592842007446E-2</v>
      </c>
      <c r="AN25" s="4">
        <v>3.1517702220390638E-2</v>
      </c>
      <c r="AO25" s="4">
        <v>6.2417165333294418E-3</v>
      </c>
      <c r="AP25" s="4">
        <v>6.1452616535713897E-3</v>
      </c>
      <c r="AQ25" s="4">
        <v>1.694635767669651E-2</v>
      </c>
      <c r="AR25" s="4">
        <v>3.4682830454308228E-2</v>
      </c>
      <c r="AS25" s="4">
        <v>3.0985886171969678E-3</v>
      </c>
      <c r="AT25" s="4">
        <v>1.508134714348611E-2</v>
      </c>
      <c r="AU25" s="4">
        <v>-1.9251209229863991E-2</v>
      </c>
      <c r="AV25" s="4">
        <v>3.8711513387631437E-2</v>
      </c>
      <c r="AW25" s="4">
        <v>-2.1856951135736599E-2</v>
      </c>
      <c r="AX25" s="4">
        <v>7.7743007097896798E-3</v>
      </c>
      <c r="AY25" s="4">
        <v>4.2397246695325942E-2</v>
      </c>
      <c r="AZ25" s="4">
        <v>-2.630897486115975E-2</v>
      </c>
      <c r="BA25" s="4">
        <v>9.5717493087162323E-3</v>
      </c>
      <c r="BB25" s="4">
        <v>-2.424974126627483E-2</v>
      </c>
      <c r="BC25" s="4">
        <v>2.0163374143915822E-2</v>
      </c>
      <c r="BD25" s="4">
        <v>-3.5049987821160239E-3</v>
      </c>
      <c r="BE25" s="4">
        <v>2.0151935098542271E-2</v>
      </c>
      <c r="BF25" s="4">
        <v>5.8133623077027128E-4</v>
      </c>
      <c r="BG25" s="4">
        <v>-5.2197009532526043E-3</v>
      </c>
      <c r="BH25" s="4">
        <v>-0.11587176140213</v>
      </c>
      <c r="BI25" s="4">
        <v>8.7252256924373536E-3</v>
      </c>
      <c r="BJ25" s="4">
        <v>-1.6377260977822151E-2</v>
      </c>
      <c r="BK25" s="4">
        <v>2.0840371600260421E-2</v>
      </c>
      <c r="BL25" s="4">
        <v>4.4975872102114713E-2</v>
      </c>
      <c r="BM25" s="4">
        <v>2.3954306081863871E-2</v>
      </c>
      <c r="BN25" s="4">
        <v>3.0239101391442601E-2</v>
      </c>
      <c r="BO25" s="4">
        <v>-4.372588759108751E-2</v>
      </c>
      <c r="BP25" s="4">
        <v>2.1889469568198618E-2</v>
      </c>
      <c r="BQ25" s="4">
        <v>8.6274302635084028E-3</v>
      </c>
      <c r="BR25" s="4">
        <v>-1.9192953994658781E-2</v>
      </c>
      <c r="BS25" s="4">
        <v>1.973512988813305E-2</v>
      </c>
      <c r="BT25" s="4">
        <v>4.7694337483699438E-2</v>
      </c>
      <c r="BU25" s="4">
        <v>1.145481680658339E-2</v>
      </c>
      <c r="BV25" s="4">
        <v>4.3228620735213191E-2</v>
      </c>
      <c r="BW25" s="4">
        <v>-4.2747430436922793E-2</v>
      </c>
      <c r="BX25" s="4">
        <v>-1.781129242779457E-2</v>
      </c>
      <c r="BY25" s="4">
        <v>-0.1511530968690756</v>
      </c>
      <c r="BZ25" s="4">
        <v>0.12422400361957529</v>
      </c>
      <c r="CA25" s="4">
        <v>-4.5572538445296431E-3</v>
      </c>
      <c r="CB25" s="4">
        <v>6.0211240204911178E-2</v>
      </c>
      <c r="CC25" s="4">
        <v>8.5992033482502284E-2</v>
      </c>
      <c r="CD25" s="4">
        <v>-5.8084795823660634E-3</v>
      </c>
      <c r="CE25" s="4">
        <v>-6.0413469889680736E-3</v>
      </c>
      <c r="CF25" s="4">
        <v>2.4523243722520739E-3</v>
      </c>
      <c r="CG25" s="4">
        <v>8.963625193702289E-2</v>
      </c>
      <c r="CH25" s="4">
        <v>7.099273252675789E-2</v>
      </c>
      <c r="CI25" s="4">
        <v>2.7170642901783448E-2</v>
      </c>
      <c r="CJ25" s="4">
        <v>5.2468428425330033E-2</v>
      </c>
      <c r="CK25" s="4">
        <v>2.9480660943049509E-2</v>
      </c>
      <c r="CL25" s="4">
        <v>6.6825081060201283E-2</v>
      </c>
      <c r="CM25" s="4">
        <v>-2.8772229019816971E-2</v>
      </c>
      <c r="CN25" s="4">
        <v>3.9462515901637851E-2</v>
      </c>
      <c r="CO25" s="4">
        <v>-2.9031086977359909E-2</v>
      </c>
      <c r="CP25" s="4">
        <v>1.3983882519467901E-2</v>
      </c>
      <c r="CQ25" s="4">
        <v>-3.2276964959333833E-2</v>
      </c>
      <c r="CR25" s="4">
        <v>3.1035766128940231E-3</v>
      </c>
      <c r="CS25" s="4">
        <v>2.5591855767083171E-2</v>
      </c>
      <c r="CT25" s="4">
        <v>4.4391886287193302E-2</v>
      </c>
      <c r="CU25" s="4">
        <v>-3.0338958549577438E-2</v>
      </c>
      <c r="CV25" s="4">
        <v>-1.2579764545717069E-3</v>
      </c>
      <c r="CW25" s="4">
        <v>2.336356455857952E-3</v>
      </c>
      <c r="CX25" s="4">
        <v>-6.4264144925906069E-2</v>
      </c>
      <c r="CY25" s="4">
        <v>1.2909779458992439E-2</v>
      </c>
      <c r="CZ25" s="4">
        <v>-0.12547709467085871</v>
      </c>
      <c r="DA25" s="4">
        <v>1.1690682939792569E-2</v>
      </c>
      <c r="DB25" s="4">
        <v>6.3378437007417512E-3</v>
      </c>
      <c r="DC25" s="4">
        <v>-0.1173053564693855</v>
      </c>
      <c r="DD25" s="4">
        <v>-3.6010872049446613E-2</v>
      </c>
      <c r="DE25" s="4">
        <v>0.1389113040722679</v>
      </c>
      <c r="DF25" s="4">
        <v>-5.1143506226105737E-2</v>
      </c>
      <c r="DG25" s="4">
        <v>7.6731447181969059E-2</v>
      </c>
      <c r="DH25" s="4">
        <v>1.550878219700816E-2</v>
      </c>
      <c r="DI25" s="4">
        <v>2.3223773674755831E-2</v>
      </c>
      <c r="DJ25" s="4">
        <v>-1.8372876361227891E-2</v>
      </c>
      <c r="DK25" s="4">
        <v>6.2199014085099431E-2</v>
      </c>
      <c r="DL25" s="4">
        <v>2.0098304486957191E-2</v>
      </c>
      <c r="DM25" s="4">
        <v>1.349893974806809E-2</v>
      </c>
      <c r="DN25" s="4">
        <v>-3.025221272842088E-2</v>
      </c>
      <c r="DO25" s="4">
        <v>-1.7022835708053841E-2</v>
      </c>
      <c r="DP25" s="4">
        <v>-2.1788523272461981E-2</v>
      </c>
      <c r="DQ25" s="4">
        <v>8.5745624585137223E-2</v>
      </c>
      <c r="DR25" s="4">
        <v>2.8106743604973752E-2</v>
      </c>
      <c r="DS25" s="4">
        <v>-2.3031598073594501E-3</v>
      </c>
      <c r="DT25" s="4">
        <v>5.8471198131487503E-2</v>
      </c>
      <c r="DU25" s="4">
        <v>6.7658949048647651E-2</v>
      </c>
      <c r="DV25" s="4">
        <v>5.0207706404322644E-3</v>
      </c>
      <c r="DW25" s="4">
        <v>3.7416183675207063E-2</v>
      </c>
      <c r="DX25" s="4">
        <v>8.4111003746042121E-2</v>
      </c>
      <c r="DY25" s="4">
        <v>-3.6832398544012837E-2</v>
      </c>
      <c r="DZ25" s="4">
        <v>3.0917028169369942E-3</v>
      </c>
      <c r="EA25" s="4">
        <v>-1.957628214294549E-3</v>
      </c>
      <c r="EB25" s="4">
        <v>2.6459103603519739E-2</v>
      </c>
      <c r="EC25" s="4">
        <v>-2.4752538760690269E-2</v>
      </c>
      <c r="ED25" s="4">
        <v>3.4115490982559941E-2</v>
      </c>
      <c r="EE25" s="4">
        <v>2.1061973989032982E-2</v>
      </c>
      <c r="EF25" s="5">
        <v>-2.0277392706005901E-2</v>
      </c>
      <c r="EG25" s="21">
        <f t="shared" si="6"/>
        <v>7.3485376145559517E-3</v>
      </c>
      <c r="EH25" s="21">
        <f t="shared" si="7"/>
        <v>4.2276369775976368E-2</v>
      </c>
      <c r="EI25" s="21">
        <f t="shared" si="8"/>
        <v>0.17382139605401439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2B7C-7C3B-4AC6-BB63-70D1D5A0CE24}">
  <dimension ref="A1:EI26"/>
  <sheetViews>
    <sheetView tabSelected="1" topLeftCell="DX7" workbookViewId="0">
      <selection activeCell="EL15" sqref="EL15"/>
    </sheetView>
  </sheetViews>
  <sheetFormatPr defaultRowHeight="15" x14ac:dyDescent="0.3"/>
  <sheetData>
    <row r="1" spans="1:139" x14ac:dyDescent="0.3">
      <c r="A1" t="s">
        <v>0</v>
      </c>
    </row>
    <row r="2" spans="1:139" x14ac:dyDescent="0.3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</row>
    <row r="3" spans="1:139" x14ac:dyDescent="0.3">
      <c r="B3" s="1" t="s">
        <v>136</v>
      </c>
      <c r="C3" s="9">
        <v>0.10910583</v>
      </c>
      <c r="D3" s="9">
        <v>1.457658E-2</v>
      </c>
      <c r="E3" s="9">
        <v>-3.6154400000000003E-2</v>
      </c>
      <c r="F3" s="9">
        <v>-4.7425999999999996E-3</v>
      </c>
      <c r="G3" s="9">
        <v>-5.7478E-3</v>
      </c>
      <c r="H3" s="9">
        <v>4.9378020000000002E-2</v>
      </c>
      <c r="I3" s="9">
        <v>0.18325177000000001</v>
      </c>
      <c r="J3" s="9">
        <v>0.11648631</v>
      </c>
      <c r="K3" s="9">
        <v>-3.0594900000000001E-2</v>
      </c>
      <c r="L3" s="9">
        <v>1.982805E-2</v>
      </c>
      <c r="M3" s="9">
        <v>-2.0999E-2</v>
      </c>
      <c r="N3" s="9">
        <v>0.14977942</v>
      </c>
      <c r="O3" s="9">
        <v>1.546341E-2</v>
      </c>
      <c r="P3" s="9">
        <v>-9.1792299999999993E-2</v>
      </c>
      <c r="Q3" s="9">
        <v>-7.7409000000000006E-2</v>
      </c>
      <c r="R3" s="9">
        <v>5.4776600000000002E-2</v>
      </c>
      <c r="S3" s="9">
        <v>-0.12533440000000001</v>
      </c>
      <c r="T3" s="9">
        <v>-0.1190534</v>
      </c>
      <c r="U3" s="9">
        <v>-3.7770100000000001E-2</v>
      </c>
      <c r="V3" s="9">
        <v>8.1183820000000004E-2</v>
      </c>
      <c r="W3" s="9">
        <v>8.4008970000000002E-2</v>
      </c>
      <c r="X3" s="9">
        <v>0.14701136000000001</v>
      </c>
      <c r="Y3" s="9">
        <v>-0.12536050000000001</v>
      </c>
      <c r="Z3" s="9">
        <v>0.19195355</v>
      </c>
      <c r="AA3" s="9">
        <v>-8.4370799999999996E-2</v>
      </c>
      <c r="AB3" s="9">
        <v>7.2897610000000002E-2</v>
      </c>
      <c r="AC3" s="9">
        <v>0.10260456</v>
      </c>
      <c r="AD3" s="9">
        <v>1.577017E-2</v>
      </c>
      <c r="AE3" s="9">
        <v>-0.15200720000000001</v>
      </c>
      <c r="AF3" s="9">
        <v>5.9250249999999997E-2</v>
      </c>
      <c r="AG3" s="9">
        <v>0.13005884000000001</v>
      </c>
      <c r="AH3" s="9">
        <v>0.11525639999999999</v>
      </c>
      <c r="AI3" s="9">
        <v>3.2606620000000003E-2</v>
      </c>
      <c r="AJ3" s="9">
        <v>2.7999110000000001E-2</v>
      </c>
      <c r="AK3" s="9">
        <v>0.14657042000000001</v>
      </c>
      <c r="AL3" s="9">
        <v>4.0841919999999997E-2</v>
      </c>
      <c r="AM3" s="9">
        <v>0.13137636999999999</v>
      </c>
      <c r="AN3" s="9">
        <v>0.22143296000000001</v>
      </c>
      <c r="AO3" s="9">
        <v>-2.0941000000000001E-2</v>
      </c>
      <c r="AP3" s="9">
        <v>-0.13716</v>
      </c>
      <c r="AQ3" s="9">
        <v>-2.4882899999999999E-2</v>
      </c>
      <c r="AR3" s="9">
        <v>1.551397E-2</v>
      </c>
      <c r="AS3" s="9">
        <v>3.4373040000000001E-2</v>
      </c>
      <c r="AT3" s="9">
        <v>6.3095689999999996E-2</v>
      </c>
      <c r="AU3" s="9">
        <v>4.3237699999999997E-2</v>
      </c>
      <c r="AV3" s="9">
        <v>-7.4230400000000002E-2</v>
      </c>
      <c r="AW3" s="9">
        <v>2.7994829999999998E-2</v>
      </c>
      <c r="AX3" s="9">
        <v>0.11986442</v>
      </c>
      <c r="AY3" s="9">
        <v>7.6559569999999993E-2</v>
      </c>
      <c r="AZ3" s="9">
        <v>-2.17304E-2</v>
      </c>
      <c r="BA3" s="9">
        <v>-1.2465E-3</v>
      </c>
      <c r="BB3" s="9">
        <v>0.10099582</v>
      </c>
      <c r="BC3" s="9">
        <v>2.9826930000000001E-2</v>
      </c>
      <c r="BD3" s="9">
        <v>8.6757699999999993E-3</v>
      </c>
      <c r="BE3" s="9">
        <v>6.8557209999999993E-2</v>
      </c>
      <c r="BF3" s="9">
        <v>0.15691260000000001</v>
      </c>
      <c r="BG3" s="9">
        <v>0.15920372999999999</v>
      </c>
      <c r="BH3" s="9">
        <v>6.1121670000000003E-2</v>
      </c>
      <c r="BI3" s="9">
        <v>9.6912849999999995E-2</v>
      </c>
      <c r="BJ3" s="9">
        <v>-5.4746200000000002E-2</v>
      </c>
      <c r="BK3" s="9">
        <v>-8.7493000000000001E-2</v>
      </c>
      <c r="BL3" s="9">
        <v>9.4426750000000004E-2</v>
      </c>
      <c r="BM3" s="9">
        <v>-2.2191099999999998E-2</v>
      </c>
      <c r="BN3" s="9">
        <v>1.5628610000000001E-2</v>
      </c>
      <c r="BO3" s="9">
        <v>8.1418240000000003E-2</v>
      </c>
      <c r="BP3" s="9">
        <v>-1.8508899999999998E-2</v>
      </c>
      <c r="BQ3" s="9">
        <v>6.8729570000000004E-2</v>
      </c>
      <c r="BR3" s="9">
        <v>3.1023600000000002E-3</v>
      </c>
      <c r="BS3" s="9">
        <v>7.4964420000000004E-2</v>
      </c>
      <c r="BT3" s="9">
        <v>4.520159E-2</v>
      </c>
      <c r="BU3" s="9">
        <v>2.5677330000000002E-2</v>
      </c>
      <c r="BV3" s="9">
        <v>9.1804029999999995E-2</v>
      </c>
      <c r="BW3" s="9">
        <v>-2.6353999999999999E-2</v>
      </c>
      <c r="BX3" s="9">
        <v>1.9394829999999998E-2</v>
      </c>
      <c r="BY3" s="9">
        <v>-7.6838900000000002E-2</v>
      </c>
      <c r="BZ3" s="9">
        <v>0.11330931</v>
      </c>
      <c r="CA3" s="9">
        <v>-0.1073549</v>
      </c>
      <c r="CB3" s="9">
        <v>4.0844789999999999E-2</v>
      </c>
      <c r="CC3" s="9">
        <v>-1.9801699999999998E-2</v>
      </c>
      <c r="CD3" s="9">
        <v>0.18837709</v>
      </c>
      <c r="CE3" s="9">
        <v>5.5574909999999998E-2</v>
      </c>
      <c r="CF3" s="9">
        <v>7.4872069999999999E-2</v>
      </c>
      <c r="CG3" s="9">
        <v>0.10000019</v>
      </c>
      <c r="CH3" s="9">
        <v>0.13602172000000001</v>
      </c>
      <c r="CI3" s="9">
        <v>-9.3741000000000005E-2</v>
      </c>
      <c r="CJ3" s="9">
        <v>3.9306000000000002E-3</v>
      </c>
      <c r="CK3" s="9">
        <v>5.6507780000000001E-2</v>
      </c>
      <c r="CL3" s="9">
        <v>0.26354578000000001</v>
      </c>
      <c r="CM3" s="9">
        <v>-9.5554000000000004E-3</v>
      </c>
      <c r="CN3" s="9">
        <v>-3.1511900000000002E-2</v>
      </c>
      <c r="CO3" s="9">
        <v>-2.2619E-2</v>
      </c>
      <c r="CP3" s="9">
        <v>0.13265561000000001</v>
      </c>
      <c r="CQ3" s="9">
        <v>0.13307278</v>
      </c>
      <c r="CR3" s="9">
        <v>-1.49564E-2</v>
      </c>
      <c r="CS3" s="9">
        <v>-3.3419900000000002E-2</v>
      </c>
      <c r="CT3" s="9">
        <v>1.2281210000000001E-2</v>
      </c>
      <c r="CU3" s="9">
        <v>0.11681498</v>
      </c>
      <c r="CV3" s="9">
        <v>-3.1589000000000001E-3</v>
      </c>
      <c r="CW3" s="9">
        <v>3.8217760000000003E-2</v>
      </c>
      <c r="CX3" s="9">
        <v>0.13917409</v>
      </c>
      <c r="CY3" s="9">
        <v>-2.3712299999999999E-2</v>
      </c>
      <c r="CZ3" s="9">
        <v>0.21835291000000001</v>
      </c>
      <c r="DA3" s="9">
        <v>-5.7967400000000002E-2</v>
      </c>
      <c r="DB3" s="9">
        <v>-1.4104200000000001E-2</v>
      </c>
      <c r="DC3" s="9">
        <v>0.11395608</v>
      </c>
      <c r="DD3" s="9">
        <v>7.4472259999999998E-2</v>
      </c>
      <c r="DE3" s="9">
        <v>-8.9970000000000002E-4</v>
      </c>
      <c r="DF3" s="9">
        <v>9.7707000000000002E-4</v>
      </c>
      <c r="DG3" s="9">
        <v>-7.2980100000000006E-2</v>
      </c>
      <c r="DH3" s="9">
        <v>-2.38453E-2</v>
      </c>
      <c r="DI3" s="9">
        <v>-0.1015307</v>
      </c>
      <c r="DJ3" s="9">
        <v>2.7692540000000002E-2</v>
      </c>
      <c r="DK3" s="9">
        <v>-4.9335200000000003E-2</v>
      </c>
      <c r="DL3" s="9">
        <v>-5.6994000000000003E-3</v>
      </c>
      <c r="DM3" s="9">
        <v>-3.6981800000000002E-2</v>
      </c>
      <c r="DN3" s="9">
        <v>0.10981299</v>
      </c>
      <c r="DO3" s="9">
        <v>4.2036829999999997E-2</v>
      </c>
      <c r="DP3" s="9">
        <v>8.4566669999999997E-2</v>
      </c>
      <c r="DQ3" s="9">
        <v>-0.1102798</v>
      </c>
      <c r="DR3" s="9">
        <v>9.4328709999999996E-2</v>
      </c>
      <c r="DS3" s="9">
        <v>-7.1906899999999996E-2</v>
      </c>
      <c r="DT3" s="9">
        <v>-9.62364E-2</v>
      </c>
      <c r="DU3" s="9">
        <v>2.3455500000000001E-3</v>
      </c>
      <c r="DV3" s="9">
        <v>0.13401742</v>
      </c>
      <c r="DW3" s="9">
        <v>9.4732520000000001E-2</v>
      </c>
      <c r="DX3" s="9">
        <v>-0.1037732</v>
      </c>
      <c r="DY3" s="9">
        <v>7.576215E-2</v>
      </c>
      <c r="DZ3" s="9">
        <v>-3.1829700000000002E-2</v>
      </c>
      <c r="EA3" s="9">
        <v>0.16130802</v>
      </c>
      <c r="EB3" s="9">
        <v>1.0203530000000001E-2</v>
      </c>
      <c r="EC3" s="9">
        <v>7.3988429999999994E-2</v>
      </c>
      <c r="ED3" s="9">
        <v>-0.15737689999999999</v>
      </c>
      <c r="EE3" s="9">
        <v>7.9137550000000001E-2</v>
      </c>
      <c r="EF3" s="9">
        <v>7.2528549999999997E-2</v>
      </c>
      <c r="EG3" s="10">
        <f>CORREL([1]bm補值!EG$2:EG$972,[1]下個月月報酬補值!EG$2:EG$972)</f>
        <v>0.14231065676311483</v>
      </c>
    </row>
    <row r="4" spans="1:139" x14ac:dyDescent="0.3">
      <c r="B4" s="1" t="s">
        <v>137</v>
      </c>
      <c r="C4" s="9">
        <v>-0.24758869999999999</v>
      </c>
      <c r="D4" s="9">
        <v>-0.27469329999999997</v>
      </c>
      <c r="E4" s="9">
        <v>-8.4648399999999999E-2</v>
      </c>
      <c r="F4" s="9">
        <v>2.2644629999999999E-2</v>
      </c>
      <c r="G4" s="9">
        <v>-4.9680000000000002E-2</v>
      </c>
      <c r="H4" s="9">
        <v>-0.1007596</v>
      </c>
      <c r="I4" s="9">
        <v>-1.2522699999999999E-2</v>
      </c>
      <c r="J4" s="9">
        <v>7.8736539999999994E-2</v>
      </c>
      <c r="K4" s="9">
        <v>-3.4185100000000003E-2</v>
      </c>
      <c r="L4" s="9">
        <v>8.8406789999999999E-2</v>
      </c>
      <c r="M4" s="9">
        <v>-3.0634999999999998E-3</v>
      </c>
      <c r="N4" s="9">
        <v>-0.21221799999999999</v>
      </c>
      <c r="O4" s="9">
        <v>-3.6805400000000002E-2</v>
      </c>
      <c r="P4" s="9">
        <v>7.1033120000000005E-2</v>
      </c>
      <c r="Q4" s="9">
        <v>-7.1261099999999994E-2</v>
      </c>
      <c r="R4" s="9">
        <v>2.1560449999999998E-2</v>
      </c>
      <c r="S4" s="9">
        <v>0.10111125999999999</v>
      </c>
      <c r="T4" s="9">
        <v>4.3224730000000003E-2</v>
      </c>
      <c r="U4" s="9">
        <v>1.488195E-2</v>
      </c>
      <c r="V4" s="9">
        <v>6.3260199999999999E-3</v>
      </c>
      <c r="W4" s="9">
        <v>-0.14355299999999999</v>
      </c>
      <c r="X4" s="9">
        <v>-6.4282199999999998E-2</v>
      </c>
      <c r="Y4" s="9">
        <v>-1.9034200000000001E-2</v>
      </c>
      <c r="Z4" s="9">
        <v>-2.0644599999999999E-2</v>
      </c>
      <c r="AA4" s="9">
        <v>3.3059529999999997E-2</v>
      </c>
      <c r="AB4" s="9">
        <v>-1.94182E-2</v>
      </c>
      <c r="AC4" s="9">
        <v>-6.3126799999999997E-2</v>
      </c>
      <c r="AD4" s="9">
        <v>-6.5629699999999999E-2</v>
      </c>
      <c r="AE4" s="9">
        <v>0.13799568000000001</v>
      </c>
      <c r="AF4" s="9">
        <v>-0.1005679</v>
      </c>
      <c r="AG4" s="9">
        <v>-3.7969099999999999E-2</v>
      </c>
      <c r="AH4" s="9">
        <v>-4.5839499999999998E-2</v>
      </c>
      <c r="AI4" s="9">
        <v>-5.1034099999999999E-2</v>
      </c>
      <c r="AJ4" s="9">
        <v>-3.2204E-3</v>
      </c>
      <c r="AK4" s="9">
        <v>4.8952000000000002E-4</v>
      </c>
      <c r="AL4" s="9">
        <v>-0.10644670000000001</v>
      </c>
      <c r="AM4" s="9">
        <v>-1.3724E-2</v>
      </c>
      <c r="AN4" s="9">
        <v>-0.1219647</v>
      </c>
      <c r="AO4" s="9">
        <v>-4.85897E-2</v>
      </c>
      <c r="AP4" s="9">
        <v>-1.9032000000000001E-3</v>
      </c>
      <c r="AQ4" s="9">
        <v>2.9067490000000001E-2</v>
      </c>
      <c r="AR4" s="9">
        <v>5.2635769999999998E-2</v>
      </c>
      <c r="AS4" s="9">
        <v>-1.28933E-2</v>
      </c>
      <c r="AT4" s="9">
        <v>-2.1310999999999999E-3</v>
      </c>
      <c r="AU4" s="9">
        <v>-0.15538440000000001</v>
      </c>
      <c r="AV4" s="9">
        <v>1.268178E-2</v>
      </c>
      <c r="AW4" s="9">
        <v>-1.1942299999999999E-2</v>
      </c>
      <c r="AX4" s="9">
        <v>-4.2538000000000003E-3</v>
      </c>
      <c r="AY4" s="9">
        <v>2.930087E-2</v>
      </c>
      <c r="AZ4" s="9">
        <v>-0.13412750000000001</v>
      </c>
      <c r="BA4" s="9">
        <v>-0.1371115</v>
      </c>
      <c r="BB4" s="9">
        <v>1.7546599999999999E-3</v>
      </c>
      <c r="BC4" s="9">
        <v>2.511712E-2</v>
      </c>
      <c r="BD4" s="9">
        <v>-0.1196019</v>
      </c>
      <c r="BE4" s="9">
        <v>0.13576165000000001</v>
      </c>
      <c r="BF4" s="9">
        <v>4.7091170000000002E-2</v>
      </c>
      <c r="BG4" s="9">
        <v>-2.60501E-2</v>
      </c>
      <c r="BH4" s="9">
        <v>4.3752760000000002E-2</v>
      </c>
      <c r="BI4" s="9">
        <v>-8.13918E-2</v>
      </c>
      <c r="BJ4" s="9">
        <v>-0.1006008</v>
      </c>
      <c r="BK4" s="9">
        <v>9.0490070000000006E-2</v>
      </c>
      <c r="BL4" s="9">
        <v>-3.0898499999999999E-2</v>
      </c>
      <c r="BM4" s="9">
        <v>5.8814169999999999E-2</v>
      </c>
      <c r="BN4" s="9">
        <v>8.1345630000000002E-2</v>
      </c>
      <c r="BO4" s="9">
        <v>-7.7164E-3</v>
      </c>
      <c r="BP4" s="9">
        <v>0.10673487</v>
      </c>
      <c r="BQ4" s="9">
        <v>-2.7156300000000001E-2</v>
      </c>
      <c r="BR4" s="9">
        <v>-5.4431E-2</v>
      </c>
      <c r="BS4" s="9">
        <v>-6.8229300000000007E-2</v>
      </c>
      <c r="BT4" s="9">
        <v>9.861222E-2</v>
      </c>
      <c r="BU4" s="9">
        <v>0.12839854000000001</v>
      </c>
      <c r="BV4" s="9">
        <v>-7.84025E-2</v>
      </c>
      <c r="BW4" s="9">
        <v>-0.1191337</v>
      </c>
      <c r="BX4" s="9">
        <v>-4.6890099999999997E-2</v>
      </c>
      <c r="BY4" s="9">
        <v>0.10169835000000001</v>
      </c>
      <c r="BZ4" s="9">
        <v>-2.5680100000000001E-2</v>
      </c>
      <c r="CA4" s="9">
        <v>-8.3301799999999995E-2</v>
      </c>
      <c r="CB4" s="9">
        <v>-0.15782760000000001</v>
      </c>
      <c r="CC4" s="9">
        <v>-7.1052599999999994E-2</v>
      </c>
      <c r="CD4" s="9">
        <v>-7.3875499999999997E-2</v>
      </c>
      <c r="CE4" s="9">
        <v>-0.23678650000000001</v>
      </c>
      <c r="CF4" s="9">
        <v>3.2627709999999997E-2</v>
      </c>
      <c r="CG4" s="9">
        <v>1.342309E-2</v>
      </c>
      <c r="CH4" s="9">
        <v>-2.7967000000000001E-3</v>
      </c>
      <c r="CI4" s="9">
        <v>4.7925700000000002E-2</v>
      </c>
      <c r="CJ4" s="9">
        <v>-3.2520000000000001E-3</v>
      </c>
      <c r="CK4" s="9">
        <v>-7.5708200000000003E-2</v>
      </c>
      <c r="CL4" s="9">
        <v>-4.4397300000000001E-2</v>
      </c>
      <c r="CM4" s="9">
        <v>0.17898859</v>
      </c>
      <c r="CN4" s="9">
        <v>5.7994270000000001E-2</v>
      </c>
      <c r="CO4" s="9">
        <v>-0.13939019999999999</v>
      </c>
      <c r="CP4" s="9">
        <v>6.4714670000000002E-2</v>
      </c>
      <c r="CQ4" s="9">
        <v>-0.18118790000000001</v>
      </c>
      <c r="CR4" s="9">
        <v>-8.8633500000000004E-2</v>
      </c>
      <c r="CS4" s="9">
        <v>-2.5321799999999998E-2</v>
      </c>
      <c r="CT4" s="9">
        <v>-0.1130791</v>
      </c>
      <c r="CU4" s="9">
        <v>8.0959599999999993E-3</v>
      </c>
      <c r="CV4" s="9">
        <v>-4.5200200000000003E-2</v>
      </c>
      <c r="CW4" s="9">
        <v>-5.8941199999999999E-2</v>
      </c>
      <c r="CX4" s="9">
        <v>-0.1077283</v>
      </c>
      <c r="CY4" s="9">
        <v>-9.6503500000000006E-2</v>
      </c>
      <c r="CZ4" s="9">
        <v>-0.21035429999999999</v>
      </c>
      <c r="DA4" s="9">
        <v>-0.10996110000000001</v>
      </c>
      <c r="DB4" s="9">
        <v>-0.1908205</v>
      </c>
      <c r="DC4" s="9">
        <v>-2.0727300000000001E-2</v>
      </c>
      <c r="DD4" s="9">
        <v>8.7029090000000003E-2</v>
      </c>
      <c r="DE4" s="9">
        <v>8.2024589999999994E-2</v>
      </c>
      <c r="DF4" s="9">
        <v>-0.16687669999999999</v>
      </c>
      <c r="DG4" s="9">
        <v>0.22243809</v>
      </c>
      <c r="DH4" s="9">
        <v>-0.1442978</v>
      </c>
      <c r="DI4" s="9">
        <v>-0.1196199</v>
      </c>
      <c r="DJ4" s="9">
        <v>-0.1015928</v>
      </c>
      <c r="DK4" s="9">
        <v>9.2855060000000003E-2</v>
      </c>
      <c r="DL4" s="9">
        <v>-4.2630500000000002E-2</v>
      </c>
      <c r="DM4" s="9">
        <v>8.2732070000000005E-2</v>
      </c>
      <c r="DN4" s="9">
        <v>-3.1049500000000001E-2</v>
      </c>
      <c r="DO4" s="9">
        <v>-9.8141999999999993E-2</v>
      </c>
      <c r="DP4" s="9">
        <v>-0.13058890000000001</v>
      </c>
      <c r="DQ4" s="9">
        <v>4.865572E-2</v>
      </c>
      <c r="DR4" s="9">
        <v>-3.9251899999999999E-2</v>
      </c>
      <c r="DS4" s="9">
        <v>-0.16103020000000001</v>
      </c>
      <c r="DT4" s="9">
        <v>-7.8883999999999996E-2</v>
      </c>
      <c r="DU4" s="9">
        <v>0.16407715</v>
      </c>
      <c r="DV4" s="9">
        <v>7.5052599999999997E-3</v>
      </c>
      <c r="DW4" s="9">
        <v>-0.1016452</v>
      </c>
      <c r="DX4" s="9">
        <v>-5.6040300000000001E-2</v>
      </c>
      <c r="DY4" s="9">
        <v>-0.10665669999999999</v>
      </c>
      <c r="DZ4" s="9">
        <v>-6.9186600000000001E-2</v>
      </c>
      <c r="EA4" s="9">
        <v>-0.12618869999999999</v>
      </c>
      <c r="EB4" s="9">
        <v>-6.4737100000000006E-2</v>
      </c>
      <c r="EC4" s="9">
        <v>5.1426090000000001E-2</v>
      </c>
      <c r="ED4" s="9">
        <v>3.4496730000000003E-2</v>
      </c>
      <c r="EE4" s="9">
        <v>0.1576776</v>
      </c>
      <c r="EF4" s="9">
        <v>-0.12717999999999999</v>
      </c>
      <c r="EG4" s="10">
        <f>CORREL([2]size補值!EG$2:EG$965,[2]下個月月報酬補值!EG$2:EG$965)</f>
        <v>-0.15895948868776608</v>
      </c>
    </row>
    <row r="5" spans="1:139" x14ac:dyDescent="0.3">
      <c r="B5" s="1" t="s">
        <v>138</v>
      </c>
      <c r="C5" s="9">
        <v>-5.4239999999999997E-2</v>
      </c>
      <c r="D5" s="9">
        <v>4.5377000000000001E-2</v>
      </c>
      <c r="E5" s="9">
        <v>-1.7749999999999998E-2</v>
      </c>
      <c r="F5" s="9">
        <v>-8.7690000000000004E-2</v>
      </c>
      <c r="G5" s="9">
        <v>0.102759</v>
      </c>
      <c r="H5" s="9">
        <v>2.5110000000000002E-3</v>
      </c>
      <c r="I5" s="9">
        <v>-1.83E-2</v>
      </c>
      <c r="J5" s="9">
        <v>2.2110999999999999E-2</v>
      </c>
      <c r="K5" s="9">
        <v>7.7257999999999993E-2</v>
      </c>
      <c r="L5" s="9">
        <v>9.3439999999999999E-3</v>
      </c>
      <c r="M5" s="9">
        <v>5.3601999999999997E-2</v>
      </c>
      <c r="N5" s="9">
        <v>-6.7879999999999996E-2</v>
      </c>
      <c r="O5" s="9">
        <v>6.4930000000000002E-2</v>
      </c>
      <c r="P5" s="9">
        <v>4.8809999999999999E-3</v>
      </c>
      <c r="Q5" s="9">
        <v>1.9198E-2</v>
      </c>
      <c r="R5" s="9">
        <v>-5.47E-3</v>
      </c>
      <c r="S5" s="9">
        <v>3.6551E-2</v>
      </c>
      <c r="T5" s="9">
        <v>0.12918499999999999</v>
      </c>
      <c r="U5" s="9">
        <v>1.3691999999999999E-2</v>
      </c>
      <c r="V5" s="9">
        <v>1.5295E-2</v>
      </c>
      <c r="W5" s="9">
        <v>-0.10469000000000001</v>
      </c>
      <c r="X5" s="9">
        <v>-0.29385</v>
      </c>
      <c r="Y5" s="9">
        <v>5.9212000000000001E-2</v>
      </c>
      <c r="Z5" s="9">
        <v>-0.18495</v>
      </c>
      <c r="AA5" s="9">
        <v>9.8247000000000001E-2</v>
      </c>
      <c r="AB5" s="9">
        <v>-6.6E-4</v>
      </c>
      <c r="AC5" s="9">
        <v>-0.10369</v>
      </c>
      <c r="AD5" s="9">
        <v>3.545E-3</v>
      </c>
      <c r="AE5" s="9">
        <v>0.17560100000000001</v>
      </c>
      <c r="AF5" s="9">
        <v>-0.15503</v>
      </c>
      <c r="AG5" s="9">
        <v>-2.6329999999999999E-2</v>
      </c>
      <c r="AH5" s="9">
        <v>-5.0000000000000001E-3</v>
      </c>
      <c r="AI5" s="9">
        <v>2.8067999999999999E-2</v>
      </c>
      <c r="AJ5" s="9">
        <v>-2.2380000000000001E-2</v>
      </c>
      <c r="AK5" s="9">
        <v>-4.7019999999999999E-2</v>
      </c>
      <c r="AL5" s="9">
        <v>-0.10156</v>
      </c>
      <c r="AM5" s="9">
        <v>2.3525000000000001E-2</v>
      </c>
      <c r="AN5" s="9">
        <v>5.2525000000000002E-2</v>
      </c>
      <c r="AO5" s="9">
        <v>5.8502999999999999E-2</v>
      </c>
      <c r="AP5" s="9">
        <v>3.3446999999999998E-2</v>
      </c>
      <c r="AQ5" s="9">
        <v>1.43E-2</v>
      </c>
      <c r="AR5" s="9">
        <v>3.5903999999999998E-2</v>
      </c>
      <c r="AS5" s="9">
        <v>3.9781999999999998E-2</v>
      </c>
      <c r="AT5" s="9">
        <v>0.148456</v>
      </c>
      <c r="AU5" s="9">
        <v>-4.079E-2</v>
      </c>
      <c r="AV5" s="9">
        <v>0.138959</v>
      </c>
      <c r="AW5" s="9">
        <v>5.9863E-2</v>
      </c>
      <c r="AX5" s="9">
        <v>-0.14979000000000001</v>
      </c>
      <c r="AY5" s="9">
        <v>6.1595999999999998E-2</v>
      </c>
      <c r="AZ5" s="9">
        <v>-6.1949999999999998E-2</v>
      </c>
      <c r="BA5" s="9">
        <v>-2.3900000000000002E-3</v>
      </c>
      <c r="BB5" s="9">
        <v>-0.14887</v>
      </c>
      <c r="BC5" s="9">
        <v>6.0351000000000002E-2</v>
      </c>
      <c r="BD5" s="9">
        <v>-1.469E-2</v>
      </c>
      <c r="BE5" s="9">
        <v>-0.14652000000000001</v>
      </c>
      <c r="BF5" s="9">
        <v>-0.20876</v>
      </c>
      <c r="BG5" s="9">
        <v>-0.20144000000000001</v>
      </c>
      <c r="BH5" s="9">
        <v>-0.11805</v>
      </c>
      <c r="BI5" s="9">
        <v>-7.7030000000000001E-2</v>
      </c>
      <c r="BJ5" s="9">
        <v>-3.6220000000000002E-2</v>
      </c>
      <c r="BK5" s="9">
        <v>-1.891E-2</v>
      </c>
      <c r="BL5" s="9">
        <v>-0.17126</v>
      </c>
      <c r="BM5" s="9">
        <v>0.13291700000000001</v>
      </c>
      <c r="BN5" s="9">
        <v>-3.5909999999999997E-2</v>
      </c>
      <c r="BO5" s="9">
        <v>2.1344999999999999E-2</v>
      </c>
      <c r="BP5" s="9">
        <v>4.9634999999999999E-2</v>
      </c>
      <c r="BQ5" s="9">
        <v>-1.721E-2</v>
      </c>
      <c r="BR5" s="9">
        <v>0.189827</v>
      </c>
      <c r="BS5" s="9">
        <v>-9.7610000000000002E-2</v>
      </c>
      <c r="BT5" s="9">
        <v>3.7830999999999997E-2</v>
      </c>
      <c r="BU5" s="9">
        <v>5.6008000000000002E-2</v>
      </c>
      <c r="BV5" s="9">
        <v>-0.11674</v>
      </c>
      <c r="BW5" s="9">
        <v>-0.14132</v>
      </c>
      <c r="BX5" s="9">
        <v>-3.3800000000000002E-3</v>
      </c>
      <c r="BY5" s="9">
        <v>0.13033600000000001</v>
      </c>
      <c r="BZ5" s="9">
        <v>3.1697999999999997E-2</v>
      </c>
      <c r="CA5" s="9">
        <v>4.0555000000000001E-2</v>
      </c>
      <c r="CB5" s="9">
        <v>-4.2040000000000001E-2</v>
      </c>
      <c r="CC5" s="9">
        <v>5.0014000000000003E-2</v>
      </c>
      <c r="CD5" s="9">
        <v>-6.8459999999999993E-2</v>
      </c>
      <c r="CE5" s="9">
        <v>-8.0829999999999999E-2</v>
      </c>
      <c r="CF5" s="9">
        <v>-1.9499999999999999E-3</v>
      </c>
      <c r="CG5" s="9">
        <v>-0.11821</v>
      </c>
      <c r="CH5" s="9">
        <v>-3.6720000000000003E-2</v>
      </c>
      <c r="CI5" s="9">
        <v>-8.3330000000000001E-2</v>
      </c>
      <c r="CJ5" s="9">
        <v>0.23067299999999999</v>
      </c>
      <c r="CK5" s="9">
        <v>0.13277900000000001</v>
      </c>
      <c r="CL5" s="9">
        <v>0.141287</v>
      </c>
      <c r="CM5" s="9">
        <v>-0.11269</v>
      </c>
      <c r="CN5" s="9">
        <v>0.22348899999999999</v>
      </c>
      <c r="CO5" s="9">
        <v>-0.10442</v>
      </c>
      <c r="CP5" s="9">
        <v>-1.443E-2</v>
      </c>
      <c r="CQ5" s="9">
        <v>-0.20723</v>
      </c>
      <c r="CR5" s="9">
        <v>-0.13486000000000001</v>
      </c>
      <c r="CS5" s="9">
        <v>7.3008000000000003E-2</v>
      </c>
      <c r="CT5" s="9">
        <v>-3.022E-2</v>
      </c>
      <c r="CU5" s="9">
        <v>-0.28688999999999998</v>
      </c>
      <c r="CV5" s="9">
        <v>0.23073099999999999</v>
      </c>
      <c r="CW5" s="9">
        <v>9.1076000000000004E-2</v>
      </c>
      <c r="CX5" s="9">
        <v>-0.12249</v>
      </c>
      <c r="CY5" s="9">
        <v>7.8381999999999993E-2</v>
      </c>
      <c r="CZ5" s="9">
        <v>-4.5949999999999998E-2</v>
      </c>
      <c r="DA5" s="9">
        <v>8.2669999999999993E-2</v>
      </c>
      <c r="DB5" s="9">
        <v>0.14934900000000001</v>
      </c>
      <c r="DC5" s="9">
        <v>-4.7800000000000002E-2</v>
      </c>
      <c r="DD5" s="9">
        <v>-0.16450999999999999</v>
      </c>
      <c r="DE5" s="9">
        <v>-0.11057</v>
      </c>
      <c r="DF5" s="9">
        <v>5.7417000000000003E-2</v>
      </c>
      <c r="DG5" s="9">
        <v>-0.21489</v>
      </c>
      <c r="DH5" s="9">
        <v>6.2996999999999997E-2</v>
      </c>
      <c r="DI5" s="9">
        <v>6.7721000000000003E-2</v>
      </c>
      <c r="DJ5" s="9">
        <v>0.118802</v>
      </c>
      <c r="DK5" s="9">
        <v>7.2830000000000004E-3</v>
      </c>
      <c r="DL5" s="9">
        <v>7.1320999999999996E-2</v>
      </c>
      <c r="DM5" s="9">
        <v>2.1021999999999999E-2</v>
      </c>
      <c r="DN5" s="9">
        <v>-3.04E-2</v>
      </c>
      <c r="DO5" s="9">
        <v>-9.6949999999999995E-2</v>
      </c>
      <c r="DP5" s="9">
        <v>-0.23068</v>
      </c>
      <c r="DQ5" s="9">
        <v>0.23818400000000001</v>
      </c>
      <c r="DR5" s="9">
        <v>3.5750000000000001E-3</v>
      </c>
      <c r="DS5" s="9">
        <v>0.13395599999999999</v>
      </c>
      <c r="DT5" s="9">
        <v>0.115106</v>
      </c>
      <c r="DU5" s="9">
        <v>0.10408000000000001</v>
      </c>
      <c r="DV5" s="9">
        <v>-5.4609999999999999E-2</v>
      </c>
      <c r="DW5" s="9">
        <v>-3.329E-2</v>
      </c>
      <c r="DX5" s="9">
        <v>5.5094999999999998E-2</v>
      </c>
      <c r="DY5" s="9">
        <v>6.8793999999999994E-2</v>
      </c>
      <c r="DZ5" s="9">
        <v>1.4481000000000001E-2</v>
      </c>
      <c r="EA5" s="9">
        <v>-0.29314000000000001</v>
      </c>
      <c r="EB5" s="9">
        <v>-0.14097999999999999</v>
      </c>
      <c r="EC5" s="9">
        <v>-1.221E-2</v>
      </c>
      <c r="ED5" s="9">
        <v>5.8167999999999997E-2</v>
      </c>
      <c r="EE5" s="9">
        <v>-0.1444</v>
      </c>
      <c r="EF5" s="9">
        <v>-9.7009999999999999E-2</v>
      </c>
      <c r="EG5" s="10"/>
    </row>
    <row r="6" spans="1:139" x14ac:dyDescent="0.3">
      <c r="A6" s="22" t="s">
        <v>139</v>
      </c>
      <c r="B6" s="23"/>
      <c r="C6" s="11">
        <f t="array" ref="C6">MATCH(MAX(ABS(C3:C5)), ABS(C3:C5), 0)</f>
        <v>2</v>
      </c>
      <c r="D6" s="11">
        <f t="array" ref="D6">MATCH(MAX(ABS(D3:D5)), ABS(D3:D5), 0)</f>
        <v>2</v>
      </c>
      <c r="E6" s="11">
        <f t="array" ref="E6">MATCH(MAX(ABS(E3:E5)), ABS(E3:E5), 0)</f>
        <v>2</v>
      </c>
      <c r="F6" s="11">
        <f t="array" ref="F6">MATCH(MAX(ABS(F3:F5)), ABS(F3:F5), 0)</f>
        <v>3</v>
      </c>
      <c r="G6" s="11">
        <f t="array" ref="G6">MATCH(MAX(ABS(G3:G5)), ABS(G3:G5), 0)</f>
        <v>3</v>
      </c>
      <c r="H6" s="11">
        <f t="array" ref="H6">MATCH(MAX(ABS(H3:H5)), ABS(H3:H5), 0)</f>
        <v>2</v>
      </c>
      <c r="I6" s="11">
        <f t="array" ref="I6">MATCH(MAX(ABS(I3:I5)), ABS(I3:I5), 0)</f>
        <v>1</v>
      </c>
      <c r="J6" s="11">
        <f t="array" ref="J6">MATCH(MAX(ABS(J3:J5)), ABS(J3:J5), 0)</f>
        <v>1</v>
      </c>
      <c r="K6" s="11">
        <f t="array" ref="K6">MATCH(MAX(ABS(K3:K5)), ABS(K3:K5), 0)</f>
        <v>3</v>
      </c>
      <c r="L6" s="11">
        <f t="array" ref="L6">MATCH(MAX(ABS(L3:L5)), ABS(L3:L5), 0)</f>
        <v>2</v>
      </c>
      <c r="M6" s="11">
        <f t="array" ref="M6">MATCH(MAX(ABS(M3:M5)), ABS(M3:M5), 0)</f>
        <v>3</v>
      </c>
      <c r="N6" s="11">
        <f t="array" ref="N6">MATCH(MAX(ABS(N3:N5)), ABS(N3:N5), 0)</f>
        <v>2</v>
      </c>
      <c r="O6" s="11">
        <f t="array" ref="O6">MATCH(MAX(ABS(O3:O5)), ABS(O3:O5), 0)</f>
        <v>3</v>
      </c>
      <c r="P6" s="11">
        <f t="array" ref="P6">MATCH(MAX(ABS(P3:P5)), ABS(P3:P5), 0)</f>
        <v>1</v>
      </c>
      <c r="Q6" s="11">
        <f t="array" ref="Q6">MATCH(MAX(ABS(Q3:Q5)), ABS(Q3:Q5), 0)</f>
        <v>1</v>
      </c>
      <c r="R6" s="11">
        <f t="array" ref="R6">MATCH(MAX(ABS(R3:R5)), ABS(R3:R5), 0)</f>
        <v>1</v>
      </c>
      <c r="S6" s="11">
        <f t="array" ref="S6">MATCH(MAX(ABS(S3:S5)), ABS(S3:S5), 0)</f>
        <v>1</v>
      </c>
      <c r="T6" s="11">
        <f t="array" ref="T6">MATCH(MAX(ABS(T3:T5)), ABS(T3:T5), 0)</f>
        <v>3</v>
      </c>
      <c r="U6" s="11">
        <f t="array" ref="U6">MATCH(MAX(ABS(U3:U5)), ABS(U3:U5), 0)</f>
        <v>1</v>
      </c>
      <c r="V6" s="11">
        <f t="array" ref="V6">MATCH(MAX(ABS(V3:V5)), ABS(V3:V5), 0)</f>
        <v>1</v>
      </c>
      <c r="W6" s="11">
        <f t="array" ref="W6">MATCH(MAX(ABS(W3:W5)), ABS(W3:W5), 0)</f>
        <v>2</v>
      </c>
      <c r="X6" s="11">
        <f t="array" ref="X6">MATCH(MAX(ABS(X3:X5)), ABS(X3:X5), 0)</f>
        <v>3</v>
      </c>
      <c r="Y6" s="11">
        <f t="array" ref="Y6">MATCH(MAX(ABS(Y3:Y5)), ABS(Y3:Y5), 0)</f>
        <v>1</v>
      </c>
      <c r="Z6" s="11">
        <f t="array" ref="Z6">MATCH(MAX(ABS(Z3:Z5)), ABS(Z3:Z5), 0)</f>
        <v>1</v>
      </c>
      <c r="AA6" s="11">
        <f t="array" ref="AA6">MATCH(MAX(ABS(AA3:AA5)), ABS(AA3:AA5), 0)</f>
        <v>3</v>
      </c>
      <c r="AB6" s="11">
        <f t="array" ref="AB6">MATCH(MAX(ABS(AB3:AB5)), ABS(AB3:AB5), 0)</f>
        <v>1</v>
      </c>
      <c r="AC6" s="11">
        <f t="array" ref="AC6">MATCH(MAX(ABS(AC3:AC5)), ABS(AC3:AC5), 0)</f>
        <v>3</v>
      </c>
      <c r="AD6" s="11">
        <f t="array" ref="AD6">MATCH(MAX(ABS(AD3:AD5)), ABS(AD3:AD5), 0)</f>
        <v>2</v>
      </c>
      <c r="AE6" s="11">
        <f t="array" ref="AE6">MATCH(MAX(ABS(AE3:AE5)), ABS(AE3:AE5), 0)</f>
        <v>3</v>
      </c>
      <c r="AF6" s="11">
        <f t="array" ref="AF6">MATCH(MAX(ABS(AF3:AF5)), ABS(AF3:AF5), 0)</f>
        <v>3</v>
      </c>
      <c r="AG6" s="11">
        <f t="array" ref="AG6">MATCH(MAX(ABS(AG3:AG5)), ABS(AG3:AG5), 0)</f>
        <v>1</v>
      </c>
      <c r="AH6" s="11">
        <f t="array" ref="AH6">MATCH(MAX(ABS(AH3:AH5)), ABS(AH3:AH5), 0)</f>
        <v>1</v>
      </c>
      <c r="AI6" s="11">
        <f t="array" ref="AI6">MATCH(MAX(ABS(AI3:AI5)), ABS(AI3:AI5), 0)</f>
        <v>2</v>
      </c>
      <c r="AJ6" s="11">
        <f t="array" ref="AJ6">MATCH(MAX(ABS(AJ3:AJ5)), ABS(AJ3:AJ5), 0)</f>
        <v>1</v>
      </c>
      <c r="AK6" s="11">
        <f t="array" ref="AK6">MATCH(MAX(ABS(AK3:AK5)), ABS(AK3:AK5), 0)</f>
        <v>1</v>
      </c>
      <c r="AL6" s="11">
        <f t="array" ref="AL6">MATCH(MAX(ABS(AL3:AL5)), ABS(AL3:AL5), 0)</f>
        <v>2</v>
      </c>
      <c r="AM6" s="11">
        <f t="array" ref="AM6">MATCH(MAX(ABS(AM3:AM5)), ABS(AM3:AM5), 0)</f>
        <v>1</v>
      </c>
      <c r="AN6" s="11">
        <f t="array" ref="AN6">MATCH(MAX(ABS(AN3:AN5)), ABS(AN3:AN5), 0)</f>
        <v>1</v>
      </c>
      <c r="AO6" s="11">
        <f t="array" ref="AO6">MATCH(MAX(ABS(AO3:AO5)), ABS(AO3:AO5), 0)</f>
        <v>3</v>
      </c>
      <c r="AP6" s="11">
        <f t="array" ref="AP6">MATCH(MAX(ABS(AP3:AP5)), ABS(AP3:AP5), 0)</f>
        <v>1</v>
      </c>
      <c r="AQ6" s="11">
        <f t="array" ref="AQ6">MATCH(MAX(ABS(AQ3:AQ5)), ABS(AQ3:AQ5), 0)</f>
        <v>2</v>
      </c>
      <c r="AR6" s="11">
        <f t="array" ref="AR6">MATCH(MAX(ABS(AR3:AR5)), ABS(AR3:AR5), 0)</f>
        <v>2</v>
      </c>
      <c r="AS6" s="11">
        <f t="array" ref="AS6">MATCH(MAX(ABS(AS3:AS5)), ABS(AS3:AS5), 0)</f>
        <v>3</v>
      </c>
      <c r="AT6" s="11">
        <f t="array" ref="AT6">MATCH(MAX(ABS(AT3:AT5)), ABS(AT3:AT5), 0)</f>
        <v>3</v>
      </c>
      <c r="AU6" s="11">
        <f t="array" ref="AU6">MATCH(MAX(ABS(AU3:AU5)), ABS(AU3:AU5), 0)</f>
        <v>2</v>
      </c>
      <c r="AV6" s="11">
        <f t="array" ref="AV6">MATCH(MAX(ABS(AV3:AV5)), ABS(AV3:AV5), 0)</f>
        <v>3</v>
      </c>
      <c r="AW6" s="11">
        <f t="array" ref="AW6">MATCH(MAX(ABS(AW3:AW5)), ABS(AW3:AW5), 0)</f>
        <v>3</v>
      </c>
      <c r="AX6" s="11">
        <f t="array" ref="AX6">MATCH(MAX(ABS(AX3:AX5)), ABS(AX3:AX5), 0)</f>
        <v>3</v>
      </c>
      <c r="AY6" s="11">
        <f t="array" ref="AY6">MATCH(MAX(ABS(AY3:AY5)), ABS(AY3:AY5), 0)</f>
        <v>1</v>
      </c>
      <c r="AZ6" s="11">
        <f t="array" ref="AZ6">MATCH(MAX(ABS(AZ3:AZ5)), ABS(AZ3:AZ5), 0)</f>
        <v>2</v>
      </c>
      <c r="BA6" s="11">
        <f t="array" ref="BA6">MATCH(MAX(ABS(BA3:BA5)), ABS(BA3:BA5), 0)</f>
        <v>2</v>
      </c>
      <c r="BB6" s="11">
        <f t="array" ref="BB6">MATCH(MAX(ABS(BB3:BB5)), ABS(BB3:BB5), 0)</f>
        <v>3</v>
      </c>
      <c r="BC6" s="11">
        <f t="array" ref="BC6">MATCH(MAX(ABS(BC3:BC5)), ABS(BC3:BC5), 0)</f>
        <v>3</v>
      </c>
      <c r="BD6" s="11">
        <f t="array" ref="BD6">MATCH(MAX(ABS(BD3:BD5)), ABS(BD3:BD5), 0)</f>
        <v>2</v>
      </c>
      <c r="BE6" s="11">
        <f t="array" ref="BE6">MATCH(MAX(ABS(BE3:BE5)), ABS(BE3:BE5), 0)</f>
        <v>3</v>
      </c>
      <c r="BF6" s="11">
        <f t="array" ref="BF6">MATCH(MAX(ABS(BF3:BF5)), ABS(BF3:BF5), 0)</f>
        <v>3</v>
      </c>
      <c r="BG6" s="11">
        <f t="array" ref="BG6">MATCH(MAX(ABS(BG3:BG5)), ABS(BG3:BG5), 0)</f>
        <v>3</v>
      </c>
      <c r="BH6" s="11">
        <f t="array" ref="BH6">MATCH(MAX(ABS(BH3:BH5)), ABS(BH3:BH5), 0)</f>
        <v>3</v>
      </c>
      <c r="BI6" s="11">
        <f t="array" ref="BI6">MATCH(MAX(ABS(BI3:BI5)), ABS(BI3:BI5), 0)</f>
        <v>1</v>
      </c>
      <c r="BJ6" s="11">
        <f t="array" ref="BJ6">MATCH(MAX(ABS(BJ3:BJ5)), ABS(BJ3:BJ5), 0)</f>
        <v>2</v>
      </c>
      <c r="BK6" s="11">
        <f t="array" ref="BK6">MATCH(MAX(ABS(BK3:BK5)), ABS(BK3:BK5), 0)</f>
        <v>2</v>
      </c>
      <c r="BL6" s="11">
        <f t="array" ref="BL6">MATCH(MAX(ABS(BL3:BL5)), ABS(BL3:BL5), 0)</f>
        <v>3</v>
      </c>
      <c r="BM6" s="11">
        <f t="array" ref="BM6">MATCH(MAX(ABS(BM3:BM5)), ABS(BM3:BM5), 0)</f>
        <v>3</v>
      </c>
      <c r="BN6" s="11">
        <f t="array" ref="BN6">MATCH(MAX(ABS(BN3:BN5)), ABS(BN3:BN5), 0)</f>
        <v>2</v>
      </c>
      <c r="BO6" s="11">
        <f t="array" ref="BO6">MATCH(MAX(ABS(BO3:BO5)), ABS(BO3:BO5), 0)</f>
        <v>1</v>
      </c>
      <c r="BP6" s="11">
        <f t="array" ref="BP6">MATCH(MAX(ABS(BP3:BP5)), ABS(BP3:BP5), 0)</f>
        <v>2</v>
      </c>
      <c r="BQ6" s="11">
        <f t="array" ref="BQ6">MATCH(MAX(ABS(BQ3:BQ5)), ABS(BQ3:BQ5), 0)</f>
        <v>1</v>
      </c>
      <c r="BR6" s="11">
        <f t="array" ref="BR6">MATCH(MAX(ABS(BR3:BR5)), ABS(BR3:BR5), 0)</f>
        <v>3</v>
      </c>
      <c r="BS6" s="11">
        <f t="array" ref="BS6">MATCH(MAX(ABS(BS3:BS5)), ABS(BS3:BS5), 0)</f>
        <v>3</v>
      </c>
      <c r="BT6" s="11">
        <f t="array" ref="BT6">MATCH(MAX(ABS(BT3:BT5)), ABS(BT3:BT5), 0)</f>
        <v>2</v>
      </c>
      <c r="BU6" s="11">
        <f t="array" ref="BU6">MATCH(MAX(ABS(BU3:BU5)), ABS(BU3:BU5), 0)</f>
        <v>2</v>
      </c>
      <c r="BV6" s="11">
        <f t="array" ref="BV6">MATCH(MAX(ABS(BV3:BV5)), ABS(BV3:BV5), 0)</f>
        <v>3</v>
      </c>
      <c r="BW6" s="11">
        <f t="array" ref="BW6">MATCH(MAX(ABS(BW3:BW5)), ABS(BW3:BW5), 0)</f>
        <v>3</v>
      </c>
      <c r="BX6" s="11">
        <f t="array" ref="BX6">MATCH(MAX(ABS(BX3:BX5)), ABS(BX3:BX5), 0)</f>
        <v>2</v>
      </c>
      <c r="BY6" s="11">
        <f t="array" ref="BY6">MATCH(MAX(ABS(BY3:BY5)), ABS(BY3:BY5), 0)</f>
        <v>3</v>
      </c>
      <c r="BZ6" s="11">
        <f t="array" ref="BZ6">MATCH(MAX(ABS(BZ3:BZ5)), ABS(BZ3:BZ5), 0)</f>
        <v>1</v>
      </c>
      <c r="CA6" s="11">
        <f t="array" ref="CA6">MATCH(MAX(ABS(CA3:CA5)), ABS(CA3:CA5), 0)</f>
        <v>1</v>
      </c>
      <c r="CB6" s="11">
        <f t="array" ref="CB6">MATCH(MAX(ABS(CB3:CB5)), ABS(CB3:CB5), 0)</f>
        <v>2</v>
      </c>
      <c r="CC6" s="11">
        <f t="array" ref="CC6">MATCH(MAX(ABS(CC3:CC5)), ABS(CC3:CC5), 0)</f>
        <v>2</v>
      </c>
      <c r="CD6" s="11">
        <f t="array" ref="CD6">MATCH(MAX(ABS(CD3:CD5)), ABS(CD3:CD5), 0)</f>
        <v>1</v>
      </c>
      <c r="CE6" s="11">
        <f t="array" ref="CE6">MATCH(MAX(ABS(CE3:CE5)), ABS(CE3:CE5), 0)</f>
        <v>2</v>
      </c>
      <c r="CF6" s="11">
        <f t="array" ref="CF6">MATCH(MAX(ABS(CF3:CF5)), ABS(CF3:CF5), 0)</f>
        <v>1</v>
      </c>
      <c r="CG6" s="11">
        <f t="array" ref="CG6">MATCH(MAX(ABS(CG3:CG5)), ABS(CG3:CG5), 0)</f>
        <v>3</v>
      </c>
      <c r="CH6" s="11">
        <f t="array" ref="CH6">MATCH(MAX(ABS(CH3:CH5)), ABS(CH3:CH5), 0)</f>
        <v>1</v>
      </c>
      <c r="CI6" s="11">
        <f t="array" ref="CI6">MATCH(MAX(ABS(CI3:CI5)), ABS(CI3:CI5), 0)</f>
        <v>1</v>
      </c>
      <c r="CJ6" s="11">
        <f t="array" ref="CJ6">MATCH(MAX(ABS(CJ3:CJ5)), ABS(CJ3:CJ5), 0)</f>
        <v>3</v>
      </c>
      <c r="CK6" s="11">
        <f t="array" ref="CK6">MATCH(MAX(ABS(CK3:CK5)), ABS(CK3:CK5), 0)</f>
        <v>3</v>
      </c>
      <c r="CL6" s="11">
        <f t="array" ref="CL6">MATCH(MAX(ABS(CL3:CL5)), ABS(CL3:CL5), 0)</f>
        <v>1</v>
      </c>
      <c r="CM6" s="11">
        <f t="array" ref="CM6">MATCH(MAX(ABS(CM3:CM5)), ABS(CM3:CM5), 0)</f>
        <v>2</v>
      </c>
      <c r="CN6" s="11">
        <f t="array" ref="CN6">MATCH(MAX(ABS(CN3:CN5)), ABS(CN3:CN5), 0)</f>
        <v>3</v>
      </c>
      <c r="CO6" s="11">
        <f t="array" ref="CO6">MATCH(MAX(ABS(CO3:CO5)), ABS(CO3:CO5), 0)</f>
        <v>2</v>
      </c>
      <c r="CP6" s="11">
        <f t="array" ref="CP6">MATCH(MAX(ABS(CP3:CP5)), ABS(CP3:CP5), 0)</f>
        <v>1</v>
      </c>
      <c r="CQ6" s="11">
        <f t="array" ref="CQ6">MATCH(MAX(ABS(CQ3:CQ5)), ABS(CQ3:CQ5), 0)</f>
        <v>3</v>
      </c>
      <c r="CR6" s="11">
        <f t="array" ref="CR6">MATCH(MAX(ABS(CR3:CR5)), ABS(CR3:CR5), 0)</f>
        <v>3</v>
      </c>
      <c r="CS6" s="11">
        <f t="array" ref="CS6">MATCH(MAX(ABS(CS3:CS5)), ABS(CS3:CS5), 0)</f>
        <v>3</v>
      </c>
      <c r="CT6" s="11">
        <f t="array" ref="CT6">MATCH(MAX(ABS(CT3:CT5)), ABS(CT3:CT5), 0)</f>
        <v>2</v>
      </c>
      <c r="CU6" s="11">
        <f t="array" ref="CU6">MATCH(MAX(ABS(CU3:CU5)), ABS(CU3:CU5), 0)</f>
        <v>3</v>
      </c>
      <c r="CV6" s="11">
        <f t="array" ref="CV6">MATCH(MAX(ABS(CV3:CV5)), ABS(CV3:CV5), 0)</f>
        <v>3</v>
      </c>
      <c r="CW6" s="11">
        <f t="array" ref="CW6">MATCH(MAX(ABS(CW3:CW5)), ABS(CW3:CW5), 0)</f>
        <v>3</v>
      </c>
      <c r="CX6" s="11">
        <f t="array" ref="CX6">MATCH(MAX(ABS(CX3:CX5)), ABS(CX3:CX5), 0)</f>
        <v>1</v>
      </c>
      <c r="CY6" s="11">
        <f t="array" ref="CY6">MATCH(MAX(ABS(CY3:CY5)), ABS(CY3:CY5), 0)</f>
        <v>2</v>
      </c>
      <c r="CZ6" s="11">
        <f t="array" ref="CZ6">MATCH(MAX(ABS(CZ3:CZ5)), ABS(CZ3:CZ5), 0)</f>
        <v>1</v>
      </c>
      <c r="DA6" s="11">
        <f t="array" ref="DA6">MATCH(MAX(ABS(DA3:DA5)), ABS(DA3:DA5), 0)</f>
        <v>2</v>
      </c>
      <c r="DB6" s="11">
        <f t="array" ref="DB6">MATCH(MAX(ABS(DB3:DB5)), ABS(DB3:DB5), 0)</f>
        <v>2</v>
      </c>
      <c r="DC6" s="11">
        <f t="array" ref="DC6">MATCH(MAX(ABS(DC3:DC5)), ABS(DC3:DC5), 0)</f>
        <v>1</v>
      </c>
      <c r="DD6" s="11">
        <f t="array" ref="DD6">MATCH(MAX(ABS(DD3:DD5)), ABS(DD3:DD5), 0)</f>
        <v>3</v>
      </c>
      <c r="DE6" s="11">
        <f t="array" ref="DE6">MATCH(MAX(ABS(DE3:DE5)), ABS(DE3:DE5), 0)</f>
        <v>3</v>
      </c>
      <c r="DF6" s="11">
        <f t="array" ref="DF6">MATCH(MAX(ABS(DF3:DF5)), ABS(DF3:DF5), 0)</f>
        <v>2</v>
      </c>
      <c r="DG6" s="11">
        <f t="array" ref="DG6">MATCH(MAX(ABS(DG3:DG5)), ABS(DG3:DG5), 0)</f>
        <v>2</v>
      </c>
      <c r="DH6" s="11">
        <f t="array" ref="DH6">MATCH(MAX(ABS(DH3:DH5)), ABS(DH3:DH5), 0)</f>
        <v>2</v>
      </c>
      <c r="DI6" s="11">
        <f t="array" ref="DI6">MATCH(MAX(ABS(DI3:DI5)), ABS(DI3:DI5), 0)</f>
        <v>2</v>
      </c>
      <c r="DJ6" s="11">
        <f t="array" ref="DJ6">MATCH(MAX(ABS(DJ3:DJ5)), ABS(DJ3:DJ5), 0)</f>
        <v>3</v>
      </c>
      <c r="DK6" s="11">
        <f t="array" ref="DK6">MATCH(MAX(ABS(DK3:DK5)), ABS(DK3:DK5), 0)</f>
        <v>2</v>
      </c>
      <c r="DL6" s="11">
        <f t="array" ref="DL6">MATCH(MAX(ABS(DL3:DL5)), ABS(DL3:DL5), 0)</f>
        <v>3</v>
      </c>
      <c r="DM6" s="11">
        <f t="array" ref="DM6">MATCH(MAX(ABS(DM3:DM5)), ABS(DM3:DM5), 0)</f>
        <v>2</v>
      </c>
      <c r="DN6" s="11">
        <f t="array" ref="DN6">MATCH(MAX(ABS(DN3:DN5)), ABS(DN3:DN5), 0)</f>
        <v>1</v>
      </c>
      <c r="DO6" s="11">
        <f t="array" ref="DO6">MATCH(MAX(ABS(DO3:DO5)), ABS(DO3:DO5), 0)</f>
        <v>2</v>
      </c>
      <c r="DP6" s="11">
        <f t="array" ref="DP6">MATCH(MAX(ABS(DP3:DP5)), ABS(DP3:DP5), 0)</f>
        <v>3</v>
      </c>
      <c r="DQ6" s="11">
        <f t="array" ref="DQ6">MATCH(MAX(ABS(DQ3:DQ5)), ABS(DQ3:DQ5), 0)</f>
        <v>3</v>
      </c>
      <c r="DR6" s="11">
        <f t="array" ref="DR6">MATCH(MAX(ABS(DR3:DR5)), ABS(DR3:DR5), 0)</f>
        <v>1</v>
      </c>
      <c r="DS6" s="11">
        <f t="array" ref="DS6">MATCH(MAX(ABS(DS3:DS5)), ABS(DS3:DS5), 0)</f>
        <v>2</v>
      </c>
      <c r="DT6" s="11">
        <f t="array" ref="DT6">MATCH(MAX(ABS(DT3:DT5)), ABS(DT3:DT5), 0)</f>
        <v>3</v>
      </c>
      <c r="DU6" s="11">
        <f t="array" ref="DU6">MATCH(MAX(ABS(DU3:DU5)), ABS(DU3:DU5), 0)</f>
        <v>2</v>
      </c>
      <c r="DV6" s="11">
        <f t="array" ref="DV6">MATCH(MAX(ABS(DV3:DV5)), ABS(DV3:DV5), 0)</f>
        <v>1</v>
      </c>
      <c r="DW6" s="11">
        <f t="array" ref="DW6">MATCH(MAX(ABS(DW3:DW5)), ABS(DW3:DW5), 0)</f>
        <v>2</v>
      </c>
      <c r="DX6" s="11">
        <f t="array" ref="DX6">MATCH(MAX(ABS(DX3:DX5)), ABS(DX3:DX5), 0)</f>
        <v>1</v>
      </c>
      <c r="DY6" s="11">
        <f t="array" ref="DY6">MATCH(MAX(ABS(DY3:DY5)), ABS(DY3:DY5), 0)</f>
        <v>2</v>
      </c>
      <c r="DZ6" s="11">
        <f t="array" ref="DZ6">MATCH(MAX(ABS(DZ3:DZ5)), ABS(DZ3:DZ5), 0)</f>
        <v>2</v>
      </c>
      <c r="EA6" s="11">
        <f t="array" ref="EA6">MATCH(MAX(ABS(EA3:EA5)), ABS(EA3:EA5), 0)</f>
        <v>3</v>
      </c>
      <c r="EB6" s="11">
        <f t="array" ref="EB6">MATCH(MAX(ABS(EB3:EB5)), ABS(EB3:EB5), 0)</f>
        <v>3</v>
      </c>
      <c r="EC6" s="11">
        <f t="array" ref="EC6">MATCH(MAX(ABS(EC3:EC5)), ABS(EC3:EC5), 0)</f>
        <v>1</v>
      </c>
      <c r="ED6" s="11">
        <f t="array" ref="ED6">MATCH(MAX(ABS(ED3:ED5)), ABS(ED3:ED5), 0)</f>
        <v>1</v>
      </c>
      <c r="EE6" s="11">
        <f t="array" ref="EE6">MATCH(MAX(ABS(EE3:EE5)), ABS(EE3:EE5), 0)</f>
        <v>2</v>
      </c>
      <c r="EF6" s="11">
        <f t="array" ref="EF6">MATCH(MAX(ABS(EF3:EF5)), ABS(EF3:EF5), 0)</f>
        <v>2</v>
      </c>
      <c r="EG6" s="11">
        <f t="array" ref="EG6">MATCH(MAX(ABS(EG3:EG5)), ABS(EG3:EG5), 0)</f>
        <v>2</v>
      </c>
    </row>
    <row r="7" spans="1:139" x14ac:dyDescent="0.3">
      <c r="C7" s="11" t="str">
        <f t="shared" ref="C7:BN7" si="0">IF(C6=1,"bm",IF(C6=2,"size",IF(C6=3,"mom")))</f>
        <v>size</v>
      </c>
      <c r="D7" s="11" t="str">
        <f t="shared" si="0"/>
        <v>size</v>
      </c>
      <c r="E7" s="11" t="str">
        <f t="shared" si="0"/>
        <v>size</v>
      </c>
      <c r="F7" s="11" t="str">
        <f t="shared" si="0"/>
        <v>mom</v>
      </c>
      <c r="G7" s="11" t="str">
        <f t="shared" si="0"/>
        <v>mom</v>
      </c>
      <c r="H7" s="11" t="str">
        <f t="shared" si="0"/>
        <v>size</v>
      </c>
      <c r="I7" s="11" t="str">
        <f t="shared" si="0"/>
        <v>bm</v>
      </c>
      <c r="J7" s="11" t="str">
        <f t="shared" si="0"/>
        <v>bm</v>
      </c>
      <c r="K7" s="11" t="str">
        <f t="shared" si="0"/>
        <v>mom</v>
      </c>
      <c r="L7" s="11" t="str">
        <f t="shared" si="0"/>
        <v>size</v>
      </c>
      <c r="M7" s="11" t="str">
        <f t="shared" si="0"/>
        <v>mom</v>
      </c>
      <c r="N7" s="11" t="str">
        <f t="shared" si="0"/>
        <v>size</v>
      </c>
      <c r="O7" s="11" t="str">
        <f t="shared" si="0"/>
        <v>mom</v>
      </c>
      <c r="P7" s="11" t="str">
        <f t="shared" si="0"/>
        <v>bm</v>
      </c>
      <c r="Q7" s="11" t="str">
        <f t="shared" si="0"/>
        <v>bm</v>
      </c>
      <c r="R7" s="11" t="str">
        <f t="shared" si="0"/>
        <v>bm</v>
      </c>
      <c r="S7" s="11" t="str">
        <f t="shared" si="0"/>
        <v>bm</v>
      </c>
      <c r="T7" s="11" t="str">
        <f t="shared" si="0"/>
        <v>mom</v>
      </c>
      <c r="U7" s="11" t="str">
        <f t="shared" si="0"/>
        <v>bm</v>
      </c>
      <c r="V7" s="11" t="str">
        <f t="shared" si="0"/>
        <v>bm</v>
      </c>
      <c r="W7" s="11" t="str">
        <f t="shared" si="0"/>
        <v>size</v>
      </c>
      <c r="X7" s="11" t="str">
        <f t="shared" si="0"/>
        <v>mom</v>
      </c>
      <c r="Y7" s="11" t="str">
        <f t="shared" si="0"/>
        <v>bm</v>
      </c>
      <c r="Z7" s="11" t="str">
        <f t="shared" si="0"/>
        <v>bm</v>
      </c>
      <c r="AA7" s="11" t="str">
        <f t="shared" si="0"/>
        <v>mom</v>
      </c>
      <c r="AB7" s="11" t="str">
        <f t="shared" si="0"/>
        <v>bm</v>
      </c>
      <c r="AC7" s="11" t="str">
        <f t="shared" si="0"/>
        <v>mom</v>
      </c>
      <c r="AD7" s="11" t="str">
        <f t="shared" si="0"/>
        <v>size</v>
      </c>
      <c r="AE7" s="11" t="str">
        <f t="shared" si="0"/>
        <v>mom</v>
      </c>
      <c r="AF7" s="11" t="str">
        <f t="shared" si="0"/>
        <v>mom</v>
      </c>
      <c r="AG7" s="11" t="str">
        <f t="shared" si="0"/>
        <v>bm</v>
      </c>
      <c r="AH7" s="11" t="str">
        <f t="shared" si="0"/>
        <v>bm</v>
      </c>
      <c r="AI7" s="11" t="str">
        <f t="shared" si="0"/>
        <v>size</v>
      </c>
      <c r="AJ7" s="11" t="str">
        <f t="shared" si="0"/>
        <v>bm</v>
      </c>
      <c r="AK7" s="11" t="str">
        <f t="shared" si="0"/>
        <v>bm</v>
      </c>
      <c r="AL7" s="11" t="str">
        <f t="shared" si="0"/>
        <v>size</v>
      </c>
      <c r="AM7" s="11" t="str">
        <f t="shared" si="0"/>
        <v>bm</v>
      </c>
      <c r="AN7" s="11" t="str">
        <f t="shared" si="0"/>
        <v>bm</v>
      </c>
      <c r="AO7" s="11" t="str">
        <f t="shared" si="0"/>
        <v>mom</v>
      </c>
      <c r="AP7" s="11" t="str">
        <f t="shared" si="0"/>
        <v>bm</v>
      </c>
      <c r="AQ7" s="11" t="str">
        <f t="shared" si="0"/>
        <v>size</v>
      </c>
      <c r="AR7" s="11" t="str">
        <f t="shared" si="0"/>
        <v>size</v>
      </c>
      <c r="AS7" s="11" t="str">
        <f t="shared" si="0"/>
        <v>mom</v>
      </c>
      <c r="AT7" s="11" t="str">
        <f t="shared" si="0"/>
        <v>mom</v>
      </c>
      <c r="AU7" s="11" t="str">
        <f t="shared" si="0"/>
        <v>size</v>
      </c>
      <c r="AV7" s="11" t="str">
        <f t="shared" si="0"/>
        <v>mom</v>
      </c>
      <c r="AW7" s="11" t="str">
        <f t="shared" si="0"/>
        <v>mom</v>
      </c>
      <c r="AX7" s="11" t="str">
        <f t="shared" si="0"/>
        <v>mom</v>
      </c>
      <c r="AY7" s="11" t="str">
        <f t="shared" si="0"/>
        <v>bm</v>
      </c>
      <c r="AZ7" s="11" t="str">
        <f t="shared" si="0"/>
        <v>size</v>
      </c>
      <c r="BA7" s="11" t="str">
        <f t="shared" si="0"/>
        <v>size</v>
      </c>
      <c r="BB7" s="11" t="str">
        <f t="shared" si="0"/>
        <v>mom</v>
      </c>
      <c r="BC7" s="11" t="str">
        <f t="shared" si="0"/>
        <v>mom</v>
      </c>
      <c r="BD7" s="11" t="str">
        <f t="shared" si="0"/>
        <v>size</v>
      </c>
      <c r="BE7" s="11" t="str">
        <f t="shared" si="0"/>
        <v>mom</v>
      </c>
      <c r="BF7" s="11" t="str">
        <f t="shared" si="0"/>
        <v>mom</v>
      </c>
      <c r="BG7" s="11" t="str">
        <f t="shared" si="0"/>
        <v>mom</v>
      </c>
      <c r="BH7" s="11" t="str">
        <f t="shared" si="0"/>
        <v>mom</v>
      </c>
      <c r="BI7" s="11" t="str">
        <f t="shared" si="0"/>
        <v>bm</v>
      </c>
      <c r="BJ7" s="11" t="str">
        <f t="shared" si="0"/>
        <v>size</v>
      </c>
      <c r="BK7" s="11" t="str">
        <f t="shared" si="0"/>
        <v>size</v>
      </c>
      <c r="BL7" s="11" t="str">
        <f t="shared" si="0"/>
        <v>mom</v>
      </c>
      <c r="BM7" s="11" t="str">
        <f t="shared" si="0"/>
        <v>mom</v>
      </c>
      <c r="BN7" s="11" t="str">
        <f t="shared" si="0"/>
        <v>size</v>
      </c>
      <c r="BO7" s="11" t="str">
        <f t="shared" ref="BO7:DZ7" si="1">IF(BO6=1,"bm",IF(BO6=2,"size",IF(BO6=3,"mom")))</f>
        <v>bm</v>
      </c>
      <c r="BP7" s="11" t="str">
        <f t="shared" si="1"/>
        <v>size</v>
      </c>
      <c r="BQ7" s="11" t="str">
        <f t="shared" si="1"/>
        <v>bm</v>
      </c>
      <c r="BR7" s="11" t="str">
        <f t="shared" si="1"/>
        <v>mom</v>
      </c>
      <c r="BS7" s="11" t="str">
        <f t="shared" si="1"/>
        <v>mom</v>
      </c>
      <c r="BT7" s="11" t="str">
        <f t="shared" si="1"/>
        <v>size</v>
      </c>
      <c r="BU7" s="11" t="str">
        <f t="shared" si="1"/>
        <v>size</v>
      </c>
      <c r="BV7" s="11" t="str">
        <f t="shared" si="1"/>
        <v>mom</v>
      </c>
      <c r="BW7" s="11" t="str">
        <f t="shared" si="1"/>
        <v>mom</v>
      </c>
      <c r="BX7" s="11" t="str">
        <f t="shared" si="1"/>
        <v>size</v>
      </c>
      <c r="BY7" s="11" t="str">
        <f t="shared" si="1"/>
        <v>mom</v>
      </c>
      <c r="BZ7" s="11" t="str">
        <f t="shared" si="1"/>
        <v>bm</v>
      </c>
      <c r="CA7" s="11" t="str">
        <f t="shared" si="1"/>
        <v>bm</v>
      </c>
      <c r="CB7" s="11" t="str">
        <f t="shared" si="1"/>
        <v>size</v>
      </c>
      <c r="CC7" s="11" t="str">
        <f t="shared" si="1"/>
        <v>size</v>
      </c>
      <c r="CD7" s="11" t="str">
        <f t="shared" si="1"/>
        <v>bm</v>
      </c>
      <c r="CE7" s="11" t="str">
        <f t="shared" si="1"/>
        <v>size</v>
      </c>
      <c r="CF7" s="11" t="str">
        <f t="shared" si="1"/>
        <v>bm</v>
      </c>
      <c r="CG7" s="11" t="str">
        <f t="shared" si="1"/>
        <v>mom</v>
      </c>
      <c r="CH7" s="11" t="str">
        <f t="shared" si="1"/>
        <v>bm</v>
      </c>
      <c r="CI7" s="11" t="str">
        <f t="shared" si="1"/>
        <v>bm</v>
      </c>
      <c r="CJ7" s="11" t="str">
        <f t="shared" si="1"/>
        <v>mom</v>
      </c>
      <c r="CK7" s="11" t="str">
        <f t="shared" si="1"/>
        <v>mom</v>
      </c>
      <c r="CL7" s="11" t="str">
        <f t="shared" si="1"/>
        <v>bm</v>
      </c>
      <c r="CM7" s="11" t="str">
        <f t="shared" si="1"/>
        <v>size</v>
      </c>
      <c r="CN7" s="11" t="str">
        <f t="shared" si="1"/>
        <v>mom</v>
      </c>
      <c r="CO7" s="11" t="str">
        <f t="shared" si="1"/>
        <v>size</v>
      </c>
      <c r="CP7" s="11" t="str">
        <f t="shared" si="1"/>
        <v>bm</v>
      </c>
      <c r="CQ7" s="11" t="str">
        <f t="shared" si="1"/>
        <v>mom</v>
      </c>
      <c r="CR7" s="11" t="str">
        <f t="shared" si="1"/>
        <v>mom</v>
      </c>
      <c r="CS7" s="11" t="str">
        <f t="shared" si="1"/>
        <v>mom</v>
      </c>
      <c r="CT7" s="11" t="str">
        <f t="shared" si="1"/>
        <v>size</v>
      </c>
      <c r="CU7" s="11" t="str">
        <f t="shared" si="1"/>
        <v>mom</v>
      </c>
      <c r="CV7" s="11" t="str">
        <f t="shared" si="1"/>
        <v>mom</v>
      </c>
      <c r="CW7" s="11" t="str">
        <f t="shared" si="1"/>
        <v>mom</v>
      </c>
      <c r="CX7" s="11" t="str">
        <f t="shared" si="1"/>
        <v>bm</v>
      </c>
      <c r="CY7" s="11" t="str">
        <f t="shared" si="1"/>
        <v>size</v>
      </c>
      <c r="CZ7" s="11" t="str">
        <f t="shared" si="1"/>
        <v>bm</v>
      </c>
      <c r="DA7" s="11" t="str">
        <f t="shared" si="1"/>
        <v>size</v>
      </c>
      <c r="DB7" s="11" t="str">
        <f t="shared" si="1"/>
        <v>size</v>
      </c>
      <c r="DC7" s="11" t="str">
        <f t="shared" si="1"/>
        <v>bm</v>
      </c>
      <c r="DD7" s="11" t="str">
        <f t="shared" si="1"/>
        <v>mom</v>
      </c>
      <c r="DE7" s="11" t="str">
        <f t="shared" si="1"/>
        <v>mom</v>
      </c>
      <c r="DF7" s="11" t="str">
        <f t="shared" si="1"/>
        <v>size</v>
      </c>
      <c r="DG7" s="11" t="str">
        <f t="shared" si="1"/>
        <v>size</v>
      </c>
      <c r="DH7" s="11" t="str">
        <f t="shared" si="1"/>
        <v>size</v>
      </c>
      <c r="DI7" s="11" t="str">
        <f t="shared" si="1"/>
        <v>size</v>
      </c>
      <c r="DJ7" s="11" t="str">
        <f t="shared" si="1"/>
        <v>mom</v>
      </c>
      <c r="DK7" s="11" t="str">
        <f t="shared" si="1"/>
        <v>size</v>
      </c>
      <c r="DL7" s="11" t="str">
        <f t="shared" si="1"/>
        <v>mom</v>
      </c>
      <c r="DM7" s="11" t="str">
        <f t="shared" si="1"/>
        <v>size</v>
      </c>
      <c r="DN7" s="11" t="str">
        <f t="shared" si="1"/>
        <v>bm</v>
      </c>
      <c r="DO7" s="11" t="str">
        <f t="shared" si="1"/>
        <v>size</v>
      </c>
      <c r="DP7" s="11" t="str">
        <f t="shared" si="1"/>
        <v>mom</v>
      </c>
      <c r="DQ7" s="11" t="str">
        <f t="shared" si="1"/>
        <v>mom</v>
      </c>
      <c r="DR7" s="11" t="str">
        <f t="shared" si="1"/>
        <v>bm</v>
      </c>
      <c r="DS7" s="11" t="str">
        <f t="shared" si="1"/>
        <v>size</v>
      </c>
      <c r="DT7" s="11" t="str">
        <f t="shared" si="1"/>
        <v>mom</v>
      </c>
      <c r="DU7" s="11" t="str">
        <f t="shared" si="1"/>
        <v>size</v>
      </c>
      <c r="DV7" s="11" t="str">
        <f t="shared" si="1"/>
        <v>bm</v>
      </c>
      <c r="DW7" s="11" t="str">
        <f t="shared" si="1"/>
        <v>size</v>
      </c>
      <c r="DX7" s="11" t="str">
        <f t="shared" si="1"/>
        <v>bm</v>
      </c>
      <c r="DY7" s="11" t="str">
        <f t="shared" si="1"/>
        <v>size</v>
      </c>
      <c r="DZ7" s="11" t="str">
        <f t="shared" si="1"/>
        <v>size</v>
      </c>
      <c r="EA7" s="11" t="str">
        <f t="shared" ref="EA7:EG7" si="2">IF(EA6=1,"bm",IF(EA6=2,"size",IF(EA6=3,"mom")))</f>
        <v>mom</v>
      </c>
      <c r="EB7" s="11" t="str">
        <f t="shared" si="2"/>
        <v>mom</v>
      </c>
      <c r="EC7" s="11" t="str">
        <f t="shared" si="2"/>
        <v>bm</v>
      </c>
      <c r="ED7" s="11" t="str">
        <f t="shared" si="2"/>
        <v>bm</v>
      </c>
      <c r="EE7" s="11" t="str">
        <f t="shared" si="2"/>
        <v>size</v>
      </c>
      <c r="EF7" s="11" t="str">
        <f t="shared" si="2"/>
        <v>size</v>
      </c>
      <c r="EG7" s="11" t="str">
        <f t="shared" si="2"/>
        <v>size</v>
      </c>
    </row>
    <row r="8" spans="1:139" x14ac:dyDescent="0.3">
      <c r="C8" s="11">
        <f t="shared" ref="C8:BN8" si="3">IF(C6=1,C3,IF(C6=2,C4,IF(C6=3,C5)))</f>
        <v>-0.24758869999999999</v>
      </c>
      <c r="D8" s="11">
        <f t="shared" si="3"/>
        <v>-0.27469329999999997</v>
      </c>
      <c r="E8" s="11">
        <f t="shared" si="3"/>
        <v>-8.4648399999999999E-2</v>
      </c>
      <c r="F8" s="11">
        <f t="shared" si="3"/>
        <v>-8.7690000000000004E-2</v>
      </c>
      <c r="G8" s="11">
        <f t="shared" si="3"/>
        <v>0.102759</v>
      </c>
      <c r="H8" s="11">
        <f t="shared" si="3"/>
        <v>-0.1007596</v>
      </c>
      <c r="I8" s="11">
        <f t="shared" si="3"/>
        <v>0.18325177000000001</v>
      </c>
      <c r="J8" s="11">
        <f t="shared" si="3"/>
        <v>0.11648631</v>
      </c>
      <c r="K8" s="11">
        <f t="shared" si="3"/>
        <v>7.7257999999999993E-2</v>
      </c>
      <c r="L8" s="11">
        <f t="shared" si="3"/>
        <v>8.8406789999999999E-2</v>
      </c>
      <c r="M8" s="11">
        <f t="shared" si="3"/>
        <v>5.3601999999999997E-2</v>
      </c>
      <c r="N8" s="11">
        <f t="shared" si="3"/>
        <v>-0.21221799999999999</v>
      </c>
      <c r="O8" s="11">
        <f t="shared" si="3"/>
        <v>6.4930000000000002E-2</v>
      </c>
      <c r="P8" s="11">
        <f t="shared" si="3"/>
        <v>-9.1792299999999993E-2</v>
      </c>
      <c r="Q8" s="11">
        <f t="shared" si="3"/>
        <v>-7.7409000000000006E-2</v>
      </c>
      <c r="R8" s="11">
        <f t="shared" si="3"/>
        <v>5.4776600000000002E-2</v>
      </c>
      <c r="S8" s="11">
        <f t="shared" si="3"/>
        <v>-0.12533440000000001</v>
      </c>
      <c r="T8" s="11">
        <f t="shared" si="3"/>
        <v>0.12918499999999999</v>
      </c>
      <c r="U8" s="11">
        <f t="shared" si="3"/>
        <v>-3.7770100000000001E-2</v>
      </c>
      <c r="V8" s="11">
        <f t="shared" si="3"/>
        <v>8.1183820000000004E-2</v>
      </c>
      <c r="W8" s="11">
        <f t="shared" si="3"/>
        <v>-0.14355299999999999</v>
      </c>
      <c r="X8" s="11">
        <f t="shared" si="3"/>
        <v>-0.29385</v>
      </c>
      <c r="Y8" s="11">
        <f t="shared" si="3"/>
        <v>-0.12536050000000001</v>
      </c>
      <c r="Z8" s="11">
        <f t="shared" si="3"/>
        <v>0.19195355</v>
      </c>
      <c r="AA8" s="11">
        <f t="shared" si="3"/>
        <v>9.8247000000000001E-2</v>
      </c>
      <c r="AB8" s="11">
        <f t="shared" si="3"/>
        <v>7.2897610000000002E-2</v>
      </c>
      <c r="AC8" s="11">
        <f t="shared" si="3"/>
        <v>-0.10369</v>
      </c>
      <c r="AD8" s="11">
        <f t="shared" si="3"/>
        <v>-6.5629699999999999E-2</v>
      </c>
      <c r="AE8" s="11">
        <f t="shared" si="3"/>
        <v>0.17560100000000001</v>
      </c>
      <c r="AF8" s="11">
        <f t="shared" si="3"/>
        <v>-0.15503</v>
      </c>
      <c r="AG8" s="11">
        <f t="shared" si="3"/>
        <v>0.13005884000000001</v>
      </c>
      <c r="AH8" s="11">
        <f t="shared" si="3"/>
        <v>0.11525639999999999</v>
      </c>
      <c r="AI8" s="11">
        <f t="shared" si="3"/>
        <v>-5.1034099999999999E-2</v>
      </c>
      <c r="AJ8" s="11">
        <f t="shared" si="3"/>
        <v>2.7999110000000001E-2</v>
      </c>
      <c r="AK8" s="11">
        <f t="shared" si="3"/>
        <v>0.14657042000000001</v>
      </c>
      <c r="AL8" s="11">
        <f t="shared" si="3"/>
        <v>-0.10644670000000001</v>
      </c>
      <c r="AM8" s="11">
        <f t="shared" si="3"/>
        <v>0.13137636999999999</v>
      </c>
      <c r="AN8" s="11">
        <f t="shared" si="3"/>
        <v>0.22143296000000001</v>
      </c>
      <c r="AO8" s="11">
        <f t="shared" si="3"/>
        <v>5.8502999999999999E-2</v>
      </c>
      <c r="AP8" s="11">
        <f t="shared" si="3"/>
        <v>-0.13716</v>
      </c>
      <c r="AQ8" s="11">
        <f t="shared" si="3"/>
        <v>2.9067490000000001E-2</v>
      </c>
      <c r="AR8" s="11">
        <f t="shared" si="3"/>
        <v>5.2635769999999998E-2</v>
      </c>
      <c r="AS8" s="11">
        <f t="shared" si="3"/>
        <v>3.9781999999999998E-2</v>
      </c>
      <c r="AT8" s="11">
        <f t="shared" si="3"/>
        <v>0.148456</v>
      </c>
      <c r="AU8" s="11">
        <f t="shared" si="3"/>
        <v>-0.15538440000000001</v>
      </c>
      <c r="AV8" s="11">
        <f t="shared" si="3"/>
        <v>0.138959</v>
      </c>
      <c r="AW8" s="11">
        <f t="shared" si="3"/>
        <v>5.9863E-2</v>
      </c>
      <c r="AX8" s="11">
        <f t="shared" si="3"/>
        <v>-0.14979000000000001</v>
      </c>
      <c r="AY8" s="11">
        <f t="shared" si="3"/>
        <v>7.6559569999999993E-2</v>
      </c>
      <c r="AZ8" s="11">
        <f t="shared" si="3"/>
        <v>-0.13412750000000001</v>
      </c>
      <c r="BA8" s="11">
        <f t="shared" si="3"/>
        <v>-0.1371115</v>
      </c>
      <c r="BB8" s="11">
        <f t="shared" si="3"/>
        <v>-0.14887</v>
      </c>
      <c r="BC8" s="11">
        <f t="shared" si="3"/>
        <v>6.0351000000000002E-2</v>
      </c>
      <c r="BD8" s="11">
        <f t="shared" si="3"/>
        <v>-0.1196019</v>
      </c>
      <c r="BE8" s="11">
        <f t="shared" si="3"/>
        <v>-0.14652000000000001</v>
      </c>
      <c r="BF8" s="11">
        <f t="shared" si="3"/>
        <v>-0.20876</v>
      </c>
      <c r="BG8" s="11">
        <f t="shared" si="3"/>
        <v>-0.20144000000000001</v>
      </c>
      <c r="BH8" s="11">
        <f t="shared" si="3"/>
        <v>-0.11805</v>
      </c>
      <c r="BI8" s="11">
        <f t="shared" si="3"/>
        <v>9.6912849999999995E-2</v>
      </c>
      <c r="BJ8" s="11">
        <f t="shared" si="3"/>
        <v>-0.1006008</v>
      </c>
      <c r="BK8" s="11">
        <f t="shared" si="3"/>
        <v>9.0490070000000006E-2</v>
      </c>
      <c r="BL8" s="11">
        <f t="shared" si="3"/>
        <v>-0.17126</v>
      </c>
      <c r="BM8" s="11">
        <f t="shared" si="3"/>
        <v>0.13291700000000001</v>
      </c>
      <c r="BN8" s="11">
        <f t="shared" si="3"/>
        <v>8.1345630000000002E-2</v>
      </c>
      <c r="BO8" s="11">
        <f t="shared" ref="BO8:DZ8" si="4">IF(BO6=1,BO3,IF(BO6=2,BO4,IF(BO6=3,BO5)))</f>
        <v>8.1418240000000003E-2</v>
      </c>
      <c r="BP8" s="11">
        <f t="shared" si="4"/>
        <v>0.10673487</v>
      </c>
      <c r="BQ8" s="11">
        <f t="shared" si="4"/>
        <v>6.8729570000000004E-2</v>
      </c>
      <c r="BR8" s="11">
        <f t="shared" si="4"/>
        <v>0.189827</v>
      </c>
      <c r="BS8" s="11">
        <f t="shared" si="4"/>
        <v>-9.7610000000000002E-2</v>
      </c>
      <c r="BT8" s="11">
        <f t="shared" si="4"/>
        <v>9.861222E-2</v>
      </c>
      <c r="BU8" s="11">
        <f t="shared" si="4"/>
        <v>0.12839854000000001</v>
      </c>
      <c r="BV8" s="11">
        <f t="shared" si="4"/>
        <v>-0.11674</v>
      </c>
      <c r="BW8" s="11">
        <f t="shared" si="4"/>
        <v>-0.14132</v>
      </c>
      <c r="BX8" s="11">
        <f t="shared" si="4"/>
        <v>-4.6890099999999997E-2</v>
      </c>
      <c r="BY8" s="11">
        <f t="shared" si="4"/>
        <v>0.13033600000000001</v>
      </c>
      <c r="BZ8" s="11">
        <f t="shared" si="4"/>
        <v>0.11330931</v>
      </c>
      <c r="CA8" s="11">
        <f t="shared" si="4"/>
        <v>-0.1073549</v>
      </c>
      <c r="CB8" s="11">
        <f t="shared" si="4"/>
        <v>-0.15782760000000001</v>
      </c>
      <c r="CC8" s="11">
        <f t="shared" si="4"/>
        <v>-7.1052599999999994E-2</v>
      </c>
      <c r="CD8" s="11">
        <f t="shared" si="4"/>
        <v>0.18837709</v>
      </c>
      <c r="CE8" s="11">
        <f t="shared" si="4"/>
        <v>-0.23678650000000001</v>
      </c>
      <c r="CF8" s="11">
        <f t="shared" si="4"/>
        <v>7.4872069999999999E-2</v>
      </c>
      <c r="CG8" s="11">
        <f t="shared" si="4"/>
        <v>-0.11821</v>
      </c>
      <c r="CH8" s="11">
        <f t="shared" si="4"/>
        <v>0.13602172000000001</v>
      </c>
      <c r="CI8" s="11">
        <f t="shared" si="4"/>
        <v>-9.3741000000000005E-2</v>
      </c>
      <c r="CJ8" s="11">
        <f t="shared" si="4"/>
        <v>0.23067299999999999</v>
      </c>
      <c r="CK8" s="11">
        <f t="shared" si="4"/>
        <v>0.13277900000000001</v>
      </c>
      <c r="CL8" s="11">
        <f t="shared" si="4"/>
        <v>0.26354578000000001</v>
      </c>
      <c r="CM8" s="11">
        <f t="shared" si="4"/>
        <v>0.17898859</v>
      </c>
      <c r="CN8" s="11">
        <f t="shared" si="4"/>
        <v>0.22348899999999999</v>
      </c>
      <c r="CO8" s="11">
        <f t="shared" si="4"/>
        <v>-0.13939019999999999</v>
      </c>
      <c r="CP8" s="11">
        <f t="shared" si="4"/>
        <v>0.13265561000000001</v>
      </c>
      <c r="CQ8" s="11">
        <f t="shared" si="4"/>
        <v>-0.20723</v>
      </c>
      <c r="CR8" s="11">
        <f t="shared" si="4"/>
        <v>-0.13486000000000001</v>
      </c>
      <c r="CS8" s="11">
        <f t="shared" si="4"/>
        <v>7.3008000000000003E-2</v>
      </c>
      <c r="CT8" s="11">
        <f t="shared" si="4"/>
        <v>-0.1130791</v>
      </c>
      <c r="CU8" s="11">
        <f t="shared" si="4"/>
        <v>-0.28688999999999998</v>
      </c>
      <c r="CV8" s="11">
        <f t="shared" si="4"/>
        <v>0.23073099999999999</v>
      </c>
      <c r="CW8" s="11">
        <f t="shared" si="4"/>
        <v>9.1076000000000004E-2</v>
      </c>
      <c r="CX8" s="11">
        <f t="shared" si="4"/>
        <v>0.13917409</v>
      </c>
      <c r="CY8" s="11">
        <f t="shared" si="4"/>
        <v>-9.6503500000000006E-2</v>
      </c>
      <c r="CZ8" s="11">
        <f t="shared" si="4"/>
        <v>0.21835291000000001</v>
      </c>
      <c r="DA8" s="11">
        <f t="shared" si="4"/>
        <v>-0.10996110000000001</v>
      </c>
      <c r="DB8" s="11">
        <f t="shared" si="4"/>
        <v>-0.1908205</v>
      </c>
      <c r="DC8" s="11">
        <f t="shared" si="4"/>
        <v>0.11395608</v>
      </c>
      <c r="DD8" s="11">
        <f t="shared" si="4"/>
        <v>-0.16450999999999999</v>
      </c>
      <c r="DE8" s="11">
        <f t="shared" si="4"/>
        <v>-0.11057</v>
      </c>
      <c r="DF8" s="11">
        <f t="shared" si="4"/>
        <v>-0.16687669999999999</v>
      </c>
      <c r="DG8" s="11">
        <f t="shared" si="4"/>
        <v>0.22243809</v>
      </c>
      <c r="DH8" s="11">
        <f t="shared" si="4"/>
        <v>-0.1442978</v>
      </c>
      <c r="DI8" s="11">
        <f t="shared" si="4"/>
        <v>-0.1196199</v>
      </c>
      <c r="DJ8" s="11">
        <f t="shared" si="4"/>
        <v>0.118802</v>
      </c>
      <c r="DK8" s="11">
        <f t="shared" si="4"/>
        <v>9.2855060000000003E-2</v>
      </c>
      <c r="DL8" s="11">
        <f t="shared" si="4"/>
        <v>7.1320999999999996E-2</v>
      </c>
      <c r="DM8" s="11">
        <f t="shared" si="4"/>
        <v>8.2732070000000005E-2</v>
      </c>
      <c r="DN8" s="11">
        <f t="shared" si="4"/>
        <v>0.10981299</v>
      </c>
      <c r="DO8" s="11">
        <f t="shared" si="4"/>
        <v>-9.8141999999999993E-2</v>
      </c>
      <c r="DP8" s="11">
        <f t="shared" si="4"/>
        <v>-0.23068</v>
      </c>
      <c r="DQ8" s="11">
        <f t="shared" si="4"/>
        <v>0.23818400000000001</v>
      </c>
      <c r="DR8" s="11">
        <f t="shared" si="4"/>
        <v>9.4328709999999996E-2</v>
      </c>
      <c r="DS8" s="11">
        <f t="shared" si="4"/>
        <v>-0.16103020000000001</v>
      </c>
      <c r="DT8" s="11">
        <f t="shared" si="4"/>
        <v>0.115106</v>
      </c>
      <c r="DU8" s="11">
        <f t="shared" si="4"/>
        <v>0.16407715</v>
      </c>
      <c r="DV8" s="11">
        <f t="shared" si="4"/>
        <v>0.13401742</v>
      </c>
      <c r="DW8" s="11">
        <f t="shared" si="4"/>
        <v>-0.1016452</v>
      </c>
      <c r="DX8" s="11">
        <f t="shared" si="4"/>
        <v>-0.1037732</v>
      </c>
      <c r="DY8" s="11">
        <f t="shared" si="4"/>
        <v>-0.10665669999999999</v>
      </c>
      <c r="DZ8" s="11">
        <f t="shared" si="4"/>
        <v>-6.9186600000000001E-2</v>
      </c>
      <c r="EA8" s="11">
        <f t="shared" ref="EA8:EG8" si="5">IF(EA6=1,EA3,IF(EA6=2,EA4,IF(EA6=3,EA5)))</f>
        <v>-0.29314000000000001</v>
      </c>
      <c r="EB8" s="11">
        <f t="shared" si="5"/>
        <v>-0.14097999999999999</v>
      </c>
      <c r="EC8" s="11">
        <f t="shared" si="5"/>
        <v>7.3988429999999994E-2</v>
      </c>
      <c r="ED8" s="11">
        <f t="shared" si="5"/>
        <v>-0.15737689999999999</v>
      </c>
      <c r="EE8" s="11">
        <f t="shared" si="5"/>
        <v>0.1576776</v>
      </c>
      <c r="EF8" s="11">
        <f t="shared" si="5"/>
        <v>-0.12717999999999999</v>
      </c>
      <c r="EG8" s="11">
        <f t="shared" si="5"/>
        <v>-0.15895948868776608</v>
      </c>
    </row>
    <row r="10" spans="1:139" x14ac:dyDescent="0.3">
      <c r="A10" s="22" t="s">
        <v>140</v>
      </c>
      <c r="B10" s="23"/>
      <c r="C10" s="1" t="s">
        <v>141</v>
      </c>
      <c r="D10" s="2">
        <v>964</v>
      </c>
    </row>
    <row r="11" spans="1:139" x14ac:dyDescent="0.3">
      <c r="A11" s="1" t="s">
        <v>142</v>
      </c>
      <c r="B11" s="1" t="s">
        <v>143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 t="s">
        <v>11</v>
      </c>
      <c r="L11" s="1" t="s">
        <v>12</v>
      </c>
      <c r="M11" s="1" t="s">
        <v>13</v>
      </c>
      <c r="N11" s="1" t="s">
        <v>14</v>
      </c>
      <c r="O11" s="1" t="s">
        <v>15</v>
      </c>
      <c r="P11" s="1" t="s">
        <v>16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  <c r="V11" s="1" t="s">
        <v>22</v>
      </c>
      <c r="W11" s="1" t="s">
        <v>23</v>
      </c>
      <c r="X11" s="1" t="s">
        <v>24</v>
      </c>
      <c r="Y11" s="1" t="s">
        <v>25</v>
      </c>
      <c r="Z11" s="1" t="s">
        <v>26</v>
      </c>
      <c r="AA11" s="1" t="s">
        <v>27</v>
      </c>
      <c r="AB11" s="1" t="s">
        <v>28</v>
      </c>
      <c r="AC11" s="1" t="s">
        <v>29</v>
      </c>
      <c r="AD11" s="1" t="s">
        <v>30</v>
      </c>
      <c r="AE11" s="1" t="s">
        <v>31</v>
      </c>
      <c r="AF11" s="1" t="s">
        <v>32</v>
      </c>
      <c r="AG11" s="1" t="s">
        <v>33</v>
      </c>
      <c r="AH11" s="1" t="s">
        <v>34</v>
      </c>
      <c r="AI11" s="1" t="s">
        <v>35</v>
      </c>
      <c r="AJ11" s="1" t="s">
        <v>36</v>
      </c>
      <c r="AK11" s="1" t="s">
        <v>37</v>
      </c>
      <c r="AL11" s="1" t="s">
        <v>38</v>
      </c>
      <c r="AM11" s="1" t="s">
        <v>39</v>
      </c>
      <c r="AN11" s="1" t="s">
        <v>40</v>
      </c>
      <c r="AO11" s="1" t="s">
        <v>41</v>
      </c>
      <c r="AP11" s="1" t="s">
        <v>42</v>
      </c>
      <c r="AQ11" s="1" t="s">
        <v>43</v>
      </c>
      <c r="AR11" s="1" t="s">
        <v>44</v>
      </c>
      <c r="AS11" s="1" t="s">
        <v>45</v>
      </c>
      <c r="AT11" s="1" t="s">
        <v>46</v>
      </c>
      <c r="AU11" s="1" t="s">
        <v>47</v>
      </c>
      <c r="AV11" s="1" t="s">
        <v>48</v>
      </c>
      <c r="AW11" s="1" t="s">
        <v>49</v>
      </c>
      <c r="AX11" s="1" t="s">
        <v>50</v>
      </c>
      <c r="AY11" s="1" t="s">
        <v>51</v>
      </c>
      <c r="AZ11" s="1" t="s">
        <v>52</v>
      </c>
      <c r="BA11" s="1" t="s">
        <v>53</v>
      </c>
      <c r="BB11" s="1" t="s">
        <v>54</v>
      </c>
      <c r="BC11" s="1" t="s">
        <v>55</v>
      </c>
      <c r="BD11" s="1" t="s">
        <v>56</v>
      </c>
      <c r="BE11" s="1" t="s">
        <v>57</v>
      </c>
      <c r="BF11" s="1" t="s">
        <v>58</v>
      </c>
      <c r="BG11" s="1" t="s">
        <v>59</v>
      </c>
      <c r="BH11" s="1" t="s">
        <v>60</v>
      </c>
      <c r="BI11" s="1" t="s">
        <v>61</v>
      </c>
      <c r="BJ11" s="1" t="s">
        <v>62</v>
      </c>
      <c r="BK11" s="1" t="s">
        <v>63</v>
      </c>
      <c r="BL11" s="1" t="s">
        <v>64</v>
      </c>
      <c r="BM11" s="1" t="s">
        <v>65</v>
      </c>
      <c r="BN11" s="1" t="s">
        <v>66</v>
      </c>
      <c r="BO11" s="1" t="s">
        <v>67</v>
      </c>
      <c r="BP11" s="1" t="s">
        <v>68</v>
      </c>
      <c r="BQ11" s="1" t="s">
        <v>69</v>
      </c>
      <c r="BR11" s="1" t="s">
        <v>70</v>
      </c>
      <c r="BS11" s="1" t="s">
        <v>71</v>
      </c>
      <c r="BT11" s="1" t="s">
        <v>72</v>
      </c>
      <c r="BU11" s="1" t="s">
        <v>73</v>
      </c>
      <c r="BV11" s="1" t="s">
        <v>74</v>
      </c>
      <c r="BW11" s="1" t="s">
        <v>75</v>
      </c>
      <c r="BX11" s="1" t="s">
        <v>76</v>
      </c>
      <c r="BY11" s="1" t="s">
        <v>77</v>
      </c>
      <c r="BZ11" s="1" t="s">
        <v>78</v>
      </c>
      <c r="CA11" s="1" t="s">
        <v>79</v>
      </c>
      <c r="CB11" s="1" t="s">
        <v>80</v>
      </c>
      <c r="CC11" s="1" t="s">
        <v>81</v>
      </c>
      <c r="CD11" s="1" t="s">
        <v>82</v>
      </c>
      <c r="CE11" s="1" t="s">
        <v>83</v>
      </c>
      <c r="CF11" s="1" t="s">
        <v>84</v>
      </c>
      <c r="CG11" s="1" t="s">
        <v>85</v>
      </c>
      <c r="CH11" s="1" t="s">
        <v>86</v>
      </c>
      <c r="CI11" s="1" t="s">
        <v>87</v>
      </c>
      <c r="CJ11" s="1" t="s">
        <v>88</v>
      </c>
      <c r="CK11" s="1" t="s">
        <v>89</v>
      </c>
      <c r="CL11" s="1" t="s">
        <v>90</v>
      </c>
      <c r="CM11" s="1" t="s">
        <v>91</v>
      </c>
      <c r="CN11" s="1" t="s">
        <v>92</v>
      </c>
      <c r="CO11" s="1" t="s">
        <v>93</v>
      </c>
      <c r="CP11" s="1" t="s">
        <v>94</v>
      </c>
      <c r="CQ11" s="1" t="s">
        <v>95</v>
      </c>
      <c r="CR11" s="1" t="s">
        <v>96</v>
      </c>
      <c r="CS11" s="1" t="s">
        <v>97</v>
      </c>
      <c r="CT11" s="1" t="s">
        <v>98</v>
      </c>
      <c r="CU11" s="1" t="s">
        <v>99</v>
      </c>
      <c r="CV11" s="1" t="s">
        <v>100</v>
      </c>
      <c r="CW11" s="1" t="s">
        <v>101</v>
      </c>
      <c r="CX11" s="1" t="s">
        <v>102</v>
      </c>
      <c r="CY11" s="1" t="s">
        <v>103</v>
      </c>
      <c r="CZ11" s="1" t="s">
        <v>104</v>
      </c>
      <c r="DA11" s="1" t="s">
        <v>105</v>
      </c>
      <c r="DB11" s="1" t="s">
        <v>106</v>
      </c>
      <c r="DC11" s="1" t="s">
        <v>107</v>
      </c>
      <c r="DD11" s="1" t="s">
        <v>108</v>
      </c>
      <c r="DE11" s="1" t="s">
        <v>109</v>
      </c>
      <c r="DF11" s="1" t="s">
        <v>110</v>
      </c>
      <c r="DG11" s="1" t="s">
        <v>111</v>
      </c>
      <c r="DH11" s="1" t="s">
        <v>112</v>
      </c>
      <c r="DI11" s="1" t="s">
        <v>113</v>
      </c>
      <c r="DJ11" s="1" t="s">
        <v>114</v>
      </c>
      <c r="DK11" s="1" t="s">
        <v>115</v>
      </c>
      <c r="DL11" s="1" t="s">
        <v>116</v>
      </c>
      <c r="DM11" s="1" t="s">
        <v>117</v>
      </c>
      <c r="DN11" s="1" t="s">
        <v>118</v>
      </c>
      <c r="DO11" s="1" t="s">
        <v>119</v>
      </c>
      <c r="DP11" s="1" t="s">
        <v>120</v>
      </c>
      <c r="DQ11" s="1" t="s">
        <v>121</v>
      </c>
      <c r="DR11" s="1" t="s">
        <v>122</v>
      </c>
      <c r="DS11" s="1" t="s">
        <v>123</v>
      </c>
      <c r="DT11" s="1" t="s">
        <v>124</v>
      </c>
      <c r="DU11" s="1" t="s">
        <v>125</v>
      </c>
      <c r="DV11" s="1" t="s">
        <v>126</v>
      </c>
      <c r="DW11" s="1" t="s">
        <v>127</v>
      </c>
      <c r="DX11" s="1" t="s">
        <v>128</v>
      </c>
      <c r="DY11" s="1" t="s">
        <v>129</v>
      </c>
      <c r="DZ11" s="1" t="s">
        <v>130</v>
      </c>
      <c r="EA11" s="1" t="s">
        <v>131</v>
      </c>
      <c r="EB11" s="1" t="s">
        <v>132</v>
      </c>
      <c r="EC11" s="1" t="s">
        <v>133</v>
      </c>
      <c r="ED11" s="1" t="s">
        <v>134</v>
      </c>
      <c r="EE11" s="1" t="s">
        <v>135</v>
      </c>
      <c r="EF11" s="1" t="s">
        <v>144</v>
      </c>
      <c r="EG11" s="20" t="s">
        <v>172</v>
      </c>
      <c r="EH11" s="20" t="s">
        <v>173</v>
      </c>
      <c r="EI11" s="20" t="s">
        <v>174</v>
      </c>
    </row>
    <row r="12" spans="1:139" x14ac:dyDescent="0.3">
      <c r="A12" s="1">
        <v>10</v>
      </c>
      <c r="B12" s="1">
        <v>96</v>
      </c>
      <c r="C12" s="11">
        <v>8.4653346747999555E-2</v>
      </c>
      <c r="D12" s="11">
        <v>0.11468862904522351</v>
      </c>
      <c r="E12" s="11">
        <v>4.802682338720253E-2</v>
      </c>
      <c r="F12" s="11">
        <v>5.5959384784458728E-2</v>
      </c>
      <c r="G12" s="11">
        <v>3.1947448518630461E-2</v>
      </c>
      <c r="H12" s="11">
        <v>3.8530512249887933E-2</v>
      </c>
      <c r="I12" s="11">
        <v>3.6303936849052011E-2</v>
      </c>
      <c r="J12" s="11">
        <v>4.3784578744871523E-2</v>
      </c>
      <c r="K12" s="11">
        <v>2.918799813369918E-2</v>
      </c>
      <c r="L12" s="11">
        <v>4.1890941049973679E-2</v>
      </c>
      <c r="M12" s="11">
        <v>2.688917383320695E-2</v>
      </c>
      <c r="N12" s="11">
        <v>6.9326986778352848E-2</v>
      </c>
      <c r="O12" s="11">
        <v>2.7914759067240381E-2</v>
      </c>
      <c r="P12" s="11">
        <v>2.1420421204462348E-2</v>
      </c>
      <c r="Q12" s="11">
        <v>3.3792784120907728E-2</v>
      </c>
      <c r="R12" s="11">
        <v>1.3397506239935729E-2</v>
      </c>
      <c r="S12" s="11">
        <v>7.1053897094607049E-2</v>
      </c>
      <c r="T12" s="11">
        <v>4.7867716345524697E-2</v>
      </c>
      <c r="U12" s="11">
        <v>2.0367220553130991E-2</v>
      </c>
      <c r="V12" s="11">
        <v>4.5029990802848717E-2</v>
      </c>
      <c r="W12" s="11">
        <v>6.4039414985380988E-2</v>
      </c>
      <c r="X12" s="11">
        <v>0.10964075134733541</v>
      </c>
      <c r="Y12" s="11">
        <v>1.6788377251816099E-2</v>
      </c>
      <c r="Z12" s="11">
        <v>6.362368331557397E-2</v>
      </c>
      <c r="AA12" s="11">
        <v>2.691847942081162E-2</v>
      </c>
      <c r="AB12" s="11">
        <v>3.4689110551478157E-2</v>
      </c>
      <c r="AC12" s="11">
        <v>4.6772945626311249E-2</v>
      </c>
      <c r="AD12" s="11">
        <v>9.3922433316797477E-3</v>
      </c>
      <c r="AE12" s="11">
        <v>4.6437716666984021E-2</v>
      </c>
      <c r="AF12" s="11">
        <v>5.2012102776767682E-2</v>
      </c>
      <c r="AG12" s="11">
        <v>2.998214493272441E-2</v>
      </c>
      <c r="AH12" s="11">
        <v>1.3405804649633229E-2</v>
      </c>
      <c r="AI12" s="11">
        <v>2.324645917886457E-2</v>
      </c>
      <c r="AJ12" s="11">
        <v>1.298374754605458E-2</v>
      </c>
      <c r="AK12" s="11">
        <v>4.8123704152134412E-2</v>
      </c>
      <c r="AL12" s="11">
        <v>3.4105621243576391E-2</v>
      </c>
      <c r="AM12" s="11">
        <v>3.0086115612597931E-2</v>
      </c>
      <c r="AN12" s="11">
        <v>6.9233234313428524E-2</v>
      </c>
      <c r="AO12" s="11">
        <v>1.499547084312732E-2</v>
      </c>
      <c r="AP12" s="11">
        <v>3.3718344781849152E-2</v>
      </c>
      <c r="AQ12" s="11">
        <v>6.6823427857980316E-3</v>
      </c>
      <c r="AR12" s="11">
        <v>7.5044280887600658E-3</v>
      </c>
      <c r="AS12" s="11">
        <v>1.9976272910371209E-2</v>
      </c>
      <c r="AT12" s="11">
        <v>7.2195382352435097E-2</v>
      </c>
      <c r="AU12" s="11">
        <v>6.3410262054371502E-2</v>
      </c>
      <c r="AV12" s="11">
        <v>5.3715630656719707E-2</v>
      </c>
      <c r="AW12" s="11">
        <v>1.7169704763403071E-2</v>
      </c>
      <c r="AX12" s="11">
        <v>4.4696011972897853E-2</v>
      </c>
      <c r="AY12" s="11">
        <v>2.4955293067673249E-2</v>
      </c>
      <c r="AZ12" s="11">
        <v>6.6563803179291892E-2</v>
      </c>
      <c r="BA12" s="11">
        <v>7.1276156280934935E-2</v>
      </c>
      <c r="BB12" s="11">
        <v>2.9036654569641791E-2</v>
      </c>
      <c r="BC12" s="11">
        <v>2.669096629233754E-2</v>
      </c>
      <c r="BD12" s="11">
        <v>4.9233621620970898E-2</v>
      </c>
      <c r="BE12" s="11">
        <v>3.5368545142518727E-2</v>
      </c>
      <c r="BF12" s="11">
        <v>6.7616949247695318E-2</v>
      </c>
      <c r="BG12" s="11">
        <v>4.6757753881283733E-2</v>
      </c>
      <c r="BH12" s="11">
        <v>3.5079589029917008E-2</v>
      </c>
      <c r="BI12" s="11">
        <v>5.002125303099076E-2</v>
      </c>
      <c r="BJ12" s="11">
        <v>4.3422499107672333E-2</v>
      </c>
      <c r="BK12" s="11">
        <v>2.0075652003278099E-2</v>
      </c>
      <c r="BL12" s="11">
        <v>3.2129098300494131E-2</v>
      </c>
      <c r="BM12" s="11">
        <v>5.030568452332447E-2</v>
      </c>
      <c r="BN12" s="11">
        <v>1.9502538210119671E-2</v>
      </c>
      <c r="BO12" s="11">
        <v>2.4246310256236889E-2</v>
      </c>
      <c r="BP12" s="11">
        <v>2.642195733416729E-2</v>
      </c>
      <c r="BQ12" s="11">
        <v>1.3896749618746689E-2</v>
      </c>
      <c r="BR12" s="11">
        <v>6.8693615147113224E-2</v>
      </c>
      <c r="BS12" s="11">
        <v>3.2642854888392712E-2</v>
      </c>
      <c r="BT12" s="11">
        <v>2.1288097232098721E-2</v>
      </c>
      <c r="BU12" s="11">
        <v>4.8083369576175698E-2</v>
      </c>
      <c r="BV12" s="11">
        <v>4.2282389085929989E-2</v>
      </c>
      <c r="BW12" s="11">
        <v>4.4477003891650199E-2</v>
      </c>
      <c r="BX12" s="11">
        <v>1.5984151640729919E-2</v>
      </c>
      <c r="BY12" s="11">
        <v>5.8929916357564061E-2</v>
      </c>
      <c r="BZ12" s="11">
        <v>4.5356945691272972E-2</v>
      </c>
      <c r="CA12" s="11">
        <v>3.4400287440342493E-2</v>
      </c>
      <c r="CB12" s="11">
        <v>7.2475876072179299E-2</v>
      </c>
      <c r="CC12" s="11">
        <v>6.5566612627689883E-2</v>
      </c>
      <c r="CD12" s="11">
        <v>0.1109336335844525</v>
      </c>
      <c r="CE12" s="11">
        <v>0.15400701288974189</v>
      </c>
      <c r="CF12" s="11">
        <v>2.776758341377213E-2</v>
      </c>
      <c r="CG12" s="11">
        <v>4.9277959963080598E-2</v>
      </c>
      <c r="CH12" s="11">
        <v>6.3297372377959904E-2</v>
      </c>
      <c r="CI12" s="11">
        <v>3.4655912412205718E-2</v>
      </c>
      <c r="CJ12" s="11">
        <v>5.4120066914195013E-2</v>
      </c>
      <c r="CK12" s="11">
        <v>5.6101440647790157E-2</v>
      </c>
      <c r="CL12" s="11">
        <v>0.1180156076696104</v>
      </c>
      <c r="CM12" s="11">
        <v>7.1708388017212202E-2</v>
      </c>
      <c r="CN12" s="11">
        <v>7.8465204010806394E-2</v>
      </c>
      <c r="CO12" s="11">
        <v>7.129224287359176E-2</v>
      </c>
      <c r="CP12" s="11">
        <v>4.5299021467493747E-2</v>
      </c>
      <c r="CQ12" s="11">
        <v>6.2684347003574781E-2</v>
      </c>
      <c r="CR12" s="11">
        <v>5.7159986521513537E-2</v>
      </c>
      <c r="CS12" s="11">
        <v>9.7857359485265666E-4</v>
      </c>
      <c r="CT12" s="11">
        <v>3.2114010608049227E-2</v>
      </c>
      <c r="CU12" s="11">
        <v>7.4779529281356727E-2</v>
      </c>
      <c r="CV12" s="11">
        <v>6.5033306495688795E-2</v>
      </c>
      <c r="CW12" s="11">
        <v>1.303666937857764E-2</v>
      </c>
      <c r="CX12" s="11">
        <v>6.098988253699178E-2</v>
      </c>
      <c r="CY12" s="11">
        <v>4.6072977665454977E-2</v>
      </c>
      <c r="CZ12" s="11">
        <v>7.7792327339500603E-2</v>
      </c>
      <c r="DA12" s="11">
        <v>3.6978661359195177E-2</v>
      </c>
      <c r="DB12" s="11">
        <v>8.8981816498044985E-2</v>
      </c>
      <c r="DC12" s="11">
        <v>3.3973202874774677E-2</v>
      </c>
      <c r="DD12" s="11">
        <v>6.9960545734343321E-2</v>
      </c>
      <c r="DE12" s="11">
        <v>2.473764441509502E-2</v>
      </c>
      <c r="DF12" s="11">
        <v>5.5485734082072982E-2</v>
      </c>
      <c r="DG12" s="11">
        <v>4.6409817779524638E-2</v>
      </c>
      <c r="DH12" s="11">
        <v>6.1195154788316941E-2</v>
      </c>
      <c r="DI12" s="11">
        <v>5.9749067779748727E-2</v>
      </c>
      <c r="DJ12" s="11">
        <v>4.1378042935671558E-2</v>
      </c>
      <c r="DK12" s="11">
        <v>3.1928199332595573E-2</v>
      </c>
      <c r="DL12" s="11">
        <v>1.8669833333803058E-2</v>
      </c>
      <c r="DM12" s="11">
        <v>1.9237693580560919E-2</v>
      </c>
      <c r="DN12" s="11">
        <v>4.2410365386064831E-2</v>
      </c>
      <c r="DO12" s="11">
        <v>3.055694210149083E-2</v>
      </c>
      <c r="DP12" s="11">
        <v>5.9408694556660431E-2</v>
      </c>
      <c r="DQ12" s="11">
        <v>7.454064748047276E-2</v>
      </c>
      <c r="DR12" s="11">
        <v>1.8778943279386909E-2</v>
      </c>
      <c r="DS12" s="11">
        <v>6.9650552069699723E-2</v>
      </c>
      <c r="DT12" s="11">
        <v>2.481384156258671E-2</v>
      </c>
      <c r="DU12" s="11">
        <v>5.7230283144308662E-2</v>
      </c>
      <c r="DV12" s="11">
        <v>4.8550824477530688E-2</v>
      </c>
      <c r="DW12" s="11">
        <v>4.4967834212525502E-2</v>
      </c>
      <c r="DX12" s="11">
        <v>5.0152080542361532E-2</v>
      </c>
      <c r="DY12" s="11">
        <v>5.3145310887610077E-2</v>
      </c>
      <c r="DZ12" s="11">
        <v>6.2271493484882473E-3</v>
      </c>
      <c r="EA12" s="11">
        <v>0.113127041749137</v>
      </c>
      <c r="EB12" s="11">
        <v>3.052577681784165E-2</v>
      </c>
      <c r="EC12" s="11">
        <v>2.6651509579665299E-2</v>
      </c>
      <c r="ED12" s="11">
        <v>6.050815280848415E-2</v>
      </c>
      <c r="EE12" s="11">
        <v>2.6506892161147658E-2</v>
      </c>
      <c r="EF12" s="11">
        <v>2.923376575523141E-2</v>
      </c>
      <c r="EG12" s="21">
        <f>AVERAGE(C12:EF12)</f>
        <v>4.5758334605182471E-2</v>
      </c>
      <c r="EH12" s="21">
        <f>STDEV(C12:EF12)</f>
        <v>2.5401547147727365E-2</v>
      </c>
      <c r="EI12" s="21">
        <f>EG12/EH12</f>
        <v>1.8013995107883181</v>
      </c>
    </row>
    <row r="13" spans="1:139" x14ac:dyDescent="0.3">
      <c r="A13" s="1">
        <v>20</v>
      </c>
      <c r="B13" s="1">
        <v>48</v>
      </c>
      <c r="C13" s="11">
        <v>0.104112750252762</v>
      </c>
      <c r="D13" s="11">
        <v>0.1237450287927723</v>
      </c>
      <c r="E13" s="11">
        <v>6.9861556352806456E-2</v>
      </c>
      <c r="F13" s="11">
        <v>5.9986526692922967E-2</v>
      </c>
      <c r="G13" s="11">
        <v>1.2047404300105931E-2</v>
      </c>
      <c r="H13" s="11">
        <v>2.9989631725721271E-2</v>
      </c>
      <c r="I13" s="11">
        <v>3.2682862984722338E-2</v>
      </c>
      <c r="J13" s="11">
        <v>3.4549891969644697E-2</v>
      </c>
      <c r="K13" s="11">
        <v>6.0326139227570137E-2</v>
      </c>
      <c r="L13" s="11">
        <v>6.0251612936536372E-3</v>
      </c>
      <c r="M13" s="11">
        <v>3.2797582260047169E-3</v>
      </c>
      <c r="N13" s="11">
        <v>9.9806916956670585E-2</v>
      </c>
      <c r="O13" s="11">
        <v>1.7422698810949939E-2</v>
      </c>
      <c r="P13" s="11">
        <v>2.0856913061405559E-2</v>
      </c>
      <c r="Q13" s="11">
        <v>4.4218264227970053E-2</v>
      </c>
      <c r="R13" s="11">
        <v>6.4899101760743979E-3</v>
      </c>
      <c r="S13" s="11">
        <v>0.1229152980035506</v>
      </c>
      <c r="T13" s="11">
        <v>7.4234081511722602E-2</v>
      </c>
      <c r="U13" s="11">
        <v>5.4161075041694179E-2</v>
      </c>
      <c r="V13" s="11">
        <v>5.2779738900233658E-2</v>
      </c>
      <c r="W13" s="11">
        <v>7.5476561860150226E-2</v>
      </c>
      <c r="X13" s="11">
        <v>0.1211277708527381</v>
      </c>
      <c r="Y13" s="11">
        <v>2.6471883217342521E-2</v>
      </c>
      <c r="Z13" s="11">
        <v>7.842443480518356E-2</v>
      </c>
      <c r="AA13" s="11">
        <v>4.7712648450258188E-2</v>
      </c>
      <c r="AB13" s="11">
        <v>4.6678220121377283E-2</v>
      </c>
      <c r="AC13" s="11">
        <v>6.6771700381929838E-2</v>
      </c>
      <c r="AD13" s="11">
        <v>2.1543689785275402E-2</v>
      </c>
      <c r="AE13" s="11">
        <v>7.7071416726800679E-2</v>
      </c>
      <c r="AF13" s="11">
        <v>7.3281160828311181E-2</v>
      </c>
      <c r="AG13" s="11">
        <v>3.1681783055002889E-2</v>
      </c>
      <c r="AH13" s="11">
        <v>9.6413392395163916E-3</v>
      </c>
      <c r="AI13" s="11">
        <v>1.9909910220413461E-2</v>
      </c>
      <c r="AJ13" s="11">
        <v>-1.628046998827572E-2</v>
      </c>
      <c r="AK13" s="11">
        <v>6.5987912810655996E-2</v>
      </c>
      <c r="AL13" s="11">
        <v>2.255035758653684E-2</v>
      </c>
      <c r="AM13" s="11">
        <v>4.6282443536828928E-2</v>
      </c>
      <c r="AN13" s="11">
        <v>0.10533023813603409</v>
      </c>
      <c r="AO13" s="11">
        <v>-1.7088466886353789E-3</v>
      </c>
      <c r="AP13" s="11">
        <v>5.9550840361997717E-2</v>
      </c>
      <c r="AQ13" s="11">
        <v>1.108299446312281E-2</v>
      </c>
      <c r="AR13" s="11">
        <v>-9.2507324832761875E-3</v>
      </c>
      <c r="AS13" s="11">
        <v>2.340496354159733E-2</v>
      </c>
      <c r="AT13" s="11">
        <v>8.6422914727599456E-2</v>
      </c>
      <c r="AU13" s="11">
        <v>7.6784333628374363E-2</v>
      </c>
      <c r="AV13" s="11">
        <v>7.9665975648470139E-2</v>
      </c>
      <c r="AW13" s="11">
        <v>2.682123797038095E-2</v>
      </c>
      <c r="AX13" s="11">
        <v>3.2799832135855793E-2</v>
      </c>
      <c r="AY13" s="11">
        <v>1.756434634862496E-2</v>
      </c>
      <c r="AZ13" s="11">
        <v>5.5449775955565078E-2</v>
      </c>
      <c r="BA13" s="11">
        <v>7.9829120343788335E-2</v>
      </c>
      <c r="BB13" s="11">
        <v>2.2547400974778999E-2</v>
      </c>
      <c r="BC13" s="11">
        <v>1.9110867274842121E-2</v>
      </c>
      <c r="BD13" s="11">
        <v>4.1676313746669753E-2</v>
      </c>
      <c r="BE13" s="11">
        <v>4.3773789385783142E-2</v>
      </c>
      <c r="BF13" s="11">
        <v>0.1216571432659557</v>
      </c>
      <c r="BG13" s="11">
        <v>8.8397545856320814E-2</v>
      </c>
      <c r="BH13" s="11">
        <v>4.1023656192191983E-2</v>
      </c>
      <c r="BI13" s="11">
        <v>5.2409132456701382E-2</v>
      </c>
      <c r="BJ13" s="11">
        <v>5.1451918959922252E-2</v>
      </c>
      <c r="BK13" s="11">
        <v>2.5125773363192039E-2</v>
      </c>
      <c r="BL13" s="11">
        <v>3.4460040448450822E-2</v>
      </c>
      <c r="BM13" s="11">
        <v>5.3371768695190711E-2</v>
      </c>
      <c r="BN13" s="11">
        <v>-4.8576030584132172E-3</v>
      </c>
      <c r="BO13" s="11">
        <v>3.0878716233474109E-2</v>
      </c>
      <c r="BP13" s="11">
        <v>7.9511464177745989E-3</v>
      </c>
      <c r="BQ13" s="11">
        <v>4.1653063789425779E-2</v>
      </c>
      <c r="BR13" s="11">
        <v>7.9831456823332952E-2</v>
      </c>
      <c r="BS13" s="11">
        <v>4.0180514361416918E-2</v>
      </c>
      <c r="BT13" s="11">
        <v>3.3667769757919193E-2</v>
      </c>
      <c r="BU13" s="11">
        <v>7.4658168009773873E-2</v>
      </c>
      <c r="BV13" s="11">
        <v>7.9930834101057502E-2</v>
      </c>
      <c r="BW13" s="11">
        <v>7.5714005636679529E-2</v>
      </c>
      <c r="BX13" s="11">
        <v>1.477434776242115E-3</v>
      </c>
      <c r="BY13" s="11">
        <v>3.9201956575141389E-2</v>
      </c>
      <c r="BZ13" s="11">
        <v>7.6138123059050211E-2</v>
      </c>
      <c r="CA13" s="11">
        <v>3.3531565600396843E-2</v>
      </c>
      <c r="CB13" s="11">
        <v>0.1204269717320352</v>
      </c>
      <c r="CC13" s="11">
        <v>0.12011817373823321</v>
      </c>
      <c r="CD13" s="11">
        <v>0.1050858328923274</v>
      </c>
      <c r="CE13" s="11">
        <v>0.18382783645560871</v>
      </c>
      <c r="CF13" s="11">
        <v>4.4514266725069238E-2</v>
      </c>
      <c r="CG13" s="11">
        <v>5.8014967807239318E-2</v>
      </c>
      <c r="CH13" s="11">
        <v>5.8334611827207158E-2</v>
      </c>
      <c r="CI13" s="11">
        <v>5.1853509134263308E-2</v>
      </c>
      <c r="CJ13" s="11">
        <v>5.481018067884004E-2</v>
      </c>
      <c r="CK13" s="11">
        <v>6.568712626679736E-2</v>
      </c>
      <c r="CL13" s="11">
        <v>8.1453366102180805E-2</v>
      </c>
      <c r="CM13" s="11">
        <v>0.1014522187140186</v>
      </c>
      <c r="CN13" s="11">
        <v>0.1009941666481943</v>
      </c>
      <c r="CO13" s="11">
        <v>8.556623930807658E-2</v>
      </c>
      <c r="CP13" s="11">
        <v>6.9726540277734339E-2</v>
      </c>
      <c r="CQ13" s="11">
        <v>7.1178864968403879E-2</v>
      </c>
      <c r="CR13" s="11">
        <v>0.11164488638047471</v>
      </c>
      <c r="CS13" s="11">
        <v>9.5676536651352929E-3</v>
      </c>
      <c r="CT13" s="11">
        <v>4.3462267969052268E-2</v>
      </c>
      <c r="CU13" s="11">
        <v>0.1070909617136373</v>
      </c>
      <c r="CV13" s="11">
        <v>7.7656051256972655E-2</v>
      </c>
      <c r="CW13" s="11">
        <v>3.6309119756433333E-2</v>
      </c>
      <c r="CX13" s="11">
        <v>6.0033255240053027E-2</v>
      </c>
      <c r="CY13" s="11">
        <v>6.2296947005362549E-2</v>
      </c>
      <c r="CZ13" s="11">
        <v>5.7224220353485122E-2</v>
      </c>
      <c r="DA13" s="11">
        <v>4.9446033684879001E-2</v>
      </c>
      <c r="DB13" s="11">
        <v>0.1062353213029536</v>
      </c>
      <c r="DC13" s="11">
        <v>2.9775565878292928E-2</v>
      </c>
      <c r="DD13" s="11">
        <v>6.8977058924383453E-2</v>
      </c>
      <c r="DE13" s="11">
        <v>2.2441996429236069E-2</v>
      </c>
      <c r="DF13" s="11">
        <v>8.3122187068030415E-2</v>
      </c>
      <c r="DG13" s="11">
        <v>4.7729083606459478E-2</v>
      </c>
      <c r="DH13" s="11">
        <v>8.8720600946307043E-2</v>
      </c>
      <c r="DI13" s="11">
        <v>8.9748563547494165E-2</v>
      </c>
      <c r="DJ13" s="11">
        <v>7.0211236155579941E-3</v>
      </c>
      <c r="DK13" s="11">
        <v>1.938663386385895E-2</v>
      </c>
      <c r="DL13" s="11">
        <v>2.2050690678088229E-2</v>
      </c>
      <c r="DM13" s="11">
        <v>-5.3162261047299056E-4</v>
      </c>
      <c r="DN13" s="11">
        <v>1.1499577922513139E-2</v>
      </c>
      <c r="DO13" s="11">
        <v>3.7863465084792783E-2</v>
      </c>
      <c r="DP13" s="11">
        <v>5.8032308890701628E-2</v>
      </c>
      <c r="DQ13" s="11">
        <v>8.712901139257051E-2</v>
      </c>
      <c r="DR13" s="11">
        <v>1.377120927231194E-2</v>
      </c>
      <c r="DS13" s="11">
        <v>6.8596852640390879E-2</v>
      </c>
      <c r="DT13" s="11">
        <v>2.9845809161003281E-2</v>
      </c>
      <c r="DU13" s="11">
        <v>3.3006159442618463E-2</v>
      </c>
      <c r="DV13" s="11">
        <v>7.9620144024188558E-2</v>
      </c>
      <c r="DW13" s="11">
        <v>4.2028685712200517E-2</v>
      </c>
      <c r="DX13" s="11">
        <v>6.4523379578496173E-2</v>
      </c>
      <c r="DY13" s="11">
        <v>5.6981339047558921E-2</v>
      </c>
      <c r="DZ13" s="11">
        <v>1.8302124146301689E-2</v>
      </c>
      <c r="EA13" s="11">
        <v>0.1244689581490709</v>
      </c>
      <c r="EB13" s="11">
        <v>5.7205292748389078E-2</v>
      </c>
      <c r="EC13" s="11">
        <v>4.1659753435228923E-2</v>
      </c>
      <c r="ED13" s="11">
        <v>6.5682093659234955E-2</v>
      </c>
      <c r="EE13" s="11">
        <v>4.1234383995911589E-2</v>
      </c>
      <c r="EF13" s="11">
        <v>4.4513609552720032E-2</v>
      </c>
      <c r="EG13" s="21">
        <f t="shared" ref="EG13:EG25" si="6">AVERAGE(C13:EF13)</f>
        <v>5.4036951494028984E-2</v>
      </c>
      <c r="EH13" s="21">
        <f t="shared" ref="EH13:EH25" si="7">STDEV(C13:EF13)</f>
        <v>3.4708953625673541E-2</v>
      </c>
      <c r="EI13" s="21">
        <f t="shared" ref="EI13:EI25" si="8">EG13/EH13</f>
        <v>1.5568591342972349</v>
      </c>
    </row>
    <row r="14" spans="1:139" x14ac:dyDescent="0.3">
      <c r="A14" s="1">
        <v>50</v>
      </c>
      <c r="B14" s="1">
        <v>19</v>
      </c>
      <c r="C14" s="11">
        <v>0.1199414897527061</v>
      </c>
      <c r="D14" s="11">
        <v>0.22230844854062601</v>
      </c>
      <c r="E14" s="11">
        <v>9.8768248142222112E-2</v>
      </c>
      <c r="F14" s="11">
        <v>6.0341904906032563E-2</v>
      </c>
      <c r="G14" s="11">
        <v>5.3656630442780677E-2</v>
      </c>
      <c r="H14" s="11">
        <v>5.9587806435440108E-2</v>
      </c>
      <c r="I14" s="11">
        <v>4.3787359823142302E-2</v>
      </c>
      <c r="J14" s="11">
        <v>2.330997196491089E-2</v>
      </c>
      <c r="K14" s="11">
        <v>5.0827466260847963E-2</v>
      </c>
      <c r="L14" s="11">
        <v>8.4804475655485129E-3</v>
      </c>
      <c r="M14" s="11">
        <v>-1.902171446498398E-2</v>
      </c>
      <c r="N14" s="11">
        <v>0.20483257514122591</v>
      </c>
      <c r="O14" s="11">
        <v>1.4944079385485289E-3</v>
      </c>
      <c r="P14" s="11">
        <v>5.8345921898241233E-2</v>
      </c>
      <c r="Q14" s="11">
        <v>0.12410387117144869</v>
      </c>
      <c r="R14" s="11">
        <v>-1.5941187297101821E-2</v>
      </c>
      <c r="S14" s="11">
        <v>0.1658932271847087</v>
      </c>
      <c r="T14" s="11">
        <v>3.5019554834400057E-2</v>
      </c>
      <c r="U14" s="11">
        <v>0.1042666646356476</v>
      </c>
      <c r="V14" s="11">
        <v>2.0089127185378371E-2</v>
      </c>
      <c r="W14" s="11">
        <v>0.1161657905318967</v>
      </c>
      <c r="X14" s="11">
        <v>0.1866856956103469</v>
      </c>
      <c r="Y14" s="11">
        <v>5.2198745955319217E-3</v>
      </c>
      <c r="Z14" s="11">
        <v>3.8511926280307661E-2</v>
      </c>
      <c r="AA14" s="11">
        <v>9.9905879497324754E-2</v>
      </c>
      <c r="AB14" s="11">
        <v>7.0769377347230211E-2</v>
      </c>
      <c r="AC14" s="11">
        <v>-3.086562338789272E-3</v>
      </c>
      <c r="AD14" s="11">
        <v>3.9327892190029898E-2</v>
      </c>
      <c r="AE14" s="11">
        <v>0.11683691983956609</v>
      </c>
      <c r="AF14" s="11">
        <v>9.6080095456633624E-2</v>
      </c>
      <c r="AG14" s="11">
        <v>2.0520894646562499E-2</v>
      </c>
      <c r="AH14" s="11">
        <v>5.250277930506024E-3</v>
      </c>
      <c r="AI14" s="11">
        <v>1.096457068257391E-2</v>
      </c>
      <c r="AJ14" s="11">
        <v>1.505903608315101E-2</v>
      </c>
      <c r="AK14" s="11">
        <v>7.6911430858302002E-2</v>
      </c>
      <c r="AL14" s="11">
        <v>1.8559542258206829E-2</v>
      </c>
      <c r="AM14" s="11">
        <v>6.1242166378625243E-2</v>
      </c>
      <c r="AN14" s="11">
        <v>9.8594666769543718E-2</v>
      </c>
      <c r="AO14" s="11">
        <v>-3.804435254206133E-2</v>
      </c>
      <c r="AP14" s="11">
        <v>6.9976525152084204E-2</v>
      </c>
      <c r="AQ14" s="11">
        <v>8.1284167078287568E-3</v>
      </c>
      <c r="AR14" s="11">
        <v>-1.817082301888524E-2</v>
      </c>
      <c r="AS14" s="11">
        <v>-6.6693383896894304E-3</v>
      </c>
      <c r="AT14" s="11">
        <v>7.9403479710638047E-2</v>
      </c>
      <c r="AU14" s="11">
        <v>0.1378524760527356</v>
      </c>
      <c r="AV14" s="11">
        <v>6.6258749216258558E-2</v>
      </c>
      <c r="AW14" s="11">
        <v>5.3928681229427317E-2</v>
      </c>
      <c r="AX14" s="11">
        <v>1.9370213375490559E-2</v>
      </c>
      <c r="AY14" s="11">
        <v>1.5068118771761551E-2</v>
      </c>
      <c r="AZ14" s="11">
        <v>2.5628927509464609E-2</v>
      </c>
      <c r="BA14" s="11">
        <v>9.6337325355973988E-2</v>
      </c>
      <c r="BB14" s="11">
        <v>0.1103112489011205</v>
      </c>
      <c r="BC14" s="11">
        <v>-2.8505683499306111E-2</v>
      </c>
      <c r="BD14" s="11">
        <v>1.641750981094553E-2</v>
      </c>
      <c r="BE14" s="11">
        <v>7.0081770149328954E-2</v>
      </c>
      <c r="BF14" s="11">
        <v>0.15382926157400831</v>
      </c>
      <c r="BG14" s="11">
        <v>0.12530530643958979</v>
      </c>
      <c r="BH14" s="11">
        <v>7.3413464178725074E-2</v>
      </c>
      <c r="BI14" s="11">
        <v>5.0185212890853773E-2</v>
      </c>
      <c r="BJ14" s="11">
        <v>2.4016933685636149E-2</v>
      </c>
      <c r="BK14" s="11">
        <v>-3.323738197833094E-2</v>
      </c>
      <c r="BL14" s="11">
        <v>5.9996895527440267E-2</v>
      </c>
      <c r="BM14" s="11">
        <v>4.6278325003000387E-2</v>
      </c>
      <c r="BN14" s="11">
        <v>-4.6576644196415717E-2</v>
      </c>
      <c r="BO14" s="11">
        <v>3.3609045677264478E-2</v>
      </c>
      <c r="BP14" s="11">
        <v>-5.0332283327745371E-2</v>
      </c>
      <c r="BQ14" s="11">
        <v>1.584352386995078E-2</v>
      </c>
      <c r="BR14" s="11">
        <v>0.10005242307538641</v>
      </c>
      <c r="BS14" s="11">
        <v>3.033272398677064E-2</v>
      </c>
      <c r="BT14" s="11">
        <v>-1.5287927903372821E-2</v>
      </c>
      <c r="BU14" s="11">
        <v>0.1111594543137446</v>
      </c>
      <c r="BV14" s="11">
        <v>0.10798163319999469</v>
      </c>
      <c r="BW14" s="11">
        <v>0.13089750855718521</v>
      </c>
      <c r="BX14" s="11">
        <v>-3.071342246663937E-4</v>
      </c>
      <c r="BY14" s="11">
        <v>-4.2604489653349287E-2</v>
      </c>
      <c r="BZ14" s="11">
        <v>6.0034056828782267E-2</v>
      </c>
      <c r="CA14" s="11">
        <v>2.446526611493707E-2</v>
      </c>
      <c r="CB14" s="11">
        <v>0.16446550132190679</v>
      </c>
      <c r="CC14" s="11">
        <v>0.1205961585891825</v>
      </c>
      <c r="CD14" s="11">
        <v>9.8016709932197757E-2</v>
      </c>
      <c r="CE14" s="11">
        <v>0.1705553024885505</v>
      </c>
      <c r="CF14" s="11">
        <v>9.2330683282061565E-2</v>
      </c>
      <c r="CG14" s="11">
        <v>5.7320663667820577E-2</v>
      </c>
      <c r="CH14" s="11">
        <v>6.46613922782171E-2</v>
      </c>
      <c r="CI14" s="11">
        <v>0.1058847773633588</v>
      </c>
      <c r="CJ14" s="11">
        <v>1.7796116349141359E-2</v>
      </c>
      <c r="CK14" s="11">
        <v>5.3792086513992962E-2</v>
      </c>
      <c r="CL14" s="11">
        <v>6.2269954878836478E-2</v>
      </c>
      <c r="CM14" s="11">
        <v>0.11006897297270959</v>
      </c>
      <c r="CN14" s="11">
        <v>0.17459567468505729</v>
      </c>
      <c r="CO14" s="11">
        <v>0.17324915395395429</v>
      </c>
      <c r="CP14" s="11">
        <v>9.9809331481752833E-2</v>
      </c>
      <c r="CQ14" s="11">
        <v>3.2227899887387702E-2</v>
      </c>
      <c r="CR14" s="11">
        <v>0.207719712590648</v>
      </c>
      <c r="CS14" s="11">
        <v>-4.4126335332496502E-3</v>
      </c>
      <c r="CT14" s="11">
        <v>6.1872352391601541E-2</v>
      </c>
      <c r="CU14" s="11">
        <v>0.1015449999567145</v>
      </c>
      <c r="CV14" s="11">
        <v>0.1513968411576333</v>
      </c>
      <c r="CW14" s="11">
        <v>4.476388444326003E-2</v>
      </c>
      <c r="CX14" s="11">
        <v>3.6299408888239168E-2</v>
      </c>
      <c r="CY14" s="11">
        <v>5.0137743473948983E-2</v>
      </c>
      <c r="CZ14" s="11">
        <v>6.4063563350383365E-2</v>
      </c>
      <c r="DA14" s="11">
        <v>6.5393327424540099E-2</v>
      </c>
      <c r="DB14" s="11">
        <v>0.1046074411002299</v>
      </c>
      <c r="DC14" s="11">
        <v>2.3632609204847509E-2</v>
      </c>
      <c r="DD14" s="11">
        <v>7.920535184818453E-2</v>
      </c>
      <c r="DE14" s="11">
        <v>6.2526924006459011E-2</v>
      </c>
      <c r="DF14" s="11">
        <v>0.20156283946711201</v>
      </c>
      <c r="DG14" s="11">
        <v>4.5583395726898353E-2</v>
      </c>
      <c r="DH14" s="11">
        <v>5.8741194166373682E-2</v>
      </c>
      <c r="DI14" s="11">
        <v>8.6646448298485237E-2</v>
      </c>
      <c r="DJ14" s="11">
        <v>8.7940293873207658E-3</v>
      </c>
      <c r="DK14" s="11">
        <v>8.1621549503858692E-2</v>
      </c>
      <c r="DL14" s="11">
        <v>4.0754871831899041E-2</v>
      </c>
      <c r="DM14" s="11">
        <v>1.12114973776048E-3</v>
      </c>
      <c r="DN14" s="11">
        <v>4.2662495893264311E-2</v>
      </c>
      <c r="DO14" s="11">
        <v>0.1025921893632338</v>
      </c>
      <c r="DP14" s="11">
        <v>6.2914808070300282E-2</v>
      </c>
      <c r="DQ14" s="11">
        <v>7.1172564581132955E-2</v>
      </c>
      <c r="DR14" s="11">
        <v>5.2622519458999567E-2</v>
      </c>
      <c r="DS14" s="11">
        <v>5.6051819928563652E-2</v>
      </c>
      <c r="DT14" s="11">
        <v>7.7542903390828534E-3</v>
      </c>
      <c r="DU14" s="11">
        <v>6.8795273192164358E-2</v>
      </c>
      <c r="DV14" s="11">
        <v>0.1082623545301073</v>
      </c>
      <c r="DW14" s="11">
        <v>1.809309508516085E-3</v>
      </c>
      <c r="DX14" s="11">
        <v>0.1019315055524211</v>
      </c>
      <c r="DY14" s="11">
        <v>7.4258700078750628E-2</v>
      </c>
      <c r="DZ14" s="11">
        <v>3.5030999863780207E-2</v>
      </c>
      <c r="EA14" s="11">
        <v>6.2912684572741601E-2</v>
      </c>
      <c r="EB14" s="11">
        <v>7.8179830700263173E-2</v>
      </c>
      <c r="EC14" s="11">
        <v>6.0793821481329897E-3</v>
      </c>
      <c r="ED14" s="11">
        <v>0.102629709186187</v>
      </c>
      <c r="EE14" s="11">
        <v>-3.3992535180725199E-3</v>
      </c>
      <c r="EF14" s="11">
        <v>2.5525355201881251E-2</v>
      </c>
      <c r="EG14" s="21">
        <f t="shared" si="6"/>
        <v>6.2380925653228017E-2</v>
      </c>
      <c r="EH14" s="21">
        <f t="shared" si="7"/>
        <v>5.648490799994707E-2</v>
      </c>
      <c r="EI14" s="21">
        <f t="shared" si="8"/>
        <v>1.1043821767982072</v>
      </c>
    </row>
    <row r="15" spans="1:139" x14ac:dyDescent="0.3">
      <c r="A15" s="1">
        <v>100</v>
      </c>
      <c r="B15" s="1">
        <v>10</v>
      </c>
      <c r="C15" s="11">
        <v>0.22764465877785839</v>
      </c>
      <c r="D15" s="11">
        <v>0.37270921560992559</v>
      </c>
      <c r="E15" s="11">
        <v>6.204568011695779E-2</v>
      </c>
      <c r="F15" s="11">
        <v>-3.4921436556697362E-2</v>
      </c>
      <c r="G15" s="11">
        <v>3.4403920967036511E-2</v>
      </c>
      <c r="H15" s="11">
        <v>0.1188437037073593</v>
      </c>
      <c r="I15" s="11">
        <v>5.843144427986554E-2</v>
      </c>
      <c r="J15" s="11">
        <v>4.9961465247389647E-2</v>
      </c>
      <c r="K15" s="11">
        <v>9.4514797591930877E-2</v>
      </c>
      <c r="L15" s="11">
        <v>-1.296708496104035E-2</v>
      </c>
      <c r="M15" s="11">
        <v>-2.1330164362876949E-3</v>
      </c>
      <c r="N15" s="11">
        <v>0.33030933686480701</v>
      </c>
      <c r="O15" s="11">
        <v>-1.227079575915271E-2</v>
      </c>
      <c r="P15" s="11">
        <v>6.4116183021661763E-2</v>
      </c>
      <c r="Q15" s="11">
        <v>0.15553684210781249</v>
      </c>
      <c r="R15" s="11">
        <v>-5.2129690105117463E-2</v>
      </c>
      <c r="S15" s="11">
        <v>0.27000789508215378</v>
      </c>
      <c r="T15" s="11">
        <v>4.589107711718423E-2</v>
      </c>
      <c r="U15" s="11">
        <v>0.1369680616672688</v>
      </c>
      <c r="V15" s="11">
        <v>-1.713185334811276E-2</v>
      </c>
      <c r="W15" s="11">
        <v>0.10693455515793331</v>
      </c>
      <c r="X15" s="11">
        <v>0.2111863273303817</v>
      </c>
      <c r="Y15" s="11">
        <v>-2.0629974365819839E-2</v>
      </c>
      <c r="Z15" s="11">
        <v>4.6719972053358677E-2</v>
      </c>
      <c r="AA15" s="11">
        <v>0.16085038421306441</v>
      </c>
      <c r="AB15" s="11">
        <v>8.370017251583052E-2</v>
      </c>
      <c r="AC15" s="11">
        <v>4.3176688480551298E-3</v>
      </c>
      <c r="AD15" s="11">
        <v>3.9690481127708267E-2</v>
      </c>
      <c r="AE15" s="11">
        <v>0.21179264304727199</v>
      </c>
      <c r="AF15" s="11">
        <v>0.13772628717765439</v>
      </c>
      <c r="AG15" s="11">
        <v>1.012347826165556E-2</v>
      </c>
      <c r="AH15" s="11">
        <v>-3.3604373357676472E-2</v>
      </c>
      <c r="AI15" s="11">
        <v>7.4276960210081885E-2</v>
      </c>
      <c r="AJ15" s="11">
        <v>9.4648599674757375E-3</v>
      </c>
      <c r="AK15" s="11">
        <v>6.1759619658444932E-2</v>
      </c>
      <c r="AL15" s="11">
        <v>-6.8817591114361167E-3</v>
      </c>
      <c r="AM15" s="11">
        <v>5.5122622134627111E-2</v>
      </c>
      <c r="AN15" s="11">
        <v>0.10168870591238351</v>
      </c>
      <c r="AO15" s="11">
        <v>-5.1384520239967417E-2</v>
      </c>
      <c r="AP15" s="11">
        <v>7.8285693892754235E-2</v>
      </c>
      <c r="AQ15" s="11">
        <v>1.9750987228359849E-2</v>
      </c>
      <c r="AR15" s="11">
        <v>-2.4550819698278721E-2</v>
      </c>
      <c r="AS15" s="11">
        <v>-4.8733221354101797E-2</v>
      </c>
      <c r="AT15" s="11">
        <v>7.098981260370496E-2</v>
      </c>
      <c r="AU15" s="11">
        <v>0.16710843106943049</v>
      </c>
      <c r="AV15" s="11">
        <v>3.7297928699110451E-2</v>
      </c>
      <c r="AW15" s="11">
        <v>9.1727472793350737E-2</v>
      </c>
      <c r="AX15" s="11">
        <v>8.1360565954768135E-2</v>
      </c>
      <c r="AY15" s="11">
        <v>2.8017064110032911E-2</v>
      </c>
      <c r="AZ15" s="11">
        <v>3.6847351752602571E-2</v>
      </c>
      <c r="BA15" s="11">
        <v>0.15768794840833861</v>
      </c>
      <c r="BB15" s="11">
        <v>0.1977131495043408</v>
      </c>
      <c r="BC15" s="11">
        <v>-3.0936691622350049E-2</v>
      </c>
      <c r="BD15" s="11">
        <v>7.3629159627057288E-3</v>
      </c>
      <c r="BE15" s="11">
        <v>4.1397970696908107E-2</v>
      </c>
      <c r="BF15" s="11">
        <v>0.2108720874899874</v>
      </c>
      <c r="BG15" s="11">
        <v>0.16605121546459681</v>
      </c>
      <c r="BH15" s="11">
        <v>9.8649046406420665E-2</v>
      </c>
      <c r="BI15" s="11">
        <v>6.8586659114969639E-2</v>
      </c>
      <c r="BJ15" s="11">
        <v>7.5153898113675566E-2</v>
      </c>
      <c r="BK15" s="11">
        <v>-7.2869418882588896E-2</v>
      </c>
      <c r="BL15" s="11">
        <v>5.9755420974320878E-2</v>
      </c>
      <c r="BM15" s="11">
        <v>4.8219004487744091E-2</v>
      </c>
      <c r="BN15" s="11">
        <v>-6.6054035225581897E-2</v>
      </c>
      <c r="BO15" s="11">
        <v>2.773447595493098E-2</v>
      </c>
      <c r="BP15" s="11">
        <v>-5.1616854472064641E-2</v>
      </c>
      <c r="BQ15" s="11">
        <v>1.280293129032776E-2</v>
      </c>
      <c r="BR15" s="11">
        <v>0.1237621364364551</v>
      </c>
      <c r="BS15" s="11">
        <v>1.1865910908611719E-2</v>
      </c>
      <c r="BT15" s="11">
        <v>3.6633666195559952E-2</v>
      </c>
      <c r="BU15" s="11">
        <v>8.5545733721440226E-2</v>
      </c>
      <c r="BV15" s="11">
        <v>0.1046400442936901</v>
      </c>
      <c r="BW15" s="11">
        <v>0.29887898957592779</v>
      </c>
      <c r="BX15" s="11">
        <v>2.3949431437341431E-2</v>
      </c>
      <c r="BY15" s="11">
        <v>-0.12602357357708691</v>
      </c>
      <c r="BZ15" s="11">
        <v>0.1029064689773473</v>
      </c>
      <c r="CA15" s="11">
        <v>1.859202079644226E-2</v>
      </c>
      <c r="CB15" s="11">
        <v>0.13109140278406139</v>
      </c>
      <c r="CC15" s="11">
        <v>0.17365170572211991</v>
      </c>
      <c r="CD15" s="11">
        <v>0.1201520839630844</v>
      </c>
      <c r="CE15" s="11">
        <v>7.3368120048450503E-2</v>
      </c>
      <c r="CF15" s="11">
        <v>9.435665039342013E-2</v>
      </c>
      <c r="CG15" s="11">
        <v>8.5886021530163809E-2</v>
      </c>
      <c r="CH15" s="11">
        <v>6.2885958283701332E-2</v>
      </c>
      <c r="CI15" s="11">
        <v>3.8798414894980787E-2</v>
      </c>
      <c r="CJ15" s="11">
        <v>4.0671716947061162E-2</v>
      </c>
      <c r="CK15" s="11">
        <v>9.5640748172705348E-2</v>
      </c>
      <c r="CL15" s="11">
        <v>3.1421974993248308E-2</v>
      </c>
      <c r="CM15" s="11">
        <v>0.1081197557129227</v>
      </c>
      <c r="CN15" s="11">
        <v>0.14314981697124041</v>
      </c>
      <c r="CO15" s="11">
        <v>0.17335998923904941</v>
      </c>
      <c r="CP15" s="11">
        <v>0.12753583543294969</v>
      </c>
      <c r="CQ15" s="11">
        <v>-2.49633604564388E-2</v>
      </c>
      <c r="CR15" s="11">
        <v>0.18148893223573509</v>
      </c>
      <c r="CS15" s="11">
        <v>6.4830510990456294E-3</v>
      </c>
      <c r="CT15" s="11">
        <v>3.2216556445051982E-2</v>
      </c>
      <c r="CU15" s="11">
        <v>0.12404993141386809</v>
      </c>
      <c r="CV15" s="11">
        <v>0.18261154771691629</v>
      </c>
      <c r="CW15" s="11">
        <v>2.6072090903126711E-2</v>
      </c>
      <c r="CX15" s="11">
        <v>2.4039607053330959E-2</v>
      </c>
      <c r="CY15" s="11">
        <v>5.5732710824827947E-2</v>
      </c>
      <c r="CZ15" s="11">
        <v>7.9886947944342257E-2</v>
      </c>
      <c r="DA15" s="11">
        <v>8.8862212197355878E-2</v>
      </c>
      <c r="DB15" s="11">
        <v>9.7048241525465193E-2</v>
      </c>
      <c r="DC15" s="11">
        <v>3.5075149974582137E-2</v>
      </c>
      <c r="DD15" s="11">
        <v>1.450672613144627E-2</v>
      </c>
      <c r="DE15" s="11">
        <v>5.7163634731252508E-2</v>
      </c>
      <c r="DF15" s="11">
        <v>0.30272044964278222</v>
      </c>
      <c r="DG15" s="11">
        <v>4.7917484974342339E-2</v>
      </c>
      <c r="DH15" s="11">
        <v>0.1296219356678569</v>
      </c>
      <c r="DI15" s="11">
        <v>4.2811767213113319E-2</v>
      </c>
      <c r="DJ15" s="11">
        <v>6.0023776691057282E-2</v>
      </c>
      <c r="DK15" s="11">
        <v>0.1003289268680829</v>
      </c>
      <c r="DL15" s="11">
        <v>-3.0399320282783332E-4</v>
      </c>
      <c r="DM15" s="11">
        <v>-1.773264737208499E-3</v>
      </c>
      <c r="DN15" s="11">
        <v>4.3996497423619649E-2</v>
      </c>
      <c r="DO15" s="11">
        <v>0.15954541135927219</v>
      </c>
      <c r="DP15" s="11">
        <v>0.1343049473653663</v>
      </c>
      <c r="DQ15" s="11">
        <v>3.7038688952197418E-2</v>
      </c>
      <c r="DR15" s="11">
        <v>7.0010566617938433E-2</v>
      </c>
      <c r="DS15" s="11">
        <v>3.7530143777968331E-2</v>
      </c>
      <c r="DT15" s="11">
        <v>5.271878998906962E-2</v>
      </c>
      <c r="DU15" s="11">
        <v>0.1171276535106479</v>
      </c>
      <c r="DV15" s="11">
        <v>0.13976835694087139</v>
      </c>
      <c r="DW15" s="11">
        <v>-6.0826326337380818E-2</v>
      </c>
      <c r="DX15" s="11">
        <v>0.1186162506499864</v>
      </c>
      <c r="DY15" s="11">
        <v>0.14360957438078251</v>
      </c>
      <c r="DZ15" s="11">
        <v>4.0455653304009277E-2</v>
      </c>
      <c r="EA15" s="11">
        <v>4.3451220280325303E-2</v>
      </c>
      <c r="EB15" s="11">
        <v>8.8087449527254891E-2</v>
      </c>
      <c r="EC15" s="11">
        <v>6.6081856047946447E-2</v>
      </c>
      <c r="ED15" s="11">
        <v>0.1133570559353114</v>
      </c>
      <c r="EE15" s="11">
        <v>3.1907205015268242E-3</v>
      </c>
      <c r="EF15" s="11">
        <v>2.964605507200602E-2</v>
      </c>
      <c r="EG15" s="21">
        <f t="shared" si="6"/>
        <v>7.3145284763156418E-2</v>
      </c>
      <c r="EH15" s="21">
        <f t="shared" si="7"/>
        <v>8.2100446626395859E-2</v>
      </c>
      <c r="EI15" s="21">
        <f t="shared" si="8"/>
        <v>0.89092432220264806</v>
      </c>
    </row>
    <row r="16" spans="1:139" x14ac:dyDescent="0.3">
      <c r="A16" s="1">
        <v>107</v>
      </c>
      <c r="B16" s="1">
        <v>9</v>
      </c>
      <c r="C16" s="11">
        <v>0.20787477708292909</v>
      </c>
      <c r="D16" s="11">
        <v>0.40819497873258059</v>
      </c>
      <c r="E16" s="11">
        <v>6.500657711132822E-2</v>
      </c>
      <c r="F16" s="11">
        <v>-7.871547190433098E-2</v>
      </c>
      <c r="G16" s="11">
        <v>8.1465506589492725E-3</v>
      </c>
      <c r="H16" s="11">
        <v>7.2848056287647484E-2</v>
      </c>
      <c r="I16" s="11">
        <v>5.7530618665621432E-2</v>
      </c>
      <c r="J16" s="11">
        <v>4.6709926042666168E-2</v>
      </c>
      <c r="K16" s="11">
        <v>8.642089158239058E-2</v>
      </c>
      <c r="L16" s="11">
        <v>-3.1027150965473069E-2</v>
      </c>
      <c r="M16" s="11">
        <v>-1.3987435861917089E-2</v>
      </c>
      <c r="N16" s="11">
        <v>0.36698760912258638</v>
      </c>
      <c r="O16" s="11">
        <v>-2.8587076878979191E-2</v>
      </c>
      <c r="P16" s="11">
        <v>6.1045231791422308E-2</v>
      </c>
      <c r="Q16" s="11">
        <v>0.15790307042433799</v>
      </c>
      <c r="R16" s="11">
        <v>-4.899097828292652E-2</v>
      </c>
      <c r="S16" s="11">
        <v>0.28706302039879478</v>
      </c>
      <c r="T16" s="11">
        <v>3.8406673293611998E-2</v>
      </c>
      <c r="U16" s="11">
        <v>0.1300624714297445</v>
      </c>
      <c r="V16" s="11">
        <v>-6.0221453329656824E-3</v>
      </c>
      <c r="W16" s="11">
        <v>7.8373488027637842E-2</v>
      </c>
      <c r="X16" s="11">
        <v>0.24053196162716611</v>
      </c>
      <c r="Y16" s="11">
        <v>-2.0180588419635579E-2</v>
      </c>
      <c r="Z16" s="11">
        <v>4.3057930884211712E-2</v>
      </c>
      <c r="AA16" s="11">
        <v>0.16615889129731709</v>
      </c>
      <c r="AB16" s="11">
        <v>7.4985041637980393E-2</v>
      </c>
      <c r="AC16" s="11">
        <v>-1.27654480354167E-2</v>
      </c>
      <c r="AD16" s="11">
        <v>3.481117185725148E-2</v>
      </c>
      <c r="AE16" s="11">
        <v>0.20962824117691051</v>
      </c>
      <c r="AF16" s="11">
        <v>0.14791561026442651</v>
      </c>
      <c r="AG16" s="11">
        <v>1.32907530365354E-2</v>
      </c>
      <c r="AH16" s="11">
        <v>-3.1765400449440553E-2</v>
      </c>
      <c r="AI16" s="11">
        <v>9.0522649217154846E-2</v>
      </c>
      <c r="AJ16" s="11">
        <v>-7.0259660718760518E-3</v>
      </c>
      <c r="AK16" s="11">
        <v>6.4421400832372078E-2</v>
      </c>
      <c r="AL16" s="11">
        <v>-1.4472511517458609E-2</v>
      </c>
      <c r="AM16" s="11">
        <v>6.6076730601797973E-2</v>
      </c>
      <c r="AN16" s="11">
        <v>0.1064562000896756</v>
      </c>
      <c r="AO16" s="11">
        <v>-4.1090153361741252E-2</v>
      </c>
      <c r="AP16" s="11">
        <v>7.779836814558852E-2</v>
      </c>
      <c r="AQ16" s="11">
        <v>2.4036053854552351E-2</v>
      </c>
      <c r="AR16" s="11">
        <v>-3.2492759720063692E-2</v>
      </c>
      <c r="AS16" s="11">
        <v>-5.2642718238233757E-2</v>
      </c>
      <c r="AT16" s="11">
        <v>0.1225640433502848</v>
      </c>
      <c r="AU16" s="11">
        <v>0.17023588881714</v>
      </c>
      <c r="AV16" s="11">
        <v>5.2080835436737513E-2</v>
      </c>
      <c r="AW16" s="11">
        <v>0.10898493864152869</v>
      </c>
      <c r="AX16" s="11">
        <v>0.1006213291014028</v>
      </c>
      <c r="AY16" s="11">
        <v>3.3812589844345937E-2</v>
      </c>
      <c r="AZ16" s="11">
        <v>4.6826876003376768E-2</v>
      </c>
      <c r="BA16" s="11">
        <v>0.15999070017462089</v>
      </c>
      <c r="BB16" s="11">
        <v>0.22547356307573951</v>
      </c>
      <c r="BC16" s="11">
        <v>-3.8999391922231702E-2</v>
      </c>
      <c r="BD16" s="11">
        <v>6.2821844248834016E-3</v>
      </c>
      <c r="BE16" s="11">
        <v>6.1197643926459287E-2</v>
      </c>
      <c r="BF16" s="11">
        <v>0.24778685910046011</v>
      </c>
      <c r="BG16" s="11">
        <v>0.16122956958435061</v>
      </c>
      <c r="BH16" s="11">
        <v>9.6162034507733696E-2</v>
      </c>
      <c r="BI16" s="11">
        <v>4.1443807763261883E-2</v>
      </c>
      <c r="BJ16" s="11">
        <v>8.1428118775973987E-2</v>
      </c>
      <c r="BK16" s="11">
        <v>-0.1047732029205687</v>
      </c>
      <c r="BL16" s="11">
        <v>6.1173599484470167E-2</v>
      </c>
      <c r="BM16" s="11">
        <v>3.9497985491106162E-2</v>
      </c>
      <c r="BN16" s="11">
        <v>-6.7197970404689056E-2</v>
      </c>
      <c r="BO16" s="11">
        <v>2.1890359953657689E-2</v>
      </c>
      <c r="BP16" s="11">
        <v>-5.7750060680455823E-2</v>
      </c>
      <c r="BQ16" s="11">
        <v>1.6478016254928601E-2</v>
      </c>
      <c r="BR16" s="11">
        <v>0.13058296822502161</v>
      </c>
      <c r="BS16" s="11">
        <v>3.2006987192883168E-2</v>
      </c>
      <c r="BT16" s="11">
        <v>3.8066078212245447E-2</v>
      </c>
      <c r="BU16" s="11">
        <v>0.1015365742283048</v>
      </c>
      <c r="BV16" s="11">
        <v>3.658563792374666E-2</v>
      </c>
      <c r="BW16" s="11">
        <v>0.31797083453836722</v>
      </c>
      <c r="BX16" s="11">
        <v>2.4078271829347249E-2</v>
      </c>
      <c r="BY16" s="11">
        <v>-0.13255840925737919</v>
      </c>
      <c r="BZ16" s="11">
        <v>0.11152584850164921</v>
      </c>
      <c r="CA16" s="11">
        <v>2.971438975556321E-2</v>
      </c>
      <c r="CB16" s="11">
        <v>0.13930873593333401</v>
      </c>
      <c r="CC16" s="11">
        <v>4.4388153170205821E-2</v>
      </c>
      <c r="CD16" s="11">
        <v>0.15507127162636181</v>
      </c>
      <c r="CE16" s="11">
        <v>9.3614230467915741E-2</v>
      </c>
      <c r="CF16" s="11">
        <v>0.10520126400975099</v>
      </c>
      <c r="CG16" s="11">
        <v>6.1727878146666561E-2</v>
      </c>
      <c r="CH16" s="11">
        <v>4.1697414703027062E-2</v>
      </c>
      <c r="CI16" s="11">
        <v>3.8709881828517527E-2</v>
      </c>
      <c r="CJ16" s="11">
        <v>2.970338549376331E-2</v>
      </c>
      <c r="CK16" s="11">
        <v>8.8422689781607638E-2</v>
      </c>
      <c r="CL16" s="11">
        <v>1.5878682334709331E-2</v>
      </c>
      <c r="CM16" s="11">
        <v>0.11305583839137461</v>
      </c>
      <c r="CN16" s="11">
        <v>0.16035991631652741</v>
      </c>
      <c r="CO16" s="11">
        <v>0.20954751845975189</v>
      </c>
      <c r="CP16" s="11">
        <v>0.13663168948209131</v>
      </c>
      <c r="CQ16" s="11">
        <v>-2.0333779820360921E-2</v>
      </c>
      <c r="CR16" s="11">
        <v>0.1892865334673984</v>
      </c>
      <c r="CS16" s="11">
        <v>4.0852187594743329E-2</v>
      </c>
      <c r="CT16" s="11">
        <v>4.890352583142879E-2</v>
      </c>
      <c r="CU16" s="11">
        <v>0.1354717008642061</v>
      </c>
      <c r="CV16" s="11">
        <v>0.17225152263848631</v>
      </c>
      <c r="CW16" s="11">
        <v>4.7341659174279828E-2</v>
      </c>
      <c r="CX16" s="11">
        <v>1.224028475424996E-2</v>
      </c>
      <c r="CY16" s="11">
        <v>5.8554306171252721E-2</v>
      </c>
      <c r="CZ16" s="11">
        <v>0.1026332591781325</v>
      </c>
      <c r="DA16" s="11">
        <v>0.1181813303624494</v>
      </c>
      <c r="DB16" s="11">
        <v>9.8017282885796683E-2</v>
      </c>
      <c r="DC16" s="11">
        <v>4.2942362320500277E-2</v>
      </c>
      <c r="DD16" s="11">
        <v>3.1743710487280023E-2</v>
      </c>
      <c r="DE16" s="11">
        <v>3.4552400358790022E-2</v>
      </c>
      <c r="DF16" s="11">
        <v>0.32557955091715263</v>
      </c>
      <c r="DG16" s="11">
        <v>4.5676915028892429E-2</v>
      </c>
      <c r="DH16" s="11">
        <v>0.13714776041250831</v>
      </c>
      <c r="DI16" s="11">
        <v>4.7829607716987632E-2</v>
      </c>
      <c r="DJ16" s="11">
        <v>7.0955052436885546E-2</v>
      </c>
      <c r="DK16" s="11">
        <v>9.6254624799197414E-2</v>
      </c>
      <c r="DL16" s="11">
        <v>-2.187287424977424E-2</v>
      </c>
      <c r="DM16" s="11">
        <v>-3.8134995560551693E-2</v>
      </c>
      <c r="DN16" s="11">
        <v>4.2437853359407113E-2</v>
      </c>
      <c r="DO16" s="11">
        <v>0.16959094638807429</v>
      </c>
      <c r="DP16" s="11">
        <v>0.16033399447581251</v>
      </c>
      <c r="DQ16" s="11">
        <v>4.7070156004531787E-2</v>
      </c>
      <c r="DR16" s="11">
        <v>5.5191251649515209E-2</v>
      </c>
      <c r="DS16" s="11">
        <v>2.144067271249302E-2</v>
      </c>
      <c r="DT16" s="11">
        <v>5.9112975078185963E-2</v>
      </c>
      <c r="DU16" s="11">
        <v>0.1227720465229642</v>
      </c>
      <c r="DV16" s="11">
        <v>0.13695373201779351</v>
      </c>
      <c r="DW16" s="11">
        <v>-7.1302574123356402E-2</v>
      </c>
      <c r="DX16" s="11">
        <v>0.1252847063239774</v>
      </c>
      <c r="DY16" s="11">
        <v>0.15757213273537249</v>
      </c>
      <c r="DZ16" s="11">
        <v>5.8810748191046001E-2</v>
      </c>
      <c r="EA16" s="11">
        <v>4.205152402439738E-4</v>
      </c>
      <c r="EB16" s="11">
        <v>0.1006791006772017</v>
      </c>
      <c r="EC16" s="11">
        <v>6.3532066634569728E-2</v>
      </c>
      <c r="ED16" s="11">
        <v>0.1154167474989211</v>
      </c>
      <c r="EE16" s="11">
        <v>4.3966753067597054E-3</v>
      </c>
      <c r="EF16" s="11">
        <v>3.455063597997958E-2</v>
      </c>
      <c r="EG16" s="21">
        <f t="shared" si="6"/>
        <v>7.3896309698940496E-2</v>
      </c>
      <c r="EH16" s="21">
        <f t="shared" si="7"/>
        <v>8.9622618213037686E-2</v>
      </c>
      <c r="EI16" s="21">
        <f t="shared" si="8"/>
        <v>0.82452745938848915</v>
      </c>
    </row>
    <row r="17" spans="1:139" x14ac:dyDescent="0.3">
      <c r="A17" s="1">
        <v>120</v>
      </c>
      <c r="B17" s="1">
        <v>8</v>
      </c>
      <c r="C17" s="11">
        <v>0.2060921883792059</v>
      </c>
      <c r="D17" s="11">
        <v>0.43958848862462141</v>
      </c>
      <c r="E17" s="11">
        <v>7.9589849390753017E-2</v>
      </c>
      <c r="F17" s="11">
        <v>-8.0752164152319103E-2</v>
      </c>
      <c r="G17" s="11">
        <v>0.10538707466373071</v>
      </c>
      <c r="H17" s="11">
        <v>0.104994053627741</v>
      </c>
      <c r="I17" s="11">
        <v>0.1137250278021875</v>
      </c>
      <c r="J17" s="11">
        <v>4.1858395118229183E-2</v>
      </c>
      <c r="K17" s="11">
        <v>0.1015600797223099</v>
      </c>
      <c r="L17" s="11">
        <v>-3.3775929538638137E-2</v>
      </c>
      <c r="M17" s="11">
        <v>1.4659142090288421E-2</v>
      </c>
      <c r="N17" s="11">
        <v>0.40510800893946219</v>
      </c>
      <c r="O17" s="11">
        <v>-1.1306676064132231E-2</v>
      </c>
      <c r="P17" s="11">
        <v>6.6339369138831011E-2</v>
      </c>
      <c r="Q17" s="11">
        <v>0.16180129461512691</v>
      </c>
      <c r="R17" s="11">
        <v>-5.2057608904527208E-2</v>
      </c>
      <c r="S17" s="11">
        <v>0.31065343265529821</v>
      </c>
      <c r="T17" s="11">
        <v>2.3342585510940761E-2</v>
      </c>
      <c r="U17" s="11">
        <v>0.14127114253855691</v>
      </c>
      <c r="V17" s="11">
        <v>4.0111898296984957E-3</v>
      </c>
      <c r="W17" s="11">
        <v>7.9141988802017282E-2</v>
      </c>
      <c r="X17" s="11">
        <v>0.2379894313203148</v>
      </c>
      <c r="Y17" s="11">
        <v>-2.2928011062654879E-2</v>
      </c>
      <c r="Z17" s="11">
        <v>5.3868489290865788E-2</v>
      </c>
      <c r="AA17" s="11">
        <v>0.19128343691540939</v>
      </c>
      <c r="AB17" s="11">
        <v>8.4852062878172319E-2</v>
      </c>
      <c r="AC17" s="11">
        <v>-2.008625473802152E-2</v>
      </c>
      <c r="AD17" s="11">
        <v>6.8619823236846789E-2</v>
      </c>
      <c r="AE17" s="11">
        <v>0.22212270442845089</v>
      </c>
      <c r="AF17" s="11">
        <v>0.1202863246558465</v>
      </c>
      <c r="AG17" s="11">
        <v>2.2740980787790199E-2</v>
      </c>
      <c r="AH17" s="11">
        <v>-3.5472619172888853E-2</v>
      </c>
      <c r="AI17" s="11">
        <v>0.11486444539828659</v>
      </c>
      <c r="AJ17" s="11">
        <v>-4.2602630518956887E-2</v>
      </c>
      <c r="AK17" s="11">
        <v>7.3716274739036441E-2</v>
      </c>
      <c r="AL17" s="11">
        <v>-9.9837333349987543E-3</v>
      </c>
      <c r="AM17" s="11">
        <v>7.5369367587656971E-2</v>
      </c>
      <c r="AN17" s="11">
        <v>0.1132871203459177</v>
      </c>
      <c r="AO17" s="11">
        <v>-7.6694527622622979E-2</v>
      </c>
      <c r="AP17" s="11">
        <v>7.7242814419585484E-2</v>
      </c>
      <c r="AQ17" s="11">
        <v>9.2339934757894385E-3</v>
      </c>
      <c r="AR17" s="11">
        <v>-3.4997281035057427E-2</v>
      </c>
      <c r="AS17" s="11">
        <v>-5.8802956944234333E-2</v>
      </c>
      <c r="AT17" s="11">
        <v>0.1270717931072517</v>
      </c>
      <c r="AU17" s="11">
        <v>0.17756202574817151</v>
      </c>
      <c r="AV17" s="11">
        <v>5.8529449334631382E-2</v>
      </c>
      <c r="AW17" s="11">
        <v>7.6189610229816601E-2</v>
      </c>
      <c r="AX17" s="11">
        <v>9.7619105117607935E-2</v>
      </c>
      <c r="AY17" s="11">
        <v>2.742369669060089E-2</v>
      </c>
      <c r="AZ17" s="11">
        <v>4.798043380917294E-2</v>
      </c>
      <c r="BA17" s="11">
        <v>0.1628064098097628</v>
      </c>
      <c r="BB17" s="11">
        <v>0.2304420449478701</v>
      </c>
      <c r="BC17" s="11">
        <v>-2.729282438048998E-2</v>
      </c>
      <c r="BD17" s="11">
        <v>1.9411871892876801E-2</v>
      </c>
      <c r="BE17" s="11">
        <v>4.4110253344838493E-2</v>
      </c>
      <c r="BF17" s="11">
        <v>0.14777683028015831</v>
      </c>
      <c r="BG17" s="11">
        <v>0.18575157813088089</v>
      </c>
      <c r="BH17" s="11">
        <v>0.1331911133253291</v>
      </c>
      <c r="BI17" s="11">
        <v>8.7111945439947241E-2</v>
      </c>
      <c r="BJ17" s="11">
        <v>8.9191477556659224E-2</v>
      </c>
      <c r="BK17" s="11">
        <v>-0.11481579199951759</v>
      </c>
      <c r="BL17" s="11">
        <v>3.4152447324294427E-2</v>
      </c>
      <c r="BM17" s="11">
        <v>2.905901115235426E-2</v>
      </c>
      <c r="BN17" s="11">
        <v>-7.3656767936365913E-2</v>
      </c>
      <c r="BO17" s="11">
        <v>3.5179615416723611E-2</v>
      </c>
      <c r="BP17" s="11">
        <v>-6.0638146909917152E-2</v>
      </c>
      <c r="BQ17" s="11">
        <v>1.1376510446451601E-2</v>
      </c>
      <c r="BR17" s="11">
        <v>0.1150223530257518</v>
      </c>
      <c r="BS17" s="11">
        <v>2.0906018213695501E-2</v>
      </c>
      <c r="BT17" s="11">
        <v>3.3647573246358371E-2</v>
      </c>
      <c r="BU17" s="11">
        <v>0.1045242995328607</v>
      </c>
      <c r="BV17" s="11">
        <v>3.8240956502194168E-2</v>
      </c>
      <c r="BW17" s="11">
        <v>0.2083368255173885</v>
      </c>
      <c r="BX17" s="11">
        <v>7.0957898414668631E-3</v>
      </c>
      <c r="BY17" s="11">
        <v>-0.14247737512646691</v>
      </c>
      <c r="BZ17" s="11">
        <v>0.12057815588108529</v>
      </c>
      <c r="CA17" s="11">
        <v>2.7934832358489561E-2</v>
      </c>
      <c r="CB17" s="11">
        <v>0.1496331576928896</v>
      </c>
      <c r="CC17" s="11">
        <v>4.1760252474235628E-2</v>
      </c>
      <c r="CD17" s="11">
        <v>0.17295974121914859</v>
      </c>
      <c r="CE17" s="11">
        <v>9.5708073661495086E-2</v>
      </c>
      <c r="CF17" s="11">
        <v>9.8746197426198501E-2</v>
      </c>
      <c r="CG17" s="11">
        <v>7.4714988628731105E-2</v>
      </c>
      <c r="CH17" s="11">
        <v>5.8636446607050002E-2</v>
      </c>
      <c r="CI17" s="11">
        <v>1.4531184989588509E-2</v>
      </c>
      <c r="CJ17" s="11">
        <v>2.0950827481348411E-2</v>
      </c>
      <c r="CK17" s="11">
        <v>8.3955848259630761E-2</v>
      </c>
      <c r="CL17" s="11">
        <v>-9.426344769031314E-3</v>
      </c>
      <c r="CM17" s="11">
        <v>9.5493870816553639E-2</v>
      </c>
      <c r="CN17" s="11">
        <v>0.1765312785813869</v>
      </c>
      <c r="CO17" s="11">
        <v>0.19808041988978861</v>
      </c>
      <c r="CP17" s="11">
        <v>0.1481592691973436</v>
      </c>
      <c r="CQ17" s="11">
        <v>5.1907103341726511E-2</v>
      </c>
      <c r="CR17" s="11">
        <v>0.19640263176228931</v>
      </c>
      <c r="CS17" s="11">
        <v>3.1345818395718227E-2</v>
      </c>
      <c r="CT17" s="11">
        <v>5.8653796602614071E-2</v>
      </c>
      <c r="CU17" s="11">
        <v>0.15535189279975939</v>
      </c>
      <c r="CV17" s="11">
        <v>0.15147138486135439</v>
      </c>
      <c r="CW17" s="11">
        <v>6.3393218804487977E-2</v>
      </c>
      <c r="CX17" s="11">
        <v>1.0772394523947831E-2</v>
      </c>
      <c r="CY17" s="11">
        <v>5.9497951859822741E-2</v>
      </c>
      <c r="CZ17" s="11">
        <v>0.1242488378476205</v>
      </c>
      <c r="DA17" s="11">
        <v>9.4496399219490587E-2</v>
      </c>
      <c r="DB17" s="11">
        <v>0.1042716259030833</v>
      </c>
      <c r="DC17" s="11">
        <v>4.3363468977499313E-2</v>
      </c>
      <c r="DD17" s="11">
        <v>2.9155420882880739E-2</v>
      </c>
      <c r="DE17" s="11">
        <v>2.4124863346722019E-2</v>
      </c>
      <c r="DF17" s="11">
        <v>0.35222555427147212</v>
      </c>
      <c r="DG17" s="11">
        <v>4.7210988428523781E-2</v>
      </c>
      <c r="DH17" s="11">
        <v>0.163431801211989</v>
      </c>
      <c r="DI17" s="11">
        <v>7.0182390070728226E-2</v>
      </c>
      <c r="DJ17" s="11">
        <v>0.12892505978600949</v>
      </c>
      <c r="DK17" s="11">
        <v>0.1027812687483064</v>
      </c>
      <c r="DL17" s="11">
        <v>-3.929731691128693E-3</v>
      </c>
      <c r="DM17" s="11">
        <v>-4.2563608711752209E-2</v>
      </c>
      <c r="DN17" s="11">
        <v>3.5489032714339008E-2</v>
      </c>
      <c r="DO17" s="11">
        <v>0.17976292609872879</v>
      </c>
      <c r="DP17" s="11">
        <v>0.14203415825063481</v>
      </c>
      <c r="DQ17" s="11">
        <v>7.2654005106024863E-2</v>
      </c>
      <c r="DR17" s="11">
        <v>5.5884814876328279E-2</v>
      </c>
      <c r="DS17" s="11">
        <v>3.7354088755102308E-2</v>
      </c>
      <c r="DT17" s="11">
        <v>5.9811935234976271E-2</v>
      </c>
      <c r="DU17" s="11">
        <v>0.12949295631998961</v>
      </c>
      <c r="DV17" s="11">
        <v>0.11776539811095429</v>
      </c>
      <c r="DW17" s="11">
        <v>-7.659891303599646E-2</v>
      </c>
      <c r="DX17" s="11">
        <v>0.12953898259647401</v>
      </c>
      <c r="DY17" s="11">
        <v>0.10728289560185179</v>
      </c>
      <c r="DZ17" s="11">
        <v>4.9212629169808252E-2</v>
      </c>
      <c r="EA17" s="11">
        <v>-4.6325242167246112E-3</v>
      </c>
      <c r="EB17" s="11">
        <v>0.1072853267537575</v>
      </c>
      <c r="EC17" s="11">
        <v>1.6425217216060651E-2</v>
      </c>
      <c r="ED17" s="11">
        <v>0.12832444392891271</v>
      </c>
      <c r="EE17" s="11">
        <v>-1.9352114607941879E-4</v>
      </c>
      <c r="EF17" s="11">
        <v>4.0987205423901073E-2</v>
      </c>
      <c r="EG17" s="21">
        <f t="shared" si="6"/>
        <v>7.6339702312465743E-2</v>
      </c>
      <c r="EH17" s="21">
        <f t="shared" si="7"/>
        <v>9.1862660458529616E-2</v>
      </c>
      <c r="EI17" s="21">
        <f t="shared" si="8"/>
        <v>0.83101993706059119</v>
      </c>
    </row>
    <row r="18" spans="1:139" x14ac:dyDescent="0.3">
      <c r="A18" s="1">
        <v>137</v>
      </c>
      <c r="B18" s="1">
        <v>7</v>
      </c>
      <c r="C18" s="11">
        <v>0.18975112249235829</v>
      </c>
      <c r="D18" s="11">
        <v>0.40188368142206798</v>
      </c>
      <c r="E18" s="11">
        <v>5.3439350267724013E-2</v>
      </c>
      <c r="F18" s="11">
        <v>-0.11938296010218979</v>
      </c>
      <c r="G18" s="11">
        <v>0.10831637328507999</v>
      </c>
      <c r="H18" s="11">
        <v>0.12853956177457129</v>
      </c>
      <c r="I18" s="11">
        <v>0.13550018022324109</v>
      </c>
      <c r="J18" s="11">
        <v>4.3411515751641608E-2</v>
      </c>
      <c r="K18" s="11">
        <v>0.13564788877763229</v>
      </c>
      <c r="L18" s="11">
        <v>-4.6672720340673143E-2</v>
      </c>
      <c r="M18" s="11">
        <v>2.9051464376457319E-2</v>
      </c>
      <c r="N18" s="11">
        <v>0.46182001807061318</v>
      </c>
      <c r="O18" s="11">
        <v>3.1737941097498189E-2</v>
      </c>
      <c r="P18" s="11">
        <v>8.2552611569947768E-2</v>
      </c>
      <c r="Q18" s="11">
        <v>0.18897541868948989</v>
      </c>
      <c r="R18" s="11">
        <v>-6.149223787197499E-2</v>
      </c>
      <c r="S18" s="11">
        <v>0.3837326289318943</v>
      </c>
      <c r="T18" s="11">
        <v>5.2309697550730873E-2</v>
      </c>
      <c r="U18" s="11">
        <v>0.132495024429819</v>
      </c>
      <c r="V18" s="11">
        <v>1.2895135069850801E-2</v>
      </c>
      <c r="W18" s="11">
        <v>7.7296280059738612E-2</v>
      </c>
      <c r="X18" s="11">
        <v>0.21512105739995169</v>
      </c>
      <c r="Y18" s="11">
        <v>-1.923233435743554E-2</v>
      </c>
      <c r="Z18" s="11">
        <v>8.9234363440522865E-2</v>
      </c>
      <c r="AA18" s="11">
        <v>0.17257065753452869</v>
      </c>
      <c r="AB18" s="11">
        <v>8.4698299730484178E-2</v>
      </c>
      <c r="AC18" s="11">
        <v>1.3654204768322529E-3</v>
      </c>
      <c r="AD18" s="11">
        <v>9.6285845185419314E-2</v>
      </c>
      <c r="AE18" s="11">
        <v>0.25839134891520849</v>
      </c>
      <c r="AF18" s="11">
        <v>0.1505436398240734</v>
      </c>
      <c r="AG18" s="11">
        <v>3.2493116097876071E-2</v>
      </c>
      <c r="AH18" s="11">
        <v>-4.0197460968514703E-2</v>
      </c>
      <c r="AI18" s="11">
        <v>0.1180857345580002</v>
      </c>
      <c r="AJ18" s="11">
        <v>-4.7393756166449127E-2</v>
      </c>
      <c r="AK18" s="11">
        <v>3.0152480597625989E-2</v>
      </c>
      <c r="AL18" s="11">
        <v>-8.5555505437218517E-4</v>
      </c>
      <c r="AM18" s="11">
        <v>6.6643405424771207E-2</v>
      </c>
      <c r="AN18" s="11">
        <v>7.9294639955201793E-2</v>
      </c>
      <c r="AO18" s="11">
        <v>2.4584280444806969E-2</v>
      </c>
      <c r="AP18" s="11">
        <v>7.8278591933806971E-2</v>
      </c>
      <c r="AQ18" s="11">
        <v>-1.6785141569115699E-2</v>
      </c>
      <c r="AR18" s="11">
        <v>-6.1694523600781571E-2</v>
      </c>
      <c r="AS18" s="11">
        <v>-8.3253127889185943E-2</v>
      </c>
      <c r="AT18" s="11">
        <v>0.16638580942405889</v>
      </c>
      <c r="AU18" s="11">
        <v>0.1966597311386786</v>
      </c>
      <c r="AV18" s="11">
        <v>6.0235664706469842E-2</v>
      </c>
      <c r="AW18" s="11">
        <v>9.7766861821235188E-2</v>
      </c>
      <c r="AX18" s="11">
        <v>0.12606433742612741</v>
      </c>
      <c r="AY18" s="11">
        <v>3.4783278641148073E-2</v>
      </c>
      <c r="AZ18" s="11">
        <v>6.6341275737421684E-2</v>
      </c>
      <c r="BA18" s="11">
        <v>0.18047976466954649</v>
      </c>
      <c r="BB18" s="11">
        <v>0.31745742566411261</v>
      </c>
      <c r="BC18" s="11">
        <v>2.7942050701969749E-2</v>
      </c>
      <c r="BD18" s="11">
        <v>2.0275139657027021E-2</v>
      </c>
      <c r="BE18" s="11">
        <v>9.117285285592254E-2</v>
      </c>
      <c r="BF18" s="11">
        <v>0.1649864946960074</v>
      </c>
      <c r="BG18" s="11">
        <v>0.1467139748282886</v>
      </c>
      <c r="BH18" s="11">
        <v>0.1378982651501425</v>
      </c>
      <c r="BI18" s="11">
        <v>0.1090000069186657</v>
      </c>
      <c r="BJ18" s="11">
        <v>9.9531519273147392E-2</v>
      </c>
      <c r="BK18" s="11">
        <v>-7.3455626824005624E-2</v>
      </c>
      <c r="BL18" s="11">
        <v>5.5787880861779937E-2</v>
      </c>
      <c r="BM18" s="11">
        <v>2.8081356373095352E-2</v>
      </c>
      <c r="BN18" s="11">
        <v>-7.8208699482375382E-2</v>
      </c>
      <c r="BO18" s="11">
        <v>2.0227496106374639E-2</v>
      </c>
      <c r="BP18" s="11">
        <v>-6.2463432036451667E-2</v>
      </c>
      <c r="BQ18" s="11">
        <v>1.916784109848992E-3</v>
      </c>
      <c r="BR18" s="11">
        <v>0.1209618178824758</v>
      </c>
      <c r="BS18" s="11">
        <v>3.2873256576031823E-2</v>
      </c>
      <c r="BT18" s="11">
        <v>1.329915077767777E-2</v>
      </c>
      <c r="BU18" s="11">
        <v>0.1114615455291026</v>
      </c>
      <c r="BV18" s="11">
        <v>3.96244261241478E-2</v>
      </c>
      <c r="BW18" s="11">
        <v>0.21837549913098869</v>
      </c>
      <c r="BX18" s="11">
        <v>-1.5811923945792471E-2</v>
      </c>
      <c r="BY18" s="11">
        <v>-8.7465268272101659E-2</v>
      </c>
      <c r="BZ18" s="11">
        <v>0.15331998780259809</v>
      </c>
      <c r="CA18" s="11">
        <v>1.6076543892860819E-2</v>
      </c>
      <c r="CB18" s="11">
        <v>0.1068460604700732</v>
      </c>
      <c r="CC18" s="11">
        <v>0.1046606238416451</v>
      </c>
      <c r="CD18" s="11">
        <v>0.19371681864683071</v>
      </c>
      <c r="CE18" s="11">
        <v>7.7260394878222755E-2</v>
      </c>
      <c r="CF18" s="11">
        <v>7.1817591700374064E-2</v>
      </c>
      <c r="CG18" s="11">
        <v>9.1609255563919342E-2</v>
      </c>
      <c r="CH18" s="11">
        <v>0.16265704668723319</v>
      </c>
      <c r="CI18" s="11">
        <v>3.8869139877689488E-2</v>
      </c>
      <c r="CJ18" s="11">
        <v>-3.772366500397611E-3</v>
      </c>
      <c r="CK18" s="11">
        <v>9.6058031665523097E-2</v>
      </c>
      <c r="CL18" s="11">
        <v>-3.0989545058193121E-2</v>
      </c>
      <c r="CM18" s="11">
        <v>0.1027696116279509</v>
      </c>
      <c r="CN18" s="11">
        <v>0.1209431335415747</v>
      </c>
      <c r="CO18" s="11">
        <v>0.22828208587546131</v>
      </c>
      <c r="CP18" s="11">
        <v>0.16283910894801071</v>
      </c>
      <c r="CQ18" s="11">
        <v>3.8242675594942703E-2</v>
      </c>
      <c r="CR18" s="11">
        <v>0.19372240765220919</v>
      </c>
      <c r="CS18" s="11">
        <v>5.7690648651415453E-2</v>
      </c>
      <c r="CT18" s="11">
        <v>7.6870226772222966E-2</v>
      </c>
      <c r="CU18" s="11">
        <v>0.14456482117613489</v>
      </c>
      <c r="CV18" s="11">
        <v>0.1270222681330069</v>
      </c>
      <c r="CW18" s="11">
        <v>6.6558574498316259E-2</v>
      </c>
      <c r="CX18" s="11">
        <v>6.1560185833778078E-2</v>
      </c>
      <c r="CY18" s="11">
        <v>7.1432458912374111E-2</v>
      </c>
      <c r="CZ18" s="11">
        <v>0.13284286330177139</v>
      </c>
      <c r="DA18" s="11">
        <v>7.8358630907432503E-2</v>
      </c>
      <c r="DB18" s="11">
        <v>0.1181147182852117</v>
      </c>
      <c r="DC18" s="11">
        <v>3.6408781495506221E-2</v>
      </c>
      <c r="DD18" s="11">
        <v>4.1014187319333921E-2</v>
      </c>
      <c r="DE18" s="11">
        <v>3.8420587486450893E-2</v>
      </c>
      <c r="DF18" s="11">
        <v>0.36669200961401482</v>
      </c>
      <c r="DG18" s="11">
        <v>5.4770484126873797E-2</v>
      </c>
      <c r="DH18" s="11">
        <v>0.19240138195914119</v>
      </c>
      <c r="DI18" s="11">
        <v>9.7963127478955317E-2</v>
      </c>
      <c r="DJ18" s="11">
        <v>0.14619607609941229</v>
      </c>
      <c r="DK18" s="11">
        <v>0.1065272620024338</v>
      </c>
      <c r="DL18" s="11">
        <v>-3.830274067592157E-3</v>
      </c>
      <c r="DM18" s="11">
        <v>-5.8457164290175813E-2</v>
      </c>
      <c r="DN18" s="11">
        <v>-1.6722064078021251E-2</v>
      </c>
      <c r="DO18" s="11">
        <v>0.22032021179129849</v>
      </c>
      <c r="DP18" s="11">
        <v>0.13348647227708049</v>
      </c>
      <c r="DQ18" s="11">
        <v>6.5749458183898837E-2</v>
      </c>
      <c r="DR18" s="11">
        <v>7.6840654771961045E-2</v>
      </c>
      <c r="DS18" s="11">
        <v>1.1277982255682851E-2</v>
      </c>
      <c r="DT18" s="11">
        <v>2.2601034841107401E-2</v>
      </c>
      <c r="DU18" s="11">
        <v>0.15871482271667761</v>
      </c>
      <c r="DV18" s="11">
        <v>0.1056406088000619</v>
      </c>
      <c r="DW18" s="11">
        <v>-6.8636949952117263E-2</v>
      </c>
      <c r="DX18" s="11">
        <v>0.1536029774624818</v>
      </c>
      <c r="DY18" s="11">
        <v>0.1368331149382522</v>
      </c>
      <c r="DZ18" s="11">
        <v>5.4630374156582083E-2</v>
      </c>
      <c r="EA18" s="11">
        <v>-4.7382972382447363E-3</v>
      </c>
      <c r="EB18" s="11">
        <v>0.1099643544501954</v>
      </c>
      <c r="EC18" s="11">
        <v>2.764115425371385E-3</v>
      </c>
      <c r="ED18" s="11">
        <v>0.11047802186576559</v>
      </c>
      <c r="EE18" s="11">
        <v>1.111287672357628E-3</v>
      </c>
      <c r="EF18" s="11">
        <v>6.3954333689144396E-2</v>
      </c>
      <c r="EG18" s="21">
        <f t="shared" si="6"/>
        <v>8.3842989926071837E-2</v>
      </c>
      <c r="EH18" s="21">
        <f t="shared" si="7"/>
        <v>9.7043305315490977E-2</v>
      </c>
      <c r="EI18" s="21">
        <f t="shared" si="8"/>
        <v>0.86397500222705237</v>
      </c>
    </row>
    <row r="19" spans="1:139" x14ac:dyDescent="0.3">
      <c r="A19" s="1">
        <v>160</v>
      </c>
      <c r="B19" s="1">
        <v>6</v>
      </c>
      <c r="C19" s="11">
        <v>0.19660026531165431</v>
      </c>
      <c r="D19" s="11">
        <v>0.40752071008946927</v>
      </c>
      <c r="E19" s="11">
        <v>6.5814207330017804E-2</v>
      </c>
      <c r="F19" s="11">
        <v>-0.1776886618055605</v>
      </c>
      <c r="G19" s="11">
        <v>9.6065971857177412E-2</v>
      </c>
      <c r="H19" s="11">
        <v>0.17761031882265199</v>
      </c>
      <c r="I19" s="11">
        <v>0.1346543328914665</v>
      </c>
      <c r="J19" s="11">
        <v>3.5429584520191022E-2</v>
      </c>
      <c r="K19" s="11">
        <v>0.23878941472391671</v>
      </c>
      <c r="L19" s="11">
        <v>-3.036283305602917E-2</v>
      </c>
      <c r="M19" s="11">
        <v>-4.3690236156307287E-2</v>
      </c>
      <c r="N19" s="11">
        <v>0.53237403768824121</v>
      </c>
      <c r="O19" s="11">
        <v>3.1561874488915911E-2</v>
      </c>
      <c r="P19" s="11">
        <v>9.2534186186697107E-2</v>
      </c>
      <c r="Q19" s="11">
        <v>0.19716308826451989</v>
      </c>
      <c r="R19" s="11">
        <v>-9.0299090630856282E-2</v>
      </c>
      <c r="S19" s="11">
        <v>0.18416011669760801</v>
      </c>
      <c r="T19" s="11">
        <v>5.1464717245309592E-2</v>
      </c>
      <c r="U19" s="11">
        <v>0.13569833863192321</v>
      </c>
      <c r="V19" s="11">
        <v>3.6618687785451319E-2</v>
      </c>
      <c r="W19" s="11">
        <v>7.2415569319498968E-2</v>
      </c>
      <c r="X19" s="11">
        <v>0.14939987335272731</v>
      </c>
      <c r="Y19" s="11">
        <v>-2.5628637528156511E-2</v>
      </c>
      <c r="Z19" s="11">
        <v>9.1619110576023566E-2</v>
      </c>
      <c r="AA19" s="11">
        <v>0.131832899481091</v>
      </c>
      <c r="AB19" s="11">
        <v>0.10225360588394269</v>
      </c>
      <c r="AC19" s="11">
        <v>1.4141542708609799E-2</v>
      </c>
      <c r="AD19" s="11">
        <v>9.5993377798068158E-2</v>
      </c>
      <c r="AE19" s="11">
        <v>0.30849285792536868</v>
      </c>
      <c r="AF19" s="11">
        <v>0.1688305807080431</v>
      </c>
      <c r="AG19" s="11">
        <v>2.2136219072547821E-2</v>
      </c>
      <c r="AH19" s="11">
        <v>-5.6557715221703553E-2</v>
      </c>
      <c r="AI19" s="11">
        <v>9.1548662924674465E-2</v>
      </c>
      <c r="AJ19" s="11">
        <v>-5.1545290327262273E-2</v>
      </c>
      <c r="AK19" s="11">
        <v>7.5520425059527104E-3</v>
      </c>
      <c r="AL19" s="11">
        <v>-1.136262181352635E-3</v>
      </c>
      <c r="AM19" s="11">
        <v>4.3106011811404943E-2</v>
      </c>
      <c r="AN19" s="11">
        <v>8.3568294365682083E-2</v>
      </c>
      <c r="AO19" s="11">
        <v>5.5890126129114689E-2</v>
      </c>
      <c r="AP19" s="11">
        <v>8.757412027285208E-2</v>
      </c>
      <c r="AQ19" s="11">
        <v>-5.4925492373613188E-2</v>
      </c>
      <c r="AR19" s="11">
        <v>-7.4616897634658869E-2</v>
      </c>
      <c r="AS19" s="11">
        <v>-0.1091988760530663</v>
      </c>
      <c r="AT19" s="11">
        <v>0.18459366381005801</v>
      </c>
      <c r="AU19" s="11">
        <v>0.23884423839901431</v>
      </c>
      <c r="AV19" s="11">
        <v>-3.0326096026080519E-3</v>
      </c>
      <c r="AW19" s="11">
        <v>0.13669339712891271</v>
      </c>
      <c r="AX19" s="11">
        <v>0.2241237953008561</v>
      </c>
      <c r="AY19" s="11">
        <v>2.9528970393379841E-2</v>
      </c>
      <c r="AZ19" s="11">
        <v>8.4032472273639608E-2</v>
      </c>
      <c r="BA19" s="11">
        <v>0.18699677755478061</v>
      </c>
      <c r="BB19" s="11">
        <v>0.36416093179321912</v>
      </c>
      <c r="BC19" s="11">
        <v>0.18457178940642721</v>
      </c>
      <c r="BD19" s="11">
        <v>-7.3706967887407146E-5</v>
      </c>
      <c r="BE19" s="11">
        <v>8.948072176037114E-2</v>
      </c>
      <c r="BF19" s="11">
        <v>0.14180943496374171</v>
      </c>
      <c r="BG19" s="11">
        <v>0.15330875116978829</v>
      </c>
      <c r="BH19" s="11">
        <v>0.14049690595357331</v>
      </c>
      <c r="BI19" s="11">
        <v>0.12779862881921869</v>
      </c>
      <c r="BJ19" s="11">
        <v>5.1819308428669691E-2</v>
      </c>
      <c r="BK19" s="11">
        <v>-9.7038422945385686E-2</v>
      </c>
      <c r="BL19" s="11">
        <v>6.3164533747019302E-2</v>
      </c>
      <c r="BM19" s="11">
        <v>3.1786264869145278E-2</v>
      </c>
      <c r="BN19" s="11">
        <v>-8.141326020016787E-2</v>
      </c>
      <c r="BO19" s="11">
        <v>2.5728961265115379E-2</v>
      </c>
      <c r="BP19" s="11">
        <v>-1.2410341277600779E-2</v>
      </c>
      <c r="BQ19" s="11">
        <v>9.9340444543230683E-3</v>
      </c>
      <c r="BR19" s="11">
        <v>0.1368392355431455</v>
      </c>
      <c r="BS19" s="11">
        <v>-3.4999319396389061E-3</v>
      </c>
      <c r="BT19" s="11">
        <v>-1.3193669203137359E-2</v>
      </c>
      <c r="BU19" s="11">
        <v>0.13067063489138789</v>
      </c>
      <c r="BV19" s="11">
        <v>3.0350791965897218E-2</v>
      </c>
      <c r="BW19" s="11">
        <v>0.30745300680973342</v>
      </c>
      <c r="BX19" s="11">
        <v>-3.6398889558793571E-2</v>
      </c>
      <c r="BY19" s="11">
        <v>-7.9866927068945853E-2</v>
      </c>
      <c r="BZ19" s="11">
        <v>6.8702124822053873E-2</v>
      </c>
      <c r="CA19" s="11">
        <v>2.932875522377449E-2</v>
      </c>
      <c r="CB19" s="11">
        <v>0.12783820910089719</v>
      </c>
      <c r="CC19" s="11">
        <v>2.2506232898517449E-2</v>
      </c>
      <c r="CD19" s="11">
        <v>0.21561919809371791</v>
      </c>
      <c r="CE19" s="11">
        <v>8.8474858937667905E-2</v>
      </c>
      <c r="CF19" s="11">
        <v>7.9904397206049291E-2</v>
      </c>
      <c r="CG19" s="11">
        <v>5.7117624866957151E-2</v>
      </c>
      <c r="CH19" s="11">
        <v>0.1528898670499263</v>
      </c>
      <c r="CI19" s="11">
        <v>3.7066946160195187E-2</v>
      </c>
      <c r="CJ19" s="11">
        <v>-1.1811922761994231E-2</v>
      </c>
      <c r="CK19" s="11">
        <v>0.1187972629573345</v>
      </c>
      <c r="CL19" s="11">
        <v>-4.3240279974789908E-2</v>
      </c>
      <c r="CM19" s="11">
        <v>0.1102358787373677</v>
      </c>
      <c r="CN19" s="11">
        <v>0.14319321046953429</v>
      </c>
      <c r="CO19" s="11">
        <v>0.25123563122031478</v>
      </c>
      <c r="CP19" s="11">
        <v>0.15903259898233271</v>
      </c>
      <c r="CQ19" s="11">
        <v>3.2394607516418629E-2</v>
      </c>
      <c r="CR19" s="11">
        <v>0.17630672424619201</v>
      </c>
      <c r="CS19" s="11">
        <v>5.4250449548333517E-2</v>
      </c>
      <c r="CT19" s="11">
        <v>2.6421201288258939E-2</v>
      </c>
      <c r="CU19" s="11">
        <v>0.146607543260939</v>
      </c>
      <c r="CV19" s="11">
        <v>9.4553007971378916E-2</v>
      </c>
      <c r="CW19" s="11">
        <v>6.0515878573037342E-2</v>
      </c>
      <c r="CX19" s="11">
        <v>5.7634726368184938E-2</v>
      </c>
      <c r="CY19" s="11">
        <v>7.3151337307962833E-2</v>
      </c>
      <c r="CZ19" s="11">
        <v>0.11285182864146399</v>
      </c>
      <c r="DA19" s="11">
        <v>7.5182477103680007E-2</v>
      </c>
      <c r="DB19" s="11">
        <v>0.14796184676961621</v>
      </c>
      <c r="DC19" s="11">
        <v>-3.5179399902094073E-2</v>
      </c>
      <c r="DD19" s="11">
        <v>6.2011252548289514E-3</v>
      </c>
      <c r="DE19" s="11">
        <v>3.3018414655792E-2</v>
      </c>
      <c r="DF19" s="11">
        <v>0.20550174559429629</v>
      </c>
      <c r="DG19" s="11">
        <v>6.6374264994436313E-2</v>
      </c>
      <c r="DH19" s="11">
        <v>0.22458978071948801</v>
      </c>
      <c r="DI19" s="11">
        <v>0.1084614388347602</v>
      </c>
      <c r="DJ19" s="11">
        <v>0.16525046895907189</v>
      </c>
      <c r="DK19" s="11">
        <v>0.1214423095104508</v>
      </c>
      <c r="DL19" s="11">
        <v>-1.198278590897381E-2</v>
      </c>
      <c r="DM19" s="11">
        <v>-5.7300431238330417E-2</v>
      </c>
      <c r="DN19" s="11">
        <v>2.4751230976385011E-3</v>
      </c>
      <c r="DO19" s="11">
        <v>0.2492619517097443</v>
      </c>
      <c r="DP19" s="11">
        <v>0.17026813067996199</v>
      </c>
      <c r="DQ19" s="11">
        <v>8.0374171838075048E-2</v>
      </c>
      <c r="DR19" s="11">
        <v>7.5962353325048193E-2</v>
      </c>
      <c r="DS19" s="11">
        <v>-5.6773135189909819E-3</v>
      </c>
      <c r="DT19" s="11">
        <v>5.0332465201051654E-3</v>
      </c>
      <c r="DU19" s="11">
        <v>0.15058192195631251</v>
      </c>
      <c r="DV19" s="11">
        <v>0.1115247064406045</v>
      </c>
      <c r="DW19" s="11">
        <v>-0.1012959689486648</v>
      </c>
      <c r="DX19" s="11">
        <v>0.1383651342381777</v>
      </c>
      <c r="DY19" s="11">
        <v>0.1392486786855984</v>
      </c>
      <c r="DZ19" s="11">
        <v>7.8537947622533175E-2</v>
      </c>
      <c r="EA19" s="11">
        <v>3.2919727195015271E-2</v>
      </c>
      <c r="EB19" s="11">
        <v>0.1087535096382525</v>
      </c>
      <c r="EC19" s="11">
        <v>-1.2190043223702179E-2</v>
      </c>
      <c r="ED19" s="11">
        <v>0.15093531699015689</v>
      </c>
      <c r="EE19" s="11">
        <v>-7.3065266771277096E-3</v>
      </c>
      <c r="EF19" s="11">
        <v>7.402291939750516E-2</v>
      </c>
      <c r="EG19" s="21">
        <f t="shared" si="6"/>
        <v>8.287252535346859E-2</v>
      </c>
      <c r="EH19" s="21">
        <f t="shared" si="7"/>
        <v>0.10509434583050528</v>
      </c>
      <c r="EI19" s="21">
        <f t="shared" si="8"/>
        <v>0.78855360579649325</v>
      </c>
    </row>
    <row r="20" spans="1:139" x14ac:dyDescent="0.3">
      <c r="A20" s="1">
        <v>192</v>
      </c>
      <c r="B20" s="1">
        <v>5</v>
      </c>
      <c r="C20" s="11">
        <v>0.2015510478639157</v>
      </c>
      <c r="D20" s="11">
        <v>0.38202502004734989</v>
      </c>
      <c r="E20" s="11">
        <v>5.7336350326780597E-2</v>
      </c>
      <c r="F20" s="11">
        <v>-0.2055312643331742</v>
      </c>
      <c r="G20" s="11">
        <v>0.1171831412889391</v>
      </c>
      <c r="H20" s="11">
        <v>0.14393228225567539</v>
      </c>
      <c r="I20" s="11">
        <v>0.15814956260110169</v>
      </c>
      <c r="J20" s="11">
        <v>3.4471258726856233E-2</v>
      </c>
      <c r="K20" s="11">
        <v>0.21472450376108179</v>
      </c>
      <c r="L20" s="11">
        <v>-3.069548300109538E-2</v>
      </c>
      <c r="M20" s="11">
        <v>-7.7718228291273506E-2</v>
      </c>
      <c r="N20" s="11">
        <v>0.5000114780094741</v>
      </c>
      <c r="O20" s="11">
        <v>4.9864886069274132E-2</v>
      </c>
      <c r="P20" s="11">
        <v>9.1169927668525261E-2</v>
      </c>
      <c r="Q20" s="11">
        <v>0.21672573900297851</v>
      </c>
      <c r="R20" s="11">
        <v>-0.1092530556374688</v>
      </c>
      <c r="S20" s="11">
        <v>0.15518261832774261</v>
      </c>
      <c r="T20" s="11">
        <v>8.5465455737815402E-2</v>
      </c>
      <c r="U20" s="11">
        <v>0.14864968011777491</v>
      </c>
      <c r="V20" s="11">
        <v>1.2644103117188939E-2</v>
      </c>
      <c r="W20" s="11">
        <v>9.1084869432544818E-2</v>
      </c>
      <c r="X20" s="11">
        <v>0.21038641292278501</v>
      </c>
      <c r="Y20" s="11">
        <v>-4.2067489538597257E-2</v>
      </c>
      <c r="Z20" s="11">
        <v>0.1056169604836593</v>
      </c>
      <c r="AA20" s="11">
        <v>0.13048336848064571</v>
      </c>
      <c r="AB20" s="11">
        <v>8.4759840726173208E-2</v>
      </c>
      <c r="AC20" s="11">
        <v>4.7248262727967477E-2</v>
      </c>
      <c r="AD20" s="11">
        <v>0.12984341871366439</v>
      </c>
      <c r="AE20" s="11">
        <v>0.16122120715511101</v>
      </c>
      <c r="AF20" s="11">
        <v>0.22349781963637269</v>
      </c>
      <c r="AG20" s="11">
        <v>2.7659218539892259E-2</v>
      </c>
      <c r="AH20" s="11">
        <v>-9.0178200714782636E-2</v>
      </c>
      <c r="AI20" s="11">
        <v>0.11633675505532361</v>
      </c>
      <c r="AJ20" s="11">
        <v>-6.1990034547547639E-2</v>
      </c>
      <c r="AK20" s="11">
        <v>-1.359511549600285E-2</v>
      </c>
      <c r="AL20" s="11">
        <v>-5.6166263617408981E-3</v>
      </c>
      <c r="AM20" s="11">
        <v>3.3095980748802607E-2</v>
      </c>
      <c r="AN20" s="11">
        <v>7.5470193518998266E-2</v>
      </c>
      <c r="AO20" s="11">
        <v>4.9108294639399641E-2</v>
      </c>
      <c r="AP20" s="11">
        <v>0.13173046125538779</v>
      </c>
      <c r="AQ20" s="11">
        <v>7.2900746140221323E-2</v>
      </c>
      <c r="AR20" s="11">
        <v>-1.328927308983413E-2</v>
      </c>
      <c r="AS20" s="11">
        <v>-4.2291716448975919E-2</v>
      </c>
      <c r="AT20" s="11">
        <v>0.23912374744507051</v>
      </c>
      <c r="AU20" s="11">
        <v>0.28169787258320111</v>
      </c>
      <c r="AV20" s="11">
        <v>-3.2246612786763357E-2</v>
      </c>
      <c r="AW20" s="11">
        <v>0.2249978407783445</v>
      </c>
      <c r="AX20" s="11">
        <v>0.20433921996054669</v>
      </c>
      <c r="AY20" s="11">
        <v>3.8674698442909439E-2</v>
      </c>
      <c r="AZ20" s="11">
        <v>9.9804303272323425E-2</v>
      </c>
      <c r="BA20" s="11">
        <v>0.15133772550591279</v>
      </c>
      <c r="BB20" s="11">
        <v>0.3784467853093445</v>
      </c>
      <c r="BC20" s="11">
        <v>0.24014067499041369</v>
      </c>
      <c r="BD20" s="11">
        <v>8.3601733665197644E-3</v>
      </c>
      <c r="BE20" s="11">
        <v>9.8278374734355731E-2</v>
      </c>
      <c r="BF20" s="11">
        <v>0.13797126306897531</v>
      </c>
      <c r="BG20" s="11">
        <v>9.4062055608340231E-2</v>
      </c>
      <c r="BH20" s="11">
        <v>0.1500573005634544</v>
      </c>
      <c r="BI20" s="11">
        <v>0.13174526708517489</v>
      </c>
      <c r="BJ20" s="11">
        <v>5.5155920618856692E-2</v>
      </c>
      <c r="BK20" s="11">
        <v>-0.11765037240502189</v>
      </c>
      <c r="BL20" s="11">
        <v>6.9859441937220601E-2</v>
      </c>
      <c r="BM20" s="11">
        <v>4.7468551464188873E-2</v>
      </c>
      <c r="BN20" s="11">
        <v>1.8638027253166291E-2</v>
      </c>
      <c r="BO20" s="11">
        <v>-3.8461717515979203E-2</v>
      </c>
      <c r="BP20" s="11">
        <v>7.2822475063245764E-3</v>
      </c>
      <c r="BQ20" s="11">
        <v>1.5451706960843021E-2</v>
      </c>
      <c r="BR20" s="11">
        <v>0.18112708147166159</v>
      </c>
      <c r="BS20" s="11">
        <v>-3.2536197724856143E-2</v>
      </c>
      <c r="BT20" s="11">
        <v>-5.2467623281905747E-2</v>
      </c>
      <c r="BU20" s="11">
        <v>0.14944100404532221</v>
      </c>
      <c r="BV20" s="11">
        <v>-8.154344176059905E-2</v>
      </c>
      <c r="BW20" s="11">
        <v>0.35182955004840472</v>
      </c>
      <c r="BX20" s="11">
        <v>-5.2861421730525368E-2</v>
      </c>
      <c r="BY20" s="11">
        <v>-4.6393591496685094E-3</v>
      </c>
      <c r="BZ20" s="11">
        <v>9.02714042602836E-2</v>
      </c>
      <c r="CA20" s="11">
        <v>4.0102728051752932E-2</v>
      </c>
      <c r="CB20" s="11">
        <v>0.1264950457700191</v>
      </c>
      <c r="CC20" s="11">
        <v>1.291514747808061E-2</v>
      </c>
      <c r="CD20" s="11">
        <v>0.1810274974905971</v>
      </c>
      <c r="CE20" s="11">
        <v>8.5778172602440458E-2</v>
      </c>
      <c r="CF20" s="11">
        <v>8.0957937198676569E-2</v>
      </c>
      <c r="CG20" s="11">
        <v>7.597024074310807E-2</v>
      </c>
      <c r="CH20" s="11">
        <v>7.1864025597138351E-2</v>
      </c>
      <c r="CI20" s="11">
        <v>3.0394673769081951E-2</v>
      </c>
      <c r="CJ20" s="11">
        <v>-4.1509984783928693E-2</v>
      </c>
      <c r="CK20" s="11">
        <v>8.0589623940621552E-2</v>
      </c>
      <c r="CL20" s="11">
        <v>-9.2184934189128986E-2</v>
      </c>
      <c r="CM20" s="11">
        <v>9.6775805849237839E-2</v>
      </c>
      <c r="CN20" s="11">
        <v>0.20489183364110261</v>
      </c>
      <c r="CO20" s="11">
        <v>0.29657330510502922</v>
      </c>
      <c r="CP20" s="11">
        <v>0.1920312051090273</v>
      </c>
      <c r="CQ20" s="11">
        <v>2.3118045300283038E-2</v>
      </c>
      <c r="CR20" s="11">
        <v>0.1954861104849421</v>
      </c>
      <c r="CS20" s="11">
        <v>9.7137098734322067E-2</v>
      </c>
      <c r="CT20" s="11">
        <v>2.841440739658805E-2</v>
      </c>
      <c r="CU20" s="11">
        <v>0.14672800907162681</v>
      </c>
      <c r="CV20" s="11">
        <v>0.11921412821268471</v>
      </c>
      <c r="CW20" s="11">
        <v>6.7903708174845409E-2</v>
      </c>
      <c r="CX20" s="11">
        <v>9.0298550867764463E-2</v>
      </c>
      <c r="CY20" s="11">
        <v>0.108732838402072</v>
      </c>
      <c r="CZ20" s="11">
        <v>0.15516164514919831</v>
      </c>
      <c r="DA20" s="11">
        <v>7.7081696653549386E-2</v>
      </c>
      <c r="DB20" s="11">
        <v>7.696806977078402E-2</v>
      </c>
      <c r="DC20" s="11">
        <v>-4.9613069235555772E-2</v>
      </c>
      <c r="DD20" s="11">
        <v>3.597184756950339E-3</v>
      </c>
      <c r="DE20" s="11">
        <v>1.0418721606852799E-2</v>
      </c>
      <c r="DF20" s="11">
        <v>0.24557420527758439</v>
      </c>
      <c r="DG20" s="11">
        <v>5.2344813299819028E-2</v>
      </c>
      <c r="DH20" s="11">
        <v>0.27829885316894232</v>
      </c>
      <c r="DI20" s="11">
        <v>0.1375957593126734</v>
      </c>
      <c r="DJ20" s="11">
        <v>0.1365580924326974</v>
      </c>
      <c r="DK20" s="11">
        <v>8.5187540020503633E-2</v>
      </c>
      <c r="DL20" s="11">
        <v>-1.9465373333619789E-2</v>
      </c>
      <c r="DM20" s="11">
        <v>-6.9336106675116957E-2</v>
      </c>
      <c r="DN20" s="11">
        <v>5.8019206654199171E-2</v>
      </c>
      <c r="DO20" s="11">
        <v>0.25800136345901148</v>
      </c>
      <c r="DP20" s="11">
        <v>0.20015543475438921</v>
      </c>
      <c r="DQ20" s="11">
        <v>5.7460181624700082E-2</v>
      </c>
      <c r="DR20" s="11">
        <v>7.8512660028290493E-2</v>
      </c>
      <c r="DS20" s="11">
        <v>-7.4906957537590798E-3</v>
      </c>
      <c r="DT20" s="11">
        <v>-2.968533879884255E-2</v>
      </c>
      <c r="DU20" s="11">
        <v>0.17637516893039651</v>
      </c>
      <c r="DV20" s="11">
        <v>0.12934547183885869</v>
      </c>
      <c r="DW20" s="11">
        <v>-0.1035461681398053</v>
      </c>
      <c r="DX20" s="11">
        <v>0.15386632960631469</v>
      </c>
      <c r="DY20" s="11">
        <v>0.1215914577754016</v>
      </c>
      <c r="DZ20" s="11">
        <v>9.0199646158974578E-2</v>
      </c>
      <c r="EA20" s="11">
        <v>-5.9255992733342772E-3</v>
      </c>
      <c r="EB20" s="11">
        <v>8.2407142444419712E-2</v>
      </c>
      <c r="EC20" s="11">
        <v>3.4049581413941779E-2</v>
      </c>
      <c r="ED20" s="11">
        <v>0.17691886106701021</v>
      </c>
      <c r="EE20" s="11">
        <v>-1.7409797518545299E-3</v>
      </c>
      <c r="EF20" s="11">
        <v>8.580306084224959E-2</v>
      </c>
      <c r="EG20" s="21">
        <f t="shared" si="6"/>
        <v>8.6678014228869976E-2</v>
      </c>
      <c r="EH20" s="21">
        <f t="shared" si="7"/>
        <v>0.10990250052388569</v>
      </c>
      <c r="EI20" s="21">
        <f t="shared" si="8"/>
        <v>0.78868100193982205</v>
      </c>
    </row>
    <row r="21" spans="1:139" x14ac:dyDescent="0.3">
      <c r="A21" s="1">
        <v>241</v>
      </c>
      <c r="B21" s="1">
        <v>4</v>
      </c>
      <c r="C21" s="11">
        <v>0.21462957980695321</v>
      </c>
      <c r="D21" s="11">
        <v>0.12638791676682359</v>
      </c>
      <c r="E21" s="11">
        <v>-1.3690170285790599E-2</v>
      </c>
      <c r="F21" s="11">
        <v>-0.18403858160612999</v>
      </c>
      <c r="G21" s="11">
        <v>0.14384215111256449</v>
      </c>
      <c r="H21" s="11">
        <v>0.1621640877938379</v>
      </c>
      <c r="I21" s="11">
        <v>0.14725560812747299</v>
      </c>
      <c r="J21" s="11">
        <v>6.0435325691642318E-2</v>
      </c>
      <c r="K21" s="11">
        <v>0.2068800260033955</v>
      </c>
      <c r="L21" s="11">
        <v>5.0291533060606367E-3</v>
      </c>
      <c r="M21" s="11">
        <v>-9.9684593408211258E-2</v>
      </c>
      <c r="N21" s="11">
        <v>0.58489126462072527</v>
      </c>
      <c r="O21" s="11">
        <v>3.4351989460690638E-2</v>
      </c>
      <c r="P21" s="11">
        <v>0.14477260088968491</v>
      </c>
      <c r="Q21" s="11">
        <v>0.25731007409425227</v>
      </c>
      <c r="R21" s="11">
        <v>-9.5575311106630215E-2</v>
      </c>
      <c r="S21" s="11">
        <v>0.12859028544995699</v>
      </c>
      <c r="T21" s="11">
        <v>9.846167275679743E-2</v>
      </c>
      <c r="U21" s="11">
        <v>8.6278417611758002E-2</v>
      </c>
      <c r="V21" s="11">
        <v>5.3557619366031213E-2</v>
      </c>
      <c r="W21" s="11">
        <v>0.124498618828508</v>
      </c>
      <c r="X21" s="11">
        <v>0.21363094220511639</v>
      </c>
      <c r="Y21" s="11">
        <v>-2.0833082892434851E-2</v>
      </c>
      <c r="Z21" s="11">
        <v>0.1142039872227245</v>
      </c>
      <c r="AA21" s="11">
        <v>0.1106359070024788</v>
      </c>
      <c r="AB21" s="11">
        <v>0.1298395823970698</v>
      </c>
      <c r="AC21" s="11">
        <v>1.882773670680014E-2</v>
      </c>
      <c r="AD21" s="11">
        <v>0.1288246656475579</v>
      </c>
      <c r="AE21" s="11">
        <v>0.12810497879624591</v>
      </c>
      <c r="AF21" s="11">
        <v>0.29514425808336342</v>
      </c>
      <c r="AG21" s="11">
        <v>4.4302777789794079E-2</v>
      </c>
      <c r="AH21" s="11">
        <v>-0.10758136256479831</v>
      </c>
      <c r="AI21" s="11">
        <v>0.10212367551148389</v>
      </c>
      <c r="AJ21" s="11">
        <v>-7.0405341946468691E-2</v>
      </c>
      <c r="AK21" s="11">
        <v>-3.5803167618110053E-2</v>
      </c>
      <c r="AL21" s="11">
        <v>1.9780813559851541E-2</v>
      </c>
      <c r="AM21" s="11">
        <v>6.8535807447630548E-2</v>
      </c>
      <c r="AN21" s="11">
        <v>0.11195605606309431</v>
      </c>
      <c r="AO21" s="11">
        <v>8.5567774913887312E-2</v>
      </c>
      <c r="AP21" s="11">
        <v>7.2535143570019153E-2</v>
      </c>
      <c r="AQ21" s="11">
        <v>0.13322646020896919</v>
      </c>
      <c r="AR21" s="11">
        <v>4.798814140331014E-2</v>
      </c>
      <c r="AS21" s="11">
        <v>-4.5406682060008141E-2</v>
      </c>
      <c r="AT21" s="11">
        <v>0.26483825754799722</v>
      </c>
      <c r="AU21" s="11">
        <v>0.34648126396342699</v>
      </c>
      <c r="AV21" s="11">
        <v>-6.871391269647964E-2</v>
      </c>
      <c r="AW21" s="11">
        <v>0.26325491637381482</v>
      </c>
      <c r="AX21" s="11">
        <v>0.21771830251703739</v>
      </c>
      <c r="AY21" s="11">
        <v>4.7021290978038012E-2</v>
      </c>
      <c r="AZ21" s="11">
        <v>0.1085023584146062</v>
      </c>
      <c r="BA21" s="11">
        <v>0.1395926821613267</v>
      </c>
      <c r="BB21" s="11">
        <v>0.40443142813314931</v>
      </c>
      <c r="BC21" s="11">
        <v>0.1644605319288267</v>
      </c>
      <c r="BD21" s="11">
        <v>3.8219147267913818E-2</v>
      </c>
      <c r="BE21" s="11">
        <v>0.13674535590796441</v>
      </c>
      <c r="BF21" s="11">
        <v>0.19911721643060321</v>
      </c>
      <c r="BG21" s="11">
        <v>9.2285571507253639E-2</v>
      </c>
      <c r="BH21" s="11">
        <v>0.1068421096374302</v>
      </c>
      <c r="BI21" s="11">
        <v>0.1659695961783918</v>
      </c>
      <c r="BJ21" s="11">
        <v>2.239406236410954E-2</v>
      </c>
      <c r="BK21" s="11">
        <v>-7.2723114748713999E-2</v>
      </c>
      <c r="BL21" s="11">
        <v>8.7340790467698257E-2</v>
      </c>
      <c r="BM21" s="11">
        <v>4.0795286028720637E-2</v>
      </c>
      <c r="BN21" s="11">
        <v>2.5790766448446922E-2</v>
      </c>
      <c r="BO21" s="11">
        <v>-6.3857236413680254E-2</v>
      </c>
      <c r="BP21" s="11">
        <v>-4.1808023315929119E-3</v>
      </c>
      <c r="BQ21" s="11">
        <v>5.4542230834504879E-2</v>
      </c>
      <c r="BR21" s="11">
        <v>0.14206145591009539</v>
      </c>
      <c r="BS21" s="11">
        <v>-6.5741820960347419E-2</v>
      </c>
      <c r="BT21" s="11">
        <v>-6.0820742542524793E-2</v>
      </c>
      <c r="BU21" s="11">
        <v>0.1707385105504178</v>
      </c>
      <c r="BV21" s="11">
        <v>-4.4339980041273437E-2</v>
      </c>
      <c r="BW21" s="11">
        <v>0.18446067072040909</v>
      </c>
      <c r="BX21" s="11">
        <v>-7.7165002520596909E-2</v>
      </c>
      <c r="BY21" s="11">
        <v>-5.5666292242237493E-2</v>
      </c>
      <c r="BZ21" s="11">
        <v>4.7662928720715619E-2</v>
      </c>
      <c r="CA21" s="11">
        <v>6.0517603302398457E-2</v>
      </c>
      <c r="CB21" s="11">
        <v>0.2078698479015878</v>
      </c>
      <c r="CC21" s="11">
        <v>-8.0189542709663136E-3</v>
      </c>
      <c r="CD21" s="11">
        <v>0.28805606436247322</v>
      </c>
      <c r="CE21" s="11">
        <v>6.1514882354154247E-2</v>
      </c>
      <c r="CF21" s="11">
        <v>0.13126567680107229</v>
      </c>
      <c r="CG21" s="11">
        <v>8.508533547413108E-2</v>
      </c>
      <c r="CH21" s="11">
        <v>8.0100321076211733E-2</v>
      </c>
      <c r="CI21" s="11">
        <v>8.0499616390982326E-2</v>
      </c>
      <c r="CJ21" s="11">
        <v>-5.5140848561157058E-2</v>
      </c>
      <c r="CK21" s="11">
        <v>6.7159630296855705E-2</v>
      </c>
      <c r="CL21" s="11">
        <v>-0.13389042462296469</v>
      </c>
      <c r="CM21" s="11">
        <v>0.1162318191805591</v>
      </c>
      <c r="CN21" s="11">
        <v>8.0851508829433677E-2</v>
      </c>
      <c r="CO21" s="11">
        <v>0.3354837581948798</v>
      </c>
      <c r="CP21" s="11">
        <v>0.22270006087791269</v>
      </c>
      <c r="CQ21" s="11">
        <v>2.2912194169496192E-2</v>
      </c>
      <c r="CR21" s="11">
        <v>0.23905996636126789</v>
      </c>
      <c r="CS21" s="11">
        <v>6.1269036219330789E-2</v>
      </c>
      <c r="CT21" s="11">
        <v>4.7993104073004042E-2</v>
      </c>
      <c r="CU21" s="11">
        <v>0.1589166223174501</v>
      </c>
      <c r="CV21" s="11">
        <v>0.1543318447745724</v>
      </c>
      <c r="CW21" s="11">
        <v>3.8345516871682743E-2</v>
      </c>
      <c r="CX21" s="11">
        <v>0.1021221756574071</v>
      </c>
      <c r="CY21" s="11">
        <v>0.102505161081563</v>
      </c>
      <c r="CZ21" s="11">
        <v>0.2374513708258302</v>
      </c>
      <c r="DA21" s="11">
        <v>4.1709064063925938E-2</v>
      </c>
      <c r="DB21" s="11">
        <v>7.1461213773998111E-2</v>
      </c>
      <c r="DC21" s="11">
        <v>-4.5047559223290658E-2</v>
      </c>
      <c r="DD21" s="11">
        <v>2.8187943910707451E-3</v>
      </c>
      <c r="DE21" s="11">
        <v>2.897773706032665E-2</v>
      </c>
      <c r="DF21" s="11">
        <v>0.30115021168204381</v>
      </c>
      <c r="DG21" s="11">
        <v>5.9409518844913557E-2</v>
      </c>
      <c r="DH21" s="11">
        <v>8.1436188280027383E-2</v>
      </c>
      <c r="DI21" s="11">
        <v>0.1798398251674036</v>
      </c>
      <c r="DJ21" s="11">
        <v>0.1566057184636416</v>
      </c>
      <c r="DK21" s="11">
        <v>9.0895590906945836E-2</v>
      </c>
      <c r="DL21" s="11">
        <v>-1.273699150101321E-2</v>
      </c>
      <c r="DM21" s="11">
        <v>-2.4988802442145672E-2</v>
      </c>
      <c r="DN21" s="11">
        <v>7.1197612493993062E-2</v>
      </c>
      <c r="DO21" s="11">
        <v>0.33162680487864599</v>
      </c>
      <c r="DP21" s="11">
        <v>0.22901988968023471</v>
      </c>
      <c r="DQ21" s="11">
        <v>7.0422698808183373E-2</v>
      </c>
      <c r="DR21" s="11">
        <v>5.0170859037080733E-2</v>
      </c>
      <c r="DS21" s="11">
        <v>-1.6720946793213241E-3</v>
      </c>
      <c r="DT21" s="11">
        <v>-5.2151903466792276E-3</v>
      </c>
      <c r="DU21" s="11">
        <v>0.1486147166384135</v>
      </c>
      <c r="DV21" s="11">
        <v>0.140275976869878</v>
      </c>
      <c r="DW21" s="11">
        <v>-0.1035344925963028</v>
      </c>
      <c r="DX21" s="11">
        <v>0.18596621403118341</v>
      </c>
      <c r="DY21" s="11">
        <v>0.16673097108859181</v>
      </c>
      <c r="DZ21" s="11">
        <v>9.893057365990536E-2</v>
      </c>
      <c r="EA21" s="11">
        <v>-3.5066457185236648E-2</v>
      </c>
      <c r="EB21" s="11">
        <v>2.6302193998533951E-2</v>
      </c>
      <c r="EC21" s="11">
        <v>1.403705509804205E-2</v>
      </c>
      <c r="ED21" s="11">
        <v>5.4498856348180663E-2</v>
      </c>
      <c r="EE21" s="11">
        <v>2.1310592307867391E-2</v>
      </c>
      <c r="EF21" s="11">
        <v>2.879722641967087E-2</v>
      </c>
      <c r="EG21" s="21">
        <f t="shared" si="6"/>
        <v>8.8796582381950068E-2</v>
      </c>
      <c r="EH21" s="21">
        <f t="shared" si="7"/>
        <v>0.11538639107916772</v>
      </c>
      <c r="EI21" s="21">
        <f t="shared" si="8"/>
        <v>0.76955853763574145</v>
      </c>
    </row>
    <row r="22" spans="1:139" x14ac:dyDescent="0.3">
      <c r="A22" s="1">
        <v>321</v>
      </c>
      <c r="B22" s="1">
        <v>3</v>
      </c>
      <c r="C22" s="11">
        <v>0.20528030103697539</v>
      </c>
      <c r="D22" s="11">
        <v>0.1424278520773985</v>
      </c>
      <c r="E22" s="11">
        <v>-1.7355098916458981E-2</v>
      </c>
      <c r="F22" s="11">
        <v>-6.7831060921277567E-2</v>
      </c>
      <c r="G22" s="11">
        <v>0.1038843632903341</v>
      </c>
      <c r="H22" s="11">
        <v>0.1241780629606463</v>
      </c>
      <c r="I22" s="11">
        <v>0.12349316933806979</v>
      </c>
      <c r="J22" s="11">
        <v>5.2598589265342909E-2</v>
      </c>
      <c r="K22" s="11">
        <v>0.2453659126827557</v>
      </c>
      <c r="L22" s="11">
        <v>-1.427320868498227E-2</v>
      </c>
      <c r="M22" s="11">
        <v>-7.4100058770572547E-2</v>
      </c>
      <c r="N22" s="11">
        <v>0.75614344311733894</v>
      </c>
      <c r="O22" s="11">
        <v>-6.7158783113674958E-3</v>
      </c>
      <c r="P22" s="11">
        <v>7.2782884128816977E-2</v>
      </c>
      <c r="Q22" s="11">
        <v>0.27677689383305182</v>
      </c>
      <c r="R22" s="11">
        <v>-3.6628434271588052E-2</v>
      </c>
      <c r="S22" s="11">
        <v>0.16964655555794059</v>
      </c>
      <c r="T22" s="11">
        <v>0.1288124219831229</v>
      </c>
      <c r="U22" s="11">
        <v>0.11059002340250421</v>
      </c>
      <c r="V22" s="11">
        <v>3.8286776519855507E-2</v>
      </c>
      <c r="W22" s="11">
        <v>0.1580477531639507</v>
      </c>
      <c r="X22" s="11">
        <v>0.22178675903387041</v>
      </c>
      <c r="Y22" s="11">
        <v>-1.5732208413521059E-2</v>
      </c>
      <c r="Z22" s="11">
        <v>7.5548269145846045E-2</v>
      </c>
      <c r="AA22" s="11">
        <v>8.2524425578113014E-2</v>
      </c>
      <c r="AB22" s="11">
        <v>0.13443621271332551</v>
      </c>
      <c r="AC22" s="11">
        <v>8.5776460715432462E-2</v>
      </c>
      <c r="AD22" s="11">
        <v>1.357278877236134E-2</v>
      </c>
      <c r="AE22" s="11">
        <v>0.13082384281633419</v>
      </c>
      <c r="AF22" s="11">
        <v>0.42991676804861201</v>
      </c>
      <c r="AG22" s="11">
        <v>5.2841540175733892E-2</v>
      </c>
      <c r="AH22" s="11">
        <v>-0.10586595942047269</v>
      </c>
      <c r="AI22" s="11">
        <v>0.11100371122694901</v>
      </c>
      <c r="AJ22" s="11">
        <v>-3.1699849326408271E-2</v>
      </c>
      <c r="AK22" s="11">
        <v>0.1012885607403957</v>
      </c>
      <c r="AL22" s="11">
        <v>-9.4397384737102564E-3</v>
      </c>
      <c r="AM22" s="11">
        <v>8.4088903467703563E-2</v>
      </c>
      <c r="AN22" s="11">
        <v>0.1111328096635593</v>
      </c>
      <c r="AO22" s="11">
        <v>0.1581528752937269</v>
      </c>
      <c r="AP22" s="11">
        <v>6.2536353887992696E-2</v>
      </c>
      <c r="AQ22" s="11">
        <v>0.11013171229127849</v>
      </c>
      <c r="AR22" s="11">
        <v>6.7924487703603389E-2</v>
      </c>
      <c r="AS22" s="11">
        <v>7.3843702685833568E-2</v>
      </c>
      <c r="AT22" s="11">
        <v>1.7728370994436651E-2</v>
      </c>
      <c r="AU22" s="11">
        <v>0.42935378467834612</v>
      </c>
      <c r="AV22" s="11">
        <v>-8.9753981871632596E-2</v>
      </c>
      <c r="AW22" s="11">
        <v>0.37079927869117352</v>
      </c>
      <c r="AX22" s="11">
        <v>-9.875186005693877E-3</v>
      </c>
      <c r="AY22" s="11">
        <v>7.1733385334230598E-2</v>
      </c>
      <c r="AZ22" s="11">
        <v>0.1551884040435336</v>
      </c>
      <c r="BA22" s="11">
        <v>4.9774957584186978E-2</v>
      </c>
      <c r="BB22" s="11">
        <v>0.51826404945003746</v>
      </c>
      <c r="BC22" s="11">
        <v>0.19562603535051759</v>
      </c>
      <c r="BD22" s="11">
        <v>7.9259544919436403E-2</v>
      </c>
      <c r="BE22" s="11">
        <v>0.12806788396565999</v>
      </c>
      <c r="BF22" s="11">
        <v>0.1991024485484385</v>
      </c>
      <c r="BG22" s="11">
        <v>-4.1231469152780448E-2</v>
      </c>
      <c r="BH22" s="11">
        <v>0.12770700939641619</v>
      </c>
      <c r="BI22" s="11">
        <v>0.111088719409907</v>
      </c>
      <c r="BJ22" s="11">
        <v>4.0890331679524251E-2</v>
      </c>
      <c r="BK22" s="11">
        <v>-4.831524105166432E-2</v>
      </c>
      <c r="BL22" s="11">
        <v>0.13947139040086359</v>
      </c>
      <c r="BM22" s="11">
        <v>2.4304832455331882E-3</v>
      </c>
      <c r="BN22" s="11">
        <v>8.2937899200322518E-2</v>
      </c>
      <c r="BO22" s="11">
        <v>-5.0484429112750417E-2</v>
      </c>
      <c r="BP22" s="11">
        <v>-5.4100012453170681E-4</v>
      </c>
      <c r="BQ22" s="11">
        <v>2.7830097398312589E-2</v>
      </c>
      <c r="BR22" s="11">
        <v>0.10656678196769021</v>
      </c>
      <c r="BS22" s="11">
        <v>-9.7047589704545023E-2</v>
      </c>
      <c r="BT22" s="11">
        <v>8.8726194332783462E-2</v>
      </c>
      <c r="BU22" s="11">
        <v>0.1043505830823649</v>
      </c>
      <c r="BV22" s="11">
        <v>-4.8603534589078061E-2</v>
      </c>
      <c r="BW22" s="11">
        <v>0.1321717915357814</v>
      </c>
      <c r="BX22" s="11">
        <v>-0.1130288989043652</v>
      </c>
      <c r="BY22" s="11">
        <v>-5.5597049970371022E-2</v>
      </c>
      <c r="BZ22" s="11">
        <v>4.725773586289217E-2</v>
      </c>
      <c r="CA22" s="11">
        <v>2.749007848032349E-2</v>
      </c>
      <c r="CB22" s="11">
        <v>0.25473925571486122</v>
      </c>
      <c r="CC22" s="11">
        <v>-0.12510399532003291</v>
      </c>
      <c r="CD22" s="11">
        <v>0.33387803671272293</v>
      </c>
      <c r="CE22" s="11">
        <v>6.6840145636817616E-2</v>
      </c>
      <c r="CF22" s="11">
        <v>0.18879978576027739</v>
      </c>
      <c r="CG22" s="11">
        <v>0.207085332633513</v>
      </c>
      <c r="CH22" s="11">
        <v>0.1159187712794482</v>
      </c>
      <c r="CI22" s="11">
        <v>0.1177797462783592</v>
      </c>
      <c r="CJ22" s="11">
        <v>-0.12632535927858729</v>
      </c>
      <c r="CK22" s="11">
        <v>0.1109235402867822</v>
      </c>
      <c r="CL22" s="11">
        <v>-0.2406517986250408</v>
      </c>
      <c r="CM22" s="11">
        <v>0.21983248519746329</v>
      </c>
      <c r="CN22" s="11">
        <v>0.15280391681020719</v>
      </c>
      <c r="CO22" s="11">
        <v>0.27205949814687491</v>
      </c>
      <c r="CP22" s="11">
        <v>0.25940855696940252</v>
      </c>
      <c r="CQ22" s="11">
        <v>1.7159615519123799E-2</v>
      </c>
      <c r="CR22" s="11">
        <v>0.24677276999188669</v>
      </c>
      <c r="CS22" s="11">
        <v>8.4781935884364376E-2</v>
      </c>
      <c r="CT22" s="11">
        <v>3.8262614575275293E-2</v>
      </c>
      <c r="CU22" s="11">
        <v>0.16735391118636819</v>
      </c>
      <c r="CV22" s="11">
        <v>0.16622267868955429</v>
      </c>
      <c r="CW22" s="11">
        <v>2.2884042331984721E-2</v>
      </c>
      <c r="CX22" s="11">
        <v>3.749593267848913E-3</v>
      </c>
      <c r="CY22" s="11">
        <v>0.1045108260680616</v>
      </c>
      <c r="CZ22" s="11">
        <v>0.26292048459923911</v>
      </c>
      <c r="DA22" s="11">
        <v>3.2453994810138623E-2</v>
      </c>
      <c r="DB22" s="11">
        <v>5.4041621710522049E-2</v>
      </c>
      <c r="DC22" s="11">
        <v>-2.0724784444157599E-2</v>
      </c>
      <c r="DD22" s="11">
        <v>3.1710169125825367E-2</v>
      </c>
      <c r="DE22" s="11">
        <v>-1.7756503501932811E-2</v>
      </c>
      <c r="DF22" s="11">
        <v>0.38966763369412349</v>
      </c>
      <c r="DG22" s="11">
        <v>7.1889499417003094E-2</v>
      </c>
      <c r="DH22" s="11">
        <v>8.1454381615908525E-2</v>
      </c>
      <c r="DI22" s="11">
        <v>6.0122111270589459E-2</v>
      </c>
      <c r="DJ22" s="11">
        <v>0.15369976283032971</v>
      </c>
      <c r="DK22" s="11">
        <v>9.1428405059511261E-2</v>
      </c>
      <c r="DL22" s="11">
        <v>-3.213330743138731E-3</v>
      </c>
      <c r="DM22" s="11">
        <v>-3.1884709289730702E-2</v>
      </c>
      <c r="DN22" s="11">
        <v>4.6763328204007498E-2</v>
      </c>
      <c r="DO22" s="11">
        <v>7.5715816054906154E-2</v>
      </c>
      <c r="DP22" s="11">
        <v>0.16956243214073041</v>
      </c>
      <c r="DQ22" s="11">
        <v>0.16540416654463991</v>
      </c>
      <c r="DR22" s="11">
        <v>-6.0925526153180337E-3</v>
      </c>
      <c r="DS22" s="11">
        <v>-3.6346262249535841E-2</v>
      </c>
      <c r="DT22" s="11">
        <v>2.712875397817005E-2</v>
      </c>
      <c r="DU22" s="11">
        <v>0.16154691088272999</v>
      </c>
      <c r="DV22" s="11">
        <v>0.12570511767817799</v>
      </c>
      <c r="DW22" s="11">
        <v>-8.1415413379923474E-2</v>
      </c>
      <c r="DX22" s="11">
        <v>0.22244260844829469</v>
      </c>
      <c r="DY22" s="11">
        <v>0.11995602471866181</v>
      </c>
      <c r="DZ22" s="11">
        <v>0.11083450478771149</v>
      </c>
      <c r="EA22" s="11">
        <v>-3.4191242409873077E-2</v>
      </c>
      <c r="EB22" s="11">
        <v>0.12976595030606911</v>
      </c>
      <c r="EC22" s="11">
        <v>2.1495101575638179E-2</v>
      </c>
      <c r="ED22" s="11">
        <v>7.7413567057607463E-2</v>
      </c>
      <c r="EE22" s="11">
        <v>4.7636659384698889E-2</v>
      </c>
      <c r="EF22" s="11">
        <v>3.6595469131778337E-2</v>
      </c>
      <c r="EG22" s="21">
        <f t="shared" si="6"/>
        <v>9.2020583074512358E-2</v>
      </c>
      <c r="EH22" s="21">
        <f t="shared" si="7"/>
        <v>0.13108730498613319</v>
      </c>
      <c r="EI22" s="21">
        <f t="shared" si="8"/>
        <v>0.70197936470085009</v>
      </c>
    </row>
    <row r="23" spans="1:139" x14ac:dyDescent="0.3">
      <c r="A23" s="1">
        <v>482</v>
      </c>
      <c r="B23" s="1">
        <v>2</v>
      </c>
      <c r="C23" s="11">
        <v>0.28298926569632887</v>
      </c>
      <c r="D23" s="11">
        <v>0.25409262745146127</v>
      </c>
      <c r="E23" s="11">
        <v>0.13300519405617101</v>
      </c>
      <c r="F23" s="11">
        <v>-0.1823960753208787</v>
      </c>
      <c r="G23" s="11">
        <v>-2.6971568524368019E-2</v>
      </c>
      <c r="H23" s="11">
        <v>-1.8188470841484668E-2</v>
      </c>
      <c r="I23" s="11">
        <v>0.148152028600294</v>
      </c>
      <c r="J23" s="11">
        <v>-9.8162291146452377E-2</v>
      </c>
      <c r="K23" s="11">
        <v>0.14260757512465491</v>
      </c>
      <c r="L23" s="11">
        <v>-5.0770833705182927E-2</v>
      </c>
      <c r="M23" s="11">
        <v>-0.2584499163586424</v>
      </c>
      <c r="N23" s="11">
        <v>0.97590144327128003</v>
      </c>
      <c r="O23" s="11">
        <v>-1.9407711266769139E-2</v>
      </c>
      <c r="P23" s="11">
        <v>9.040171118212538E-2</v>
      </c>
      <c r="Q23" s="11">
        <v>-5.95680169005205E-2</v>
      </c>
      <c r="R23" s="11">
        <v>-5.6211143313255052E-2</v>
      </c>
      <c r="S23" s="11">
        <v>0.1137245328272621</v>
      </c>
      <c r="T23" s="11">
        <v>0.15460269332742849</v>
      </c>
      <c r="U23" s="11">
        <v>9.3757422440794366E-2</v>
      </c>
      <c r="V23" s="11">
        <v>-2.302945710979112E-2</v>
      </c>
      <c r="W23" s="11">
        <v>0.25954732367705918</v>
      </c>
      <c r="X23" s="11">
        <v>0.1817811857978229</v>
      </c>
      <c r="Y23" s="11">
        <v>-1.4659801530490259E-2</v>
      </c>
      <c r="Z23" s="11">
        <v>3.3032515443875303E-2</v>
      </c>
      <c r="AA23" s="11">
        <v>-5.6748445960110291E-2</v>
      </c>
      <c r="AB23" s="11">
        <v>6.4039779876783498E-2</v>
      </c>
      <c r="AC23" s="11">
        <v>0.1687547996369127</v>
      </c>
      <c r="AD23" s="11">
        <v>7.1628868085674022E-2</v>
      </c>
      <c r="AE23" s="11">
        <v>0.13721198875766</v>
      </c>
      <c r="AF23" s="11">
        <v>0.32465932564021122</v>
      </c>
      <c r="AG23" s="11">
        <v>9.1873657646360199E-2</v>
      </c>
      <c r="AH23" s="11">
        <v>-8.417158452318324E-2</v>
      </c>
      <c r="AI23" s="11">
        <v>0.2091515986202637</v>
      </c>
      <c r="AJ23" s="11">
        <v>5.6431378481542303E-3</v>
      </c>
      <c r="AK23" s="11">
        <v>0.11411109934719101</v>
      </c>
      <c r="AL23" s="11">
        <v>-1.4066593107004361E-2</v>
      </c>
      <c r="AM23" s="11">
        <v>7.769489004865255E-3</v>
      </c>
      <c r="AN23" s="11">
        <v>0.24231469935730071</v>
      </c>
      <c r="AO23" s="11">
        <v>9.078247952961746E-2</v>
      </c>
      <c r="AP23" s="11">
        <v>-3.1210993523056942E-3</v>
      </c>
      <c r="AQ23" s="11">
        <v>9.9380639012752223E-2</v>
      </c>
      <c r="AR23" s="11">
        <v>0.1461361643393671</v>
      </c>
      <c r="AS23" s="11">
        <v>8.1663620780570226E-2</v>
      </c>
      <c r="AT23" s="11">
        <v>0.1095059029649002</v>
      </c>
      <c r="AU23" s="11">
        <v>0.60833204424947662</v>
      </c>
      <c r="AV23" s="11">
        <v>-4.9150066629292007E-2</v>
      </c>
      <c r="AW23" s="11">
        <v>0.58225997417421493</v>
      </c>
      <c r="AX23" s="11">
        <v>-1.4812779008540821E-2</v>
      </c>
      <c r="AY23" s="11">
        <v>0.17023398084058211</v>
      </c>
      <c r="AZ23" s="11">
        <v>7.8071576521207053E-2</v>
      </c>
      <c r="BA23" s="11">
        <v>5.3998338629857423E-2</v>
      </c>
      <c r="BB23" s="11">
        <v>0.68602332967973401</v>
      </c>
      <c r="BC23" s="11">
        <v>0.25286918189993951</v>
      </c>
      <c r="BD23" s="11">
        <v>0.12597278447449581</v>
      </c>
      <c r="BE23" s="11">
        <v>0.1242921430258994</v>
      </c>
      <c r="BF23" s="11">
        <v>0.21000911286045121</v>
      </c>
      <c r="BG23" s="11">
        <v>3.8322827419145812E-2</v>
      </c>
      <c r="BH23" s="11">
        <v>6.3365195703238231E-2</v>
      </c>
      <c r="BI23" s="11">
        <v>0.1911120793231991</v>
      </c>
      <c r="BJ23" s="11">
        <v>5.7493860805491029E-2</v>
      </c>
      <c r="BK23" s="11">
        <v>-4.7849323301188178E-2</v>
      </c>
      <c r="BL23" s="11">
        <v>0.11436629014166901</v>
      </c>
      <c r="BM23" s="11">
        <v>-6.9495462024450616E-2</v>
      </c>
      <c r="BN23" s="11">
        <v>3.8453237240273198E-2</v>
      </c>
      <c r="BO23" s="11">
        <v>3.6524941745999073E-2</v>
      </c>
      <c r="BP23" s="11">
        <v>-2.2475721392681891E-2</v>
      </c>
      <c r="BQ23" s="11">
        <v>7.2047901435266168E-2</v>
      </c>
      <c r="BR23" s="11">
        <v>0.1028225901803507</v>
      </c>
      <c r="BS23" s="11">
        <v>-0.2205670944023907</v>
      </c>
      <c r="BT23" s="11">
        <v>0.2181866761329041</v>
      </c>
      <c r="BU23" s="11">
        <v>0.1056852737934032</v>
      </c>
      <c r="BV23" s="11">
        <v>-5.326905055788838E-2</v>
      </c>
      <c r="BW23" s="11">
        <v>1.536251504309036E-2</v>
      </c>
      <c r="BX23" s="11">
        <v>-6.8735089330797944E-2</v>
      </c>
      <c r="BY23" s="11">
        <v>0.1182492339269558</v>
      </c>
      <c r="BZ23" s="11">
        <v>7.6697624318448621E-3</v>
      </c>
      <c r="CA23" s="11">
        <v>7.5653199746629096E-2</v>
      </c>
      <c r="CB23" s="11">
        <v>0.31616676175875003</v>
      </c>
      <c r="CC23" s="11">
        <v>-8.4544614715775346E-2</v>
      </c>
      <c r="CD23" s="11">
        <v>0.19167645501478511</v>
      </c>
      <c r="CE23" s="11">
        <v>5.9602301837717461E-2</v>
      </c>
      <c r="CF23" s="11">
        <v>0.15713490979116501</v>
      </c>
      <c r="CG23" s="11">
        <v>0.21663724162720299</v>
      </c>
      <c r="CH23" s="11">
        <v>0.18019644892142839</v>
      </c>
      <c r="CI23" s="11">
        <v>0.30989941712809688</v>
      </c>
      <c r="CJ23" s="11">
        <v>-0.15651589641790081</v>
      </c>
      <c r="CK23" s="11">
        <v>7.1856390536544607E-2</v>
      </c>
      <c r="CL23" s="11">
        <v>-0.40866101266741839</v>
      </c>
      <c r="CM23" s="11">
        <v>0.23470497261609899</v>
      </c>
      <c r="CN23" s="11">
        <v>0.27710426195606819</v>
      </c>
      <c r="CO23" s="11">
        <v>0.26615853772710141</v>
      </c>
      <c r="CP23" s="11">
        <v>0.31136074316275669</v>
      </c>
      <c r="CQ23" s="11">
        <v>-2.4702270079380868E-2</v>
      </c>
      <c r="CR23" s="11">
        <v>0.15099817047394759</v>
      </c>
      <c r="CS23" s="11">
        <v>6.5159884293212025E-2</v>
      </c>
      <c r="CT23" s="11">
        <v>6.539021537994999E-2</v>
      </c>
      <c r="CU23" s="11">
        <v>0.20210388498715681</v>
      </c>
      <c r="CV23" s="11">
        <v>0.15333096827157461</v>
      </c>
      <c r="CW23" s="11">
        <v>-2.418628778900123E-2</v>
      </c>
      <c r="CX23" s="11">
        <v>-8.8716994096526336E-2</v>
      </c>
      <c r="CY23" s="11">
        <v>0.15375033367153881</v>
      </c>
      <c r="CZ23" s="11">
        <v>0.18199879385735121</v>
      </c>
      <c r="DA23" s="11">
        <v>6.4644882448389021E-2</v>
      </c>
      <c r="DB23" s="11">
        <v>1.8747066443219641E-2</v>
      </c>
      <c r="DC23" s="11">
        <v>0.1191904860704142</v>
      </c>
      <c r="DD23" s="11">
        <v>9.2798674677153081E-2</v>
      </c>
      <c r="DE23" s="11">
        <v>-6.0085947510171572E-2</v>
      </c>
      <c r="DF23" s="11">
        <v>0.40879492056092032</v>
      </c>
      <c r="DG23" s="11">
        <v>6.7620427406409236E-2</v>
      </c>
      <c r="DH23" s="11">
        <v>0.1392268935121084</v>
      </c>
      <c r="DI23" s="11">
        <v>9.6040550870895677E-2</v>
      </c>
      <c r="DJ23" s="11">
        <v>0.1200325818239187</v>
      </c>
      <c r="DK23" s="11">
        <v>9.1244988740826746E-2</v>
      </c>
      <c r="DL23" s="11">
        <v>2.6242652104624471E-2</v>
      </c>
      <c r="DM23" s="11">
        <v>-4.6477315989241888E-2</v>
      </c>
      <c r="DN23" s="11">
        <v>6.4971960439702253E-3</v>
      </c>
      <c r="DO23" s="11">
        <v>0.124068441987729</v>
      </c>
      <c r="DP23" s="11">
        <v>0.17683961848490651</v>
      </c>
      <c r="DQ23" s="11">
        <v>0.24594610755878629</v>
      </c>
      <c r="DR23" s="11">
        <v>-8.9886002731306744E-2</v>
      </c>
      <c r="DS23" s="11">
        <v>-0.1165759916669394</v>
      </c>
      <c r="DT23" s="11">
        <v>-2.2296457069757209E-2</v>
      </c>
      <c r="DU23" s="11">
        <v>5.5639478708282321E-2</v>
      </c>
      <c r="DV23" s="11">
        <v>0.27627160832943959</v>
      </c>
      <c r="DW23" s="11">
        <v>2.3051820755061941E-2</v>
      </c>
      <c r="DX23" s="11">
        <v>0.31349320637896622</v>
      </c>
      <c r="DY23" s="11">
        <v>-5.3926224537590731E-2</v>
      </c>
      <c r="DZ23" s="11">
        <v>-0.21717398775244159</v>
      </c>
      <c r="EA23" s="11">
        <v>-9.3362079468968795E-2</v>
      </c>
      <c r="EB23" s="11">
        <v>0.24428465812392219</v>
      </c>
      <c r="EC23" s="11">
        <v>-3.6584316325813361E-2</v>
      </c>
      <c r="ED23" s="11">
        <v>9.1425904619781034E-2</v>
      </c>
      <c r="EE23" s="11">
        <v>6.9212075984992683E-2</v>
      </c>
      <c r="EF23" s="11">
        <v>9.3415857913687922E-2</v>
      </c>
      <c r="EG23" s="21">
        <f t="shared" si="6"/>
        <v>9.3056631484368754E-2</v>
      </c>
      <c r="EH23" s="21">
        <f t="shared" si="7"/>
        <v>0.17164530455112056</v>
      </c>
      <c r="EI23" s="21">
        <f t="shared" si="8"/>
        <v>0.54214492920576218</v>
      </c>
    </row>
    <row r="24" spans="1:139" x14ac:dyDescent="0.3">
      <c r="A24" s="1">
        <v>964</v>
      </c>
      <c r="B24" s="1">
        <v>1</v>
      </c>
      <c r="C24" s="11">
        <v>9.9113364206882743E-2</v>
      </c>
      <c r="D24" s="11">
        <v>0.1006099128992286</v>
      </c>
      <c r="E24" s="11">
        <v>0.28451249769050191</v>
      </c>
      <c r="F24" s="11">
        <v>-0.20154571887164621</v>
      </c>
      <c r="G24" s="11">
        <v>-2.2622388562617651E-2</v>
      </c>
      <c r="H24" s="11">
        <v>3.5855796654956661E-2</v>
      </c>
      <c r="I24" s="11">
        <v>-2.111933203143501E-3</v>
      </c>
      <c r="J24" s="11">
        <v>-9.9972192910136135E-2</v>
      </c>
      <c r="K24" s="11">
        <v>5.0444335993488708E-2</v>
      </c>
      <c r="L24" s="11">
        <v>-9.3799693256750388E-2</v>
      </c>
      <c r="M24" s="11">
        <v>-0.14681933889950849</v>
      </c>
      <c r="N24" s="11">
        <v>1.769031369112569</v>
      </c>
      <c r="O24" s="11">
        <v>3.6648790739543732E-2</v>
      </c>
      <c r="P24" s="11">
        <v>0.1042484144089995</v>
      </c>
      <c r="Q24" s="11">
        <v>-6.096496164670627E-2</v>
      </c>
      <c r="R24" s="11">
        <v>-0.24569737077925971</v>
      </c>
      <c r="S24" s="11">
        <v>0.35251446106016437</v>
      </c>
      <c r="T24" s="11">
        <v>-0.27048671467401741</v>
      </c>
      <c r="U24" s="11">
        <v>0.14851867422391801</v>
      </c>
      <c r="V24" s="11">
        <v>-6.7139302837628506E-2</v>
      </c>
      <c r="W24" s="11">
        <v>-0.16456451758688009</v>
      </c>
      <c r="X24" s="11">
        <v>-3.6157896361251968E-2</v>
      </c>
      <c r="Y24" s="11">
        <v>-9.4770149264170878E-3</v>
      </c>
      <c r="Z24" s="11">
        <v>0.10584232727880701</v>
      </c>
      <c r="AA24" s="11">
        <v>0.21854457969115479</v>
      </c>
      <c r="AB24" s="11">
        <v>0.1953396226752438</v>
      </c>
      <c r="AC24" s="11">
        <v>0.4017473338469546</v>
      </c>
      <c r="AD24" s="11">
        <v>0.1011752992567229</v>
      </c>
      <c r="AE24" s="11">
        <v>0.19314178971175811</v>
      </c>
      <c r="AF24" s="11">
        <v>0.49538941280416188</v>
      </c>
      <c r="AG24" s="11">
        <v>0.13873571762663761</v>
      </c>
      <c r="AH24" s="11">
        <v>-5.6697360067789589E-2</v>
      </c>
      <c r="AI24" s="11">
        <v>0.31041423522934231</v>
      </c>
      <c r="AJ24" s="11">
        <v>-8.089124399937539E-2</v>
      </c>
      <c r="AK24" s="11">
        <v>8.4883953068192297E-2</v>
      </c>
      <c r="AL24" s="11">
        <v>8.7173701476634946E-2</v>
      </c>
      <c r="AM24" s="11">
        <v>-1.89192814205267E-2</v>
      </c>
      <c r="AN24" s="11">
        <v>0.22118946514543131</v>
      </c>
      <c r="AO24" s="11">
        <v>0.1029057025777895</v>
      </c>
      <c r="AP24" s="11">
        <v>2.28517154890964E-2</v>
      </c>
      <c r="AQ24" s="11">
        <v>0.21712720312806419</v>
      </c>
      <c r="AR24" s="11">
        <v>0.1708334061708256</v>
      </c>
      <c r="AS24" s="11">
        <v>3.2867737066227462E-3</v>
      </c>
      <c r="AT24" s="11">
        <v>0.15076897992568081</v>
      </c>
      <c r="AU24" s="11">
        <v>0.47705418724240228</v>
      </c>
      <c r="AV24" s="11">
        <v>0.24768466023032751</v>
      </c>
      <c r="AW24" s="11">
        <v>-0.14871095653144009</v>
      </c>
      <c r="AX24" s="11">
        <v>0.1114913369162155</v>
      </c>
      <c r="AY24" s="11">
        <v>0.16812729388488939</v>
      </c>
      <c r="AZ24" s="11">
        <v>0.11862372507117649</v>
      </c>
      <c r="BA24" s="11">
        <v>5.0491305412012258E-2</v>
      </c>
      <c r="BB24" s="11">
        <v>0.87270314910649027</v>
      </c>
      <c r="BC24" s="11">
        <v>-4.366869614383373E-3</v>
      </c>
      <c r="BD24" s="11">
        <v>1.8631034086863729E-2</v>
      </c>
      <c r="BE24" s="11">
        <v>-5.7380537985080138E-2</v>
      </c>
      <c r="BF24" s="11">
        <v>-6.4370420949463519E-2</v>
      </c>
      <c r="BG24" s="11">
        <v>-9.0984227707435611E-2</v>
      </c>
      <c r="BH24" s="11">
        <v>0.14767356525171971</v>
      </c>
      <c r="BI24" s="11">
        <v>0.2236291060700471</v>
      </c>
      <c r="BJ24" s="11">
        <v>0.19964003317045101</v>
      </c>
      <c r="BK24" s="11">
        <v>-3.4827647172774007E-2</v>
      </c>
      <c r="BL24" s="11">
        <v>0.1061069201511666</v>
      </c>
      <c r="BM24" s="11">
        <v>8.4782939838988242E-2</v>
      </c>
      <c r="BN24" s="11">
        <v>0.10891326031654749</v>
      </c>
      <c r="BO24" s="11">
        <v>-0.16110969109564191</v>
      </c>
      <c r="BP24" s="11">
        <v>3.1794104329889807E-2</v>
      </c>
      <c r="BQ24" s="11">
        <v>-6.4169633330115036E-2</v>
      </c>
      <c r="BR24" s="11">
        <v>9.8920889185241626E-2</v>
      </c>
      <c r="BS24" s="11">
        <v>-0.1216210365296066</v>
      </c>
      <c r="BT24" s="11">
        <v>0.27671901614020838</v>
      </c>
      <c r="BU24" s="11">
        <v>8.7484923148454363E-3</v>
      </c>
      <c r="BV24" s="11">
        <v>-4.625870574066291E-2</v>
      </c>
      <c r="BW24" s="11">
        <v>0.15102744542241939</v>
      </c>
      <c r="BX24" s="11">
        <v>-0.1039550340490914</v>
      </c>
      <c r="BY24" s="11">
        <v>0.11840823105030179</v>
      </c>
      <c r="BZ24" s="11">
        <v>0.25889289884999689</v>
      </c>
      <c r="CA24" s="11">
        <v>0.1152216807734147</v>
      </c>
      <c r="CB24" s="11">
        <v>0.639698133634515</v>
      </c>
      <c r="CC24" s="11">
        <v>-0.18246987988756161</v>
      </c>
      <c r="CD24" s="11">
        <v>0.14430631074219491</v>
      </c>
      <c r="CE24" s="11">
        <v>0.16556487399111461</v>
      </c>
      <c r="CF24" s="11">
        <v>0.2217213622453883</v>
      </c>
      <c r="CG24" s="11">
        <v>0.51996896607392207</v>
      </c>
      <c r="CH24" s="11">
        <v>0.35427729684250298</v>
      </c>
      <c r="CI24" s="11">
        <v>-0.3284518207092646</v>
      </c>
      <c r="CJ24" s="11">
        <v>-0.3001868935902553</v>
      </c>
      <c r="CK24" s="11">
        <v>0.32305926532838408</v>
      </c>
      <c r="CL24" s="11">
        <v>0.1417553333725407</v>
      </c>
      <c r="CM24" s="11">
        <v>0.63643326435951064</v>
      </c>
      <c r="CN24" s="11">
        <v>0.60967719726707426</v>
      </c>
      <c r="CO24" s="11">
        <v>0.45247744179045318</v>
      </c>
      <c r="CP24" s="11">
        <v>0.1603442048148421</v>
      </c>
      <c r="CQ24" s="11">
        <v>-0.1601896466275006</v>
      </c>
      <c r="CR24" s="11">
        <v>0.1377874560487031</v>
      </c>
      <c r="CS24" s="11">
        <v>0.1079742359390275</v>
      </c>
      <c r="CT24" s="11">
        <v>-0.1195443883358397</v>
      </c>
      <c r="CU24" s="11">
        <v>5.2729044813654813E-2</v>
      </c>
      <c r="CV24" s="11">
        <v>0.182864094907223</v>
      </c>
      <c r="CW24" s="11">
        <v>-0.234993215272846</v>
      </c>
      <c r="CX24" s="11">
        <v>5.5207193708687041E-2</v>
      </c>
      <c r="CY24" s="11">
        <v>0.32114775220674069</v>
      </c>
      <c r="CZ24" s="11">
        <v>0.11220662844456721</v>
      </c>
      <c r="DA24" s="11">
        <v>3.3979585092453302E-2</v>
      </c>
      <c r="DB24" s="11">
        <v>-1.6501865848996312E-2</v>
      </c>
      <c r="DC24" s="11">
        <v>0.19117575817053481</v>
      </c>
      <c r="DD24" s="11">
        <v>-0.19584472218244131</v>
      </c>
      <c r="DE24" s="11">
        <v>0.13158559129553279</v>
      </c>
      <c r="DF24" s="11">
        <v>0.52558500614449799</v>
      </c>
      <c r="DG24" s="11">
        <v>0.11954528640013271</v>
      </c>
      <c r="DH24" s="11">
        <v>0.26580267599251223</v>
      </c>
      <c r="DI24" s="11">
        <v>3.7184908274380812E-2</v>
      </c>
      <c r="DJ24" s="11">
        <v>0.2293698745310894</v>
      </c>
      <c r="DK24" s="11">
        <v>0.1196801812081898</v>
      </c>
      <c r="DL24" s="11">
        <v>6.1360513215416877E-2</v>
      </c>
      <c r="DM24" s="11">
        <v>-4.1344524506759309E-4</v>
      </c>
      <c r="DN24" s="11">
        <v>0.23333457077469619</v>
      </c>
      <c r="DO24" s="11">
        <v>0.1156119550234804</v>
      </c>
      <c r="DP24" s="11">
        <v>0.22357182348369681</v>
      </c>
      <c r="DQ24" s="11">
        <v>0.35907130209664839</v>
      </c>
      <c r="DR24" s="11">
        <v>-2.0515630212029241E-2</v>
      </c>
      <c r="DS24" s="11">
        <v>-6.7362545713944635E-2</v>
      </c>
      <c r="DT24" s="11">
        <v>-2.9435726388863388E-2</v>
      </c>
      <c r="DU24" s="11">
        <v>-2.1781395361230051E-2</v>
      </c>
      <c r="DV24" s="11">
        <v>0.1582246986438143</v>
      </c>
      <c r="DW24" s="11">
        <v>0.10118249665524411</v>
      </c>
      <c r="DX24" s="11">
        <v>0.31159312779250392</v>
      </c>
      <c r="DY24" s="11">
        <v>-3.239876608542996E-3</v>
      </c>
      <c r="DZ24" s="11">
        <v>-0.43350657873669168</v>
      </c>
      <c r="EA24" s="11">
        <v>-2.3171501846674901E-2</v>
      </c>
      <c r="EB24" s="11">
        <v>0.58969791699909047</v>
      </c>
      <c r="EC24" s="11">
        <v>-1.4309918770678909E-2</v>
      </c>
      <c r="ED24" s="11">
        <v>5.6172845298362112E-2</v>
      </c>
      <c r="EE24" s="11">
        <v>0.10748065723441801</v>
      </c>
      <c r="EF24" s="11">
        <v>0.13408707635021461</v>
      </c>
      <c r="EG24" s="21">
        <f t="shared" si="6"/>
        <v>0.11205291996847139</v>
      </c>
      <c r="EH24" s="21">
        <f t="shared" si="7"/>
        <v>0.25119816071765944</v>
      </c>
      <c r="EI24" s="21">
        <f t="shared" si="8"/>
        <v>0.44607380742097119</v>
      </c>
    </row>
    <row r="25" spans="1:139" x14ac:dyDescent="0.3">
      <c r="EG25" s="21"/>
      <c r="EH25" s="21"/>
      <c r="EI25" s="21"/>
    </row>
    <row r="26" spans="1:139" x14ac:dyDescent="0.3">
      <c r="A26" t="s">
        <v>147</v>
      </c>
      <c r="B26" t="s">
        <v>148</v>
      </c>
      <c r="C26" s="19">
        <v>-1.7399999999999999E-2</v>
      </c>
      <c r="D26" s="19">
        <v>2.07E-2</v>
      </c>
      <c r="E26" s="19">
        <v>2.4E-2</v>
      </c>
      <c r="F26" s="19">
        <v>-6.6E-3</v>
      </c>
      <c r="G26" s="19">
        <v>3.1800000000000002E-2</v>
      </c>
      <c r="H26" s="19">
        <v>3.4299999999999997E-2</v>
      </c>
      <c r="I26" s="19">
        <v>-8.3000000000000001E-3</v>
      </c>
      <c r="J26" s="19">
        <v>1.2800000000000001E-2</v>
      </c>
      <c r="K26" s="19">
        <v>-5.0999999999999997E-2</v>
      </c>
      <c r="L26" s="19">
        <v>8.9999999999999998E-4</v>
      </c>
      <c r="M26" s="19">
        <v>2.3400000000000001E-2</v>
      </c>
      <c r="N26" s="19">
        <v>1.2999999999999999E-2</v>
      </c>
      <c r="O26" s="19">
        <v>5.8999999999999999E-3</v>
      </c>
      <c r="P26" s="19">
        <v>2.7400000000000001E-2</v>
      </c>
      <c r="Q26" s="19">
        <v>-3.7000000000000002E-3</v>
      </c>
      <c r="R26" s="19">
        <v>2.41E-2</v>
      </c>
      <c r="S26" s="19">
        <v>-1.2200000000000001E-2</v>
      </c>
      <c r="T26" s="19">
        <v>-3.9699999999999999E-2</v>
      </c>
      <c r="U26" s="19">
        <v>-7.3200000000000001E-2</v>
      </c>
      <c r="V26" s="19">
        <v>-5.8299999999999998E-2</v>
      </c>
      <c r="W26" s="19">
        <v>8.0000000000000004E-4</v>
      </c>
      <c r="X26" s="19">
        <v>4.4600000000000001E-2</v>
      </c>
      <c r="Y26" s="19">
        <v>-2.7699999999999999E-2</v>
      </c>
      <c r="Z26" s="19">
        <v>2.0999999999999999E-3</v>
      </c>
      <c r="AA26" s="19">
        <v>-2.3400000000000001E-2</v>
      </c>
      <c r="AB26" s="19">
        <v>3.2099999999999997E-2</v>
      </c>
      <c r="AC26" s="19">
        <v>3.8899999999999997E-2</v>
      </c>
      <c r="AD26" s="19">
        <v>-4.2900000000000001E-2</v>
      </c>
      <c r="AE26" s="19">
        <v>1.8599999999999998E-2</v>
      </c>
      <c r="AF26" s="19">
        <v>1.52E-2</v>
      </c>
      <c r="AG26" s="19">
        <v>3.5999999999999997E-2</v>
      </c>
      <c r="AH26" s="19">
        <v>9.4000000000000004E-3</v>
      </c>
      <c r="AI26" s="19">
        <v>1.0699999999999999E-2</v>
      </c>
      <c r="AJ26" s="19">
        <v>1.34E-2</v>
      </c>
      <c r="AK26" s="19">
        <v>-5.3E-3</v>
      </c>
      <c r="AL26" s="19">
        <v>1.4E-3</v>
      </c>
      <c r="AM26" s="19">
        <v>2.0799999999999999E-2</v>
      </c>
      <c r="AN26" s="19">
        <v>3.15E-2</v>
      </c>
      <c r="AO26" s="19">
        <v>6.1999999999999998E-3</v>
      </c>
      <c r="AP26" s="19">
        <v>6.1000000000000004E-3</v>
      </c>
      <c r="AQ26" s="19">
        <v>1.6899999999999998E-2</v>
      </c>
      <c r="AR26" s="19">
        <v>3.4700000000000002E-2</v>
      </c>
      <c r="AS26" s="19">
        <v>3.0999999999999999E-3</v>
      </c>
      <c r="AT26" s="19">
        <v>1.5100000000000001E-2</v>
      </c>
      <c r="AU26" s="19">
        <v>-1.9300000000000001E-2</v>
      </c>
      <c r="AV26" s="19">
        <v>3.8699999999999998E-2</v>
      </c>
      <c r="AW26" s="19">
        <v>-2.1899999999999999E-2</v>
      </c>
      <c r="AX26" s="19">
        <v>7.7999999999999996E-3</v>
      </c>
      <c r="AY26" s="19">
        <v>4.24E-2</v>
      </c>
      <c r="AZ26" s="19">
        <v>-2.63E-2</v>
      </c>
      <c r="BA26" s="19">
        <v>9.5999999999999992E-3</v>
      </c>
      <c r="BB26" s="19">
        <v>-2.4199999999999999E-2</v>
      </c>
      <c r="BC26" s="19">
        <v>2.0199999999999999E-2</v>
      </c>
      <c r="BD26" s="19">
        <v>-3.5000000000000001E-3</v>
      </c>
      <c r="BE26" s="19">
        <v>2.0199999999999999E-2</v>
      </c>
      <c r="BF26" s="19">
        <v>5.9999999999999995E-4</v>
      </c>
      <c r="BG26" s="19">
        <v>-5.1999999999999998E-3</v>
      </c>
      <c r="BH26" s="19">
        <v>-0.1159</v>
      </c>
      <c r="BI26" s="19">
        <v>8.6999999999999994E-3</v>
      </c>
      <c r="BJ26" s="19">
        <v>-1.6400000000000001E-2</v>
      </c>
      <c r="BK26" s="19">
        <v>2.0799999999999999E-2</v>
      </c>
      <c r="BL26" s="19">
        <v>4.4999999999999998E-2</v>
      </c>
      <c r="BM26" s="19">
        <v>2.4E-2</v>
      </c>
      <c r="BN26" s="19">
        <v>3.0200000000000001E-2</v>
      </c>
      <c r="BO26" s="19">
        <v>-4.3700000000000003E-2</v>
      </c>
      <c r="BP26" s="19">
        <v>2.1899999999999999E-2</v>
      </c>
      <c r="BQ26" s="19">
        <v>8.6E-3</v>
      </c>
      <c r="BR26" s="19">
        <v>-1.9199999999999998E-2</v>
      </c>
      <c r="BS26" s="19">
        <v>1.9699999999999999E-2</v>
      </c>
      <c r="BT26" s="19">
        <v>4.7699999999999999E-2</v>
      </c>
      <c r="BU26" s="19">
        <v>1.15E-2</v>
      </c>
      <c r="BV26" s="19">
        <v>4.3200000000000002E-2</v>
      </c>
      <c r="BW26" s="19">
        <v>-4.2700000000000002E-2</v>
      </c>
      <c r="BX26" s="19">
        <v>-1.78E-2</v>
      </c>
      <c r="BY26" s="19">
        <v>-0.1512</v>
      </c>
      <c r="BZ26" s="19">
        <v>0.1242</v>
      </c>
      <c r="CA26" s="19">
        <v>-4.5999999999999999E-3</v>
      </c>
      <c r="CB26" s="19">
        <v>6.0199999999999997E-2</v>
      </c>
      <c r="CC26" s="19">
        <v>8.5999999999999993E-2</v>
      </c>
      <c r="CD26" s="19">
        <v>-5.7999999999999996E-3</v>
      </c>
      <c r="CE26" s="19">
        <v>-6.0000000000000001E-3</v>
      </c>
      <c r="CF26" s="19">
        <v>2.5000000000000001E-3</v>
      </c>
      <c r="CG26" s="19">
        <v>8.9599999999999999E-2</v>
      </c>
      <c r="CH26" s="19">
        <v>7.0999999999999994E-2</v>
      </c>
      <c r="CI26" s="19">
        <v>2.7199999999999998E-2</v>
      </c>
      <c r="CJ26" s="19">
        <v>5.2499999999999998E-2</v>
      </c>
      <c r="CK26" s="19">
        <v>2.9499999999999998E-2</v>
      </c>
      <c r="CL26" s="19">
        <v>6.6799999999999998E-2</v>
      </c>
      <c r="CM26" s="19">
        <v>-2.8799999999999999E-2</v>
      </c>
      <c r="CN26" s="19">
        <v>3.95E-2</v>
      </c>
      <c r="CO26" s="19">
        <v>-2.9000000000000001E-2</v>
      </c>
      <c r="CP26" s="19">
        <v>1.4E-2</v>
      </c>
      <c r="CQ26" s="19">
        <v>-3.2300000000000002E-2</v>
      </c>
      <c r="CR26" s="19">
        <v>3.0999999999999999E-3</v>
      </c>
      <c r="CS26" s="19">
        <v>2.5600000000000001E-2</v>
      </c>
      <c r="CT26" s="19">
        <v>4.4400000000000002E-2</v>
      </c>
      <c r="CU26" s="19">
        <v>-3.0300000000000001E-2</v>
      </c>
      <c r="CV26" s="19">
        <v>-1.2999999999999999E-3</v>
      </c>
      <c r="CW26" s="19">
        <v>2.3E-3</v>
      </c>
      <c r="CX26" s="19">
        <v>-6.4299999999999996E-2</v>
      </c>
      <c r="CY26" s="19">
        <v>1.29E-2</v>
      </c>
      <c r="CZ26" s="19">
        <v>-0.1255</v>
      </c>
      <c r="DA26" s="19">
        <v>1.17E-2</v>
      </c>
      <c r="DB26" s="19">
        <v>6.3E-3</v>
      </c>
      <c r="DC26" s="19">
        <v>-0.1173</v>
      </c>
      <c r="DD26" s="19">
        <v>-3.5999999999999997E-2</v>
      </c>
      <c r="DE26" s="19">
        <v>0.1389</v>
      </c>
      <c r="DF26" s="19">
        <v>-5.11E-2</v>
      </c>
      <c r="DG26" s="19">
        <v>7.6700000000000004E-2</v>
      </c>
      <c r="DH26" s="19">
        <v>1.55E-2</v>
      </c>
      <c r="DI26" s="19">
        <v>2.3199999999999998E-2</v>
      </c>
      <c r="DJ26" s="19">
        <v>-1.84E-2</v>
      </c>
      <c r="DK26" s="19">
        <v>6.2199999999999998E-2</v>
      </c>
      <c r="DL26" s="19">
        <v>2.01E-2</v>
      </c>
      <c r="DM26" s="19">
        <v>1.35E-2</v>
      </c>
      <c r="DN26" s="19">
        <v>-3.0300000000000001E-2</v>
      </c>
      <c r="DO26" s="19">
        <v>-1.7000000000000001E-2</v>
      </c>
      <c r="DP26" s="19">
        <v>-2.18E-2</v>
      </c>
      <c r="DQ26" s="19">
        <v>8.5699999999999998E-2</v>
      </c>
      <c r="DR26" s="19">
        <v>2.81E-2</v>
      </c>
      <c r="DS26" s="19">
        <v>-2.3E-3</v>
      </c>
      <c r="DT26" s="19">
        <v>5.8500000000000003E-2</v>
      </c>
      <c r="DU26" s="19">
        <v>6.7699999999999996E-2</v>
      </c>
      <c r="DV26" s="19">
        <v>5.0000000000000001E-3</v>
      </c>
      <c r="DW26" s="19">
        <v>3.7400000000000003E-2</v>
      </c>
      <c r="DX26" s="19">
        <v>8.4099999999999994E-2</v>
      </c>
      <c r="DY26" s="19">
        <v>-3.6799999999999999E-2</v>
      </c>
      <c r="DZ26" s="19">
        <v>3.0999999999999999E-3</v>
      </c>
      <c r="EA26" s="19">
        <v>-2E-3</v>
      </c>
      <c r="EB26" s="19">
        <v>2.6499999999999999E-2</v>
      </c>
      <c r="EC26" s="19">
        <v>-2.4799999999999999E-2</v>
      </c>
      <c r="ED26" s="19">
        <v>3.4099999999999998E-2</v>
      </c>
      <c r="EE26" s="19">
        <v>2.1100000000000001E-2</v>
      </c>
      <c r="EF26" s="19">
        <v>-2.0277393000000001E-2</v>
      </c>
    </row>
  </sheetData>
  <mergeCells count="2">
    <mergeCell ref="A6:B6"/>
    <mergeCell ref="A10:B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真實IC</vt:lpstr>
      <vt:lpstr>預測IC</vt:lpstr>
      <vt:lpstr>真實勝率</vt:lpstr>
      <vt:lpstr>預測(OLS)勝率</vt:lpstr>
      <vt:lpstr>真實累積報酬</vt:lpstr>
      <vt:lpstr>預測(OLS)累積報酬</vt:lpstr>
      <vt:lpstr>畫圖(真實)</vt:lpstr>
      <vt:lpstr>畫圖(預測)</vt:lpstr>
      <vt:lpstr>真實IC再投資累積報酬</vt:lpstr>
      <vt:lpstr>OLS再投資累積報酬</vt:lpstr>
      <vt:lpstr>預測OLS夏普比率</vt:lpstr>
      <vt:lpstr>真實OLS夏普比率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博仁 鄭</cp:lastModifiedBy>
  <dcterms:created xsi:type="dcterms:W3CDTF">2015-06-05T18:17:20Z</dcterms:created>
  <dcterms:modified xsi:type="dcterms:W3CDTF">2025-06-03T06:33:45Z</dcterms:modified>
</cp:coreProperties>
</file>